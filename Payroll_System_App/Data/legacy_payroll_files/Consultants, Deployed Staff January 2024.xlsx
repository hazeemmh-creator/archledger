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ILA\Documents\Payroll Matters 2024\January 2024 Payroll\"/>
    </mc:Choice>
  </mc:AlternateContent>
  <xr:revisionPtr revIDLastSave="0" documentId="11_C0D1913076182313748A101E06299E59408B920A" xr6:coauthVersionLast="47" xr6:coauthVersionMax="47" xr10:uidLastSave="{00000000-0000-0000-0000-000000000000}"/>
  <bookViews>
    <workbookView xWindow="0" yWindow="0" windowWidth="20340" windowHeight="7470" tabRatio="599" xr2:uid="{00000000-000D-0000-FFFF-FFFF00000000}"/>
  </bookViews>
  <sheets>
    <sheet name="JANUARY 2024" sheetId="65" r:id="rId1"/>
    <sheet name="JANUARY 2024 2" sheetId="86" r:id="rId2"/>
    <sheet name="ENHANCED WELFARE 2024" sheetId="92" r:id="rId3"/>
    <sheet name="ENHANCED WELFARE 2024 2" sheetId="94" r:id="rId4"/>
    <sheet name="JANUARY 2024 (2)" sheetId="95" r:id="rId5"/>
    <sheet name="Sheet32" sheetId="93" r:id="rId6"/>
    <sheet name="CHRISTMAS WELFARE 1" sheetId="87" r:id="rId7"/>
    <sheet name="CHRISTMAS WELFARE 2" sheetId="88" r:id="rId8"/>
    <sheet name="HALF SALARY" sheetId="89" r:id="rId9"/>
    <sheet name="HALF PAYMT (3)" sheetId="90" r:id="rId10"/>
    <sheet name="Sheet28" sheetId="85" r:id="rId11"/>
    <sheet name="Tenure " sheetId="50" r:id="rId12"/>
    <sheet name="Half Salary Allowance" sheetId="77" r:id="rId13"/>
    <sheet name="Chrismas  Welfare (3)" sheetId="72" r:id="rId14"/>
    <sheet name="Chrismas  Welfare (4)" sheetId="73" r:id="rId15"/>
    <sheet name="Sallah Welfare June 2023 " sheetId="82" r:id="rId16"/>
    <sheet name="Sallah Welfare June 2023 Latest" sheetId="83" r:id="rId17"/>
    <sheet name="Sheet27" sheetId="81" r:id="rId18"/>
    <sheet name="Sallah Welfare April 2023" sheetId="79" r:id="rId19"/>
    <sheet name="March (2)" sheetId="80" r:id="rId20"/>
    <sheet name="Sheet26" sheetId="70" r:id="rId21"/>
    <sheet name="Arrears in Nov" sheetId="64" r:id="rId22"/>
    <sheet name="Salah Welfare" sheetId="63" r:id="rId23"/>
    <sheet name="Enhanced Welfare2" sheetId="61" r:id="rId24"/>
    <sheet name="Enhanced Welfare 2023" sheetId="75" r:id="rId25"/>
    <sheet name="Enhanced Welfare 2023 (2)" sheetId="78" r:id="rId26"/>
    <sheet name="Sheet31" sheetId="74" r:id="rId27"/>
    <sheet name="Enhanced Welfare2 8 and below" sheetId="62" r:id="rId28"/>
    <sheet name="July 2021 Welfare" sheetId="60" r:id="rId29"/>
    <sheet name="Housing 2021" sheetId="59" r:id="rId30"/>
    <sheet name="Welfare 2020 " sheetId="55" r:id="rId31"/>
    <sheet name="Hardship" sheetId="54" r:id="rId32"/>
    <sheet name="Sheet19" sheetId="53" r:id="rId33"/>
    <sheet name="NYSC" sheetId="52" r:id="rId34"/>
    <sheet name="Staff List" sheetId="28" r:id="rId35"/>
    <sheet name="Sheet6" sheetId="27" r:id="rId36"/>
    <sheet name="Sheet4" sheetId="25" r:id="rId37"/>
    <sheet name="Sheet5" sheetId="26" r:id="rId38"/>
    <sheet name="Eid Kabir" sheetId="24" r:id="rId39"/>
    <sheet name="MEMO" sheetId="3" r:id="rId40"/>
    <sheet name="17.9" sheetId="4" r:id="rId41"/>
    <sheet name="16.7" sheetId="5" r:id="rId42"/>
    <sheet name="Welfare" sheetId="41" r:id="rId43"/>
    <sheet name="Sheet20" sheetId="42" r:id="rId44"/>
    <sheet name="Enhanced Welfare" sheetId="43" r:id="rId45"/>
    <sheet name="Sheet22" sheetId="44" r:id="rId46"/>
    <sheet name="Sheet23" sheetId="45" r:id="rId47"/>
    <sheet name="Sheet24" sheetId="46" r:id="rId48"/>
    <sheet name="Sheet25" sheetId="47" r:id="rId49"/>
    <sheet name="15.7.1" sheetId="6" r:id="rId50"/>
    <sheet name="Sheet7" sheetId="29" r:id="rId51"/>
    <sheet name="Sheet8" sheetId="30" r:id="rId52"/>
    <sheet name="Sheet9" sheetId="31" r:id="rId53"/>
    <sheet name="Sheet10" sheetId="32" r:id="rId54"/>
    <sheet name="Sheet11" sheetId="33" r:id="rId55"/>
    <sheet name="Sheet12" sheetId="34" r:id="rId56"/>
    <sheet name="Sheet13" sheetId="35" r:id="rId57"/>
    <sheet name="Sheet14" sheetId="36" r:id="rId58"/>
    <sheet name="Sheet15" sheetId="37" r:id="rId59"/>
    <sheet name="Sheet16" sheetId="38" r:id="rId60"/>
    <sheet name="Sheet17" sheetId="39" r:id="rId61"/>
    <sheet name="Sheet18" sheetId="40" r:id="rId62"/>
    <sheet name="13.7" sheetId="7" r:id="rId63"/>
    <sheet name="12.7" sheetId="8" r:id="rId64"/>
    <sheet name="10.7" sheetId="9" r:id="rId65"/>
    <sheet name="9.7" sheetId="10" r:id="rId66"/>
    <sheet name="8.7" sheetId="11" r:id="rId67"/>
    <sheet name="sUMMARY" sheetId="12" r:id="rId68"/>
    <sheet name="14.7" sheetId="13" r:id="rId69"/>
    <sheet name="Sheet2" sheetId="14" r:id="rId70"/>
    <sheet name="15.7" sheetId="23" r:id="rId71"/>
    <sheet name="5.7" sheetId="15" r:id="rId72"/>
    <sheet name="Noninal roll" sheetId="16" r:id="rId73"/>
    <sheet name="Welfare List Mgt Staff" sheetId="17" r:id="rId74"/>
    <sheet name="Welfare Support Staff" sheetId="18" r:id="rId75"/>
    <sheet name="Welfare Deployed Staff" sheetId="19" r:id="rId76"/>
    <sheet name="Sheet1" sheetId="20" r:id="rId77"/>
    <sheet name="Sheet3" sheetId="21" r:id="rId78"/>
    <sheet name="Sheet21" sheetId="57" r:id="rId79"/>
    <sheet name="JUNE 2023 (2)" sheetId="84" r:id="rId80"/>
  </sheets>
  <externalReferences>
    <externalReference r:id="rId81"/>
    <externalReference r:id="rId82"/>
    <externalReference r:id="rId83"/>
    <externalReference r:id="rId84"/>
    <externalReference r:id="rId85"/>
    <externalReference r:id="rId86"/>
  </externalReferences>
  <definedNames>
    <definedName name="_xlnm.Print_Area" localSheetId="13">'Chrismas  Welfare (3)'!$A$1:$D$51</definedName>
    <definedName name="_xlnm.Print_Area" localSheetId="14">'Chrismas  Welfare (4)'!$A$1:$D$51</definedName>
    <definedName name="_xlnm.Print_Area" localSheetId="6">'CHRISTMAS WELFARE 1'!$A$1:$D$72</definedName>
    <definedName name="_xlnm.Print_Area" localSheetId="7">'CHRISTMAS WELFARE 2'!$A$1:$D$19</definedName>
    <definedName name="_xlnm.Print_Area" localSheetId="24">'Enhanced Welfare 2023'!$A$1:$D$27</definedName>
    <definedName name="_xlnm.Print_Area" localSheetId="25">'Enhanced Welfare 2023 (2)'!$A$1:$D$33</definedName>
    <definedName name="_xlnm.Print_Area" localSheetId="2">'ENHANCED WELFARE 2024'!$A$1:$D$40</definedName>
    <definedName name="_xlnm.Print_Area" localSheetId="3">'ENHANCED WELFARE 2024 2'!$A$1:$D$24</definedName>
    <definedName name="_xlnm.Print_Area" localSheetId="23">'Enhanced Welfare2'!$A$1:$K$13</definedName>
    <definedName name="_xlnm.Print_Area" localSheetId="27">'Enhanced Welfare2 8 and below'!$A$1:$K$31</definedName>
    <definedName name="_xlnm.Print_Area" localSheetId="9">'HALF PAYMT (3)'!$A$1:$E$18</definedName>
    <definedName name="_xlnm.Print_Area" localSheetId="8">'HALF SALARY'!$A$1:$E$61</definedName>
    <definedName name="_xlnm.Print_Area" localSheetId="12">'Half Salary Allowance'!$A$1:$G$51</definedName>
    <definedName name="_xlnm.Print_Area" localSheetId="31">Hardship!$A$1:$H$46</definedName>
    <definedName name="_xlnm.Print_Area" localSheetId="29">'Housing 2021'!$A$1:$L$60</definedName>
    <definedName name="_xlnm.Print_Area" localSheetId="0">'JANUARY 2024'!$A$1:$K$57</definedName>
    <definedName name="_xlnm.Print_Area" localSheetId="4">'JANUARY 2024 (2)'!$A$1:$K$57</definedName>
    <definedName name="_xlnm.Print_Area" localSheetId="1">'JANUARY 2024 2'!$A$1:$I$27</definedName>
    <definedName name="_xlnm.Print_Area" localSheetId="28">'July 2021 Welfare'!$A$1:$M$45</definedName>
    <definedName name="_xlnm.Print_Area" localSheetId="79">'JUNE 2023 (2)'!$A$1:$C$65</definedName>
    <definedName name="_xlnm.Print_Area" localSheetId="19">'March (2)'!$A$1:$K$71</definedName>
    <definedName name="_xlnm.Print_Area" localSheetId="39">MEMO!$A$1:$H$57</definedName>
    <definedName name="_xlnm.Print_Area" localSheetId="33">NYSC!$A$1:$D$26</definedName>
    <definedName name="_xlnm.Print_Area" localSheetId="22">'Salah Welfare'!$A$1:$K$65</definedName>
    <definedName name="_xlnm.Print_Area" localSheetId="18">'Sallah Welfare April 2023'!$A$1:$D$67</definedName>
    <definedName name="_xlnm.Print_Area" localSheetId="15">'Sallah Welfare June 2023 '!$A$1:$D$76</definedName>
    <definedName name="_xlnm.Print_Area" localSheetId="16">'Sallah Welfare June 2023 Latest'!$A$1:$D$67</definedName>
    <definedName name="_xlnm.Print_Area" localSheetId="11">'Tenure '!$A$1:$E$60</definedName>
    <definedName name="_xlnm.Print_Area" localSheetId="30">'Welfare 2020 '!$A$1:$D$62</definedName>
    <definedName name="_xlnm.Print_Titles" localSheetId="13">'Chrismas  Welfare (3)'!$3:$4</definedName>
    <definedName name="_xlnm.Print_Titles" localSheetId="14">'Chrismas  Welfare (4)'!$3:$4</definedName>
    <definedName name="_xlnm.Print_Titles" localSheetId="6">'CHRISTMAS WELFARE 1'!$3:$3</definedName>
    <definedName name="_xlnm.Print_Titles" localSheetId="7">'CHRISTMAS WELFARE 2'!$3:$3</definedName>
    <definedName name="_xlnm.Print_Titles" localSheetId="24">'Enhanced Welfare 2023'!$3:$3</definedName>
    <definedName name="_xlnm.Print_Titles" localSheetId="25">'Enhanced Welfare 2023 (2)'!$3:$4</definedName>
    <definedName name="_xlnm.Print_Titles" localSheetId="2">'ENHANCED WELFARE 2024'!$4:$5</definedName>
    <definedName name="_xlnm.Print_Titles" localSheetId="3">'ENHANCED WELFARE 2024 2'!$4:$5</definedName>
    <definedName name="_xlnm.Print_Titles" localSheetId="9">'HALF PAYMT (3)'!$3:$4</definedName>
    <definedName name="_xlnm.Print_Titles" localSheetId="8">'HALF SALARY'!$3:$4</definedName>
    <definedName name="_xlnm.Print_Titles" localSheetId="12">'Half Salary Allowance'!$3:$4</definedName>
    <definedName name="_xlnm.Print_Titles" localSheetId="0">'JANUARY 2024'!$3:$4</definedName>
    <definedName name="_xlnm.Print_Titles" localSheetId="4">'JANUARY 2024 (2)'!$3:$4</definedName>
    <definedName name="_xlnm.Print_Titles" localSheetId="1">'JANUARY 2024 2'!$3:$4</definedName>
    <definedName name="_xlnm.Print_Titles" localSheetId="79">'JUNE 2023 (2)'!$3:$4</definedName>
    <definedName name="_xlnm.Print_Titles" localSheetId="19">'March (2)'!$3:$4</definedName>
    <definedName name="_xlnm.Print_Titles" localSheetId="18">'Sallah Welfare April 2023'!$3:$4</definedName>
    <definedName name="_xlnm.Print_Titles" localSheetId="15">'Sallah Welfare June 2023 '!$2:$3</definedName>
    <definedName name="_xlnm.Print_Titles" localSheetId="16">'Sallah Welfare June 2023 Latest'!$2:$3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9" i="95" l="1"/>
  <c r="G56" i="95"/>
  <c r="J56" i="95" s="1"/>
  <c r="F56" i="95"/>
  <c r="K56" i="95" s="1"/>
  <c r="G55" i="95"/>
  <c r="J55" i="95" s="1"/>
  <c r="F55" i="95"/>
  <c r="G54" i="95"/>
  <c r="J54" i="95" s="1"/>
  <c r="F54" i="95"/>
  <c r="K54" i="95" s="1"/>
  <c r="G53" i="95"/>
  <c r="J53" i="95" s="1"/>
  <c r="F53" i="95"/>
  <c r="K53" i="95" s="1"/>
  <c r="G52" i="95"/>
  <c r="J52" i="95" s="1"/>
  <c r="F52" i="95"/>
  <c r="K52" i="95" s="1"/>
  <c r="G51" i="95"/>
  <c r="J51" i="95" s="1"/>
  <c r="F51" i="95"/>
  <c r="K51" i="95" s="1"/>
  <c r="G50" i="95"/>
  <c r="J50" i="95" s="1"/>
  <c r="F50" i="95"/>
  <c r="K50" i="95" s="1"/>
  <c r="I49" i="95"/>
  <c r="G49" i="95"/>
  <c r="J49" i="95" s="1"/>
  <c r="E49" i="95"/>
  <c r="D49" i="95"/>
  <c r="F49" i="95" s="1"/>
  <c r="I48" i="95"/>
  <c r="G48" i="95"/>
  <c r="D48" i="95"/>
  <c r="F48" i="95" s="1"/>
  <c r="I47" i="95"/>
  <c r="G47" i="95"/>
  <c r="E47" i="95"/>
  <c r="D47" i="95"/>
  <c r="F47" i="95" s="1"/>
  <c r="I46" i="95"/>
  <c r="G46" i="95"/>
  <c r="J46" i="95" s="1"/>
  <c r="E46" i="95"/>
  <c r="D46" i="95"/>
  <c r="G45" i="95"/>
  <c r="J45" i="95" s="1"/>
  <c r="F45" i="95"/>
  <c r="K45" i="95" s="1"/>
  <c r="I44" i="95"/>
  <c r="G44" i="95"/>
  <c r="E44" i="95"/>
  <c r="D44" i="95"/>
  <c r="F44" i="95" s="1"/>
  <c r="I43" i="95"/>
  <c r="G43" i="95"/>
  <c r="J43" i="95" s="1"/>
  <c r="E43" i="95"/>
  <c r="D43" i="95"/>
  <c r="F43" i="95" s="1"/>
  <c r="K43" i="95" s="1"/>
  <c r="I42" i="95"/>
  <c r="G42" i="95"/>
  <c r="E42" i="95"/>
  <c r="D42" i="95"/>
  <c r="F42" i="95" s="1"/>
  <c r="G41" i="95"/>
  <c r="J41" i="95" s="1"/>
  <c r="E41" i="95"/>
  <c r="D41" i="95"/>
  <c r="F41" i="95" s="1"/>
  <c r="K41" i="95" s="1"/>
  <c r="G40" i="95"/>
  <c r="J40" i="95" s="1"/>
  <c r="F40" i="95"/>
  <c r="I39" i="95"/>
  <c r="G39" i="95"/>
  <c r="J39" i="95" s="1"/>
  <c r="E39" i="95"/>
  <c r="D39" i="95"/>
  <c r="F39" i="95" s="1"/>
  <c r="K39" i="95" s="1"/>
  <c r="I38" i="95"/>
  <c r="G38" i="95"/>
  <c r="F38" i="95"/>
  <c r="I37" i="95"/>
  <c r="G37" i="95"/>
  <c r="J37" i="95" s="1"/>
  <c r="E37" i="95"/>
  <c r="D37" i="95"/>
  <c r="G36" i="95"/>
  <c r="J36" i="95" s="1"/>
  <c r="E36" i="95"/>
  <c r="D36" i="95"/>
  <c r="F36" i="95" s="1"/>
  <c r="I35" i="95"/>
  <c r="G35" i="95"/>
  <c r="E35" i="95"/>
  <c r="D35" i="95"/>
  <c r="F35" i="95" s="1"/>
  <c r="G34" i="95"/>
  <c r="J34" i="95" s="1"/>
  <c r="E34" i="95"/>
  <c r="D34" i="95"/>
  <c r="F34" i="95" s="1"/>
  <c r="K34" i="95" s="1"/>
  <c r="I33" i="95"/>
  <c r="G33" i="95"/>
  <c r="J33" i="95" s="1"/>
  <c r="E33" i="95"/>
  <c r="D33" i="95"/>
  <c r="J32" i="95"/>
  <c r="D32" i="95"/>
  <c r="F32" i="95" s="1"/>
  <c r="K32" i="95" s="1"/>
  <c r="I31" i="95"/>
  <c r="G31" i="95"/>
  <c r="F31" i="95"/>
  <c r="G30" i="95"/>
  <c r="J30" i="95" s="1"/>
  <c r="F30" i="95"/>
  <c r="K30" i="95" s="1"/>
  <c r="G29" i="95"/>
  <c r="J29" i="95" s="1"/>
  <c r="F29" i="95"/>
  <c r="K29" i="95" s="1"/>
  <c r="I28" i="95"/>
  <c r="G28" i="95"/>
  <c r="J28" i="95" s="1"/>
  <c r="F28" i="95"/>
  <c r="I27" i="95"/>
  <c r="G27" i="95"/>
  <c r="J27" i="95" s="1"/>
  <c r="F27" i="95"/>
  <c r="G26" i="95"/>
  <c r="J26" i="95" s="1"/>
  <c r="F26" i="95"/>
  <c r="G25" i="95"/>
  <c r="J25" i="95" s="1"/>
  <c r="D25" i="95"/>
  <c r="F25" i="95" s="1"/>
  <c r="I24" i="95"/>
  <c r="G24" i="95"/>
  <c r="D24" i="95"/>
  <c r="F24" i="95" s="1"/>
  <c r="I23" i="95"/>
  <c r="G23" i="95"/>
  <c r="D23" i="95"/>
  <c r="F23" i="95" s="1"/>
  <c r="G22" i="95"/>
  <c r="J22" i="95" s="1"/>
  <c r="F22" i="95"/>
  <c r="K22" i="95" s="1"/>
  <c r="G21" i="95"/>
  <c r="J21" i="95" s="1"/>
  <c r="F21" i="95"/>
  <c r="G20" i="95"/>
  <c r="J20" i="95" s="1"/>
  <c r="F20" i="95"/>
  <c r="K20" i="95" s="1"/>
  <c r="G19" i="95"/>
  <c r="J19" i="95" s="1"/>
  <c r="F19" i="95"/>
  <c r="I18" i="95"/>
  <c r="G18" i="95"/>
  <c r="J18" i="95" s="1"/>
  <c r="D18" i="95"/>
  <c r="F18" i="95" s="1"/>
  <c r="K18" i="95" s="1"/>
  <c r="I17" i="95"/>
  <c r="G17" i="95"/>
  <c r="J17" i="95" s="1"/>
  <c r="D17" i="95"/>
  <c r="F17" i="95" s="1"/>
  <c r="G16" i="95"/>
  <c r="J16" i="95" s="1"/>
  <c r="D16" i="95"/>
  <c r="F16" i="95" s="1"/>
  <c r="G15" i="95"/>
  <c r="J15" i="95" s="1"/>
  <c r="E15" i="95"/>
  <c r="D15" i="95"/>
  <c r="F15" i="95" s="1"/>
  <c r="K15" i="95" s="1"/>
  <c r="G14" i="95"/>
  <c r="J14" i="95" s="1"/>
  <c r="D14" i="95"/>
  <c r="F14" i="95" s="1"/>
  <c r="G13" i="95"/>
  <c r="J13" i="95" s="1"/>
  <c r="D13" i="95"/>
  <c r="F13" i="95" s="1"/>
  <c r="H12" i="95"/>
  <c r="G12" i="95"/>
  <c r="J12" i="95" s="1"/>
  <c r="D12" i="95"/>
  <c r="F12" i="95" s="1"/>
  <c r="G11" i="95"/>
  <c r="J11" i="95" s="1"/>
  <c r="D11" i="95"/>
  <c r="F11" i="95" s="1"/>
  <c r="K11" i="95" s="1"/>
  <c r="H10" i="95"/>
  <c r="G10" i="95"/>
  <c r="D10" i="95"/>
  <c r="F10" i="95" s="1"/>
  <c r="J9" i="95"/>
  <c r="F9" i="95"/>
  <c r="K9" i="95" s="1"/>
  <c r="H8" i="95"/>
  <c r="G8" i="95"/>
  <c r="J8" i="95" s="1"/>
  <c r="F8" i="95"/>
  <c r="K8" i="95" s="1"/>
  <c r="H7" i="95"/>
  <c r="G7" i="95"/>
  <c r="F7" i="95"/>
  <c r="J6" i="95"/>
  <c r="F6" i="95"/>
  <c r="K6" i="95" s="1"/>
  <c r="I5" i="95"/>
  <c r="G5" i="95"/>
  <c r="G57" i="95" s="1"/>
  <c r="E5" i="95"/>
  <c r="E57" i="95" s="1"/>
  <c r="D5" i="95"/>
  <c r="F5" i="95" s="1"/>
  <c r="J5" i="95" l="1"/>
  <c r="J7" i="95"/>
  <c r="K7" i="95" s="1"/>
  <c r="H57" i="95"/>
  <c r="J10" i="95"/>
  <c r="K19" i="95"/>
  <c r="K21" i="95"/>
  <c r="J23" i="95"/>
  <c r="K23" i="95" s="1"/>
  <c r="J24" i="95"/>
  <c r="K26" i="95"/>
  <c r="K28" i="95"/>
  <c r="J31" i="95"/>
  <c r="K31" i="95" s="1"/>
  <c r="F33" i="95"/>
  <c r="K33" i="95" s="1"/>
  <c r="J35" i="95"/>
  <c r="F37" i="95"/>
  <c r="J38" i="95"/>
  <c r="K38" i="95" s="1"/>
  <c r="J42" i="95"/>
  <c r="K42" i="95" s="1"/>
  <c r="J44" i="95"/>
  <c r="K44" i="95" s="1"/>
  <c r="F46" i="95"/>
  <c r="K46" i="95" s="1"/>
  <c r="J47" i="95"/>
  <c r="J48" i="95"/>
  <c r="K10" i="95"/>
  <c r="K13" i="95"/>
  <c r="K16" i="95"/>
  <c r="K25" i="95"/>
  <c r="K40" i="95"/>
  <c r="K49" i="95"/>
  <c r="K36" i="95"/>
  <c r="K47" i="95"/>
  <c r="K55" i="95"/>
  <c r="K5" i="95"/>
  <c r="F57" i="95"/>
  <c r="K14" i="95"/>
  <c r="K17" i="95"/>
  <c r="J57" i="95"/>
  <c r="K12" i="95"/>
  <c r="K24" i="95"/>
  <c r="K27" i="95"/>
  <c r="K35" i="95"/>
  <c r="K37" i="95"/>
  <c r="K48" i="95"/>
  <c r="D57" i="95"/>
  <c r="I57" i="95"/>
  <c r="G56" i="65"/>
  <c r="J56" i="65" s="1"/>
  <c r="G55" i="65"/>
  <c r="J55" i="65" s="1"/>
  <c r="G54" i="65"/>
  <c r="J54" i="65" s="1"/>
  <c r="G53" i="65"/>
  <c r="J53" i="65" s="1"/>
  <c r="G52" i="65"/>
  <c r="J52" i="65" s="1"/>
  <c r="G51" i="65"/>
  <c r="J51" i="65" s="1"/>
  <c r="G50" i="65"/>
  <c r="J50" i="65" s="1"/>
  <c r="G49" i="65"/>
  <c r="G48" i="65"/>
  <c r="G47" i="65"/>
  <c r="G46" i="65"/>
  <c r="G45" i="65"/>
  <c r="J45" i="65" s="1"/>
  <c r="G44" i="65"/>
  <c r="G43" i="65"/>
  <c r="G42" i="65"/>
  <c r="G41" i="65"/>
  <c r="J41" i="65" s="1"/>
  <c r="G40" i="65"/>
  <c r="G39" i="65"/>
  <c r="G38" i="65"/>
  <c r="G37" i="65"/>
  <c r="G35" i="65"/>
  <c r="G34" i="65"/>
  <c r="J34" i="65" s="1"/>
  <c r="G31" i="65"/>
  <c r="G30" i="65"/>
  <c r="J30" i="65" s="1"/>
  <c r="G29" i="65"/>
  <c r="J29" i="65" s="1"/>
  <c r="G28" i="65"/>
  <c r="G27" i="65"/>
  <c r="G26" i="65"/>
  <c r="J26" i="65" s="1"/>
  <c r="G25" i="65"/>
  <c r="J25" i="65" s="1"/>
  <c r="G24" i="65"/>
  <c r="G23" i="65"/>
  <c r="G22" i="65"/>
  <c r="J22" i="65" s="1"/>
  <c r="G21" i="65"/>
  <c r="J21" i="65" s="1"/>
  <c r="G20" i="65"/>
  <c r="J20" i="65" s="1"/>
  <c r="G19" i="65"/>
  <c r="J19" i="65" s="1"/>
  <c r="G18" i="65"/>
  <c r="G17" i="65"/>
  <c r="G16" i="65"/>
  <c r="J16" i="65" s="1"/>
  <c r="G14" i="65"/>
  <c r="J14" i="65" s="1"/>
  <c r="G15" i="65"/>
  <c r="J15" i="65" s="1"/>
  <c r="J6" i="65"/>
  <c r="J9" i="65"/>
  <c r="J32" i="65"/>
  <c r="J40" i="65"/>
  <c r="D12" i="86"/>
  <c r="G12" i="86" s="1"/>
  <c r="F27" i="86"/>
  <c r="G8" i="86"/>
  <c r="H8" i="86" s="1"/>
  <c r="I8" i="86" s="1"/>
  <c r="G21" i="86"/>
  <c r="H21" i="86" s="1"/>
  <c r="I21" i="86" s="1"/>
  <c r="G23" i="86"/>
  <c r="H23" i="86" s="1"/>
  <c r="I23" i="86" s="1"/>
  <c r="G24" i="86"/>
  <c r="H24" i="86" s="1"/>
  <c r="I24" i="86" s="1"/>
  <c r="G25" i="86"/>
  <c r="H25" i="86" s="1"/>
  <c r="I25" i="86" s="1"/>
  <c r="G26" i="86"/>
  <c r="H26" i="86" s="1"/>
  <c r="I26" i="86" s="1"/>
  <c r="D17" i="86"/>
  <c r="D18" i="86"/>
  <c r="D25" i="65"/>
  <c r="E7" i="86"/>
  <c r="D5" i="86"/>
  <c r="D11" i="86"/>
  <c r="D10" i="86"/>
  <c r="D9" i="86"/>
  <c r="D7" i="86"/>
  <c r="D6" i="86"/>
  <c r="G6" i="86" l="1"/>
  <c r="H6" i="86" s="1"/>
  <c r="I6" i="86"/>
  <c r="G7" i="86"/>
  <c r="G9" i="86"/>
  <c r="H9" i="86" s="1"/>
  <c r="I9" i="86"/>
  <c r="G10" i="86"/>
  <c r="H10" i="86" s="1"/>
  <c r="I10" i="86"/>
  <c r="G11" i="86"/>
  <c r="H11" i="86" s="1"/>
  <c r="I11" i="86"/>
  <c r="G5" i="86"/>
  <c r="H5" i="86" s="1"/>
  <c r="I5" i="86"/>
  <c r="H7" i="86"/>
  <c r="I7" i="86" s="1"/>
  <c r="E27" i="86"/>
  <c r="G18" i="86"/>
  <c r="H18" i="86" s="1"/>
  <c r="I18" i="86"/>
  <c r="G17" i="86"/>
  <c r="H17" i="86" s="1"/>
  <c r="I17" i="86" s="1"/>
  <c r="K57" i="95"/>
  <c r="H12" i="86"/>
  <c r="I12" i="86" s="1"/>
  <c r="F20" i="65"/>
  <c r="K20" i="65" s="1"/>
  <c r="F21" i="65"/>
  <c r="K21" i="65" s="1"/>
  <c r="F22" i="65"/>
  <c r="K22" i="65" s="1"/>
  <c r="F19" i="65"/>
  <c r="K19" i="65" s="1"/>
  <c r="D40" i="92" l="1"/>
  <c r="D24" i="94" l="1"/>
  <c r="F106" i="94"/>
  <c r="F122" i="92" l="1"/>
  <c r="F6" i="65" l="1"/>
  <c r="F7" i="65"/>
  <c r="F8" i="65"/>
  <c r="F9" i="65"/>
  <c r="F25" i="65"/>
  <c r="K25" i="65" s="1"/>
  <c r="F26" i="65"/>
  <c r="K26" i="65" s="1"/>
  <c r="F27" i="65"/>
  <c r="F28" i="65"/>
  <c r="F29" i="65"/>
  <c r="K29" i="65" s="1"/>
  <c r="F30" i="65"/>
  <c r="K30" i="65" s="1"/>
  <c r="F31" i="65"/>
  <c r="F38" i="65"/>
  <c r="F40" i="65"/>
  <c r="K40" i="65" s="1"/>
  <c r="F45" i="65"/>
  <c r="K45" i="65" s="1"/>
  <c r="F50" i="65"/>
  <c r="K50" i="65" s="1"/>
  <c r="F51" i="65"/>
  <c r="K51" i="65" s="1"/>
  <c r="F52" i="65"/>
  <c r="K52" i="65" s="1"/>
  <c r="F53" i="65"/>
  <c r="K53" i="65" s="1"/>
  <c r="F54" i="65"/>
  <c r="K54" i="65" s="1"/>
  <c r="F55" i="65"/>
  <c r="K55" i="65" s="1"/>
  <c r="F56" i="65"/>
  <c r="K56" i="65" s="1"/>
  <c r="D72" i="87" l="1"/>
  <c r="D9" i="90"/>
  <c r="E9" i="90" s="1"/>
  <c r="E13" i="90"/>
  <c r="E15" i="90"/>
  <c r="E16" i="90"/>
  <c r="E17" i="90"/>
  <c r="G100" i="90"/>
  <c r="D14" i="90"/>
  <c r="E14" i="90" s="1"/>
  <c r="D12" i="90"/>
  <c r="E12" i="90" s="1"/>
  <c r="D11" i="90"/>
  <c r="E11" i="90" s="1"/>
  <c r="D10" i="90"/>
  <c r="E10" i="90" s="1"/>
  <c r="D8" i="90"/>
  <c r="E8" i="90" s="1"/>
  <c r="D7" i="90"/>
  <c r="E7" i="90" s="1"/>
  <c r="D6" i="90"/>
  <c r="E6" i="90" s="1"/>
  <c r="D5" i="90"/>
  <c r="E5" i="90" s="1"/>
  <c r="E18" i="90" s="1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5" i="89"/>
  <c r="G143" i="89"/>
  <c r="E61" i="89" l="1"/>
  <c r="D18" i="90"/>
  <c r="D19" i="88" l="1"/>
  <c r="E101" i="88" l="1"/>
  <c r="F154" i="87"/>
  <c r="I44" i="65" l="1"/>
  <c r="J44" i="65" s="1"/>
  <c r="I43" i="65"/>
  <c r="J43" i="65" s="1"/>
  <c r="I42" i="65"/>
  <c r="J42" i="65" s="1"/>
  <c r="E44" i="65"/>
  <c r="E43" i="65"/>
  <c r="E42" i="65"/>
  <c r="D22" i="86"/>
  <c r="G22" i="86" l="1"/>
  <c r="H22" i="86" s="1"/>
  <c r="I22" i="86" s="1"/>
  <c r="D20" i="86"/>
  <c r="D19" i="86"/>
  <c r="D16" i="86"/>
  <c r="D15" i="86"/>
  <c r="D14" i="86"/>
  <c r="D13" i="86"/>
  <c r="G13" i="86" l="1"/>
  <c r="D27" i="86"/>
  <c r="G14" i="86"/>
  <c r="H14" i="86" s="1"/>
  <c r="I14" i="86"/>
  <c r="G15" i="86"/>
  <c r="H15" i="86" s="1"/>
  <c r="I15" i="86"/>
  <c r="G16" i="86"/>
  <c r="H16" i="86" s="1"/>
  <c r="I16" i="86"/>
  <c r="G19" i="86"/>
  <c r="H19" i="86" s="1"/>
  <c r="I19" i="86"/>
  <c r="G20" i="86"/>
  <c r="H20" i="86" s="1"/>
  <c r="I20" i="86"/>
  <c r="G36" i="65"/>
  <c r="J36" i="65" s="1"/>
  <c r="I49" i="65"/>
  <c r="J49" i="65" s="1"/>
  <c r="E49" i="65"/>
  <c r="D49" i="65"/>
  <c r="K109" i="86"/>
  <c r="I46" i="65"/>
  <c r="J46" i="65" s="1"/>
  <c r="I47" i="65"/>
  <c r="J47" i="65" s="1"/>
  <c r="E47" i="65"/>
  <c r="D47" i="65"/>
  <c r="F47" i="65" s="1"/>
  <c r="E46" i="65"/>
  <c r="D46" i="65"/>
  <c r="H13" i="86" l="1"/>
  <c r="G27" i="86"/>
  <c r="F46" i="65"/>
  <c r="K46" i="65" s="1"/>
  <c r="F49" i="65"/>
  <c r="K49" i="65" s="1"/>
  <c r="G33" i="65"/>
  <c r="I48" i="65"/>
  <c r="J48" i="65" s="1"/>
  <c r="D48" i="65"/>
  <c r="F48" i="65" s="1"/>
  <c r="K47" i="65"/>
  <c r="D44" i="65"/>
  <c r="F44" i="65" s="1"/>
  <c r="D43" i="65"/>
  <c r="F43" i="65" s="1"/>
  <c r="D42" i="65"/>
  <c r="F42" i="65" s="1"/>
  <c r="E41" i="65"/>
  <c r="D41" i="65"/>
  <c r="I39" i="65"/>
  <c r="J39" i="65" s="1"/>
  <c r="E39" i="65"/>
  <c r="D39" i="65"/>
  <c r="I37" i="65"/>
  <c r="J37" i="65" s="1"/>
  <c r="H27" i="86" l="1"/>
  <c r="I13" i="86"/>
  <c r="F41" i="65"/>
  <c r="K48" i="65"/>
  <c r="F39" i="65"/>
  <c r="E37" i="65" l="1"/>
  <c r="D37" i="65"/>
  <c r="F37" i="65" l="1"/>
  <c r="I27" i="86"/>
  <c r="E34" i="65" l="1"/>
  <c r="D34" i="65"/>
  <c r="I33" i="65"/>
  <c r="J33" i="65" s="1"/>
  <c r="E33" i="65"/>
  <c r="D33" i="65"/>
  <c r="F34" i="65" l="1"/>
  <c r="F33" i="65"/>
  <c r="E36" i="65"/>
  <c r="D36" i="65"/>
  <c r="I35" i="65"/>
  <c r="J35" i="65" s="1"/>
  <c r="E35" i="65"/>
  <c r="D35" i="65"/>
  <c r="F36" i="65" l="1"/>
  <c r="F35" i="65"/>
  <c r="K44" i="65"/>
  <c r="K43" i="65"/>
  <c r="K42" i="65"/>
  <c r="K41" i="65"/>
  <c r="I38" i="65" l="1"/>
  <c r="K37" i="65"/>
  <c r="K36" i="65"/>
  <c r="J38" i="65" l="1"/>
  <c r="K38" i="65" s="1"/>
  <c r="K35" i="65"/>
  <c r="K33" i="65"/>
  <c r="K34" i="65"/>
  <c r="K39" i="65"/>
  <c r="D32" i="65"/>
  <c r="F32" i="65" s="1"/>
  <c r="K32" i="65" l="1"/>
  <c r="I31" i="65"/>
  <c r="J31" i="65" l="1"/>
  <c r="K31" i="65" s="1"/>
  <c r="E147" i="84"/>
  <c r="D67" i="83" l="1"/>
  <c r="F152" i="83" l="1"/>
  <c r="I24" i="65" l="1"/>
  <c r="J24" i="65" s="1"/>
  <c r="D24" i="65" l="1"/>
  <c r="F24" i="65" s="1"/>
  <c r="D60" i="82" l="1"/>
  <c r="D73" i="82" s="1"/>
  <c r="F158" i="82" l="1"/>
  <c r="K24" i="65"/>
  <c r="I28" i="65"/>
  <c r="I27" i="65"/>
  <c r="I23" i="65"/>
  <c r="J23" i="65" s="1"/>
  <c r="J27" i="65" l="1"/>
  <c r="K27" i="65" s="1"/>
  <c r="J28" i="65"/>
  <c r="K28" i="65" s="1"/>
  <c r="D23" i="65"/>
  <c r="F23" i="65" s="1"/>
  <c r="K23" i="65" s="1"/>
  <c r="I17" i="65" l="1"/>
  <c r="J17" i="65" s="1"/>
  <c r="I18" i="65"/>
  <c r="J18" i="65" s="1"/>
  <c r="D18" i="65" l="1"/>
  <c r="F18" i="65" s="1"/>
  <c r="K18" i="65" l="1"/>
  <c r="D17" i="65" l="1"/>
  <c r="F17" i="65" s="1"/>
  <c r="K17" i="65" s="1"/>
  <c r="D62" i="79" l="1"/>
  <c r="M153" i="80" l="1"/>
  <c r="F65" i="80"/>
  <c r="K65" i="80" s="1"/>
  <c r="F64" i="80"/>
  <c r="K64" i="80" s="1"/>
  <c r="D63" i="80"/>
  <c r="F63" i="80" s="1"/>
  <c r="K63" i="80" s="1"/>
  <c r="F62" i="80"/>
  <c r="K62" i="80" s="1"/>
  <c r="F61" i="80"/>
  <c r="K61" i="80" s="1"/>
  <c r="F60" i="80"/>
  <c r="K60" i="80" s="1"/>
  <c r="D59" i="80"/>
  <c r="F59" i="80" s="1"/>
  <c r="K59" i="80" s="1"/>
  <c r="F58" i="80"/>
  <c r="K58" i="80" s="1"/>
  <c r="F52" i="80"/>
  <c r="K52" i="80" s="1"/>
  <c r="F51" i="80"/>
  <c r="K51" i="80" s="1"/>
  <c r="J50" i="80"/>
  <c r="F50" i="80"/>
  <c r="K50" i="80" s="1"/>
  <c r="J49" i="80"/>
  <c r="F49" i="80"/>
  <c r="K49" i="80" s="1"/>
  <c r="J48" i="80"/>
  <c r="F48" i="80"/>
  <c r="K48" i="80" s="1"/>
  <c r="J47" i="80"/>
  <c r="F47" i="80"/>
  <c r="K47" i="80" s="1"/>
  <c r="J46" i="80"/>
  <c r="F46" i="80"/>
  <c r="K46" i="80" s="1"/>
  <c r="J45" i="80"/>
  <c r="F45" i="80"/>
  <c r="H44" i="80"/>
  <c r="J44" i="80" s="1"/>
  <c r="D44" i="80"/>
  <c r="F44" i="80" s="1"/>
  <c r="I43" i="80"/>
  <c r="J43" i="80" s="1"/>
  <c r="E43" i="80"/>
  <c r="D43" i="80"/>
  <c r="F43" i="80" s="1"/>
  <c r="K43" i="80" s="1"/>
  <c r="J42" i="80"/>
  <c r="F42" i="80"/>
  <c r="J41" i="80"/>
  <c r="F41" i="80"/>
  <c r="K41" i="80" s="1"/>
  <c r="J40" i="80"/>
  <c r="F40" i="80"/>
  <c r="K40" i="80" s="1"/>
  <c r="J39" i="80"/>
  <c r="F39" i="80"/>
  <c r="K39" i="80" s="1"/>
  <c r="J38" i="80"/>
  <c r="F38" i="80"/>
  <c r="K38" i="80" s="1"/>
  <c r="J37" i="80"/>
  <c r="D37" i="80"/>
  <c r="F37" i="80" s="1"/>
  <c r="K37" i="80" s="1"/>
  <c r="I36" i="80"/>
  <c r="J36" i="80" s="1"/>
  <c r="F36" i="80"/>
  <c r="I35" i="80"/>
  <c r="J35" i="80" s="1"/>
  <c r="D35" i="80"/>
  <c r="F35" i="80" s="1"/>
  <c r="I34" i="80"/>
  <c r="J34" i="80" s="1"/>
  <c r="D34" i="80"/>
  <c r="F34" i="80" s="1"/>
  <c r="K34" i="80" s="1"/>
  <c r="D33" i="80"/>
  <c r="F33" i="80" s="1"/>
  <c r="I32" i="80"/>
  <c r="J32" i="80" s="1"/>
  <c r="D32" i="80"/>
  <c r="F32" i="80" s="1"/>
  <c r="K32" i="80" s="1"/>
  <c r="I31" i="80"/>
  <c r="J31" i="80" s="1"/>
  <c r="D31" i="80"/>
  <c r="F31" i="80" s="1"/>
  <c r="K31" i="80" s="1"/>
  <c r="I30" i="80"/>
  <c r="D30" i="80"/>
  <c r="F30" i="80" s="1"/>
  <c r="J29" i="80"/>
  <c r="F29" i="80"/>
  <c r="K29" i="80" s="1"/>
  <c r="J28" i="80"/>
  <c r="F28" i="80"/>
  <c r="J27" i="80"/>
  <c r="F27" i="80"/>
  <c r="K27" i="80" s="1"/>
  <c r="J26" i="80"/>
  <c r="F26" i="80"/>
  <c r="K26" i="80" s="1"/>
  <c r="J25" i="80"/>
  <c r="F25" i="80"/>
  <c r="K25" i="80" s="1"/>
  <c r="J24" i="80"/>
  <c r="E24" i="80"/>
  <c r="D24" i="80"/>
  <c r="F24" i="80" s="1"/>
  <c r="K24" i="80" s="1"/>
  <c r="J23" i="80"/>
  <c r="E23" i="80"/>
  <c r="F23" i="80" s="1"/>
  <c r="K23" i="80" s="1"/>
  <c r="J22" i="80"/>
  <c r="E22" i="80"/>
  <c r="D22" i="80"/>
  <c r="F22" i="80" s="1"/>
  <c r="K22" i="80" s="1"/>
  <c r="J21" i="80"/>
  <c r="E21" i="80"/>
  <c r="D21" i="80"/>
  <c r="F21" i="80" s="1"/>
  <c r="K21" i="80" s="1"/>
  <c r="J20" i="80"/>
  <c r="E20" i="80"/>
  <c r="D20" i="80"/>
  <c r="F20" i="80" s="1"/>
  <c r="K20" i="80" s="1"/>
  <c r="J19" i="80"/>
  <c r="E19" i="80"/>
  <c r="D19" i="80"/>
  <c r="F19" i="80" s="1"/>
  <c r="K19" i="80" s="1"/>
  <c r="J18" i="80"/>
  <c r="D18" i="80"/>
  <c r="F18" i="80" s="1"/>
  <c r="K18" i="80" s="1"/>
  <c r="G17" i="80"/>
  <c r="J17" i="80" s="1"/>
  <c r="D17" i="80"/>
  <c r="F17" i="80" s="1"/>
  <c r="K17" i="80" s="1"/>
  <c r="J16" i="80"/>
  <c r="F16" i="80"/>
  <c r="J15" i="80"/>
  <c r="E15" i="80"/>
  <c r="D15" i="80"/>
  <c r="F15" i="80" s="1"/>
  <c r="K15" i="80" s="1"/>
  <c r="J14" i="80"/>
  <c r="D14" i="80"/>
  <c r="F14" i="80" s="1"/>
  <c r="K14" i="80" s="1"/>
  <c r="H13" i="80"/>
  <c r="G13" i="80"/>
  <c r="J13" i="80" s="1"/>
  <c r="D13" i="80"/>
  <c r="F13" i="80" s="1"/>
  <c r="K13" i="80" s="1"/>
  <c r="G12" i="80"/>
  <c r="J12" i="80" s="1"/>
  <c r="D12" i="80"/>
  <c r="F12" i="80" s="1"/>
  <c r="K12" i="80" s="1"/>
  <c r="H11" i="80"/>
  <c r="G11" i="80"/>
  <c r="D11" i="80"/>
  <c r="F11" i="80" s="1"/>
  <c r="J10" i="80"/>
  <c r="F10" i="80"/>
  <c r="K10" i="80" s="1"/>
  <c r="H9" i="80"/>
  <c r="G9" i="80"/>
  <c r="J9" i="80" s="1"/>
  <c r="F9" i="80"/>
  <c r="H8" i="80"/>
  <c r="G8" i="80"/>
  <c r="F8" i="80"/>
  <c r="H7" i="80"/>
  <c r="F7" i="80"/>
  <c r="I6" i="80"/>
  <c r="G6" i="80"/>
  <c r="G66" i="80" s="1"/>
  <c r="E6" i="80"/>
  <c r="D6" i="80"/>
  <c r="F6" i="80" s="1"/>
  <c r="J5" i="80"/>
  <c r="E5" i="80"/>
  <c r="D5" i="80"/>
  <c r="D5" i="65"/>
  <c r="E5" i="65"/>
  <c r="G5" i="65"/>
  <c r="I5" i="65"/>
  <c r="K6" i="65"/>
  <c r="G7" i="65"/>
  <c r="H7" i="65"/>
  <c r="G8" i="65"/>
  <c r="H8" i="65"/>
  <c r="K9" i="65"/>
  <c r="D10" i="65"/>
  <c r="F10" i="65" s="1"/>
  <c r="G10" i="65"/>
  <c r="H10" i="65"/>
  <c r="D11" i="65"/>
  <c r="F11" i="65" s="1"/>
  <c r="G11" i="65"/>
  <c r="J11" i="65" s="1"/>
  <c r="D12" i="65"/>
  <c r="F12" i="65" s="1"/>
  <c r="G12" i="65"/>
  <c r="H12" i="65"/>
  <c r="D13" i="65"/>
  <c r="F13" i="65" s="1"/>
  <c r="G13" i="65"/>
  <c r="J13" i="65" s="1"/>
  <c r="D14" i="65"/>
  <c r="F14" i="65" s="1"/>
  <c r="K14" i="65" s="1"/>
  <c r="D15" i="65"/>
  <c r="E15" i="65"/>
  <c r="D16" i="65"/>
  <c r="F16" i="65" s="1"/>
  <c r="F149" i="79"/>
  <c r="J8" i="65" l="1"/>
  <c r="H57" i="65"/>
  <c r="E66" i="80"/>
  <c r="H66" i="80"/>
  <c r="J7" i="80"/>
  <c r="K7" i="80" s="1"/>
  <c r="J8" i="80"/>
  <c r="K8" i="80" s="1"/>
  <c r="K9" i="80"/>
  <c r="J11" i="80"/>
  <c r="K11" i="80" s="1"/>
  <c r="K16" i="80"/>
  <c r="K28" i="80"/>
  <c r="I33" i="80"/>
  <c r="J33" i="80" s="1"/>
  <c r="J30" i="80"/>
  <c r="K30" i="80" s="1"/>
  <c r="K33" i="80"/>
  <c r="K36" i="80"/>
  <c r="K42" i="80"/>
  <c r="K45" i="80"/>
  <c r="J12" i="65"/>
  <c r="J7" i="65"/>
  <c r="J10" i="65"/>
  <c r="I57" i="65"/>
  <c r="G57" i="65"/>
  <c r="J5" i="65"/>
  <c r="J57" i="65" s="1"/>
  <c r="E57" i="65"/>
  <c r="D57" i="65"/>
  <c r="K13" i="65"/>
  <c r="F15" i="65"/>
  <c r="K15" i="65" s="1"/>
  <c r="K11" i="65"/>
  <c r="F5" i="65"/>
  <c r="D66" i="80"/>
  <c r="K16" i="65"/>
  <c r="K7" i="65"/>
  <c r="K10" i="65"/>
  <c r="K12" i="65"/>
  <c r="K8" i="65"/>
  <c r="K35" i="80"/>
  <c r="K44" i="80"/>
  <c r="F5" i="80"/>
  <c r="J6" i="80"/>
  <c r="J66" i="80" s="1"/>
  <c r="I66" i="80"/>
  <c r="F57" i="65" l="1"/>
  <c r="K5" i="65"/>
  <c r="K57" i="65" s="1"/>
  <c r="K5" i="80"/>
  <c r="F66" i="80"/>
  <c r="K6" i="80"/>
  <c r="K66" i="80" l="1"/>
  <c r="G52" i="77"/>
  <c r="D33" i="78" l="1"/>
  <c r="E27" i="78"/>
  <c r="E23" i="78"/>
  <c r="E22" i="78"/>
  <c r="E21" i="78"/>
  <c r="E20" i="78"/>
  <c r="E19" i="78"/>
  <c r="E18" i="78"/>
  <c r="E17" i="78"/>
  <c r="E16" i="78"/>
  <c r="E14" i="78"/>
  <c r="E13" i="78"/>
  <c r="E12" i="78"/>
  <c r="E11" i="78"/>
  <c r="E10" i="78"/>
  <c r="E9" i="78"/>
  <c r="E8" i="78"/>
  <c r="E7" i="78"/>
  <c r="E6" i="78"/>
  <c r="E5" i="78"/>
  <c r="E33" i="78" s="1"/>
  <c r="I133" i="77" l="1"/>
  <c r="E48" i="77"/>
  <c r="D48" i="77"/>
  <c r="F47" i="77"/>
  <c r="G47" i="77" s="1"/>
  <c r="F46" i="77"/>
  <c r="G46" i="77" s="1"/>
  <c r="F45" i="77"/>
  <c r="G45" i="77" s="1"/>
  <c r="F44" i="77"/>
  <c r="G44" i="77" s="1"/>
  <c r="F43" i="77"/>
  <c r="G43" i="77" s="1"/>
  <c r="D42" i="77"/>
  <c r="F42" i="77" s="1"/>
  <c r="G42" i="77" s="1"/>
  <c r="F41" i="77"/>
  <c r="G41" i="77" s="1"/>
  <c r="D40" i="77"/>
  <c r="F40" i="77" s="1"/>
  <c r="G40" i="77" s="1"/>
  <c r="D39" i="77"/>
  <c r="F39" i="77" s="1"/>
  <c r="G39" i="77" s="1"/>
  <c r="D38" i="77"/>
  <c r="F38" i="77" s="1"/>
  <c r="G38" i="77" s="1"/>
  <c r="D37" i="77"/>
  <c r="F37" i="77" s="1"/>
  <c r="G37" i="77" s="1"/>
  <c r="D36" i="77"/>
  <c r="F36" i="77" s="1"/>
  <c r="G36" i="77" s="1"/>
  <c r="D35" i="77"/>
  <c r="F35" i="77" s="1"/>
  <c r="G35" i="77" s="1"/>
  <c r="F34" i="77"/>
  <c r="G34" i="77" s="1"/>
  <c r="F33" i="77"/>
  <c r="G33" i="77" s="1"/>
  <c r="F32" i="77"/>
  <c r="G32" i="77" s="1"/>
  <c r="F31" i="77"/>
  <c r="G31" i="77" s="1"/>
  <c r="F30" i="77"/>
  <c r="G30" i="77" s="1"/>
  <c r="F29" i="77"/>
  <c r="G29" i="77" s="1"/>
  <c r="F28" i="77"/>
  <c r="G28" i="77" s="1"/>
  <c r="D27" i="77"/>
  <c r="F27" i="77" s="1"/>
  <c r="G27" i="77" s="1"/>
  <c r="E26" i="77"/>
  <c r="D26" i="77"/>
  <c r="E25" i="77"/>
  <c r="F25" i="77" s="1"/>
  <c r="G25" i="77" s="1"/>
  <c r="F24" i="77"/>
  <c r="G24" i="77" s="1"/>
  <c r="E23" i="77"/>
  <c r="D23" i="77"/>
  <c r="F23" i="77" s="1"/>
  <c r="G23" i="77" s="1"/>
  <c r="E22" i="77"/>
  <c r="D22" i="77"/>
  <c r="E21" i="77"/>
  <c r="D21" i="77"/>
  <c r="E20" i="77"/>
  <c r="D20" i="77"/>
  <c r="D19" i="77"/>
  <c r="F19" i="77" s="1"/>
  <c r="G19" i="77" s="1"/>
  <c r="D18" i="77"/>
  <c r="F18" i="77" s="1"/>
  <c r="G18" i="77" s="1"/>
  <c r="F17" i="77"/>
  <c r="G17" i="77" s="1"/>
  <c r="E16" i="77"/>
  <c r="D16" i="77"/>
  <c r="F16" i="77" s="1"/>
  <c r="G16" i="77" s="1"/>
  <c r="D15" i="77"/>
  <c r="F15" i="77" s="1"/>
  <c r="G15" i="77" s="1"/>
  <c r="D14" i="77"/>
  <c r="F14" i="77" s="1"/>
  <c r="G14" i="77" s="1"/>
  <c r="D13" i="77"/>
  <c r="F13" i="77" s="1"/>
  <c r="G13" i="77" s="1"/>
  <c r="D12" i="77"/>
  <c r="F12" i="77" s="1"/>
  <c r="G12" i="77" s="1"/>
  <c r="D11" i="77"/>
  <c r="F11" i="77" s="1"/>
  <c r="G11" i="77" s="1"/>
  <c r="F10" i="77"/>
  <c r="G10" i="77" s="1"/>
  <c r="F9" i="77"/>
  <c r="G9" i="77" s="1"/>
  <c r="F8" i="77"/>
  <c r="G8" i="77" s="1"/>
  <c r="F7" i="77"/>
  <c r="G7" i="77" s="1"/>
  <c r="E6" i="77"/>
  <c r="D6" i="77"/>
  <c r="E5" i="77"/>
  <c r="D5" i="77"/>
  <c r="F21" i="77" l="1"/>
  <c r="G21" i="77" s="1"/>
  <c r="F6" i="77"/>
  <c r="G6" i="77" s="1"/>
  <c r="F26" i="77"/>
  <c r="G26" i="77" s="1"/>
  <c r="D49" i="77"/>
  <c r="E49" i="77"/>
  <c r="F22" i="77"/>
  <c r="G22" i="77" s="1"/>
  <c r="F20" i="77"/>
  <c r="G20" i="77" s="1"/>
  <c r="F48" i="77"/>
  <c r="G48" i="77" s="1"/>
  <c r="F5" i="77"/>
  <c r="G5" i="77" s="1"/>
  <c r="F49" i="77" l="1"/>
  <c r="G49" i="77"/>
  <c r="D27" i="75" l="1"/>
  <c r="E37" i="73"/>
  <c r="D33" i="73"/>
  <c r="D32" i="73"/>
  <c r="D31" i="73"/>
  <c r="D30" i="73"/>
  <c r="D29" i="73"/>
  <c r="E29" i="73" s="1"/>
  <c r="D28" i="73"/>
  <c r="E28" i="73" s="1"/>
  <c r="D27" i="73"/>
  <c r="E27" i="73" s="1"/>
  <c r="D26" i="73"/>
  <c r="E26" i="73" s="1"/>
  <c r="E25" i="73"/>
  <c r="E24" i="73"/>
  <c r="E23" i="73"/>
  <c r="E21" i="73"/>
  <c r="E20" i="73"/>
  <c r="E19" i="73"/>
  <c r="E18" i="73"/>
  <c r="E17" i="73"/>
  <c r="E16" i="73"/>
  <c r="D15" i="73"/>
  <c r="E14" i="73"/>
  <c r="E13" i="73"/>
  <c r="E12" i="73"/>
  <c r="E11" i="73"/>
  <c r="E10" i="73"/>
  <c r="E9" i="73"/>
  <c r="E8" i="73"/>
  <c r="E7" i="73"/>
  <c r="E6" i="73"/>
  <c r="D5" i="73"/>
  <c r="E37" i="72"/>
  <c r="E29" i="72"/>
  <c r="E28" i="72"/>
  <c r="E27" i="72"/>
  <c r="E26" i="72"/>
  <c r="E25" i="72"/>
  <c r="E24" i="72"/>
  <c r="E23" i="72"/>
  <c r="E21" i="72"/>
  <c r="E20" i="72"/>
  <c r="E19" i="72"/>
  <c r="E18" i="72"/>
  <c r="E17" i="72"/>
  <c r="D16" i="72"/>
  <c r="E16" i="72" s="1"/>
  <c r="D15" i="72"/>
  <c r="D51" i="72" s="1"/>
  <c r="E14" i="72"/>
  <c r="E13" i="72"/>
  <c r="E12" i="72"/>
  <c r="E11" i="72"/>
  <c r="E10" i="72"/>
  <c r="E9" i="72"/>
  <c r="E8" i="72"/>
  <c r="E7" i="72"/>
  <c r="E6" i="72"/>
  <c r="E5" i="72"/>
  <c r="E51" i="72" s="1"/>
  <c r="E5" i="73" l="1"/>
  <c r="E51" i="73" s="1"/>
  <c r="D51" i="73"/>
  <c r="C9" i="64"/>
  <c r="D9" i="64" s="1"/>
  <c r="C8" i="64"/>
  <c r="B8" i="64"/>
  <c r="E4" i="64"/>
  <c r="F4" i="64" s="1"/>
  <c r="E5" i="64"/>
  <c r="F5" i="64" s="1"/>
  <c r="E3" i="64"/>
  <c r="F3" i="64" s="1"/>
  <c r="D8" i="64" l="1"/>
  <c r="D10" i="64" s="1"/>
  <c r="M139" i="65" l="1"/>
  <c r="K19" i="63" l="1"/>
  <c r="K62" i="63" l="1"/>
  <c r="K61" i="63"/>
  <c r="K30" i="63" l="1"/>
  <c r="K63" i="63" s="1"/>
  <c r="D56" i="63"/>
  <c r="E55" i="63"/>
  <c r="D55" i="63"/>
  <c r="F54" i="63"/>
  <c r="F53" i="63"/>
  <c r="F52" i="63"/>
  <c r="F51" i="63"/>
  <c r="F50" i="63"/>
  <c r="F49" i="63"/>
  <c r="F47" i="63"/>
  <c r="D47" i="63"/>
  <c r="E46" i="63"/>
  <c r="F46" i="63" s="1"/>
  <c r="E41" i="63"/>
  <c r="D41" i="63"/>
  <c r="E40" i="63"/>
  <c r="D40" i="63"/>
  <c r="D39" i="63"/>
  <c r="F39" i="63" s="1"/>
  <c r="D38" i="63"/>
  <c r="F38" i="63" s="1"/>
  <c r="D37" i="63"/>
  <c r="F37" i="63" s="1"/>
  <c r="D36" i="63"/>
  <c r="F36" i="63" s="1"/>
  <c r="D35" i="63"/>
  <c r="F35" i="63" s="1"/>
  <c r="E34" i="63"/>
  <c r="D34" i="63"/>
  <c r="I33" i="63"/>
  <c r="J33" i="63" s="1"/>
  <c r="E33" i="63"/>
  <c r="D33" i="63"/>
  <c r="J32" i="63"/>
  <c r="J31" i="63"/>
  <c r="I30" i="63"/>
  <c r="J30" i="63" s="1"/>
  <c r="E30" i="63"/>
  <c r="D30" i="63"/>
  <c r="J29" i="63"/>
  <c r="D29" i="63"/>
  <c r="J28" i="63"/>
  <c r="D28" i="63"/>
  <c r="F28" i="63" s="1"/>
  <c r="J27" i="63"/>
  <c r="E27" i="63"/>
  <c r="D27" i="63"/>
  <c r="J26" i="63"/>
  <c r="E26" i="63"/>
  <c r="D26" i="63"/>
  <c r="J25" i="63"/>
  <c r="E25" i="63"/>
  <c r="D25" i="63"/>
  <c r="H24" i="63"/>
  <c r="G24" i="63"/>
  <c r="J24" i="63" s="1"/>
  <c r="E24" i="63"/>
  <c r="D24" i="63"/>
  <c r="J23" i="63"/>
  <c r="D23" i="63"/>
  <c r="F23" i="63" s="1"/>
  <c r="J22" i="63"/>
  <c r="D22" i="63"/>
  <c r="F22" i="63" s="1"/>
  <c r="J21" i="63"/>
  <c r="D21" i="63"/>
  <c r="F21" i="63" s="1"/>
  <c r="G20" i="63"/>
  <c r="J20" i="63" s="1"/>
  <c r="D20" i="63"/>
  <c r="F20" i="63" s="1"/>
  <c r="G18" i="63"/>
  <c r="J18" i="63" s="1"/>
  <c r="D18" i="63"/>
  <c r="F18" i="63" s="1"/>
  <c r="G17" i="63"/>
  <c r="J17" i="63" s="1"/>
  <c r="D17" i="63"/>
  <c r="F17" i="63" s="1"/>
  <c r="H16" i="63"/>
  <c r="G16" i="63"/>
  <c r="D16" i="63"/>
  <c r="F16" i="63" s="1"/>
  <c r="H15" i="63"/>
  <c r="G15" i="63"/>
  <c r="D15" i="63"/>
  <c r="F15" i="63" s="1"/>
  <c r="H14" i="63"/>
  <c r="G14" i="63"/>
  <c r="D14" i="63"/>
  <c r="F14" i="63" s="1"/>
  <c r="J13" i="63"/>
  <c r="F13" i="63"/>
  <c r="H12" i="63"/>
  <c r="G12" i="63"/>
  <c r="D12" i="63"/>
  <c r="F12" i="63" s="1"/>
  <c r="H11" i="63"/>
  <c r="G11" i="63"/>
  <c r="F11" i="63"/>
  <c r="H10" i="63"/>
  <c r="G10" i="63"/>
  <c r="F10" i="63"/>
  <c r="H9" i="63"/>
  <c r="J9" i="63" s="1"/>
  <c r="F9" i="63"/>
  <c r="G8" i="63"/>
  <c r="E8" i="63"/>
  <c r="F8" i="63" s="1"/>
  <c r="J16" i="63" l="1"/>
  <c r="F34" i="63"/>
  <c r="F24" i="63"/>
  <c r="J11" i="63"/>
  <c r="F40" i="63"/>
  <c r="F41" i="63"/>
  <c r="F55" i="63"/>
  <c r="G63" i="63"/>
  <c r="F26" i="63"/>
  <c r="F30" i="63"/>
  <c r="E63" i="63"/>
  <c r="J15" i="63"/>
  <c r="F25" i="63"/>
  <c r="F27" i="63"/>
  <c r="J10" i="63"/>
  <c r="J12" i="63"/>
  <c r="H63" i="63"/>
  <c r="F33" i="63"/>
  <c r="I63" i="63"/>
  <c r="J14" i="63"/>
  <c r="D63" i="63"/>
  <c r="J8" i="63"/>
  <c r="G64" i="63" l="1"/>
  <c r="J63" i="63"/>
  <c r="F63" i="63"/>
  <c r="K10" i="61" l="1"/>
  <c r="K27" i="62" l="1"/>
  <c r="K26" i="62"/>
  <c r="F26" i="62"/>
  <c r="E25" i="62"/>
  <c r="D25" i="62"/>
  <c r="I29" i="62"/>
  <c r="J24" i="62"/>
  <c r="E24" i="62"/>
  <c r="D24" i="62"/>
  <c r="F24" i="62" s="1"/>
  <c r="J23" i="62"/>
  <c r="E23" i="62"/>
  <c r="D23" i="62"/>
  <c r="J22" i="62"/>
  <c r="E22" i="62"/>
  <c r="D22" i="62"/>
  <c r="F22" i="62" s="1"/>
  <c r="H21" i="62"/>
  <c r="G21" i="62"/>
  <c r="E21" i="62"/>
  <c r="D21" i="62"/>
  <c r="J20" i="62"/>
  <c r="D20" i="62"/>
  <c r="F20" i="62" s="1"/>
  <c r="J19" i="62"/>
  <c r="D19" i="62"/>
  <c r="F19" i="62" s="1"/>
  <c r="J18" i="62"/>
  <c r="D18" i="62"/>
  <c r="F18" i="62" s="1"/>
  <c r="K17" i="62"/>
  <c r="G17" i="62"/>
  <c r="J17" i="62" s="1"/>
  <c r="D17" i="62"/>
  <c r="F17" i="62" s="1"/>
  <c r="K16" i="62"/>
  <c r="G16" i="62"/>
  <c r="J16" i="62" s="1"/>
  <c r="D16" i="62"/>
  <c r="F16" i="62" s="1"/>
  <c r="K15" i="62"/>
  <c r="G15" i="62"/>
  <c r="J15" i="62" s="1"/>
  <c r="D15" i="62"/>
  <c r="F15" i="62" s="1"/>
  <c r="K14" i="62"/>
  <c r="H14" i="62"/>
  <c r="G14" i="62"/>
  <c r="D14" i="62"/>
  <c r="F14" i="62" s="1"/>
  <c r="K13" i="62"/>
  <c r="H13" i="62"/>
  <c r="G13" i="62"/>
  <c r="D13" i="62"/>
  <c r="F13" i="62" s="1"/>
  <c r="K12" i="62"/>
  <c r="H12" i="62"/>
  <c r="G12" i="62"/>
  <c r="J12" i="62" s="1"/>
  <c r="D12" i="62"/>
  <c r="F12" i="62" s="1"/>
  <c r="K11" i="62"/>
  <c r="J11" i="62"/>
  <c r="F11" i="62"/>
  <c r="K10" i="62"/>
  <c r="H10" i="62"/>
  <c r="G10" i="62"/>
  <c r="J10" i="62" s="1"/>
  <c r="D10" i="62"/>
  <c r="F10" i="62" s="1"/>
  <c r="K9" i="62"/>
  <c r="H9" i="62"/>
  <c r="G9" i="62"/>
  <c r="J9" i="62" s="1"/>
  <c r="F9" i="62"/>
  <c r="K8" i="62"/>
  <c r="H8" i="62"/>
  <c r="G8" i="62"/>
  <c r="F8" i="62"/>
  <c r="K7" i="62"/>
  <c r="K29" i="62" s="1"/>
  <c r="H7" i="62"/>
  <c r="F7" i="62"/>
  <c r="J13" i="62" l="1"/>
  <c r="J21" i="62"/>
  <c r="F25" i="62"/>
  <c r="J14" i="62"/>
  <c r="H29" i="62"/>
  <c r="E29" i="62"/>
  <c r="G29" i="62"/>
  <c r="F21" i="62"/>
  <c r="D29" i="62"/>
  <c r="F23" i="62"/>
  <c r="J8" i="62"/>
  <c r="J7" i="62"/>
  <c r="K8" i="61"/>
  <c r="J29" i="62" l="1"/>
  <c r="G30" i="62"/>
  <c r="G31" i="62" s="1"/>
  <c r="F29" i="62"/>
  <c r="K9" i="61" l="1"/>
  <c r="K7" i="61"/>
  <c r="K11" i="61" s="1"/>
  <c r="I9" i="61"/>
  <c r="J9" i="61" s="1"/>
  <c r="E9" i="61"/>
  <c r="D9" i="61"/>
  <c r="I8" i="61"/>
  <c r="J8" i="61" s="1"/>
  <c r="E8" i="61"/>
  <c r="D8" i="61"/>
  <c r="G7" i="61"/>
  <c r="J7" i="61" s="1"/>
  <c r="E7" i="61"/>
  <c r="F7" i="61" s="1"/>
  <c r="F8" i="61" l="1"/>
  <c r="E11" i="61"/>
  <c r="G11" i="61"/>
  <c r="D11" i="61"/>
  <c r="F9" i="61"/>
  <c r="H11" i="61"/>
  <c r="I11" i="61"/>
  <c r="J11" i="61" l="1"/>
  <c r="G12" i="61"/>
  <c r="G13" i="61" s="1"/>
  <c r="F11" i="61"/>
  <c r="L32" i="60" l="1"/>
  <c r="L28" i="60"/>
  <c r="L27" i="60"/>
  <c r="L25" i="60"/>
  <c r="L24" i="60"/>
  <c r="L23" i="60"/>
  <c r="L22" i="60"/>
  <c r="L20" i="60"/>
  <c r="L19" i="60"/>
  <c r="L18" i="60"/>
  <c r="L17" i="60"/>
  <c r="L14" i="60"/>
  <c r="L13" i="60"/>
  <c r="L8" i="60"/>
  <c r="L7" i="60"/>
  <c r="L43" i="60" s="1"/>
  <c r="D42" i="60" l="1"/>
  <c r="F42" i="60" s="1"/>
  <c r="D41" i="60"/>
  <c r="F41" i="60" s="1"/>
  <c r="D40" i="60"/>
  <c r="F40" i="60" s="1"/>
  <c r="D39" i="60"/>
  <c r="F39" i="60" s="1"/>
  <c r="D38" i="60"/>
  <c r="F38" i="60" s="1"/>
  <c r="D37" i="60"/>
  <c r="F37" i="60" s="1"/>
  <c r="J36" i="60"/>
  <c r="K36" i="60" s="1"/>
  <c r="D36" i="60"/>
  <c r="F36" i="60" s="1"/>
  <c r="F35" i="60"/>
  <c r="D34" i="60"/>
  <c r="F34" i="60" s="1"/>
  <c r="D33" i="60"/>
  <c r="D32" i="60"/>
  <c r="F32" i="60" s="1"/>
  <c r="J31" i="60"/>
  <c r="K31" i="60" s="1"/>
  <c r="E31" i="60"/>
  <c r="D31" i="60"/>
  <c r="J30" i="60"/>
  <c r="K30" i="60" s="1"/>
  <c r="E30" i="60"/>
  <c r="D30" i="60"/>
  <c r="D29" i="60"/>
  <c r="F29" i="60" s="1"/>
  <c r="D28" i="60"/>
  <c r="F28" i="60" s="1"/>
  <c r="D27" i="60"/>
  <c r="F27" i="60" s="1"/>
  <c r="J26" i="60"/>
  <c r="K26" i="60" s="1"/>
  <c r="E26" i="60"/>
  <c r="D26" i="60"/>
  <c r="J25" i="60"/>
  <c r="G25" i="60"/>
  <c r="D25" i="60"/>
  <c r="F25" i="60" s="1"/>
  <c r="H24" i="60"/>
  <c r="G24" i="60"/>
  <c r="D24" i="60"/>
  <c r="F24" i="60" s="1"/>
  <c r="H23" i="60"/>
  <c r="G23" i="60"/>
  <c r="D23" i="60"/>
  <c r="F23" i="60" s="1"/>
  <c r="H22" i="60"/>
  <c r="G22" i="60"/>
  <c r="D22" i="60"/>
  <c r="F22" i="60" s="1"/>
  <c r="J21" i="60"/>
  <c r="K21" i="60" s="1"/>
  <c r="E21" i="60"/>
  <c r="D21" i="60"/>
  <c r="K20" i="60"/>
  <c r="D20" i="60"/>
  <c r="F20" i="60" s="1"/>
  <c r="G19" i="60"/>
  <c r="K19" i="60" s="1"/>
  <c r="D19" i="60"/>
  <c r="F19" i="60" s="1"/>
  <c r="H18" i="60"/>
  <c r="G18" i="60"/>
  <c r="D18" i="60"/>
  <c r="F18" i="60" s="1"/>
  <c r="G17" i="60"/>
  <c r="K17" i="60" s="1"/>
  <c r="D17" i="60"/>
  <c r="F17" i="60" s="1"/>
  <c r="J16" i="60"/>
  <c r="K16" i="60" s="1"/>
  <c r="D16" i="60"/>
  <c r="F16" i="60" s="1"/>
  <c r="J15" i="60"/>
  <c r="K15" i="60" s="1"/>
  <c r="D15" i="60"/>
  <c r="F15" i="60" s="1"/>
  <c r="G14" i="60"/>
  <c r="K14" i="60" s="1"/>
  <c r="D14" i="60"/>
  <c r="F14" i="60" s="1"/>
  <c r="H13" i="60"/>
  <c r="G13" i="60"/>
  <c r="D13" i="60"/>
  <c r="F13" i="60" s="1"/>
  <c r="K12" i="60"/>
  <c r="F12" i="60"/>
  <c r="H11" i="60"/>
  <c r="G11" i="60"/>
  <c r="E11" i="60"/>
  <c r="D11" i="60"/>
  <c r="H10" i="60"/>
  <c r="G10" i="60"/>
  <c r="F10" i="60"/>
  <c r="G9" i="60"/>
  <c r="K9" i="60" s="1"/>
  <c r="F9" i="60"/>
  <c r="H8" i="60"/>
  <c r="K8" i="60" s="1"/>
  <c r="F8" i="60"/>
  <c r="H7" i="60"/>
  <c r="G7" i="60"/>
  <c r="E7" i="60"/>
  <c r="F7" i="60" s="1"/>
  <c r="K7" i="60" l="1"/>
  <c r="F21" i="60"/>
  <c r="F30" i="60"/>
  <c r="K22" i="60"/>
  <c r="K11" i="60"/>
  <c r="K13" i="60"/>
  <c r="F31" i="60"/>
  <c r="K10" i="60"/>
  <c r="K25" i="60"/>
  <c r="K18" i="60"/>
  <c r="K24" i="60"/>
  <c r="E43" i="60"/>
  <c r="K23" i="60"/>
  <c r="G43" i="60"/>
  <c r="F26" i="60"/>
  <c r="F11" i="60"/>
  <c r="H43" i="60"/>
  <c r="D43" i="60"/>
  <c r="H44" i="60" l="1"/>
  <c r="J43" i="60"/>
  <c r="F43" i="60"/>
  <c r="K43" i="60" l="1"/>
  <c r="L57" i="59" l="1"/>
  <c r="L54" i="59" l="1"/>
  <c r="L49" i="59"/>
  <c r="L42" i="59"/>
  <c r="L41" i="59"/>
  <c r="L32" i="59"/>
  <c r="L31" i="59"/>
  <c r="L13" i="59"/>
  <c r="L15" i="59" l="1"/>
  <c r="L11" i="59"/>
  <c r="L56" i="59" l="1"/>
  <c r="L55" i="59"/>
  <c r="L43" i="59" l="1"/>
  <c r="L19" i="59"/>
  <c r="L18" i="59"/>
  <c r="L14" i="59"/>
  <c r="L10" i="59"/>
  <c r="L12" i="59"/>
  <c r="L9" i="59"/>
  <c r="L8" i="59"/>
  <c r="L7" i="59"/>
  <c r="J54" i="59"/>
  <c r="K54" i="59" s="1"/>
  <c r="E54" i="59"/>
  <c r="D54" i="59"/>
  <c r="E53" i="59"/>
  <c r="D53" i="59"/>
  <c r="J52" i="59"/>
  <c r="K52" i="59" s="1"/>
  <c r="E52" i="59"/>
  <c r="D52" i="59"/>
  <c r="J51" i="59"/>
  <c r="K51" i="59" s="1"/>
  <c r="D51" i="59"/>
  <c r="F51" i="59" s="1"/>
  <c r="E50" i="59"/>
  <c r="D50" i="59"/>
  <c r="J49" i="59"/>
  <c r="K49" i="59" s="1"/>
  <c r="E49" i="59"/>
  <c r="D49" i="59"/>
  <c r="J48" i="59"/>
  <c r="K48" i="59" s="1"/>
  <c r="E48" i="59"/>
  <c r="D48" i="59"/>
  <c r="J47" i="59"/>
  <c r="G47" i="59"/>
  <c r="E47" i="59"/>
  <c r="D47" i="59"/>
  <c r="H46" i="59"/>
  <c r="G46" i="59"/>
  <c r="E46" i="59"/>
  <c r="D46" i="59"/>
  <c r="H45" i="59"/>
  <c r="G45" i="59"/>
  <c r="E45" i="59"/>
  <c r="D45" i="59"/>
  <c r="H44" i="59"/>
  <c r="G44" i="59"/>
  <c r="E44" i="59"/>
  <c r="D44" i="59"/>
  <c r="J43" i="59"/>
  <c r="K43" i="59" s="1"/>
  <c r="D43" i="59"/>
  <c r="F43" i="59" s="1"/>
  <c r="E42" i="59"/>
  <c r="D42" i="59"/>
  <c r="J41" i="59"/>
  <c r="K41" i="59" s="1"/>
  <c r="E41" i="59"/>
  <c r="D41" i="59"/>
  <c r="K40" i="59"/>
  <c r="E40" i="59"/>
  <c r="D40" i="59"/>
  <c r="K39" i="59"/>
  <c r="E39" i="59"/>
  <c r="D39" i="59"/>
  <c r="K38" i="59"/>
  <c r="E38" i="59"/>
  <c r="D38" i="59"/>
  <c r="H37" i="59"/>
  <c r="G37" i="59"/>
  <c r="E37" i="59"/>
  <c r="D37" i="59"/>
  <c r="G36" i="59"/>
  <c r="K36" i="59" s="1"/>
  <c r="E36" i="59"/>
  <c r="D36" i="59"/>
  <c r="J35" i="59"/>
  <c r="G35" i="59"/>
  <c r="E35" i="59"/>
  <c r="D35" i="59"/>
  <c r="J34" i="59"/>
  <c r="K34" i="59" s="1"/>
  <c r="E34" i="59"/>
  <c r="D34" i="59"/>
  <c r="J33" i="59"/>
  <c r="H33" i="59"/>
  <c r="G33" i="59"/>
  <c r="E33" i="59"/>
  <c r="D33" i="59"/>
  <c r="J32" i="59"/>
  <c r="K32" i="59" s="1"/>
  <c r="D32" i="59"/>
  <c r="F32" i="59" s="1"/>
  <c r="J31" i="59"/>
  <c r="K31" i="59" s="1"/>
  <c r="D31" i="59"/>
  <c r="F31" i="59" s="1"/>
  <c r="G30" i="59"/>
  <c r="K30" i="59" s="1"/>
  <c r="E30" i="59"/>
  <c r="D30" i="59"/>
  <c r="H29" i="59"/>
  <c r="G29" i="59"/>
  <c r="E29" i="59"/>
  <c r="D29" i="59"/>
  <c r="K28" i="59"/>
  <c r="E28" i="59"/>
  <c r="F28" i="59" s="1"/>
  <c r="H27" i="59"/>
  <c r="G27" i="59"/>
  <c r="E27" i="59"/>
  <c r="D27" i="59"/>
  <c r="H26" i="59"/>
  <c r="G26" i="59"/>
  <c r="E26" i="59"/>
  <c r="F26" i="59" s="1"/>
  <c r="K25" i="59"/>
  <c r="E25" i="59"/>
  <c r="F25" i="59" s="1"/>
  <c r="J24" i="59"/>
  <c r="K24" i="59" s="1"/>
  <c r="E24" i="59"/>
  <c r="D24" i="59"/>
  <c r="J23" i="59"/>
  <c r="K23" i="59" s="1"/>
  <c r="E23" i="59"/>
  <c r="D23" i="59"/>
  <c r="J22" i="59"/>
  <c r="K22" i="59" s="1"/>
  <c r="E22" i="59"/>
  <c r="D22" i="59"/>
  <c r="J21" i="59"/>
  <c r="G21" i="59"/>
  <c r="E21" i="59"/>
  <c r="D21" i="59"/>
  <c r="J20" i="59"/>
  <c r="K20" i="59" s="1"/>
  <c r="E20" i="59"/>
  <c r="D20" i="59"/>
  <c r="J19" i="59"/>
  <c r="K19" i="59" s="1"/>
  <c r="E19" i="59"/>
  <c r="D19" i="59"/>
  <c r="H18" i="59"/>
  <c r="K18" i="59" s="1"/>
  <c r="E18" i="59"/>
  <c r="F18" i="59" s="1"/>
  <c r="J17" i="59"/>
  <c r="K17" i="59" s="1"/>
  <c r="E17" i="59"/>
  <c r="D17" i="59"/>
  <c r="H16" i="59"/>
  <c r="G16" i="59"/>
  <c r="E16" i="59"/>
  <c r="F16" i="59" s="1"/>
  <c r="J15" i="59"/>
  <c r="K15" i="59" s="1"/>
  <c r="E15" i="59"/>
  <c r="F15" i="59" s="1"/>
  <c r="K14" i="59"/>
  <c r="E14" i="59"/>
  <c r="D14" i="59"/>
  <c r="G13" i="59"/>
  <c r="K13" i="59" s="1"/>
  <c r="E13" i="59"/>
  <c r="D13" i="59"/>
  <c r="J12" i="59"/>
  <c r="G12" i="59"/>
  <c r="E12" i="59"/>
  <c r="D12" i="59"/>
  <c r="J11" i="59"/>
  <c r="H11" i="59"/>
  <c r="G11" i="59"/>
  <c r="E11" i="59"/>
  <c r="D11" i="59"/>
  <c r="K10" i="59"/>
  <c r="E10" i="59"/>
  <c r="F10" i="59" s="1"/>
  <c r="J9" i="59"/>
  <c r="H9" i="59"/>
  <c r="G9" i="59"/>
  <c r="E9" i="59"/>
  <c r="D9" i="59"/>
  <c r="J8" i="59"/>
  <c r="G8" i="59"/>
  <c r="E8" i="59"/>
  <c r="D8" i="59"/>
  <c r="J7" i="59"/>
  <c r="H7" i="59"/>
  <c r="G7" i="59"/>
  <c r="E7" i="59"/>
  <c r="D7" i="59"/>
  <c r="K27" i="59" l="1"/>
  <c r="F50" i="59"/>
  <c r="L58" i="59"/>
  <c r="F52" i="59"/>
  <c r="F42" i="59"/>
  <c r="F54" i="59"/>
  <c r="K21" i="59"/>
  <c r="F39" i="59"/>
  <c r="F9" i="59"/>
  <c r="F47" i="59"/>
  <c r="K29" i="59"/>
  <c r="F11" i="59"/>
  <c r="F36" i="59"/>
  <c r="F38" i="59"/>
  <c r="F13" i="59"/>
  <c r="F20" i="59"/>
  <c r="F22" i="59"/>
  <c r="F24" i="59"/>
  <c r="K37" i="59"/>
  <c r="K46" i="59"/>
  <c r="K47" i="59"/>
  <c r="F49" i="59"/>
  <c r="F37" i="59"/>
  <c r="F14" i="59"/>
  <c r="F8" i="59"/>
  <c r="F19" i="59"/>
  <c r="F21" i="59"/>
  <c r="K35" i="59"/>
  <c r="F12" i="59"/>
  <c r="F34" i="59"/>
  <c r="D58" i="59"/>
  <c r="K9" i="59"/>
  <c r="F33" i="59"/>
  <c r="K7" i="59"/>
  <c r="F17" i="59"/>
  <c r="F27" i="59"/>
  <c r="F29" i="59"/>
  <c r="F48" i="59"/>
  <c r="F44" i="59"/>
  <c r="K12" i="59"/>
  <c r="K16" i="59"/>
  <c r="F23" i="59"/>
  <c r="F30" i="59"/>
  <c r="F40" i="59"/>
  <c r="F46" i="59"/>
  <c r="E58" i="59"/>
  <c r="K33" i="59"/>
  <c r="F45" i="59"/>
  <c r="H58" i="59"/>
  <c r="K8" i="59"/>
  <c r="K11" i="59"/>
  <c r="K26" i="59"/>
  <c r="F35" i="59"/>
  <c r="F41" i="59"/>
  <c r="K44" i="59"/>
  <c r="K45" i="59"/>
  <c r="F53" i="59"/>
  <c r="F7" i="59"/>
  <c r="G58" i="59"/>
  <c r="J42" i="59"/>
  <c r="K42" i="59" s="1"/>
  <c r="H59" i="59" l="1"/>
  <c r="K58" i="59"/>
  <c r="J58" i="59"/>
  <c r="L60" i="59"/>
  <c r="F58" i="59"/>
  <c r="D16" i="55" l="1"/>
  <c r="D15" i="55"/>
  <c r="D38" i="55" l="1"/>
  <c r="D37" i="55"/>
  <c r="D35" i="55"/>
  <c r="D32" i="55" l="1"/>
  <c r="D31" i="55"/>
  <c r="D30" i="55"/>
  <c r="D29" i="55"/>
  <c r="D28" i="55"/>
  <c r="D27" i="55"/>
  <c r="D25" i="55"/>
  <c r="D57" i="55"/>
  <c r="D56" i="55"/>
  <c r="D52" i="55"/>
  <c r="D51" i="55"/>
  <c r="D47" i="55"/>
  <c r="D46" i="55"/>
  <c r="D45" i="55"/>
  <c r="D44" i="55"/>
  <c r="D42" i="55"/>
  <c r="D41" i="55"/>
  <c r="D40" i="55"/>
  <c r="D24" i="55"/>
  <c r="D36" i="55"/>
  <c r="D34" i="55"/>
  <c r="D33" i="55"/>
  <c r="D26" i="55"/>
  <c r="D23" i="55"/>
  <c r="D22" i="55"/>
  <c r="D21" i="55"/>
  <c r="D20" i="55"/>
  <c r="D19" i="55"/>
  <c r="D14" i="55"/>
  <c r="D13" i="55"/>
  <c r="D12" i="55"/>
  <c r="D39" i="55"/>
  <c r="D43" i="55"/>
  <c r="D50" i="55"/>
  <c r="D49" i="55"/>
  <c r="D48" i="55"/>
  <c r="D55" i="55"/>
  <c r="D54" i="55"/>
  <c r="D53" i="55"/>
  <c r="D59" i="55"/>
  <c r="D58" i="55"/>
  <c r="D18" i="55"/>
  <c r="D17" i="55"/>
  <c r="D11" i="55"/>
  <c r="D10" i="55"/>
  <c r="D9" i="55"/>
  <c r="D8" i="55"/>
  <c r="D60" i="55" s="1"/>
  <c r="D61" i="55" s="1"/>
  <c r="F43" i="54" l="1"/>
  <c r="G43" i="54" s="1"/>
  <c r="F42" i="54"/>
  <c r="G42" i="54" s="1"/>
  <c r="F41" i="54"/>
  <c r="G41" i="54" s="1"/>
  <c r="F40" i="54"/>
  <c r="G40" i="54" s="1"/>
  <c r="F39" i="54"/>
  <c r="G39" i="54" s="1"/>
  <c r="E37" i="54"/>
  <c r="F37" i="54"/>
  <c r="F36" i="54"/>
  <c r="G36" i="54" s="1"/>
  <c r="F35" i="54"/>
  <c r="G35" i="54" s="1"/>
  <c r="F34" i="54"/>
  <c r="G34" i="54" s="1"/>
  <c r="F33" i="54"/>
  <c r="G33" i="54" s="1"/>
  <c r="F32" i="54"/>
  <c r="G32" i="54" s="1"/>
  <c r="F31" i="54"/>
  <c r="G31" i="54" s="1"/>
  <c r="D25" i="54"/>
  <c r="F25" i="54" s="1"/>
  <c r="G25" i="54" s="1"/>
  <c r="F23" i="54"/>
  <c r="G23" i="54" s="1"/>
  <c r="F21" i="54"/>
  <c r="G21" i="54" s="1"/>
  <c r="F20" i="54"/>
  <c r="F10" i="54"/>
  <c r="F9" i="54"/>
  <c r="F7" i="54"/>
  <c r="F6" i="54"/>
  <c r="F5" i="54"/>
  <c r="F4" i="54"/>
  <c r="E38" i="54"/>
  <c r="G38" i="54" s="1"/>
  <c r="E30" i="54"/>
  <c r="G30" i="54" s="1"/>
  <c r="E29" i="54"/>
  <c r="G29" i="54" s="1"/>
  <c r="E28" i="54"/>
  <c r="G28" i="54" s="1"/>
  <c r="E20" i="54"/>
  <c r="G20" i="54" s="1"/>
  <c r="E19" i="54"/>
  <c r="E18" i="54"/>
  <c r="G18" i="54" s="1"/>
  <c r="E17" i="54"/>
  <c r="G17" i="54" s="1"/>
  <c r="E16" i="54"/>
  <c r="G16" i="54" s="1"/>
  <c r="E15" i="54"/>
  <c r="G15" i="54" s="1"/>
  <c r="E10" i="54"/>
  <c r="G10" i="54" s="1"/>
  <c r="E9" i="54"/>
  <c r="G9" i="54" s="1"/>
  <c r="E8" i="54"/>
  <c r="E4" i="54"/>
  <c r="D43" i="54"/>
  <c r="D42" i="54"/>
  <c r="D41" i="54"/>
  <c r="D40" i="54"/>
  <c r="D39" i="54"/>
  <c r="D38" i="54"/>
  <c r="D37" i="54"/>
  <c r="D36" i="54"/>
  <c r="D35" i="54"/>
  <c r="D34" i="54"/>
  <c r="D33" i="54"/>
  <c r="D32" i="54"/>
  <c r="D31" i="54"/>
  <c r="D30" i="54"/>
  <c r="D29" i="54"/>
  <c r="D28" i="54"/>
  <c r="D27" i="54"/>
  <c r="F27" i="54" s="1"/>
  <c r="G27" i="54" s="1"/>
  <c r="D26" i="54"/>
  <c r="F26" i="54" s="1"/>
  <c r="G26" i="54" s="1"/>
  <c r="D24" i="54"/>
  <c r="F24" i="54" s="1"/>
  <c r="G24" i="54" s="1"/>
  <c r="D23" i="54"/>
  <c r="D22" i="54"/>
  <c r="F22" i="54" s="1"/>
  <c r="G22" i="54" s="1"/>
  <c r="D21" i="54"/>
  <c r="D20" i="54"/>
  <c r="D19" i="54"/>
  <c r="F19" i="54" s="1"/>
  <c r="D18" i="54"/>
  <c r="D17" i="54"/>
  <c r="D16" i="54"/>
  <c r="D15" i="54"/>
  <c r="D14" i="54"/>
  <c r="D13" i="54"/>
  <c r="D12" i="54"/>
  <c r="D11" i="54"/>
  <c r="D8" i="54"/>
  <c r="F8" i="54" s="1"/>
  <c r="G8" i="54" s="1"/>
  <c r="D7" i="54"/>
  <c r="D6" i="54"/>
  <c r="D5" i="54"/>
  <c r="E14" i="54"/>
  <c r="G14" i="54" s="1"/>
  <c r="E13" i="54"/>
  <c r="G13" i="54" s="1"/>
  <c r="F12" i="54"/>
  <c r="G12" i="54" s="1"/>
  <c r="F11" i="54"/>
  <c r="G11" i="54" s="1"/>
  <c r="E7" i="54"/>
  <c r="G7" i="54" s="1"/>
  <c r="E6" i="54"/>
  <c r="G6" i="54" s="1"/>
  <c r="E5" i="54"/>
  <c r="G5" i="54" s="1"/>
  <c r="G37" i="54" l="1"/>
  <c r="D44" i="54"/>
  <c r="G4" i="54"/>
  <c r="G19" i="54"/>
  <c r="F44" i="54"/>
  <c r="E44" i="54"/>
  <c r="G44" i="54" l="1"/>
  <c r="D25" i="52" l="1"/>
  <c r="D24" i="52"/>
  <c r="D23" i="52"/>
  <c r="D20" i="52"/>
  <c r="D19" i="52"/>
  <c r="D18" i="52"/>
  <c r="D17" i="52"/>
  <c r="D16" i="52"/>
  <c r="D15" i="52"/>
  <c r="D14" i="52"/>
  <c r="D13" i="52"/>
  <c r="D12" i="52"/>
  <c r="D11" i="52"/>
  <c r="D10" i="52"/>
  <c r="D9" i="52"/>
  <c r="D8" i="52"/>
  <c r="D22" i="52"/>
  <c r="D21" i="52"/>
  <c r="D7" i="52"/>
  <c r="D26" i="52" s="1"/>
  <c r="H41" i="3" l="1"/>
  <c r="H50" i="3" l="1"/>
  <c r="H45" i="3" l="1"/>
  <c r="H51" i="3" l="1"/>
  <c r="F9" i="43" l="1"/>
  <c r="F41" i="43" l="1"/>
  <c r="F53" i="43"/>
  <c r="F28" i="43"/>
  <c r="F23" i="43"/>
  <c r="F19" i="43"/>
  <c r="F14" i="43"/>
  <c r="F54" i="43" l="1"/>
  <c r="F142" i="41" l="1"/>
  <c r="F78" i="41"/>
  <c r="F50" i="41"/>
  <c r="F44" i="41"/>
  <c r="F39" i="41"/>
  <c r="F34" i="41"/>
  <c r="F23" i="41"/>
  <c r="F143" i="41" l="1"/>
  <c r="G132" i="20" l="1"/>
  <c r="G118" i="20"/>
  <c r="G102" i="20"/>
  <c r="G56" i="20"/>
  <c r="G37" i="20"/>
  <c r="G29" i="20"/>
  <c r="E12" i="19"/>
  <c r="G85" i="18"/>
  <c r="F23" i="17"/>
  <c r="D18" i="16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E7" i="16"/>
  <c r="F7" i="16" s="1"/>
  <c r="F6" i="16"/>
  <c r="E5" i="16"/>
  <c r="F5" i="16" s="1"/>
  <c r="E13" i="15"/>
  <c r="D13" i="15" s="1"/>
  <c r="E12" i="15"/>
  <c r="D12" i="15" s="1"/>
  <c r="D11" i="15"/>
  <c r="E10" i="15"/>
  <c r="D10" i="15" s="1"/>
  <c r="E9" i="15"/>
  <c r="D9" i="15" s="1"/>
  <c r="E8" i="15"/>
  <c r="D8" i="15" s="1"/>
  <c r="E7" i="15"/>
  <c r="D7" i="15" s="1"/>
  <c r="E6" i="15"/>
  <c r="D6" i="15" s="1"/>
  <c r="E5" i="15"/>
  <c r="D5" i="15" s="1"/>
  <c r="E4" i="15"/>
  <c r="E14" i="15" s="1"/>
  <c r="D14" i="15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E9" i="10" s="1"/>
  <c r="D9" i="10" s="1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E6" i="9" s="1"/>
  <c r="D6" i="9" s="1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7" i="10"/>
  <c r="D7" i="10"/>
  <c r="E4" i="10"/>
  <c r="E13" i="9"/>
  <c r="D13" i="9" s="1"/>
  <c r="D11" i="9"/>
  <c r="E7" i="9"/>
  <c r="D7" i="9" s="1"/>
  <c r="E4" i="9"/>
  <c r="D4" i="9" s="1"/>
  <c r="E12" i="8"/>
  <c r="D12" i="8" s="1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G23" i="3"/>
  <c r="E23" i="3"/>
  <c r="F107" i="24"/>
  <c r="F57" i="24"/>
  <c r="F32" i="24"/>
  <c r="F27" i="24"/>
  <c r="F18" i="24"/>
  <c r="E113" i="26"/>
  <c r="E102" i="26"/>
  <c r="E55" i="26"/>
  <c r="E27" i="26"/>
  <c r="E17" i="26"/>
  <c r="E113" i="25"/>
  <c r="E102" i="25"/>
  <c r="E55" i="25"/>
  <c r="E27" i="25"/>
  <c r="E17" i="25"/>
  <c r="F22" i="3"/>
  <c r="E9" i="11"/>
  <c r="D9" i="11" s="1"/>
  <c r="E7" i="11"/>
  <c r="D7" i="11" s="1"/>
  <c r="F21" i="3"/>
  <c r="F20" i="3"/>
  <c r="E8" i="7"/>
  <c r="D8" i="7" s="1"/>
  <c r="F19" i="3"/>
  <c r="F18" i="3"/>
  <c r="F17" i="3"/>
  <c r="F16" i="3"/>
  <c r="E12" i="7"/>
  <c r="D12" i="7" s="1"/>
  <c r="E10" i="7"/>
  <c r="D10" i="7" s="1"/>
  <c r="E9" i="7"/>
  <c r="D9" i="7" s="1"/>
  <c r="E6" i="7"/>
  <c r="D6" i="7" s="1"/>
  <c r="E12" i="6"/>
  <c r="D12" i="6" s="1"/>
  <c r="E9" i="6"/>
  <c r="D9" i="6" s="1"/>
  <c r="E8" i="6"/>
  <c r="D8" i="6" s="1"/>
  <c r="E6" i="6"/>
  <c r="D6" i="6" s="1"/>
  <c r="E12" i="5"/>
  <c r="D12" i="5" s="1"/>
  <c r="E10" i="5"/>
  <c r="D10" i="5" s="1"/>
  <c r="E9" i="5"/>
  <c r="D9" i="5" s="1"/>
  <c r="E8" i="5"/>
  <c r="D8" i="5" s="1"/>
  <c r="E6" i="5"/>
  <c r="D6" i="5" s="1"/>
  <c r="R4" i="12" l="1"/>
  <c r="R7" i="12"/>
  <c r="R8" i="12"/>
  <c r="G133" i="20"/>
  <c r="E114" i="26"/>
  <c r="R6" i="12"/>
  <c r="R10" i="12"/>
  <c r="E114" i="25"/>
  <c r="F108" i="24"/>
  <c r="E5" i="9"/>
  <c r="E14" i="9" s="1"/>
  <c r="D14" i="9" s="1"/>
  <c r="R3" i="12"/>
  <c r="R9" i="12"/>
  <c r="E5" i="4"/>
  <c r="D5" i="4" s="1"/>
  <c r="S5" i="12"/>
  <c r="U5" i="12" s="1"/>
  <c r="E5" i="7"/>
  <c r="E14" i="7" s="1"/>
  <c r="D14" i="7" s="1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D5" i="9"/>
  <c r="E6" i="13"/>
  <c r="D6" i="13" s="1"/>
  <c r="G31" i="3"/>
  <c r="C14" i="23"/>
  <c r="D4" i="15"/>
  <c r="E10" i="6"/>
  <c r="D10" i="6" s="1"/>
  <c r="E12" i="11"/>
  <c r="D12" i="11" s="1"/>
  <c r="D4" i="5"/>
  <c r="F23" i="3"/>
  <c r="H34" i="3" s="1"/>
  <c r="E14" i="4" l="1"/>
  <c r="D14" i="4" s="1"/>
  <c r="D5" i="7"/>
  <c r="D14" i="5"/>
  <c r="E14" i="5"/>
  <c r="H17" i="3"/>
  <c r="H21" i="3"/>
  <c r="E14" i="13"/>
  <c r="D14" i="13" s="1"/>
  <c r="E13" i="8"/>
  <c r="D13" i="8" s="1"/>
  <c r="G30" i="3"/>
  <c r="H20" i="3"/>
  <c r="H18" i="3"/>
  <c r="H19" i="3"/>
  <c r="E14" i="6"/>
  <c r="D14" i="6" s="1"/>
  <c r="G29" i="3" l="1"/>
  <c r="H32" i="3" s="1"/>
  <c r="H27" i="3" l="1"/>
  <c r="H16" i="3"/>
  <c r="H22" i="3" l="1"/>
  <c r="H23" i="3" s="1"/>
  <c r="H33" i="3"/>
  <c r="H35" i="3" s="1"/>
  <c r="L44" i="60" l="1"/>
</calcChain>
</file>

<file path=xl/sharedStrings.xml><?xml version="1.0" encoding="utf-8"?>
<sst xmlns="http://schemas.openxmlformats.org/spreadsheetml/2006/main" count="5908" uniqueCount="1055">
  <si>
    <t>CONTRACT/SABBATICAL AND NYSC SALARY FOR THE MONTH OF JANUARY</t>
  </si>
  <si>
    <t>S/N</t>
  </si>
  <si>
    <t>STAFF NAME</t>
  </si>
  <si>
    <t>DESIGNATION</t>
  </si>
  <si>
    <t>BASIC ALLOWANCE</t>
  </si>
  <si>
    <t>LEGISLATIVE ALLOWCE</t>
  </si>
  <si>
    <t>GROSS</t>
  </si>
  <si>
    <t>DEDUCTIONS</t>
  </si>
  <si>
    <t xml:space="preserve">JANUARY 2024 NET SALARY </t>
  </si>
  <si>
    <t>COOP CONTR</t>
  </si>
  <si>
    <t>COOP LOAN RECOVERY</t>
  </si>
  <si>
    <t>PAYE TAX</t>
  </si>
  <si>
    <t>TOTAL DEDUCTION</t>
  </si>
  <si>
    <t>N</t>
  </si>
  <si>
    <t>Takwasa A. Galadima</t>
  </si>
  <si>
    <t>Nass Deployed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</si>
  <si>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</si>
  <si>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</si>
  <si>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</si>
  <si>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</si>
  <si>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</si>
  <si>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</si>
  <si>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</si>
  <si>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</si>
  <si>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</si>
  <si>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</si>
  <si>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</si>
  <si>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</si>
  <si>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Enobong Sambo</t>
  </si>
  <si>
    <t>Retainership</t>
  </si>
  <si>
    <t>Masarr Sarr</t>
  </si>
  <si>
    <t>Said Idris Abduljalil</t>
  </si>
  <si>
    <t>Secondment</t>
  </si>
  <si>
    <t>Prof. Peter Siyan</t>
  </si>
  <si>
    <t>Sabbatical</t>
  </si>
  <si>
    <t>Pro. Francis Onyekwere Ozoh</t>
  </si>
  <si>
    <t>Prof. Zubairu Kwambo Dagona</t>
  </si>
  <si>
    <t>Contract Staff</t>
  </si>
  <si>
    <t>Abdulkareem Toyeeb</t>
  </si>
  <si>
    <t>NYSC</t>
  </si>
  <si>
    <t xml:space="preserve">Akeh Blessing </t>
  </si>
  <si>
    <t>Fasasi Ahmed Olalekan</t>
  </si>
  <si>
    <t>Nwabueze Joy Oluchi</t>
  </si>
  <si>
    <t>Muhammad Kudu Abubakar</t>
  </si>
  <si>
    <t>Ag. Gen Manager</t>
  </si>
  <si>
    <t>Prof. Mohammed Mustapha Namadi</t>
  </si>
  <si>
    <t>Ibrahim Kaltume Onawo</t>
  </si>
  <si>
    <t>NYSC (Arrears)</t>
  </si>
  <si>
    <t>Hassan Mahmud Adewole</t>
  </si>
  <si>
    <t>Nwanganga Chidozie</t>
  </si>
  <si>
    <t>House Keeper</t>
  </si>
  <si>
    <t>Mary Shadrach</t>
  </si>
  <si>
    <t>Cleaner</t>
  </si>
  <si>
    <t>Akinboboye Oluwatosin Ifedayo</t>
  </si>
  <si>
    <t>Abdulrahim Abdullahi</t>
  </si>
  <si>
    <t>Julie G. Sanda</t>
  </si>
  <si>
    <t>Rahimat Suberu Onize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</si>
  <si>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</si>
  <si>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</si>
  <si>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</si>
  <si>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</si>
  <si>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</si>
  <si>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</si>
  <si>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 xml:space="preserve">Contract Staff </t>
  </si>
  <si>
    <t>Ladan Abdulmushin Tawfiq</t>
  </si>
  <si>
    <t>Dr. Alabi Adesina Muhydeen</t>
  </si>
  <si>
    <t>Lukman Abdullahi Opobiyi</t>
  </si>
  <si>
    <t>Zainab Bakare</t>
  </si>
  <si>
    <t>Desmond Cibueze Domendu</t>
  </si>
  <si>
    <t>Blessing Ojone Jibrin</t>
  </si>
  <si>
    <t>Chicha Ebweyi Joshua</t>
  </si>
  <si>
    <t>Amal Zoaka</t>
  </si>
  <si>
    <t>Olufemi Emmanuel Oyegoke</t>
  </si>
  <si>
    <t>Ngalabak Shugge</t>
  </si>
  <si>
    <t>Prof. Shedrack Best Gaya</t>
  </si>
  <si>
    <t>Dr. Hadiza Saidu</t>
  </si>
  <si>
    <t>Contract</t>
  </si>
  <si>
    <t>Idris Muhammad Jamiu</t>
  </si>
  <si>
    <t>Dosumu Taiwo Oluomo</t>
  </si>
  <si>
    <t>Olarenwaju Abduhameed Olaitan</t>
  </si>
  <si>
    <t>Galadima Yakubu Takwasa</t>
  </si>
  <si>
    <t>Dangana Faith</t>
  </si>
  <si>
    <t>Bankole Bunmi Khadijah</t>
  </si>
  <si>
    <t>Shittu Deborah Damilola</t>
  </si>
  <si>
    <t>TOTAL</t>
  </si>
  <si>
    <t>CONSULTANCY FEES FOR THE MONTH OF JANUARY 2024</t>
  </si>
  <si>
    <t>TOTAL/GROSS FEES</t>
  </si>
  <si>
    <t>NET PAYMENT  JANUARY 2024</t>
  </si>
  <si>
    <t>WITHOLDING TAX</t>
  </si>
  <si>
    <t>Dr. Mohammed Etudaiye</t>
  </si>
  <si>
    <t>Consultant</t>
  </si>
  <si>
    <t>Barr. James G Bathna</t>
  </si>
  <si>
    <t>Consultancy</t>
  </si>
  <si>
    <t>Dr. John Niyi Olanrewaju</t>
  </si>
  <si>
    <t>Dr. Shehu Wahab L</t>
  </si>
  <si>
    <t>Moshood Tsoho Amuda</t>
  </si>
  <si>
    <t>Inya Joephine Ode</t>
  </si>
  <si>
    <t>Prof Charles U. Ilebune</t>
  </si>
  <si>
    <t>Prof.  Maryam Adepeju Abdulraheem-Mustapha</t>
  </si>
  <si>
    <t>Victoria Stephanie David</t>
  </si>
  <si>
    <t>Kindness Oluwakemi M</t>
  </si>
  <si>
    <t>Danladi Idris Daniel</t>
  </si>
  <si>
    <t>Ufomba Patricia Osinachi</t>
  </si>
  <si>
    <t>Anayo Akwitti</t>
  </si>
  <si>
    <t xml:space="preserve">Consultancy </t>
  </si>
  <si>
    <t>Otene Oche Jonah</t>
  </si>
  <si>
    <t>Consultancy (Arrears)</t>
  </si>
  <si>
    <t>Julian Chinyere Osamoto</t>
  </si>
  <si>
    <t>Faith Onyebujoh</t>
  </si>
  <si>
    <t>Dr. Dare Fatai</t>
  </si>
  <si>
    <t>Alkadriyar Abdullahi Abdullahi</t>
  </si>
  <si>
    <t>Benjamin Ubiri</t>
  </si>
  <si>
    <t>Mugisat Abdulganiyyu</t>
  </si>
  <si>
    <t>Sofiat Adepeju Adenekan</t>
  </si>
  <si>
    <t>Echianu Chinedu Chikadibia</t>
  </si>
  <si>
    <t>NATIONAL INSTITUTE FOR LEGISLATIVE AND DEMOCRATIC STUDIES</t>
  </si>
  <si>
    <t>STAFF ENHANCED WELFARE SCHEDULE 2024</t>
  </si>
  <si>
    <t>AMOUNT</t>
  </si>
  <si>
    <t>NASS Deployed</t>
  </si>
  <si>
    <t>Idris Ibrahim</t>
  </si>
  <si>
    <t>Adejoh Emmanuel</t>
  </si>
  <si>
    <t>Sergent at Arms</t>
  </si>
  <si>
    <t>Godwin Etim</t>
  </si>
  <si>
    <r>
      <rPr>
        <b/>
        <sz val="14"/>
        <rFont val="Tahoma"/>
        <family val="2"/>
      </rPr>
      <t xml:space="preserve">                   </t>
    </r>
    <r>
      <rPr>
        <b/>
        <strike/>
        <sz val="14"/>
        <rFont val="Tahoma"/>
        <family val="2"/>
      </rPr>
      <t>N</t>
    </r>
  </si>
  <si>
    <t>CONTRACT/SABBATICAL AND CONSULTANT CHRISTMAS WELFARE DECEMBER 2023</t>
  </si>
  <si>
    <t>AMOUNT (N)</t>
  </si>
  <si>
    <t>Rasheed Mariam Folashade</t>
  </si>
  <si>
    <t>Dr. Mariam Adepeju Abdulraheem-Mustapha</t>
  </si>
  <si>
    <t>Dung Juliana Zakka</t>
  </si>
  <si>
    <t>Mbat Brian Dominic</t>
  </si>
  <si>
    <t>Oyinlola Aishah Temitope</t>
  </si>
  <si>
    <t>Jibril Muhammed Amees</t>
  </si>
  <si>
    <t>Kumban Happy Nanmak</t>
  </si>
  <si>
    <t xml:space="preserve">NYSC </t>
  </si>
  <si>
    <t>Karimat Olowokere</t>
  </si>
  <si>
    <t>Atofarati Umar Faruq</t>
  </si>
  <si>
    <t>Ogbormeh Micheal Ikenchukwu</t>
  </si>
  <si>
    <t>Abdullahi Sekinat Ayomide</t>
  </si>
  <si>
    <t>Mustapha Ola Sulyman</t>
  </si>
  <si>
    <t>CONSULTANCY WELFARE SCHEDULE DECEMBER 2023</t>
  </si>
  <si>
    <t xml:space="preserve">Adejoh Emmanuel </t>
  </si>
  <si>
    <t>Sergearnt at Arms</t>
  </si>
  <si>
    <t>CONTRACT/SABBATICAL AND CONSULTANT HALF SALARY FOR THE MONTH OF DECEMBER 2023</t>
  </si>
  <si>
    <t>TOTAL SALARY</t>
  </si>
  <si>
    <t>HALF SALARY  DECEMBER 2023</t>
  </si>
  <si>
    <r>
      <rPr>
        <b/>
        <sz val="14"/>
        <rFont val="Tahoma"/>
        <family val="2"/>
      </rPr>
      <t xml:space="preserve"> </t>
    </r>
    <r>
      <rPr>
        <b/>
        <strike/>
        <sz val="14"/>
        <rFont val="Tahoma"/>
        <family val="2"/>
      </rPr>
      <t>N</t>
    </r>
  </si>
  <si>
    <t>CONSULTANCY FEES FOR THE MONTH OF DECEMBER 2023</t>
  </si>
  <si>
    <t>HALF PAYMENT  DECEMBER 2023</t>
  </si>
  <si>
    <r>
      <rPr>
        <b/>
        <sz val="18"/>
        <rFont val="Tahoma"/>
        <family val="2"/>
      </rPr>
      <t xml:space="preserve">                   </t>
    </r>
    <r>
      <rPr>
        <b/>
        <strike/>
        <sz val="18"/>
        <rFont val="Tahoma"/>
        <family val="2"/>
      </rPr>
      <t>N</t>
    </r>
  </si>
  <si>
    <t>TENURE OF CONTRACT , SABBATICAL AND NYSC STAFF</t>
  </si>
  <si>
    <t>TENURE OF CONTRACT AND SABBATICAL STAFF</t>
  </si>
  <si>
    <t>START DATE</t>
  </si>
  <si>
    <t>EXPIRY DATE</t>
  </si>
  <si>
    <t>FIRST RENEWAL</t>
  </si>
  <si>
    <t>Prof. Edoba B. Omoregie</t>
  </si>
  <si>
    <t>18th December, 2020</t>
  </si>
  <si>
    <t>18th December, 2021</t>
  </si>
  <si>
    <t>Dr. Shehu Yahaya</t>
  </si>
  <si>
    <t>25th February 2021</t>
  </si>
  <si>
    <t>25th February 2022</t>
  </si>
  <si>
    <t>Prof. Attahiru Muhammadu Jega</t>
  </si>
  <si>
    <t>7th September, 2020</t>
  </si>
  <si>
    <t>6th September, 2021</t>
  </si>
  <si>
    <t>Prof. Alabi O Mojeed</t>
  </si>
  <si>
    <t>11th August, 2020</t>
  </si>
  <si>
    <t>10th August, 2021</t>
  </si>
  <si>
    <t>Abayomi Kolapo Quadri</t>
  </si>
  <si>
    <t>1st June, 2021</t>
  </si>
  <si>
    <t>1st June, 2022</t>
  </si>
  <si>
    <t>Moshood Tosho Amuda</t>
  </si>
  <si>
    <t>Manager, Exams &amp; Records</t>
  </si>
  <si>
    <t>1st July, 2020</t>
  </si>
  <si>
    <t>30th June 2021</t>
  </si>
  <si>
    <t>Maryam Muhammed Bello</t>
  </si>
  <si>
    <t>PA Special Duties</t>
  </si>
  <si>
    <t>2nd August, 2019</t>
  </si>
  <si>
    <t>31st July, 2020</t>
  </si>
  <si>
    <t>Steward</t>
  </si>
  <si>
    <t>Adanhou V. Alfred</t>
  </si>
  <si>
    <t>Enenche Jeremiah Agada</t>
  </si>
  <si>
    <t>4th September, 2020</t>
  </si>
  <si>
    <t>Yahaya Adamu Abdulhamid</t>
  </si>
  <si>
    <t>30th November, 2020</t>
  </si>
  <si>
    <t>Mohammed Etudaiye</t>
  </si>
  <si>
    <t>1st February, 2021</t>
  </si>
  <si>
    <t>31st January, 2022</t>
  </si>
  <si>
    <t>Prof. Jide Oladipo</t>
  </si>
  <si>
    <t>26th August 2020</t>
  </si>
  <si>
    <t>25th August, 2021</t>
  </si>
  <si>
    <t>Prof. Yusuf I. Arowosaiye</t>
  </si>
  <si>
    <t>1st September, 2020</t>
  </si>
  <si>
    <t>31st August, 2021</t>
  </si>
  <si>
    <t>Ndanusa Mohammed Manzuma -Ndaaba</t>
  </si>
  <si>
    <t>Mgr. Admin-Contract</t>
  </si>
  <si>
    <t>2nd September, 2020</t>
  </si>
  <si>
    <t>1st September, 2021</t>
  </si>
  <si>
    <t>Zainab Abbas</t>
  </si>
  <si>
    <t>Dr. Usman Wali</t>
  </si>
  <si>
    <t>SNR- Ast. PG Cood-Contract</t>
  </si>
  <si>
    <t>17th August, 2020</t>
  </si>
  <si>
    <t>16th August 2021</t>
  </si>
  <si>
    <t>Ayobolu Olajide Olufunsho</t>
  </si>
  <si>
    <t>Internal Editor- Contract</t>
  </si>
  <si>
    <t>14th October, 2020</t>
  </si>
  <si>
    <t>13th October, 2021</t>
  </si>
  <si>
    <t>Jimoh Munirat Olaide</t>
  </si>
  <si>
    <t>16th October, 2020</t>
  </si>
  <si>
    <t>Contract Service</t>
  </si>
  <si>
    <t>Dr. Olanrewaju John</t>
  </si>
  <si>
    <t>22nd May, 2020</t>
  </si>
  <si>
    <t>21st May 2021</t>
  </si>
  <si>
    <t>Massarr Sarr</t>
  </si>
  <si>
    <t>24th November, 2020</t>
  </si>
  <si>
    <t>Tessneem Ibrahim</t>
  </si>
  <si>
    <t>Permanent Staff</t>
  </si>
  <si>
    <t>18th November, 2020</t>
  </si>
  <si>
    <t>Dr. Olajide O Akanji</t>
  </si>
  <si>
    <t>16th November, 2020</t>
  </si>
  <si>
    <t>Prof. Shola Jeremiah Omotola</t>
  </si>
  <si>
    <t>8th August 2020</t>
  </si>
  <si>
    <t>7th August 2021</t>
  </si>
  <si>
    <t>Enobong Peter Sambo</t>
  </si>
  <si>
    <t>9th October, 2020</t>
  </si>
  <si>
    <t>Mr. Shehu Wahab</t>
  </si>
  <si>
    <t>6th September 2021</t>
  </si>
  <si>
    <t>1st November 2021</t>
  </si>
  <si>
    <t>31st October 2022</t>
  </si>
  <si>
    <t>Abru Ololade Idowu</t>
  </si>
  <si>
    <t>5th October, 2020</t>
  </si>
  <si>
    <t>4th October, 2021</t>
  </si>
  <si>
    <t>Adeojo  Bolaji Joy</t>
  </si>
  <si>
    <t>21st September, 2020</t>
  </si>
  <si>
    <t>Jimoh Adebayo Zaka</t>
  </si>
  <si>
    <t>Abu Joan</t>
  </si>
  <si>
    <t>Abdulsalam Iyabo Jariatu</t>
  </si>
  <si>
    <t>Michael Daksiri Yahra</t>
  </si>
  <si>
    <t>27th July, 2020</t>
  </si>
  <si>
    <t>Dr Chris Itsede</t>
  </si>
  <si>
    <t>James G Bathna</t>
  </si>
  <si>
    <t>11th May, 2021</t>
  </si>
  <si>
    <t>11th May 2022</t>
  </si>
  <si>
    <t>Amina Ummukhair Ibrahim</t>
  </si>
  <si>
    <t>29th March 2021</t>
  </si>
  <si>
    <t>29th May 2022</t>
  </si>
  <si>
    <t>Not Renewed</t>
  </si>
  <si>
    <t>Adewale Aderemi</t>
  </si>
  <si>
    <t>10th March 2020</t>
  </si>
  <si>
    <t>9th March 2021</t>
  </si>
  <si>
    <t>Olima James Enyi</t>
  </si>
  <si>
    <t>10th february 2020</t>
  </si>
  <si>
    <t>Gardner</t>
  </si>
  <si>
    <t>3rd February, 2020</t>
  </si>
  <si>
    <t xml:space="preserve">Casual </t>
  </si>
  <si>
    <t>18th december, 2019</t>
  </si>
  <si>
    <t>Sholagberu Taiye Sofiat</t>
  </si>
  <si>
    <t>Mohammed Danjuma Hassan</t>
  </si>
  <si>
    <t>29th June, 2021</t>
  </si>
  <si>
    <t>28th June, 2022</t>
  </si>
  <si>
    <t>Okolo Ujunwa Pascaline</t>
  </si>
  <si>
    <t>5th July, 2021</t>
  </si>
  <si>
    <t>Adeokun Temiloluwa Ruth</t>
  </si>
  <si>
    <t>1st July 2021</t>
  </si>
  <si>
    <t>Prof Peter Siyan</t>
  </si>
  <si>
    <t>9th June, 2021</t>
  </si>
  <si>
    <t>9th June, 2022</t>
  </si>
  <si>
    <t>Siyan-Peter Rejoice</t>
  </si>
  <si>
    <t>24th June 2021</t>
  </si>
  <si>
    <t>Umar Yahaya Halima</t>
  </si>
  <si>
    <t>Yakubu Lina Lessi</t>
  </si>
  <si>
    <t>Kasimu Hauwa Temitope</t>
  </si>
  <si>
    <t>3rd March 2021</t>
  </si>
  <si>
    <t>Dr. Abubakar Muhammad S</t>
  </si>
  <si>
    <t>2nd February 2021</t>
  </si>
  <si>
    <t>1st February 2022</t>
  </si>
  <si>
    <t>Dr. Abubakar Mohammed Bashir</t>
  </si>
  <si>
    <t>Secondment- Fed Min of Finance</t>
  </si>
  <si>
    <t>17th March 2021</t>
  </si>
  <si>
    <t>17th March 2023</t>
  </si>
  <si>
    <t>Prof. Echezona Roseline Ifeoma</t>
  </si>
  <si>
    <t>Dr. Abubakar Muhammad Saidu</t>
  </si>
  <si>
    <t>Dr Ali Arazeem Abdullahi</t>
  </si>
  <si>
    <t>2nd February, 2021</t>
  </si>
  <si>
    <t>1st December 2022</t>
  </si>
  <si>
    <t>Etti Hawanat Oyenike</t>
  </si>
  <si>
    <t>Lawal-Gambari Bilkis Sitou</t>
  </si>
  <si>
    <t>Olaniyan Taiwo Abimbola</t>
  </si>
  <si>
    <t>Sulaimon Aminat Jumoke</t>
  </si>
  <si>
    <t>CHRISTABEL UKOH</t>
  </si>
  <si>
    <t>CONFIDENTIAL SECRETARY</t>
  </si>
  <si>
    <t>28th October 2021</t>
  </si>
  <si>
    <t>27th October 2022</t>
  </si>
  <si>
    <t>Gunat Nansat Mark</t>
  </si>
  <si>
    <t>Salihu Abubakar Musa</t>
  </si>
  <si>
    <t>Yahya Zaiyad Alhaji</t>
  </si>
  <si>
    <t>Sogaolu O Oreoluwa</t>
  </si>
  <si>
    <t>Nkwere Ozioma Philippa</t>
  </si>
  <si>
    <t>Mustapha Rafiu Ayobanji</t>
  </si>
  <si>
    <t>Ahmad Aisha Suleiman</t>
  </si>
  <si>
    <t>Magaji Bala</t>
  </si>
  <si>
    <t>Contract  Staff</t>
  </si>
  <si>
    <t>Osanaiye David Akinyemi</t>
  </si>
  <si>
    <t>Araoye Ganiyat Titilola</t>
  </si>
  <si>
    <t>Rekiya Ibrahim Attah</t>
  </si>
  <si>
    <t>Salman Rabiat Bolatito</t>
  </si>
  <si>
    <t>Dr Abubakar Mohammed Bashir</t>
  </si>
  <si>
    <t>Aishatu O. Usman</t>
  </si>
  <si>
    <t>Mustapha Raheemat Adebola</t>
  </si>
  <si>
    <t>Sulaiman ( Dada) Oluwatosin Mutiat</t>
  </si>
  <si>
    <t>Omirinde Mariam</t>
  </si>
  <si>
    <t>15/06/2023or Feb 2023</t>
  </si>
  <si>
    <t>Maryam Musa Sada</t>
  </si>
  <si>
    <t>Abdullahi Ahmad Usman</t>
  </si>
  <si>
    <t>Papka (Dibal) Rosemighty Ishaku</t>
  </si>
  <si>
    <t>Ajibade Saheed  Olabanji</t>
  </si>
  <si>
    <t>14/04/2023 or Jan 2023</t>
  </si>
  <si>
    <t>Farooq Onikijipa Afeez</t>
  </si>
  <si>
    <t>Jibrin Blessing Ojone</t>
  </si>
  <si>
    <t>Jamila Abdul</t>
  </si>
  <si>
    <t>Dr. Festus Osagu</t>
  </si>
  <si>
    <t>Yusuf Ibrahim</t>
  </si>
  <si>
    <t>Shafiu Yahya Mikail</t>
  </si>
  <si>
    <t>Hassan Yerima</t>
  </si>
  <si>
    <t>Zainab Akinde</t>
  </si>
  <si>
    <t>Isere Richard Kantee</t>
  </si>
  <si>
    <t>Haruna Musa</t>
  </si>
  <si>
    <t>Moyaki Micheal Olumide</t>
  </si>
  <si>
    <t>Muhammed Khadijat</t>
  </si>
  <si>
    <t>March or Feb 2023</t>
  </si>
  <si>
    <t>Adebayo Warith Bolaji</t>
  </si>
  <si>
    <t>Jan or Feb 2023</t>
  </si>
  <si>
    <t>Onyeaku Ogechukwu Elizabeth</t>
  </si>
  <si>
    <t>Ntuka Ogochukwu Emmanuel</t>
  </si>
  <si>
    <t>Zubair Freedah Olamide</t>
  </si>
  <si>
    <t>Saidu Hadiza</t>
  </si>
  <si>
    <t>Sojini Ayobami Sebasi</t>
  </si>
  <si>
    <t>Ogunmiluyi Adetutu Winifred</t>
  </si>
  <si>
    <t>Ajileye O Elisha</t>
  </si>
  <si>
    <t>Oaikhienan James Ehidiamen</t>
  </si>
  <si>
    <t>Yusuff Kehinde Paul</t>
  </si>
  <si>
    <t>Jarumi Victor Saraki</t>
  </si>
  <si>
    <t>Ramatu Ibrahim Abdulraheem</t>
  </si>
  <si>
    <t>Domendu Desmond Chibueze</t>
  </si>
  <si>
    <t>Khadijah Muhammad</t>
  </si>
  <si>
    <t>Salahuddeen Hameedah</t>
  </si>
  <si>
    <t>CONTRACT/SABBATICAL AND CONSULTANT HALF SALARY ALLOWANCE FOR THE MONTH OF DECEMBER 2022</t>
  </si>
  <si>
    <t>NET SALARY  DECEMBER 22</t>
  </si>
  <si>
    <t>Sholagberu T Sofiat</t>
  </si>
  <si>
    <t>Mr. Shehu Wahab L</t>
  </si>
  <si>
    <t>Aleke Friday Onyantu</t>
  </si>
  <si>
    <t>Ode Ijoko Michael</t>
  </si>
  <si>
    <t>Giwa Sidika Ajoke</t>
  </si>
  <si>
    <t>Casual(DGs GH)</t>
  </si>
  <si>
    <t>Muhammed Khadijah Grema</t>
  </si>
  <si>
    <t>Hadiza Saidu</t>
  </si>
  <si>
    <t>Moyaki Michael Olumide</t>
  </si>
  <si>
    <t>Ajibade Saheed Olabanji</t>
  </si>
  <si>
    <t>Suleiman Oluwatosin Mutiat</t>
  </si>
  <si>
    <t>Rosemighty Papki Ishaku</t>
  </si>
  <si>
    <t>Garba Rofiat Kehinde</t>
  </si>
  <si>
    <t>Ogah Friday David</t>
  </si>
  <si>
    <t>Ismail Fauzyat</t>
  </si>
  <si>
    <t>Owolabi Olawale Adebayo</t>
  </si>
  <si>
    <t>Sale Angbo Likita</t>
  </si>
  <si>
    <t>Mariam Adepeju Abdulraheem-Mustapha</t>
  </si>
  <si>
    <t>PREPARED BY:    RAHILA N. HABU</t>
  </si>
  <si>
    <t>CONTRACT/SABBATICAL AND CONSULTANT  STAFF WELFARE DECEMBER 2022</t>
  </si>
  <si>
    <t>John Niyi Olanrewaju</t>
  </si>
  <si>
    <t>Abdullahi Ali Arazeem</t>
  </si>
  <si>
    <t>Suleima Abubakar Sodeeq</t>
  </si>
  <si>
    <t>Haruna Jibrin A.</t>
  </si>
  <si>
    <t>Elizabeth Ogechukwu Onyeaku</t>
  </si>
  <si>
    <t>CONTRACT/SABBATICAL AND CONSULTANT WELFARE JUNE 2023</t>
  </si>
  <si>
    <t>WELFARE AMOUNT</t>
  </si>
  <si>
    <t>Casual (DGs GH)</t>
  </si>
  <si>
    <t>Dr. Aishatu O. Usman</t>
  </si>
  <si>
    <t>Anyanyo Uchechukwu Nathan</t>
  </si>
  <si>
    <t>Ajagbonna Ibukun Victor</t>
  </si>
  <si>
    <t>Augustine Azibaolanary Thomas</t>
  </si>
  <si>
    <t>Ekeh Patience Nkechi</t>
  </si>
  <si>
    <t>Muhammad Mustapha</t>
  </si>
  <si>
    <t>Idris Hafsat Aminu</t>
  </si>
  <si>
    <t>Adefajo O. Ibrahim</t>
  </si>
  <si>
    <t>Ibok Rhoda Nsa</t>
  </si>
  <si>
    <t>Odomadehi Iyinmekhumen Olufeyikemi</t>
  </si>
  <si>
    <t>Francis Onyekwere Ozoh</t>
  </si>
  <si>
    <t>Suberu Rahimat Onize</t>
  </si>
  <si>
    <t>Intern</t>
  </si>
  <si>
    <t>CONTRACT/SABBATICAL AND CONSULTANT WELFARE APRIL 2023</t>
  </si>
  <si>
    <t>Peter Siyan</t>
  </si>
  <si>
    <t>CONTRACT/SABBATICAL AND CONSULTANT SALARY FOR THE MONTH OF MARCH 2023</t>
  </si>
  <si>
    <t>NET SALARY  MARCH 2023</t>
  </si>
  <si>
    <t>Sholagberu Taiye Sofia</t>
  </si>
  <si>
    <t>1st 28 days</t>
  </si>
  <si>
    <t>Shafiu Yahaya Mikail</t>
  </si>
  <si>
    <t>Abdul Jamila</t>
  </si>
  <si>
    <t>New Placement</t>
  </si>
  <si>
    <t>40 days old grade</t>
  </si>
  <si>
    <t>40 days New placement</t>
  </si>
  <si>
    <t xml:space="preserve">diffrence </t>
  </si>
  <si>
    <t>Total Salary in November</t>
  </si>
  <si>
    <t>Emily</t>
  </si>
  <si>
    <t>Diff for 1 month</t>
  </si>
  <si>
    <t>No of Month</t>
  </si>
  <si>
    <t>Total</t>
  </si>
  <si>
    <t>Research Allowance</t>
  </si>
  <si>
    <t>Total Arrears</t>
  </si>
  <si>
    <t xml:space="preserve">   </t>
  </si>
  <si>
    <t xml:space="preserve"> </t>
  </si>
  <si>
    <t>WELFARE</t>
  </si>
  <si>
    <t>LEGISLATIVE</t>
  </si>
  <si>
    <t>COOP LOAN</t>
  </si>
  <si>
    <t>TAX</t>
  </si>
  <si>
    <t>Ayuba Sule</t>
  </si>
  <si>
    <t>Frances Edna Hananiya</t>
  </si>
  <si>
    <t>Hazeem Hussain</t>
  </si>
  <si>
    <t>Haruna Jibril Ameh</t>
  </si>
  <si>
    <t>Akwawo Michele Kennedy</t>
  </si>
  <si>
    <t>Schicha Ebweyi Joshua</t>
  </si>
  <si>
    <t>Moyosore Maryaam Ajoke</t>
  </si>
  <si>
    <t>Demokun Friday Martin</t>
  </si>
  <si>
    <t xml:space="preserve">Oladele Zainab Ayomide </t>
  </si>
  <si>
    <t>Ibyeenegh Bosua Keziah</t>
  </si>
  <si>
    <t>Salahudden Hameedah</t>
  </si>
  <si>
    <t>Abdulraheem Ramatu Ibrahim</t>
  </si>
  <si>
    <t>Victor Jarumi</t>
  </si>
  <si>
    <t>Zubair Fareedah Olamide</t>
  </si>
  <si>
    <t>Sojinu Ayobami Sebasi</t>
  </si>
  <si>
    <t>TONDO, IORWUESE EDWRAD</t>
  </si>
  <si>
    <t>CONTRACT/SABBATICAL AND CONSULTANT SALARY FOR THE MONTH OF JANUARY 2022</t>
  </si>
  <si>
    <t>PREPARED BY:</t>
  </si>
  <si>
    <t>CONTRACT, CASUAL AND NASS DEPLOYED  STAFF ENHANCED WELFARE FOR 2023</t>
  </si>
  <si>
    <t>CONTRACT/SABBATICAL AND CONSULTANT  STAFF WELFARE FOR 2023</t>
  </si>
  <si>
    <t>Siyan Peter</t>
  </si>
  <si>
    <t>Reception</t>
  </si>
  <si>
    <t>CONTRACT/SABBATICAL AND CONSULTANT EL-KABIR WELFARE JULY 2021</t>
  </si>
  <si>
    <t>Welfare</t>
  </si>
  <si>
    <t>Ezenwajiobi Chidinma Charity</t>
  </si>
  <si>
    <t>Prof. Yusuf I Arowosaiye</t>
  </si>
  <si>
    <t>Abbas Zainab</t>
  </si>
  <si>
    <t>Abru Idowu Ololade</t>
  </si>
  <si>
    <t>Abdullahi Adamu</t>
  </si>
  <si>
    <t>William Osamwenyobo Ugiagbe</t>
  </si>
  <si>
    <t>Abubakar Mohammed Saidu</t>
  </si>
  <si>
    <t>Nwosu Chidinma Favour</t>
  </si>
  <si>
    <t>Bashir Aisha</t>
  </si>
  <si>
    <t xml:space="preserve">Stephen Uzoma </t>
  </si>
  <si>
    <t>Siyan- Peter Rejoice</t>
  </si>
  <si>
    <t>Adepkun Temiloluwa</t>
  </si>
  <si>
    <t>GRAND TOTAL</t>
  </si>
  <si>
    <t>OVERHEAD ALLOWANCES FOR THE MONTH OF JANUARY, 2021</t>
  </si>
  <si>
    <t>NET SALARY</t>
  </si>
  <si>
    <t>Percy Terfa Gbahabo</t>
  </si>
  <si>
    <t>Rifkatu Nghargbu</t>
  </si>
  <si>
    <t>Osikhen Leo Igbanoi</t>
  </si>
  <si>
    <t>Bashar Aminu</t>
  </si>
  <si>
    <t>Foreign Affairs Deployed</t>
  </si>
  <si>
    <t>Okungbowa Osaretin Godspower</t>
  </si>
  <si>
    <t>Dr. Lona Polit Bonkat</t>
  </si>
  <si>
    <t>Igwe Stacy</t>
  </si>
  <si>
    <t>Abayomi Kayode Quadri</t>
  </si>
  <si>
    <t>Chioma Uwazurike</t>
  </si>
  <si>
    <t>Contract Manager PG</t>
  </si>
  <si>
    <t>Daniel Titilayo Mervellous</t>
  </si>
  <si>
    <t>Library Assistant</t>
  </si>
  <si>
    <t>Maryam Mohammed Bello</t>
  </si>
  <si>
    <t>Dare Sheu Magbon</t>
  </si>
  <si>
    <t>Administrative Assistant</t>
  </si>
  <si>
    <t>Mr. Nandi Livinus Ature</t>
  </si>
  <si>
    <t>Research Assistant</t>
  </si>
  <si>
    <t>Lucky Agwom</t>
  </si>
  <si>
    <t>Mohammed Bello</t>
  </si>
  <si>
    <t>Mrs Amina Ibrahim</t>
  </si>
  <si>
    <t>Assistant Information</t>
  </si>
  <si>
    <t>Abdulsalam Bako</t>
  </si>
  <si>
    <t>Yusuf Abdullahi</t>
  </si>
  <si>
    <t>Driver</t>
  </si>
  <si>
    <t>Raheem Usman Ayigoro</t>
  </si>
  <si>
    <t>SA (Insfrastructure)</t>
  </si>
  <si>
    <t>Sunday Adejoh</t>
  </si>
  <si>
    <t>Sergeant at arms</t>
  </si>
  <si>
    <t>OVERHEAD ALLOWANCES FOR THE MONTH OF JULY, 2020</t>
  </si>
  <si>
    <t>Valentina Tetteh Ayongo</t>
  </si>
  <si>
    <t>Programme Manager</t>
  </si>
  <si>
    <t>Suzie Orefi Odeh</t>
  </si>
  <si>
    <t>Admin Officer</t>
  </si>
  <si>
    <t>Dahiru Abdullahi</t>
  </si>
  <si>
    <t>Ibrahim Babangishiri</t>
  </si>
  <si>
    <t>Abdulmalik Dahiru</t>
  </si>
  <si>
    <t>Dr. Ngozi Nwogwugwu</t>
  </si>
  <si>
    <t>Shiru Bukola Hauwa</t>
  </si>
  <si>
    <t>Admin. Assistant</t>
  </si>
  <si>
    <t>Sulaiman Ayoola Abdulrahman</t>
  </si>
  <si>
    <t>Okoli Winnie Ijeoma</t>
  </si>
  <si>
    <t>Dr. Abdullahi Yahuza Zainawa</t>
  </si>
  <si>
    <t>Dr. Usman Ahmad Karofi</t>
  </si>
  <si>
    <t>Jimoh Olayinka Bashir</t>
  </si>
  <si>
    <t>Bott Whitney Zere</t>
  </si>
  <si>
    <t>Hananiya, Frances Edna</t>
  </si>
  <si>
    <t>Adamu Zainab Sani</t>
  </si>
  <si>
    <t>Shehu Suleiman Ibrahim</t>
  </si>
  <si>
    <t>Okeke Chinemerem</t>
  </si>
  <si>
    <t>Odudu Dearest Osadebamwen</t>
  </si>
  <si>
    <t>RESEARCH /HARDSHIP ALLOWANCES</t>
  </si>
  <si>
    <t xml:space="preserve">EFFECT OF INCREASE OF RESEARCH </t>
  </si>
  <si>
    <t xml:space="preserve">EFFECT OF INTRODUCTION OF HARDSHIP </t>
  </si>
  <si>
    <t>TOTAL EFFECT</t>
  </si>
  <si>
    <t>Nuradeen Santuraki</t>
  </si>
  <si>
    <t>ICT Assistant</t>
  </si>
  <si>
    <t>Yarima Tongriang Dagwa</t>
  </si>
  <si>
    <t>END OF YEAR WELFARE FOR NYSC AND SERGEANT AT ARMS</t>
  </si>
  <si>
    <t>Omohieme Osedebamhen</t>
  </si>
  <si>
    <t>Wampana Hosea</t>
  </si>
  <si>
    <t>Idoko Somadina Benedict</t>
  </si>
  <si>
    <t>Adakuyi Ede Samson</t>
  </si>
  <si>
    <t>Bakari Zainab</t>
  </si>
  <si>
    <t>Stephen Samuel</t>
  </si>
  <si>
    <t>Oke Eniola Oluwabukunmi</t>
  </si>
  <si>
    <t>Oban Obianuju Sandra</t>
  </si>
  <si>
    <t>onatu Ijeoma Nkiru</t>
  </si>
  <si>
    <t>Emmanuel Adejoh</t>
  </si>
  <si>
    <t>Godwin Etim Nkang</t>
  </si>
  <si>
    <t>Olajide Ayobolu</t>
  </si>
  <si>
    <t>Internal Editor</t>
  </si>
  <si>
    <t>NAMES</t>
  </si>
  <si>
    <t>SCALE</t>
  </si>
  <si>
    <t>DG OFFICE</t>
  </si>
  <si>
    <t>DR LADI HAMALAI</t>
  </si>
  <si>
    <t>DIRECTOR GENERAL</t>
  </si>
  <si>
    <t>CONSOL</t>
  </si>
  <si>
    <t>NWAJEI KANAYO</t>
  </si>
  <si>
    <t>COMMUNICATION ADVISER</t>
  </si>
  <si>
    <t>16(7)</t>
  </si>
  <si>
    <t>DR ABDULHAMID OBA YUSUF</t>
  </si>
  <si>
    <t>LEGAL ADVISER</t>
  </si>
  <si>
    <t>NWOSU MATHEW EZE</t>
  </si>
  <si>
    <t>MANAGER INT. AUDIT</t>
  </si>
  <si>
    <t>15(9)</t>
  </si>
  <si>
    <t>DR IKEME ARTHUR J. O</t>
  </si>
  <si>
    <t>MANAGER M&amp;E</t>
  </si>
  <si>
    <t>15(8)</t>
  </si>
  <si>
    <t>AKINSANMI ADEJOKE OLUKEMI</t>
  </si>
  <si>
    <t>AM INFORMATION</t>
  </si>
  <si>
    <t>15(7)</t>
  </si>
  <si>
    <t>ARCH. TIJO ZARA BORYO</t>
  </si>
  <si>
    <t>MANAGER, ASSETS/MAINT.</t>
  </si>
  <si>
    <t>YAHAYA SHAMSU</t>
  </si>
  <si>
    <t>AM LEGAL</t>
  </si>
  <si>
    <t>13(8)</t>
  </si>
  <si>
    <t>TOKUNBO ALFRED ADULOJU</t>
  </si>
  <si>
    <t>AM LIAISON OFFICE</t>
  </si>
  <si>
    <t>13(7)</t>
  </si>
  <si>
    <t>NGARA CHRISTOPHER OCHANJA</t>
  </si>
  <si>
    <t>OFFICER, SPECIAL DUTIES</t>
  </si>
  <si>
    <t>JOY HARUNA MAKERI</t>
  </si>
  <si>
    <t>PA DG</t>
  </si>
  <si>
    <t>10(11)</t>
  </si>
  <si>
    <t>DONALD E. MKPANAM</t>
  </si>
  <si>
    <t>AM ICT</t>
  </si>
  <si>
    <t>13(10)</t>
  </si>
  <si>
    <t>ABUBAKAR LAMIDO TANKO</t>
  </si>
  <si>
    <t>ICT OFFICER</t>
  </si>
  <si>
    <t>10(9)</t>
  </si>
  <si>
    <t>HUSSEIN MUSA AGYE</t>
  </si>
  <si>
    <t>PROTOCOL OFFICER</t>
  </si>
  <si>
    <t>BASHIRU ABBA WALI</t>
  </si>
  <si>
    <t>ASSIT. INT. AUDIT</t>
  </si>
  <si>
    <t>10(7)</t>
  </si>
  <si>
    <t>ALI ABDULLAHI</t>
  </si>
  <si>
    <t>OFFICER ICT</t>
  </si>
  <si>
    <t>UZODINMA EMMANUEL EZENWA</t>
  </si>
  <si>
    <t>INFORMATION ASST</t>
  </si>
  <si>
    <t>CHRISTIAN MADUABUCHI ODO</t>
  </si>
  <si>
    <t>ICT ASSISTANT</t>
  </si>
  <si>
    <t>Moshood M. Olarele</t>
  </si>
  <si>
    <t>LEG. SUPPORT SEVICES</t>
  </si>
  <si>
    <t>DR SHUIBU DANWANKA</t>
  </si>
  <si>
    <t>DD LEG. SP SERVICES</t>
  </si>
  <si>
    <t>16(9)</t>
  </si>
  <si>
    <t>IBRAHIM USMAN</t>
  </si>
  <si>
    <t>RESEARCH FELLOW II</t>
  </si>
  <si>
    <t>13(11)</t>
  </si>
  <si>
    <t>OFORDEME ADAOBI JULIA</t>
  </si>
  <si>
    <t>RESEARCH OFFICER</t>
  </si>
  <si>
    <t>IKPEAZU CHINEDU ANITA</t>
  </si>
  <si>
    <t>ONYEAKU CHUKWUKA EDMOND</t>
  </si>
  <si>
    <t>Jibirin Ushama Ahmed</t>
  </si>
  <si>
    <t>RESEARCH &amp; TRAINING</t>
  </si>
  <si>
    <t>DR ADEYEMI AKEEB FAJINGBESI</t>
  </si>
  <si>
    <t>DIR. RES. &amp; TRAINING</t>
  </si>
  <si>
    <t>17(7)</t>
  </si>
  <si>
    <t>DR ASIMIYU G. ABIOLA</t>
  </si>
  <si>
    <t>DD RESEARCH</t>
  </si>
  <si>
    <t>DR KANAYO OGUJIUBA</t>
  </si>
  <si>
    <t>SRF SOCIAL SECTOR</t>
  </si>
  <si>
    <t>DR OLARENWAJU NIYI JOHN</t>
  </si>
  <si>
    <t>SABATICAL</t>
  </si>
  <si>
    <t>JAMES B. BATHNA</t>
  </si>
  <si>
    <t>AMINCI THOMAS</t>
  </si>
  <si>
    <t>CATHERINE E. IKOKOH</t>
  </si>
  <si>
    <t>RESEARCH FELLOW1 DOCU</t>
  </si>
  <si>
    <t>14(11)</t>
  </si>
  <si>
    <t>DR CLINTON JAJA</t>
  </si>
  <si>
    <t>RESEARCH FELLOW I</t>
  </si>
  <si>
    <t>14(9)</t>
  </si>
  <si>
    <t>ABDULKADIR I. AHMED</t>
  </si>
  <si>
    <t>CHIEF LIBRARIAN</t>
  </si>
  <si>
    <t>DR ASEMOTA O. JOSEPH</t>
  </si>
  <si>
    <t>DR UMAR AMINU</t>
  </si>
  <si>
    <t>14(10)</t>
  </si>
  <si>
    <t>OGUCHE SAMUEL</t>
  </si>
  <si>
    <t>DR JAKE DABANG DAN AZUMI</t>
  </si>
  <si>
    <t>RESEARCH FELLOW I TRAINING</t>
  </si>
  <si>
    <t>TAIWO A. ADEREMI</t>
  </si>
  <si>
    <t>BETHEL UZOMA IHUGBA</t>
  </si>
  <si>
    <t>TERFA WILLIAMS ABRAHAM</t>
  </si>
  <si>
    <t>ABDULSALAM MUSTAFA</t>
  </si>
  <si>
    <t>ASST. MANAGER, TRAINING</t>
  </si>
  <si>
    <t>ALIYU SANNI ABUBAKAR</t>
  </si>
  <si>
    <t>DATA &amp; DOCU. OFFICER</t>
  </si>
  <si>
    <t>JUMARE FADILA</t>
  </si>
  <si>
    <t>CHINAKO N. ASOGWA</t>
  </si>
  <si>
    <t>LIBRARY OFFICER</t>
  </si>
  <si>
    <t>UDEFUNA NNADOZIE PATRICK</t>
  </si>
  <si>
    <t>OGUNYOMI ROTIMI</t>
  </si>
  <si>
    <t>RESEARCH ASSISTANT</t>
  </si>
  <si>
    <t>9(10)</t>
  </si>
  <si>
    <t>IBE EZECHI CYRIACUS</t>
  </si>
  <si>
    <t>ANTHONY EDET</t>
  </si>
  <si>
    <t>OFFICER M&amp;E</t>
  </si>
  <si>
    <t>FINANCE &amp; ADMIN.</t>
  </si>
  <si>
    <t>DR KABIR AHMED</t>
  </si>
  <si>
    <t>DIR. FINANCE &amp; ADMIN</t>
  </si>
  <si>
    <t>17(9)</t>
  </si>
  <si>
    <t>IBRAHIM M. MSHELIA</t>
  </si>
  <si>
    <t>DD F&amp;A</t>
  </si>
  <si>
    <t>AMINU BELLO DUKKU</t>
  </si>
  <si>
    <t>DD ADMIN/HR</t>
  </si>
  <si>
    <t>KABIR MUHAMMAD SULAIMAN</t>
  </si>
  <si>
    <t>MANAGER ADMIN&amp;HR</t>
  </si>
  <si>
    <t>MAGAJI BALA</t>
  </si>
  <si>
    <t>MANGER ACCOUNTS</t>
  </si>
  <si>
    <t>RAHILA NURUDEEN HABU</t>
  </si>
  <si>
    <t>ASST. MANAGER, ACCOUNTS</t>
  </si>
  <si>
    <t>ABDULLAHI YUNUSA</t>
  </si>
  <si>
    <t>PERSONNEL OFFICER</t>
  </si>
  <si>
    <t>MARUF ABDULSALAM</t>
  </si>
  <si>
    <t>ASSET&amp; MAINT. OFFICER</t>
  </si>
  <si>
    <t>ANDRAWUS MUSA</t>
  </si>
  <si>
    <t>STORE OFFICER</t>
  </si>
  <si>
    <t>TONDO IORWUESE EDWARD</t>
  </si>
  <si>
    <t>OFFICER ACCOUNTS</t>
  </si>
  <si>
    <t>OSOLAFIA MUHAMMAD EGYE</t>
  </si>
  <si>
    <t>PERSONNEL ASSISTANT</t>
  </si>
  <si>
    <t>EROMOSELE OMONIGBO</t>
  </si>
  <si>
    <t>SHEHU ABDULLAHI</t>
  </si>
  <si>
    <t>ACCOUNT ASSISTANT</t>
  </si>
  <si>
    <t>OJOGIWA ABISOLA GANIAT</t>
  </si>
  <si>
    <t>RAHILA SALIHU</t>
  </si>
  <si>
    <t>SIMON YAKUBU WAKAWA</t>
  </si>
  <si>
    <t>OFFICER, ASSETS &amp; MAINT.</t>
  </si>
  <si>
    <t>HAMIDU FATIMA BASHIR</t>
  </si>
  <si>
    <t>ADMIN OFFICER</t>
  </si>
  <si>
    <t>USMAN WAZIRI</t>
  </si>
  <si>
    <t>SEN. CONF. SECRETARY</t>
  </si>
  <si>
    <t>SALAMATU YAKUBU</t>
  </si>
  <si>
    <t>BLESSING EKOLEYA IKANYI</t>
  </si>
  <si>
    <t>SECRETARY</t>
  </si>
  <si>
    <t>8(8)</t>
  </si>
  <si>
    <t>OTENUDA ESE MAUREEN</t>
  </si>
  <si>
    <t>MOHAMMED R. ADAMU</t>
  </si>
  <si>
    <t>ABDULWAHAB DAHIRU</t>
  </si>
  <si>
    <t>ADMIN ASSISTANT</t>
  </si>
  <si>
    <t>8(7)</t>
  </si>
  <si>
    <t>OMOUDU QUEEN PRISCILLA</t>
  </si>
  <si>
    <t>8(12)</t>
  </si>
  <si>
    <t>BASSEY NSONGURUA UDOFIA</t>
  </si>
  <si>
    <t>OLATUNJI OYEDELE YUSUF</t>
  </si>
  <si>
    <t>SENIOR DRIVER</t>
  </si>
  <si>
    <t>5(10)</t>
  </si>
  <si>
    <t>TASIU MOHAMMED</t>
  </si>
  <si>
    <t>NAMADI IDRIS UMAR</t>
  </si>
  <si>
    <t>DANJUMA KAGADAMA</t>
  </si>
  <si>
    <t>MOHAMMED SIAKA</t>
  </si>
  <si>
    <t>ALFRED ISABU</t>
  </si>
  <si>
    <t>ALIYU YAKUBU</t>
  </si>
  <si>
    <t>ABDULLAHI HARUNA</t>
  </si>
  <si>
    <t>OGABO OGAH USMAN</t>
  </si>
  <si>
    <t>DRIVER</t>
  </si>
  <si>
    <t>4(11)</t>
  </si>
  <si>
    <t>ETSU UMARU</t>
  </si>
  <si>
    <t xml:space="preserve">MURTALA LAWAL </t>
  </si>
  <si>
    <t>EDACHE  OGA</t>
  </si>
  <si>
    <t>YUGUDA S. IDRIS</t>
  </si>
  <si>
    <t>GARBA ADAMU</t>
  </si>
  <si>
    <t>4(10)</t>
  </si>
  <si>
    <t>BAKARI HUSSEINI</t>
  </si>
  <si>
    <t>ABUBAKAR MUSA DANLAMI</t>
  </si>
  <si>
    <t>Gideon B. Lamido</t>
  </si>
  <si>
    <t>Dispatch Clerk</t>
  </si>
  <si>
    <t>Ewelikwa Ijeoma Nkolikwa</t>
  </si>
  <si>
    <t>Hussain Hazeem Mohammed</t>
  </si>
  <si>
    <t>Asst. Secretary</t>
  </si>
  <si>
    <t>Saratu H. Gwalem</t>
  </si>
  <si>
    <t>Receptionist</t>
  </si>
  <si>
    <t>ADANHOU V. ALFRED</t>
  </si>
  <si>
    <t>Oluma Joseph Oluma</t>
  </si>
  <si>
    <t>HARUNA BELLO</t>
  </si>
  <si>
    <t>GARDENER</t>
  </si>
  <si>
    <t>Salisu Mohammad Adamu</t>
  </si>
  <si>
    <t>54</t>
  </si>
  <si>
    <t>PROF. OFFORNZE AMUCHEAZI</t>
  </si>
  <si>
    <t>CHIEDO AKALEU</t>
  </si>
  <si>
    <t>13(9)</t>
  </si>
  <si>
    <t>BEDARI HARI</t>
  </si>
  <si>
    <t>LEGAL OFFICER</t>
  </si>
  <si>
    <t>IT OFFICER</t>
  </si>
  <si>
    <t xml:space="preserve">ABUBAKAR LAMIDO </t>
  </si>
  <si>
    <t>8(9)</t>
  </si>
  <si>
    <t>PROF OKECHUKWU OKO</t>
  </si>
  <si>
    <t>DIR. LEG. SP SERVICES</t>
  </si>
  <si>
    <t>DR ADAM GAMBO SALEH</t>
  </si>
  <si>
    <t>INSTITUTE LIBRARIAN</t>
  </si>
  <si>
    <t>DR ANUMUDU CHARLES NNAMDI</t>
  </si>
  <si>
    <t>SRF I SOCIAL SECTOR</t>
  </si>
  <si>
    <t>14(7)</t>
  </si>
  <si>
    <t xml:space="preserve">ABDULKADIR </t>
  </si>
  <si>
    <t xml:space="preserve">BETHEL UZOMA </t>
  </si>
  <si>
    <t>CHARLES I. OBUTTE</t>
  </si>
  <si>
    <t>9(9)</t>
  </si>
  <si>
    <t>9(8)</t>
  </si>
  <si>
    <t>PRISCILLA CHUKWU</t>
  </si>
  <si>
    <t>MANAGER ADMIN &amp; HR</t>
  </si>
  <si>
    <t>MUHAMMED AGEDE YAHAYA</t>
  </si>
  <si>
    <t>YUSUFF ABISOLA GANIYAT</t>
  </si>
  <si>
    <t>OKWUOSA UCHECH AMAECHI</t>
  </si>
  <si>
    <t>h</t>
  </si>
  <si>
    <t>IDAHOSA JANE CECILIA</t>
  </si>
  <si>
    <t>8(11)</t>
  </si>
  <si>
    <t>8(10)</t>
  </si>
  <si>
    <t>5(8)</t>
  </si>
  <si>
    <t>USMAN YAHAYA</t>
  </si>
  <si>
    <t>EJEME PATRICK</t>
  </si>
  <si>
    <t>4(9)</t>
  </si>
  <si>
    <t>4(8)</t>
  </si>
  <si>
    <t>42</t>
  </si>
  <si>
    <t>CASUAL &amp; SABBATICAL STAFF</t>
  </si>
  <si>
    <t>DR AREMU FATAI AYINDE</t>
  </si>
  <si>
    <t>SABBATICAL</t>
  </si>
  <si>
    <t>BENJAMIN SOLOMON AKHERE</t>
  </si>
  <si>
    <t>PROF. NUHU MOHAMMED JAMO</t>
  </si>
  <si>
    <t>OLAGUNJU OLALEKAN</t>
  </si>
  <si>
    <t>EDITOR</t>
  </si>
  <si>
    <t>DISPATCH CLERK</t>
  </si>
  <si>
    <t>GIDEON B. LAMIDO</t>
  </si>
  <si>
    <t>EWELIKWA IJEOMA NKOLIKWA</t>
  </si>
  <si>
    <t>HUSSAIN HAZEEM MOHAMMED</t>
  </si>
  <si>
    <t>ASST SECRETARY</t>
  </si>
  <si>
    <t>EGWUATU ONYEJELEM</t>
  </si>
  <si>
    <t>AYUBA SULE</t>
  </si>
  <si>
    <t>RANK</t>
  </si>
  <si>
    <t>SALARY LEVEL</t>
  </si>
  <si>
    <t>MUSTAPHA SAIDI ATANDA</t>
  </si>
  <si>
    <t>DIRECTOR GENERAL'S OFFICE</t>
  </si>
  <si>
    <t>DORIS DAKDA AARON</t>
  </si>
  <si>
    <t>DEMOCRATIC STUDIES</t>
  </si>
  <si>
    <t>DR IKEME ARTHUR J.O</t>
  </si>
  <si>
    <t>SNR RESEARCH FELLOW</t>
  </si>
  <si>
    <t>EJALONIBU GANIYU LAYI</t>
  </si>
  <si>
    <t>DR CHARLES ALFRED</t>
  </si>
  <si>
    <t>DR FRANCIS NDUM OJIE</t>
  </si>
  <si>
    <t>EMILY EDOISA IKHIDE</t>
  </si>
  <si>
    <t>YUNUSA ABDULLAHI</t>
  </si>
  <si>
    <t>AM ADMIN &amp; HR</t>
  </si>
  <si>
    <t>Okechukwu Uchenna Hulda</t>
  </si>
  <si>
    <t>Admin Assistant</t>
  </si>
  <si>
    <t>NATIONAL INSTITUTE FOR LEGISLATIVE STUDIES</t>
  </si>
  <si>
    <t>INTERNAL MEMO</t>
  </si>
  <si>
    <t>FROM : DDF</t>
  </si>
  <si>
    <t>THROUGH: DFA</t>
  </si>
  <si>
    <t>TO: DG</t>
  </si>
  <si>
    <t>2ND MARCH, 2018</t>
  </si>
  <si>
    <t>Subject: Payroll for the month  of February, 2018</t>
  </si>
  <si>
    <t>Find below the details of  NILS Staff Payroll for the month of February, 2018</t>
  </si>
  <si>
    <t>JANUARY, 2018</t>
  </si>
  <si>
    <t>FEBRUARY, 2018</t>
  </si>
  <si>
    <t>NO OF</t>
  </si>
  <si>
    <t>STAFF</t>
  </si>
  <si>
    <t>Director General's Office</t>
  </si>
  <si>
    <t>Legis. Support Services</t>
  </si>
  <si>
    <t>Legal Services</t>
  </si>
  <si>
    <t>Democratic Studies</t>
  </si>
  <si>
    <t>Post Graduate School</t>
  </si>
  <si>
    <t>Research &amp; Training</t>
  </si>
  <si>
    <t>Finance/ Admin &amp; HR</t>
  </si>
  <si>
    <t>VARIATION IN FEBRUARY, 2018 OVER JANUARY, 2018 SALARIES</t>
  </si>
  <si>
    <t>GROSS SALARY FOR FEBRUARY, 2018</t>
  </si>
  <si>
    <t>COOP SOCIETY DEDUCTIONS</t>
  </si>
  <si>
    <t>COOP ADVANCE RECOVERY</t>
  </si>
  <si>
    <t>PAYE DEDUCTIONS</t>
  </si>
  <si>
    <t>TOTAL DEDUCTIONS FOR FEBRUARY, 2018</t>
  </si>
  <si>
    <t>NET PAY AS PER FEBRUARY, 2018 PAYROLL</t>
  </si>
  <si>
    <t>NET PAY AS PER JANUARY, 2018 PAYROLL</t>
  </si>
  <si>
    <t xml:space="preserve">NET INCREASE/ (DECREASE)  IN PAY FOR FEBRUARY, 2018 </t>
  </si>
  <si>
    <t>Effect of payment of December Consultancy arears to Sarah Hope Tebira</t>
  </si>
  <si>
    <t>Effect of payment of half salary arears to Abdullahi Yunusa for December on suspension resumption</t>
  </si>
  <si>
    <t>Effect of Payment of 28 days allowance in lieu to new enrolments last in January</t>
  </si>
  <si>
    <t>Effect of Correct Salary placement for Ismaheel Driver and December arears</t>
  </si>
  <si>
    <t>Effect of Tax adjustments for January 2018</t>
  </si>
  <si>
    <t>Effect of enrolment of Owoeye T. Kayode as Confidential Secretary on Payroll</t>
  </si>
  <si>
    <t>Effect of enrolment of Aba Amos Terso as Office assistant</t>
  </si>
  <si>
    <t>Effect of January arears for Aba Amos Terso</t>
  </si>
  <si>
    <t xml:space="preserve">Effect of Payment of 28 days allowance in lieu to new enrolments </t>
  </si>
  <si>
    <t>Effect of enrolment of Daramola Sanjo Samson as Driver on payroll</t>
  </si>
  <si>
    <t>Effect of payment of 3 months salary in lie of notice to Blessing Ikanyi on termination</t>
  </si>
  <si>
    <t>Effect of removal of  Dr Hauwa Lamino on resignation</t>
  </si>
  <si>
    <t>Effect of enrolment of Prof Femi Ajayi DDS on payroll</t>
  </si>
  <si>
    <t>Effect of Cooperative deductions for February, 2018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</si>
  <si>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N28,676,056.21  </t>
    </r>
    <r>
      <rPr>
        <sz val="14"/>
        <rFont val="Times New Roman"/>
        <family val="1"/>
      </rPr>
      <t xml:space="preserve">to Guaranty Trust Bank  being January, 2018 Salary, </t>
    </r>
    <r>
      <rPr>
        <b/>
        <sz val="14"/>
        <rFont val="Times New Roman"/>
        <family val="1"/>
      </rPr>
      <t xml:space="preserve">N4,208,883.00 </t>
    </r>
    <r>
      <rPr>
        <sz val="14"/>
        <rFont val="Times New Roman"/>
        <family val="1"/>
      </rPr>
      <t>being NILS Coop Society deductions for January and</t>
    </r>
    <r>
      <rPr>
        <b/>
        <sz val="14"/>
        <rFont val="Times New Roman"/>
        <family val="1"/>
      </rPr>
      <t xml:space="preserve"> N912,665.57 </t>
    </r>
    <r>
      <rPr>
        <sz val="14"/>
        <rFont val="Times New Roman"/>
        <family val="1"/>
      </rPr>
      <t>being PAYE TAX Deductions from Staff Salary for the month of January, 2018.</t>
    </r>
  </si>
  <si>
    <t>Mshelia Madu Ibrahim</t>
  </si>
  <si>
    <t>Deputy Director, Finance &amp;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</si>
  <si>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</si>
  <si>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</si>
  <si>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</si>
  <si>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</si>
  <si>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</si>
  <si>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</si>
  <si>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</si>
  <si>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</si>
  <si>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</si>
  <si>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</si>
  <si>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</si>
  <si>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</si>
  <si>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Motor Fuel Allowance</t>
  </si>
  <si>
    <t>Leave Allowance</t>
  </si>
  <si>
    <t>Outfit Allowance</t>
  </si>
  <si>
    <t>GROSS SALARY</t>
  </si>
  <si>
    <t>SALARY DETAILS OF NILS INSTITUTE LIBRARIAN</t>
  </si>
  <si>
    <t>GRADE LEVEL 16 STEP 7</t>
  </si>
  <si>
    <t>Reasearch Allowance</t>
  </si>
  <si>
    <t>CHRISTMAS WELFARE LIST 2017</t>
  </si>
  <si>
    <t>SALARY SCALE</t>
  </si>
  <si>
    <t>MOSHOOD M. OLALERE</t>
  </si>
  <si>
    <t>NASS DEPLOYED</t>
  </si>
  <si>
    <t>JAMES DAJAN LAMAN</t>
  </si>
  <si>
    <t>M&amp;E SPECIALIST</t>
  </si>
  <si>
    <t>Adugba Richard Terseer</t>
  </si>
  <si>
    <t>Muhammad Gali T. Bala</t>
  </si>
  <si>
    <t>Aminu Abubakar</t>
  </si>
  <si>
    <t>NWAFOR ORIZU ONYIYE</t>
  </si>
  <si>
    <t>LEGAL SERVICES</t>
  </si>
  <si>
    <t>DIRECTOR LEGAL SERVICES</t>
  </si>
  <si>
    <t>POST GRADUATE SCHOOL</t>
  </si>
  <si>
    <t>DIRECTOR POST GRADUATE</t>
  </si>
  <si>
    <t>DR HAUWA LAMINO ABUBAKAR</t>
  </si>
  <si>
    <t>ASSISTANT MANAGER, PG</t>
  </si>
  <si>
    <t xml:space="preserve">SENIOR RESEARCH FELLOW </t>
  </si>
  <si>
    <t>DR YINUSA OLUMUYIWA GANIYU</t>
  </si>
  <si>
    <t>DR AUGUSTINE C. OSIGWE</t>
  </si>
  <si>
    <t>DR OLA FALADE</t>
  </si>
  <si>
    <t>SENIOR RESEARCH FELLOW  TRAINING</t>
  </si>
  <si>
    <t>OMOJU OLUWASOLA EMMANUEL</t>
  </si>
  <si>
    <t>ONYIMADU C. ONYEBUCHI</t>
  </si>
  <si>
    <t>ENGR. EBI THOMPSON</t>
  </si>
  <si>
    <t>ADEOGUN MARUF</t>
  </si>
  <si>
    <t>Sekyen Sylvanus</t>
  </si>
  <si>
    <t>Biwet Jummai Ajiya</t>
  </si>
  <si>
    <t>Manshak Bawa</t>
  </si>
  <si>
    <t>Timothy Tanko</t>
  </si>
  <si>
    <t>Security</t>
  </si>
  <si>
    <t>Sabo Daga</t>
  </si>
  <si>
    <t>63</t>
  </si>
  <si>
    <t>PROF. MUHAMMED T. LADAN</t>
  </si>
  <si>
    <t>DLSS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</si>
  <si>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</si>
  <si>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</si>
  <si>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</si>
  <si>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</si>
  <si>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</si>
  <si>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</si>
  <si>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</si>
  <si>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</si>
  <si>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</si>
  <si>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</si>
  <si>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BASIC</t>
  </si>
  <si>
    <t>28 DAYS ALCE</t>
  </si>
  <si>
    <t>PERSONAL</t>
  </si>
  <si>
    <t>MOTOR/</t>
  </si>
  <si>
    <t>RESEARCH</t>
  </si>
  <si>
    <t>LEAVE</t>
  </si>
  <si>
    <t>OUT FIT</t>
  </si>
  <si>
    <t>MAR.2012</t>
  </si>
  <si>
    <t>FEB. 2012</t>
  </si>
  <si>
    <t>SALARY</t>
  </si>
  <si>
    <t>IN LIEU</t>
  </si>
  <si>
    <t>RENT</t>
  </si>
  <si>
    <t>UTILITY</t>
  </si>
  <si>
    <t>DOMESTIC</t>
  </si>
  <si>
    <t>ENTERT.</t>
  </si>
  <si>
    <t>FURNIT.</t>
  </si>
  <si>
    <t>ASSISTANT</t>
  </si>
  <si>
    <t>FUEL</t>
  </si>
  <si>
    <t>ALLOWANCE</t>
  </si>
  <si>
    <t>ALLCE</t>
  </si>
  <si>
    <t>DUTY ALLCE</t>
  </si>
  <si>
    <t>PAYE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</si>
  <si>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</si>
  <si>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</si>
  <si>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</si>
  <si>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</si>
  <si>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</si>
  <si>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</si>
  <si>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</si>
  <si>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</si>
  <si>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</si>
  <si>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</si>
  <si>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</si>
  <si>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</si>
  <si>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</si>
  <si>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LIST OF STAFF THAT HAVE ASSUMED DUTY</t>
  </si>
  <si>
    <t xml:space="preserve">SALARY </t>
  </si>
  <si>
    <t>LEVEL</t>
  </si>
  <si>
    <t>DG</t>
  </si>
  <si>
    <t>MOHAMMED ISIAKA YAKUBU</t>
  </si>
  <si>
    <t>SPECIAL ASSISTANT</t>
  </si>
  <si>
    <t>RICHARD KWALMI</t>
  </si>
  <si>
    <t>DSM</t>
  </si>
  <si>
    <t>10(10)</t>
  </si>
  <si>
    <t>1CT ASSISTANT</t>
  </si>
  <si>
    <t>8(2)</t>
  </si>
  <si>
    <t>DD</t>
  </si>
  <si>
    <t>SOLOMON A. BENJAMIN</t>
  </si>
  <si>
    <t>DD TRAINING</t>
  </si>
  <si>
    <t>DR PATTERSON EKEOCHA</t>
  </si>
  <si>
    <t>SRF</t>
  </si>
  <si>
    <t>DFA</t>
  </si>
  <si>
    <t>RAHILA AMOS</t>
  </si>
  <si>
    <t>OFFICER ACCTS</t>
  </si>
  <si>
    <t>10(&amp;)</t>
  </si>
  <si>
    <t>SEC. FINANCE</t>
  </si>
  <si>
    <t>8/(9)</t>
  </si>
  <si>
    <t>ESTHER WAMINAJE</t>
  </si>
  <si>
    <t>RECEPTIONIST</t>
  </si>
  <si>
    <t>JAFARU MUSA</t>
  </si>
  <si>
    <t>3(8)</t>
  </si>
  <si>
    <t>JOHN JAMBU ASIGAN</t>
  </si>
  <si>
    <t>STEWARD</t>
  </si>
  <si>
    <t>SALARY DETAILS OF NILS  LIBRARIAN</t>
  </si>
  <si>
    <t>SALARY DETAILS OF NILS SENIOR MOTOR DRIVER-MECHANIC</t>
  </si>
  <si>
    <t>GRADE LEVEL 5 STEP 7</t>
  </si>
  <si>
    <t>NOMINAL ROLL AND 2012 PERSONEL COST ESTIMATION</t>
  </si>
  <si>
    <t>S/NO</t>
  </si>
  <si>
    <t>NUMBER</t>
  </si>
  <si>
    <t>ANNUAL SALARY</t>
  </si>
  <si>
    <t>CONS.</t>
  </si>
  <si>
    <t>1</t>
  </si>
  <si>
    <t>DIRECTORS</t>
  </si>
  <si>
    <t>4</t>
  </si>
  <si>
    <t>2</t>
  </si>
  <si>
    <t>DEUTY DIRECTORS</t>
  </si>
  <si>
    <t>SENIOR RESEARCH FELLOWS</t>
  </si>
  <si>
    <t>MANAGERS</t>
  </si>
  <si>
    <t>ASSISTANT MANAGERS</t>
  </si>
  <si>
    <t>OFFICERS</t>
  </si>
  <si>
    <t>OFFICE ASSISTANTS</t>
  </si>
  <si>
    <t>20</t>
  </si>
  <si>
    <t>SECRETARIES</t>
  </si>
  <si>
    <t>DRIVERS</t>
  </si>
  <si>
    <t>GRADE</t>
  </si>
  <si>
    <t>SIGNATURE</t>
  </si>
  <si>
    <t>DR BADAYI M. SANI</t>
  </si>
  <si>
    <t>HEAD PUBLICATION</t>
  </si>
  <si>
    <t>DR MOBOLAJI HAKEEM</t>
  </si>
  <si>
    <t>MICT</t>
  </si>
  <si>
    <t>ADAMU ISA ABBA</t>
  </si>
  <si>
    <t>INFO. MANAGER</t>
  </si>
  <si>
    <t>KABIR M. SULAIMAN</t>
  </si>
  <si>
    <t>MANAGER ADMIN/ HR</t>
  </si>
  <si>
    <t>MANAGER ACCOUNTS</t>
  </si>
  <si>
    <t>MANAGER PROCUREMENT</t>
  </si>
  <si>
    <t>DR ANAH O. PAMELA</t>
  </si>
  <si>
    <t>15((7)</t>
  </si>
  <si>
    <t xml:space="preserve">                                   </t>
  </si>
  <si>
    <t>EDET B. AKPAKPAN</t>
  </si>
  <si>
    <t>Sab.</t>
  </si>
  <si>
    <t>FAROUK U. M ILLO</t>
  </si>
  <si>
    <t>UMOLU ADAEZE OBIAMAKA</t>
  </si>
  <si>
    <t>INFO OFFICER</t>
  </si>
  <si>
    <t>OFFICER INT AUDIT</t>
  </si>
  <si>
    <t>IBRAHIM TASSNEEM</t>
  </si>
  <si>
    <t>GLORIA NDIDI HELG</t>
  </si>
  <si>
    <t>9(7)</t>
  </si>
  <si>
    <t>DR MADU MAGNUS EMEKA</t>
  </si>
  <si>
    <t>HARRISON O. OKAFOR</t>
  </si>
  <si>
    <t>EHIGIAMUSOE UYI KIZITO</t>
  </si>
  <si>
    <t>OGBONNAYA UFIEM MAURICE</t>
  </si>
  <si>
    <t>PATIENCE AMUDA BOSAH</t>
  </si>
  <si>
    <t>SALIHU LIMAN MAIRAFI</t>
  </si>
  <si>
    <t>PROCUREMENT OFFICER</t>
  </si>
  <si>
    <t>CYNTHIA CHINENYE OKENMUO</t>
  </si>
  <si>
    <t>ASSET&amp; MAINT. ASST.</t>
  </si>
  <si>
    <t>MARGARET LEONIE DUREKE</t>
  </si>
  <si>
    <t>PROCUREMENT ASSIST</t>
  </si>
  <si>
    <t>DONALD E. MKAPANAM</t>
  </si>
  <si>
    <t>4(7)</t>
  </si>
  <si>
    <t>SUNDAY IGHOFOMA</t>
  </si>
  <si>
    <t>-</t>
  </si>
  <si>
    <t>JUMMAI AJIYA</t>
  </si>
  <si>
    <t>ABOMAN INNOCENT</t>
  </si>
  <si>
    <t>CLEANER</t>
  </si>
  <si>
    <t>AKEUSOLA SEGUN</t>
  </si>
  <si>
    <t>ONCHE ENOKELA ONCHE</t>
  </si>
  <si>
    <t>EID EL KABIR TRANSPORT ALLOWANCE TO NILS DEPLOYED STAFF</t>
  </si>
  <si>
    <t>ARC OJO M.O</t>
  </si>
  <si>
    <t>DD &amp; HEAD OF BUILDING</t>
  </si>
  <si>
    <t>MANAGER LIB. &amp; DOCUM.</t>
  </si>
  <si>
    <t>AMINU F. HAMAJODA</t>
  </si>
  <si>
    <t>MANAGER INFORMATION</t>
  </si>
  <si>
    <t>DAHIRU M. ABDULLAHI</t>
  </si>
  <si>
    <t>MOSHOOD M. OLARELE</t>
  </si>
  <si>
    <t>IBRAHIM A. BABANGISHIRI</t>
  </si>
  <si>
    <t>OFFICER INFORMATION</t>
  </si>
  <si>
    <t>JIBRIN USHAMA AHMED</t>
  </si>
  <si>
    <t>OFFICER LEGAL</t>
  </si>
  <si>
    <t>ASSISTANT CHIEF ENGINEER</t>
  </si>
  <si>
    <t>ADEOGUN MORUF</t>
  </si>
  <si>
    <t>PRINCIPAL Q.S</t>
  </si>
  <si>
    <t>2013 END OF YEAR  STAFF WELFARE  TO ASSIST WITH TRANSPORTATION AND LOGISTICS.</t>
  </si>
  <si>
    <t>16(70</t>
  </si>
  <si>
    <t>TONDO IORWUESEEDWARD</t>
  </si>
  <si>
    <t>44</t>
  </si>
  <si>
    <t>OKOYE AUGUSTINA CHINENYE</t>
  </si>
  <si>
    <t>UKPONG INYANG ONOYOM</t>
  </si>
  <si>
    <t>AMARACHI NNAWUCHI</t>
  </si>
  <si>
    <t>14</t>
  </si>
  <si>
    <t>PROF. EDET AKPAKPAN</t>
  </si>
  <si>
    <t>TERFA W. ABRAHAM</t>
  </si>
  <si>
    <t>IBRAHIM OKPE</t>
  </si>
  <si>
    <t>AM PROTOCOL</t>
  </si>
  <si>
    <t>12</t>
  </si>
  <si>
    <t>New Additions</t>
  </si>
  <si>
    <t>30 Days</t>
  </si>
  <si>
    <t>10 Days</t>
  </si>
  <si>
    <t>Sulaiman A Abdurahman</t>
  </si>
  <si>
    <t>Assistant Store Officer</t>
  </si>
  <si>
    <t>18 Days</t>
  </si>
  <si>
    <t>2 months (July &amp; Aug 2019)</t>
  </si>
  <si>
    <t>47 Days</t>
  </si>
  <si>
    <t>Removals</t>
  </si>
  <si>
    <t>Uchenna Hulda Okechukwu</t>
  </si>
  <si>
    <t>Juwairatu Isha Abdulsalam</t>
  </si>
  <si>
    <t>Gideon Babor Lamidp</t>
  </si>
  <si>
    <t xml:space="preserve">Gwalem Saratu </t>
  </si>
  <si>
    <t>Hauwa Pate Sadiq</t>
  </si>
  <si>
    <t>CONTRACT/SABBATICAL AND CONSULTANT SALARY FOR THE MONTH OF JUNE 2023</t>
  </si>
  <si>
    <t>Karimat Olookere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</si>
</sst>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58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6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u/>
      <sz val="14"/>
      <name val="Times New Roman"/>
      <family val="1"/>
    </font>
    <font>
      <b/>
      <u val="double"/>
      <sz val="14"/>
      <name val="Times New Roman"/>
      <family val="1"/>
    </font>
    <font>
      <b/>
      <u val="double"/>
      <sz val="16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u val="double"/>
      <sz val="14"/>
      <name val="Tahoma"/>
      <family val="2"/>
    </font>
    <font>
      <sz val="14"/>
      <name val="Tahoma"/>
      <family val="2"/>
    </font>
    <font>
      <b/>
      <sz val="14"/>
      <name val="Tahoma"/>
      <family val="2"/>
    </font>
    <font>
      <b/>
      <u/>
      <sz val="14"/>
      <name val="Tahoma"/>
      <family val="2"/>
    </font>
    <font>
      <b/>
      <u/>
      <sz val="14"/>
      <color indexed="8"/>
      <name val="Tahoma"/>
      <family val="2"/>
    </font>
    <font>
      <b/>
      <sz val="14"/>
      <color indexed="8"/>
      <name val="Tahoma"/>
      <family val="2"/>
    </font>
    <font>
      <b/>
      <strike/>
      <sz val="14"/>
      <name val="Tahoma"/>
      <family val="2"/>
    </font>
    <font>
      <sz val="14"/>
      <color indexed="8"/>
      <name val="Tahoma"/>
      <family val="2"/>
    </font>
    <font>
      <b/>
      <sz val="16"/>
      <name val="Times New Roman"/>
      <family val="1"/>
    </font>
    <font>
      <b/>
      <sz val="16"/>
      <name val="Arial"/>
      <family val="2"/>
    </font>
    <font>
      <b/>
      <sz val="16"/>
      <name val="Tahoma"/>
      <family val="2"/>
    </font>
    <font>
      <sz val="10"/>
      <name val="Tahoma"/>
      <family val="2"/>
    </font>
    <font>
      <b/>
      <sz val="14"/>
      <name val="Arial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  <font>
      <u val="singleAccounting"/>
      <sz val="14"/>
      <name val="Times New Roman"/>
      <family val="1"/>
    </font>
    <font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ahoma"/>
      <family val="2"/>
    </font>
    <font>
      <sz val="22"/>
      <name val="Times New Roman"/>
      <family val="1"/>
    </font>
    <font>
      <sz val="10.5"/>
      <color rgb="FF000000"/>
      <name val="Tahoma"/>
      <family val="2"/>
    </font>
    <font>
      <b/>
      <u val="singleAccounting"/>
      <sz val="14"/>
      <name val="Times New Roman"/>
      <family val="1"/>
    </font>
    <font>
      <b/>
      <sz val="18"/>
      <name val="Tahoma"/>
      <family val="2"/>
    </font>
    <font>
      <b/>
      <strike/>
      <sz val="18"/>
      <name val="Tahoma"/>
      <family val="2"/>
    </font>
    <font>
      <sz val="14"/>
      <color rgb="FFFF0000"/>
      <name val="Tahoma"/>
      <family val="2"/>
    </font>
    <font>
      <b/>
      <sz val="12"/>
      <name val="Tahoma"/>
      <family val="2"/>
    </font>
    <font>
      <sz val="14"/>
      <color rgb="FFFF0000"/>
      <name val="Times New Roman"/>
      <family val="1"/>
    </font>
    <font>
      <b/>
      <u/>
      <sz val="18"/>
      <name val="Times New Roman"/>
      <family val="1"/>
    </font>
    <font>
      <sz val="12"/>
      <name val="Tahoma"/>
      <family val="2"/>
    </font>
    <font>
      <b/>
      <u/>
      <sz val="18"/>
      <name val="Tahoma"/>
      <family val="2"/>
    </font>
    <font>
      <sz val="16"/>
      <name val="Times New Roman"/>
      <family val="1"/>
    </font>
    <font>
      <b/>
      <u/>
      <sz val="20"/>
      <name val="Tahoma"/>
      <family val="2"/>
    </font>
    <font>
      <b/>
      <i/>
      <sz val="11"/>
      <name val="Tahoma"/>
      <family val="2"/>
    </font>
    <font>
      <b/>
      <u/>
      <sz val="16"/>
      <name val="Tahoma"/>
      <family val="2"/>
    </font>
    <font>
      <b/>
      <sz val="12"/>
      <color theme="1"/>
      <name val="Tahoma"/>
      <family val="2"/>
    </font>
    <font>
      <b/>
      <u/>
      <sz val="12"/>
      <name val="Tahoma"/>
      <family val="2"/>
    </font>
    <font>
      <b/>
      <sz val="12"/>
      <color indexed="8"/>
      <name val="Times New Roman"/>
      <family val="1"/>
    </font>
    <font>
      <sz val="20"/>
      <name val="Times New Roman"/>
      <family val="1"/>
    </font>
    <font>
      <b/>
      <u/>
      <sz val="20"/>
      <name val="Times New Roman"/>
      <family val="1"/>
    </font>
    <font>
      <sz val="14"/>
      <color indexed="9"/>
      <name val="Times New Roman"/>
      <family val="1"/>
    </font>
    <font>
      <b/>
      <strike/>
      <sz val="16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473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0" xfId="0" applyFont="1"/>
    <xf numFmtId="0" fontId="10" fillId="0" borderId="0" xfId="0" applyFont="1"/>
    <xf numFmtId="17" fontId="4" fillId="0" borderId="1" xfId="0" applyNumberFormat="1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4" fontId="2" fillId="0" borderId="0" xfId="0" applyNumberFormat="1" applyFont="1"/>
    <xf numFmtId="0" fontId="5" fillId="0" borderId="1" xfId="0" applyFont="1" applyBorder="1" applyAlignment="1">
      <alignment horizontal="center"/>
    </xf>
    <xf numFmtId="43" fontId="12" fillId="2" borderId="1" xfId="1" applyFont="1" applyFill="1" applyBorder="1" applyAlignment="1">
      <alignment horizontal="right"/>
    </xf>
    <xf numFmtId="0" fontId="14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5" fillId="0" borderId="1" xfId="0" applyNumberFormat="1" applyFont="1" applyBorder="1"/>
    <xf numFmtId="49" fontId="12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12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15" fillId="0" borderId="0" xfId="0" applyFont="1" applyAlignment="1">
      <alignment horizontal="left"/>
    </xf>
    <xf numFmtId="0" fontId="16" fillId="0" borderId="0" xfId="0" applyFont="1"/>
    <xf numFmtId="4" fontId="16" fillId="0" borderId="0" xfId="0" applyNumberFormat="1" applyFont="1"/>
    <xf numFmtId="17" fontId="18" fillId="0" borderId="0" xfId="0" applyNumberFormat="1" applyFont="1" applyAlignment="1">
      <alignment horizontal="left"/>
    </xf>
    <xf numFmtId="0" fontId="18" fillId="0" borderId="0" xfId="0" applyFont="1" applyAlignment="1">
      <alignment horizontal="center"/>
    </xf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49" fontId="20" fillId="0" borderId="1" xfId="0" applyNumberFormat="1" applyFont="1" applyBorder="1" applyAlignment="1">
      <alignment horizontal="left"/>
    </xf>
    <xf numFmtId="49" fontId="22" fillId="0" borderId="1" xfId="0" applyNumberFormat="1" applyFont="1" applyBorder="1" applyAlignment="1">
      <alignment horizontal="left"/>
    </xf>
    <xf numFmtId="0" fontId="16" fillId="0" borderId="1" xfId="0" applyFont="1" applyBorder="1"/>
    <xf numFmtId="20" fontId="16" fillId="0" borderId="1" xfId="0" applyNumberFormat="1" applyFont="1" applyBorder="1"/>
    <xf numFmtId="0" fontId="17" fillId="0" borderId="1" xfId="0" applyFont="1" applyBorder="1"/>
    <xf numFmtId="0" fontId="18" fillId="0" borderId="1" xfId="0" applyFont="1" applyBorder="1" applyAlignment="1">
      <alignment horizontal="left"/>
    </xf>
    <xf numFmtId="49" fontId="22" fillId="0" borderId="1" xfId="0" applyNumberFormat="1" applyFont="1" applyBorder="1"/>
    <xf numFmtId="49" fontId="20" fillId="0" borderId="1" xfId="0" applyNumberFormat="1" applyFont="1" applyBorder="1"/>
    <xf numFmtId="16" fontId="16" fillId="0" borderId="1" xfId="0" applyNumberFormat="1" applyFont="1" applyBorder="1"/>
    <xf numFmtId="49" fontId="20" fillId="0" borderId="2" xfId="0" applyNumberFormat="1" applyFont="1" applyBorder="1" applyAlignment="1">
      <alignment horizontal="left"/>
    </xf>
    <xf numFmtId="49" fontId="20" fillId="0" borderId="3" xfId="0" applyNumberFormat="1" applyFont="1" applyBorder="1" applyAlignment="1">
      <alignment horizontal="left"/>
    </xf>
    <xf numFmtId="49" fontId="20" fillId="0" borderId="4" xfId="0" applyNumberFormat="1" applyFont="1" applyBorder="1" applyAlignment="1">
      <alignment horizontal="left"/>
    </xf>
    <xf numFmtId="0" fontId="16" fillId="4" borderId="1" xfId="0" applyFont="1" applyFill="1" applyBorder="1" applyAlignment="1">
      <alignment horizontal="center"/>
    </xf>
    <xf numFmtId="49" fontId="22" fillId="4" borderId="1" xfId="0" applyNumberFormat="1" applyFont="1" applyFill="1" applyBorder="1" applyAlignment="1">
      <alignment horizontal="center"/>
    </xf>
    <xf numFmtId="20" fontId="16" fillId="4" borderId="1" xfId="0" applyNumberFormat="1" applyFont="1" applyFill="1" applyBorder="1" applyAlignment="1">
      <alignment horizontal="center"/>
    </xf>
    <xf numFmtId="49" fontId="20" fillId="4" borderId="1" xfId="0" applyNumberFormat="1" applyFont="1" applyFill="1" applyBorder="1"/>
    <xf numFmtId="0" fontId="5" fillId="0" borderId="1" xfId="0" applyFont="1" applyBorder="1" applyAlignment="1">
      <alignment horizontal="right"/>
    </xf>
    <xf numFmtId="0" fontId="2" fillId="4" borderId="1" xfId="0" applyFont="1" applyFill="1" applyBorder="1"/>
    <xf numFmtId="0" fontId="5" fillId="0" borderId="1" xfId="0" applyFont="1" applyBorder="1"/>
    <xf numFmtId="49" fontId="12" fillId="4" borderId="1" xfId="0" applyNumberFormat="1" applyFont="1" applyFill="1" applyBorder="1" applyAlignment="1">
      <alignment horizontal="left"/>
    </xf>
    <xf numFmtId="49" fontId="12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5" fillId="0" borderId="1" xfId="1" applyFont="1" applyBorder="1"/>
    <xf numFmtId="0" fontId="2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left"/>
    </xf>
    <xf numFmtId="49" fontId="22" fillId="4" borderId="1" xfId="0" applyNumberFormat="1" applyFont="1" applyFill="1" applyBorder="1" applyAlignment="1">
      <alignment horizontal="left"/>
    </xf>
    <xf numFmtId="0" fontId="16" fillId="4" borderId="1" xfId="0" applyFont="1" applyFill="1" applyBorder="1"/>
    <xf numFmtId="43" fontId="16" fillId="0" borderId="1" xfId="1" applyFont="1" applyBorder="1"/>
    <xf numFmtId="0" fontId="0" fillId="0" borderId="1" xfId="0" applyBorder="1"/>
    <xf numFmtId="49" fontId="22" fillId="4" borderId="1" xfId="0" applyNumberFormat="1" applyFont="1" applyFill="1" applyBorder="1"/>
    <xf numFmtId="43" fontId="17" fillId="0" borderId="1" xfId="1" applyFont="1" applyBorder="1"/>
    <xf numFmtId="43" fontId="24" fillId="0" borderId="1" xfId="0" applyNumberFormat="1" applyFont="1" applyBorder="1"/>
    <xf numFmtId="0" fontId="26" fillId="0" borderId="1" xfId="0" applyFont="1" applyBorder="1"/>
    <xf numFmtId="43" fontId="17" fillId="0" borderId="1" xfId="0" applyNumberFormat="1" applyFont="1" applyBorder="1"/>
    <xf numFmtId="0" fontId="16" fillId="4" borderId="2" xfId="0" applyFont="1" applyFill="1" applyBorder="1"/>
    <xf numFmtId="0" fontId="16" fillId="4" borderId="4" xfId="0" applyFont="1" applyFill="1" applyBorder="1"/>
    <xf numFmtId="0" fontId="17" fillId="0" borderId="0" xfId="0" applyFont="1"/>
    <xf numFmtId="0" fontId="16" fillId="0" borderId="0" xfId="0" applyFont="1" applyAlignment="1">
      <alignment horizontal="center"/>
    </xf>
    <xf numFmtId="0" fontId="17" fillId="0" borderId="5" xfId="0" applyFont="1" applyBorder="1" applyAlignment="1">
      <alignment horizontal="left"/>
    </xf>
    <xf numFmtId="0" fontId="17" fillId="0" borderId="5" xfId="0" applyFont="1" applyBorder="1"/>
    <xf numFmtId="0" fontId="16" fillId="0" borderId="1" xfId="0" applyFont="1" applyBorder="1" applyAlignment="1">
      <alignment horizontal="center"/>
    </xf>
    <xf numFmtId="0" fontId="27" fillId="0" borderId="1" xfId="0" applyFont="1" applyBorder="1"/>
    <xf numFmtId="43" fontId="27" fillId="0" borderId="1" xfId="0" applyNumberFormat="1" applyFont="1" applyBorder="1"/>
    <xf numFmtId="0" fontId="5" fillId="0" borderId="1" xfId="0" applyFont="1" applyBorder="1" applyAlignment="1">
      <alignment horizontal="left"/>
    </xf>
    <xf numFmtId="49" fontId="28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2" fillId="4" borderId="2" xfId="0" applyNumberFormat="1" applyFont="1" applyFill="1" applyBorder="1"/>
    <xf numFmtId="49" fontId="12" fillId="4" borderId="3" xfId="0" applyNumberFormat="1" applyFont="1" applyFill="1" applyBorder="1"/>
    <xf numFmtId="49" fontId="12" fillId="4" borderId="4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43" fontId="4" fillId="4" borderId="1" xfId="1" applyFont="1" applyFill="1" applyBorder="1" applyAlignment="1">
      <alignment horizontal="right"/>
    </xf>
    <xf numFmtId="49" fontId="12" fillId="4" borderId="2" xfId="0" applyNumberFormat="1" applyFont="1" applyFill="1" applyBorder="1" applyAlignment="1">
      <alignment horizontal="left"/>
    </xf>
    <xf numFmtId="49" fontId="12" fillId="4" borderId="3" xfId="0" applyNumberFormat="1" applyFont="1" applyFill="1" applyBorder="1" applyAlignment="1">
      <alignment horizontal="left"/>
    </xf>
    <xf numFmtId="49" fontId="28" fillId="4" borderId="1" xfId="0" applyNumberFormat="1" applyFont="1" applyFill="1" applyBorder="1" applyAlignment="1">
      <alignment horizontal="center"/>
    </xf>
    <xf numFmtId="49" fontId="28" fillId="4" borderId="4" xfId="0" applyNumberFormat="1" applyFont="1" applyFill="1" applyBorder="1" applyAlignment="1">
      <alignment horizontal="left"/>
    </xf>
    <xf numFmtId="4" fontId="5" fillId="4" borderId="1" xfId="0" applyNumberFormat="1" applyFont="1" applyFill="1" applyBorder="1" applyAlignment="1">
      <alignment horizontal="left"/>
    </xf>
    <xf numFmtId="4" fontId="5" fillId="4" borderId="1" xfId="0" applyNumberFormat="1" applyFont="1" applyFill="1" applyBorder="1" applyAlignment="1">
      <alignment horizontal="center"/>
    </xf>
    <xf numFmtId="43" fontId="5" fillId="4" borderId="1" xfId="1" quotePrefix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49" fontId="28" fillId="4" borderId="2" xfId="0" applyNumberFormat="1" applyFont="1" applyFill="1" applyBorder="1" applyAlignment="1">
      <alignment horizontal="left"/>
    </xf>
    <xf numFmtId="49" fontId="28" fillId="4" borderId="3" xfId="0" applyNumberFormat="1" applyFont="1" applyFill="1" applyBorder="1" applyAlignment="1">
      <alignment horizontal="left"/>
    </xf>
    <xf numFmtId="43" fontId="5" fillId="4" borderId="1" xfId="1" applyFont="1" applyFill="1" applyBorder="1" applyAlignment="1">
      <alignment horizontal="right"/>
    </xf>
    <xf numFmtId="43" fontId="0" fillId="0" borderId="0" xfId="0" applyNumberFormat="1"/>
    <xf numFmtId="0" fontId="9" fillId="0" borderId="0" xfId="0" applyFont="1" applyAlignment="1">
      <alignment horizontal="center"/>
    </xf>
    <xf numFmtId="0" fontId="2" fillId="0" borderId="1" xfId="0" applyFont="1" applyBorder="1"/>
    <xf numFmtId="0" fontId="18" fillId="0" borderId="0" xfId="0" applyFont="1"/>
    <xf numFmtId="0" fontId="29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43" fontId="0" fillId="0" borderId="1" xfId="1" applyFont="1" applyBorder="1"/>
    <xf numFmtId="43" fontId="29" fillId="0" borderId="1" xfId="1" applyFont="1" applyBorder="1"/>
    <xf numFmtId="0" fontId="0" fillId="0" borderId="0" xfId="0" applyAlignment="1">
      <alignment horizontal="center"/>
    </xf>
    <xf numFmtId="0" fontId="29" fillId="0" borderId="0" xfId="0" applyFont="1"/>
    <xf numFmtId="43" fontId="29" fillId="0" borderId="0" xfId="1" applyFont="1" applyBorder="1"/>
    <xf numFmtId="43" fontId="0" fillId="0" borderId="0" xfId="1" applyFont="1" applyBorder="1"/>
    <xf numFmtId="0" fontId="30" fillId="0" borderId="1" xfId="0" applyFont="1" applyBorder="1"/>
    <xf numFmtId="43" fontId="30" fillId="0" borderId="1" xfId="0" applyNumberFormat="1" applyFont="1" applyBorder="1"/>
    <xf numFmtId="0" fontId="0" fillId="0" borderId="0" xfId="0" applyAlignment="1">
      <alignment horizontal="center" vertical="center"/>
    </xf>
    <xf numFmtId="43" fontId="2" fillId="0" borderId="0" xfId="0" applyNumberFormat="1" applyFont="1"/>
    <xf numFmtId="43" fontId="18" fillId="0" borderId="1" xfId="1" applyFont="1" applyFill="1" applyBorder="1" applyAlignment="1">
      <alignment horizontal="right"/>
    </xf>
    <xf numFmtId="0" fontId="18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43" fontId="16" fillId="0" borderId="1" xfId="1" applyFont="1" applyFill="1" applyBorder="1" applyAlignment="1">
      <alignment horizontal="right"/>
    </xf>
    <xf numFmtId="49" fontId="22" fillId="0" borderId="1" xfId="0" applyNumberFormat="1" applyFont="1" applyBorder="1" applyAlignment="1">
      <alignment horizontal="center"/>
    </xf>
    <xf numFmtId="43" fontId="16" fillId="0" borderId="1" xfId="1" quotePrefix="1" applyFont="1" applyFill="1" applyBorder="1" applyAlignment="1">
      <alignment horizontal="right"/>
    </xf>
    <xf numFmtId="20" fontId="16" fillId="0" borderId="1" xfId="0" applyNumberFormat="1" applyFont="1" applyBorder="1" applyAlignment="1">
      <alignment horizontal="center"/>
    </xf>
    <xf numFmtId="43" fontId="16" fillId="0" borderId="1" xfId="1" applyFont="1" applyFill="1" applyBorder="1"/>
    <xf numFmtId="43" fontId="17" fillId="0" borderId="1" xfId="1" applyFont="1" applyFill="1" applyBorder="1" applyAlignment="1">
      <alignment horizontal="right"/>
    </xf>
    <xf numFmtId="43" fontId="16" fillId="0" borderId="1" xfId="1" applyFont="1" applyFill="1" applyBorder="1" applyAlignment="1">
      <alignment horizontal="center"/>
    </xf>
    <xf numFmtId="4" fontId="15" fillId="0" borderId="1" xfId="0" applyNumberFormat="1" applyFont="1" applyBorder="1" applyAlignment="1">
      <alignment horizontal="right"/>
    </xf>
    <xf numFmtId="43" fontId="31" fillId="0" borderId="0" xfId="0" applyNumberFormat="1" applyFont="1"/>
    <xf numFmtId="4" fontId="0" fillId="0" borderId="0" xfId="0" applyNumberFormat="1"/>
    <xf numFmtId="0" fontId="16" fillId="0" borderId="9" xfId="0" applyFont="1" applyBorder="1" applyAlignment="1">
      <alignment horizontal="center"/>
    </xf>
    <xf numFmtId="49" fontId="20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16" fillId="0" borderId="1" xfId="0" applyFont="1" applyBorder="1" applyAlignment="1">
      <alignment horizontal="left"/>
    </xf>
    <xf numFmtId="43" fontId="16" fillId="4" borderId="1" xfId="1" applyFont="1" applyFill="1" applyBorder="1" applyAlignment="1">
      <alignment horizontal="right"/>
    </xf>
    <xf numFmtId="0" fontId="5" fillId="0" borderId="0" xfId="0" applyFont="1"/>
    <xf numFmtId="43" fontId="2" fillId="0" borderId="0" xfId="1" applyFont="1" applyBorder="1"/>
    <xf numFmtId="43" fontId="5" fillId="0" borderId="0" xfId="1" applyFont="1" applyBorder="1" applyAlignment="1"/>
    <xf numFmtId="43" fontId="5" fillId="0" borderId="3" xfId="1" applyFont="1" applyBorder="1" applyAlignment="1"/>
    <xf numFmtId="43" fontId="5" fillId="0" borderId="6" xfId="1" applyFont="1" applyBorder="1" applyAlignment="1"/>
    <xf numFmtId="4" fontId="7" fillId="0" borderId="0" xfId="0" applyNumberFormat="1" applyFont="1"/>
    <xf numFmtId="43" fontId="2" fillId="0" borderId="1" xfId="1" applyFont="1" applyFill="1" applyBorder="1" applyAlignment="1">
      <alignment horizontal="right"/>
    </xf>
    <xf numFmtId="49" fontId="12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3" fontId="5" fillId="0" borderId="1" xfId="1" quotePrefix="1" applyFont="1" applyFill="1" applyBorder="1" applyAlignment="1">
      <alignment horizontal="right"/>
    </xf>
    <xf numFmtId="49" fontId="28" fillId="0" borderId="1" xfId="0" applyNumberFormat="1" applyFont="1" applyBorder="1"/>
    <xf numFmtId="0" fontId="23" fillId="0" borderId="0" xfId="0" applyFont="1"/>
    <xf numFmtId="0" fontId="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28" fillId="4" borderId="1" xfId="0" applyNumberFormat="1" applyFont="1" applyFill="1" applyBorder="1" applyAlignment="1">
      <alignment horizontal="left"/>
    </xf>
    <xf numFmtId="49" fontId="28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43" fontId="32" fillId="0" borderId="1" xfId="1" applyFont="1" applyFill="1" applyBorder="1" applyAlignment="1">
      <alignment horizontal="right"/>
    </xf>
    <xf numFmtId="43" fontId="32" fillId="0" borderId="1" xfId="1" quotePrefix="1" applyFont="1" applyFill="1" applyBorder="1" applyAlignment="1">
      <alignment horizontal="right"/>
    </xf>
    <xf numFmtId="43" fontId="33" fillId="0" borderId="1" xfId="1" applyFont="1" applyFill="1" applyBorder="1" applyAlignment="1">
      <alignment horizontal="right"/>
    </xf>
    <xf numFmtId="43" fontId="32" fillId="4" borderId="1" xfId="1" quotePrefix="1" applyFont="1" applyFill="1" applyBorder="1" applyAlignment="1">
      <alignment horizontal="right"/>
    </xf>
    <xf numFmtId="43" fontId="34" fillId="4" borderId="1" xfId="1" quotePrefix="1" applyFont="1" applyFill="1" applyBorder="1" applyAlignment="1">
      <alignment horizontal="right"/>
    </xf>
    <xf numFmtId="43" fontId="32" fillId="4" borderId="1" xfId="1" applyFont="1" applyFill="1" applyBorder="1"/>
    <xf numFmtId="43" fontId="32" fillId="4" borderId="1" xfId="1" applyFont="1" applyFill="1" applyBorder="1" applyAlignment="1">
      <alignment horizontal="right"/>
    </xf>
    <xf numFmtId="43" fontId="34" fillId="0" borderId="1" xfId="1" quotePrefix="1" applyFont="1" applyFill="1" applyBorder="1" applyAlignment="1">
      <alignment horizontal="right"/>
    </xf>
    <xf numFmtId="0" fontId="32" fillId="0" borderId="1" xfId="0" applyFont="1" applyBorder="1"/>
    <xf numFmtId="4" fontId="5" fillId="0" borderId="1" xfId="0" applyNumberFormat="1" applyFont="1" applyBorder="1" applyAlignment="1">
      <alignment horizontal="left"/>
    </xf>
    <xf numFmtId="4" fontId="5" fillId="0" borderId="1" xfId="0" applyNumberFormat="1" applyFont="1" applyBorder="1" applyAlignment="1">
      <alignment horizontal="center"/>
    </xf>
    <xf numFmtId="43" fontId="8" fillId="0" borderId="1" xfId="1" applyFont="1" applyFill="1" applyBorder="1" applyAlignment="1">
      <alignment horizontal="right"/>
    </xf>
    <xf numFmtId="43" fontId="2" fillId="0" borderId="0" xfId="1" applyFont="1"/>
    <xf numFmtId="4" fontId="15" fillId="0" borderId="1" xfId="0" applyNumberFormat="1" applyFont="1" applyBorder="1" applyAlignment="1">
      <alignment horizontal="center"/>
    </xf>
    <xf numFmtId="4" fontId="15" fillId="0" borderId="1" xfId="0" applyNumberFormat="1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3" fontId="2" fillId="0" borderId="0" xfId="1" applyFont="1" applyFill="1" applyBorder="1"/>
    <xf numFmtId="49" fontId="12" fillId="0" borderId="7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49" fontId="17" fillId="0" borderId="1" xfId="0" applyNumberFormat="1" applyFont="1" applyBorder="1" applyAlignment="1">
      <alignment horizontal="left"/>
    </xf>
    <xf numFmtId="43" fontId="17" fillId="4" borderId="1" xfId="1" applyFont="1" applyFill="1" applyBorder="1" applyAlignment="1">
      <alignment horizontal="right"/>
    </xf>
    <xf numFmtId="43" fontId="17" fillId="0" borderId="1" xfId="1" applyFont="1" applyFill="1" applyBorder="1"/>
    <xf numFmtId="43" fontId="17" fillId="0" borderId="1" xfId="1" quotePrefix="1" applyFont="1" applyFill="1" applyBorder="1" applyAlignment="1">
      <alignment horizontal="right"/>
    </xf>
    <xf numFmtId="49" fontId="16" fillId="0" borderId="1" xfId="0" applyNumberFormat="1" applyFont="1" applyBorder="1" applyAlignment="1">
      <alignment horizontal="left"/>
    </xf>
    <xf numFmtId="49" fontId="16" fillId="0" borderId="2" xfId="0" applyNumberFormat="1" applyFont="1" applyBorder="1" applyAlignment="1">
      <alignment horizontal="left"/>
    </xf>
    <xf numFmtId="0" fontId="10" fillId="0" borderId="1" xfId="0" applyFont="1" applyBorder="1"/>
    <xf numFmtId="49" fontId="18" fillId="0" borderId="1" xfId="0" applyNumberFormat="1" applyFont="1" applyBorder="1" applyAlignment="1">
      <alignment horizontal="left"/>
    </xf>
    <xf numFmtId="43" fontId="35" fillId="0" borderId="1" xfId="1" applyFont="1" applyBorder="1" applyAlignment="1">
      <alignment horizontal="center" vertical="center"/>
    </xf>
    <xf numFmtId="4" fontId="17" fillId="0" borderId="7" xfId="0" applyNumberFormat="1" applyFont="1" applyBorder="1" applyAlignment="1">
      <alignment horizontal="left"/>
    </xf>
    <xf numFmtId="164" fontId="2" fillId="0" borderId="0" xfId="0" applyNumberFormat="1" applyFont="1"/>
    <xf numFmtId="17" fontId="17" fillId="0" borderId="1" xfId="0" applyNumberFormat="1" applyFont="1" applyBorder="1" applyAlignment="1">
      <alignment horizontal="center"/>
    </xf>
    <xf numFmtId="0" fontId="36" fillId="4" borderId="1" xfId="0" quotePrefix="1" applyFont="1" applyFill="1" applyBorder="1" applyAlignment="1">
      <alignment horizontal="center"/>
    </xf>
    <xf numFmtId="4" fontId="37" fillId="0" borderId="12" xfId="0" applyNumberFormat="1" applyFont="1" applyBorder="1" applyAlignment="1">
      <alignment horizontal="right" vertical="center" wrapText="1"/>
    </xf>
    <xf numFmtId="4" fontId="37" fillId="0" borderId="13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left"/>
    </xf>
    <xf numFmtId="43" fontId="2" fillId="0" borderId="1" xfId="1" quotePrefix="1" applyFont="1" applyFill="1" applyBorder="1" applyAlignment="1">
      <alignment horizontal="right"/>
    </xf>
    <xf numFmtId="49" fontId="2" fillId="0" borderId="2" xfId="0" applyNumberFormat="1" applyFont="1" applyBorder="1" applyAlignment="1">
      <alignment horizontal="left"/>
    </xf>
    <xf numFmtId="4" fontId="8" fillId="0" borderId="1" xfId="0" applyNumberFormat="1" applyFont="1" applyBorder="1" applyAlignment="1">
      <alignment horizontal="center"/>
    </xf>
    <xf numFmtId="0" fontId="2" fillId="4" borderId="1" xfId="0" quotePrefix="1" applyFont="1" applyFill="1" applyBorder="1" applyAlignment="1">
      <alignment horizontal="center"/>
    </xf>
    <xf numFmtId="43" fontId="38" fillId="0" borderId="1" xfId="0" applyNumberFormat="1" applyFont="1" applyBorder="1" applyAlignment="1">
      <alignment horizontal="left"/>
    </xf>
    <xf numFmtId="43" fontId="38" fillId="0" borderId="1" xfId="1" quotePrefix="1" applyFont="1" applyFill="1" applyBorder="1" applyAlignment="1">
      <alignment horizontal="right"/>
    </xf>
    <xf numFmtId="164" fontId="38" fillId="0" borderId="1" xfId="0" applyNumberFormat="1" applyFont="1" applyBorder="1"/>
    <xf numFmtId="0" fontId="36" fillId="0" borderId="1" xfId="0" quotePrefix="1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64" fontId="2" fillId="0" borderId="1" xfId="0" applyNumberFormat="1" applyFont="1" applyBorder="1"/>
    <xf numFmtId="4" fontId="17" fillId="0" borderId="1" xfId="0" applyNumberFormat="1" applyFont="1" applyBorder="1" applyAlignment="1">
      <alignment horizontal="center"/>
    </xf>
    <xf numFmtId="43" fontId="0" fillId="0" borderId="0" xfId="1" applyFont="1"/>
    <xf numFmtId="164" fontId="0" fillId="0" borderId="0" xfId="0" applyNumberFormat="1"/>
    <xf numFmtId="17" fontId="17" fillId="0" borderId="0" xfId="0" applyNumberFormat="1" applyFont="1" applyAlignment="1">
      <alignment horizontal="center"/>
    </xf>
    <xf numFmtId="43" fontId="16" fillId="0" borderId="0" xfId="1" applyFont="1" applyFill="1" applyBorder="1" applyAlignment="1">
      <alignment horizontal="right"/>
    </xf>
    <xf numFmtId="43" fontId="17" fillId="0" borderId="0" xfId="1" applyFont="1" applyFill="1" applyBorder="1" applyAlignment="1">
      <alignment horizontal="right"/>
    </xf>
    <xf numFmtId="4" fontId="15" fillId="0" borderId="0" xfId="0" applyNumberFormat="1" applyFont="1" applyAlignment="1">
      <alignment horizontal="right"/>
    </xf>
    <xf numFmtId="4" fontId="2" fillId="0" borderId="1" xfId="0" applyNumberFormat="1" applyFont="1" applyBorder="1"/>
    <xf numFmtId="43" fontId="35" fillId="0" borderId="1" xfId="1" quotePrefix="1" applyFont="1" applyFill="1" applyBorder="1" applyAlignment="1">
      <alignment horizontal="right"/>
    </xf>
    <xf numFmtId="43" fontId="35" fillId="0" borderId="1" xfId="1" applyFont="1" applyBorder="1"/>
    <xf numFmtId="0" fontId="16" fillId="0" borderId="0" xfId="2" applyFont="1"/>
    <xf numFmtId="17" fontId="40" fillId="0" borderId="1" xfId="0" applyNumberFormat="1" applyFont="1" applyBorder="1" applyAlignment="1">
      <alignment horizontal="center"/>
    </xf>
    <xf numFmtId="43" fontId="41" fillId="0" borderId="1" xfId="1" quotePrefix="1" applyFont="1" applyFill="1" applyBorder="1" applyAlignment="1">
      <alignment horizontal="right"/>
    </xf>
    <xf numFmtId="17" fontId="40" fillId="0" borderId="1" xfId="0" applyNumberFormat="1" applyFont="1" applyBorder="1"/>
    <xf numFmtId="0" fontId="2" fillId="0" borderId="1" xfId="2" applyFont="1" applyBorder="1"/>
    <xf numFmtId="17" fontId="17" fillId="0" borderId="1" xfId="0" applyNumberFormat="1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17" fontId="40" fillId="0" borderId="1" xfId="0" applyNumberFormat="1" applyFont="1" applyBorder="1" applyAlignment="1">
      <alignment horizontal="center" wrapText="1"/>
    </xf>
    <xf numFmtId="0" fontId="42" fillId="0" borderId="1" xfId="0" applyFont="1" applyBorder="1" applyAlignment="1">
      <alignment horizontal="center" wrapText="1"/>
    </xf>
    <xf numFmtId="0" fontId="16" fillId="4" borderId="1" xfId="2" applyFont="1" applyFill="1" applyBorder="1"/>
    <xf numFmtId="43" fontId="35" fillId="4" borderId="1" xfId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32" fillId="0" borderId="1" xfId="0" applyNumberFormat="1" applyFont="1" applyBorder="1" applyAlignment="1">
      <alignment horizontal="left"/>
    </xf>
    <xf numFmtId="0" fontId="7" fillId="0" borderId="0" xfId="0" applyFont="1" applyAlignment="1">
      <alignment horizontal="center"/>
    </xf>
    <xf numFmtId="17" fontId="7" fillId="0" borderId="0" xfId="0" applyNumberFormat="1" applyFont="1" applyAlignment="1">
      <alignment horizontal="center"/>
    </xf>
    <xf numFmtId="43" fontId="2" fillId="0" borderId="1" xfId="1" quotePrefix="1" applyFont="1" applyFill="1" applyBorder="1" applyAlignment="1">
      <alignment horizontal="center"/>
    </xf>
    <xf numFmtId="14" fontId="2" fillId="0" borderId="1" xfId="1" quotePrefix="1" applyNumberFormat="1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14" fontId="2" fillId="0" borderId="1" xfId="1" applyNumberFormat="1" applyFont="1" applyFill="1" applyBorder="1" applyAlignment="1">
      <alignment horizontal="center"/>
    </xf>
    <xf numFmtId="43" fontId="32" fillId="0" borderId="1" xfId="1" applyFont="1" applyFill="1" applyBorder="1" applyAlignment="1">
      <alignment horizontal="center"/>
    </xf>
    <xf numFmtId="43" fontId="32" fillId="0" borderId="1" xfId="1" quotePrefix="1" applyFont="1" applyFill="1" applyBorder="1" applyAlignment="1">
      <alignment horizontal="center"/>
    </xf>
    <xf numFmtId="14" fontId="32" fillId="0" borderId="1" xfId="1" quotePrefix="1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2" applyFont="1" applyFill="1" applyBorder="1" applyAlignment="1">
      <alignment horizontal="left"/>
    </xf>
    <xf numFmtId="14" fontId="43" fillId="0" borderId="1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9" fontId="16" fillId="4" borderId="1" xfId="0" applyNumberFormat="1" applyFont="1" applyFill="1" applyBorder="1" applyAlignment="1">
      <alignment horizontal="left"/>
    </xf>
    <xf numFmtId="43" fontId="43" fillId="0" borderId="1" xfId="1" quotePrefix="1" applyFont="1" applyFill="1" applyBorder="1" applyAlignment="1">
      <alignment horizontal="center"/>
    </xf>
    <xf numFmtId="43" fontId="42" fillId="0" borderId="1" xfId="1" applyFont="1" applyFill="1" applyBorder="1"/>
    <xf numFmtId="0" fontId="2" fillId="5" borderId="1" xfId="0" applyFont="1" applyFill="1" applyBorder="1" applyAlignment="1">
      <alignment horizontal="left"/>
    </xf>
    <xf numFmtId="0" fontId="43" fillId="0" borderId="1" xfId="0" applyFont="1" applyBorder="1" applyAlignment="1">
      <alignment horizontal="left"/>
    </xf>
    <xf numFmtId="164" fontId="35" fillId="0" borderId="1" xfId="3" applyFont="1" applyBorder="1"/>
    <xf numFmtId="49" fontId="16" fillId="4" borderId="1" xfId="0" applyNumberFormat="1" applyFont="1" applyFill="1" applyBorder="1" applyAlignment="1">
      <alignment wrapText="1"/>
    </xf>
    <xf numFmtId="49" fontId="16" fillId="4" borderId="1" xfId="0" applyNumberFormat="1" applyFont="1" applyFill="1" applyBorder="1" applyAlignment="1">
      <alignment horizontal="left" wrapText="1"/>
    </xf>
    <xf numFmtId="0" fontId="16" fillId="4" borderId="1" xfId="0" applyFont="1" applyFill="1" applyBorder="1" applyAlignment="1">
      <alignment wrapText="1"/>
    </xf>
    <xf numFmtId="0" fontId="45" fillId="0" borderId="0" xfId="0" applyFont="1"/>
    <xf numFmtId="4" fontId="45" fillId="0" borderId="0" xfId="0" applyNumberFormat="1" applyFont="1"/>
    <xf numFmtId="0" fontId="1" fillId="0" borderId="0" xfId="0" applyFont="1"/>
    <xf numFmtId="0" fontId="45" fillId="0" borderId="0" xfId="0" applyFont="1" applyAlignment="1">
      <alignment horizontal="center"/>
    </xf>
    <xf numFmtId="3" fontId="45" fillId="0" borderId="0" xfId="0" applyNumberFormat="1" applyFont="1"/>
    <xf numFmtId="4" fontId="45" fillId="0" borderId="0" xfId="0" applyNumberFormat="1" applyFont="1" applyAlignment="1">
      <alignment horizontal="center"/>
    </xf>
    <xf numFmtId="0" fontId="45" fillId="0" borderId="0" xfId="0" applyFont="1" applyAlignment="1">
      <alignment wrapText="1"/>
    </xf>
    <xf numFmtId="43" fontId="16" fillId="6" borderId="1" xfId="1" applyFont="1" applyFill="1" applyBorder="1" applyAlignment="1">
      <alignment horizontal="right"/>
    </xf>
    <xf numFmtId="43" fontId="42" fillId="6" borderId="1" xfId="1" applyFont="1" applyFill="1" applyBorder="1"/>
    <xf numFmtId="43" fontId="42" fillId="0" borderId="0" xfId="1" applyFont="1" applyFill="1" applyBorder="1"/>
    <xf numFmtId="43" fontId="42" fillId="4" borderId="0" xfId="1" applyFont="1" applyFill="1" applyBorder="1"/>
    <xf numFmtId="43" fontId="17" fillId="0" borderId="5" xfId="1" applyFont="1" applyFill="1" applyBorder="1"/>
    <xf numFmtId="43" fontId="16" fillId="0" borderId="5" xfId="1" applyFont="1" applyFill="1" applyBorder="1" applyAlignment="1">
      <alignment horizontal="right"/>
    </xf>
    <xf numFmtId="0" fontId="47" fillId="0" borderId="1" xfId="2" applyFont="1" applyBorder="1"/>
    <xf numFmtId="0" fontId="18" fillId="0" borderId="1" xfId="0" applyFont="1" applyBorder="1" applyAlignment="1">
      <alignment horizontal="center" wrapText="1"/>
    </xf>
    <xf numFmtId="43" fontId="17" fillId="6" borderId="1" xfId="1" applyFont="1" applyFill="1" applyBorder="1"/>
    <xf numFmtId="43" fontId="35" fillId="4" borderId="1" xfId="1" applyFont="1" applyFill="1" applyBorder="1"/>
    <xf numFmtId="43" fontId="16" fillId="4" borderId="1" xfId="1" applyFont="1" applyFill="1" applyBorder="1"/>
    <xf numFmtId="49" fontId="16" fillId="3" borderId="1" xfId="0" applyNumberFormat="1" applyFont="1" applyFill="1" applyBorder="1" applyAlignment="1">
      <alignment wrapText="1"/>
    </xf>
    <xf numFmtId="0" fontId="16" fillId="0" borderId="1" xfId="0" applyFont="1" applyBorder="1" applyAlignment="1">
      <alignment wrapText="1"/>
    </xf>
    <xf numFmtId="0" fontId="17" fillId="4" borderId="1" xfId="0" applyFont="1" applyFill="1" applyBorder="1"/>
    <xf numFmtId="43" fontId="16" fillId="5" borderId="1" xfId="1" applyFont="1" applyFill="1" applyBorder="1" applyAlignment="1">
      <alignment horizontal="right"/>
    </xf>
    <xf numFmtId="0" fontId="17" fillId="4" borderId="0" xfId="0" applyFont="1" applyFill="1"/>
    <xf numFmtId="3" fontId="25" fillId="6" borderId="1" xfId="1" applyNumberFormat="1" applyFont="1" applyFill="1" applyBorder="1" applyAlignment="1">
      <alignment horizontal="center"/>
    </xf>
    <xf numFmtId="3" fontId="16" fillId="6" borderId="1" xfId="1" applyNumberFormat="1" applyFont="1" applyFill="1" applyBorder="1" applyAlignment="1">
      <alignment horizontal="center"/>
    </xf>
    <xf numFmtId="49" fontId="16" fillId="4" borderId="0" xfId="0" applyNumberFormat="1" applyFont="1" applyFill="1" applyAlignment="1">
      <alignment wrapText="1"/>
    </xf>
    <xf numFmtId="3" fontId="16" fillId="4" borderId="0" xfId="1" applyNumberFormat="1" applyFont="1" applyFill="1" applyBorder="1" applyAlignment="1">
      <alignment horizontal="center"/>
    </xf>
    <xf numFmtId="3" fontId="17" fillId="6" borderId="1" xfId="1" applyNumberFormat="1" applyFont="1" applyFill="1" applyBorder="1" applyAlignment="1">
      <alignment horizontal="center"/>
    </xf>
    <xf numFmtId="3" fontId="17" fillId="4" borderId="0" xfId="1" applyNumberFormat="1" applyFont="1" applyFill="1" applyBorder="1" applyAlignment="1">
      <alignment horizontal="center"/>
    </xf>
    <xf numFmtId="49" fontId="17" fillId="4" borderId="1" xfId="0" applyNumberFormat="1" applyFont="1" applyFill="1" applyBorder="1" applyAlignment="1">
      <alignment wrapText="1"/>
    </xf>
    <xf numFmtId="17" fontId="21" fillId="0" borderId="1" xfId="0" applyNumberFormat="1" applyFont="1" applyBorder="1" applyAlignment="1">
      <alignment horizontal="center" wrapText="1"/>
    </xf>
    <xf numFmtId="43" fontId="16" fillId="4" borderId="1" xfId="1" quotePrefix="1" applyFont="1" applyFill="1" applyBorder="1" applyAlignment="1">
      <alignment horizontal="right"/>
    </xf>
    <xf numFmtId="4" fontId="35" fillId="0" borderId="1" xfId="1" quotePrefix="1" applyNumberFormat="1" applyFont="1" applyFill="1" applyBorder="1" applyAlignment="1">
      <alignment horizontal="right"/>
    </xf>
    <xf numFmtId="43" fontId="35" fillId="7" borderId="1" xfId="1" applyFont="1" applyFill="1" applyBorder="1"/>
    <xf numFmtId="43" fontId="51" fillId="0" borderId="1" xfId="1" applyFont="1" applyBorder="1"/>
    <xf numFmtId="0" fontId="42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17" fontId="42" fillId="0" borderId="1" xfId="0" applyNumberFormat="1" applyFont="1" applyBorder="1" applyAlignment="1">
      <alignment horizontal="center" wrapText="1"/>
    </xf>
    <xf numFmtId="0" fontId="5" fillId="4" borderId="1" xfId="0" applyFont="1" applyFill="1" applyBorder="1"/>
    <xf numFmtId="0" fontId="16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 wrapText="1"/>
    </xf>
    <xf numFmtId="0" fontId="2" fillId="4" borderId="0" xfId="0" applyFont="1" applyFill="1"/>
    <xf numFmtId="49" fontId="53" fillId="4" borderId="1" xfId="0" applyNumberFormat="1" applyFont="1" applyFill="1" applyBorder="1" applyAlignment="1">
      <alignment horizontal="left"/>
    </xf>
    <xf numFmtId="3" fontId="16" fillId="4" borderId="1" xfId="1" applyNumberFormat="1" applyFont="1" applyFill="1" applyBorder="1" applyAlignment="1">
      <alignment horizontal="right"/>
    </xf>
    <xf numFmtId="3" fontId="16" fillId="0" borderId="1" xfId="1" applyNumberFormat="1" applyFont="1" applyFill="1" applyBorder="1"/>
    <xf numFmtId="3" fontId="35" fillId="0" borderId="1" xfId="1" applyNumberFormat="1" applyFont="1" applyBorder="1"/>
    <xf numFmtId="3" fontId="16" fillId="0" borderId="1" xfId="1" applyNumberFormat="1" applyFont="1" applyFill="1" applyBorder="1" applyAlignment="1">
      <alignment horizontal="right"/>
    </xf>
    <xf numFmtId="0" fontId="44" fillId="4" borderId="0" xfId="0" applyFont="1" applyFill="1"/>
    <xf numFmtId="0" fontId="54" fillId="4" borderId="0" xfId="0" applyFont="1" applyFill="1"/>
    <xf numFmtId="0" fontId="55" fillId="4" borderId="0" xfId="0" applyFont="1" applyFill="1"/>
    <xf numFmtId="4" fontId="56" fillId="4" borderId="0" xfId="0" applyNumberFormat="1" applyFont="1" applyFill="1"/>
    <xf numFmtId="0" fontId="3" fillId="4" borderId="0" xfId="0" applyFont="1" applyFill="1" applyAlignment="1">
      <alignment horizontal="left" wrapText="1"/>
    </xf>
    <xf numFmtId="17" fontId="21" fillId="0" borderId="1" xfId="0" applyNumberFormat="1" applyFont="1" applyBorder="1" applyAlignment="1">
      <alignment wrapText="1"/>
    </xf>
    <xf numFmtId="0" fontId="17" fillId="0" borderId="1" xfId="0" applyFont="1" applyBorder="1" applyAlignment="1">
      <alignment horizontal="right" wrapText="1"/>
    </xf>
    <xf numFmtId="4" fontId="16" fillId="0" borderId="1" xfId="1" applyNumberFormat="1" applyFont="1" applyFill="1" applyBorder="1" applyAlignment="1">
      <alignment horizontal="right"/>
    </xf>
    <xf numFmtId="43" fontId="16" fillId="8" borderId="1" xfId="1" quotePrefix="1" applyFont="1" applyFill="1" applyBorder="1" applyAlignment="1">
      <alignment horizontal="right"/>
    </xf>
    <xf numFmtId="43" fontId="16" fillId="8" borderId="1" xfId="1" applyFont="1" applyFill="1" applyBorder="1"/>
    <xf numFmtId="43" fontId="35" fillId="8" borderId="1" xfId="1" applyFont="1" applyFill="1" applyBorder="1"/>
    <xf numFmtId="4" fontId="16" fillId="0" borderId="1" xfId="0" applyNumberFormat="1" applyFont="1" applyBorder="1" applyAlignment="1">
      <alignment horizontal="center" wrapText="1"/>
    </xf>
    <xf numFmtId="4" fontId="16" fillId="8" borderId="1" xfId="0" applyNumberFormat="1" applyFont="1" applyFill="1" applyBorder="1" applyAlignment="1">
      <alignment horizontal="center" wrapText="1"/>
    </xf>
    <xf numFmtId="4" fontId="17" fillId="6" borderId="1" xfId="1" applyNumberFormat="1" applyFont="1" applyFill="1" applyBorder="1"/>
    <xf numFmtId="17" fontId="57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right"/>
    </xf>
    <xf numFmtId="0" fontId="48" fillId="0" borderId="2" xfId="0" applyFont="1" applyBorder="1" applyAlignment="1">
      <alignment horizontal="center" wrapText="1"/>
    </xf>
    <xf numFmtId="0" fontId="48" fillId="0" borderId="3" xfId="0" applyFont="1" applyBorder="1" applyAlignment="1">
      <alignment horizontal="center" wrapText="1"/>
    </xf>
    <xf numFmtId="0" fontId="48" fillId="0" borderId="4" xfId="0" applyFont="1" applyBorder="1" applyAlignment="1">
      <alignment horizontal="center" wrapText="1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3" fillId="4" borderId="0" xfId="0" applyFont="1" applyFill="1" applyAlignment="1">
      <alignment horizontal="center" wrapText="1"/>
    </xf>
    <xf numFmtId="0" fontId="44" fillId="4" borderId="6" xfId="0" applyFont="1" applyFill="1" applyBorder="1" applyAlignment="1">
      <alignment horizontal="center"/>
    </xf>
    <xf numFmtId="0" fontId="46" fillId="0" borderId="2" xfId="0" applyFont="1" applyBorder="1" applyAlignment="1">
      <alignment horizontal="center" wrapText="1"/>
    </xf>
    <xf numFmtId="0" fontId="46" fillId="0" borderId="3" xfId="0" applyFont="1" applyBorder="1" applyAlignment="1">
      <alignment horizontal="center" wrapText="1"/>
    </xf>
    <xf numFmtId="0" fontId="50" fillId="0" borderId="2" xfId="0" applyFont="1" applyBorder="1" applyAlignment="1">
      <alignment horizontal="center" wrapText="1"/>
    </xf>
    <xf numFmtId="0" fontId="50" fillId="0" borderId="3" xfId="0" applyFont="1" applyBorder="1" applyAlignment="1">
      <alignment horizontal="center" wrapText="1"/>
    </xf>
    <xf numFmtId="0" fontId="46" fillId="0" borderId="4" xfId="0" applyFont="1" applyBorder="1" applyAlignment="1">
      <alignment horizontal="center" wrapText="1"/>
    </xf>
    <xf numFmtId="0" fontId="44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4" fontId="17" fillId="0" borderId="0" xfId="0" applyNumberFormat="1" applyFont="1" applyAlignment="1">
      <alignment horizontal="left"/>
    </xf>
    <xf numFmtId="4" fontId="49" fillId="0" borderId="0" xfId="0" applyNumberFormat="1" applyFont="1" applyAlignment="1">
      <alignment horizontal="left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4" fontId="17" fillId="0" borderId="1" xfId="0" applyNumberFormat="1" applyFont="1" applyBorder="1" applyAlignment="1">
      <alignment horizontal="left"/>
    </xf>
    <xf numFmtId="4" fontId="17" fillId="0" borderId="1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left"/>
    </xf>
    <xf numFmtId="4" fontId="5" fillId="0" borderId="7" xfId="0" applyNumberFormat="1" applyFont="1" applyBorder="1" applyAlignment="1">
      <alignment horizontal="left"/>
    </xf>
    <xf numFmtId="4" fontId="5" fillId="0" borderId="1" xfId="0" applyNumberFormat="1" applyFont="1" applyBorder="1" applyAlignment="1">
      <alignment horizontal="center"/>
    </xf>
    <xf numFmtId="0" fontId="17" fillId="0" borderId="10" xfId="0" applyFont="1" applyBorder="1" applyAlignment="1">
      <alignment horizontal="left"/>
    </xf>
    <xf numFmtId="0" fontId="17" fillId="0" borderId="11" xfId="0" applyFont="1" applyBorder="1" applyAlignment="1">
      <alignment horizontal="left"/>
    </xf>
    <xf numFmtId="49" fontId="22" fillId="0" borderId="1" xfId="0" applyNumberFormat="1" applyFont="1" applyBorder="1" applyAlignment="1">
      <alignment horizontal="left"/>
    </xf>
    <xf numFmtId="49" fontId="22" fillId="0" borderId="2" xfId="0" applyNumberFormat="1" applyFont="1" applyBorder="1" applyAlignment="1">
      <alignment horizontal="left"/>
    </xf>
    <xf numFmtId="49" fontId="22" fillId="0" borderId="4" xfId="0" applyNumberFormat="1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49" fontId="20" fillId="0" borderId="1" xfId="0" applyNumberFormat="1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49" fontId="20" fillId="0" borderId="1" xfId="0" applyNumberFormat="1" applyFont="1" applyBorder="1" applyAlignment="1">
      <alignment horizontal="center"/>
    </xf>
    <xf numFmtId="49" fontId="20" fillId="0" borderId="2" xfId="0" applyNumberFormat="1" applyFont="1" applyBorder="1" applyAlignment="1">
      <alignment horizontal="left"/>
    </xf>
    <xf numFmtId="49" fontId="20" fillId="0" borderId="4" xfId="0" applyNumberFormat="1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49" fontId="19" fillId="0" borderId="1" xfId="0" applyNumberFormat="1" applyFont="1" applyBorder="1" applyAlignment="1">
      <alignment horizontal="left"/>
    </xf>
    <xf numFmtId="49" fontId="16" fillId="0" borderId="2" xfId="0" applyNumberFormat="1" applyFont="1" applyBorder="1" applyAlignment="1">
      <alignment horizontal="left"/>
    </xf>
    <xf numFmtId="49" fontId="16" fillId="0" borderId="4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16" fillId="0" borderId="2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16" fontId="5" fillId="0" borderId="0" xfId="0" applyNumberFormat="1" applyFont="1" applyAlignment="1">
      <alignment horizontal="center"/>
    </xf>
    <xf numFmtId="4" fontId="8" fillId="0" borderId="1" xfId="0" applyNumberFormat="1" applyFont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28" fillId="0" borderId="1" xfId="0" applyNumberFormat="1" applyFont="1" applyBorder="1" applyAlignment="1">
      <alignment horizontal="left"/>
    </xf>
    <xf numFmtId="49" fontId="12" fillId="4" borderId="1" xfId="0" applyNumberFormat="1" applyFont="1" applyFill="1" applyBorder="1" applyAlignment="1">
      <alignment horizontal="left"/>
    </xf>
    <xf numFmtId="49" fontId="28" fillId="4" borderId="1" xfId="0" applyNumberFormat="1" applyFont="1" applyFill="1" applyBorder="1" applyAlignment="1">
      <alignment horizontal="left"/>
    </xf>
    <xf numFmtId="49" fontId="28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3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" fontId="15" fillId="0" borderId="1" xfId="0" applyNumberFormat="1" applyFont="1" applyBorder="1" applyAlignment="1">
      <alignment horizontal="center"/>
    </xf>
    <xf numFmtId="49" fontId="12" fillId="0" borderId="2" xfId="0" applyNumberFormat="1" applyFont="1" applyBorder="1" applyAlignment="1">
      <alignment horizontal="left"/>
    </xf>
    <xf numFmtId="49" fontId="12" fillId="0" borderId="4" xfId="0" applyNumberFormat="1" applyFont="1" applyBorder="1" applyAlignment="1">
      <alignment horizontal="left"/>
    </xf>
    <xf numFmtId="49" fontId="28" fillId="4" borderId="2" xfId="0" applyNumberFormat="1" applyFont="1" applyFill="1" applyBorder="1" applyAlignment="1">
      <alignment horizontal="left"/>
    </xf>
    <xf numFmtId="49" fontId="28" fillId="4" borderId="4" xfId="0" applyNumberFormat="1" applyFont="1" applyFill="1" applyBorder="1" applyAlignment="1">
      <alignment horizontal="left"/>
    </xf>
    <xf numFmtId="49" fontId="28" fillId="0" borderId="2" xfId="0" applyNumberFormat="1" applyFont="1" applyBorder="1" applyAlignment="1">
      <alignment horizontal="center"/>
    </xf>
    <xf numFmtId="49" fontId="28" fillId="0" borderId="4" xfId="0" applyNumberFormat="1" applyFont="1" applyBorder="1" applyAlignment="1">
      <alignment horizontal="center"/>
    </xf>
    <xf numFmtId="49" fontId="28" fillId="0" borderId="2" xfId="0" applyNumberFormat="1" applyFont="1" applyBorder="1" applyAlignment="1">
      <alignment horizontal="left"/>
    </xf>
    <xf numFmtId="49" fontId="28" fillId="0" borderId="4" xfId="0" applyNumberFormat="1" applyFont="1" applyBorder="1" applyAlignment="1">
      <alignment horizontal="left"/>
    </xf>
    <xf numFmtId="49" fontId="12" fillId="4" borderId="2" xfId="0" applyNumberFormat="1" applyFont="1" applyFill="1" applyBorder="1" applyAlignment="1">
      <alignment horizontal="left"/>
    </xf>
    <xf numFmtId="49" fontId="12" fillId="4" borderId="4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49" fontId="12" fillId="0" borderId="10" xfId="0" applyNumberFormat="1" applyFont="1" applyBorder="1" applyAlignment="1">
      <alignment horizontal="left"/>
    </xf>
    <xf numFmtId="49" fontId="12" fillId="0" borderId="11" xfId="0" applyNumberFormat="1" applyFont="1" applyBorder="1" applyAlignment="1">
      <alignment horizontal="left"/>
    </xf>
    <xf numFmtId="49" fontId="12" fillId="3" borderId="2" xfId="0" applyNumberFormat="1" applyFont="1" applyFill="1" applyBorder="1" applyAlignment="1">
      <alignment horizontal="left"/>
    </xf>
    <xf numFmtId="49" fontId="12" fillId="3" borderId="3" xfId="0" applyNumberFormat="1" applyFont="1" applyFill="1" applyBorder="1" applyAlignment="1">
      <alignment horizontal="left"/>
    </xf>
    <xf numFmtId="49" fontId="12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49" fontId="20" fillId="0" borderId="3" xfId="0" applyNumberFormat="1" applyFont="1" applyBorder="1" applyAlignment="1">
      <alignment horizontal="left"/>
    </xf>
    <xf numFmtId="49" fontId="22" fillId="0" borderId="3" xfId="0" applyNumberFormat="1" applyFont="1" applyBorder="1" applyAlignment="1">
      <alignment horizontal="left"/>
    </xf>
    <xf numFmtId="49" fontId="20" fillId="0" borderId="2" xfId="0" applyNumberFormat="1" applyFont="1" applyBorder="1" applyAlignment="1">
      <alignment horizontal="center"/>
    </xf>
    <xf numFmtId="49" fontId="20" fillId="0" borderId="3" xfId="0" applyNumberFormat="1" applyFont="1" applyBorder="1" applyAlignment="1">
      <alignment horizontal="center"/>
    </xf>
    <xf numFmtId="49" fontId="20" fillId="0" borderId="4" xfId="0" applyNumberFormat="1" applyFont="1" applyBorder="1" applyAlignment="1">
      <alignment horizontal="center"/>
    </xf>
    <xf numFmtId="0" fontId="18" fillId="0" borderId="2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43" fontId="5" fillId="0" borderId="1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9" fontId="22" fillId="4" borderId="1" xfId="0" applyNumberFormat="1" applyFont="1" applyFill="1" applyBorder="1" applyAlignment="1">
      <alignment horizontal="left"/>
    </xf>
    <xf numFmtId="0" fontId="25" fillId="0" borderId="2" xfId="0" applyFont="1" applyBorder="1" applyAlignment="1">
      <alignment horizontal="left"/>
    </xf>
    <xf numFmtId="0" fontId="25" fillId="0" borderId="3" xfId="0" applyFont="1" applyBorder="1" applyAlignment="1">
      <alignment horizontal="left"/>
    </xf>
    <xf numFmtId="0" fontId="25" fillId="0" borderId="4" xfId="0" applyFont="1" applyBorder="1" applyAlignment="1">
      <alignment horizontal="left"/>
    </xf>
    <xf numFmtId="49" fontId="22" fillId="4" borderId="2" xfId="0" applyNumberFormat="1" applyFont="1" applyFill="1" applyBorder="1" applyAlignment="1">
      <alignment horizontal="left"/>
    </xf>
    <xf numFmtId="49" fontId="22" fillId="4" borderId="3" xfId="0" applyNumberFormat="1" applyFont="1" applyFill="1" applyBorder="1" applyAlignment="1">
      <alignment horizontal="left"/>
    </xf>
    <xf numFmtId="49" fontId="22" fillId="4" borderId="4" xfId="0" applyNumberFormat="1" applyFont="1" applyFill="1" applyBorder="1" applyAlignment="1">
      <alignment horizontal="left"/>
    </xf>
    <xf numFmtId="0" fontId="16" fillId="4" borderId="1" xfId="0" applyFont="1" applyFill="1" applyBorder="1" applyAlignment="1">
      <alignment horizontal="left"/>
    </xf>
    <xf numFmtId="0" fontId="16" fillId="4" borderId="2" xfId="0" applyFont="1" applyFill="1" applyBorder="1" applyAlignment="1">
      <alignment horizontal="left"/>
    </xf>
    <xf numFmtId="0" fontId="16" fillId="4" borderId="3" xfId="0" applyFont="1" applyFill="1" applyBorder="1" applyAlignment="1">
      <alignment horizontal="left"/>
    </xf>
    <xf numFmtId="0" fontId="16" fillId="4" borderId="4" xfId="0" applyFont="1" applyFill="1" applyBorder="1" applyAlignment="1">
      <alignment horizontal="left"/>
    </xf>
    <xf numFmtId="0" fontId="26" fillId="0" borderId="2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49" fontId="28" fillId="4" borderId="3" xfId="0" applyNumberFormat="1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49" fontId="12" fillId="4" borderId="3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4" fontId="8" fillId="4" borderId="1" xfId="0" applyNumberFormat="1" applyFont="1" applyFill="1" applyBorder="1" applyAlignment="1">
      <alignment horizontal="left"/>
    </xf>
    <xf numFmtId="49" fontId="22" fillId="0" borderId="1" xfId="0" applyNumberFormat="1" applyFont="1" applyBorder="1" applyAlignment="1"/>
    <xf numFmtId="0" fontId="2" fillId="0" borderId="0" xfId="0" applyFont="1" applyAlignment="1"/>
    <xf numFmtId="49" fontId="12" fillId="0" borderId="1" xfId="0" applyNumberFormat="1" applyFont="1" applyBorder="1" applyAlignment="1"/>
    <xf numFmtId="49" fontId="12" fillId="0" borderId="2" xfId="0" applyNumberFormat="1" applyFont="1" applyBorder="1" applyAlignment="1"/>
    <xf numFmtId="49" fontId="12" fillId="0" borderId="4" xfId="0" applyNumberFormat="1" applyFont="1" applyBorder="1" applyAlignment="1"/>
    <xf numFmtId="0" fontId="16" fillId="0" borderId="1" xfId="0" applyFont="1" applyBorder="1" applyAlignment="1"/>
    <xf numFmtId="49" fontId="22" fillId="4" borderId="1" xfId="0" applyNumberFormat="1" applyFont="1" applyFill="1" applyBorder="1" applyAlignment="1"/>
    <xf numFmtId="49" fontId="12" fillId="4" borderId="2" xfId="0" applyNumberFormat="1" applyFont="1" applyFill="1" applyBorder="1" applyAlignment="1"/>
    <xf numFmtId="49" fontId="12" fillId="4" borderId="3" xfId="0" applyNumberFormat="1" applyFont="1" applyFill="1" applyBorder="1" applyAlignment="1"/>
    <xf numFmtId="49" fontId="12" fillId="4" borderId="4" xfId="0" applyNumberFormat="1" applyFont="1" applyFill="1" applyBorder="1" applyAlignment="1"/>
    <xf numFmtId="0" fontId="5" fillId="4" borderId="1" xfId="0" applyFont="1" applyFill="1" applyBorder="1" applyAlignment="1"/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externalLink" Target="externalLinks/externalLink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externalLink" Target="externalLinks/externalLink3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externalLink" Target="externalLinks/externalLink1.xml"/><Relationship Id="rId86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2.xml"/><Relationship Id="rId19" Type="http://schemas.openxmlformats.org/officeDocument/2006/relationships/worksheet" Target="worksheets/sheet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/August%202022%20Payroll/NILDS%20Tax%20Schedule%202022%20new%20Consultan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December%202023%20Payroll/November%20%202023%20%20Salar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/August%202022%20Payroll/NILS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/October%202022%20Payroll/October,%20%202022%20Salary%20with%20new%20PAY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/November%202022%20Payroll/November,%20%202022%20Salary%20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Salary/July,%20%202021%20Sal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1"/>
    </sheetNames>
    <sheetDataSet>
      <sheetData sheetId="0"/>
      <sheetData sheetId="1"/>
      <sheetData sheetId="2">
        <row r="6">
          <cell r="AD6">
            <v>20099.33706666666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2023"/>
      <sheetName val="MEMO 1"/>
      <sheetName val="PROMOTIONS IN NOVEMBER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8">
          <cell r="H18">
            <v>344720.16666666669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ls Salary Structure"/>
      <sheetName val="Sheet3"/>
    </sheetNames>
    <sheetDataSet>
      <sheetData sheetId="0">
        <row r="35">
          <cell r="H35">
            <v>145203.66666666666</v>
          </cell>
        </row>
        <row r="36">
          <cell r="H36">
            <v>168601.58333333334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ober 2022"/>
      <sheetName val="Sheet1"/>
      <sheetName val="MEMO 1"/>
      <sheetName val="Promotion Effect"/>
      <sheetName val="Promotion Arrear"/>
      <sheetName val="Tax Effect on Promotion"/>
      <sheetName val="Tax adj August, 2022"/>
      <sheetName val="Retirement"/>
      <sheetName val="New staff"/>
      <sheetName val="Annual Increement"/>
      <sheetName val="Enhanced Welfare 2022"/>
      <sheetName val="13 month"/>
      <sheetName val="Salah Welfare"/>
      <sheetName val="Sheet3"/>
      <sheetName val="Promotion"/>
      <sheetName val="Library"/>
      <sheetName val="New staff (3)"/>
      <sheetName val="Welfare 2"/>
      <sheetName val="ADjustment"/>
      <sheetName val="Hardship 2"/>
      <sheetName val="ADDITIONAL STAFF"/>
      <sheetName val="ANNUAL INCREMENT"/>
      <sheetName val="ARREARS"/>
      <sheetName val="Housing 2021 4 to 10"/>
      <sheetName val="Housing 2021"/>
      <sheetName val="HARDSHIP"/>
      <sheetName val="Welfare"/>
      <sheetName val="Sheet2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  <sheetName val="Cooperative Deduction"/>
    </sheetNames>
    <sheetDataSet>
      <sheetData sheetId="0">
        <row r="108">
          <cell r="R108">
            <v>304895.91326215054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2022"/>
      <sheetName val="Summary Nov"/>
      <sheetName val="Sheet1"/>
      <sheetName val="MEMO 1"/>
      <sheetName val="Promotion Effect"/>
      <sheetName val="movemt to Contract schedule"/>
      <sheetName val="Adjustment of Hardship Allowanc"/>
      <sheetName val="Sheet5"/>
      <sheetName val="Promotion Arrear"/>
      <sheetName val="Arrears in Nov"/>
      <sheetName val="Tax Effect on Promotion"/>
      <sheetName val="Tax adj August, 2022"/>
      <sheetName val="Retirement"/>
      <sheetName val="New staff"/>
      <sheetName val="Annual Increement"/>
      <sheetName val="Enhanced Welfare 2022"/>
      <sheetName val="13 month"/>
      <sheetName val="Salah Welfare"/>
      <sheetName val="Sheet3"/>
      <sheetName val="Promotion"/>
      <sheetName val="Library"/>
      <sheetName val="New staff (3)"/>
      <sheetName val="Welfare 2"/>
      <sheetName val="ADjustment"/>
      <sheetName val="Hardship 2"/>
      <sheetName val="ADDITIONAL STAFF"/>
      <sheetName val="ANNUAL INCREMENT"/>
      <sheetName val="ARREARS"/>
      <sheetName val="Housing 2021 4 to 10"/>
      <sheetName val="Housing 2021"/>
      <sheetName val="HARDSHIP"/>
      <sheetName val="Welfare"/>
      <sheetName val="Sheet2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  <sheetName val="Cooperative Dedu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7">
          <cell r="H17">
            <v>8607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, 2021"/>
      <sheetName val="Adj Hardship"/>
      <sheetName val="Welfare 2"/>
      <sheetName val="ADjustment"/>
      <sheetName val="Hardship 2"/>
      <sheetName val="ADDITIONAL STAFF"/>
      <sheetName val="ANNUAL INCREMENT"/>
      <sheetName val="ARREARS"/>
      <sheetName val="Housing 2021 4 to 10"/>
      <sheetName val="Housing 2021"/>
      <sheetName val="HARDSHIP"/>
      <sheetName val="Welfare"/>
      <sheetName val="Sheet2"/>
      <sheetName val="MEMO"/>
      <sheetName val="17.9"/>
      <sheetName val="16.7"/>
      <sheetName val="Staff List for DG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</sheetNames>
    <sheetDataSet>
      <sheetData sheetId="0"/>
      <sheetData sheetId="1"/>
      <sheetData sheetId="2">
        <row r="180">
          <cell r="Y180">
            <v>7190000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9"/>
  <sheetViews>
    <sheetView tabSelected="1" view="pageBreakPreview" zoomScaleNormal="100" zoomScaleSheetLayoutView="100" workbookViewId="0">
      <pane xSplit="5" ySplit="3" topLeftCell="F28" activePane="bottomRight" state="frozen"/>
      <selection pane="bottomRight" activeCell="B35" sqref="B35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37.140625" style="1" customWidth="1"/>
    <col min="3" max="3" width="22.42578125" style="1" customWidth="1"/>
    <col min="4" max="4" width="20.42578125" style="1" customWidth="1"/>
    <col min="5" max="5" width="20" style="1" customWidth="1"/>
    <col min="6" max="6" width="21.85546875" style="1" customWidth="1"/>
    <col min="7" max="7" width="18.28515625" style="1" customWidth="1"/>
    <col min="8" max="8" width="20.5703125" style="1" customWidth="1"/>
    <col min="9" max="9" width="18.42578125" style="1" customWidth="1"/>
    <col min="10" max="10" width="20.85546875" style="1" customWidth="1"/>
    <col min="11" max="11" width="21.7109375" style="1" customWidth="1"/>
    <col min="12" max="12" width="21.5703125" style="1" customWidth="1"/>
    <col min="13" max="13" width="18.7109375" style="1" customWidth="1"/>
    <col min="14" max="14" width="14.42578125" style="1" customWidth="1"/>
    <col min="15" max="16384" width="9.140625" style="1"/>
  </cols>
  <sheetData>
    <row r="1" spans="1:12" ht="33.75" customHeight="1">
      <c r="A1" s="322" t="s">
        <v>0</v>
      </c>
      <c r="B1" s="323"/>
      <c r="C1" s="323"/>
      <c r="D1" s="323"/>
      <c r="E1" s="323"/>
      <c r="F1" s="323"/>
      <c r="G1" s="323"/>
      <c r="H1" s="323"/>
      <c r="I1" s="323"/>
      <c r="J1" s="323"/>
      <c r="K1" s="324"/>
    </row>
    <row r="2" spans="1:12" ht="2.25" customHeight="1">
      <c r="A2" s="23"/>
      <c r="B2" s="103"/>
      <c r="C2" s="103"/>
      <c r="D2" s="103"/>
      <c r="E2" s="23"/>
      <c r="F2" s="23"/>
      <c r="G2" s="23"/>
      <c r="H2" s="23"/>
      <c r="I2" s="23"/>
      <c r="J2" s="23"/>
      <c r="K2" s="23"/>
    </row>
    <row r="3" spans="1:12" ht="58.5" customHeight="1">
      <c r="A3" s="28" t="s">
        <v>1</v>
      </c>
      <c r="B3" s="118" t="s">
        <v>2</v>
      </c>
      <c r="C3" s="28" t="s">
        <v>3</v>
      </c>
      <c r="D3" s="224" t="s">
        <v>4</v>
      </c>
      <c r="E3" s="224" t="s">
        <v>5</v>
      </c>
      <c r="F3" s="28" t="s">
        <v>6</v>
      </c>
      <c r="G3" s="325" t="s">
        <v>7</v>
      </c>
      <c r="H3" s="326"/>
      <c r="I3" s="326"/>
      <c r="J3" s="327"/>
      <c r="K3" s="223" t="s">
        <v>8</v>
      </c>
    </row>
    <row r="4" spans="1:12" ht="33.75" customHeight="1">
      <c r="A4" s="33"/>
      <c r="B4" s="34"/>
      <c r="C4" s="27"/>
      <c r="D4" s="28"/>
      <c r="E4" s="28"/>
      <c r="F4" s="28"/>
      <c r="G4" s="226" t="s">
        <v>9</v>
      </c>
      <c r="H4" s="226" t="s">
        <v>10</v>
      </c>
      <c r="I4" s="226" t="s">
        <v>11</v>
      </c>
      <c r="J4" s="226" t="s">
        <v>12</v>
      </c>
      <c r="K4" s="320" t="s">
        <v>13</v>
      </c>
    </row>
    <row r="5" spans="1:12" ht="24.95" customHeight="1">
      <c r="A5" s="73">
        <v>1</v>
      </c>
      <c r="B5" s="57" t="s">
        <v>14</v>
      </c>
      <c r="C5" s="59" t="s">
        <v>15</v>
      </c>
      <c r="D5" s="134">
        <f>136027.8</f>
        <v>136027.79999999999</v>
      </c>
      <c r="E5" s="134">
        <f>60000</f>
        <v>60000</v>
      </c>
      <c r="F5" s="265">
        <f t="shared" ref="F5:F53" si="0">D5+E5</f>
        <v>196027.8</v>
      </c>
      <c r="G5" s="134">
        <f>30000</f>
        <v>30000</v>
      </c>
      <c r="H5" s="134"/>
      <c r="I5" s="134">
        <f>'[1]August 2022 '!$AD$6</f>
        <v>20099.33706666666</v>
      </c>
      <c r="J5" s="120">
        <f>G5+H5+I5</f>
        <v>50099.33706666666</v>
      </c>
      <c r="K5" s="265">
        <f t="shared" ref="K5:K53" si="1">F5-J5</f>
        <v>145928.46293333333</v>
      </c>
      <c r="L5" s="187"/>
    </row>
    <row r="6" spans="1:12" ht="24.95" customHeight="1">
      <c r="A6" s="73">
        <v>2</v>
      </c>
      <c r="B6" s="181" t="s">
        <v>16</v>
      </c>
      <c r="C6" s="181" t="s">
        <v>17</v>
      </c>
      <c r="D6" s="124">
        <v>90000</v>
      </c>
      <c r="E6" s="122">
        <v>30000</v>
      </c>
      <c r="F6" s="265">
        <f t="shared" si="0"/>
        <v>120000</v>
      </c>
      <c r="G6" s="134">
        <v>10000</v>
      </c>
      <c r="H6" s="134">
        <v>40000</v>
      </c>
      <c r="I6" s="120">
        <v>8900</v>
      </c>
      <c r="J6" s="120">
        <f t="shared" ref="J6:J56" si="2">G6+H6+I6</f>
        <v>58900</v>
      </c>
      <c r="K6" s="265">
        <f t="shared" si="1"/>
        <v>61100</v>
      </c>
    </row>
    <row r="7" spans="1:12" ht="24.95" customHeight="1">
      <c r="A7" s="73">
        <v>3</v>
      </c>
      <c r="B7" s="181" t="s">
        <v>18</v>
      </c>
      <c r="C7" s="181" t="s">
        <v>19</v>
      </c>
      <c r="D7" s="124">
        <v>45000</v>
      </c>
      <c r="E7" s="122">
        <v>15000</v>
      </c>
      <c r="F7" s="265">
        <f t="shared" si="0"/>
        <v>60000</v>
      </c>
      <c r="G7" s="134">
        <f>10000</f>
        <v>10000</v>
      </c>
      <c r="H7" s="134">
        <f>10000+10000</f>
        <v>20000</v>
      </c>
      <c r="I7" s="120">
        <v>2446.6666666666665</v>
      </c>
      <c r="J7" s="120">
        <f t="shared" si="2"/>
        <v>32446.666666666668</v>
      </c>
      <c r="K7" s="265">
        <f t="shared" si="1"/>
        <v>27553.333333333332</v>
      </c>
    </row>
    <row r="8" spans="1:12" ht="24.95" customHeight="1">
      <c r="A8" s="73">
        <v>4</v>
      </c>
      <c r="B8" s="181" t="s">
        <v>20</v>
      </c>
      <c r="C8" s="181" t="s">
        <v>21</v>
      </c>
      <c r="D8" s="124">
        <v>45000</v>
      </c>
      <c r="E8" s="122">
        <v>15000</v>
      </c>
      <c r="F8" s="265">
        <f t="shared" si="0"/>
        <v>60000</v>
      </c>
      <c r="G8" s="134">
        <f>10000</f>
        <v>10000</v>
      </c>
      <c r="H8" s="228">
        <f>20000</f>
        <v>20000</v>
      </c>
      <c r="I8" s="120">
        <v>2446.6666666666665</v>
      </c>
      <c r="J8" s="120">
        <f t="shared" si="2"/>
        <v>32446.666666666668</v>
      </c>
      <c r="K8" s="265">
        <f t="shared" si="1"/>
        <v>27553.333333333332</v>
      </c>
    </row>
    <row r="9" spans="1:12" ht="24.95" customHeight="1">
      <c r="A9" s="73">
        <v>5</v>
      </c>
      <c r="B9" s="181" t="s">
        <v>22</v>
      </c>
      <c r="C9" s="181" t="s">
        <v>23</v>
      </c>
      <c r="D9" s="124">
        <v>45000</v>
      </c>
      <c r="E9" s="122">
        <v>15000</v>
      </c>
      <c r="F9" s="265">
        <f t="shared" si="0"/>
        <v>60000</v>
      </c>
      <c r="G9" s="134">
        <v>0</v>
      </c>
      <c r="H9" s="228">
        <v>0</v>
      </c>
      <c r="I9" s="120">
        <v>2446.6666666666665</v>
      </c>
      <c r="J9" s="120">
        <f t="shared" si="2"/>
        <v>2446.6666666666665</v>
      </c>
      <c r="K9" s="265">
        <f t="shared" si="1"/>
        <v>57553.333333333336</v>
      </c>
    </row>
    <row r="10" spans="1:12" ht="24.95" customHeight="1">
      <c r="A10" s="73">
        <v>6</v>
      </c>
      <c r="B10" s="181" t="s">
        <v>24</v>
      </c>
      <c r="C10" s="181" t="s">
        <v>25</v>
      </c>
      <c r="D10" s="124">
        <f>50000</f>
        <v>50000</v>
      </c>
      <c r="E10" s="122">
        <v>15000</v>
      </c>
      <c r="F10" s="265">
        <f t="shared" si="0"/>
        <v>65000</v>
      </c>
      <c r="G10" s="134">
        <f>5000+5000+5000</f>
        <v>15000</v>
      </c>
      <c r="H10" s="134">
        <f>14350</f>
        <v>14350</v>
      </c>
      <c r="I10" s="134">
        <v>2886.6666666666665</v>
      </c>
      <c r="J10" s="120">
        <f t="shared" si="2"/>
        <v>32236.666666666668</v>
      </c>
      <c r="K10" s="265">
        <f t="shared" si="1"/>
        <v>32763.333333333332</v>
      </c>
    </row>
    <row r="11" spans="1:12" ht="24.95" customHeight="1">
      <c r="A11" s="73">
        <v>7</v>
      </c>
      <c r="B11" s="181" t="s">
        <v>26</v>
      </c>
      <c r="C11" s="181" t="s">
        <v>25</v>
      </c>
      <c r="D11" s="124">
        <f>50000</f>
        <v>50000</v>
      </c>
      <c r="E11" s="122">
        <v>15000</v>
      </c>
      <c r="F11" s="265">
        <f t="shared" si="0"/>
        <v>65000</v>
      </c>
      <c r="G11" s="134">
        <f>5000</f>
        <v>5000</v>
      </c>
      <c r="H11" s="134">
        <v>0</v>
      </c>
      <c r="I11" s="134">
        <v>2886.6666666666665</v>
      </c>
      <c r="J11" s="120">
        <f t="shared" si="2"/>
        <v>7886.6666666666661</v>
      </c>
      <c r="K11" s="265">
        <f t="shared" si="1"/>
        <v>57113.333333333336</v>
      </c>
    </row>
    <row r="12" spans="1:12" ht="24.95" customHeight="1">
      <c r="A12" s="73">
        <v>8</v>
      </c>
      <c r="B12" s="181" t="s">
        <v>27</v>
      </c>
      <c r="C12" s="181" t="s">
        <v>23</v>
      </c>
      <c r="D12" s="124">
        <f>60000</f>
        <v>60000</v>
      </c>
      <c r="E12" s="122">
        <v>20000</v>
      </c>
      <c r="F12" s="265">
        <f t="shared" si="0"/>
        <v>80000</v>
      </c>
      <c r="G12" s="134">
        <f>10000</f>
        <v>10000</v>
      </c>
      <c r="H12" s="134">
        <f>17500</f>
        <v>17500</v>
      </c>
      <c r="I12" s="134">
        <v>4206.666666666667</v>
      </c>
      <c r="J12" s="120">
        <f t="shared" si="2"/>
        <v>31706.666666666668</v>
      </c>
      <c r="K12" s="265">
        <f t="shared" si="1"/>
        <v>48293.333333333328</v>
      </c>
    </row>
    <row r="13" spans="1:12" ht="24.95" customHeight="1">
      <c r="A13" s="73">
        <v>9</v>
      </c>
      <c r="B13" s="31" t="s">
        <v>28</v>
      </c>
      <c r="C13" s="31" t="s">
        <v>29</v>
      </c>
      <c r="D13" s="124">
        <f>70000</f>
        <v>70000</v>
      </c>
      <c r="E13" s="122">
        <v>20000</v>
      </c>
      <c r="F13" s="265">
        <f t="shared" si="0"/>
        <v>90000</v>
      </c>
      <c r="G13" s="134">
        <f>0</f>
        <v>0</v>
      </c>
      <c r="H13" s="134">
        <v>0</v>
      </c>
      <c r="I13" s="134">
        <v>5300</v>
      </c>
      <c r="J13" s="120">
        <f t="shared" si="2"/>
        <v>5300</v>
      </c>
      <c r="K13" s="265">
        <f t="shared" si="1"/>
        <v>84700</v>
      </c>
    </row>
    <row r="14" spans="1:12" ht="24.95" customHeight="1">
      <c r="A14" s="73">
        <v>10</v>
      </c>
      <c r="B14" s="31" t="s">
        <v>30</v>
      </c>
      <c r="C14" s="31" t="s">
        <v>19</v>
      </c>
      <c r="D14" s="124">
        <f>90000</f>
        <v>90000</v>
      </c>
      <c r="E14" s="122">
        <v>30000</v>
      </c>
      <c r="F14" s="265">
        <f t="shared" si="0"/>
        <v>120000</v>
      </c>
      <c r="G14" s="134">
        <f>0</f>
        <v>0</v>
      </c>
      <c r="H14" s="134">
        <v>0</v>
      </c>
      <c r="I14" s="120">
        <v>8900</v>
      </c>
      <c r="J14" s="120">
        <f t="shared" si="2"/>
        <v>8900</v>
      </c>
      <c r="K14" s="265">
        <f t="shared" si="1"/>
        <v>111100</v>
      </c>
    </row>
    <row r="15" spans="1:12" ht="24.95" customHeight="1">
      <c r="A15" s="73">
        <v>11</v>
      </c>
      <c r="B15" s="31" t="s">
        <v>31</v>
      </c>
      <c r="C15" s="31" t="s">
        <v>32</v>
      </c>
      <c r="D15" s="217">
        <f>105352.17</f>
        <v>105352.17</v>
      </c>
      <c r="E15" s="216">
        <f>(60000+50000)</f>
        <v>110000</v>
      </c>
      <c r="F15" s="265">
        <f t="shared" si="0"/>
        <v>215352.16999999998</v>
      </c>
      <c r="G15" s="134">
        <f>0</f>
        <v>0</v>
      </c>
      <c r="H15" s="134">
        <v>0</v>
      </c>
      <c r="I15" s="134">
        <v>23345.831226666665</v>
      </c>
      <c r="J15" s="120">
        <f t="shared" si="2"/>
        <v>23345.831226666665</v>
      </c>
      <c r="K15" s="265">
        <f t="shared" si="1"/>
        <v>192006.33877333332</v>
      </c>
    </row>
    <row r="16" spans="1:12" ht="30" customHeight="1">
      <c r="A16" s="73">
        <v>12</v>
      </c>
      <c r="B16" s="255" t="s">
        <v>33</v>
      </c>
      <c r="C16" s="277" t="s">
        <v>34</v>
      </c>
      <c r="D16" s="217">
        <f>502746.92</f>
        <v>502746.92</v>
      </c>
      <c r="E16" s="216">
        <v>180000</v>
      </c>
      <c r="F16" s="265">
        <f t="shared" si="0"/>
        <v>682746.91999999993</v>
      </c>
      <c r="G16" s="134">
        <f>0</f>
        <v>0</v>
      </c>
      <c r="H16" s="134">
        <v>0</v>
      </c>
      <c r="I16" s="216">
        <v>109754.08</v>
      </c>
      <c r="J16" s="120">
        <f t="shared" si="2"/>
        <v>109754.08</v>
      </c>
      <c r="K16" s="265">
        <f t="shared" si="1"/>
        <v>572992.84</v>
      </c>
    </row>
    <row r="17" spans="1:11" ht="30" customHeight="1">
      <c r="A17" s="73">
        <v>13</v>
      </c>
      <c r="B17" s="255" t="s">
        <v>35</v>
      </c>
      <c r="C17" s="31" t="s">
        <v>34</v>
      </c>
      <c r="D17" s="217">
        <f>555351.17</f>
        <v>555351.17000000004</v>
      </c>
      <c r="E17" s="216">
        <v>180000</v>
      </c>
      <c r="F17" s="265">
        <f t="shared" si="0"/>
        <v>735351.17</v>
      </c>
      <c r="G17" s="134">
        <f>0</f>
        <v>0</v>
      </c>
      <c r="H17" s="134">
        <v>0</v>
      </c>
      <c r="I17" s="134">
        <f>(119693.26)</f>
        <v>119693.26</v>
      </c>
      <c r="J17" s="120">
        <f t="shared" si="2"/>
        <v>119693.26</v>
      </c>
      <c r="K17" s="265">
        <f t="shared" si="1"/>
        <v>615657.91</v>
      </c>
    </row>
    <row r="18" spans="1:11" ht="30" customHeight="1">
      <c r="A18" s="73">
        <v>14</v>
      </c>
      <c r="B18" s="255" t="s">
        <v>36</v>
      </c>
      <c r="C18" s="31" t="s">
        <v>37</v>
      </c>
      <c r="D18" s="217">
        <f>800656.58</f>
        <v>800656.58</v>
      </c>
      <c r="E18" s="216">
        <v>200000</v>
      </c>
      <c r="F18" s="265">
        <f t="shared" si="0"/>
        <v>1000656.58</v>
      </c>
      <c r="G18" s="134">
        <f>0</f>
        <v>0</v>
      </c>
      <c r="H18" s="134">
        <v>0</v>
      </c>
      <c r="I18" s="134">
        <f>(170631.89)</f>
        <v>170631.89</v>
      </c>
      <c r="J18" s="120">
        <f t="shared" si="2"/>
        <v>170631.89</v>
      </c>
      <c r="K18" s="265">
        <f t="shared" si="1"/>
        <v>830024.69</v>
      </c>
    </row>
    <row r="19" spans="1:11" ht="30" customHeight="1">
      <c r="A19" s="73">
        <v>15</v>
      </c>
      <c r="B19" s="255" t="s">
        <v>38</v>
      </c>
      <c r="C19" s="31" t="s">
        <v>39</v>
      </c>
      <c r="D19" s="217">
        <v>25000</v>
      </c>
      <c r="E19" s="216">
        <v>0</v>
      </c>
      <c r="F19" s="265">
        <f t="shared" si="0"/>
        <v>25000</v>
      </c>
      <c r="G19" s="134">
        <f>0</f>
        <v>0</v>
      </c>
      <c r="H19" s="134">
        <v>0</v>
      </c>
      <c r="I19" s="134"/>
      <c r="J19" s="120">
        <f t="shared" si="2"/>
        <v>0</v>
      </c>
      <c r="K19" s="265">
        <f t="shared" si="1"/>
        <v>25000</v>
      </c>
    </row>
    <row r="20" spans="1:11" ht="30" customHeight="1">
      <c r="A20" s="73">
        <v>16</v>
      </c>
      <c r="B20" s="255" t="s">
        <v>40</v>
      </c>
      <c r="C20" s="31" t="s">
        <v>39</v>
      </c>
      <c r="D20" s="217">
        <v>25000</v>
      </c>
      <c r="E20" s="216">
        <v>0</v>
      </c>
      <c r="F20" s="265">
        <f t="shared" si="0"/>
        <v>25000</v>
      </c>
      <c r="G20" s="134">
        <f>0</f>
        <v>0</v>
      </c>
      <c r="H20" s="134">
        <v>0</v>
      </c>
      <c r="I20" s="134"/>
      <c r="J20" s="120">
        <f t="shared" si="2"/>
        <v>0</v>
      </c>
      <c r="K20" s="265">
        <f t="shared" si="1"/>
        <v>25000</v>
      </c>
    </row>
    <row r="21" spans="1:11" ht="30" customHeight="1">
      <c r="A21" s="73">
        <v>17</v>
      </c>
      <c r="B21" s="255" t="s">
        <v>41</v>
      </c>
      <c r="C21" s="31" t="s">
        <v>39</v>
      </c>
      <c r="D21" s="217">
        <v>25000</v>
      </c>
      <c r="E21" s="216">
        <v>0</v>
      </c>
      <c r="F21" s="265">
        <f t="shared" si="0"/>
        <v>25000</v>
      </c>
      <c r="G21" s="134">
        <f>0</f>
        <v>0</v>
      </c>
      <c r="H21" s="134">
        <v>0</v>
      </c>
      <c r="I21" s="134"/>
      <c r="J21" s="120">
        <f t="shared" si="2"/>
        <v>0</v>
      </c>
      <c r="K21" s="265">
        <f t="shared" si="1"/>
        <v>25000</v>
      </c>
    </row>
    <row r="22" spans="1:11" ht="30" customHeight="1">
      <c r="A22" s="73">
        <v>18</v>
      </c>
      <c r="B22" s="255" t="s">
        <v>42</v>
      </c>
      <c r="C22" s="31" t="s">
        <v>39</v>
      </c>
      <c r="D22" s="217">
        <v>25000</v>
      </c>
      <c r="E22" s="216">
        <v>0</v>
      </c>
      <c r="F22" s="265">
        <f t="shared" si="0"/>
        <v>25000</v>
      </c>
      <c r="G22" s="134">
        <f>0</f>
        <v>0</v>
      </c>
      <c r="H22" s="134">
        <v>0</v>
      </c>
      <c r="I22" s="134"/>
      <c r="J22" s="120">
        <f t="shared" si="2"/>
        <v>0</v>
      </c>
      <c r="K22" s="265">
        <f t="shared" si="1"/>
        <v>25000</v>
      </c>
    </row>
    <row r="23" spans="1:11" ht="30" customHeight="1">
      <c r="A23" s="73">
        <v>19</v>
      </c>
      <c r="B23" s="255" t="s">
        <v>43</v>
      </c>
      <c r="C23" s="31" t="s">
        <v>44</v>
      </c>
      <c r="D23" s="217">
        <f>424023.33</f>
        <v>424023.33</v>
      </c>
      <c r="E23" s="216">
        <v>90000</v>
      </c>
      <c r="F23" s="265">
        <f t="shared" si="0"/>
        <v>514023.33</v>
      </c>
      <c r="G23" s="134">
        <f>0</f>
        <v>0</v>
      </c>
      <c r="H23" s="134">
        <v>0</v>
      </c>
      <c r="I23" s="134">
        <f>77198.31</f>
        <v>77198.31</v>
      </c>
      <c r="J23" s="120">
        <f t="shared" si="2"/>
        <v>77198.31</v>
      </c>
      <c r="K23" s="265">
        <f t="shared" si="1"/>
        <v>436825.02</v>
      </c>
    </row>
    <row r="24" spans="1:11" ht="30" customHeight="1">
      <c r="A24" s="73">
        <v>20</v>
      </c>
      <c r="B24" s="255" t="s">
        <v>45</v>
      </c>
      <c r="C24" s="31" t="s">
        <v>34</v>
      </c>
      <c r="D24" s="217">
        <f>496425.42</f>
        <v>496425.42</v>
      </c>
      <c r="E24" s="216">
        <v>180000</v>
      </c>
      <c r="F24" s="265">
        <f t="shared" si="0"/>
        <v>676425.41999999993</v>
      </c>
      <c r="G24" s="134">
        <f>0</f>
        <v>0</v>
      </c>
      <c r="H24" s="134">
        <v>0</v>
      </c>
      <c r="I24" s="134">
        <f>108540.35</f>
        <v>108540.35</v>
      </c>
      <c r="J24" s="120">
        <f t="shared" si="2"/>
        <v>108540.35</v>
      </c>
      <c r="K24" s="265">
        <f t="shared" si="1"/>
        <v>567885.06999999995</v>
      </c>
    </row>
    <row r="25" spans="1:11" ht="30" customHeight="1">
      <c r="A25" s="73">
        <v>21</v>
      </c>
      <c r="B25" s="255" t="s">
        <v>46</v>
      </c>
      <c r="C25" s="31" t="s">
        <v>47</v>
      </c>
      <c r="D25" s="217">
        <f>25000+7500</f>
        <v>32500</v>
      </c>
      <c r="E25" s="216">
        <v>0</v>
      </c>
      <c r="F25" s="265">
        <f t="shared" si="0"/>
        <v>32500</v>
      </c>
      <c r="G25" s="134">
        <f>0</f>
        <v>0</v>
      </c>
      <c r="H25" s="134">
        <v>0</v>
      </c>
      <c r="I25" s="134"/>
      <c r="J25" s="120">
        <f t="shared" si="2"/>
        <v>0</v>
      </c>
      <c r="K25" s="265">
        <f t="shared" si="1"/>
        <v>32500</v>
      </c>
    </row>
    <row r="26" spans="1:11" ht="30" customHeight="1">
      <c r="A26" s="73">
        <v>22</v>
      </c>
      <c r="B26" s="255" t="s">
        <v>48</v>
      </c>
      <c r="C26" s="31" t="s">
        <v>39</v>
      </c>
      <c r="D26" s="217">
        <v>25000</v>
      </c>
      <c r="E26" s="216">
        <v>0</v>
      </c>
      <c r="F26" s="265">
        <f t="shared" si="0"/>
        <v>25000</v>
      </c>
      <c r="G26" s="134">
        <f>0</f>
        <v>0</v>
      </c>
      <c r="H26" s="134">
        <v>0</v>
      </c>
      <c r="I26" s="134"/>
      <c r="J26" s="120">
        <f t="shared" si="2"/>
        <v>0</v>
      </c>
      <c r="K26" s="265">
        <f t="shared" si="1"/>
        <v>25000</v>
      </c>
    </row>
    <row r="27" spans="1:11" ht="30" customHeight="1">
      <c r="A27" s="73">
        <v>23</v>
      </c>
      <c r="B27" s="255" t="s">
        <v>49</v>
      </c>
      <c r="C27" s="31" t="s">
        <v>50</v>
      </c>
      <c r="D27" s="217">
        <v>60000</v>
      </c>
      <c r="E27" s="216">
        <v>20000</v>
      </c>
      <c r="F27" s="265">
        <f t="shared" si="0"/>
        <v>80000</v>
      </c>
      <c r="G27" s="134">
        <f>0</f>
        <v>0</v>
      </c>
      <c r="H27" s="134">
        <v>0</v>
      </c>
      <c r="I27" s="134">
        <f>4206.67</f>
        <v>4206.67</v>
      </c>
      <c r="J27" s="120">
        <f t="shared" si="2"/>
        <v>4206.67</v>
      </c>
      <c r="K27" s="265">
        <f t="shared" si="1"/>
        <v>75793.33</v>
      </c>
    </row>
    <row r="28" spans="1:11" ht="30" customHeight="1">
      <c r="A28" s="73">
        <v>24</v>
      </c>
      <c r="B28" s="255" t="s">
        <v>51</v>
      </c>
      <c r="C28" s="31" t="s">
        <v>52</v>
      </c>
      <c r="D28" s="217">
        <v>55000</v>
      </c>
      <c r="E28" s="216">
        <v>15000</v>
      </c>
      <c r="F28" s="265">
        <f t="shared" si="0"/>
        <v>70000</v>
      </c>
      <c r="G28" s="134">
        <f>0</f>
        <v>0</v>
      </c>
      <c r="H28" s="134">
        <v>0</v>
      </c>
      <c r="I28" s="134">
        <f>3326.67</f>
        <v>3326.67</v>
      </c>
      <c r="J28" s="120">
        <f t="shared" si="2"/>
        <v>3326.67</v>
      </c>
      <c r="K28" s="265">
        <f t="shared" si="1"/>
        <v>66673.33</v>
      </c>
    </row>
    <row r="29" spans="1:11" ht="30" customHeight="1">
      <c r="A29" s="73">
        <v>25</v>
      </c>
      <c r="B29" s="255" t="s">
        <v>53</v>
      </c>
      <c r="C29" s="31" t="s">
        <v>39</v>
      </c>
      <c r="D29" s="217">
        <v>25000</v>
      </c>
      <c r="E29" s="216">
        <v>0</v>
      </c>
      <c r="F29" s="265">
        <f t="shared" si="0"/>
        <v>25000</v>
      </c>
      <c r="G29" s="134">
        <f>0</f>
        <v>0</v>
      </c>
      <c r="H29" s="134">
        <v>0</v>
      </c>
      <c r="I29" s="134"/>
      <c r="J29" s="120">
        <f t="shared" si="2"/>
        <v>0</v>
      </c>
      <c r="K29" s="265">
        <f t="shared" si="1"/>
        <v>25000</v>
      </c>
    </row>
    <row r="30" spans="1:11" ht="30" customHeight="1">
      <c r="A30" s="73">
        <v>26</v>
      </c>
      <c r="B30" s="255" t="s">
        <v>54</v>
      </c>
      <c r="C30" s="31" t="s">
        <v>39</v>
      </c>
      <c r="D30" s="217">
        <v>25000</v>
      </c>
      <c r="E30" s="216"/>
      <c r="F30" s="265">
        <f t="shared" si="0"/>
        <v>25000</v>
      </c>
      <c r="G30" s="134">
        <f>0</f>
        <v>0</v>
      </c>
      <c r="H30" s="134">
        <v>0</v>
      </c>
      <c r="I30" s="134"/>
      <c r="J30" s="120">
        <f t="shared" si="2"/>
        <v>0</v>
      </c>
      <c r="K30" s="265">
        <f t="shared" si="1"/>
        <v>25000</v>
      </c>
    </row>
    <row r="31" spans="1:11" ht="30" customHeight="1">
      <c r="A31" s="73">
        <v>27</v>
      </c>
      <c r="B31" s="255" t="s">
        <v>55</v>
      </c>
      <c r="C31" s="31" t="s">
        <v>34</v>
      </c>
      <c r="D31" s="217">
        <v>410900.75</v>
      </c>
      <c r="E31" s="216">
        <v>160000</v>
      </c>
      <c r="F31" s="265">
        <f t="shared" si="0"/>
        <v>570900.75</v>
      </c>
      <c r="G31" s="134">
        <f>0</f>
        <v>0</v>
      </c>
      <c r="H31" s="134">
        <v>0</v>
      </c>
      <c r="I31" s="134">
        <f>88279.61</f>
        <v>88279.61</v>
      </c>
      <c r="J31" s="120">
        <f t="shared" si="2"/>
        <v>88279.61</v>
      </c>
      <c r="K31" s="265">
        <f t="shared" si="1"/>
        <v>482621.14</v>
      </c>
    </row>
    <row r="32" spans="1:11" ht="30" customHeight="1">
      <c r="A32" s="73">
        <v>28</v>
      </c>
      <c r="B32" s="255" t="s">
        <v>56</v>
      </c>
      <c r="C32" s="31" t="s">
        <v>37</v>
      </c>
      <c r="D32" s="217">
        <f>123329.05</f>
        <v>123329.05</v>
      </c>
      <c r="E32" s="216">
        <v>50000</v>
      </c>
      <c r="F32" s="265">
        <f t="shared" si="0"/>
        <v>173329.05</v>
      </c>
      <c r="G32" s="120">
        <v>20000</v>
      </c>
      <c r="H32" s="134">
        <v>0</v>
      </c>
      <c r="I32" s="134">
        <v>16512.68</v>
      </c>
      <c r="J32" s="120">
        <f t="shared" si="2"/>
        <v>36512.68</v>
      </c>
      <c r="K32" s="265">
        <f t="shared" si="1"/>
        <v>136816.37</v>
      </c>
    </row>
    <row r="33" spans="1:11" ht="30" customHeight="1">
      <c r="A33" s="73">
        <v>29</v>
      </c>
      <c r="B33" s="255" t="s">
        <v>57</v>
      </c>
      <c r="C33" s="31" t="s">
        <v>37</v>
      </c>
      <c r="D33" s="217">
        <f>226713</f>
        <v>226713</v>
      </c>
      <c r="E33" s="216">
        <f>70000</f>
        <v>70000</v>
      </c>
      <c r="F33" s="265">
        <f t="shared" si="0"/>
        <v>296713</v>
      </c>
      <c r="G33" s="120">
        <f>20000</f>
        <v>20000</v>
      </c>
      <c r="H33" s="134">
        <v>0</v>
      </c>
      <c r="I33" s="134">
        <f>37014.45</f>
        <v>37014.449999999997</v>
      </c>
      <c r="J33" s="120">
        <f t="shared" si="2"/>
        <v>57014.45</v>
      </c>
      <c r="K33" s="265">
        <f t="shared" si="1"/>
        <v>239698.55</v>
      </c>
    </row>
    <row r="34" spans="1:11" ht="30" customHeight="1">
      <c r="A34" s="73">
        <v>30</v>
      </c>
      <c r="B34" s="255" t="s">
        <v>58</v>
      </c>
      <c r="C34" s="31" t="s">
        <v>37</v>
      </c>
      <c r="D34" s="217">
        <f>145204</f>
        <v>145204</v>
      </c>
      <c r="E34" s="216">
        <f>60000</f>
        <v>60000</v>
      </c>
      <c r="F34" s="265">
        <f t="shared" si="0"/>
        <v>205204</v>
      </c>
      <c r="G34" s="134">
        <f>0</f>
        <v>0</v>
      </c>
      <c r="H34" s="134">
        <v>0</v>
      </c>
      <c r="I34" s="289">
        <v>21640.952862666669</v>
      </c>
      <c r="J34" s="120">
        <f t="shared" si="2"/>
        <v>21640.952862666669</v>
      </c>
      <c r="K34" s="265">
        <f t="shared" si="1"/>
        <v>183563.04713733334</v>
      </c>
    </row>
    <row r="35" spans="1:11" ht="30" customHeight="1">
      <c r="A35" s="73">
        <v>31</v>
      </c>
      <c r="B35" s="255" t="s">
        <v>59</v>
      </c>
      <c r="C35" s="31" t="s">
        <v>60</v>
      </c>
      <c r="D35" s="217">
        <f>90000</f>
        <v>90000</v>
      </c>
      <c r="E35" s="216">
        <f>30000</f>
        <v>30000</v>
      </c>
      <c r="F35" s="265">
        <f t="shared" si="0"/>
        <v>120000</v>
      </c>
      <c r="G35" s="134">
        <f>0</f>
        <v>0</v>
      </c>
      <c r="H35" s="134">
        <v>0</v>
      </c>
      <c r="I35" s="134">
        <f>8600</f>
        <v>8600</v>
      </c>
      <c r="J35" s="120">
        <f t="shared" si="2"/>
        <v>8600</v>
      </c>
      <c r="K35" s="265">
        <f t="shared" si="1"/>
        <v>111400</v>
      </c>
    </row>
    <row r="36" spans="1:11" ht="30" customHeight="1">
      <c r="A36" s="73">
        <v>32</v>
      </c>
      <c r="B36" s="255" t="s">
        <v>61</v>
      </c>
      <c r="C36" s="31" t="s">
        <v>37</v>
      </c>
      <c r="D36" s="217">
        <f>123329.05</f>
        <v>123329.05</v>
      </c>
      <c r="E36" s="216">
        <f>50000</f>
        <v>50000</v>
      </c>
      <c r="F36" s="265">
        <f t="shared" si="0"/>
        <v>173329.05</v>
      </c>
      <c r="G36" s="120">
        <f>50000</f>
        <v>50000</v>
      </c>
      <c r="H36" s="134">
        <v>0</v>
      </c>
      <c r="I36" s="134">
        <v>16512.68</v>
      </c>
      <c r="J36" s="120">
        <f t="shared" si="2"/>
        <v>66512.679999999993</v>
      </c>
      <c r="K36" s="265">
        <f t="shared" si="1"/>
        <v>106816.37</v>
      </c>
    </row>
    <row r="37" spans="1:11" ht="30" customHeight="1">
      <c r="A37" s="73">
        <v>33</v>
      </c>
      <c r="B37" s="255" t="s">
        <v>62</v>
      </c>
      <c r="C37" s="31" t="s">
        <v>63</v>
      </c>
      <c r="D37" s="217">
        <f>168602</f>
        <v>168602</v>
      </c>
      <c r="E37" s="216">
        <f>60000</f>
        <v>60000</v>
      </c>
      <c r="F37" s="265">
        <f t="shared" si="0"/>
        <v>228602</v>
      </c>
      <c r="G37" s="134">
        <f>0</f>
        <v>0</v>
      </c>
      <c r="H37" s="134">
        <v>0</v>
      </c>
      <c r="I37" s="134">
        <f>25571.8</f>
        <v>25571.8</v>
      </c>
      <c r="J37" s="120">
        <f t="shared" si="2"/>
        <v>25571.8</v>
      </c>
      <c r="K37" s="265">
        <f t="shared" si="1"/>
        <v>203030.2</v>
      </c>
    </row>
    <row r="38" spans="1:11" ht="30" customHeight="1">
      <c r="A38" s="73">
        <v>34</v>
      </c>
      <c r="B38" s="255" t="s">
        <v>64</v>
      </c>
      <c r="C38" s="31" t="s">
        <v>37</v>
      </c>
      <c r="D38" s="217">
        <v>145204</v>
      </c>
      <c r="E38" s="216">
        <v>60000</v>
      </c>
      <c r="F38" s="265">
        <f t="shared" si="0"/>
        <v>205204</v>
      </c>
      <c r="G38" s="134">
        <f>0</f>
        <v>0</v>
      </c>
      <c r="H38" s="134">
        <v>0</v>
      </c>
      <c r="I38" s="134">
        <f>21640.95</f>
        <v>21640.95</v>
      </c>
      <c r="J38" s="120">
        <f t="shared" si="2"/>
        <v>21640.95</v>
      </c>
      <c r="K38" s="265">
        <f t="shared" si="1"/>
        <v>183563.05</v>
      </c>
    </row>
    <row r="39" spans="1:11" ht="30" customHeight="1">
      <c r="A39" s="73">
        <v>35</v>
      </c>
      <c r="B39" s="255" t="s">
        <v>65</v>
      </c>
      <c r="C39" s="31" t="s">
        <v>37</v>
      </c>
      <c r="D39" s="217">
        <f>226713</f>
        <v>226713</v>
      </c>
      <c r="E39" s="216">
        <f>120000</f>
        <v>120000</v>
      </c>
      <c r="F39" s="265">
        <f t="shared" si="0"/>
        <v>346713</v>
      </c>
      <c r="G39" s="134">
        <f>0</f>
        <v>0</v>
      </c>
      <c r="H39" s="134">
        <v>0</v>
      </c>
      <c r="I39" s="134">
        <f>45414.45</f>
        <v>45414.45</v>
      </c>
      <c r="J39" s="120">
        <f t="shared" si="2"/>
        <v>45414.45</v>
      </c>
      <c r="K39" s="265">
        <f t="shared" si="1"/>
        <v>301298.55</v>
      </c>
    </row>
    <row r="40" spans="1:11" ht="30" customHeight="1">
      <c r="A40" s="73">
        <v>36</v>
      </c>
      <c r="B40" s="255" t="s">
        <v>66</v>
      </c>
      <c r="C40" s="31" t="s">
        <v>39</v>
      </c>
      <c r="D40" s="217">
        <v>25000</v>
      </c>
      <c r="E40" s="216"/>
      <c r="F40" s="265">
        <f t="shared" si="0"/>
        <v>25000</v>
      </c>
      <c r="G40" s="134">
        <f>0</f>
        <v>0</v>
      </c>
      <c r="H40" s="134">
        <v>0</v>
      </c>
      <c r="I40" s="134"/>
      <c r="J40" s="120">
        <f t="shared" si="2"/>
        <v>0</v>
      </c>
      <c r="K40" s="265">
        <f t="shared" si="1"/>
        <v>25000</v>
      </c>
    </row>
    <row r="41" spans="1:11" ht="30" customHeight="1">
      <c r="A41" s="73">
        <v>37</v>
      </c>
      <c r="B41" s="255" t="s">
        <v>67</v>
      </c>
      <c r="C41" s="31" t="s">
        <v>37</v>
      </c>
      <c r="D41" s="217">
        <f>123329.05</f>
        <v>123329.05</v>
      </c>
      <c r="E41" s="290">
        <f>50000</f>
        <v>50000</v>
      </c>
      <c r="F41" s="265">
        <f t="shared" si="0"/>
        <v>173329.05</v>
      </c>
      <c r="G41" s="134">
        <f>0</f>
        <v>0</v>
      </c>
      <c r="H41" s="134">
        <v>0</v>
      </c>
      <c r="I41" s="134">
        <v>16512.68</v>
      </c>
      <c r="J41" s="120">
        <f t="shared" si="2"/>
        <v>16512.68</v>
      </c>
      <c r="K41" s="265">
        <f t="shared" si="1"/>
        <v>156816.37</v>
      </c>
    </row>
    <row r="42" spans="1:11" ht="30" customHeight="1">
      <c r="A42" s="73">
        <v>38</v>
      </c>
      <c r="B42" s="255" t="s">
        <v>68</v>
      </c>
      <c r="C42" s="31" t="s">
        <v>63</v>
      </c>
      <c r="D42" s="217">
        <f>123329.05</f>
        <v>123329.05</v>
      </c>
      <c r="E42" s="290">
        <f>100000</f>
        <v>100000</v>
      </c>
      <c r="F42" s="265">
        <f t="shared" si="0"/>
        <v>223329.05</v>
      </c>
      <c r="G42" s="134">
        <f>0</f>
        <v>0</v>
      </c>
      <c r="H42" s="134">
        <v>0</v>
      </c>
      <c r="I42" s="134">
        <f>28687.49</f>
        <v>28687.49</v>
      </c>
      <c r="J42" s="120">
        <f t="shared" si="2"/>
        <v>28687.49</v>
      </c>
      <c r="K42" s="265">
        <f t="shared" si="1"/>
        <v>194641.56</v>
      </c>
    </row>
    <row r="43" spans="1:11" ht="30" customHeight="1">
      <c r="A43" s="73">
        <v>39</v>
      </c>
      <c r="B43" s="255" t="s">
        <v>69</v>
      </c>
      <c r="C43" s="31" t="s">
        <v>37</v>
      </c>
      <c r="D43" s="217">
        <f>123329.05</f>
        <v>123329.05</v>
      </c>
      <c r="E43" s="290">
        <f>100000</f>
        <v>100000</v>
      </c>
      <c r="F43" s="265">
        <f t="shared" si="0"/>
        <v>223329.05</v>
      </c>
      <c r="G43" s="134">
        <f>0</f>
        <v>0</v>
      </c>
      <c r="H43" s="134">
        <v>0</v>
      </c>
      <c r="I43" s="134">
        <f>28687.49</f>
        <v>28687.49</v>
      </c>
      <c r="J43" s="120">
        <f t="shared" si="2"/>
        <v>28687.49</v>
      </c>
      <c r="K43" s="265">
        <f t="shared" si="1"/>
        <v>194641.56</v>
      </c>
    </row>
    <row r="44" spans="1:11" ht="30" customHeight="1">
      <c r="A44" s="73">
        <v>40</v>
      </c>
      <c r="B44" s="255" t="s">
        <v>70</v>
      </c>
      <c r="C44" s="31" t="s">
        <v>37</v>
      </c>
      <c r="D44" s="217">
        <f>123329.05</f>
        <v>123329.05</v>
      </c>
      <c r="E44" s="290">
        <f>100000</f>
        <v>100000</v>
      </c>
      <c r="F44" s="265">
        <f t="shared" si="0"/>
        <v>223329.05</v>
      </c>
      <c r="G44" s="134">
        <f>0</f>
        <v>0</v>
      </c>
      <c r="H44" s="134">
        <v>0</v>
      </c>
      <c r="I44" s="134">
        <f>28687.49</f>
        <v>28687.49</v>
      </c>
      <c r="J44" s="120">
        <f t="shared" si="2"/>
        <v>28687.49</v>
      </c>
      <c r="K44" s="265">
        <f t="shared" si="1"/>
        <v>194641.56</v>
      </c>
    </row>
    <row r="45" spans="1:11" ht="30" customHeight="1">
      <c r="A45" s="73">
        <v>41</v>
      </c>
      <c r="B45" s="255" t="s">
        <v>71</v>
      </c>
      <c r="C45" s="31" t="s">
        <v>39</v>
      </c>
      <c r="D45" s="217">
        <v>25000</v>
      </c>
      <c r="E45" s="290"/>
      <c r="F45" s="265">
        <f t="shared" si="0"/>
        <v>25000</v>
      </c>
      <c r="G45" s="134">
        <f>0</f>
        <v>0</v>
      </c>
      <c r="H45" s="134">
        <v>0</v>
      </c>
      <c r="I45" s="134"/>
      <c r="J45" s="120">
        <f t="shared" si="2"/>
        <v>0</v>
      </c>
      <c r="K45" s="265">
        <f t="shared" si="1"/>
        <v>25000</v>
      </c>
    </row>
    <row r="46" spans="1:11" ht="30" customHeight="1">
      <c r="A46" s="73">
        <v>42</v>
      </c>
      <c r="B46" s="255" t="s">
        <v>72</v>
      </c>
      <c r="C46" s="31" t="s">
        <v>37</v>
      </c>
      <c r="D46" s="217">
        <f>145204</f>
        <v>145204</v>
      </c>
      <c r="E46" s="290">
        <f>60000</f>
        <v>60000</v>
      </c>
      <c r="F46" s="265">
        <f t="shared" si="0"/>
        <v>205204</v>
      </c>
      <c r="G46" s="134">
        <f>0</f>
        <v>0</v>
      </c>
      <c r="H46" s="134">
        <v>0</v>
      </c>
      <c r="I46" s="134">
        <f>21640.95</f>
        <v>21640.95</v>
      </c>
      <c r="J46" s="120">
        <f t="shared" si="2"/>
        <v>21640.95</v>
      </c>
      <c r="K46" s="265">
        <f t="shared" si="1"/>
        <v>183563.05</v>
      </c>
    </row>
    <row r="47" spans="1:11" ht="30" customHeight="1">
      <c r="A47" s="73">
        <v>43</v>
      </c>
      <c r="B47" s="255" t="s">
        <v>73</v>
      </c>
      <c r="C47" s="31" t="s">
        <v>63</v>
      </c>
      <c r="D47" s="217">
        <f>123329.05</f>
        <v>123329.05</v>
      </c>
      <c r="E47" s="290">
        <f>50000</f>
        <v>50000</v>
      </c>
      <c r="F47" s="265">
        <f t="shared" si="0"/>
        <v>173329.05</v>
      </c>
      <c r="G47" s="134">
        <f>0</f>
        <v>0</v>
      </c>
      <c r="H47" s="134">
        <v>0</v>
      </c>
      <c r="I47" s="134">
        <f>16512.68</f>
        <v>16512.68</v>
      </c>
      <c r="J47" s="120">
        <f t="shared" si="2"/>
        <v>16512.68</v>
      </c>
      <c r="K47" s="265">
        <f t="shared" si="1"/>
        <v>156816.37</v>
      </c>
    </row>
    <row r="48" spans="1:11" ht="30" customHeight="1">
      <c r="A48" s="73">
        <v>44</v>
      </c>
      <c r="B48" s="255" t="s">
        <v>74</v>
      </c>
      <c r="C48" s="31" t="s">
        <v>34</v>
      </c>
      <c r="D48" s="217">
        <f>555351.17</f>
        <v>555351.17000000004</v>
      </c>
      <c r="E48" s="290">
        <v>180000</v>
      </c>
      <c r="F48" s="265">
        <f t="shared" si="0"/>
        <v>735351.17</v>
      </c>
      <c r="G48" s="134">
        <f>0</f>
        <v>0</v>
      </c>
      <c r="H48" s="134">
        <v>0</v>
      </c>
      <c r="I48" s="134">
        <f>(119693.26)</f>
        <v>119693.26</v>
      </c>
      <c r="J48" s="120">
        <f t="shared" si="2"/>
        <v>119693.26</v>
      </c>
      <c r="K48" s="265">
        <f t="shared" si="1"/>
        <v>615657.91</v>
      </c>
    </row>
    <row r="49" spans="1:13" ht="30" customHeight="1">
      <c r="A49" s="73">
        <v>45</v>
      </c>
      <c r="B49" s="255" t="s">
        <v>75</v>
      </c>
      <c r="C49" s="31" t="s">
        <v>76</v>
      </c>
      <c r="D49" s="217">
        <f>'[2]SALARY STRUCTURE'!$H$18</f>
        <v>344720.16666666669</v>
      </c>
      <c r="E49" s="290">
        <f>160000</f>
        <v>160000</v>
      </c>
      <c r="F49" s="265">
        <f t="shared" si="0"/>
        <v>504720.16666666669</v>
      </c>
      <c r="G49" s="134">
        <f>0</f>
        <v>0</v>
      </c>
      <c r="H49" s="134">
        <v>0</v>
      </c>
      <c r="I49" s="134">
        <f>75436.17</f>
        <v>75436.17</v>
      </c>
      <c r="J49" s="120">
        <f t="shared" si="2"/>
        <v>75436.17</v>
      </c>
      <c r="K49" s="265">
        <f t="shared" si="1"/>
        <v>429283.9966666667</v>
      </c>
    </row>
    <row r="50" spans="1:13" ht="30" customHeight="1">
      <c r="A50" s="73">
        <v>46</v>
      </c>
      <c r="B50" s="255" t="s">
        <v>77</v>
      </c>
      <c r="C50" s="31" t="s">
        <v>39</v>
      </c>
      <c r="D50" s="217">
        <v>25000</v>
      </c>
      <c r="E50" s="216">
        <v>0</v>
      </c>
      <c r="F50" s="265">
        <f t="shared" si="0"/>
        <v>25000</v>
      </c>
      <c r="G50" s="134">
        <f>0</f>
        <v>0</v>
      </c>
      <c r="H50" s="134">
        <v>0</v>
      </c>
      <c r="I50" s="134">
        <v>0</v>
      </c>
      <c r="J50" s="120">
        <f t="shared" si="2"/>
        <v>0</v>
      </c>
      <c r="K50" s="265">
        <f t="shared" si="1"/>
        <v>25000</v>
      </c>
    </row>
    <row r="51" spans="1:13" ht="30" customHeight="1">
      <c r="A51" s="73">
        <v>47</v>
      </c>
      <c r="B51" s="255" t="s">
        <v>78</v>
      </c>
      <c r="C51" s="31" t="s">
        <v>39</v>
      </c>
      <c r="D51" s="217">
        <v>25000</v>
      </c>
      <c r="E51" s="216">
        <v>0</v>
      </c>
      <c r="F51" s="265">
        <f t="shared" si="0"/>
        <v>25000</v>
      </c>
      <c r="G51" s="134">
        <f>0</f>
        <v>0</v>
      </c>
      <c r="H51" s="134">
        <v>0</v>
      </c>
      <c r="I51" s="134">
        <v>0</v>
      </c>
      <c r="J51" s="120">
        <f t="shared" si="2"/>
        <v>0</v>
      </c>
      <c r="K51" s="265">
        <f t="shared" si="1"/>
        <v>25000</v>
      </c>
    </row>
    <row r="52" spans="1:13" ht="30" customHeight="1">
      <c r="A52" s="73">
        <v>48</v>
      </c>
      <c r="B52" s="255" t="s">
        <v>79</v>
      </c>
      <c r="C52" s="31" t="s">
        <v>39</v>
      </c>
      <c r="D52" s="217">
        <v>25000</v>
      </c>
      <c r="E52" s="216">
        <v>0</v>
      </c>
      <c r="F52" s="265">
        <f t="shared" si="0"/>
        <v>25000</v>
      </c>
      <c r="G52" s="134">
        <f>0</f>
        <v>0</v>
      </c>
      <c r="H52" s="134">
        <v>0</v>
      </c>
      <c r="I52" s="134">
        <v>0</v>
      </c>
      <c r="J52" s="120">
        <f t="shared" si="2"/>
        <v>0</v>
      </c>
      <c r="K52" s="265">
        <f t="shared" si="1"/>
        <v>25000</v>
      </c>
    </row>
    <row r="53" spans="1:13" ht="30" customHeight="1">
      <c r="A53" s="73">
        <v>49</v>
      </c>
      <c r="B53" s="255" t="s">
        <v>80</v>
      </c>
      <c r="C53" s="31" t="s">
        <v>39</v>
      </c>
      <c r="D53" s="217">
        <v>25000</v>
      </c>
      <c r="E53" s="216">
        <v>0</v>
      </c>
      <c r="F53" s="265">
        <f t="shared" si="0"/>
        <v>25000</v>
      </c>
      <c r="G53" s="134">
        <f>0</f>
        <v>0</v>
      </c>
      <c r="H53" s="134">
        <v>0</v>
      </c>
      <c r="I53" s="134">
        <v>0</v>
      </c>
      <c r="J53" s="120">
        <f t="shared" si="2"/>
        <v>0</v>
      </c>
      <c r="K53" s="265">
        <f t="shared" si="1"/>
        <v>25000</v>
      </c>
    </row>
    <row r="54" spans="1:13" ht="30" customHeight="1">
      <c r="A54" s="73">
        <v>50</v>
      </c>
      <c r="B54" s="255" t="s">
        <v>81</v>
      </c>
      <c r="C54" s="31" t="s">
        <v>39</v>
      </c>
      <c r="D54" s="217">
        <v>25000</v>
      </c>
      <c r="E54" s="216">
        <v>0</v>
      </c>
      <c r="F54" s="265">
        <f t="shared" ref="F54:F56" si="3">D54+E54</f>
        <v>25000</v>
      </c>
      <c r="G54" s="134">
        <f>0</f>
        <v>0</v>
      </c>
      <c r="H54" s="134">
        <v>0</v>
      </c>
      <c r="I54" s="134">
        <v>0</v>
      </c>
      <c r="J54" s="120">
        <f t="shared" si="2"/>
        <v>0</v>
      </c>
      <c r="K54" s="265">
        <f t="shared" ref="K54:K56" si="4">F54-J54</f>
        <v>25000</v>
      </c>
    </row>
    <row r="55" spans="1:13" ht="30" customHeight="1">
      <c r="A55" s="73">
        <v>51</v>
      </c>
      <c r="B55" s="255" t="s">
        <v>82</v>
      </c>
      <c r="C55" s="31" t="s">
        <v>39</v>
      </c>
      <c r="D55" s="217">
        <v>25000</v>
      </c>
      <c r="E55" s="216">
        <v>0</v>
      </c>
      <c r="F55" s="265">
        <f t="shared" si="3"/>
        <v>25000</v>
      </c>
      <c r="G55" s="134">
        <f>0</f>
        <v>0</v>
      </c>
      <c r="H55" s="134">
        <v>0</v>
      </c>
      <c r="I55" s="134">
        <v>0</v>
      </c>
      <c r="J55" s="120">
        <f t="shared" si="2"/>
        <v>0</v>
      </c>
      <c r="K55" s="265">
        <f t="shared" si="4"/>
        <v>25000</v>
      </c>
    </row>
    <row r="56" spans="1:13" ht="30" customHeight="1">
      <c r="A56" s="73">
        <v>52</v>
      </c>
      <c r="B56" s="255" t="s">
        <v>83</v>
      </c>
      <c r="C56" s="31" t="s">
        <v>39</v>
      </c>
      <c r="D56" s="217">
        <v>25000</v>
      </c>
      <c r="E56" s="216">
        <v>0</v>
      </c>
      <c r="F56" s="265">
        <f t="shared" si="3"/>
        <v>25000</v>
      </c>
      <c r="G56" s="134">
        <f>0</f>
        <v>0</v>
      </c>
      <c r="H56" s="134">
        <v>0</v>
      </c>
      <c r="I56" s="134">
        <v>0</v>
      </c>
      <c r="J56" s="120">
        <f t="shared" si="2"/>
        <v>0</v>
      </c>
      <c r="K56" s="265">
        <f t="shared" si="4"/>
        <v>25000</v>
      </c>
    </row>
    <row r="57" spans="1:13" ht="43.5" customHeight="1">
      <c r="A57" s="73"/>
      <c r="B57" s="287" t="s">
        <v>84</v>
      </c>
      <c r="C57" s="31"/>
      <c r="D57" s="292">
        <f>SUM(D5:D56)</f>
        <v>7434998.8266666662</v>
      </c>
      <c r="E57" s="292">
        <f t="shared" ref="E57:K57" si="5">SUM(E5:E56)</f>
        <v>2670000</v>
      </c>
      <c r="F57" s="292">
        <f t="shared" si="5"/>
        <v>10104998.826666666</v>
      </c>
      <c r="G57" s="292">
        <f t="shared" si="5"/>
        <v>180000</v>
      </c>
      <c r="H57" s="292">
        <f t="shared" si="5"/>
        <v>111850</v>
      </c>
      <c r="I57" s="292">
        <f t="shared" si="5"/>
        <v>1294262.1811560001</v>
      </c>
      <c r="J57" s="292">
        <f t="shared" si="5"/>
        <v>1586112.1811559999</v>
      </c>
      <c r="K57" s="292">
        <f t="shared" si="5"/>
        <v>8518886.6455106661</v>
      </c>
      <c r="M57" s="116"/>
    </row>
    <row r="58" spans="1:13" ht="20.100000000000001" customHeight="1">
      <c r="A58" s="70"/>
      <c r="G58" s="116"/>
      <c r="H58" s="8"/>
    </row>
    <row r="59" spans="1:13" ht="20.100000000000001" customHeight="1">
      <c r="A59" s="70"/>
      <c r="K59" s="116"/>
    </row>
    <row r="60" spans="1:13" ht="20.100000000000001" customHeight="1">
      <c r="A60" s="70"/>
      <c r="G60" s="168"/>
    </row>
    <row r="61" spans="1:13" ht="20.100000000000001" customHeight="1">
      <c r="A61" s="70"/>
      <c r="C61" s="168"/>
      <c r="D61" s="168"/>
      <c r="E61" s="168"/>
      <c r="F61" s="187"/>
      <c r="G61" s="168"/>
    </row>
    <row r="62" spans="1:13" ht="20.100000000000001" customHeight="1">
      <c r="A62" s="70"/>
      <c r="C62" s="168"/>
      <c r="D62" s="168"/>
      <c r="E62" s="168"/>
      <c r="F62" s="187"/>
    </row>
    <row r="63" spans="1:13" ht="20.100000000000001" customHeight="1">
      <c r="A63" s="70"/>
      <c r="C63" s="168"/>
      <c r="D63" s="168"/>
      <c r="E63" s="168"/>
      <c r="F63" s="187"/>
    </row>
    <row r="64" spans="1:13" ht="20.100000000000001" customHeight="1">
      <c r="A64" s="70"/>
      <c r="C64" s="168"/>
      <c r="D64" s="168"/>
      <c r="E64" s="168"/>
    </row>
    <row r="65" spans="1:1" ht="20.100000000000001" customHeight="1">
      <c r="A65" s="70"/>
    </row>
    <row r="66" spans="1:1" ht="20.100000000000001" customHeight="1">
      <c r="A66" s="70"/>
    </row>
    <row r="67" spans="1:1" ht="20.100000000000001" customHeight="1">
      <c r="A67" s="70"/>
    </row>
    <row r="68" spans="1:1" ht="20.100000000000001" customHeight="1">
      <c r="A68" s="70"/>
    </row>
    <row r="69" spans="1:1" ht="20.100000000000001" customHeight="1">
      <c r="A69" s="70"/>
    </row>
    <row r="70" spans="1:1" ht="20.100000000000001" customHeight="1">
      <c r="A70" s="70"/>
    </row>
    <row r="71" spans="1:1" ht="20.100000000000001" customHeight="1">
      <c r="A71" s="70"/>
    </row>
    <row r="72" spans="1:1" ht="20.100000000000001" customHeight="1">
      <c r="A72" s="70"/>
    </row>
    <row r="73" spans="1:1" ht="20.100000000000001" customHeight="1">
      <c r="A73" s="70"/>
    </row>
    <row r="74" spans="1:1" ht="20.100000000000001" customHeight="1">
      <c r="A74" s="70"/>
    </row>
    <row r="75" spans="1:1" ht="20.100000000000001" customHeight="1">
      <c r="A75" s="70"/>
    </row>
    <row r="76" spans="1:1" ht="20.100000000000001" customHeight="1">
      <c r="A76" s="70"/>
    </row>
    <row r="77" spans="1:1" ht="20.100000000000001" customHeight="1">
      <c r="A77" s="70"/>
    </row>
    <row r="78" spans="1:1" ht="20.100000000000001" customHeight="1">
      <c r="A78" s="70"/>
    </row>
    <row r="79" spans="1:1" ht="20.100000000000001" customHeight="1">
      <c r="A79" s="70"/>
    </row>
    <row r="80" spans="1:1" ht="20.100000000000001" customHeight="1">
      <c r="A80" s="70"/>
    </row>
    <row r="81" spans="1:1" ht="20.100000000000001" customHeight="1">
      <c r="A81" s="70"/>
    </row>
    <row r="82" spans="1:1" ht="20.100000000000001" customHeight="1">
      <c r="A82" s="70"/>
    </row>
    <row r="83" spans="1:1" ht="20.100000000000001" customHeight="1">
      <c r="A83" s="70"/>
    </row>
    <row r="84" spans="1:1" ht="20.100000000000001" customHeight="1">
      <c r="A84" s="70"/>
    </row>
    <row r="85" spans="1:1" ht="20.100000000000001" customHeight="1">
      <c r="A85" s="70"/>
    </row>
    <row r="86" spans="1:1" ht="20.100000000000001" customHeight="1">
      <c r="A86" s="70"/>
    </row>
    <row r="87" spans="1:1" ht="20.100000000000001" customHeight="1">
      <c r="A87" s="70"/>
    </row>
    <row r="88" spans="1:1" ht="20.100000000000001" customHeight="1">
      <c r="A88" s="70"/>
    </row>
    <row r="89" spans="1:1" ht="20.100000000000001" customHeight="1">
      <c r="A89" s="70"/>
    </row>
    <row r="90" spans="1:1" ht="20.100000000000001" customHeight="1">
      <c r="A90" s="70"/>
    </row>
    <row r="91" spans="1:1" ht="20.100000000000001" customHeight="1">
      <c r="A91" s="70"/>
    </row>
    <row r="92" spans="1:1" ht="20.100000000000001" customHeight="1">
      <c r="A92" s="70"/>
    </row>
    <row r="93" spans="1:1" ht="20.100000000000001" customHeight="1">
      <c r="A93" s="70"/>
    </row>
    <row r="94" spans="1:1" ht="20.100000000000001" customHeight="1">
      <c r="A94" s="70"/>
    </row>
    <row r="95" spans="1:1" ht="20.100000000000001" customHeight="1">
      <c r="A95" s="70"/>
    </row>
    <row r="96" spans="1:1" ht="20.100000000000001" customHeight="1">
      <c r="A96" s="70"/>
    </row>
    <row r="97" spans="1:1" ht="20.100000000000001" customHeight="1">
      <c r="A97" s="70"/>
    </row>
    <row r="98" spans="1:1" ht="20.100000000000001" customHeight="1">
      <c r="A98" s="23"/>
    </row>
    <row r="139" spans="13:13" ht="20.100000000000001" customHeight="1">
      <c r="M139" s="1">
        <f>60000</f>
        <v>60000</v>
      </c>
    </row>
  </sheetData>
  <mergeCells count="2">
    <mergeCell ref="A1:K1"/>
    <mergeCell ref="G3:J3"/>
  </mergeCells>
  <pageMargins left="0.51181102362204722" right="0" top="0" bottom="7.874015748031496E-2" header="0.11811023622047245" footer="0"/>
  <pageSetup paperSize="9"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9"/>
  <sheetViews>
    <sheetView view="pageBreakPreview" zoomScaleNormal="100" zoomScaleSheetLayoutView="100" workbookViewId="0">
      <pane xSplit="4" ySplit="3" topLeftCell="E13" activePane="bottomRight" state="frozen"/>
      <selection pane="bottomRight" activeCell="B16" sqref="B16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37.140625" style="1" customWidth="1"/>
    <col min="3" max="3" width="22.42578125" style="1" customWidth="1"/>
    <col min="4" max="4" width="24" style="1" customWidth="1"/>
    <col min="5" max="5" width="18.28515625" style="1" customWidth="1"/>
    <col min="6" max="6" width="20.5703125" style="1" customWidth="1"/>
    <col min="7" max="7" width="18.5703125" style="1" customWidth="1"/>
    <col min="8" max="8" width="20" style="1" customWidth="1"/>
    <col min="9" max="9" width="21.7109375" style="1" customWidth="1"/>
    <col min="10" max="10" width="21.5703125" style="1" customWidth="1"/>
    <col min="11" max="11" width="18.7109375" style="1" customWidth="1"/>
    <col min="12" max="12" width="14.42578125" style="1" customWidth="1"/>
    <col min="13" max="16384" width="9.140625" style="1"/>
  </cols>
  <sheetData>
    <row r="1" spans="1:9" ht="33.75" customHeight="1">
      <c r="A1" s="322" t="s">
        <v>85</v>
      </c>
      <c r="B1" s="323"/>
      <c r="C1" s="323"/>
      <c r="D1" s="323"/>
      <c r="E1" s="323"/>
      <c r="F1" s="323"/>
      <c r="G1" s="323"/>
      <c r="H1" s="323"/>
      <c r="I1" s="324"/>
    </row>
    <row r="2" spans="1:9" ht="2.25" customHeight="1">
      <c r="A2" s="23"/>
      <c r="B2" s="103"/>
      <c r="C2" s="103"/>
      <c r="D2" s="103"/>
      <c r="E2" s="23"/>
      <c r="F2" s="23"/>
      <c r="G2" s="23"/>
      <c r="H2" s="23"/>
      <c r="I2" s="23"/>
    </row>
    <row r="3" spans="1:9" ht="57.75" customHeight="1">
      <c r="A3" s="28" t="s">
        <v>1</v>
      </c>
      <c r="B3" s="118" t="s">
        <v>2</v>
      </c>
      <c r="C3" s="28" t="s">
        <v>3</v>
      </c>
      <c r="D3" s="224" t="s">
        <v>86</v>
      </c>
      <c r="E3" s="325" t="s">
        <v>7</v>
      </c>
      <c r="F3" s="326"/>
      <c r="G3" s="326"/>
      <c r="H3" s="327"/>
      <c r="I3" s="223" t="s">
        <v>87</v>
      </c>
    </row>
    <row r="4" spans="1:9" ht="33.75" customHeight="1">
      <c r="A4" s="33"/>
      <c r="B4" s="34"/>
      <c r="C4" s="27"/>
      <c r="D4" s="28"/>
      <c r="E4" s="226" t="s">
        <v>9</v>
      </c>
      <c r="F4" s="226" t="s">
        <v>10</v>
      </c>
      <c r="G4" s="226" t="s">
        <v>88</v>
      </c>
      <c r="H4" s="226" t="s">
        <v>12</v>
      </c>
      <c r="I4" s="320" t="s">
        <v>13</v>
      </c>
    </row>
    <row r="5" spans="1:9" ht="30" customHeight="1">
      <c r="A5" s="31">
        <v>1</v>
      </c>
      <c r="B5" s="181" t="s">
        <v>89</v>
      </c>
      <c r="C5" s="31" t="s">
        <v>90</v>
      </c>
      <c r="D5" s="314">
        <f>300000</f>
        <v>300000</v>
      </c>
      <c r="E5" s="317"/>
      <c r="F5" s="317"/>
      <c r="G5" s="317">
        <f>D5*0.05</f>
        <v>15000</v>
      </c>
      <c r="H5" s="317">
        <f>E5+F5+G5</f>
        <v>15000</v>
      </c>
      <c r="I5" s="318">
        <f>D5-H5</f>
        <v>285000</v>
      </c>
    </row>
    <row r="6" spans="1:9" ht="30" customHeight="1">
      <c r="A6" s="31">
        <v>2</v>
      </c>
      <c r="B6" s="249" t="s">
        <v>91</v>
      </c>
      <c r="C6" s="181" t="s">
        <v>92</v>
      </c>
      <c r="D6" s="315">
        <f>300000</f>
        <v>300000</v>
      </c>
      <c r="E6" s="317"/>
      <c r="F6" s="317"/>
      <c r="G6" s="317">
        <f t="shared" ref="G6:G26" si="0">D6*0.05</f>
        <v>15000</v>
      </c>
      <c r="H6" s="317">
        <f t="shared" ref="H6:H26" si="1">E6+F6+G6</f>
        <v>15000</v>
      </c>
      <c r="I6" s="318">
        <f t="shared" ref="I6:I26" si="2">D6-H6</f>
        <v>285000</v>
      </c>
    </row>
    <row r="7" spans="1:9" ht="30" customHeight="1">
      <c r="A7" s="31">
        <v>3</v>
      </c>
      <c r="B7" s="181" t="s">
        <v>93</v>
      </c>
      <c r="C7" s="181" t="s">
        <v>92</v>
      </c>
      <c r="D7" s="315">
        <f>500000</f>
        <v>500000</v>
      </c>
      <c r="E7" s="317">
        <f>25000</f>
        <v>25000</v>
      </c>
      <c r="F7" s="317">
        <v>60640</v>
      </c>
      <c r="G7" s="317">
        <f t="shared" si="0"/>
        <v>25000</v>
      </c>
      <c r="H7" s="317">
        <f t="shared" si="1"/>
        <v>110640</v>
      </c>
      <c r="I7" s="318">
        <f t="shared" si="2"/>
        <v>389360</v>
      </c>
    </row>
    <row r="8" spans="1:9" ht="30" customHeight="1">
      <c r="A8" s="31">
        <v>4</v>
      </c>
      <c r="B8" s="31" t="s">
        <v>94</v>
      </c>
      <c r="C8" s="31" t="s">
        <v>90</v>
      </c>
      <c r="D8" s="315">
        <v>300000</v>
      </c>
      <c r="E8" s="317"/>
      <c r="F8" s="317"/>
      <c r="G8" s="317">
        <f t="shared" si="0"/>
        <v>15000</v>
      </c>
      <c r="H8" s="317">
        <f t="shared" si="1"/>
        <v>15000</v>
      </c>
      <c r="I8" s="318">
        <f t="shared" si="2"/>
        <v>285000</v>
      </c>
    </row>
    <row r="9" spans="1:9" ht="30" customHeight="1">
      <c r="A9" s="31">
        <v>5</v>
      </c>
      <c r="B9" s="255" t="s">
        <v>95</v>
      </c>
      <c r="C9" s="31" t="s">
        <v>92</v>
      </c>
      <c r="D9" s="315">
        <f>500000</f>
        <v>500000</v>
      </c>
      <c r="E9" s="317"/>
      <c r="F9" s="317"/>
      <c r="G9" s="317">
        <f t="shared" si="0"/>
        <v>25000</v>
      </c>
      <c r="H9" s="317">
        <f t="shared" si="1"/>
        <v>25000</v>
      </c>
      <c r="I9" s="318">
        <f t="shared" si="2"/>
        <v>475000</v>
      </c>
    </row>
    <row r="10" spans="1:9" ht="30" customHeight="1">
      <c r="A10" s="31">
        <v>6</v>
      </c>
      <c r="B10" s="255" t="s">
        <v>96</v>
      </c>
      <c r="C10" s="31" t="s">
        <v>90</v>
      </c>
      <c r="D10" s="316">
        <f>300000</f>
        <v>300000</v>
      </c>
      <c r="E10" s="317"/>
      <c r="F10" s="317"/>
      <c r="G10" s="317">
        <f t="shared" si="0"/>
        <v>15000</v>
      </c>
      <c r="H10" s="317">
        <f t="shared" si="1"/>
        <v>15000</v>
      </c>
      <c r="I10" s="318">
        <f t="shared" si="2"/>
        <v>285000</v>
      </c>
    </row>
    <row r="11" spans="1:9" ht="30" customHeight="1">
      <c r="A11" s="31">
        <v>7</v>
      </c>
      <c r="B11" s="255" t="s">
        <v>97</v>
      </c>
      <c r="C11" s="31" t="s">
        <v>90</v>
      </c>
      <c r="D11" s="316">
        <f>300000</f>
        <v>300000</v>
      </c>
      <c r="E11" s="317"/>
      <c r="F11" s="317"/>
      <c r="G11" s="317">
        <f t="shared" si="0"/>
        <v>15000</v>
      </c>
      <c r="H11" s="317">
        <f t="shared" si="1"/>
        <v>15000</v>
      </c>
      <c r="I11" s="318">
        <f t="shared" si="2"/>
        <v>285000</v>
      </c>
    </row>
    <row r="12" spans="1:9" ht="30" customHeight="1">
      <c r="A12" s="31">
        <v>8</v>
      </c>
      <c r="B12" s="255" t="s">
        <v>98</v>
      </c>
      <c r="C12" s="31" t="s">
        <v>90</v>
      </c>
      <c r="D12" s="316">
        <f>300000*0.77</f>
        <v>231000</v>
      </c>
      <c r="E12" s="317"/>
      <c r="F12" s="317"/>
      <c r="G12" s="317">
        <f t="shared" si="0"/>
        <v>11550</v>
      </c>
      <c r="H12" s="317">
        <f t="shared" si="1"/>
        <v>11550</v>
      </c>
      <c r="I12" s="318">
        <f t="shared" si="2"/>
        <v>219450</v>
      </c>
    </row>
    <row r="13" spans="1:9" ht="30" customHeight="1">
      <c r="A13" s="31">
        <v>9</v>
      </c>
      <c r="B13" s="227" t="s">
        <v>99</v>
      </c>
      <c r="C13" s="31" t="s">
        <v>92</v>
      </c>
      <c r="D13" s="316">
        <f>150000</f>
        <v>150000</v>
      </c>
      <c r="E13" s="313"/>
      <c r="F13" s="313"/>
      <c r="G13" s="317">
        <f t="shared" si="0"/>
        <v>7500</v>
      </c>
      <c r="H13" s="317">
        <f t="shared" si="1"/>
        <v>7500</v>
      </c>
      <c r="I13" s="318">
        <f t="shared" si="2"/>
        <v>142500</v>
      </c>
    </row>
    <row r="14" spans="1:9" ht="30" customHeight="1">
      <c r="A14" s="31">
        <v>10</v>
      </c>
      <c r="B14" s="227" t="s">
        <v>100</v>
      </c>
      <c r="C14" s="31" t="s">
        <v>92</v>
      </c>
      <c r="D14" s="316">
        <f>200000</f>
        <v>200000</v>
      </c>
      <c r="E14" s="313"/>
      <c r="F14" s="313"/>
      <c r="G14" s="317">
        <f t="shared" si="0"/>
        <v>10000</v>
      </c>
      <c r="H14" s="317">
        <f t="shared" si="1"/>
        <v>10000</v>
      </c>
      <c r="I14" s="318">
        <f t="shared" si="2"/>
        <v>190000</v>
      </c>
    </row>
    <row r="15" spans="1:9" ht="30" customHeight="1">
      <c r="A15" s="31">
        <v>11</v>
      </c>
      <c r="B15" s="227" t="s">
        <v>101</v>
      </c>
      <c r="C15" s="31" t="s">
        <v>92</v>
      </c>
      <c r="D15" s="316">
        <f>200000</f>
        <v>200000</v>
      </c>
      <c r="E15" s="313"/>
      <c r="F15" s="313"/>
      <c r="G15" s="317">
        <f t="shared" si="0"/>
        <v>10000</v>
      </c>
      <c r="H15" s="317">
        <f t="shared" si="1"/>
        <v>10000</v>
      </c>
      <c r="I15" s="318">
        <f t="shared" si="2"/>
        <v>190000</v>
      </c>
    </row>
    <row r="16" spans="1:9" ht="30" customHeight="1">
      <c r="A16" s="31">
        <v>12</v>
      </c>
      <c r="B16" s="276" t="s">
        <v>102</v>
      </c>
      <c r="C16" s="31" t="s">
        <v>92</v>
      </c>
      <c r="D16" s="316">
        <f>150000</f>
        <v>150000</v>
      </c>
      <c r="E16" s="313"/>
      <c r="F16" s="313"/>
      <c r="G16" s="317">
        <f t="shared" si="0"/>
        <v>7500</v>
      </c>
      <c r="H16" s="317">
        <f t="shared" si="1"/>
        <v>7500</v>
      </c>
      <c r="I16" s="318">
        <f t="shared" si="2"/>
        <v>142500</v>
      </c>
    </row>
    <row r="17" spans="1:11" ht="30" customHeight="1">
      <c r="A17" s="31">
        <v>13</v>
      </c>
      <c r="B17" s="255" t="s">
        <v>103</v>
      </c>
      <c r="C17" s="31" t="s">
        <v>104</v>
      </c>
      <c r="D17" s="316">
        <f>200000</f>
        <v>200000</v>
      </c>
      <c r="E17" s="313"/>
      <c r="F17" s="313"/>
      <c r="G17" s="317">
        <f t="shared" si="0"/>
        <v>10000</v>
      </c>
      <c r="H17" s="317">
        <f t="shared" si="1"/>
        <v>10000</v>
      </c>
      <c r="I17" s="318">
        <f t="shared" si="2"/>
        <v>190000</v>
      </c>
    </row>
    <row r="18" spans="1:11" ht="30" customHeight="1">
      <c r="A18" s="31">
        <v>14</v>
      </c>
      <c r="B18" s="276" t="s">
        <v>105</v>
      </c>
      <c r="C18" s="31" t="s">
        <v>106</v>
      </c>
      <c r="D18" s="316">
        <f>200000+20000</f>
        <v>220000</v>
      </c>
      <c r="E18" s="313"/>
      <c r="F18" s="313"/>
      <c r="G18" s="317">
        <f t="shared" si="0"/>
        <v>11000</v>
      </c>
      <c r="H18" s="317">
        <f t="shared" si="1"/>
        <v>11000</v>
      </c>
      <c r="I18" s="318">
        <f t="shared" si="2"/>
        <v>209000</v>
      </c>
    </row>
    <row r="19" spans="1:11" ht="30" customHeight="1">
      <c r="A19" s="31">
        <v>15</v>
      </c>
      <c r="B19" s="255" t="s">
        <v>107</v>
      </c>
      <c r="C19" s="31" t="s">
        <v>92</v>
      </c>
      <c r="D19" s="316">
        <f>150000</f>
        <v>150000</v>
      </c>
      <c r="E19" s="313"/>
      <c r="F19" s="313"/>
      <c r="G19" s="317">
        <f t="shared" si="0"/>
        <v>7500</v>
      </c>
      <c r="H19" s="317">
        <f t="shared" si="1"/>
        <v>7500</v>
      </c>
      <c r="I19" s="318">
        <f t="shared" si="2"/>
        <v>142500</v>
      </c>
    </row>
    <row r="20" spans="1:11" ht="30" customHeight="1">
      <c r="A20" s="31">
        <v>16</v>
      </c>
      <c r="B20" s="255" t="s">
        <v>108</v>
      </c>
      <c r="C20" s="31" t="s">
        <v>92</v>
      </c>
      <c r="D20" s="316">
        <f>200000</f>
        <v>200000</v>
      </c>
      <c r="E20" s="313"/>
      <c r="F20" s="313"/>
      <c r="G20" s="317">
        <f t="shared" si="0"/>
        <v>10000</v>
      </c>
      <c r="H20" s="317">
        <f t="shared" si="1"/>
        <v>10000</v>
      </c>
      <c r="I20" s="318">
        <f t="shared" si="2"/>
        <v>190000</v>
      </c>
    </row>
    <row r="21" spans="1:11" ht="30" customHeight="1">
      <c r="A21" s="31">
        <v>17</v>
      </c>
      <c r="B21" s="255" t="s">
        <v>109</v>
      </c>
      <c r="C21" s="31" t="s">
        <v>92</v>
      </c>
      <c r="D21" s="316">
        <v>300000</v>
      </c>
      <c r="E21" s="313"/>
      <c r="F21" s="313"/>
      <c r="G21" s="317">
        <f t="shared" si="0"/>
        <v>15000</v>
      </c>
      <c r="H21" s="317">
        <f t="shared" si="1"/>
        <v>15000</v>
      </c>
      <c r="I21" s="318">
        <f t="shared" si="2"/>
        <v>285000</v>
      </c>
    </row>
    <row r="22" spans="1:11" ht="30" customHeight="1">
      <c r="A22" s="31">
        <v>18</v>
      </c>
      <c r="B22" s="255" t="s">
        <v>110</v>
      </c>
      <c r="C22" s="31" t="s">
        <v>92</v>
      </c>
      <c r="D22" s="316">
        <f>150000</f>
        <v>150000</v>
      </c>
      <c r="E22" s="313"/>
      <c r="F22" s="313"/>
      <c r="G22" s="317">
        <f t="shared" si="0"/>
        <v>7500</v>
      </c>
      <c r="H22" s="317">
        <f t="shared" si="1"/>
        <v>7500</v>
      </c>
      <c r="I22" s="318">
        <f t="shared" si="2"/>
        <v>142500</v>
      </c>
    </row>
    <row r="23" spans="1:11" ht="30" customHeight="1">
      <c r="A23" s="31">
        <v>19</v>
      </c>
      <c r="B23" s="227" t="s">
        <v>111</v>
      </c>
      <c r="C23" s="31" t="s">
        <v>92</v>
      </c>
      <c r="D23" s="316">
        <v>200000</v>
      </c>
      <c r="E23" s="313"/>
      <c r="F23" s="313"/>
      <c r="G23" s="317">
        <f t="shared" si="0"/>
        <v>10000</v>
      </c>
      <c r="H23" s="317">
        <f t="shared" si="1"/>
        <v>10000</v>
      </c>
      <c r="I23" s="318">
        <f t="shared" si="2"/>
        <v>190000</v>
      </c>
    </row>
    <row r="24" spans="1:11" ht="30" customHeight="1">
      <c r="A24" s="31">
        <v>20</v>
      </c>
      <c r="B24" s="255" t="s">
        <v>112</v>
      </c>
      <c r="C24" s="31" t="s">
        <v>92</v>
      </c>
      <c r="D24" s="316">
        <v>150000</v>
      </c>
      <c r="E24" s="313"/>
      <c r="F24" s="313"/>
      <c r="G24" s="317">
        <f t="shared" si="0"/>
        <v>7500</v>
      </c>
      <c r="H24" s="317">
        <f t="shared" si="1"/>
        <v>7500</v>
      </c>
      <c r="I24" s="318">
        <f t="shared" si="2"/>
        <v>142500</v>
      </c>
    </row>
    <row r="25" spans="1:11" ht="30" customHeight="1">
      <c r="A25" s="31">
        <v>21</v>
      </c>
      <c r="B25" s="255" t="s">
        <v>113</v>
      </c>
      <c r="C25" s="31" t="s">
        <v>92</v>
      </c>
      <c r="D25" s="316">
        <v>150000</v>
      </c>
      <c r="E25" s="313"/>
      <c r="F25" s="313"/>
      <c r="G25" s="317">
        <f t="shared" si="0"/>
        <v>7500</v>
      </c>
      <c r="H25" s="317">
        <f t="shared" si="1"/>
        <v>7500</v>
      </c>
      <c r="I25" s="318">
        <f t="shared" si="2"/>
        <v>142500</v>
      </c>
    </row>
    <row r="26" spans="1:11" ht="30" customHeight="1">
      <c r="A26" s="31">
        <v>22</v>
      </c>
      <c r="B26" s="255" t="s">
        <v>114</v>
      </c>
      <c r="C26" s="31" t="s">
        <v>92</v>
      </c>
      <c r="D26" s="316">
        <v>150000</v>
      </c>
      <c r="E26" s="313"/>
      <c r="F26" s="313"/>
      <c r="G26" s="317">
        <f t="shared" si="0"/>
        <v>7500</v>
      </c>
      <c r="H26" s="317">
        <f t="shared" si="1"/>
        <v>7500</v>
      </c>
      <c r="I26" s="318">
        <f t="shared" si="2"/>
        <v>142500</v>
      </c>
    </row>
    <row r="27" spans="1:11" ht="32.25" customHeight="1">
      <c r="A27" s="73"/>
      <c r="B27" s="278" t="s">
        <v>84</v>
      </c>
      <c r="C27" s="31"/>
      <c r="D27" s="266">
        <f>SUM(D5:D26)</f>
        <v>5301000</v>
      </c>
      <c r="E27" s="266">
        <f t="shared" ref="E27:I27" si="3">SUM(E5:E26)</f>
        <v>25000</v>
      </c>
      <c r="F27" s="266">
        <f t="shared" si="3"/>
        <v>60640</v>
      </c>
      <c r="G27" s="266">
        <f t="shared" si="3"/>
        <v>265050</v>
      </c>
      <c r="H27" s="266">
        <f t="shared" si="3"/>
        <v>350690</v>
      </c>
      <c r="I27" s="319">
        <f t="shared" si="3"/>
        <v>4950310</v>
      </c>
      <c r="K27" s="116"/>
    </row>
    <row r="28" spans="1:11" ht="20.100000000000001" customHeight="1">
      <c r="A28" s="70"/>
      <c r="E28" s="116"/>
      <c r="F28" s="8"/>
    </row>
    <row r="29" spans="1:11" ht="20.100000000000001" customHeight="1">
      <c r="A29" s="70"/>
      <c r="I29" s="116"/>
    </row>
    <row r="30" spans="1:11" ht="20.100000000000001" customHeight="1">
      <c r="A30" s="70"/>
      <c r="D30" s="187"/>
      <c r="E30" s="168"/>
    </row>
    <row r="31" spans="1:11" ht="20.100000000000001" customHeight="1">
      <c r="A31" s="70"/>
      <c r="C31" s="168"/>
      <c r="D31" s="168"/>
      <c r="E31" s="168"/>
    </row>
    <row r="32" spans="1:11" ht="20.100000000000001" customHeight="1">
      <c r="A32" s="70"/>
      <c r="C32" s="168"/>
      <c r="D32" s="168"/>
    </row>
    <row r="33" spans="1:4" ht="20.100000000000001" customHeight="1">
      <c r="A33" s="70"/>
      <c r="C33" s="168"/>
      <c r="D33" s="168"/>
    </row>
    <row r="34" spans="1:4" ht="20.100000000000001" customHeight="1">
      <c r="A34" s="70"/>
      <c r="C34" s="168"/>
      <c r="D34" s="168"/>
    </row>
    <row r="35" spans="1:4" ht="20.100000000000001" customHeight="1">
      <c r="A35" s="70"/>
    </row>
    <row r="36" spans="1:4" ht="20.100000000000001" customHeight="1">
      <c r="A36" s="70"/>
    </row>
    <row r="37" spans="1:4" ht="20.100000000000001" customHeight="1">
      <c r="A37" s="70"/>
    </row>
    <row r="38" spans="1:4" ht="20.100000000000001" customHeight="1">
      <c r="A38" s="70"/>
    </row>
    <row r="39" spans="1:4" ht="20.100000000000001" customHeight="1">
      <c r="A39" s="70"/>
    </row>
    <row r="40" spans="1:4" ht="20.100000000000001" customHeight="1">
      <c r="A40" s="70"/>
    </row>
    <row r="41" spans="1:4" ht="20.100000000000001" customHeight="1">
      <c r="A41" s="70"/>
    </row>
    <row r="42" spans="1:4" ht="20.100000000000001" customHeight="1">
      <c r="A42" s="70"/>
    </row>
    <row r="43" spans="1:4" ht="20.100000000000001" customHeight="1">
      <c r="A43" s="70"/>
    </row>
    <row r="44" spans="1:4" ht="20.100000000000001" customHeight="1">
      <c r="A44" s="70"/>
    </row>
    <row r="45" spans="1:4" ht="20.100000000000001" customHeight="1">
      <c r="A45" s="70"/>
    </row>
    <row r="46" spans="1:4" ht="20.100000000000001" customHeight="1">
      <c r="A46" s="70"/>
    </row>
    <row r="47" spans="1:4" ht="20.100000000000001" customHeight="1">
      <c r="A47" s="70"/>
    </row>
    <row r="48" spans="1:4" ht="20.100000000000001" customHeight="1">
      <c r="A48" s="70"/>
    </row>
    <row r="49" spans="1:1" ht="20.100000000000001" customHeight="1">
      <c r="A49" s="70"/>
    </row>
    <row r="50" spans="1:1" ht="20.100000000000001" customHeight="1">
      <c r="A50" s="70"/>
    </row>
    <row r="51" spans="1:1" ht="20.100000000000001" customHeight="1">
      <c r="A51" s="70"/>
    </row>
    <row r="52" spans="1:1" ht="20.100000000000001" customHeight="1">
      <c r="A52" s="70"/>
    </row>
    <row r="53" spans="1:1" ht="20.100000000000001" customHeight="1">
      <c r="A53" s="70"/>
    </row>
    <row r="54" spans="1:1" ht="20.100000000000001" customHeight="1">
      <c r="A54" s="70"/>
    </row>
    <row r="55" spans="1:1" ht="20.100000000000001" customHeight="1">
      <c r="A55" s="70"/>
    </row>
    <row r="56" spans="1:1" ht="20.100000000000001" customHeight="1">
      <c r="A56" s="70"/>
    </row>
    <row r="57" spans="1:1" ht="20.100000000000001" customHeight="1">
      <c r="A57" s="70"/>
    </row>
    <row r="58" spans="1:1" ht="20.100000000000001" customHeight="1">
      <c r="A58" s="70"/>
    </row>
    <row r="59" spans="1:1" ht="20.100000000000001" customHeight="1">
      <c r="A59" s="70"/>
    </row>
    <row r="60" spans="1:1" ht="20.100000000000001" customHeight="1">
      <c r="A60" s="70"/>
    </row>
    <row r="61" spans="1:1" ht="20.100000000000001" customHeight="1">
      <c r="A61" s="70"/>
    </row>
    <row r="62" spans="1:1" ht="20.100000000000001" customHeight="1">
      <c r="A62" s="70"/>
    </row>
    <row r="63" spans="1:1" ht="20.100000000000001" customHeight="1">
      <c r="A63" s="70"/>
    </row>
    <row r="64" spans="1:1" ht="20.100000000000001" customHeight="1">
      <c r="A64" s="70"/>
    </row>
    <row r="65" spans="1:1" ht="20.100000000000001" customHeight="1">
      <c r="A65" s="70"/>
    </row>
    <row r="66" spans="1:1" ht="20.100000000000001" customHeight="1">
      <c r="A66" s="70"/>
    </row>
    <row r="67" spans="1:1" ht="20.100000000000001" customHeight="1">
      <c r="A67" s="70"/>
    </row>
    <row r="68" spans="1:1" ht="20.100000000000001" customHeight="1">
      <c r="A68" s="23"/>
    </row>
    <row r="109" spans="11:11" ht="20.100000000000001" customHeight="1">
      <c r="K109" s="1">
        <f>60000</f>
        <v>60000</v>
      </c>
    </row>
  </sheetData>
  <mergeCells count="2">
    <mergeCell ref="A1:I1"/>
    <mergeCell ref="E3:H3"/>
  </mergeCells>
  <pageMargins left="0.51181102362204722" right="0" top="0" bottom="7.874015748031496E-2" header="0.11811023622047245" footer="0"/>
  <pageSetup paperSize="9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2"/>
  <sheetViews>
    <sheetView view="pageBreakPreview" zoomScaleNormal="100" zoomScaleSheetLayoutView="100" workbookViewId="0">
      <pane xSplit="4" ySplit="4" topLeftCell="E5" activePane="bottomRight" state="frozen"/>
      <selection pane="bottomRight" activeCell="F9" sqref="F9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40.28515625" style="1" customWidth="1"/>
    <col min="3" max="3" width="24.28515625" style="1" customWidth="1"/>
    <col min="4" max="4" width="21.7109375" style="1" customWidth="1"/>
    <col min="5" max="5" width="21.5703125" style="1" customWidth="1"/>
    <col min="6" max="6" width="18.7109375" style="1" customWidth="1"/>
    <col min="7" max="7" width="14.42578125" style="1" customWidth="1"/>
    <col min="8" max="16384" width="9.140625" style="1"/>
  </cols>
  <sheetData>
    <row r="1" spans="1:5" ht="54" customHeight="1">
      <c r="A1" s="328" t="s">
        <v>115</v>
      </c>
      <c r="B1" s="328"/>
      <c r="C1" s="328"/>
      <c r="D1" s="328"/>
      <c r="E1" s="310"/>
    </row>
    <row r="2" spans="1:5" ht="2.25" customHeight="1">
      <c r="A2" s="306" t="s">
        <v>116</v>
      </c>
      <c r="B2" s="307"/>
      <c r="C2" s="307"/>
      <c r="D2" s="308"/>
      <c r="E2" s="309"/>
    </row>
    <row r="3" spans="1:5" ht="32.25" customHeight="1">
      <c r="A3" s="329" t="s">
        <v>116</v>
      </c>
      <c r="B3" s="329"/>
      <c r="C3" s="329"/>
      <c r="D3" s="329"/>
      <c r="E3" s="309"/>
    </row>
    <row r="4" spans="1:5" ht="51.75" customHeight="1">
      <c r="A4" s="296" t="s">
        <v>1</v>
      </c>
      <c r="B4" s="85" t="s">
        <v>2</v>
      </c>
      <c r="C4" s="298" t="s">
        <v>3</v>
      </c>
      <c r="D4" s="299" t="s">
        <v>117</v>
      </c>
    </row>
    <row r="5" spans="1:5" ht="26.25" customHeight="1">
      <c r="A5" s="300"/>
      <c r="B5" s="300"/>
      <c r="C5" s="301"/>
      <c r="D5" s="321" t="s">
        <v>13</v>
      </c>
    </row>
    <row r="6" spans="1:5" ht="24.95" customHeight="1">
      <c r="A6" s="73">
        <v>1</v>
      </c>
      <c r="B6" s="57" t="s">
        <v>14</v>
      </c>
      <c r="C6" s="59" t="s">
        <v>118</v>
      </c>
      <c r="D6" s="302">
        <v>500000</v>
      </c>
      <c r="E6" s="187"/>
    </row>
    <row r="7" spans="1:5" ht="24.95" customHeight="1">
      <c r="A7" s="73">
        <v>2</v>
      </c>
      <c r="B7" s="181" t="s">
        <v>16</v>
      </c>
      <c r="C7" s="181" t="s">
        <v>17</v>
      </c>
      <c r="D7" s="303">
        <v>300000</v>
      </c>
    </row>
    <row r="8" spans="1:5" ht="24.95" customHeight="1">
      <c r="A8" s="73">
        <v>3</v>
      </c>
      <c r="B8" s="181" t="s">
        <v>18</v>
      </c>
      <c r="C8" s="181" t="s">
        <v>19</v>
      </c>
      <c r="D8" s="303">
        <v>100000</v>
      </c>
    </row>
    <row r="9" spans="1:5" ht="24.95" customHeight="1">
      <c r="A9" s="73">
        <v>4</v>
      </c>
      <c r="B9" s="181" t="s">
        <v>20</v>
      </c>
      <c r="C9" s="181" t="s">
        <v>21</v>
      </c>
      <c r="D9" s="303">
        <v>100000</v>
      </c>
    </row>
    <row r="10" spans="1:5" ht="24.95" customHeight="1">
      <c r="A10" s="73">
        <v>5</v>
      </c>
      <c r="B10" s="181" t="s">
        <v>22</v>
      </c>
      <c r="C10" s="181" t="s">
        <v>23</v>
      </c>
      <c r="D10" s="303">
        <v>100000</v>
      </c>
    </row>
    <row r="11" spans="1:5" ht="24.95" customHeight="1">
      <c r="A11" s="73">
        <v>6</v>
      </c>
      <c r="B11" s="181" t="s">
        <v>24</v>
      </c>
      <c r="C11" s="181" t="s">
        <v>25</v>
      </c>
      <c r="D11" s="303">
        <v>100000</v>
      </c>
    </row>
    <row r="12" spans="1:5" ht="24.95" customHeight="1">
      <c r="A12" s="73">
        <v>7</v>
      </c>
      <c r="B12" s="181" t="s">
        <v>26</v>
      </c>
      <c r="C12" s="181" t="s">
        <v>25</v>
      </c>
      <c r="D12" s="303">
        <v>100000</v>
      </c>
    </row>
    <row r="13" spans="1:5" ht="24.95" customHeight="1">
      <c r="A13" s="73">
        <v>8</v>
      </c>
      <c r="B13" s="181" t="s">
        <v>27</v>
      </c>
      <c r="C13" s="181" t="s">
        <v>23</v>
      </c>
      <c r="D13" s="303">
        <v>100000</v>
      </c>
    </row>
    <row r="14" spans="1:5" ht="24.95" customHeight="1">
      <c r="A14" s="73">
        <v>9</v>
      </c>
      <c r="B14" s="181" t="s">
        <v>93</v>
      </c>
      <c r="C14" s="181" t="s">
        <v>76</v>
      </c>
      <c r="D14" s="303">
        <v>500000</v>
      </c>
    </row>
    <row r="15" spans="1:5" ht="24.95" customHeight="1">
      <c r="A15" s="73">
        <v>10</v>
      </c>
      <c r="B15" s="31" t="s">
        <v>28</v>
      </c>
      <c r="C15" s="31" t="s">
        <v>29</v>
      </c>
      <c r="D15" s="303">
        <v>100000</v>
      </c>
    </row>
    <row r="16" spans="1:5" ht="24.95" customHeight="1">
      <c r="A16" s="73">
        <v>11</v>
      </c>
      <c r="B16" s="31" t="s">
        <v>30</v>
      </c>
      <c r="C16" s="31" t="s">
        <v>19</v>
      </c>
      <c r="D16" s="303">
        <v>300000</v>
      </c>
    </row>
    <row r="17" spans="1:7" ht="24.95" customHeight="1">
      <c r="A17" s="73">
        <v>12</v>
      </c>
      <c r="B17" s="31" t="s">
        <v>31</v>
      </c>
      <c r="C17" s="31" t="s">
        <v>32</v>
      </c>
      <c r="D17" s="304">
        <v>300000</v>
      </c>
    </row>
    <row r="18" spans="1:7" ht="24.95" customHeight="1">
      <c r="A18" s="73">
        <v>13</v>
      </c>
      <c r="B18" s="227" t="s">
        <v>119</v>
      </c>
      <c r="C18" s="31" t="s">
        <v>37</v>
      </c>
      <c r="D18" s="305">
        <v>400000</v>
      </c>
      <c r="E18" s="8"/>
      <c r="F18" s="8"/>
      <c r="G18" s="8"/>
    </row>
    <row r="19" spans="1:7" ht="43.5" customHeight="1">
      <c r="A19" s="73">
        <v>14</v>
      </c>
      <c r="B19" s="255" t="s">
        <v>36</v>
      </c>
      <c r="C19" s="31" t="s">
        <v>37</v>
      </c>
      <c r="D19" s="304">
        <v>500000</v>
      </c>
    </row>
    <row r="20" spans="1:7" ht="39" customHeight="1">
      <c r="A20" s="73">
        <v>15</v>
      </c>
      <c r="B20" s="255" t="s">
        <v>43</v>
      </c>
      <c r="C20" s="31" t="s">
        <v>44</v>
      </c>
      <c r="D20" s="304">
        <v>700000</v>
      </c>
    </row>
    <row r="21" spans="1:7" ht="39" customHeight="1">
      <c r="A21" s="73">
        <v>16</v>
      </c>
      <c r="B21" s="255" t="s">
        <v>49</v>
      </c>
      <c r="C21" s="31" t="s">
        <v>50</v>
      </c>
      <c r="D21" s="304">
        <v>100000</v>
      </c>
    </row>
    <row r="22" spans="1:7" ht="39" customHeight="1">
      <c r="A22" s="73">
        <v>17</v>
      </c>
      <c r="B22" s="255" t="s">
        <v>51</v>
      </c>
      <c r="C22" s="31" t="s">
        <v>52</v>
      </c>
      <c r="D22" s="304">
        <v>100000</v>
      </c>
    </row>
    <row r="23" spans="1:7" ht="39" customHeight="1">
      <c r="A23" s="73">
        <v>19</v>
      </c>
      <c r="B23" s="255" t="s">
        <v>56</v>
      </c>
      <c r="C23" s="31" t="s">
        <v>37</v>
      </c>
      <c r="D23" s="304">
        <v>300000</v>
      </c>
    </row>
    <row r="24" spans="1:7" ht="39" customHeight="1">
      <c r="A24" s="73">
        <v>20</v>
      </c>
      <c r="B24" s="255" t="s">
        <v>57</v>
      </c>
      <c r="C24" s="31" t="s">
        <v>37</v>
      </c>
      <c r="D24" s="304">
        <v>250000</v>
      </c>
    </row>
    <row r="25" spans="1:7" ht="39" customHeight="1">
      <c r="A25" s="73">
        <v>21</v>
      </c>
      <c r="B25" s="255" t="s">
        <v>58</v>
      </c>
      <c r="C25" s="31" t="s">
        <v>37</v>
      </c>
      <c r="D25" s="304">
        <v>300000</v>
      </c>
    </row>
    <row r="26" spans="1:7" ht="39" customHeight="1">
      <c r="A26" s="73">
        <v>22</v>
      </c>
      <c r="B26" s="255" t="s">
        <v>59</v>
      </c>
      <c r="C26" s="31" t="s">
        <v>60</v>
      </c>
      <c r="D26" s="304">
        <v>100000</v>
      </c>
    </row>
    <row r="27" spans="1:7" ht="39" customHeight="1">
      <c r="A27" s="73">
        <v>23</v>
      </c>
      <c r="B27" s="255" t="s">
        <v>61</v>
      </c>
      <c r="C27" s="31" t="s">
        <v>37</v>
      </c>
      <c r="D27" s="304">
        <v>300000</v>
      </c>
    </row>
    <row r="28" spans="1:7" ht="39" customHeight="1">
      <c r="A28" s="73">
        <v>24</v>
      </c>
      <c r="B28" s="255" t="s">
        <v>62</v>
      </c>
      <c r="C28" s="31" t="s">
        <v>63</v>
      </c>
      <c r="D28" s="304">
        <v>300000</v>
      </c>
    </row>
    <row r="29" spans="1:7" ht="39" customHeight="1">
      <c r="A29" s="73">
        <v>25</v>
      </c>
      <c r="B29" s="255" t="s">
        <v>64</v>
      </c>
      <c r="C29" s="31" t="s">
        <v>37</v>
      </c>
      <c r="D29" s="304">
        <v>300000</v>
      </c>
    </row>
    <row r="30" spans="1:7" ht="39" customHeight="1">
      <c r="A30" s="73">
        <v>26</v>
      </c>
      <c r="B30" s="255" t="s">
        <v>65</v>
      </c>
      <c r="C30" s="31" t="s">
        <v>37</v>
      </c>
      <c r="D30" s="304">
        <v>500000</v>
      </c>
    </row>
    <row r="31" spans="1:7" ht="39" customHeight="1">
      <c r="A31" s="73">
        <v>27</v>
      </c>
      <c r="B31" s="255" t="s">
        <v>67</v>
      </c>
      <c r="C31" s="31" t="s">
        <v>37</v>
      </c>
      <c r="D31" s="304">
        <v>300000</v>
      </c>
    </row>
    <row r="32" spans="1:7" ht="39" customHeight="1">
      <c r="A32" s="73">
        <v>28</v>
      </c>
      <c r="B32" s="255" t="s">
        <v>68</v>
      </c>
      <c r="C32" s="31" t="s">
        <v>63</v>
      </c>
      <c r="D32" s="304">
        <v>300000</v>
      </c>
    </row>
    <row r="33" spans="1:6" ht="39" customHeight="1">
      <c r="A33" s="73">
        <v>29</v>
      </c>
      <c r="B33" s="255" t="s">
        <v>69</v>
      </c>
      <c r="C33" s="31" t="s">
        <v>37</v>
      </c>
      <c r="D33" s="304">
        <v>300000</v>
      </c>
    </row>
    <row r="34" spans="1:6" ht="39" customHeight="1">
      <c r="A34" s="73">
        <v>30</v>
      </c>
      <c r="B34" s="255" t="s">
        <v>70</v>
      </c>
      <c r="C34" s="31" t="s">
        <v>37</v>
      </c>
      <c r="D34" s="304">
        <v>300000</v>
      </c>
    </row>
    <row r="35" spans="1:6" ht="39" customHeight="1">
      <c r="A35" s="73">
        <v>31</v>
      </c>
      <c r="B35" s="255" t="s">
        <v>72</v>
      </c>
      <c r="C35" s="31" t="s">
        <v>37</v>
      </c>
      <c r="D35" s="304">
        <v>300000</v>
      </c>
    </row>
    <row r="36" spans="1:6" ht="39" customHeight="1">
      <c r="A36" s="73">
        <v>32</v>
      </c>
      <c r="B36" s="255" t="s">
        <v>73</v>
      </c>
      <c r="C36" s="31" t="s">
        <v>63</v>
      </c>
      <c r="D36" s="304">
        <v>300000</v>
      </c>
    </row>
    <row r="37" spans="1:6" ht="39" customHeight="1">
      <c r="A37" s="73">
        <v>33</v>
      </c>
      <c r="B37" s="255" t="s">
        <v>75</v>
      </c>
      <c r="C37" s="31" t="s">
        <v>76</v>
      </c>
      <c r="D37" s="304">
        <v>700000</v>
      </c>
    </row>
    <row r="38" spans="1:6" ht="39" customHeight="1">
      <c r="A38" s="73">
        <v>34</v>
      </c>
      <c r="B38" s="255" t="s">
        <v>120</v>
      </c>
      <c r="C38" s="31" t="s">
        <v>121</v>
      </c>
      <c r="D38" s="304">
        <v>400000</v>
      </c>
    </row>
    <row r="39" spans="1:6" ht="39" customHeight="1">
      <c r="A39" s="73">
        <v>35</v>
      </c>
      <c r="B39" s="255" t="s">
        <v>122</v>
      </c>
      <c r="C39" s="31" t="s">
        <v>121</v>
      </c>
      <c r="D39" s="304">
        <v>100000</v>
      </c>
    </row>
    <row r="40" spans="1:6" ht="43.5" customHeight="1">
      <c r="A40" s="73"/>
      <c r="B40" s="287" t="s">
        <v>84</v>
      </c>
      <c r="C40" s="31"/>
      <c r="D40" s="292">
        <f>SUM(D6:D39)</f>
        <v>9750000</v>
      </c>
      <c r="F40" s="116"/>
    </row>
    <row r="41" spans="1:6" ht="20.100000000000001" customHeight="1">
      <c r="A41" s="70"/>
    </row>
    <row r="42" spans="1:6" ht="20.100000000000001" customHeight="1">
      <c r="A42" s="70"/>
    </row>
    <row r="43" spans="1:6" ht="20.100000000000001" customHeight="1">
      <c r="A43" s="70"/>
    </row>
    <row r="44" spans="1:6" ht="20.100000000000001" customHeight="1">
      <c r="A44" s="70"/>
      <c r="C44" s="168"/>
      <c r="D44" s="168"/>
    </row>
    <row r="45" spans="1:6" ht="20.100000000000001" customHeight="1">
      <c r="A45" s="70"/>
      <c r="C45" s="168"/>
      <c r="D45" s="168"/>
    </row>
    <row r="46" spans="1:6" ht="20.100000000000001" customHeight="1">
      <c r="A46" s="70"/>
      <c r="C46" s="168"/>
      <c r="D46" s="168"/>
    </row>
    <row r="47" spans="1:6" ht="20.100000000000001" customHeight="1">
      <c r="A47" s="70"/>
      <c r="C47" s="168"/>
      <c r="D47" s="168"/>
    </row>
    <row r="48" spans="1:6" ht="20.100000000000001" customHeight="1">
      <c r="A48" s="70"/>
    </row>
    <row r="49" spans="1:1" ht="20.100000000000001" customHeight="1">
      <c r="A49" s="70"/>
    </row>
    <row r="50" spans="1:1" ht="20.100000000000001" customHeight="1">
      <c r="A50" s="70"/>
    </row>
    <row r="51" spans="1:1" ht="20.100000000000001" customHeight="1">
      <c r="A51" s="70"/>
    </row>
    <row r="52" spans="1:1" ht="20.100000000000001" customHeight="1">
      <c r="A52" s="70"/>
    </row>
    <row r="53" spans="1:1" ht="20.100000000000001" customHeight="1">
      <c r="A53" s="70"/>
    </row>
    <row r="54" spans="1:1" ht="20.100000000000001" customHeight="1">
      <c r="A54" s="70"/>
    </row>
    <row r="55" spans="1:1" ht="20.100000000000001" customHeight="1">
      <c r="A55" s="70"/>
    </row>
    <row r="56" spans="1:1" ht="20.100000000000001" customHeight="1">
      <c r="A56" s="70"/>
    </row>
    <row r="57" spans="1:1" ht="20.100000000000001" customHeight="1">
      <c r="A57" s="70"/>
    </row>
    <row r="58" spans="1:1" ht="20.100000000000001" customHeight="1">
      <c r="A58" s="70"/>
    </row>
    <row r="59" spans="1:1" ht="20.100000000000001" customHeight="1">
      <c r="A59" s="70"/>
    </row>
    <row r="60" spans="1:1" ht="20.100000000000001" customHeight="1">
      <c r="A60" s="70"/>
    </row>
    <row r="61" spans="1:1" ht="20.100000000000001" customHeight="1">
      <c r="A61" s="70"/>
    </row>
    <row r="62" spans="1:1" ht="20.100000000000001" customHeight="1">
      <c r="A62" s="70"/>
    </row>
    <row r="63" spans="1:1" ht="20.100000000000001" customHeight="1">
      <c r="A63" s="70"/>
    </row>
    <row r="64" spans="1:1" ht="20.100000000000001" customHeight="1">
      <c r="A64" s="70"/>
    </row>
    <row r="65" spans="1:1" ht="20.100000000000001" customHeight="1">
      <c r="A65" s="70"/>
    </row>
    <row r="66" spans="1:1" ht="20.100000000000001" customHeight="1">
      <c r="A66" s="70"/>
    </row>
    <row r="67" spans="1:1" ht="20.100000000000001" customHeight="1">
      <c r="A67" s="70"/>
    </row>
    <row r="68" spans="1:1" ht="20.100000000000001" customHeight="1">
      <c r="A68" s="70"/>
    </row>
    <row r="69" spans="1:1" ht="20.100000000000001" customHeight="1">
      <c r="A69" s="70"/>
    </row>
    <row r="70" spans="1:1" ht="20.100000000000001" customHeight="1">
      <c r="A70" s="70"/>
    </row>
    <row r="71" spans="1:1" ht="20.100000000000001" customHeight="1">
      <c r="A71" s="70"/>
    </row>
    <row r="72" spans="1:1" ht="20.100000000000001" customHeight="1">
      <c r="A72" s="70"/>
    </row>
    <row r="73" spans="1:1" ht="20.100000000000001" customHeight="1">
      <c r="A73" s="70"/>
    </row>
    <row r="74" spans="1:1" ht="20.100000000000001" customHeight="1">
      <c r="A74" s="70"/>
    </row>
    <row r="75" spans="1:1" ht="20.100000000000001" customHeight="1">
      <c r="A75" s="70"/>
    </row>
    <row r="76" spans="1:1" ht="20.100000000000001" customHeight="1">
      <c r="A76" s="70"/>
    </row>
    <row r="77" spans="1:1" ht="20.100000000000001" customHeight="1">
      <c r="A77" s="70"/>
    </row>
    <row r="78" spans="1:1" ht="20.100000000000001" customHeight="1">
      <c r="A78" s="70"/>
    </row>
    <row r="79" spans="1:1" ht="20.100000000000001" customHeight="1">
      <c r="A79" s="70"/>
    </row>
    <row r="80" spans="1:1" ht="20.100000000000001" customHeight="1">
      <c r="A80" s="70"/>
    </row>
    <row r="81" spans="1:1" ht="20.100000000000001" customHeight="1">
      <c r="A81" s="23"/>
    </row>
    <row r="122" spans="6:6" ht="20.100000000000001" customHeight="1">
      <c r="F122" s="1">
        <f>60000</f>
        <v>60000</v>
      </c>
    </row>
  </sheetData>
  <mergeCells count="2">
    <mergeCell ref="A1:D1"/>
    <mergeCell ref="A3:D3"/>
  </mergeCells>
  <pageMargins left="0.51181102362204722" right="0" top="0" bottom="7.874015748031496E-2" header="0.11811023622047245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6"/>
  <sheetViews>
    <sheetView view="pageBreakPreview" zoomScaleNormal="100" zoomScaleSheetLayoutView="100" workbookViewId="0">
      <pane xSplit="4" ySplit="4" topLeftCell="E21" activePane="bottomRight" state="frozen"/>
      <selection pane="bottomRight" activeCell="E5" sqref="E5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37.140625" style="1" customWidth="1"/>
    <col min="3" max="3" width="22.42578125" style="1" customWidth="1"/>
    <col min="4" max="4" width="24" style="1" customWidth="1"/>
    <col min="5" max="5" width="21.5703125" style="1" customWidth="1"/>
    <col min="6" max="6" width="18.7109375" style="1" customWidth="1"/>
    <col min="7" max="7" width="14.42578125" style="1" customWidth="1"/>
    <col min="8" max="16384" width="9.140625" style="1"/>
  </cols>
  <sheetData>
    <row r="1" spans="1:4" ht="33.75" customHeight="1">
      <c r="A1" s="328" t="s">
        <v>115</v>
      </c>
      <c r="B1" s="328"/>
      <c r="C1" s="328"/>
      <c r="D1" s="328"/>
    </row>
    <row r="2" spans="1:4" ht="2.25" customHeight="1">
      <c r="A2" s="306" t="s">
        <v>116</v>
      </c>
      <c r="B2" s="307"/>
      <c r="C2" s="307"/>
      <c r="D2" s="308"/>
    </row>
    <row r="3" spans="1:4" ht="44.25" customHeight="1">
      <c r="A3" s="329" t="s">
        <v>116</v>
      </c>
      <c r="B3" s="329"/>
      <c r="C3" s="329"/>
      <c r="D3" s="329"/>
    </row>
    <row r="4" spans="1:4" ht="57.75" customHeight="1">
      <c r="A4" s="28" t="s">
        <v>1</v>
      </c>
      <c r="B4" s="118" t="s">
        <v>2</v>
      </c>
      <c r="C4" s="28" t="s">
        <v>3</v>
      </c>
      <c r="D4" s="312" t="s">
        <v>117</v>
      </c>
    </row>
    <row r="5" spans="1:4" ht="33.75" customHeight="1">
      <c r="A5" s="33"/>
      <c r="B5" s="34"/>
      <c r="C5" s="27"/>
      <c r="D5" s="311" t="s">
        <v>123</v>
      </c>
    </row>
    <row r="6" spans="1:4" ht="45" customHeight="1">
      <c r="A6" s="73">
        <v>1</v>
      </c>
      <c r="B6" s="227" t="s">
        <v>99</v>
      </c>
      <c r="C6" s="31" t="s">
        <v>92</v>
      </c>
      <c r="D6" s="217">
        <v>100000</v>
      </c>
    </row>
    <row r="7" spans="1:4" ht="45" customHeight="1">
      <c r="A7" s="73">
        <v>2</v>
      </c>
      <c r="B7" s="227" t="s">
        <v>100</v>
      </c>
      <c r="C7" s="31" t="s">
        <v>92</v>
      </c>
      <c r="D7" s="217">
        <v>100000</v>
      </c>
    </row>
    <row r="8" spans="1:4" ht="45" customHeight="1">
      <c r="A8" s="73">
        <v>3</v>
      </c>
      <c r="B8" s="227" t="s">
        <v>101</v>
      </c>
      <c r="C8" s="31" t="s">
        <v>92</v>
      </c>
      <c r="D8" s="217">
        <v>100000</v>
      </c>
    </row>
    <row r="9" spans="1:4" ht="45" customHeight="1">
      <c r="A9" s="73">
        <v>4</v>
      </c>
      <c r="B9" s="255" t="s">
        <v>102</v>
      </c>
      <c r="C9" s="31" t="s">
        <v>92</v>
      </c>
      <c r="D9" s="217">
        <v>100000</v>
      </c>
    </row>
    <row r="10" spans="1:4" ht="45" customHeight="1">
      <c r="A10" s="73">
        <v>5</v>
      </c>
      <c r="B10" s="255" t="s">
        <v>103</v>
      </c>
      <c r="C10" s="31" t="s">
        <v>104</v>
      </c>
      <c r="D10" s="217">
        <v>100000</v>
      </c>
    </row>
    <row r="11" spans="1:4" ht="45" customHeight="1">
      <c r="A11" s="73">
        <v>6</v>
      </c>
      <c r="B11" s="255" t="s">
        <v>105</v>
      </c>
      <c r="C11" s="31" t="s">
        <v>92</v>
      </c>
      <c r="D11" s="217">
        <v>100000</v>
      </c>
    </row>
    <row r="12" spans="1:4" ht="45" customHeight="1">
      <c r="A12" s="73">
        <v>7</v>
      </c>
      <c r="B12" s="255" t="s">
        <v>107</v>
      </c>
      <c r="C12" s="31" t="s">
        <v>92</v>
      </c>
      <c r="D12" s="217">
        <v>100000</v>
      </c>
    </row>
    <row r="13" spans="1:4" ht="45" customHeight="1">
      <c r="A13" s="73">
        <v>8</v>
      </c>
      <c r="B13" s="255" t="s">
        <v>108</v>
      </c>
      <c r="C13" s="31" t="s">
        <v>92</v>
      </c>
      <c r="D13" s="217">
        <v>100000</v>
      </c>
    </row>
    <row r="14" spans="1:4" ht="45" customHeight="1">
      <c r="A14" s="73">
        <v>9</v>
      </c>
      <c r="B14" s="255" t="s">
        <v>109</v>
      </c>
      <c r="C14" s="31" t="s">
        <v>92</v>
      </c>
      <c r="D14" s="217">
        <v>100000</v>
      </c>
    </row>
    <row r="15" spans="1:4" ht="45" customHeight="1">
      <c r="A15" s="73">
        <v>10</v>
      </c>
      <c r="B15" s="255" t="s">
        <v>110</v>
      </c>
      <c r="C15" s="31" t="s">
        <v>92</v>
      </c>
      <c r="D15" s="217">
        <v>100000</v>
      </c>
    </row>
    <row r="16" spans="1:4" ht="45" customHeight="1">
      <c r="A16" s="73">
        <v>11</v>
      </c>
      <c r="B16" s="227" t="s">
        <v>111</v>
      </c>
      <c r="C16" s="31" t="s">
        <v>92</v>
      </c>
      <c r="D16" s="217">
        <v>100000</v>
      </c>
    </row>
    <row r="17" spans="1:6" ht="45" customHeight="1">
      <c r="A17" s="73">
        <v>12</v>
      </c>
      <c r="B17" s="255" t="s">
        <v>112</v>
      </c>
      <c r="C17" s="31" t="s">
        <v>92</v>
      </c>
      <c r="D17" s="217">
        <v>100000</v>
      </c>
    </row>
    <row r="18" spans="1:6" ht="45" customHeight="1">
      <c r="A18" s="73">
        <v>13</v>
      </c>
      <c r="B18" s="255" t="s">
        <v>114</v>
      </c>
      <c r="C18" s="31" t="s">
        <v>92</v>
      </c>
      <c r="D18" s="217">
        <v>100000</v>
      </c>
    </row>
    <row r="19" spans="1:6" ht="45" customHeight="1">
      <c r="A19" s="73">
        <v>14</v>
      </c>
      <c r="B19" s="255" t="s">
        <v>96</v>
      </c>
      <c r="C19" s="31" t="s">
        <v>90</v>
      </c>
      <c r="D19" s="217">
        <v>100000</v>
      </c>
    </row>
    <row r="20" spans="1:6" ht="45" customHeight="1">
      <c r="A20" s="73">
        <v>15</v>
      </c>
      <c r="B20" s="255" t="s">
        <v>97</v>
      </c>
      <c r="C20" s="31" t="s">
        <v>90</v>
      </c>
      <c r="D20" s="217">
        <v>100000</v>
      </c>
    </row>
    <row r="21" spans="1:6" ht="45" customHeight="1">
      <c r="A21" s="73">
        <v>16</v>
      </c>
      <c r="B21" s="249" t="s">
        <v>91</v>
      </c>
      <c r="C21" s="181" t="s">
        <v>92</v>
      </c>
      <c r="D21" s="217">
        <v>100000</v>
      </c>
    </row>
    <row r="22" spans="1:6" ht="45" customHeight="1">
      <c r="A22" s="73">
        <v>17</v>
      </c>
      <c r="B22" s="31" t="s">
        <v>94</v>
      </c>
      <c r="C22" s="31" t="s">
        <v>90</v>
      </c>
      <c r="D22" s="217">
        <v>100000</v>
      </c>
    </row>
    <row r="23" spans="1:6" ht="45" customHeight="1">
      <c r="A23" s="73">
        <v>18</v>
      </c>
      <c r="B23" s="255" t="s">
        <v>95</v>
      </c>
      <c r="C23" s="31" t="s">
        <v>92</v>
      </c>
      <c r="D23" s="217">
        <v>100000</v>
      </c>
    </row>
    <row r="24" spans="1:6" ht="45" customHeight="1">
      <c r="A24" s="73"/>
      <c r="B24" s="278" t="s">
        <v>84</v>
      </c>
      <c r="C24" s="31"/>
      <c r="D24" s="266">
        <f>SUM(D6:D23)</f>
        <v>1800000</v>
      </c>
      <c r="F24" s="116"/>
    </row>
    <row r="25" spans="1:6" ht="20.100000000000001" customHeight="1">
      <c r="A25" s="70"/>
    </row>
    <row r="26" spans="1:6" ht="20.100000000000001" customHeight="1">
      <c r="A26" s="70"/>
    </row>
    <row r="27" spans="1:6" ht="20.100000000000001" customHeight="1">
      <c r="A27" s="70"/>
      <c r="D27" s="187"/>
    </row>
    <row r="28" spans="1:6" ht="20.100000000000001" customHeight="1">
      <c r="A28" s="70"/>
      <c r="C28" s="168"/>
      <c r="D28" s="168"/>
    </row>
    <row r="29" spans="1:6" ht="20.100000000000001" customHeight="1">
      <c r="A29" s="70"/>
      <c r="C29" s="168"/>
      <c r="D29" s="168"/>
    </row>
    <row r="30" spans="1:6" ht="20.100000000000001" customHeight="1">
      <c r="A30" s="70"/>
      <c r="C30" s="168"/>
      <c r="D30" s="168"/>
    </row>
    <row r="31" spans="1:6" ht="20.100000000000001" customHeight="1">
      <c r="A31" s="70"/>
      <c r="C31" s="168"/>
      <c r="D31" s="168"/>
    </row>
    <row r="32" spans="1:6" ht="20.100000000000001" customHeight="1">
      <c r="A32" s="70"/>
    </row>
    <row r="33" spans="1:1" ht="20.100000000000001" customHeight="1">
      <c r="A33" s="70"/>
    </row>
    <row r="34" spans="1:1" ht="20.100000000000001" customHeight="1">
      <c r="A34" s="70"/>
    </row>
    <row r="35" spans="1:1" ht="20.100000000000001" customHeight="1">
      <c r="A35" s="70"/>
    </row>
    <row r="36" spans="1:1" ht="20.100000000000001" customHeight="1">
      <c r="A36" s="70"/>
    </row>
    <row r="37" spans="1:1" ht="20.100000000000001" customHeight="1">
      <c r="A37" s="70"/>
    </row>
    <row r="38" spans="1:1" ht="20.100000000000001" customHeight="1">
      <c r="A38" s="70"/>
    </row>
    <row r="39" spans="1:1" ht="20.100000000000001" customHeight="1">
      <c r="A39" s="70"/>
    </row>
    <row r="40" spans="1:1" ht="20.100000000000001" customHeight="1">
      <c r="A40" s="70"/>
    </row>
    <row r="41" spans="1:1" ht="20.100000000000001" customHeight="1">
      <c r="A41" s="70"/>
    </row>
    <row r="42" spans="1:1" ht="20.100000000000001" customHeight="1">
      <c r="A42" s="70"/>
    </row>
    <row r="43" spans="1:1" ht="20.100000000000001" customHeight="1">
      <c r="A43" s="70"/>
    </row>
    <row r="44" spans="1:1" ht="20.100000000000001" customHeight="1">
      <c r="A44" s="70"/>
    </row>
    <row r="45" spans="1:1" ht="20.100000000000001" customHeight="1">
      <c r="A45" s="70"/>
    </row>
    <row r="46" spans="1:1" ht="20.100000000000001" customHeight="1">
      <c r="A46" s="70"/>
    </row>
    <row r="47" spans="1:1" ht="20.100000000000001" customHeight="1">
      <c r="A47" s="70"/>
    </row>
    <row r="48" spans="1:1" ht="20.100000000000001" customHeight="1">
      <c r="A48" s="70"/>
    </row>
    <row r="49" spans="1:1" ht="20.100000000000001" customHeight="1">
      <c r="A49" s="70"/>
    </row>
    <row r="50" spans="1:1" ht="20.100000000000001" customHeight="1">
      <c r="A50" s="70"/>
    </row>
    <row r="51" spans="1:1" ht="20.100000000000001" customHeight="1">
      <c r="A51" s="70"/>
    </row>
    <row r="52" spans="1:1" ht="20.100000000000001" customHeight="1">
      <c r="A52" s="70"/>
    </row>
    <row r="53" spans="1:1" ht="20.100000000000001" customHeight="1">
      <c r="A53" s="70"/>
    </row>
    <row r="54" spans="1:1" ht="20.100000000000001" customHeight="1">
      <c r="A54" s="70"/>
    </row>
    <row r="55" spans="1:1" ht="20.100000000000001" customHeight="1">
      <c r="A55" s="70"/>
    </row>
    <row r="56" spans="1:1" ht="20.100000000000001" customHeight="1">
      <c r="A56" s="70"/>
    </row>
    <row r="57" spans="1:1" ht="20.100000000000001" customHeight="1">
      <c r="A57" s="70"/>
    </row>
    <row r="58" spans="1:1" ht="20.100000000000001" customHeight="1">
      <c r="A58" s="70"/>
    </row>
    <row r="59" spans="1:1" ht="20.100000000000001" customHeight="1">
      <c r="A59" s="70"/>
    </row>
    <row r="60" spans="1:1" ht="20.100000000000001" customHeight="1">
      <c r="A60" s="70"/>
    </row>
    <row r="61" spans="1:1" ht="20.100000000000001" customHeight="1">
      <c r="A61" s="70"/>
    </row>
    <row r="62" spans="1:1" ht="20.100000000000001" customHeight="1">
      <c r="A62" s="70"/>
    </row>
    <row r="63" spans="1:1" ht="20.100000000000001" customHeight="1">
      <c r="A63" s="70"/>
    </row>
    <row r="64" spans="1:1" ht="20.100000000000001" customHeight="1">
      <c r="A64" s="70"/>
    </row>
    <row r="65" spans="1:1" ht="20.100000000000001" customHeight="1">
      <c r="A65" s="23"/>
    </row>
    <row r="106" spans="6:6" ht="20.100000000000001" customHeight="1">
      <c r="F106" s="1">
        <f>60000</f>
        <v>60000</v>
      </c>
    </row>
  </sheetData>
  <mergeCells count="2">
    <mergeCell ref="A1:D1"/>
    <mergeCell ref="A3:D3"/>
  </mergeCells>
  <pageMargins left="0.51181102362204722" right="0" top="0" bottom="7.874015748031496E-2" header="0.11811023622047245" footer="0"/>
  <pageSetup paperSize="9" scale="5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9"/>
  <sheetViews>
    <sheetView view="pageBreakPreview" zoomScaleNormal="100" zoomScaleSheetLayoutView="100" workbookViewId="0">
      <pane xSplit="5" ySplit="3" topLeftCell="F19" activePane="bottomRight" state="frozen"/>
      <selection pane="bottomRight" activeCell="G26" sqref="G26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37.140625" style="1" customWidth="1"/>
    <col min="3" max="3" width="22.42578125" style="1" customWidth="1"/>
    <col min="4" max="4" width="20.42578125" style="1" customWidth="1"/>
    <col min="5" max="5" width="20" style="1" customWidth="1"/>
    <col min="6" max="6" width="21.85546875" style="1" customWidth="1"/>
    <col min="7" max="7" width="18.28515625" style="1" customWidth="1"/>
    <col min="8" max="8" width="20.5703125" style="1" customWidth="1"/>
    <col min="9" max="9" width="18.42578125" style="1" customWidth="1"/>
    <col min="10" max="10" width="20.85546875" style="1" customWidth="1"/>
    <col min="11" max="11" width="21.7109375" style="1" customWidth="1"/>
    <col min="12" max="12" width="21.5703125" style="1" customWidth="1"/>
    <col min="13" max="13" width="18.7109375" style="1" customWidth="1"/>
    <col min="14" max="14" width="14.42578125" style="1" customWidth="1"/>
    <col min="15" max="16384" width="9.140625" style="1"/>
  </cols>
  <sheetData>
    <row r="1" spans="1:12" ht="33.75" customHeight="1">
      <c r="A1" s="322" t="s">
        <v>0</v>
      </c>
      <c r="B1" s="323"/>
      <c r="C1" s="323"/>
      <c r="D1" s="323"/>
      <c r="E1" s="323"/>
      <c r="F1" s="323"/>
      <c r="G1" s="323"/>
      <c r="H1" s="323"/>
      <c r="I1" s="323"/>
      <c r="J1" s="323"/>
      <c r="K1" s="324"/>
    </row>
    <row r="2" spans="1:12" ht="2.25" customHeight="1">
      <c r="A2" s="23"/>
      <c r="B2" s="103"/>
      <c r="C2" s="103"/>
      <c r="D2" s="103"/>
      <c r="E2" s="23"/>
      <c r="F2" s="23"/>
      <c r="G2" s="23"/>
      <c r="H2" s="23"/>
      <c r="I2" s="23"/>
      <c r="J2" s="23"/>
      <c r="K2" s="23"/>
    </row>
    <row r="3" spans="1:12" ht="58.5" customHeight="1">
      <c r="A3" s="28" t="s">
        <v>1</v>
      </c>
      <c r="B3" s="118" t="s">
        <v>2</v>
      </c>
      <c r="C3" s="28" t="s">
        <v>3</v>
      </c>
      <c r="D3" s="224" t="s">
        <v>4</v>
      </c>
      <c r="E3" s="224" t="s">
        <v>5</v>
      </c>
      <c r="F3" s="28" t="s">
        <v>6</v>
      </c>
      <c r="G3" s="325" t="s">
        <v>7</v>
      </c>
      <c r="H3" s="326"/>
      <c r="I3" s="326"/>
      <c r="J3" s="327"/>
      <c r="K3" s="223" t="s">
        <v>8</v>
      </c>
    </row>
    <row r="4" spans="1:12" ht="33.75" customHeight="1">
      <c r="A4" s="33"/>
      <c r="B4" s="34"/>
      <c r="C4" s="27"/>
      <c r="D4" s="28"/>
      <c r="E4" s="28"/>
      <c r="F4" s="28"/>
      <c r="G4" s="226" t="s">
        <v>9</v>
      </c>
      <c r="H4" s="226" t="s">
        <v>10</v>
      </c>
      <c r="I4" s="226" t="s">
        <v>11</v>
      </c>
      <c r="J4" s="226" t="s">
        <v>12</v>
      </c>
      <c r="K4" s="320" t="s">
        <v>13</v>
      </c>
    </row>
    <row r="5" spans="1:12" ht="24.95" customHeight="1">
      <c r="A5" s="73">
        <v>1</v>
      </c>
      <c r="B5" s="57" t="s">
        <v>14</v>
      </c>
      <c r="C5" s="59" t="s">
        <v>15</v>
      </c>
      <c r="D5" s="134">
        <f>136027.8</f>
        <v>136027.79999999999</v>
      </c>
      <c r="E5" s="134">
        <f>60000</f>
        <v>60000</v>
      </c>
      <c r="F5" s="265">
        <f t="shared" ref="F5:F56" si="0">D5+E5</f>
        <v>196027.8</v>
      </c>
      <c r="G5" s="134">
        <f>30000</f>
        <v>30000</v>
      </c>
      <c r="H5" s="134"/>
      <c r="I5" s="134">
        <f>'[1]August 2022 '!$AD$6</f>
        <v>20099.33706666666</v>
      </c>
      <c r="J5" s="120">
        <f>G5+H5+I5</f>
        <v>50099.33706666666</v>
      </c>
      <c r="K5" s="265">
        <f t="shared" ref="K5:K56" si="1">F5-J5</f>
        <v>145928.46293333333</v>
      </c>
      <c r="L5" s="187"/>
    </row>
    <row r="6" spans="1:12" ht="24.95" customHeight="1">
      <c r="A6" s="73">
        <v>2</v>
      </c>
      <c r="B6" s="181" t="s">
        <v>16</v>
      </c>
      <c r="C6" s="181" t="s">
        <v>17</v>
      </c>
      <c r="D6" s="124">
        <v>90000</v>
      </c>
      <c r="E6" s="122">
        <v>30000</v>
      </c>
      <c r="F6" s="265">
        <f t="shared" si="0"/>
        <v>120000</v>
      </c>
      <c r="G6" s="134">
        <v>10000</v>
      </c>
      <c r="H6" s="134">
        <v>40000</v>
      </c>
      <c r="I6" s="120">
        <v>8900</v>
      </c>
      <c r="J6" s="120">
        <f t="shared" ref="J6:J56" si="2">G6+H6+I6</f>
        <v>58900</v>
      </c>
      <c r="K6" s="265">
        <f t="shared" si="1"/>
        <v>61100</v>
      </c>
    </row>
    <row r="7" spans="1:12" ht="24.95" customHeight="1">
      <c r="A7" s="73">
        <v>3</v>
      </c>
      <c r="B7" s="181" t="s">
        <v>18</v>
      </c>
      <c r="C7" s="181" t="s">
        <v>19</v>
      </c>
      <c r="D7" s="124">
        <v>45000</v>
      </c>
      <c r="E7" s="122">
        <v>15000</v>
      </c>
      <c r="F7" s="265">
        <f t="shared" si="0"/>
        <v>60000</v>
      </c>
      <c r="G7" s="134">
        <f>10000</f>
        <v>10000</v>
      </c>
      <c r="H7" s="134">
        <f>10000+10000</f>
        <v>20000</v>
      </c>
      <c r="I7" s="120">
        <v>2446.6666666666665</v>
      </c>
      <c r="J7" s="120">
        <f t="shared" si="2"/>
        <v>32446.666666666668</v>
      </c>
      <c r="K7" s="265">
        <f t="shared" si="1"/>
        <v>27553.333333333332</v>
      </c>
    </row>
    <row r="8" spans="1:12" ht="24.95" customHeight="1">
      <c r="A8" s="73">
        <v>4</v>
      </c>
      <c r="B8" s="181" t="s">
        <v>20</v>
      </c>
      <c r="C8" s="181" t="s">
        <v>21</v>
      </c>
      <c r="D8" s="124">
        <v>45000</v>
      </c>
      <c r="E8" s="122">
        <v>15000</v>
      </c>
      <c r="F8" s="265">
        <f t="shared" si="0"/>
        <v>60000</v>
      </c>
      <c r="G8" s="134">
        <f>10000</f>
        <v>10000</v>
      </c>
      <c r="H8" s="228">
        <f>20000</f>
        <v>20000</v>
      </c>
      <c r="I8" s="120">
        <v>2446.6666666666665</v>
      </c>
      <c r="J8" s="120">
        <f t="shared" si="2"/>
        <v>32446.666666666668</v>
      </c>
      <c r="K8" s="265">
        <f t="shared" si="1"/>
        <v>27553.333333333332</v>
      </c>
    </row>
    <row r="9" spans="1:12" ht="24.95" customHeight="1">
      <c r="A9" s="73">
        <v>5</v>
      </c>
      <c r="B9" s="181" t="s">
        <v>22</v>
      </c>
      <c r="C9" s="181" t="s">
        <v>23</v>
      </c>
      <c r="D9" s="124">
        <v>45000</v>
      </c>
      <c r="E9" s="122">
        <v>15000</v>
      </c>
      <c r="F9" s="265">
        <f t="shared" si="0"/>
        <v>60000</v>
      </c>
      <c r="G9" s="134">
        <v>0</v>
      </c>
      <c r="H9" s="228">
        <v>0</v>
      </c>
      <c r="I9" s="120">
        <v>2446.6666666666665</v>
      </c>
      <c r="J9" s="120">
        <f t="shared" si="2"/>
        <v>2446.6666666666665</v>
      </c>
      <c r="K9" s="265">
        <f t="shared" si="1"/>
        <v>57553.333333333336</v>
      </c>
    </row>
    <row r="10" spans="1:12" ht="24.95" customHeight="1">
      <c r="A10" s="73">
        <v>6</v>
      </c>
      <c r="B10" s="181" t="s">
        <v>24</v>
      </c>
      <c r="C10" s="181" t="s">
        <v>25</v>
      </c>
      <c r="D10" s="124">
        <f>50000</f>
        <v>50000</v>
      </c>
      <c r="E10" s="122">
        <v>15000</v>
      </c>
      <c r="F10" s="265">
        <f t="shared" si="0"/>
        <v>65000</v>
      </c>
      <c r="G10" s="134">
        <f>5000+5000+5000</f>
        <v>15000</v>
      </c>
      <c r="H10" s="134">
        <f>14350</f>
        <v>14350</v>
      </c>
      <c r="I10" s="134">
        <v>2886.6666666666665</v>
      </c>
      <c r="J10" s="120">
        <f t="shared" si="2"/>
        <v>32236.666666666668</v>
      </c>
      <c r="K10" s="265">
        <f t="shared" si="1"/>
        <v>32763.333333333332</v>
      </c>
    </row>
    <row r="11" spans="1:12" ht="24.95" customHeight="1">
      <c r="A11" s="73">
        <v>7</v>
      </c>
      <c r="B11" s="181" t="s">
        <v>26</v>
      </c>
      <c r="C11" s="181" t="s">
        <v>25</v>
      </c>
      <c r="D11" s="124">
        <f>50000</f>
        <v>50000</v>
      </c>
      <c r="E11" s="122">
        <v>15000</v>
      </c>
      <c r="F11" s="265">
        <f t="shared" si="0"/>
        <v>65000</v>
      </c>
      <c r="G11" s="134">
        <f>5000</f>
        <v>5000</v>
      </c>
      <c r="H11" s="134">
        <v>0</v>
      </c>
      <c r="I11" s="134">
        <v>2886.6666666666665</v>
      </c>
      <c r="J11" s="120">
        <f t="shared" si="2"/>
        <v>7886.6666666666661</v>
      </c>
      <c r="K11" s="265">
        <f t="shared" si="1"/>
        <v>57113.333333333336</v>
      </c>
    </row>
    <row r="12" spans="1:12" ht="24.95" customHeight="1">
      <c r="A12" s="73">
        <v>8</v>
      </c>
      <c r="B12" s="181" t="s">
        <v>27</v>
      </c>
      <c r="C12" s="181" t="s">
        <v>23</v>
      </c>
      <c r="D12" s="124">
        <f>60000</f>
        <v>60000</v>
      </c>
      <c r="E12" s="122">
        <v>20000</v>
      </c>
      <c r="F12" s="265">
        <f t="shared" si="0"/>
        <v>80000</v>
      </c>
      <c r="G12" s="134">
        <f>10000</f>
        <v>10000</v>
      </c>
      <c r="H12" s="134">
        <f>17500</f>
        <v>17500</v>
      </c>
      <c r="I12" s="134">
        <v>4206.666666666667</v>
      </c>
      <c r="J12" s="120">
        <f t="shared" si="2"/>
        <v>31706.666666666668</v>
      </c>
      <c r="K12" s="265">
        <f t="shared" si="1"/>
        <v>48293.333333333328</v>
      </c>
    </row>
    <row r="13" spans="1:12" ht="24.95" customHeight="1">
      <c r="A13" s="73">
        <v>9</v>
      </c>
      <c r="B13" s="31" t="s">
        <v>28</v>
      </c>
      <c r="C13" s="31" t="s">
        <v>29</v>
      </c>
      <c r="D13" s="124">
        <f>70000</f>
        <v>70000</v>
      </c>
      <c r="E13" s="122">
        <v>20000</v>
      </c>
      <c r="F13" s="265">
        <f t="shared" si="0"/>
        <v>90000</v>
      </c>
      <c r="G13" s="134">
        <f>0</f>
        <v>0</v>
      </c>
      <c r="H13" s="134">
        <v>0</v>
      </c>
      <c r="I13" s="134">
        <v>5300</v>
      </c>
      <c r="J13" s="120">
        <f t="shared" si="2"/>
        <v>5300</v>
      </c>
      <c r="K13" s="265">
        <f t="shared" si="1"/>
        <v>84700</v>
      </c>
    </row>
    <row r="14" spans="1:12" ht="24.95" customHeight="1">
      <c r="A14" s="73">
        <v>10</v>
      </c>
      <c r="B14" s="31" t="s">
        <v>30</v>
      </c>
      <c r="C14" s="31" t="s">
        <v>19</v>
      </c>
      <c r="D14" s="124">
        <f>90000</f>
        <v>90000</v>
      </c>
      <c r="E14" s="122">
        <v>30000</v>
      </c>
      <c r="F14" s="265">
        <f t="shared" si="0"/>
        <v>120000</v>
      </c>
      <c r="G14" s="134">
        <f>0</f>
        <v>0</v>
      </c>
      <c r="H14" s="134">
        <v>0</v>
      </c>
      <c r="I14" s="120">
        <v>8900</v>
      </c>
      <c r="J14" s="120">
        <f t="shared" si="2"/>
        <v>8900</v>
      </c>
      <c r="K14" s="265">
        <f t="shared" si="1"/>
        <v>111100</v>
      </c>
    </row>
    <row r="15" spans="1:12" ht="24.95" customHeight="1">
      <c r="A15" s="73">
        <v>11</v>
      </c>
      <c r="B15" s="31" t="s">
        <v>31</v>
      </c>
      <c r="C15" s="31" t="s">
        <v>32</v>
      </c>
      <c r="D15" s="217">
        <f>105352.17</f>
        <v>105352.17</v>
      </c>
      <c r="E15" s="216">
        <f>(60000+50000)</f>
        <v>110000</v>
      </c>
      <c r="F15" s="265">
        <f t="shared" si="0"/>
        <v>215352.16999999998</v>
      </c>
      <c r="G15" s="134">
        <f>0</f>
        <v>0</v>
      </c>
      <c r="H15" s="134">
        <v>0</v>
      </c>
      <c r="I15" s="134">
        <v>23345.831226666665</v>
      </c>
      <c r="J15" s="120">
        <f t="shared" si="2"/>
        <v>23345.831226666665</v>
      </c>
      <c r="K15" s="265">
        <f t="shared" si="1"/>
        <v>192006.33877333332</v>
      </c>
    </row>
    <row r="16" spans="1:12" ht="30" customHeight="1">
      <c r="A16" s="73">
        <v>12</v>
      </c>
      <c r="B16" s="255" t="s">
        <v>33</v>
      </c>
      <c r="C16" s="277" t="s">
        <v>34</v>
      </c>
      <c r="D16" s="217">
        <f>502746.92</f>
        <v>502746.92</v>
      </c>
      <c r="E16" s="216">
        <v>180000</v>
      </c>
      <c r="F16" s="265">
        <f t="shared" si="0"/>
        <v>682746.91999999993</v>
      </c>
      <c r="G16" s="134">
        <f>0</f>
        <v>0</v>
      </c>
      <c r="H16" s="134">
        <v>0</v>
      </c>
      <c r="I16" s="216">
        <v>109754.08</v>
      </c>
      <c r="J16" s="120">
        <f t="shared" si="2"/>
        <v>109754.08</v>
      </c>
      <c r="K16" s="265">
        <f t="shared" si="1"/>
        <v>572992.84</v>
      </c>
    </row>
    <row r="17" spans="1:11" ht="30" customHeight="1">
      <c r="A17" s="73">
        <v>13</v>
      </c>
      <c r="B17" s="255" t="s">
        <v>35</v>
      </c>
      <c r="C17" s="31" t="s">
        <v>34</v>
      </c>
      <c r="D17" s="217">
        <f>555351.17</f>
        <v>555351.17000000004</v>
      </c>
      <c r="E17" s="216">
        <v>180000</v>
      </c>
      <c r="F17" s="265">
        <f t="shared" si="0"/>
        <v>735351.17</v>
      </c>
      <c r="G17" s="134">
        <f>0</f>
        <v>0</v>
      </c>
      <c r="H17" s="134">
        <v>0</v>
      </c>
      <c r="I17" s="134">
        <f>(119693.26)</f>
        <v>119693.26</v>
      </c>
      <c r="J17" s="120">
        <f t="shared" si="2"/>
        <v>119693.26</v>
      </c>
      <c r="K17" s="265">
        <f t="shared" si="1"/>
        <v>615657.91</v>
      </c>
    </row>
    <row r="18" spans="1:11" ht="30" customHeight="1">
      <c r="A18" s="73">
        <v>14</v>
      </c>
      <c r="B18" s="255" t="s">
        <v>36</v>
      </c>
      <c r="C18" s="31" t="s">
        <v>37</v>
      </c>
      <c r="D18" s="217">
        <f>800656.58</f>
        <v>800656.58</v>
      </c>
      <c r="E18" s="216">
        <v>200000</v>
      </c>
      <c r="F18" s="265">
        <f t="shared" si="0"/>
        <v>1000656.58</v>
      </c>
      <c r="G18" s="134">
        <f>0</f>
        <v>0</v>
      </c>
      <c r="H18" s="134">
        <v>0</v>
      </c>
      <c r="I18" s="134">
        <f>(170631.89)</f>
        <v>170631.89</v>
      </c>
      <c r="J18" s="120">
        <f t="shared" si="2"/>
        <v>170631.89</v>
      </c>
      <c r="K18" s="265">
        <f t="shared" si="1"/>
        <v>830024.69</v>
      </c>
    </row>
    <row r="19" spans="1:11" ht="30" customHeight="1">
      <c r="A19" s="73">
        <v>15</v>
      </c>
      <c r="B19" s="255" t="s">
        <v>38</v>
      </c>
      <c r="C19" s="31" t="s">
        <v>39</v>
      </c>
      <c r="D19" s="217">
        <v>25000</v>
      </c>
      <c r="E19" s="216">
        <v>0</v>
      </c>
      <c r="F19" s="265">
        <f t="shared" si="0"/>
        <v>25000</v>
      </c>
      <c r="G19" s="134">
        <f>0</f>
        <v>0</v>
      </c>
      <c r="H19" s="134">
        <v>0</v>
      </c>
      <c r="I19" s="134"/>
      <c r="J19" s="120">
        <f t="shared" si="2"/>
        <v>0</v>
      </c>
      <c r="K19" s="265">
        <f t="shared" si="1"/>
        <v>25000</v>
      </c>
    </row>
    <row r="20" spans="1:11" ht="30" customHeight="1">
      <c r="A20" s="73">
        <v>16</v>
      </c>
      <c r="B20" s="255" t="s">
        <v>40</v>
      </c>
      <c r="C20" s="31" t="s">
        <v>39</v>
      </c>
      <c r="D20" s="217">
        <v>25000</v>
      </c>
      <c r="E20" s="216">
        <v>0</v>
      </c>
      <c r="F20" s="265">
        <f t="shared" si="0"/>
        <v>25000</v>
      </c>
      <c r="G20" s="134">
        <f>0</f>
        <v>0</v>
      </c>
      <c r="H20" s="134">
        <v>0</v>
      </c>
      <c r="I20" s="134"/>
      <c r="J20" s="120">
        <f t="shared" si="2"/>
        <v>0</v>
      </c>
      <c r="K20" s="265">
        <f t="shared" si="1"/>
        <v>25000</v>
      </c>
    </row>
    <row r="21" spans="1:11" ht="30" customHeight="1">
      <c r="A21" s="73">
        <v>17</v>
      </c>
      <c r="B21" s="255" t="s">
        <v>41</v>
      </c>
      <c r="C21" s="31" t="s">
        <v>39</v>
      </c>
      <c r="D21" s="217">
        <v>25000</v>
      </c>
      <c r="E21" s="216">
        <v>0</v>
      </c>
      <c r="F21" s="265">
        <f t="shared" si="0"/>
        <v>25000</v>
      </c>
      <c r="G21" s="134">
        <f>0</f>
        <v>0</v>
      </c>
      <c r="H21" s="134">
        <v>0</v>
      </c>
      <c r="I21" s="134"/>
      <c r="J21" s="120">
        <f t="shared" si="2"/>
        <v>0</v>
      </c>
      <c r="K21" s="265">
        <f t="shared" si="1"/>
        <v>25000</v>
      </c>
    </row>
    <row r="22" spans="1:11" ht="30" customHeight="1">
      <c r="A22" s="73">
        <v>18</v>
      </c>
      <c r="B22" s="255" t="s">
        <v>42</v>
      </c>
      <c r="C22" s="31" t="s">
        <v>39</v>
      </c>
      <c r="D22" s="217">
        <v>25000</v>
      </c>
      <c r="E22" s="216">
        <v>0</v>
      </c>
      <c r="F22" s="265">
        <f t="shared" si="0"/>
        <v>25000</v>
      </c>
      <c r="G22" s="134">
        <f>0</f>
        <v>0</v>
      </c>
      <c r="H22" s="134">
        <v>0</v>
      </c>
      <c r="I22" s="134"/>
      <c r="J22" s="120">
        <f t="shared" si="2"/>
        <v>0</v>
      </c>
      <c r="K22" s="265">
        <f t="shared" si="1"/>
        <v>25000</v>
      </c>
    </row>
    <row r="23" spans="1:11" ht="30" customHeight="1">
      <c r="A23" s="73">
        <v>19</v>
      </c>
      <c r="B23" s="255" t="s">
        <v>43</v>
      </c>
      <c r="C23" s="31" t="s">
        <v>44</v>
      </c>
      <c r="D23" s="217">
        <f>424023.33</f>
        <v>424023.33</v>
      </c>
      <c r="E23" s="216">
        <v>90000</v>
      </c>
      <c r="F23" s="265">
        <f t="shared" si="0"/>
        <v>514023.33</v>
      </c>
      <c r="G23" s="134">
        <f>0</f>
        <v>0</v>
      </c>
      <c r="H23" s="134">
        <v>0</v>
      </c>
      <c r="I23" s="134">
        <f>77198.31</f>
        <v>77198.31</v>
      </c>
      <c r="J23" s="120">
        <f t="shared" si="2"/>
        <v>77198.31</v>
      </c>
      <c r="K23" s="265">
        <f t="shared" si="1"/>
        <v>436825.02</v>
      </c>
    </row>
    <row r="24" spans="1:11" ht="30" customHeight="1">
      <c r="A24" s="73">
        <v>20</v>
      </c>
      <c r="B24" s="255" t="s">
        <v>45</v>
      </c>
      <c r="C24" s="31" t="s">
        <v>34</v>
      </c>
      <c r="D24" s="217">
        <f>496425.42</f>
        <v>496425.42</v>
      </c>
      <c r="E24" s="216">
        <v>180000</v>
      </c>
      <c r="F24" s="265">
        <f t="shared" si="0"/>
        <v>676425.41999999993</v>
      </c>
      <c r="G24" s="134">
        <f>0</f>
        <v>0</v>
      </c>
      <c r="H24" s="134">
        <v>0</v>
      </c>
      <c r="I24" s="134">
        <f>108540.35</f>
        <v>108540.35</v>
      </c>
      <c r="J24" s="120">
        <f t="shared" si="2"/>
        <v>108540.35</v>
      </c>
      <c r="K24" s="265">
        <f t="shared" si="1"/>
        <v>567885.06999999995</v>
      </c>
    </row>
    <row r="25" spans="1:11" ht="30" customHeight="1">
      <c r="A25" s="73">
        <v>21</v>
      </c>
      <c r="B25" s="255" t="s">
        <v>46</v>
      </c>
      <c r="C25" s="31" t="s">
        <v>47</v>
      </c>
      <c r="D25" s="217">
        <f>25000+7500</f>
        <v>32500</v>
      </c>
      <c r="E25" s="216">
        <v>0</v>
      </c>
      <c r="F25" s="265">
        <f t="shared" si="0"/>
        <v>32500</v>
      </c>
      <c r="G25" s="134">
        <f>0</f>
        <v>0</v>
      </c>
      <c r="H25" s="134">
        <v>0</v>
      </c>
      <c r="I25" s="134"/>
      <c r="J25" s="120">
        <f t="shared" si="2"/>
        <v>0</v>
      </c>
      <c r="K25" s="265">
        <f t="shared" si="1"/>
        <v>32500</v>
      </c>
    </row>
    <row r="26" spans="1:11" ht="30" customHeight="1">
      <c r="A26" s="73">
        <v>22</v>
      </c>
      <c r="B26" s="255" t="s">
        <v>48</v>
      </c>
      <c r="C26" s="31" t="s">
        <v>39</v>
      </c>
      <c r="D26" s="217">
        <v>25000</v>
      </c>
      <c r="E26" s="216">
        <v>0</v>
      </c>
      <c r="F26" s="265">
        <f t="shared" si="0"/>
        <v>25000</v>
      </c>
      <c r="G26" s="134">
        <f>0</f>
        <v>0</v>
      </c>
      <c r="H26" s="134">
        <v>0</v>
      </c>
      <c r="I26" s="134"/>
      <c r="J26" s="120">
        <f t="shared" si="2"/>
        <v>0</v>
      </c>
      <c r="K26" s="265">
        <f t="shared" si="1"/>
        <v>25000</v>
      </c>
    </row>
    <row r="27" spans="1:11" ht="30" customHeight="1">
      <c r="A27" s="73">
        <v>23</v>
      </c>
      <c r="B27" s="255" t="s">
        <v>49</v>
      </c>
      <c r="C27" s="31" t="s">
        <v>50</v>
      </c>
      <c r="D27" s="217">
        <v>60000</v>
      </c>
      <c r="E27" s="216">
        <v>20000</v>
      </c>
      <c r="F27" s="265">
        <f t="shared" si="0"/>
        <v>80000</v>
      </c>
      <c r="G27" s="134">
        <f>0</f>
        <v>0</v>
      </c>
      <c r="H27" s="134">
        <v>0</v>
      </c>
      <c r="I27" s="134">
        <f>4206.67</f>
        <v>4206.67</v>
      </c>
      <c r="J27" s="120">
        <f t="shared" si="2"/>
        <v>4206.67</v>
      </c>
      <c r="K27" s="265">
        <f t="shared" si="1"/>
        <v>75793.33</v>
      </c>
    </row>
    <row r="28" spans="1:11" ht="30" customHeight="1">
      <c r="A28" s="73">
        <v>24</v>
      </c>
      <c r="B28" s="255" t="s">
        <v>51</v>
      </c>
      <c r="C28" s="31" t="s">
        <v>52</v>
      </c>
      <c r="D28" s="217">
        <v>55000</v>
      </c>
      <c r="E28" s="216">
        <v>15000</v>
      </c>
      <c r="F28" s="265">
        <f t="shared" si="0"/>
        <v>70000</v>
      </c>
      <c r="G28" s="134">
        <f>0</f>
        <v>0</v>
      </c>
      <c r="H28" s="134">
        <v>0</v>
      </c>
      <c r="I28" s="134">
        <f>3326.67</f>
        <v>3326.67</v>
      </c>
      <c r="J28" s="120">
        <f t="shared" si="2"/>
        <v>3326.67</v>
      </c>
      <c r="K28" s="265">
        <f t="shared" si="1"/>
        <v>66673.33</v>
      </c>
    </row>
    <row r="29" spans="1:11" ht="30" customHeight="1">
      <c r="A29" s="73">
        <v>25</v>
      </c>
      <c r="B29" s="255" t="s">
        <v>53</v>
      </c>
      <c r="C29" s="31" t="s">
        <v>39</v>
      </c>
      <c r="D29" s="217">
        <v>25000</v>
      </c>
      <c r="E29" s="216">
        <v>0</v>
      </c>
      <c r="F29" s="265">
        <f t="shared" si="0"/>
        <v>25000</v>
      </c>
      <c r="G29" s="134">
        <f>0</f>
        <v>0</v>
      </c>
      <c r="H29" s="134">
        <v>0</v>
      </c>
      <c r="I29" s="134"/>
      <c r="J29" s="120">
        <f t="shared" si="2"/>
        <v>0</v>
      </c>
      <c r="K29" s="265">
        <f t="shared" si="1"/>
        <v>25000</v>
      </c>
    </row>
    <row r="30" spans="1:11" ht="30" customHeight="1">
      <c r="A30" s="73">
        <v>26</v>
      </c>
      <c r="B30" s="255" t="s">
        <v>54</v>
      </c>
      <c r="C30" s="31" t="s">
        <v>39</v>
      </c>
      <c r="D30" s="217">
        <v>25000</v>
      </c>
      <c r="E30" s="216"/>
      <c r="F30" s="265">
        <f t="shared" si="0"/>
        <v>25000</v>
      </c>
      <c r="G30" s="134">
        <f>0</f>
        <v>0</v>
      </c>
      <c r="H30" s="134">
        <v>0</v>
      </c>
      <c r="I30" s="134"/>
      <c r="J30" s="120">
        <f t="shared" si="2"/>
        <v>0</v>
      </c>
      <c r="K30" s="265">
        <f t="shared" si="1"/>
        <v>25000</v>
      </c>
    </row>
    <row r="31" spans="1:11" ht="30" customHeight="1">
      <c r="A31" s="73">
        <v>27</v>
      </c>
      <c r="B31" s="255" t="s">
        <v>55</v>
      </c>
      <c r="C31" s="31" t="s">
        <v>34</v>
      </c>
      <c r="D31" s="217">
        <v>410900.75</v>
      </c>
      <c r="E31" s="216">
        <v>160000</v>
      </c>
      <c r="F31" s="265">
        <f t="shared" si="0"/>
        <v>570900.75</v>
      </c>
      <c r="G31" s="134">
        <f>0</f>
        <v>0</v>
      </c>
      <c r="H31" s="134">
        <v>0</v>
      </c>
      <c r="I31" s="134">
        <f>88279.61</f>
        <v>88279.61</v>
      </c>
      <c r="J31" s="120">
        <f t="shared" si="2"/>
        <v>88279.61</v>
      </c>
      <c r="K31" s="265">
        <f t="shared" si="1"/>
        <v>482621.14</v>
      </c>
    </row>
    <row r="32" spans="1:11" ht="30" customHeight="1">
      <c r="A32" s="73">
        <v>28</v>
      </c>
      <c r="B32" s="255" t="s">
        <v>56</v>
      </c>
      <c r="C32" s="31" t="s">
        <v>37</v>
      </c>
      <c r="D32" s="217">
        <f>123329.05</f>
        <v>123329.05</v>
      </c>
      <c r="E32" s="216">
        <v>50000</v>
      </c>
      <c r="F32" s="265">
        <f t="shared" si="0"/>
        <v>173329.05</v>
      </c>
      <c r="G32" s="120">
        <v>20000</v>
      </c>
      <c r="H32" s="134">
        <v>0</v>
      </c>
      <c r="I32" s="134">
        <v>16512.68</v>
      </c>
      <c r="J32" s="120">
        <f t="shared" si="2"/>
        <v>36512.68</v>
      </c>
      <c r="K32" s="265">
        <f t="shared" si="1"/>
        <v>136816.37</v>
      </c>
    </row>
    <row r="33" spans="1:11" ht="30" customHeight="1">
      <c r="A33" s="73">
        <v>29</v>
      </c>
      <c r="B33" s="255" t="s">
        <v>57</v>
      </c>
      <c r="C33" s="31" t="s">
        <v>37</v>
      </c>
      <c r="D33" s="217">
        <f>226713</f>
        <v>226713</v>
      </c>
      <c r="E33" s="216">
        <f>70000</f>
        <v>70000</v>
      </c>
      <c r="F33" s="265">
        <f t="shared" si="0"/>
        <v>296713</v>
      </c>
      <c r="G33" s="120">
        <f>20000</f>
        <v>20000</v>
      </c>
      <c r="H33" s="134">
        <v>0</v>
      </c>
      <c r="I33" s="134">
        <f>37014.45</f>
        <v>37014.449999999997</v>
      </c>
      <c r="J33" s="120">
        <f t="shared" si="2"/>
        <v>57014.45</v>
      </c>
      <c r="K33" s="265">
        <f t="shared" si="1"/>
        <v>239698.55</v>
      </c>
    </row>
    <row r="34" spans="1:11" ht="30" customHeight="1">
      <c r="A34" s="73">
        <v>30</v>
      </c>
      <c r="B34" s="255" t="s">
        <v>58</v>
      </c>
      <c r="C34" s="31" t="s">
        <v>37</v>
      </c>
      <c r="D34" s="217">
        <f>145204</f>
        <v>145204</v>
      </c>
      <c r="E34" s="216">
        <f>60000</f>
        <v>60000</v>
      </c>
      <c r="F34" s="265">
        <f t="shared" si="0"/>
        <v>205204</v>
      </c>
      <c r="G34" s="134">
        <f>0</f>
        <v>0</v>
      </c>
      <c r="H34" s="134">
        <v>0</v>
      </c>
      <c r="I34" s="289">
        <v>21640.952862666669</v>
      </c>
      <c r="J34" s="120">
        <f t="shared" si="2"/>
        <v>21640.952862666669</v>
      </c>
      <c r="K34" s="265">
        <f t="shared" si="1"/>
        <v>183563.04713733334</v>
      </c>
    </row>
    <row r="35" spans="1:11" ht="30" customHeight="1">
      <c r="A35" s="73">
        <v>31</v>
      </c>
      <c r="B35" s="255" t="s">
        <v>59</v>
      </c>
      <c r="C35" s="31" t="s">
        <v>60</v>
      </c>
      <c r="D35" s="217">
        <f>90000</f>
        <v>90000</v>
      </c>
      <c r="E35" s="216">
        <f>30000</f>
        <v>30000</v>
      </c>
      <c r="F35" s="265">
        <f t="shared" si="0"/>
        <v>120000</v>
      </c>
      <c r="G35" s="134">
        <f>0</f>
        <v>0</v>
      </c>
      <c r="H35" s="134">
        <v>0</v>
      </c>
      <c r="I35" s="134">
        <f>8600</f>
        <v>8600</v>
      </c>
      <c r="J35" s="120">
        <f t="shared" si="2"/>
        <v>8600</v>
      </c>
      <c r="K35" s="265">
        <f t="shared" si="1"/>
        <v>111400</v>
      </c>
    </row>
    <row r="36" spans="1:11" ht="30" customHeight="1">
      <c r="A36" s="73">
        <v>32</v>
      </c>
      <c r="B36" s="255" t="s">
        <v>61</v>
      </c>
      <c r="C36" s="31" t="s">
        <v>37</v>
      </c>
      <c r="D36" s="217">
        <f>123329.05</f>
        <v>123329.05</v>
      </c>
      <c r="E36" s="216">
        <f>50000</f>
        <v>50000</v>
      </c>
      <c r="F36" s="265">
        <f t="shared" si="0"/>
        <v>173329.05</v>
      </c>
      <c r="G36" s="120">
        <f>50000</f>
        <v>50000</v>
      </c>
      <c r="H36" s="134">
        <v>0</v>
      </c>
      <c r="I36" s="134">
        <v>16512.68</v>
      </c>
      <c r="J36" s="120">
        <f t="shared" si="2"/>
        <v>66512.679999999993</v>
      </c>
      <c r="K36" s="265">
        <f t="shared" si="1"/>
        <v>106816.37</v>
      </c>
    </row>
    <row r="37" spans="1:11" ht="30" customHeight="1">
      <c r="A37" s="73">
        <v>33</v>
      </c>
      <c r="B37" s="255" t="s">
        <v>62</v>
      </c>
      <c r="C37" s="31" t="s">
        <v>63</v>
      </c>
      <c r="D37" s="217">
        <f>168602</f>
        <v>168602</v>
      </c>
      <c r="E37" s="216">
        <f>60000</f>
        <v>60000</v>
      </c>
      <c r="F37" s="265">
        <f t="shared" si="0"/>
        <v>228602</v>
      </c>
      <c r="G37" s="134">
        <f>0</f>
        <v>0</v>
      </c>
      <c r="H37" s="134">
        <v>0</v>
      </c>
      <c r="I37" s="134">
        <f>25571.8</f>
        <v>25571.8</v>
      </c>
      <c r="J37" s="120">
        <f t="shared" si="2"/>
        <v>25571.8</v>
      </c>
      <c r="K37" s="265">
        <f t="shared" si="1"/>
        <v>203030.2</v>
      </c>
    </row>
    <row r="38" spans="1:11" ht="30" customHeight="1">
      <c r="A38" s="73">
        <v>34</v>
      </c>
      <c r="B38" s="255" t="s">
        <v>64</v>
      </c>
      <c r="C38" s="31" t="s">
        <v>37</v>
      </c>
      <c r="D38" s="217">
        <v>145204</v>
      </c>
      <c r="E38" s="216">
        <v>60000</v>
      </c>
      <c r="F38" s="265">
        <f t="shared" si="0"/>
        <v>205204</v>
      </c>
      <c r="G38" s="134">
        <f>0</f>
        <v>0</v>
      </c>
      <c r="H38" s="134">
        <v>0</v>
      </c>
      <c r="I38" s="134">
        <f>21640.95</f>
        <v>21640.95</v>
      </c>
      <c r="J38" s="120">
        <f t="shared" si="2"/>
        <v>21640.95</v>
      </c>
      <c r="K38" s="265">
        <f t="shared" si="1"/>
        <v>183563.05</v>
      </c>
    </row>
    <row r="39" spans="1:11" ht="30" customHeight="1">
      <c r="A39" s="73">
        <v>35</v>
      </c>
      <c r="B39" s="255" t="s">
        <v>65</v>
      </c>
      <c r="C39" s="31" t="s">
        <v>37</v>
      </c>
      <c r="D39" s="217">
        <f>226713</f>
        <v>226713</v>
      </c>
      <c r="E39" s="216">
        <f>120000</f>
        <v>120000</v>
      </c>
      <c r="F39" s="265">
        <f t="shared" si="0"/>
        <v>346713</v>
      </c>
      <c r="G39" s="134">
        <f>0</f>
        <v>0</v>
      </c>
      <c r="H39" s="134">
        <v>0</v>
      </c>
      <c r="I39" s="134">
        <f>45414.45</f>
        <v>45414.45</v>
      </c>
      <c r="J39" s="120">
        <f t="shared" si="2"/>
        <v>45414.45</v>
      </c>
      <c r="K39" s="265">
        <f t="shared" si="1"/>
        <v>301298.55</v>
      </c>
    </row>
    <row r="40" spans="1:11" ht="30" customHeight="1">
      <c r="A40" s="73">
        <v>36</v>
      </c>
      <c r="B40" s="255" t="s">
        <v>66</v>
      </c>
      <c r="C40" s="31" t="s">
        <v>39</v>
      </c>
      <c r="D40" s="217">
        <v>25000</v>
      </c>
      <c r="E40" s="216"/>
      <c r="F40" s="265">
        <f t="shared" si="0"/>
        <v>25000</v>
      </c>
      <c r="G40" s="134">
        <f>0</f>
        <v>0</v>
      </c>
      <c r="H40" s="134">
        <v>0</v>
      </c>
      <c r="I40" s="134"/>
      <c r="J40" s="120">
        <f t="shared" si="2"/>
        <v>0</v>
      </c>
      <c r="K40" s="265">
        <f t="shared" si="1"/>
        <v>25000</v>
      </c>
    </row>
    <row r="41" spans="1:11" ht="30" customHeight="1">
      <c r="A41" s="73">
        <v>37</v>
      </c>
      <c r="B41" s="255" t="s">
        <v>67</v>
      </c>
      <c r="C41" s="31" t="s">
        <v>37</v>
      </c>
      <c r="D41" s="217">
        <f>123329.05</f>
        <v>123329.05</v>
      </c>
      <c r="E41" s="290">
        <f>50000</f>
        <v>50000</v>
      </c>
      <c r="F41" s="265">
        <f t="shared" si="0"/>
        <v>173329.05</v>
      </c>
      <c r="G41" s="134">
        <f>0</f>
        <v>0</v>
      </c>
      <c r="H41" s="134">
        <v>0</v>
      </c>
      <c r="I41" s="134">
        <v>16512.68</v>
      </c>
      <c r="J41" s="120">
        <f t="shared" si="2"/>
        <v>16512.68</v>
      </c>
      <c r="K41" s="265">
        <f t="shared" si="1"/>
        <v>156816.37</v>
      </c>
    </row>
    <row r="42" spans="1:11" ht="30" customHeight="1">
      <c r="A42" s="73">
        <v>38</v>
      </c>
      <c r="B42" s="255" t="s">
        <v>68</v>
      </c>
      <c r="C42" s="31" t="s">
        <v>63</v>
      </c>
      <c r="D42" s="217">
        <f>123329.05</f>
        <v>123329.05</v>
      </c>
      <c r="E42" s="290">
        <f>100000</f>
        <v>100000</v>
      </c>
      <c r="F42" s="265">
        <f t="shared" si="0"/>
        <v>223329.05</v>
      </c>
      <c r="G42" s="134">
        <f>0</f>
        <v>0</v>
      </c>
      <c r="H42" s="134">
        <v>0</v>
      </c>
      <c r="I42" s="134">
        <f>28687.49</f>
        <v>28687.49</v>
      </c>
      <c r="J42" s="120">
        <f t="shared" si="2"/>
        <v>28687.49</v>
      </c>
      <c r="K42" s="265">
        <f t="shared" si="1"/>
        <v>194641.56</v>
      </c>
    </row>
    <row r="43" spans="1:11" ht="30" customHeight="1">
      <c r="A43" s="73">
        <v>39</v>
      </c>
      <c r="B43" s="255" t="s">
        <v>69</v>
      </c>
      <c r="C43" s="31" t="s">
        <v>37</v>
      </c>
      <c r="D43" s="217">
        <f>123329.05</f>
        <v>123329.05</v>
      </c>
      <c r="E43" s="290">
        <f>100000</f>
        <v>100000</v>
      </c>
      <c r="F43" s="265">
        <f t="shared" si="0"/>
        <v>223329.05</v>
      </c>
      <c r="G43" s="134">
        <f>0</f>
        <v>0</v>
      </c>
      <c r="H43" s="134">
        <v>0</v>
      </c>
      <c r="I43" s="134">
        <f>28687.49</f>
        <v>28687.49</v>
      </c>
      <c r="J43" s="120">
        <f t="shared" si="2"/>
        <v>28687.49</v>
      </c>
      <c r="K43" s="265">
        <f t="shared" si="1"/>
        <v>194641.56</v>
      </c>
    </row>
    <row r="44" spans="1:11" ht="30" customHeight="1">
      <c r="A44" s="73">
        <v>40</v>
      </c>
      <c r="B44" s="255" t="s">
        <v>70</v>
      </c>
      <c r="C44" s="31" t="s">
        <v>37</v>
      </c>
      <c r="D44" s="217">
        <f>123329.05</f>
        <v>123329.05</v>
      </c>
      <c r="E44" s="290">
        <f>100000</f>
        <v>100000</v>
      </c>
      <c r="F44" s="265">
        <f t="shared" si="0"/>
        <v>223329.05</v>
      </c>
      <c r="G44" s="134">
        <f>0</f>
        <v>0</v>
      </c>
      <c r="H44" s="134">
        <v>0</v>
      </c>
      <c r="I44" s="134">
        <f>28687.49</f>
        <v>28687.49</v>
      </c>
      <c r="J44" s="120">
        <f t="shared" si="2"/>
        <v>28687.49</v>
      </c>
      <c r="K44" s="265">
        <f t="shared" si="1"/>
        <v>194641.56</v>
      </c>
    </row>
    <row r="45" spans="1:11" ht="30" customHeight="1">
      <c r="A45" s="73">
        <v>41</v>
      </c>
      <c r="B45" s="255" t="s">
        <v>71</v>
      </c>
      <c r="C45" s="31" t="s">
        <v>39</v>
      </c>
      <c r="D45" s="217">
        <v>25000</v>
      </c>
      <c r="E45" s="290"/>
      <c r="F45" s="265">
        <f t="shared" si="0"/>
        <v>25000</v>
      </c>
      <c r="G45" s="134">
        <f>0</f>
        <v>0</v>
      </c>
      <c r="H45" s="134">
        <v>0</v>
      </c>
      <c r="I45" s="134"/>
      <c r="J45" s="120">
        <f t="shared" si="2"/>
        <v>0</v>
      </c>
      <c r="K45" s="265">
        <f t="shared" si="1"/>
        <v>25000</v>
      </c>
    </row>
    <row r="46" spans="1:11" ht="30" customHeight="1">
      <c r="A46" s="73">
        <v>42</v>
      </c>
      <c r="B46" s="255" t="s">
        <v>72</v>
      </c>
      <c r="C46" s="31" t="s">
        <v>37</v>
      </c>
      <c r="D46" s="217">
        <f>145204</f>
        <v>145204</v>
      </c>
      <c r="E46" s="290">
        <f>60000</f>
        <v>60000</v>
      </c>
      <c r="F46" s="265">
        <f t="shared" si="0"/>
        <v>205204</v>
      </c>
      <c r="G46" s="134">
        <f>0</f>
        <v>0</v>
      </c>
      <c r="H46" s="134">
        <v>0</v>
      </c>
      <c r="I46" s="134">
        <f>21640.95</f>
        <v>21640.95</v>
      </c>
      <c r="J46" s="120">
        <f t="shared" si="2"/>
        <v>21640.95</v>
      </c>
      <c r="K46" s="265">
        <f t="shared" si="1"/>
        <v>183563.05</v>
      </c>
    </row>
    <row r="47" spans="1:11" ht="30" customHeight="1">
      <c r="A47" s="73">
        <v>43</v>
      </c>
      <c r="B47" s="255" t="s">
        <v>73</v>
      </c>
      <c r="C47" s="31" t="s">
        <v>63</v>
      </c>
      <c r="D47" s="217">
        <f>123329.05</f>
        <v>123329.05</v>
      </c>
      <c r="E47" s="290">
        <f>50000</f>
        <v>50000</v>
      </c>
      <c r="F47" s="265">
        <f t="shared" si="0"/>
        <v>173329.05</v>
      </c>
      <c r="G47" s="134">
        <f>0</f>
        <v>0</v>
      </c>
      <c r="H47" s="134">
        <v>0</v>
      </c>
      <c r="I47" s="134">
        <f>16512.68</f>
        <v>16512.68</v>
      </c>
      <c r="J47" s="120">
        <f t="shared" si="2"/>
        <v>16512.68</v>
      </c>
      <c r="K47" s="265">
        <f t="shared" si="1"/>
        <v>156816.37</v>
      </c>
    </row>
    <row r="48" spans="1:11" ht="30" customHeight="1">
      <c r="A48" s="73">
        <v>44</v>
      </c>
      <c r="B48" s="255" t="s">
        <v>74</v>
      </c>
      <c r="C48" s="31" t="s">
        <v>34</v>
      </c>
      <c r="D48" s="217">
        <f>555351.17</f>
        <v>555351.17000000004</v>
      </c>
      <c r="E48" s="290">
        <v>180000</v>
      </c>
      <c r="F48" s="265">
        <f t="shared" si="0"/>
        <v>735351.17</v>
      </c>
      <c r="G48" s="134">
        <f>0</f>
        <v>0</v>
      </c>
      <c r="H48" s="134">
        <v>0</v>
      </c>
      <c r="I48" s="134">
        <f>(119693.26)</f>
        <v>119693.26</v>
      </c>
      <c r="J48" s="120">
        <f t="shared" si="2"/>
        <v>119693.26</v>
      </c>
      <c r="K48" s="265">
        <f t="shared" si="1"/>
        <v>615657.91</v>
      </c>
    </row>
    <row r="49" spans="1:13" ht="30" customHeight="1">
      <c r="A49" s="73">
        <v>45</v>
      </c>
      <c r="B49" s="255" t="s">
        <v>75</v>
      </c>
      <c r="C49" s="31" t="s">
        <v>76</v>
      </c>
      <c r="D49" s="217">
        <f>'[2]SALARY STRUCTURE'!$H$18</f>
        <v>344720.16666666669</v>
      </c>
      <c r="E49" s="290">
        <f>160000</f>
        <v>160000</v>
      </c>
      <c r="F49" s="265">
        <f t="shared" si="0"/>
        <v>504720.16666666669</v>
      </c>
      <c r="G49" s="134">
        <f>0</f>
        <v>0</v>
      </c>
      <c r="H49" s="134">
        <v>0</v>
      </c>
      <c r="I49" s="134">
        <f>75436.17</f>
        <v>75436.17</v>
      </c>
      <c r="J49" s="120">
        <f t="shared" si="2"/>
        <v>75436.17</v>
      </c>
      <c r="K49" s="265">
        <f t="shared" si="1"/>
        <v>429283.9966666667</v>
      </c>
    </row>
    <row r="50" spans="1:13" ht="30" customHeight="1">
      <c r="A50" s="73">
        <v>46</v>
      </c>
      <c r="B50" s="255" t="s">
        <v>77</v>
      </c>
      <c r="C50" s="31" t="s">
        <v>39</v>
      </c>
      <c r="D50" s="217">
        <v>25000</v>
      </c>
      <c r="E50" s="216">
        <v>0</v>
      </c>
      <c r="F50" s="265">
        <f t="shared" si="0"/>
        <v>25000</v>
      </c>
      <c r="G50" s="134">
        <f>0</f>
        <v>0</v>
      </c>
      <c r="H50" s="134">
        <v>0</v>
      </c>
      <c r="I50" s="134">
        <v>0</v>
      </c>
      <c r="J50" s="120">
        <f t="shared" si="2"/>
        <v>0</v>
      </c>
      <c r="K50" s="265">
        <f t="shared" si="1"/>
        <v>25000</v>
      </c>
    </row>
    <row r="51" spans="1:13" ht="30" customHeight="1">
      <c r="A51" s="73">
        <v>47</v>
      </c>
      <c r="B51" s="255" t="s">
        <v>78</v>
      </c>
      <c r="C51" s="31" t="s">
        <v>39</v>
      </c>
      <c r="D51" s="217">
        <v>25000</v>
      </c>
      <c r="E51" s="216">
        <v>0</v>
      </c>
      <c r="F51" s="265">
        <f t="shared" si="0"/>
        <v>25000</v>
      </c>
      <c r="G51" s="134">
        <f>0</f>
        <v>0</v>
      </c>
      <c r="H51" s="134">
        <v>0</v>
      </c>
      <c r="I51" s="134">
        <v>0</v>
      </c>
      <c r="J51" s="120">
        <f t="shared" si="2"/>
        <v>0</v>
      </c>
      <c r="K51" s="265">
        <f t="shared" si="1"/>
        <v>25000</v>
      </c>
    </row>
    <row r="52" spans="1:13" ht="30" customHeight="1">
      <c r="A52" s="73">
        <v>48</v>
      </c>
      <c r="B52" s="255" t="s">
        <v>79</v>
      </c>
      <c r="C52" s="31" t="s">
        <v>39</v>
      </c>
      <c r="D52" s="217">
        <v>25000</v>
      </c>
      <c r="E52" s="216">
        <v>0</v>
      </c>
      <c r="F52" s="265">
        <f t="shared" si="0"/>
        <v>25000</v>
      </c>
      <c r="G52" s="134">
        <f>0</f>
        <v>0</v>
      </c>
      <c r="H52" s="134">
        <v>0</v>
      </c>
      <c r="I52" s="134">
        <v>0</v>
      </c>
      <c r="J52" s="120">
        <f t="shared" si="2"/>
        <v>0</v>
      </c>
      <c r="K52" s="265">
        <f t="shared" si="1"/>
        <v>25000</v>
      </c>
    </row>
    <row r="53" spans="1:13" ht="30" customHeight="1">
      <c r="A53" s="73">
        <v>49</v>
      </c>
      <c r="B53" s="255" t="s">
        <v>80</v>
      </c>
      <c r="C53" s="31" t="s">
        <v>39</v>
      </c>
      <c r="D53" s="217">
        <v>25000</v>
      </c>
      <c r="E53" s="216">
        <v>0</v>
      </c>
      <c r="F53" s="265">
        <f t="shared" si="0"/>
        <v>25000</v>
      </c>
      <c r="G53" s="134">
        <f>0</f>
        <v>0</v>
      </c>
      <c r="H53" s="134">
        <v>0</v>
      </c>
      <c r="I53" s="134">
        <v>0</v>
      </c>
      <c r="J53" s="120">
        <f t="shared" si="2"/>
        <v>0</v>
      </c>
      <c r="K53" s="265">
        <f t="shared" si="1"/>
        <v>25000</v>
      </c>
    </row>
    <row r="54" spans="1:13" ht="30" customHeight="1">
      <c r="A54" s="73">
        <v>50</v>
      </c>
      <c r="B54" s="255" t="s">
        <v>81</v>
      </c>
      <c r="C54" s="31" t="s">
        <v>39</v>
      </c>
      <c r="D54" s="217">
        <v>25000</v>
      </c>
      <c r="E54" s="216">
        <v>0</v>
      </c>
      <c r="F54" s="265">
        <f t="shared" si="0"/>
        <v>25000</v>
      </c>
      <c r="G54" s="134">
        <f>0</f>
        <v>0</v>
      </c>
      <c r="H54" s="134">
        <v>0</v>
      </c>
      <c r="I54" s="134">
        <v>0</v>
      </c>
      <c r="J54" s="120">
        <f t="shared" si="2"/>
        <v>0</v>
      </c>
      <c r="K54" s="265">
        <f t="shared" si="1"/>
        <v>25000</v>
      </c>
    </row>
    <row r="55" spans="1:13" ht="30" customHeight="1">
      <c r="A55" s="73">
        <v>51</v>
      </c>
      <c r="B55" s="255" t="s">
        <v>82</v>
      </c>
      <c r="C55" s="31" t="s">
        <v>39</v>
      </c>
      <c r="D55" s="217">
        <v>25000</v>
      </c>
      <c r="E55" s="216">
        <v>0</v>
      </c>
      <c r="F55" s="265">
        <f t="shared" si="0"/>
        <v>25000</v>
      </c>
      <c r="G55" s="134">
        <f>0</f>
        <v>0</v>
      </c>
      <c r="H55" s="134">
        <v>0</v>
      </c>
      <c r="I55" s="134">
        <v>0</v>
      </c>
      <c r="J55" s="120">
        <f t="shared" si="2"/>
        <v>0</v>
      </c>
      <c r="K55" s="265">
        <f t="shared" si="1"/>
        <v>25000</v>
      </c>
    </row>
    <row r="56" spans="1:13" ht="30" customHeight="1">
      <c r="A56" s="73">
        <v>52</v>
      </c>
      <c r="B56" s="255" t="s">
        <v>83</v>
      </c>
      <c r="C56" s="31" t="s">
        <v>39</v>
      </c>
      <c r="D56" s="217">
        <v>25000</v>
      </c>
      <c r="E56" s="216">
        <v>0</v>
      </c>
      <c r="F56" s="265">
        <f t="shared" si="0"/>
        <v>25000</v>
      </c>
      <c r="G56" s="134">
        <f>0</f>
        <v>0</v>
      </c>
      <c r="H56" s="134">
        <v>0</v>
      </c>
      <c r="I56" s="134">
        <v>0</v>
      </c>
      <c r="J56" s="120">
        <f t="shared" si="2"/>
        <v>0</v>
      </c>
      <c r="K56" s="265">
        <f t="shared" si="1"/>
        <v>25000</v>
      </c>
    </row>
    <row r="57" spans="1:13" ht="43.5" customHeight="1">
      <c r="A57" s="73"/>
      <c r="B57" s="287" t="s">
        <v>84</v>
      </c>
      <c r="C57" s="31"/>
      <c r="D57" s="292">
        <f>SUM(D5:D56)</f>
        <v>7434998.8266666662</v>
      </c>
      <c r="E57" s="292">
        <f t="shared" ref="E57:K57" si="3">SUM(E5:E56)</f>
        <v>2670000</v>
      </c>
      <c r="F57" s="292">
        <f t="shared" si="3"/>
        <v>10104998.826666666</v>
      </c>
      <c r="G57" s="292">
        <f t="shared" si="3"/>
        <v>180000</v>
      </c>
      <c r="H57" s="292">
        <f t="shared" si="3"/>
        <v>111850</v>
      </c>
      <c r="I57" s="292">
        <f t="shared" si="3"/>
        <v>1294262.1811560001</v>
      </c>
      <c r="J57" s="292">
        <f t="shared" si="3"/>
        <v>1586112.1811559999</v>
      </c>
      <c r="K57" s="292">
        <f t="shared" si="3"/>
        <v>8518886.6455106661</v>
      </c>
      <c r="M57" s="116"/>
    </row>
    <row r="58" spans="1:13" ht="20.100000000000001" customHeight="1">
      <c r="A58" s="70"/>
      <c r="G58" s="116"/>
      <c r="H58" s="8"/>
    </row>
    <row r="59" spans="1:13" ht="20.100000000000001" customHeight="1">
      <c r="A59" s="70"/>
      <c r="K59" s="116"/>
    </row>
    <row r="60" spans="1:13" ht="20.100000000000001" customHeight="1">
      <c r="A60" s="70"/>
      <c r="G60" s="168"/>
    </row>
    <row r="61" spans="1:13" ht="20.100000000000001" customHeight="1">
      <c r="A61" s="70"/>
      <c r="C61" s="168"/>
      <c r="D61" s="168"/>
      <c r="E61" s="168"/>
      <c r="F61" s="187"/>
      <c r="G61" s="168"/>
    </row>
    <row r="62" spans="1:13" ht="20.100000000000001" customHeight="1">
      <c r="A62" s="70"/>
      <c r="C62" s="168"/>
      <c r="D62" s="168"/>
      <c r="E62" s="168"/>
      <c r="F62" s="187"/>
    </row>
    <row r="63" spans="1:13" ht="20.100000000000001" customHeight="1">
      <c r="A63" s="70"/>
      <c r="C63" s="168"/>
      <c r="D63" s="168"/>
      <c r="E63" s="168"/>
      <c r="F63" s="187"/>
    </row>
    <row r="64" spans="1:13" ht="20.100000000000001" customHeight="1">
      <c r="A64" s="70"/>
      <c r="C64" s="168"/>
      <c r="D64" s="168"/>
      <c r="E64" s="168"/>
    </row>
    <row r="65" spans="1:1" ht="20.100000000000001" customHeight="1">
      <c r="A65" s="70"/>
    </row>
    <row r="66" spans="1:1" ht="20.100000000000001" customHeight="1">
      <c r="A66" s="70"/>
    </row>
    <row r="67" spans="1:1" ht="20.100000000000001" customHeight="1">
      <c r="A67" s="70"/>
    </row>
    <row r="68" spans="1:1" ht="20.100000000000001" customHeight="1">
      <c r="A68" s="70"/>
    </row>
    <row r="69" spans="1:1" ht="20.100000000000001" customHeight="1">
      <c r="A69" s="70"/>
    </row>
    <row r="70" spans="1:1" ht="20.100000000000001" customHeight="1">
      <c r="A70" s="70"/>
    </row>
    <row r="71" spans="1:1" ht="20.100000000000001" customHeight="1">
      <c r="A71" s="70"/>
    </row>
    <row r="72" spans="1:1" ht="20.100000000000001" customHeight="1">
      <c r="A72" s="70"/>
    </row>
    <row r="73" spans="1:1" ht="20.100000000000001" customHeight="1">
      <c r="A73" s="70"/>
    </row>
    <row r="74" spans="1:1" ht="20.100000000000001" customHeight="1">
      <c r="A74" s="70"/>
    </row>
    <row r="75" spans="1:1" ht="20.100000000000001" customHeight="1">
      <c r="A75" s="70"/>
    </row>
    <row r="76" spans="1:1" ht="20.100000000000001" customHeight="1">
      <c r="A76" s="70"/>
    </row>
    <row r="77" spans="1:1" ht="20.100000000000001" customHeight="1">
      <c r="A77" s="70"/>
    </row>
    <row r="78" spans="1:1" ht="20.100000000000001" customHeight="1">
      <c r="A78" s="70"/>
    </row>
    <row r="79" spans="1:1" ht="20.100000000000001" customHeight="1">
      <c r="A79" s="70"/>
    </row>
    <row r="80" spans="1:1" ht="20.100000000000001" customHeight="1">
      <c r="A80" s="70"/>
    </row>
    <row r="81" spans="1:1" ht="20.100000000000001" customHeight="1">
      <c r="A81" s="70"/>
    </row>
    <row r="82" spans="1:1" ht="20.100000000000001" customHeight="1">
      <c r="A82" s="70"/>
    </row>
    <row r="83" spans="1:1" ht="20.100000000000001" customHeight="1">
      <c r="A83" s="70"/>
    </row>
    <row r="84" spans="1:1" ht="20.100000000000001" customHeight="1">
      <c r="A84" s="70"/>
    </row>
    <row r="85" spans="1:1" ht="20.100000000000001" customHeight="1">
      <c r="A85" s="70"/>
    </row>
    <row r="86" spans="1:1" ht="20.100000000000001" customHeight="1">
      <c r="A86" s="70"/>
    </row>
    <row r="87" spans="1:1" ht="20.100000000000001" customHeight="1">
      <c r="A87" s="70"/>
    </row>
    <row r="88" spans="1:1" ht="20.100000000000001" customHeight="1">
      <c r="A88" s="70"/>
    </row>
    <row r="89" spans="1:1" ht="20.100000000000001" customHeight="1">
      <c r="A89" s="70"/>
    </row>
    <row r="90" spans="1:1" ht="20.100000000000001" customHeight="1">
      <c r="A90" s="70"/>
    </row>
    <row r="91" spans="1:1" ht="20.100000000000001" customHeight="1">
      <c r="A91" s="70"/>
    </row>
    <row r="92" spans="1:1" ht="20.100000000000001" customHeight="1">
      <c r="A92" s="70"/>
    </row>
    <row r="93" spans="1:1" ht="20.100000000000001" customHeight="1">
      <c r="A93" s="70"/>
    </row>
    <row r="94" spans="1:1" ht="20.100000000000001" customHeight="1">
      <c r="A94" s="70"/>
    </row>
    <row r="95" spans="1:1" ht="20.100000000000001" customHeight="1">
      <c r="A95" s="70"/>
    </row>
    <row r="96" spans="1:1" ht="20.100000000000001" customHeight="1">
      <c r="A96" s="70"/>
    </row>
    <row r="97" spans="1:1" ht="20.100000000000001" customHeight="1">
      <c r="A97" s="70"/>
    </row>
    <row r="98" spans="1:1" ht="20.100000000000001" customHeight="1">
      <c r="A98" s="23"/>
    </row>
    <row r="139" spans="13:13" ht="20.100000000000001" customHeight="1">
      <c r="M139" s="1">
        <f>60000</f>
        <v>60000</v>
      </c>
    </row>
  </sheetData>
  <mergeCells count="2">
    <mergeCell ref="A1:K1"/>
    <mergeCell ref="G3:J3"/>
  </mergeCells>
  <pageMargins left="0.51181102362204722" right="0" top="0" bottom="7.874015748031496E-2" header="0.11811023622047245" footer="0"/>
  <pageSetup paperSize="9" scale="6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4"/>
  <sheetViews>
    <sheetView view="pageBreakPreview" zoomScaleNormal="100" zoomScaleSheetLayoutView="100" workbookViewId="0">
      <pane xSplit="4" ySplit="3" topLeftCell="E13" activePane="bottomRight" state="frozen"/>
      <selection pane="bottomRight" activeCell="E44" sqref="E44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37.140625" style="1" customWidth="1"/>
    <col min="3" max="3" width="22.42578125" style="1" customWidth="1"/>
    <col min="4" max="4" width="20.42578125" style="1" customWidth="1"/>
    <col min="5" max="5" width="21.5703125" style="1" customWidth="1"/>
    <col min="6" max="6" width="18.7109375" style="1" customWidth="1"/>
    <col min="7" max="7" width="14.42578125" style="1" customWidth="1"/>
    <col min="8" max="16384" width="9.140625" style="1"/>
  </cols>
  <sheetData>
    <row r="1" spans="1:5" ht="48" customHeight="1">
      <c r="A1" s="330" t="s">
        <v>124</v>
      </c>
      <c r="B1" s="331"/>
      <c r="C1" s="331"/>
      <c r="D1" s="331"/>
    </row>
    <row r="2" spans="1:5" ht="2.25" customHeight="1">
      <c r="A2" s="23"/>
      <c r="B2" s="103"/>
      <c r="C2" s="103"/>
      <c r="D2" s="103"/>
    </row>
    <row r="3" spans="1:5" ht="41.25" customHeight="1">
      <c r="A3" s="28" t="s">
        <v>1</v>
      </c>
      <c r="B3" s="118" t="s">
        <v>2</v>
      </c>
      <c r="C3" s="28" t="s">
        <v>3</v>
      </c>
      <c r="D3" s="224" t="s">
        <v>125</v>
      </c>
    </row>
    <row r="4" spans="1:5" ht="24.95" customHeight="1">
      <c r="A4" s="73">
        <v>1</v>
      </c>
      <c r="B4" s="181" t="s">
        <v>89</v>
      </c>
      <c r="C4" s="31" t="s">
        <v>90</v>
      </c>
      <c r="D4" s="122">
        <v>90000</v>
      </c>
    </row>
    <row r="5" spans="1:5" ht="24.95" customHeight="1">
      <c r="A5" s="73">
        <v>2</v>
      </c>
      <c r="B5" s="57" t="s">
        <v>14</v>
      </c>
      <c r="C5" s="59" t="s">
        <v>15</v>
      </c>
      <c r="D5" s="134">
        <v>90000</v>
      </c>
      <c r="E5" s="187"/>
    </row>
    <row r="6" spans="1:5" ht="24.95" customHeight="1">
      <c r="A6" s="73">
        <v>3</v>
      </c>
      <c r="B6" s="181" t="s">
        <v>16</v>
      </c>
      <c r="C6" s="181" t="s">
        <v>17</v>
      </c>
      <c r="D6" s="124">
        <v>54000</v>
      </c>
    </row>
    <row r="7" spans="1:5" ht="24.95" customHeight="1">
      <c r="A7" s="73">
        <v>4</v>
      </c>
      <c r="B7" s="181" t="s">
        <v>18</v>
      </c>
      <c r="C7" s="181" t="s">
        <v>19</v>
      </c>
      <c r="D7" s="124">
        <v>36000</v>
      </c>
    </row>
    <row r="8" spans="1:5" ht="24.95" customHeight="1">
      <c r="A8" s="73">
        <v>5</v>
      </c>
      <c r="B8" s="181" t="s">
        <v>20</v>
      </c>
      <c r="C8" s="181" t="s">
        <v>21</v>
      </c>
      <c r="D8" s="124">
        <v>36000</v>
      </c>
    </row>
    <row r="9" spans="1:5" ht="24.95" customHeight="1">
      <c r="A9" s="73">
        <v>6</v>
      </c>
      <c r="B9" s="181" t="s">
        <v>22</v>
      </c>
      <c r="C9" s="181" t="s">
        <v>23</v>
      </c>
      <c r="D9" s="124">
        <v>36000</v>
      </c>
    </row>
    <row r="10" spans="1:5" ht="24.95" customHeight="1">
      <c r="A10" s="73">
        <v>7</v>
      </c>
      <c r="B10" s="181" t="s">
        <v>24</v>
      </c>
      <c r="C10" s="181" t="s">
        <v>25</v>
      </c>
      <c r="D10" s="124">
        <v>36000</v>
      </c>
    </row>
    <row r="11" spans="1:5" ht="24.95" customHeight="1">
      <c r="A11" s="73">
        <v>8</v>
      </c>
      <c r="B11" s="181" t="s">
        <v>26</v>
      </c>
      <c r="C11" s="181" t="s">
        <v>25</v>
      </c>
      <c r="D11" s="124">
        <v>36000</v>
      </c>
    </row>
    <row r="12" spans="1:5" ht="24.95" customHeight="1">
      <c r="A12" s="73">
        <v>9</v>
      </c>
      <c r="B12" s="181" t="s">
        <v>27</v>
      </c>
      <c r="C12" s="181" t="s">
        <v>23</v>
      </c>
      <c r="D12" s="124">
        <v>36000</v>
      </c>
    </row>
    <row r="13" spans="1:5" ht="24.95" customHeight="1">
      <c r="A13" s="73">
        <v>10</v>
      </c>
      <c r="B13" s="249" t="s">
        <v>91</v>
      </c>
      <c r="C13" s="181" t="s">
        <v>92</v>
      </c>
      <c r="D13" s="124">
        <v>90000</v>
      </c>
    </row>
    <row r="14" spans="1:5" ht="24.95" customHeight="1">
      <c r="A14" s="73">
        <v>11</v>
      </c>
      <c r="B14" s="181" t="s">
        <v>93</v>
      </c>
      <c r="C14" s="181" t="s">
        <v>92</v>
      </c>
      <c r="D14" s="124">
        <v>90000</v>
      </c>
    </row>
    <row r="15" spans="1:5" ht="24.95" customHeight="1">
      <c r="A15" s="73">
        <v>12</v>
      </c>
      <c r="B15" s="31" t="s">
        <v>94</v>
      </c>
      <c r="C15" s="31" t="s">
        <v>90</v>
      </c>
      <c r="D15" s="124">
        <v>90000</v>
      </c>
    </row>
    <row r="16" spans="1:5" ht="24.95" customHeight="1">
      <c r="A16" s="73">
        <v>13</v>
      </c>
      <c r="B16" s="31" t="s">
        <v>28</v>
      </c>
      <c r="C16" s="31" t="s">
        <v>29</v>
      </c>
      <c r="D16" s="124">
        <v>45000</v>
      </c>
    </row>
    <row r="17" spans="1:7" ht="24.95" customHeight="1">
      <c r="A17" s="73">
        <v>14</v>
      </c>
      <c r="B17" s="31" t="s">
        <v>30</v>
      </c>
      <c r="C17" s="31" t="s">
        <v>19</v>
      </c>
      <c r="D17" s="124">
        <v>54000</v>
      </c>
    </row>
    <row r="18" spans="1:7" ht="24.95" customHeight="1">
      <c r="A18" s="73">
        <v>15</v>
      </c>
      <c r="B18" s="31" t="s">
        <v>31</v>
      </c>
      <c r="C18" s="31" t="s">
        <v>32</v>
      </c>
      <c r="D18" s="124">
        <v>54000</v>
      </c>
    </row>
    <row r="19" spans="1:7" ht="24.95" customHeight="1">
      <c r="A19" s="73">
        <v>16</v>
      </c>
      <c r="B19" s="59" t="s">
        <v>126</v>
      </c>
      <c r="C19" s="31" t="s">
        <v>19</v>
      </c>
      <c r="D19" s="124">
        <v>54000</v>
      </c>
      <c r="E19" s="187"/>
    </row>
    <row r="20" spans="1:7" ht="24.95" customHeight="1">
      <c r="A20" s="73">
        <v>17</v>
      </c>
      <c r="B20" s="227" t="s">
        <v>119</v>
      </c>
      <c r="C20" s="31" t="s">
        <v>37</v>
      </c>
      <c r="D20" s="124">
        <v>54000</v>
      </c>
      <c r="E20" s="8"/>
      <c r="F20" s="8"/>
      <c r="G20" s="8"/>
    </row>
    <row r="21" spans="1:7" ht="35.1" customHeight="1">
      <c r="A21" s="73">
        <v>18</v>
      </c>
      <c r="B21" s="255" t="s">
        <v>127</v>
      </c>
      <c r="C21" s="31" t="s">
        <v>34</v>
      </c>
      <c r="D21" s="217">
        <v>90000</v>
      </c>
    </row>
    <row r="22" spans="1:7" ht="35.1" customHeight="1">
      <c r="A22" s="73">
        <v>19</v>
      </c>
      <c r="B22" s="255" t="s">
        <v>33</v>
      </c>
      <c r="C22" s="277" t="s">
        <v>34</v>
      </c>
      <c r="D22" s="217">
        <v>270000</v>
      </c>
    </row>
    <row r="23" spans="1:7" ht="35.1" customHeight="1">
      <c r="A23" s="73">
        <v>20</v>
      </c>
      <c r="B23" s="255" t="s">
        <v>128</v>
      </c>
      <c r="C23" s="31" t="s">
        <v>39</v>
      </c>
      <c r="D23" s="217">
        <v>18000</v>
      </c>
    </row>
    <row r="24" spans="1:7" ht="35.1" customHeight="1">
      <c r="A24" s="73">
        <v>21</v>
      </c>
      <c r="B24" s="255" t="s">
        <v>129</v>
      </c>
      <c r="C24" s="31" t="s">
        <v>39</v>
      </c>
      <c r="D24" s="217">
        <v>18000</v>
      </c>
    </row>
    <row r="25" spans="1:7" ht="35.1" customHeight="1">
      <c r="A25" s="73">
        <v>22</v>
      </c>
      <c r="B25" s="255" t="s">
        <v>130</v>
      </c>
      <c r="C25" s="31" t="s">
        <v>39</v>
      </c>
      <c r="D25" s="217">
        <v>18000</v>
      </c>
    </row>
    <row r="26" spans="1:7" ht="35.1" customHeight="1">
      <c r="A26" s="73">
        <v>23</v>
      </c>
      <c r="B26" s="255" t="s">
        <v>131</v>
      </c>
      <c r="C26" s="31" t="s">
        <v>39</v>
      </c>
      <c r="D26" s="217">
        <v>18000</v>
      </c>
    </row>
    <row r="27" spans="1:7" ht="35.1" customHeight="1">
      <c r="A27" s="73">
        <v>24</v>
      </c>
      <c r="B27" s="255" t="s">
        <v>132</v>
      </c>
      <c r="C27" s="31" t="s">
        <v>133</v>
      </c>
      <c r="D27" s="217">
        <v>18000</v>
      </c>
    </row>
    <row r="28" spans="1:7" ht="35.1" customHeight="1">
      <c r="A28" s="73">
        <v>25</v>
      </c>
      <c r="B28" s="255" t="s">
        <v>134</v>
      </c>
      <c r="C28" s="31" t="s">
        <v>133</v>
      </c>
      <c r="D28" s="217">
        <v>18000</v>
      </c>
    </row>
    <row r="29" spans="1:7" ht="35.1" customHeight="1">
      <c r="A29" s="73">
        <v>26</v>
      </c>
      <c r="B29" s="255" t="s">
        <v>35</v>
      </c>
      <c r="C29" s="31" t="s">
        <v>34</v>
      </c>
      <c r="D29" s="217">
        <v>90000</v>
      </c>
    </row>
    <row r="30" spans="1:7" ht="43.5" customHeight="1">
      <c r="A30" s="73">
        <v>27</v>
      </c>
      <c r="B30" s="255" t="s">
        <v>36</v>
      </c>
      <c r="C30" s="31" t="s">
        <v>37</v>
      </c>
      <c r="D30" s="217">
        <v>270000</v>
      </c>
    </row>
    <row r="31" spans="1:7" ht="35.1" customHeight="1">
      <c r="A31" s="73">
        <v>28</v>
      </c>
      <c r="B31" s="255" t="s">
        <v>135</v>
      </c>
      <c r="C31" s="31" t="s">
        <v>39</v>
      </c>
      <c r="D31" s="217">
        <v>18000</v>
      </c>
    </row>
    <row r="32" spans="1:7" ht="39" customHeight="1">
      <c r="A32" s="73">
        <v>29</v>
      </c>
      <c r="B32" s="255" t="s">
        <v>136</v>
      </c>
      <c r="C32" s="31" t="s">
        <v>39</v>
      </c>
      <c r="D32" s="217">
        <v>18000</v>
      </c>
    </row>
    <row r="33" spans="1:4" ht="39" customHeight="1">
      <c r="A33" s="73">
        <v>30</v>
      </c>
      <c r="B33" s="255" t="s">
        <v>137</v>
      </c>
      <c r="C33" s="31" t="s">
        <v>39</v>
      </c>
      <c r="D33" s="217">
        <v>18000</v>
      </c>
    </row>
    <row r="34" spans="1:4" ht="39" customHeight="1">
      <c r="A34" s="73">
        <v>31</v>
      </c>
      <c r="B34" s="255" t="s">
        <v>138</v>
      </c>
      <c r="C34" s="31" t="s">
        <v>39</v>
      </c>
      <c r="D34" s="217">
        <v>18000</v>
      </c>
    </row>
    <row r="35" spans="1:4" ht="39" customHeight="1">
      <c r="A35" s="73">
        <v>32</v>
      </c>
      <c r="B35" s="255" t="s">
        <v>43</v>
      </c>
      <c r="C35" s="31" t="s">
        <v>44</v>
      </c>
      <c r="D35" s="217">
        <v>180000</v>
      </c>
    </row>
    <row r="36" spans="1:4" ht="39" customHeight="1">
      <c r="A36" s="73">
        <v>33</v>
      </c>
      <c r="B36" s="255" t="s">
        <v>45</v>
      </c>
      <c r="C36" s="31" t="s">
        <v>34</v>
      </c>
      <c r="D36" s="217">
        <v>90000</v>
      </c>
    </row>
    <row r="37" spans="1:4" ht="39" customHeight="1">
      <c r="A37" s="297">
        <v>34</v>
      </c>
      <c r="B37" s="276" t="s">
        <v>46</v>
      </c>
      <c r="C37" s="31" t="s">
        <v>39</v>
      </c>
      <c r="D37" s="217">
        <v>18000</v>
      </c>
    </row>
    <row r="38" spans="1:4" ht="39" customHeight="1">
      <c r="A38" s="73">
        <v>35</v>
      </c>
      <c r="B38" s="255" t="s">
        <v>48</v>
      </c>
      <c r="C38" s="31" t="s">
        <v>39</v>
      </c>
      <c r="D38" s="217">
        <v>18000</v>
      </c>
    </row>
    <row r="39" spans="1:4" ht="39" customHeight="1">
      <c r="A39" s="73">
        <v>36</v>
      </c>
      <c r="B39" s="255" t="s">
        <v>49</v>
      </c>
      <c r="C39" s="31" t="s">
        <v>50</v>
      </c>
      <c r="D39" s="217">
        <v>54000</v>
      </c>
    </row>
    <row r="40" spans="1:4" ht="39" customHeight="1">
      <c r="A40" s="73">
        <v>37</v>
      </c>
      <c r="B40" s="255" t="s">
        <v>51</v>
      </c>
      <c r="C40" s="31" t="s">
        <v>52</v>
      </c>
      <c r="D40" s="217">
        <v>54000</v>
      </c>
    </row>
    <row r="41" spans="1:4" ht="39" customHeight="1">
      <c r="A41" s="73">
        <v>38</v>
      </c>
      <c r="B41" s="255" t="s">
        <v>53</v>
      </c>
      <c r="C41" s="31" t="s">
        <v>39</v>
      </c>
      <c r="D41" s="217">
        <v>18000</v>
      </c>
    </row>
    <row r="42" spans="1:4" ht="39" customHeight="1">
      <c r="A42" s="73">
        <v>39</v>
      </c>
      <c r="B42" s="255" t="s">
        <v>95</v>
      </c>
      <c r="C42" s="31" t="s">
        <v>92</v>
      </c>
      <c r="D42" s="124">
        <v>90000</v>
      </c>
    </row>
    <row r="43" spans="1:4" ht="39" customHeight="1">
      <c r="A43" s="73">
        <v>40</v>
      </c>
      <c r="B43" s="255" t="s">
        <v>54</v>
      </c>
      <c r="C43" s="31" t="s">
        <v>39</v>
      </c>
      <c r="D43" s="217">
        <v>18000</v>
      </c>
    </row>
    <row r="44" spans="1:4" ht="39" customHeight="1">
      <c r="A44" s="73">
        <v>41</v>
      </c>
      <c r="B44" s="255" t="s">
        <v>55</v>
      </c>
      <c r="C44" s="31" t="s">
        <v>34</v>
      </c>
      <c r="D44" s="217">
        <v>90000</v>
      </c>
    </row>
    <row r="45" spans="1:4" ht="39" customHeight="1">
      <c r="A45" s="73">
        <v>42</v>
      </c>
      <c r="B45" s="255" t="s">
        <v>56</v>
      </c>
      <c r="C45" s="31" t="s">
        <v>37</v>
      </c>
      <c r="D45" s="217">
        <v>54000</v>
      </c>
    </row>
    <row r="46" spans="1:4" ht="39" customHeight="1">
      <c r="A46" s="73">
        <v>43</v>
      </c>
      <c r="B46" s="255" t="s">
        <v>96</v>
      </c>
      <c r="C46" s="31" t="s">
        <v>90</v>
      </c>
      <c r="D46" s="217">
        <v>90000</v>
      </c>
    </row>
    <row r="47" spans="1:4" ht="39" customHeight="1">
      <c r="A47" s="73">
        <v>44</v>
      </c>
      <c r="B47" s="255" t="s">
        <v>97</v>
      </c>
      <c r="C47" s="31" t="s">
        <v>90</v>
      </c>
      <c r="D47" s="217">
        <v>90000</v>
      </c>
    </row>
    <row r="48" spans="1:4" ht="39" customHeight="1">
      <c r="A48" s="73">
        <v>45</v>
      </c>
      <c r="B48" s="255" t="s">
        <v>57</v>
      </c>
      <c r="C48" s="31" t="s">
        <v>37</v>
      </c>
      <c r="D48" s="217">
        <v>90000</v>
      </c>
    </row>
    <row r="49" spans="1:4" ht="39" customHeight="1">
      <c r="A49" s="73">
        <v>46</v>
      </c>
      <c r="B49" s="255" t="s">
        <v>58</v>
      </c>
      <c r="C49" s="31" t="s">
        <v>37</v>
      </c>
      <c r="D49" s="217">
        <v>54000</v>
      </c>
    </row>
    <row r="50" spans="1:4" ht="39" customHeight="1">
      <c r="A50" s="73">
        <v>47</v>
      </c>
      <c r="B50" s="255" t="s">
        <v>59</v>
      </c>
      <c r="C50" s="31" t="s">
        <v>60</v>
      </c>
      <c r="D50" s="217">
        <v>54000</v>
      </c>
    </row>
    <row r="51" spans="1:4" ht="39" customHeight="1">
      <c r="A51" s="73">
        <v>48</v>
      </c>
      <c r="B51" s="255" t="s">
        <v>61</v>
      </c>
      <c r="C51" s="31" t="s">
        <v>37</v>
      </c>
      <c r="D51" s="217">
        <v>54000</v>
      </c>
    </row>
    <row r="52" spans="1:4" ht="39" customHeight="1">
      <c r="A52" s="73">
        <v>49</v>
      </c>
      <c r="B52" s="255" t="s">
        <v>62</v>
      </c>
      <c r="C52" s="31" t="s">
        <v>63</v>
      </c>
      <c r="D52" s="217">
        <v>54000</v>
      </c>
    </row>
    <row r="53" spans="1:4" ht="39" customHeight="1">
      <c r="A53" s="73">
        <v>50</v>
      </c>
      <c r="B53" s="255" t="s">
        <v>64</v>
      </c>
      <c r="C53" s="31" t="s">
        <v>37</v>
      </c>
      <c r="D53" s="217">
        <v>54000</v>
      </c>
    </row>
    <row r="54" spans="1:4" ht="39" customHeight="1">
      <c r="A54" s="73">
        <v>51</v>
      </c>
      <c r="B54" s="255" t="s">
        <v>65</v>
      </c>
      <c r="C54" s="31" t="s">
        <v>37</v>
      </c>
      <c r="D54" s="217">
        <v>54000</v>
      </c>
    </row>
    <row r="55" spans="1:4" ht="39" customHeight="1">
      <c r="A55" s="73">
        <v>52</v>
      </c>
      <c r="B55" s="255" t="s">
        <v>66</v>
      </c>
      <c r="C55" s="31" t="s">
        <v>39</v>
      </c>
      <c r="D55" s="217">
        <v>18000</v>
      </c>
    </row>
    <row r="56" spans="1:4" ht="39" customHeight="1">
      <c r="A56" s="73">
        <v>53</v>
      </c>
      <c r="B56" s="255" t="s">
        <v>67</v>
      </c>
      <c r="C56" s="31" t="s">
        <v>37</v>
      </c>
      <c r="D56" s="217">
        <v>54000</v>
      </c>
    </row>
    <row r="57" spans="1:4" ht="39" customHeight="1">
      <c r="A57" s="73">
        <v>54</v>
      </c>
      <c r="B57" s="255" t="s">
        <v>68</v>
      </c>
      <c r="C57" s="31" t="s">
        <v>63</v>
      </c>
      <c r="D57" s="217">
        <v>54000</v>
      </c>
    </row>
    <row r="58" spans="1:4" ht="39" customHeight="1">
      <c r="A58" s="73">
        <v>55</v>
      </c>
      <c r="B58" s="255" t="s">
        <v>69</v>
      </c>
      <c r="C58" s="31" t="s">
        <v>37</v>
      </c>
      <c r="D58" s="217">
        <v>54000</v>
      </c>
    </row>
    <row r="59" spans="1:4" ht="39" customHeight="1">
      <c r="A59" s="73">
        <v>56</v>
      </c>
      <c r="B59" s="255" t="s">
        <v>70</v>
      </c>
      <c r="C59" s="31" t="s">
        <v>37</v>
      </c>
      <c r="D59" s="217">
        <v>54000</v>
      </c>
    </row>
    <row r="60" spans="1:4" ht="39" customHeight="1">
      <c r="A60" s="73">
        <v>57</v>
      </c>
      <c r="B60" s="255" t="s">
        <v>71</v>
      </c>
      <c r="C60" s="31" t="s">
        <v>39</v>
      </c>
      <c r="D60" s="217">
        <v>18000</v>
      </c>
    </row>
    <row r="61" spans="1:4" ht="39" customHeight="1">
      <c r="A61" s="73">
        <v>58</v>
      </c>
      <c r="B61" s="255" t="s">
        <v>72</v>
      </c>
      <c r="C61" s="31" t="s">
        <v>37</v>
      </c>
      <c r="D61" s="217">
        <v>54000</v>
      </c>
    </row>
    <row r="62" spans="1:4" ht="39" customHeight="1">
      <c r="A62" s="73">
        <v>59</v>
      </c>
      <c r="B62" s="255" t="s">
        <v>73</v>
      </c>
      <c r="C62" s="31" t="s">
        <v>63</v>
      </c>
      <c r="D62" s="217">
        <v>54000</v>
      </c>
    </row>
    <row r="63" spans="1:4" ht="39" customHeight="1">
      <c r="A63" s="73">
        <v>60</v>
      </c>
      <c r="B63" s="255" t="s">
        <v>74</v>
      </c>
      <c r="C63" s="31" t="s">
        <v>34</v>
      </c>
      <c r="D63" s="217">
        <v>90000</v>
      </c>
    </row>
    <row r="64" spans="1:4" ht="39" customHeight="1">
      <c r="A64" s="73">
        <v>61</v>
      </c>
      <c r="B64" s="255" t="s">
        <v>75</v>
      </c>
      <c r="C64" s="31" t="s">
        <v>76</v>
      </c>
      <c r="D64" s="217">
        <v>126000</v>
      </c>
    </row>
    <row r="65" spans="1:6" ht="39" customHeight="1">
      <c r="A65" s="73">
        <v>62</v>
      </c>
      <c r="B65" s="255" t="s">
        <v>77</v>
      </c>
      <c r="C65" s="31" t="s">
        <v>39</v>
      </c>
      <c r="D65" s="217">
        <v>18000</v>
      </c>
    </row>
    <row r="66" spans="1:6" ht="39" customHeight="1">
      <c r="A66" s="73">
        <v>63</v>
      </c>
      <c r="B66" s="255" t="s">
        <v>78</v>
      </c>
      <c r="C66" s="31" t="s">
        <v>39</v>
      </c>
      <c r="D66" s="217">
        <v>18000</v>
      </c>
    </row>
    <row r="67" spans="1:6" ht="39" customHeight="1">
      <c r="A67" s="73">
        <v>64</v>
      </c>
      <c r="B67" s="255" t="s">
        <v>79</v>
      </c>
      <c r="C67" s="31" t="s">
        <v>39</v>
      </c>
      <c r="D67" s="217">
        <v>18000</v>
      </c>
    </row>
    <row r="68" spans="1:6" ht="39" customHeight="1">
      <c r="A68" s="73">
        <v>65</v>
      </c>
      <c r="B68" s="255" t="s">
        <v>80</v>
      </c>
      <c r="C68" s="31" t="s">
        <v>39</v>
      </c>
      <c r="D68" s="217">
        <v>18000</v>
      </c>
    </row>
    <row r="69" spans="1:6" ht="39" customHeight="1">
      <c r="A69" s="73">
        <v>66</v>
      </c>
      <c r="B69" s="255" t="s">
        <v>81</v>
      </c>
      <c r="C69" s="31" t="s">
        <v>39</v>
      </c>
      <c r="D69" s="217">
        <v>18000</v>
      </c>
    </row>
    <row r="70" spans="1:6" ht="39" customHeight="1">
      <c r="A70" s="73">
        <v>67</v>
      </c>
      <c r="B70" s="255" t="s">
        <v>82</v>
      </c>
      <c r="C70" s="31" t="s">
        <v>39</v>
      </c>
      <c r="D70" s="217">
        <v>18000</v>
      </c>
    </row>
    <row r="71" spans="1:6" ht="39" customHeight="1">
      <c r="A71" s="73">
        <v>68</v>
      </c>
      <c r="B71" s="255" t="s">
        <v>83</v>
      </c>
      <c r="C71" s="31" t="s">
        <v>39</v>
      </c>
      <c r="D71" s="217">
        <v>18000</v>
      </c>
    </row>
    <row r="72" spans="1:6" ht="43.5" customHeight="1">
      <c r="A72" s="73"/>
      <c r="B72" s="278" t="s">
        <v>84</v>
      </c>
      <c r="C72" s="31"/>
      <c r="D72" s="266">
        <f>SUM(D4:D71)</f>
        <v>3861000</v>
      </c>
      <c r="F72" s="116"/>
    </row>
    <row r="73" spans="1:6" ht="20.100000000000001" customHeight="1">
      <c r="A73" s="70"/>
    </row>
    <row r="74" spans="1:6" ht="20.100000000000001" customHeight="1">
      <c r="A74" s="70"/>
    </row>
    <row r="75" spans="1:6" ht="20.100000000000001" customHeight="1">
      <c r="A75" s="70"/>
    </row>
    <row r="76" spans="1:6" ht="20.100000000000001" customHeight="1">
      <c r="A76" s="70"/>
      <c r="C76" s="168"/>
      <c r="D76" s="168"/>
    </row>
    <row r="77" spans="1:6" ht="20.100000000000001" customHeight="1">
      <c r="A77" s="70"/>
      <c r="C77" s="168"/>
      <c r="D77" s="168"/>
    </row>
    <row r="78" spans="1:6" ht="20.100000000000001" customHeight="1">
      <c r="A78" s="70"/>
      <c r="C78" s="168"/>
      <c r="D78" s="168"/>
    </row>
    <row r="79" spans="1:6" ht="20.100000000000001" customHeight="1">
      <c r="A79" s="70"/>
      <c r="C79" s="168"/>
      <c r="D79" s="168"/>
    </row>
    <row r="80" spans="1:6" ht="20.100000000000001" customHeight="1">
      <c r="A80" s="70"/>
    </row>
    <row r="81" spans="1:1" ht="20.100000000000001" customHeight="1">
      <c r="A81" s="70"/>
    </row>
    <row r="82" spans="1:1" ht="20.100000000000001" customHeight="1">
      <c r="A82" s="70"/>
    </row>
    <row r="83" spans="1:1" ht="20.100000000000001" customHeight="1">
      <c r="A83" s="70"/>
    </row>
    <row r="84" spans="1:1" ht="20.100000000000001" customHeight="1">
      <c r="A84" s="70"/>
    </row>
    <row r="85" spans="1:1" ht="20.100000000000001" customHeight="1">
      <c r="A85" s="70"/>
    </row>
    <row r="86" spans="1:1" ht="20.100000000000001" customHeight="1">
      <c r="A86" s="70"/>
    </row>
    <row r="87" spans="1:1" ht="20.100000000000001" customHeight="1">
      <c r="A87" s="70"/>
    </row>
    <row r="88" spans="1:1" ht="20.100000000000001" customHeight="1">
      <c r="A88" s="70"/>
    </row>
    <row r="89" spans="1:1" ht="20.100000000000001" customHeight="1">
      <c r="A89" s="70"/>
    </row>
    <row r="90" spans="1:1" ht="20.100000000000001" customHeight="1">
      <c r="A90" s="70"/>
    </row>
    <row r="91" spans="1:1" ht="20.100000000000001" customHeight="1">
      <c r="A91" s="70"/>
    </row>
    <row r="92" spans="1:1" ht="20.100000000000001" customHeight="1">
      <c r="A92" s="70"/>
    </row>
    <row r="93" spans="1:1" ht="20.100000000000001" customHeight="1">
      <c r="A93" s="70"/>
    </row>
    <row r="94" spans="1:1" ht="20.100000000000001" customHeight="1">
      <c r="A94" s="70"/>
    </row>
    <row r="95" spans="1:1" ht="20.100000000000001" customHeight="1">
      <c r="A95" s="70"/>
    </row>
    <row r="96" spans="1:1" ht="20.100000000000001" customHeight="1">
      <c r="A96" s="70"/>
    </row>
    <row r="97" spans="1:1" ht="20.100000000000001" customHeight="1">
      <c r="A97" s="70"/>
    </row>
    <row r="98" spans="1:1" ht="20.100000000000001" customHeight="1">
      <c r="A98" s="70"/>
    </row>
    <row r="99" spans="1:1" ht="20.100000000000001" customHeight="1">
      <c r="A99" s="70"/>
    </row>
    <row r="100" spans="1:1" ht="20.100000000000001" customHeight="1">
      <c r="A100" s="70"/>
    </row>
    <row r="101" spans="1:1" ht="20.100000000000001" customHeight="1">
      <c r="A101" s="70"/>
    </row>
    <row r="102" spans="1:1" ht="20.100000000000001" customHeight="1">
      <c r="A102" s="70"/>
    </row>
    <row r="103" spans="1:1" ht="20.100000000000001" customHeight="1">
      <c r="A103" s="70"/>
    </row>
    <row r="104" spans="1:1" ht="20.100000000000001" customHeight="1">
      <c r="A104" s="70"/>
    </row>
    <row r="105" spans="1:1" ht="20.100000000000001" customHeight="1">
      <c r="A105" s="70"/>
    </row>
    <row r="106" spans="1:1" ht="20.100000000000001" customHeight="1">
      <c r="A106" s="70"/>
    </row>
    <row r="107" spans="1:1" ht="20.100000000000001" customHeight="1">
      <c r="A107" s="70"/>
    </row>
    <row r="108" spans="1:1" ht="20.100000000000001" customHeight="1">
      <c r="A108" s="70"/>
    </row>
    <row r="109" spans="1:1" ht="20.100000000000001" customHeight="1">
      <c r="A109" s="70"/>
    </row>
    <row r="110" spans="1:1" ht="20.100000000000001" customHeight="1">
      <c r="A110" s="70"/>
    </row>
    <row r="111" spans="1:1" ht="20.100000000000001" customHeight="1">
      <c r="A111" s="70"/>
    </row>
    <row r="112" spans="1:1" ht="20.100000000000001" customHeight="1">
      <c r="A112" s="70"/>
    </row>
    <row r="113" spans="1:1" ht="20.100000000000001" customHeight="1">
      <c r="A113" s="23"/>
    </row>
    <row r="154" spans="6:6" ht="20.100000000000001" customHeight="1">
      <c r="F154" s="1">
        <f>60000</f>
        <v>60000</v>
      </c>
    </row>
  </sheetData>
  <mergeCells count="1">
    <mergeCell ref="A1:D1"/>
  </mergeCells>
  <pageMargins left="0.51181102362204722" right="0" top="0" bottom="7.874015748031496E-2" header="0.11811023622047245" footer="0"/>
  <pageSetup paperSize="9" scale="89" orientation="portrait" r:id="rId1"/>
  <headerFooter alignWithMargins="0"/>
  <rowBreaks count="2" manualBreakCount="2">
    <brk id="29" max="3" man="1"/>
    <brk id="49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1"/>
  <sheetViews>
    <sheetView view="pageBreakPreview" zoomScaleNormal="100" zoomScaleSheetLayoutView="100" workbookViewId="0">
      <pane xSplit="4" ySplit="3" topLeftCell="E17" activePane="bottomRight" state="frozen"/>
      <selection pane="bottomRight" activeCell="E19" sqref="E19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37.140625" style="1" customWidth="1"/>
    <col min="3" max="3" width="22.42578125" style="1" customWidth="1"/>
    <col min="4" max="4" width="24" style="1" customWidth="1"/>
    <col min="5" max="5" width="18.7109375" style="1" customWidth="1"/>
    <col min="6" max="6" width="14.42578125" style="1" customWidth="1"/>
    <col min="7" max="16384" width="9.140625" style="1"/>
  </cols>
  <sheetData>
    <row r="1" spans="1:4" ht="33.75" customHeight="1">
      <c r="A1" s="332" t="s">
        <v>139</v>
      </c>
      <c r="B1" s="333"/>
      <c r="C1" s="333"/>
      <c r="D1" s="333"/>
    </row>
    <row r="2" spans="1:4" ht="2.25" customHeight="1">
      <c r="A2" s="23"/>
      <c r="B2" s="103"/>
      <c r="C2" s="103"/>
      <c r="D2" s="103"/>
    </row>
    <row r="3" spans="1:4" ht="57.75" customHeight="1">
      <c r="A3" s="28" t="s">
        <v>1</v>
      </c>
      <c r="B3" s="118" t="s">
        <v>2</v>
      </c>
      <c r="C3" s="28" t="s">
        <v>3</v>
      </c>
      <c r="D3" s="224" t="s">
        <v>125</v>
      </c>
    </row>
    <row r="4" spans="1:4" ht="45" customHeight="1">
      <c r="A4" s="73">
        <v>1</v>
      </c>
      <c r="B4" s="227" t="s">
        <v>99</v>
      </c>
      <c r="C4" s="31" t="s">
        <v>92</v>
      </c>
      <c r="D4" s="217">
        <v>54000</v>
      </c>
    </row>
    <row r="5" spans="1:4" ht="45" customHeight="1">
      <c r="A5" s="73">
        <v>2</v>
      </c>
      <c r="B5" s="227" t="s">
        <v>100</v>
      </c>
      <c r="C5" s="31" t="s">
        <v>92</v>
      </c>
      <c r="D5" s="217">
        <v>54000</v>
      </c>
    </row>
    <row r="6" spans="1:4" ht="45" customHeight="1">
      <c r="A6" s="73">
        <v>3</v>
      </c>
      <c r="B6" s="227" t="s">
        <v>101</v>
      </c>
      <c r="C6" s="31" t="s">
        <v>92</v>
      </c>
      <c r="D6" s="217">
        <v>54000</v>
      </c>
    </row>
    <row r="7" spans="1:4" ht="45" customHeight="1">
      <c r="A7" s="73">
        <v>4</v>
      </c>
      <c r="B7" s="255" t="s">
        <v>102</v>
      </c>
      <c r="C7" s="31" t="s">
        <v>92</v>
      </c>
      <c r="D7" s="217">
        <v>54000</v>
      </c>
    </row>
    <row r="8" spans="1:4" ht="45" customHeight="1">
      <c r="A8" s="73">
        <v>5</v>
      </c>
      <c r="B8" s="255" t="s">
        <v>103</v>
      </c>
      <c r="C8" s="31" t="s">
        <v>104</v>
      </c>
      <c r="D8" s="217">
        <v>54000</v>
      </c>
    </row>
    <row r="9" spans="1:4" ht="45" customHeight="1">
      <c r="A9" s="73">
        <v>6</v>
      </c>
      <c r="B9" s="255" t="s">
        <v>105</v>
      </c>
      <c r="C9" s="31" t="s">
        <v>92</v>
      </c>
      <c r="D9" s="217">
        <v>54000</v>
      </c>
    </row>
    <row r="10" spans="1:4" ht="45" customHeight="1">
      <c r="A10" s="73">
        <v>7</v>
      </c>
      <c r="B10" s="255" t="s">
        <v>107</v>
      </c>
      <c r="C10" s="31" t="s">
        <v>92</v>
      </c>
      <c r="D10" s="217">
        <v>54000</v>
      </c>
    </row>
    <row r="11" spans="1:4" ht="45" customHeight="1">
      <c r="A11" s="73">
        <v>8</v>
      </c>
      <c r="B11" s="255" t="s">
        <v>108</v>
      </c>
      <c r="C11" s="31" t="s">
        <v>92</v>
      </c>
      <c r="D11" s="217">
        <v>54000</v>
      </c>
    </row>
    <row r="12" spans="1:4" ht="45" customHeight="1">
      <c r="A12" s="73">
        <v>9</v>
      </c>
      <c r="B12" s="255" t="s">
        <v>109</v>
      </c>
      <c r="C12" s="31" t="s">
        <v>92</v>
      </c>
      <c r="D12" s="217">
        <v>90000</v>
      </c>
    </row>
    <row r="13" spans="1:4" ht="45" customHeight="1">
      <c r="A13" s="73">
        <v>10</v>
      </c>
      <c r="B13" s="255" t="s">
        <v>110</v>
      </c>
      <c r="C13" s="31" t="s">
        <v>92</v>
      </c>
      <c r="D13" s="217">
        <v>54000</v>
      </c>
    </row>
    <row r="14" spans="1:4" ht="45" customHeight="1">
      <c r="A14" s="73">
        <v>11</v>
      </c>
      <c r="B14" s="227" t="s">
        <v>111</v>
      </c>
      <c r="C14" s="31" t="s">
        <v>92</v>
      </c>
      <c r="D14" s="217">
        <v>54000</v>
      </c>
    </row>
    <row r="15" spans="1:4" ht="45" customHeight="1">
      <c r="A15" s="73">
        <v>12</v>
      </c>
      <c r="B15" s="255" t="s">
        <v>112</v>
      </c>
      <c r="C15" s="31" t="s">
        <v>92</v>
      </c>
      <c r="D15" s="217">
        <v>54000</v>
      </c>
    </row>
    <row r="16" spans="1:4" ht="45" customHeight="1">
      <c r="A16" s="73">
        <v>13</v>
      </c>
      <c r="B16" s="255" t="s">
        <v>114</v>
      </c>
      <c r="C16" s="31" t="s">
        <v>92</v>
      </c>
      <c r="D16" s="217">
        <v>54000</v>
      </c>
    </row>
    <row r="17" spans="1:5" ht="45" customHeight="1">
      <c r="A17" s="73">
        <v>14</v>
      </c>
      <c r="B17" s="255" t="s">
        <v>140</v>
      </c>
      <c r="C17" s="31" t="s">
        <v>141</v>
      </c>
      <c r="D17" s="217">
        <v>54000</v>
      </c>
    </row>
    <row r="18" spans="1:5" ht="45" customHeight="1">
      <c r="A18" s="73">
        <v>15</v>
      </c>
      <c r="B18" s="255" t="s">
        <v>122</v>
      </c>
      <c r="C18" s="31" t="s">
        <v>141</v>
      </c>
      <c r="D18" s="217">
        <v>54000</v>
      </c>
    </row>
    <row r="19" spans="1:5" ht="45" customHeight="1">
      <c r="A19" s="73"/>
      <c r="B19" s="278" t="s">
        <v>84</v>
      </c>
      <c r="C19" s="31"/>
      <c r="D19" s="266">
        <f>SUM(D4:D18)</f>
        <v>846000</v>
      </c>
      <c r="E19" s="116"/>
    </row>
    <row r="20" spans="1:5" ht="20.100000000000001" customHeight="1">
      <c r="A20" s="70"/>
    </row>
    <row r="21" spans="1:5" ht="20.100000000000001" customHeight="1">
      <c r="A21" s="70"/>
    </row>
    <row r="22" spans="1:5" ht="20.100000000000001" customHeight="1">
      <c r="A22" s="70"/>
      <c r="D22" s="187"/>
    </row>
    <row r="23" spans="1:5" ht="20.100000000000001" customHeight="1">
      <c r="A23" s="70"/>
      <c r="C23" s="168"/>
      <c r="D23" s="168"/>
    </row>
    <row r="24" spans="1:5" ht="20.100000000000001" customHeight="1">
      <c r="A24" s="70"/>
      <c r="C24" s="168"/>
      <c r="D24" s="168"/>
    </row>
    <row r="25" spans="1:5" ht="20.100000000000001" customHeight="1">
      <c r="A25" s="70"/>
      <c r="C25" s="168"/>
      <c r="D25" s="168"/>
    </row>
    <row r="26" spans="1:5" ht="20.100000000000001" customHeight="1">
      <c r="A26" s="70"/>
      <c r="C26" s="168"/>
      <c r="D26" s="168"/>
    </row>
    <row r="27" spans="1:5" ht="20.100000000000001" customHeight="1">
      <c r="A27" s="70"/>
    </row>
    <row r="28" spans="1:5" ht="20.100000000000001" customHeight="1">
      <c r="A28" s="70"/>
    </row>
    <row r="29" spans="1:5" ht="20.100000000000001" customHeight="1">
      <c r="A29" s="70"/>
    </row>
    <row r="30" spans="1:5" ht="20.100000000000001" customHeight="1">
      <c r="A30" s="70"/>
    </row>
    <row r="31" spans="1:5" ht="20.100000000000001" customHeight="1">
      <c r="A31" s="70"/>
    </row>
    <row r="32" spans="1:5" ht="20.100000000000001" customHeight="1">
      <c r="A32" s="70"/>
    </row>
    <row r="33" spans="1:1" ht="20.100000000000001" customHeight="1">
      <c r="A33" s="70"/>
    </row>
    <row r="34" spans="1:1" ht="20.100000000000001" customHeight="1">
      <c r="A34" s="70"/>
    </row>
    <row r="35" spans="1:1" ht="20.100000000000001" customHeight="1">
      <c r="A35" s="70"/>
    </row>
    <row r="36" spans="1:1" ht="20.100000000000001" customHeight="1">
      <c r="A36" s="70"/>
    </row>
    <row r="37" spans="1:1" ht="20.100000000000001" customHeight="1">
      <c r="A37" s="70"/>
    </row>
    <row r="38" spans="1:1" ht="20.100000000000001" customHeight="1">
      <c r="A38" s="70"/>
    </row>
    <row r="39" spans="1:1" ht="20.100000000000001" customHeight="1">
      <c r="A39" s="70"/>
    </row>
    <row r="40" spans="1:1" ht="20.100000000000001" customHeight="1">
      <c r="A40" s="70"/>
    </row>
    <row r="41" spans="1:1" ht="20.100000000000001" customHeight="1">
      <c r="A41" s="70"/>
    </row>
    <row r="42" spans="1:1" ht="20.100000000000001" customHeight="1">
      <c r="A42" s="70"/>
    </row>
    <row r="43" spans="1:1" ht="20.100000000000001" customHeight="1">
      <c r="A43" s="70"/>
    </row>
    <row r="44" spans="1:1" ht="20.100000000000001" customHeight="1">
      <c r="A44" s="70"/>
    </row>
    <row r="45" spans="1:1" ht="20.100000000000001" customHeight="1">
      <c r="A45" s="70"/>
    </row>
    <row r="46" spans="1:1" ht="20.100000000000001" customHeight="1">
      <c r="A46" s="70"/>
    </row>
    <row r="47" spans="1:1" ht="20.100000000000001" customHeight="1">
      <c r="A47" s="70"/>
    </row>
    <row r="48" spans="1:1" ht="20.100000000000001" customHeight="1">
      <c r="A48" s="70"/>
    </row>
    <row r="49" spans="1:1" ht="20.100000000000001" customHeight="1">
      <c r="A49" s="70"/>
    </row>
    <row r="50" spans="1:1" ht="20.100000000000001" customHeight="1">
      <c r="A50" s="70"/>
    </row>
    <row r="51" spans="1:1" ht="20.100000000000001" customHeight="1">
      <c r="A51" s="70"/>
    </row>
    <row r="52" spans="1:1" ht="20.100000000000001" customHeight="1">
      <c r="A52" s="70"/>
    </row>
    <row r="53" spans="1:1" ht="20.100000000000001" customHeight="1">
      <c r="A53" s="70"/>
    </row>
    <row r="54" spans="1:1" ht="20.100000000000001" customHeight="1">
      <c r="A54" s="70"/>
    </row>
    <row r="55" spans="1:1" ht="20.100000000000001" customHeight="1">
      <c r="A55" s="70"/>
    </row>
    <row r="56" spans="1:1" ht="20.100000000000001" customHeight="1">
      <c r="A56" s="70"/>
    </row>
    <row r="57" spans="1:1" ht="20.100000000000001" customHeight="1">
      <c r="A57" s="70"/>
    </row>
    <row r="58" spans="1:1" ht="20.100000000000001" customHeight="1">
      <c r="A58" s="70"/>
    </row>
    <row r="59" spans="1:1" ht="20.100000000000001" customHeight="1">
      <c r="A59" s="70"/>
    </row>
    <row r="60" spans="1:1" ht="20.100000000000001" customHeight="1">
      <c r="A60" s="23"/>
    </row>
    <row r="101" spans="5:5" ht="20.100000000000001" customHeight="1">
      <c r="E101" s="1">
        <f>60000</f>
        <v>60000</v>
      </c>
    </row>
  </sheetData>
  <mergeCells count="1">
    <mergeCell ref="A1:D1"/>
  </mergeCells>
  <pageMargins left="0.51181102362204722" right="0" top="0" bottom="7.874015748031496E-2" header="0.11811023622047245" footer="0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3"/>
  <sheetViews>
    <sheetView view="pageBreakPreview" zoomScaleNormal="100" zoomScaleSheetLayoutView="100" workbookViewId="0">
      <pane xSplit="3" ySplit="3" topLeftCell="D21" activePane="bottomRight" state="frozen"/>
      <selection pane="bottomRight" activeCell="F25" sqref="F25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37.140625" style="1" customWidth="1"/>
    <col min="3" max="3" width="22.42578125" style="1" customWidth="1"/>
    <col min="4" max="4" width="21.85546875" style="1" customWidth="1"/>
    <col min="5" max="5" width="21.7109375" style="1" customWidth="1"/>
    <col min="6" max="6" width="21.5703125" style="1" customWidth="1"/>
    <col min="7" max="7" width="18.7109375" style="1" customWidth="1"/>
    <col min="8" max="8" width="14.42578125" style="1" customWidth="1"/>
    <col min="9" max="16384" width="9.140625" style="1"/>
  </cols>
  <sheetData>
    <row r="1" spans="1:6" ht="51" customHeight="1">
      <c r="A1" s="322" t="s">
        <v>142</v>
      </c>
      <c r="B1" s="323"/>
      <c r="C1" s="323"/>
      <c r="D1" s="323"/>
      <c r="E1" s="324"/>
    </row>
    <row r="2" spans="1:6" ht="2.25" customHeight="1">
      <c r="A2" s="23"/>
      <c r="B2" s="103"/>
      <c r="C2" s="103"/>
      <c r="D2" s="23"/>
      <c r="E2" s="23"/>
    </row>
    <row r="3" spans="1:6" ht="51.75" customHeight="1">
      <c r="A3" s="28" t="s">
        <v>1</v>
      </c>
      <c r="B3" s="118" t="s">
        <v>2</v>
      </c>
      <c r="C3" s="28" t="s">
        <v>3</v>
      </c>
      <c r="D3" s="28" t="s">
        <v>143</v>
      </c>
      <c r="E3" s="223" t="s">
        <v>144</v>
      </c>
    </row>
    <row r="4" spans="1:6" ht="26.25" customHeight="1">
      <c r="A4" s="33"/>
      <c r="B4" s="34"/>
      <c r="C4" s="27"/>
      <c r="D4" s="28"/>
      <c r="E4" s="288" t="s">
        <v>145</v>
      </c>
    </row>
    <row r="5" spans="1:6" ht="24.95" customHeight="1">
      <c r="A5" s="73">
        <v>1</v>
      </c>
      <c r="B5" s="181" t="s">
        <v>89</v>
      </c>
      <c r="C5" s="31" t="s">
        <v>90</v>
      </c>
      <c r="D5" s="265">
        <v>300000</v>
      </c>
      <c r="E5" s="265">
        <f>D5/2</f>
        <v>150000</v>
      </c>
    </row>
    <row r="6" spans="1:6" ht="24.95" customHeight="1">
      <c r="A6" s="73">
        <v>2</v>
      </c>
      <c r="B6" s="57" t="s">
        <v>14</v>
      </c>
      <c r="C6" s="59" t="s">
        <v>15</v>
      </c>
      <c r="D6" s="265">
        <v>196027.8</v>
      </c>
      <c r="E6" s="265">
        <f t="shared" ref="E6:E57" si="0">D6/2</f>
        <v>98013.9</v>
      </c>
      <c r="F6" s="187"/>
    </row>
    <row r="7" spans="1:6" ht="24.95" customHeight="1">
      <c r="A7" s="73">
        <v>3</v>
      </c>
      <c r="B7" s="181" t="s">
        <v>16</v>
      </c>
      <c r="C7" s="181" t="s">
        <v>17</v>
      </c>
      <c r="D7" s="265">
        <v>120000</v>
      </c>
      <c r="E7" s="265">
        <f t="shared" si="0"/>
        <v>60000</v>
      </c>
    </row>
    <row r="8" spans="1:6" ht="24.95" customHeight="1">
      <c r="A8" s="73">
        <v>4</v>
      </c>
      <c r="B8" s="181" t="s">
        <v>18</v>
      </c>
      <c r="C8" s="181" t="s">
        <v>19</v>
      </c>
      <c r="D8" s="265">
        <v>60000</v>
      </c>
      <c r="E8" s="265">
        <f t="shared" si="0"/>
        <v>30000</v>
      </c>
    </row>
    <row r="9" spans="1:6" ht="24.95" customHeight="1">
      <c r="A9" s="73">
        <v>5</v>
      </c>
      <c r="B9" s="181" t="s">
        <v>20</v>
      </c>
      <c r="C9" s="181" t="s">
        <v>21</v>
      </c>
      <c r="D9" s="265">
        <v>60000</v>
      </c>
      <c r="E9" s="265">
        <f t="shared" si="0"/>
        <v>30000</v>
      </c>
    </row>
    <row r="10" spans="1:6" ht="24.95" customHeight="1">
      <c r="A10" s="73">
        <v>6</v>
      </c>
      <c r="B10" s="181" t="s">
        <v>22</v>
      </c>
      <c r="C10" s="181" t="s">
        <v>23</v>
      </c>
      <c r="D10" s="265">
        <v>60000</v>
      </c>
      <c r="E10" s="265">
        <f t="shared" si="0"/>
        <v>30000</v>
      </c>
    </row>
    <row r="11" spans="1:6" ht="24.95" customHeight="1">
      <c r="A11" s="73">
        <v>7</v>
      </c>
      <c r="B11" s="181" t="s">
        <v>24</v>
      </c>
      <c r="C11" s="181" t="s">
        <v>25</v>
      </c>
      <c r="D11" s="265">
        <v>65000</v>
      </c>
      <c r="E11" s="265">
        <f t="shared" si="0"/>
        <v>32500</v>
      </c>
    </row>
    <row r="12" spans="1:6" ht="24.95" customHeight="1">
      <c r="A12" s="73">
        <v>8</v>
      </c>
      <c r="B12" s="181" t="s">
        <v>26</v>
      </c>
      <c r="C12" s="181" t="s">
        <v>25</v>
      </c>
      <c r="D12" s="265">
        <v>65000</v>
      </c>
      <c r="E12" s="265">
        <f t="shared" si="0"/>
        <v>32500</v>
      </c>
    </row>
    <row r="13" spans="1:6" ht="24.95" customHeight="1">
      <c r="A13" s="73">
        <v>9</v>
      </c>
      <c r="B13" s="181" t="s">
        <v>27</v>
      </c>
      <c r="C13" s="181" t="s">
        <v>23</v>
      </c>
      <c r="D13" s="265">
        <v>80000</v>
      </c>
      <c r="E13" s="265">
        <f t="shared" si="0"/>
        <v>40000</v>
      </c>
    </row>
    <row r="14" spans="1:6" ht="24.95" customHeight="1">
      <c r="A14" s="73">
        <v>10</v>
      </c>
      <c r="B14" s="249" t="s">
        <v>91</v>
      </c>
      <c r="C14" s="181" t="s">
        <v>92</v>
      </c>
      <c r="D14" s="265">
        <v>300000</v>
      </c>
      <c r="E14" s="265">
        <f t="shared" si="0"/>
        <v>150000</v>
      </c>
    </row>
    <row r="15" spans="1:6" ht="24.95" customHeight="1">
      <c r="A15" s="73">
        <v>11</v>
      </c>
      <c r="B15" s="181" t="s">
        <v>93</v>
      </c>
      <c r="C15" s="181" t="s">
        <v>92</v>
      </c>
      <c r="D15" s="265">
        <v>500000</v>
      </c>
      <c r="E15" s="265">
        <f t="shared" si="0"/>
        <v>250000</v>
      </c>
    </row>
    <row r="16" spans="1:6" ht="24.95" customHeight="1">
      <c r="A16" s="73">
        <v>12</v>
      </c>
      <c r="B16" s="31" t="s">
        <v>94</v>
      </c>
      <c r="C16" s="31" t="s">
        <v>90</v>
      </c>
      <c r="D16" s="265">
        <v>300000</v>
      </c>
      <c r="E16" s="265">
        <f t="shared" si="0"/>
        <v>150000</v>
      </c>
    </row>
    <row r="17" spans="1:8" ht="24.95" customHeight="1">
      <c r="A17" s="73">
        <v>13</v>
      </c>
      <c r="B17" s="31" t="s">
        <v>28</v>
      </c>
      <c r="C17" s="31" t="s">
        <v>29</v>
      </c>
      <c r="D17" s="265">
        <v>90000</v>
      </c>
      <c r="E17" s="265">
        <f t="shared" si="0"/>
        <v>45000</v>
      </c>
    </row>
    <row r="18" spans="1:8" ht="24.95" customHeight="1">
      <c r="A18" s="73">
        <v>14</v>
      </c>
      <c r="B18" s="31" t="s">
        <v>30</v>
      </c>
      <c r="C18" s="31" t="s">
        <v>19</v>
      </c>
      <c r="D18" s="265">
        <v>120000</v>
      </c>
      <c r="E18" s="265">
        <f t="shared" si="0"/>
        <v>60000</v>
      </c>
    </row>
    <row r="19" spans="1:8" ht="24.95" customHeight="1">
      <c r="A19" s="73">
        <v>15</v>
      </c>
      <c r="B19" s="31" t="s">
        <v>31</v>
      </c>
      <c r="C19" s="31" t="s">
        <v>32</v>
      </c>
      <c r="D19" s="265">
        <v>215352.16999999998</v>
      </c>
      <c r="E19" s="265">
        <f t="shared" si="0"/>
        <v>107676.08499999999</v>
      </c>
    </row>
    <row r="20" spans="1:8" ht="24.95" customHeight="1">
      <c r="A20" s="73">
        <v>16</v>
      </c>
      <c r="B20" s="59" t="s">
        <v>126</v>
      </c>
      <c r="C20" s="31" t="s">
        <v>19</v>
      </c>
      <c r="D20" s="265">
        <v>120000</v>
      </c>
      <c r="E20" s="265">
        <f t="shared" si="0"/>
        <v>60000</v>
      </c>
      <c r="F20" s="187"/>
    </row>
    <row r="21" spans="1:8" ht="24.95" customHeight="1">
      <c r="A21" s="73">
        <v>17</v>
      </c>
      <c r="B21" s="227" t="s">
        <v>119</v>
      </c>
      <c r="C21" s="31" t="s">
        <v>37</v>
      </c>
      <c r="D21" s="265">
        <v>315372.07999999996</v>
      </c>
      <c r="E21" s="265">
        <f t="shared" si="0"/>
        <v>157686.03999999998</v>
      </c>
      <c r="F21" s="8"/>
      <c r="G21" s="8"/>
      <c r="H21" s="8"/>
    </row>
    <row r="22" spans="1:8" ht="35.1" customHeight="1">
      <c r="A22" s="73">
        <v>18</v>
      </c>
      <c r="B22" s="255" t="s">
        <v>127</v>
      </c>
      <c r="C22" s="31" t="s">
        <v>34</v>
      </c>
      <c r="D22" s="265">
        <v>545939.33000000007</v>
      </c>
      <c r="E22" s="265">
        <f t="shared" si="0"/>
        <v>272969.66500000004</v>
      </c>
    </row>
    <row r="23" spans="1:8" ht="35.1" customHeight="1">
      <c r="A23" s="73">
        <v>19</v>
      </c>
      <c r="B23" s="255" t="s">
        <v>33</v>
      </c>
      <c r="C23" s="277" t="s">
        <v>34</v>
      </c>
      <c r="D23" s="265">
        <v>682746.91999999993</v>
      </c>
      <c r="E23" s="265">
        <f t="shared" si="0"/>
        <v>341373.45999999996</v>
      </c>
    </row>
    <row r="24" spans="1:8" ht="35.1" customHeight="1">
      <c r="A24" s="73">
        <v>26</v>
      </c>
      <c r="B24" s="255" t="s">
        <v>35</v>
      </c>
      <c r="C24" s="31" t="s">
        <v>34</v>
      </c>
      <c r="D24" s="265">
        <v>735351.17</v>
      </c>
      <c r="E24" s="265">
        <f t="shared" si="0"/>
        <v>367675.58500000002</v>
      </c>
    </row>
    <row r="25" spans="1:8" ht="43.5" customHeight="1">
      <c r="A25" s="73">
        <v>27</v>
      </c>
      <c r="B25" s="255" t="s">
        <v>36</v>
      </c>
      <c r="C25" s="31" t="s">
        <v>37</v>
      </c>
      <c r="D25" s="265">
        <v>1000656.58</v>
      </c>
      <c r="E25" s="265">
        <f t="shared" si="0"/>
        <v>500328.29</v>
      </c>
    </row>
    <row r="26" spans="1:8" ht="39" customHeight="1">
      <c r="A26" s="73">
        <v>32</v>
      </c>
      <c r="B26" s="255" t="s">
        <v>43</v>
      </c>
      <c r="C26" s="31" t="s">
        <v>44</v>
      </c>
      <c r="D26" s="265">
        <v>514023.33</v>
      </c>
      <c r="E26" s="265">
        <f t="shared" si="0"/>
        <v>257011.66500000001</v>
      </c>
    </row>
    <row r="27" spans="1:8" ht="39" customHeight="1">
      <c r="A27" s="73">
        <v>33</v>
      </c>
      <c r="B27" s="255" t="s">
        <v>45</v>
      </c>
      <c r="C27" s="31" t="s">
        <v>34</v>
      </c>
      <c r="D27" s="265">
        <v>676425.41999999993</v>
      </c>
      <c r="E27" s="265">
        <f t="shared" si="0"/>
        <v>338212.70999999996</v>
      </c>
    </row>
    <row r="28" spans="1:8" ht="39" customHeight="1">
      <c r="A28" s="73">
        <v>36</v>
      </c>
      <c r="B28" s="255" t="s">
        <v>49</v>
      </c>
      <c r="C28" s="31" t="s">
        <v>50</v>
      </c>
      <c r="D28" s="265">
        <v>80000</v>
      </c>
      <c r="E28" s="265">
        <f t="shared" si="0"/>
        <v>40000</v>
      </c>
    </row>
    <row r="29" spans="1:8" ht="39" customHeight="1">
      <c r="A29" s="73">
        <v>37</v>
      </c>
      <c r="B29" s="255" t="s">
        <v>51</v>
      </c>
      <c r="C29" s="31" t="s">
        <v>52</v>
      </c>
      <c r="D29" s="265">
        <v>70000</v>
      </c>
      <c r="E29" s="265">
        <f t="shared" si="0"/>
        <v>35000</v>
      </c>
    </row>
    <row r="30" spans="1:8" ht="39" customHeight="1">
      <c r="A30" s="73">
        <v>38</v>
      </c>
      <c r="B30" s="255" t="s">
        <v>53</v>
      </c>
      <c r="C30" s="31" t="s">
        <v>39</v>
      </c>
      <c r="D30" s="265">
        <v>15000</v>
      </c>
      <c r="E30" s="265">
        <f t="shared" si="0"/>
        <v>7500</v>
      </c>
    </row>
    <row r="31" spans="1:8" ht="39" customHeight="1">
      <c r="A31" s="73">
        <v>39</v>
      </c>
      <c r="B31" s="255" t="s">
        <v>95</v>
      </c>
      <c r="C31" s="31" t="s">
        <v>92</v>
      </c>
      <c r="D31" s="265">
        <v>500000</v>
      </c>
      <c r="E31" s="265">
        <f t="shared" si="0"/>
        <v>250000</v>
      </c>
    </row>
    <row r="32" spans="1:8" ht="39" customHeight="1">
      <c r="A32" s="73">
        <v>40</v>
      </c>
      <c r="B32" s="255" t="s">
        <v>54</v>
      </c>
      <c r="C32" s="31" t="s">
        <v>39</v>
      </c>
      <c r="D32" s="265">
        <v>15000</v>
      </c>
      <c r="E32" s="265">
        <f t="shared" si="0"/>
        <v>7500</v>
      </c>
    </row>
    <row r="33" spans="1:5" ht="39" customHeight="1">
      <c r="A33" s="73">
        <v>41</v>
      </c>
      <c r="B33" s="255" t="s">
        <v>55</v>
      </c>
      <c r="C33" s="31" t="s">
        <v>34</v>
      </c>
      <c r="D33" s="265">
        <v>570900.75</v>
      </c>
      <c r="E33" s="265">
        <f t="shared" si="0"/>
        <v>285450.375</v>
      </c>
    </row>
    <row r="34" spans="1:5" ht="39" customHeight="1">
      <c r="A34" s="73">
        <v>42</v>
      </c>
      <c r="B34" s="255" t="s">
        <v>56</v>
      </c>
      <c r="C34" s="31" t="s">
        <v>37</v>
      </c>
      <c r="D34" s="265">
        <v>173329.05</v>
      </c>
      <c r="E34" s="265">
        <f t="shared" si="0"/>
        <v>86664.524999999994</v>
      </c>
    </row>
    <row r="35" spans="1:5" ht="39" customHeight="1">
      <c r="A35" s="73">
        <v>43</v>
      </c>
      <c r="B35" s="255" t="s">
        <v>96</v>
      </c>
      <c r="C35" s="31" t="s">
        <v>90</v>
      </c>
      <c r="D35" s="265">
        <v>300000</v>
      </c>
      <c r="E35" s="265">
        <f t="shared" si="0"/>
        <v>150000</v>
      </c>
    </row>
    <row r="36" spans="1:5" ht="39" customHeight="1">
      <c r="A36" s="73">
        <v>44</v>
      </c>
      <c r="B36" s="255" t="s">
        <v>97</v>
      </c>
      <c r="C36" s="31" t="s">
        <v>90</v>
      </c>
      <c r="D36" s="265">
        <v>300000</v>
      </c>
      <c r="E36" s="265">
        <f t="shared" si="0"/>
        <v>150000</v>
      </c>
    </row>
    <row r="37" spans="1:5" ht="39" customHeight="1">
      <c r="A37" s="73">
        <v>45</v>
      </c>
      <c r="B37" s="255" t="s">
        <v>57</v>
      </c>
      <c r="C37" s="31" t="s">
        <v>37</v>
      </c>
      <c r="D37" s="265">
        <v>296713</v>
      </c>
      <c r="E37" s="265">
        <f t="shared" si="0"/>
        <v>148356.5</v>
      </c>
    </row>
    <row r="38" spans="1:5" ht="39" customHeight="1">
      <c r="A38" s="73">
        <v>46</v>
      </c>
      <c r="B38" s="255" t="s">
        <v>58</v>
      </c>
      <c r="C38" s="31" t="s">
        <v>37</v>
      </c>
      <c r="D38" s="265">
        <v>205204</v>
      </c>
      <c r="E38" s="265">
        <f t="shared" si="0"/>
        <v>102602</v>
      </c>
    </row>
    <row r="39" spans="1:5" ht="39" customHeight="1">
      <c r="A39" s="73">
        <v>47</v>
      </c>
      <c r="B39" s="255" t="s">
        <v>59</v>
      </c>
      <c r="C39" s="31" t="s">
        <v>60</v>
      </c>
      <c r="D39" s="265">
        <v>120000</v>
      </c>
      <c r="E39" s="265">
        <f t="shared" si="0"/>
        <v>60000</v>
      </c>
    </row>
    <row r="40" spans="1:5" ht="39" customHeight="1">
      <c r="A40" s="73">
        <v>48</v>
      </c>
      <c r="B40" s="255" t="s">
        <v>61</v>
      </c>
      <c r="C40" s="31" t="s">
        <v>37</v>
      </c>
      <c r="D40" s="265">
        <v>173329.05</v>
      </c>
      <c r="E40" s="265">
        <f t="shared" si="0"/>
        <v>86664.524999999994</v>
      </c>
    </row>
    <row r="41" spans="1:5" ht="39" customHeight="1">
      <c r="A41" s="73">
        <v>49</v>
      </c>
      <c r="B41" s="255" t="s">
        <v>62</v>
      </c>
      <c r="C41" s="31" t="s">
        <v>63</v>
      </c>
      <c r="D41" s="265">
        <v>228602</v>
      </c>
      <c r="E41" s="265">
        <f t="shared" si="0"/>
        <v>114301</v>
      </c>
    </row>
    <row r="42" spans="1:5" ht="39" customHeight="1">
      <c r="A42" s="73">
        <v>50</v>
      </c>
      <c r="B42" s="255" t="s">
        <v>64</v>
      </c>
      <c r="C42" s="31" t="s">
        <v>37</v>
      </c>
      <c r="D42" s="265">
        <v>205204</v>
      </c>
      <c r="E42" s="265">
        <f t="shared" si="0"/>
        <v>102602</v>
      </c>
    </row>
    <row r="43" spans="1:5" ht="39" customHeight="1">
      <c r="A43" s="73">
        <v>51</v>
      </c>
      <c r="B43" s="255" t="s">
        <v>65</v>
      </c>
      <c r="C43" s="31" t="s">
        <v>37</v>
      </c>
      <c r="D43" s="265">
        <v>346713</v>
      </c>
      <c r="E43" s="265">
        <f t="shared" si="0"/>
        <v>173356.5</v>
      </c>
    </row>
    <row r="44" spans="1:5" ht="39" customHeight="1">
      <c r="A44" s="73">
        <v>52</v>
      </c>
      <c r="B44" s="255" t="s">
        <v>66</v>
      </c>
      <c r="C44" s="31" t="s">
        <v>39</v>
      </c>
      <c r="D44" s="265">
        <v>15000</v>
      </c>
      <c r="E44" s="265">
        <f t="shared" si="0"/>
        <v>7500</v>
      </c>
    </row>
    <row r="45" spans="1:5" ht="39" customHeight="1">
      <c r="A45" s="73">
        <v>53</v>
      </c>
      <c r="B45" s="255" t="s">
        <v>67</v>
      </c>
      <c r="C45" s="31" t="s">
        <v>37</v>
      </c>
      <c r="D45" s="265">
        <v>173329.05</v>
      </c>
      <c r="E45" s="265">
        <f t="shared" si="0"/>
        <v>86664.524999999994</v>
      </c>
    </row>
    <row r="46" spans="1:5" ht="39" customHeight="1">
      <c r="A46" s="73">
        <v>54</v>
      </c>
      <c r="B46" s="255" t="s">
        <v>68</v>
      </c>
      <c r="C46" s="31" t="s">
        <v>63</v>
      </c>
      <c r="D46" s="265">
        <v>223329.05</v>
      </c>
      <c r="E46" s="265">
        <f t="shared" si="0"/>
        <v>111664.52499999999</v>
      </c>
    </row>
    <row r="47" spans="1:5" ht="39" customHeight="1">
      <c r="A47" s="73">
        <v>55</v>
      </c>
      <c r="B47" s="255" t="s">
        <v>69</v>
      </c>
      <c r="C47" s="31" t="s">
        <v>37</v>
      </c>
      <c r="D47" s="265">
        <v>223329.05</v>
      </c>
      <c r="E47" s="265">
        <f t="shared" si="0"/>
        <v>111664.52499999999</v>
      </c>
    </row>
    <row r="48" spans="1:5" ht="39" customHeight="1">
      <c r="A48" s="73">
        <v>56</v>
      </c>
      <c r="B48" s="255" t="s">
        <v>70</v>
      </c>
      <c r="C48" s="31" t="s">
        <v>37</v>
      </c>
      <c r="D48" s="265">
        <v>223329.05</v>
      </c>
      <c r="E48" s="265">
        <f t="shared" si="0"/>
        <v>111664.52499999999</v>
      </c>
    </row>
    <row r="49" spans="1:7" ht="39" customHeight="1">
      <c r="A49" s="73">
        <v>57</v>
      </c>
      <c r="B49" s="255" t="s">
        <v>71</v>
      </c>
      <c r="C49" s="31" t="s">
        <v>39</v>
      </c>
      <c r="D49" s="265">
        <v>15000</v>
      </c>
      <c r="E49" s="265">
        <f t="shared" si="0"/>
        <v>7500</v>
      </c>
    </row>
    <row r="50" spans="1:7" ht="39" customHeight="1">
      <c r="A50" s="73">
        <v>58</v>
      </c>
      <c r="B50" s="255" t="s">
        <v>72</v>
      </c>
      <c r="C50" s="31" t="s">
        <v>37</v>
      </c>
      <c r="D50" s="265">
        <v>205204</v>
      </c>
      <c r="E50" s="265">
        <f t="shared" si="0"/>
        <v>102602</v>
      </c>
    </row>
    <row r="51" spans="1:7" ht="39" customHeight="1">
      <c r="A51" s="73">
        <v>59</v>
      </c>
      <c r="B51" s="255" t="s">
        <v>73</v>
      </c>
      <c r="C51" s="31" t="s">
        <v>63</v>
      </c>
      <c r="D51" s="265">
        <v>173329.05</v>
      </c>
      <c r="E51" s="265">
        <f t="shared" si="0"/>
        <v>86664.524999999994</v>
      </c>
    </row>
    <row r="52" spans="1:7" ht="39" customHeight="1">
      <c r="A52" s="73">
        <v>60</v>
      </c>
      <c r="B52" s="255" t="s">
        <v>74</v>
      </c>
      <c r="C52" s="31" t="s">
        <v>34</v>
      </c>
      <c r="D52" s="265">
        <v>735351.17</v>
      </c>
      <c r="E52" s="265">
        <f t="shared" si="0"/>
        <v>367675.58500000002</v>
      </c>
    </row>
    <row r="53" spans="1:7" ht="39" customHeight="1">
      <c r="A53" s="73">
        <v>61</v>
      </c>
      <c r="B53" s="255" t="s">
        <v>75</v>
      </c>
      <c r="C53" s="31" t="s">
        <v>76</v>
      </c>
      <c r="D53" s="265">
        <v>504720.16666666669</v>
      </c>
      <c r="E53" s="265">
        <f t="shared" si="0"/>
        <v>252360.08333333334</v>
      </c>
    </row>
    <row r="54" spans="1:7" ht="39" customHeight="1">
      <c r="A54" s="73">
        <v>62</v>
      </c>
      <c r="B54" s="255" t="s">
        <v>77</v>
      </c>
      <c r="C54" s="31" t="s">
        <v>39</v>
      </c>
      <c r="D54" s="265">
        <v>15000</v>
      </c>
      <c r="E54" s="265">
        <f t="shared" si="0"/>
        <v>7500</v>
      </c>
    </row>
    <row r="55" spans="1:7" ht="39" customHeight="1">
      <c r="A55" s="73">
        <v>63</v>
      </c>
      <c r="B55" s="255" t="s">
        <v>78</v>
      </c>
      <c r="C55" s="31" t="s">
        <v>39</v>
      </c>
      <c r="D55" s="265">
        <v>15000</v>
      </c>
      <c r="E55" s="265">
        <f t="shared" si="0"/>
        <v>7500</v>
      </c>
    </row>
    <row r="56" spans="1:7" ht="39" customHeight="1">
      <c r="A56" s="73">
        <v>64</v>
      </c>
      <c r="B56" s="255" t="s">
        <v>79</v>
      </c>
      <c r="C56" s="31" t="s">
        <v>39</v>
      </c>
      <c r="D56" s="265">
        <v>15000</v>
      </c>
      <c r="E56" s="265">
        <f t="shared" si="0"/>
        <v>7500</v>
      </c>
    </row>
    <row r="57" spans="1:7" ht="39" customHeight="1">
      <c r="A57" s="73">
        <v>65</v>
      </c>
      <c r="B57" s="255" t="s">
        <v>80</v>
      </c>
      <c r="C57" s="31" t="s">
        <v>39</v>
      </c>
      <c r="D57" s="265">
        <v>15000</v>
      </c>
      <c r="E57" s="265">
        <f t="shared" si="0"/>
        <v>7500</v>
      </c>
    </row>
    <row r="58" spans="1:7" ht="39" customHeight="1">
      <c r="A58" s="73">
        <v>66</v>
      </c>
      <c r="B58" s="255" t="s">
        <v>81</v>
      </c>
      <c r="C58" s="31" t="s">
        <v>39</v>
      </c>
      <c r="D58" s="265">
        <v>15000</v>
      </c>
      <c r="E58" s="265">
        <f t="shared" ref="E58:E60" si="1">D58/2</f>
        <v>7500</v>
      </c>
    </row>
    <row r="59" spans="1:7" ht="39" customHeight="1">
      <c r="A59" s="73">
        <v>67</v>
      </c>
      <c r="B59" s="255" t="s">
        <v>82</v>
      </c>
      <c r="C59" s="31" t="s">
        <v>39</v>
      </c>
      <c r="D59" s="265">
        <v>15000</v>
      </c>
      <c r="E59" s="265">
        <f t="shared" si="1"/>
        <v>7500</v>
      </c>
    </row>
    <row r="60" spans="1:7" ht="39" customHeight="1">
      <c r="A60" s="73">
        <v>68</v>
      </c>
      <c r="B60" s="255" t="s">
        <v>83</v>
      </c>
      <c r="C60" s="31" t="s">
        <v>39</v>
      </c>
      <c r="D60" s="265">
        <v>15000</v>
      </c>
      <c r="E60" s="265">
        <f t="shared" si="1"/>
        <v>7500</v>
      </c>
    </row>
    <row r="61" spans="1:7" ht="28.5" customHeight="1">
      <c r="A61" s="73"/>
      <c r="B61" s="287" t="s">
        <v>84</v>
      </c>
      <c r="C61" s="31"/>
      <c r="D61" s="292">
        <v>13498810.236666672</v>
      </c>
      <c r="E61" s="292">
        <f>SUM(E5:E60)</f>
        <v>6659405.118333335</v>
      </c>
      <c r="G61" s="116"/>
    </row>
    <row r="62" spans="1:7" ht="20.100000000000001" customHeight="1">
      <c r="A62" s="70"/>
    </row>
    <row r="63" spans="1:7" ht="20.100000000000001" customHeight="1">
      <c r="A63" s="70"/>
      <c r="E63" s="116"/>
    </row>
    <row r="64" spans="1:7" ht="20.100000000000001" customHeight="1">
      <c r="A64" s="70"/>
    </row>
    <row r="65" spans="1:4" ht="20.100000000000001" customHeight="1">
      <c r="A65" s="70"/>
      <c r="C65" s="168"/>
      <c r="D65" s="187"/>
    </row>
    <row r="66" spans="1:4" ht="20.100000000000001" customHeight="1">
      <c r="A66" s="70"/>
      <c r="C66" s="168"/>
      <c r="D66" s="187"/>
    </row>
    <row r="67" spans="1:4" ht="20.100000000000001" customHeight="1">
      <c r="A67" s="70"/>
      <c r="C67" s="168"/>
      <c r="D67" s="187"/>
    </row>
    <row r="68" spans="1:4" ht="20.100000000000001" customHeight="1">
      <c r="A68" s="70"/>
      <c r="C68" s="168"/>
    </row>
    <row r="69" spans="1:4" ht="20.100000000000001" customHeight="1">
      <c r="A69" s="70"/>
    </row>
    <row r="70" spans="1:4" ht="20.100000000000001" customHeight="1">
      <c r="A70" s="70"/>
    </row>
    <row r="71" spans="1:4" ht="20.100000000000001" customHeight="1">
      <c r="A71" s="70"/>
    </row>
    <row r="72" spans="1:4" ht="20.100000000000001" customHeight="1">
      <c r="A72" s="70"/>
    </row>
    <row r="73" spans="1:4" ht="20.100000000000001" customHeight="1">
      <c r="A73" s="70"/>
    </row>
    <row r="74" spans="1:4" ht="20.100000000000001" customHeight="1">
      <c r="A74" s="70"/>
    </row>
    <row r="75" spans="1:4" ht="20.100000000000001" customHeight="1">
      <c r="A75" s="70"/>
    </row>
    <row r="76" spans="1:4" ht="20.100000000000001" customHeight="1">
      <c r="A76" s="70"/>
    </row>
    <row r="77" spans="1:4" ht="20.100000000000001" customHeight="1">
      <c r="A77" s="70"/>
    </row>
    <row r="78" spans="1:4" ht="20.100000000000001" customHeight="1">
      <c r="A78" s="70"/>
    </row>
    <row r="79" spans="1:4" ht="20.100000000000001" customHeight="1">
      <c r="A79" s="70"/>
    </row>
    <row r="80" spans="1:4" ht="20.100000000000001" customHeight="1">
      <c r="A80" s="70"/>
    </row>
    <row r="81" spans="1:1" ht="20.100000000000001" customHeight="1">
      <c r="A81" s="70"/>
    </row>
    <row r="82" spans="1:1" ht="20.100000000000001" customHeight="1">
      <c r="A82" s="70"/>
    </row>
    <row r="83" spans="1:1" ht="20.100000000000001" customHeight="1">
      <c r="A83" s="70"/>
    </row>
    <row r="84" spans="1:1" ht="20.100000000000001" customHeight="1">
      <c r="A84" s="70"/>
    </row>
    <row r="85" spans="1:1" ht="20.100000000000001" customHeight="1">
      <c r="A85" s="70"/>
    </row>
    <row r="86" spans="1:1" ht="20.100000000000001" customHeight="1">
      <c r="A86" s="70"/>
    </row>
    <row r="87" spans="1:1" ht="20.100000000000001" customHeight="1">
      <c r="A87" s="70"/>
    </row>
    <row r="88" spans="1:1" ht="20.100000000000001" customHeight="1">
      <c r="A88" s="70"/>
    </row>
    <row r="89" spans="1:1" ht="20.100000000000001" customHeight="1">
      <c r="A89" s="70"/>
    </row>
    <row r="90" spans="1:1" ht="20.100000000000001" customHeight="1">
      <c r="A90" s="70"/>
    </row>
    <row r="91" spans="1:1" ht="20.100000000000001" customHeight="1">
      <c r="A91" s="70"/>
    </row>
    <row r="92" spans="1:1" ht="20.100000000000001" customHeight="1">
      <c r="A92" s="70"/>
    </row>
    <row r="93" spans="1:1" ht="20.100000000000001" customHeight="1">
      <c r="A93" s="70"/>
    </row>
    <row r="94" spans="1:1" ht="20.100000000000001" customHeight="1">
      <c r="A94" s="70"/>
    </row>
    <row r="95" spans="1:1" ht="20.100000000000001" customHeight="1">
      <c r="A95" s="70"/>
    </row>
    <row r="96" spans="1:1" ht="20.100000000000001" customHeight="1">
      <c r="A96" s="70"/>
    </row>
    <row r="97" spans="1:1" ht="20.100000000000001" customHeight="1">
      <c r="A97" s="70"/>
    </row>
    <row r="98" spans="1:1" ht="20.100000000000001" customHeight="1">
      <c r="A98" s="70"/>
    </row>
    <row r="99" spans="1:1" ht="20.100000000000001" customHeight="1">
      <c r="A99" s="70"/>
    </row>
    <row r="100" spans="1:1" ht="20.100000000000001" customHeight="1">
      <c r="A100" s="70"/>
    </row>
    <row r="101" spans="1:1" ht="20.100000000000001" customHeight="1">
      <c r="A101" s="70"/>
    </row>
    <row r="102" spans="1:1" ht="20.100000000000001" customHeight="1">
      <c r="A102" s="23"/>
    </row>
    <row r="143" spans="7:7" ht="20.100000000000001" customHeight="1">
      <c r="G143" s="1">
        <f>60000</f>
        <v>60000</v>
      </c>
    </row>
  </sheetData>
  <mergeCells count="1">
    <mergeCell ref="A1:E1"/>
  </mergeCells>
  <pageMargins left="0.51181102362204722" right="0" top="0" bottom="7.874015748031496E-2" header="0.11811023622047245" footer="0"/>
  <pageSetup paperSize="9" scale="71" orientation="portrait" r:id="rId1"/>
  <headerFooter alignWithMargins="0"/>
  <rowBreaks count="1" manualBreakCount="1">
    <brk id="33" max="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"/>
  <sheetViews>
    <sheetView view="pageBreakPreview" zoomScaleNormal="100" zoomScaleSheetLayoutView="100" workbookViewId="0">
      <pane xSplit="4" ySplit="3" topLeftCell="E18" activePane="bottomRight" state="frozen"/>
      <selection pane="bottomRight" activeCell="C3" sqref="C3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35.140625" style="1" customWidth="1"/>
    <col min="3" max="3" width="17.7109375" style="1" customWidth="1"/>
    <col min="4" max="4" width="21.28515625" style="1" customWidth="1"/>
    <col min="5" max="5" width="20.5703125" style="1" customWidth="1"/>
    <col min="6" max="6" width="21.5703125" style="1" customWidth="1"/>
    <col min="7" max="7" width="18.7109375" style="1" customWidth="1"/>
    <col min="8" max="8" width="14.42578125" style="1" customWidth="1"/>
    <col min="9" max="16384" width="9.140625" style="1"/>
  </cols>
  <sheetData>
    <row r="1" spans="1:5" ht="36.75" customHeight="1">
      <c r="A1" s="330" t="s">
        <v>146</v>
      </c>
      <c r="B1" s="331"/>
      <c r="C1" s="331"/>
      <c r="D1" s="331"/>
      <c r="E1" s="334"/>
    </row>
    <row r="2" spans="1:5" ht="2.25" customHeight="1">
      <c r="A2" s="23"/>
      <c r="B2" s="103"/>
      <c r="C2" s="103"/>
      <c r="D2" s="103"/>
      <c r="E2" s="23"/>
    </row>
    <row r="3" spans="1:5" ht="57.75" customHeight="1">
      <c r="A3" s="293" t="s">
        <v>1</v>
      </c>
      <c r="B3" s="294" t="s">
        <v>2</v>
      </c>
      <c r="C3" s="293" t="s">
        <v>3</v>
      </c>
      <c r="D3" s="226" t="s">
        <v>86</v>
      </c>
      <c r="E3" s="295" t="s">
        <v>147</v>
      </c>
    </row>
    <row r="4" spans="1:5" ht="33.75" customHeight="1">
      <c r="A4" s="33"/>
      <c r="B4" s="34"/>
      <c r="C4" s="27"/>
      <c r="D4" s="28"/>
      <c r="E4" s="225" t="s">
        <v>148</v>
      </c>
    </row>
    <row r="5" spans="1:5" ht="45" customHeight="1">
      <c r="A5" s="73">
        <v>1</v>
      </c>
      <c r="B5" s="227" t="s">
        <v>99</v>
      </c>
      <c r="C5" s="31" t="s">
        <v>92</v>
      </c>
      <c r="D5" s="217">
        <f>150000</f>
        <v>150000</v>
      </c>
      <c r="E5" s="265">
        <f>D5/2</f>
        <v>75000</v>
      </c>
    </row>
    <row r="6" spans="1:5" ht="45" customHeight="1">
      <c r="A6" s="73">
        <v>2</v>
      </c>
      <c r="B6" s="227" t="s">
        <v>100</v>
      </c>
      <c r="C6" s="31" t="s">
        <v>92</v>
      </c>
      <c r="D6" s="217">
        <f>200000</f>
        <v>200000</v>
      </c>
      <c r="E6" s="265">
        <f t="shared" ref="E6:E17" si="0">D6/2</f>
        <v>100000</v>
      </c>
    </row>
    <row r="7" spans="1:5" ht="45" customHeight="1">
      <c r="A7" s="73">
        <v>3</v>
      </c>
      <c r="B7" s="227" t="s">
        <v>101</v>
      </c>
      <c r="C7" s="31" t="s">
        <v>92</v>
      </c>
      <c r="D7" s="217">
        <f>200000</f>
        <v>200000</v>
      </c>
      <c r="E7" s="265">
        <f t="shared" si="0"/>
        <v>100000</v>
      </c>
    </row>
    <row r="8" spans="1:5" ht="45" customHeight="1">
      <c r="A8" s="73">
        <v>4</v>
      </c>
      <c r="B8" s="255" t="s">
        <v>102</v>
      </c>
      <c r="C8" s="31" t="s">
        <v>92</v>
      </c>
      <c r="D8" s="217">
        <f>150000</f>
        <v>150000</v>
      </c>
      <c r="E8" s="265">
        <f t="shared" si="0"/>
        <v>75000</v>
      </c>
    </row>
    <row r="9" spans="1:5" ht="45" customHeight="1">
      <c r="A9" s="73">
        <v>5</v>
      </c>
      <c r="B9" s="255" t="s">
        <v>103</v>
      </c>
      <c r="C9" s="31" t="s">
        <v>104</v>
      </c>
      <c r="D9" s="217">
        <f>200000</f>
        <v>200000</v>
      </c>
      <c r="E9" s="265">
        <f t="shared" si="0"/>
        <v>100000</v>
      </c>
    </row>
    <row r="10" spans="1:5" ht="45" customHeight="1">
      <c r="A10" s="73">
        <v>6</v>
      </c>
      <c r="B10" s="255" t="s">
        <v>105</v>
      </c>
      <c r="C10" s="31" t="s">
        <v>92</v>
      </c>
      <c r="D10" s="217">
        <f>200000</f>
        <v>200000</v>
      </c>
      <c r="E10" s="265">
        <f t="shared" si="0"/>
        <v>100000</v>
      </c>
    </row>
    <row r="11" spans="1:5" ht="45" customHeight="1">
      <c r="A11" s="73">
        <v>7</v>
      </c>
      <c r="B11" s="255" t="s">
        <v>107</v>
      </c>
      <c r="C11" s="31" t="s">
        <v>92</v>
      </c>
      <c r="D11" s="217">
        <f>150000</f>
        <v>150000</v>
      </c>
      <c r="E11" s="265">
        <f t="shared" si="0"/>
        <v>75000</v>
      </c>
    </row>
    <row r="12" spans="1:5" ht="45" customHeight="1">
      <c r="A12" s="73">
        <v>8</v>
      </c>
      <c r="B12" s="255" t="s">
        <v>108</v>
      </c>
      <c r="C12" s="31" t="s">
        <v>92</v>
      </c>
      <c r="D12" s="217">
        <f>200000</f>
        <v>200000</v>
      </c>
      <c r="E12" s="265">
        <f t="shared" si="0"/>
        <v>100000</v>
      </c>
    </row>
    <row r="13" spans="1:5" ht="45" customHeight="1">
      <c r="A13" s="73">
        <v>9</v>
      </c>
      <c r="B13" s="255" t="s">
        <v>109</v>
      </c>
      <c r="C13" s="31" t="s">
        <v>92</v>
      </c>
      <c r="D13" s="217">
        <v>300000</v>
      </c>
      <c r="E13" s="265">
        <f t="shared" si="0"/>
        <v>150000</v>
      </c>
    </row>
    <row r="14" spans="1:5" ht="45" customHeight="1">
      <c r="A14" s="73">
        <v>10</v>
      </c>
      <c r="B14" s="255" t="s">
        <v>110</v>
      </c>
      <c r="C14" s="31" t="s">
        <v>92</v>
      </c>
      <c r="D14" s="217">
        <f>150000</f>
        <v>150000</v>
      </c>
      <c r="E14" s="265">
        <f t="shared" si="0"/>
        <v>75000</v>
      </c>
    </row>
    <row r="15" spans="1:5" ht="45" customHeight="1">
      <c r="A15" s="73">
        <v>11</v>
      </c>
      <c r="B15" s="227" t="s">
        <v>111</v>
      </c>
      <c r="C15" s="31" t="s">
        <v>92</v>
      </c>
      <c r="D15" s="291">
        <v>200000</v>
      </c>
      <c r="E15" s="265">
        <f t="shared" si="0"/>
        <v>100000</v>
      </c>
    </row>
    <row r="16" spans="1:5" ht="45" customHeight="1">
      <c r="A16" s="73">
        <v>12</v>
      </c>
      <c r="B16" s="255" t="s">
        <v>112</v>
      </c>
      <c r="C16" s="31" t="s">
        <v>92</v>
      </c>
      <c r="D16" s="291">
        <v>150000</v>
      </c>
      <c r="E16" s="265">
        <f t="shared" si="0"/>
        <v>75000</v>
      </c>
    </row>
    <row r="17" spans="1:7" ht="45" customHeight="1">
      <c r="A17" s="73">
        <v>13</v>
      </c>
      <c r="B17" s="255" t="s">
        <v>114</v>
      </c>
      <c r="C17" s="31" t="s">
        <v>92</v>
      </c>
      <c r="D17" s="291">
        <v>150000</v>
      </c>
      <c r="E17" s="265">
        <f t="shared" si="0"/>
        <v>75000</v>
      </c>
    </row>
    <row r="18" spans="1:7" ht="45" customHeight="1">
      <c r="A18" s="73"/>
      <c r="B18" s="278" t="s">
        <v>84</v>
      </c>
      <c r="C18" s="31"/>
      <c r="D18" s="266">
        <f>SUM(D5:D17)</f>
        <v>2400000</v>
      </c>
      <c r="E18" s="266">
        <f>SUM(E5:E17)</f>
        <v>1200000</v>
      </c>
      <c r="G18" s="116"/>
    </row>
    <row r="19" spans="1:7" ht="20.100000000000001" customHeight="1">
      <c r="A19" s="70"/>
    </row>
    <row r="20" spans="1:7" ht="20.100000000000001" customHeight="1">
      <c r="A20" s="70"/>
      <c r="E20" s="116"/>
    </row>
    <row r="21" spans="1:7" ht="20.100000000000001" customHeight="1">
      <c r="A21" s="70"/>
      <c r="D21" s="187"/>
    </row>
    <row r="22" spans="1:7" ht="20.100000000000001" customHeight="1">
      <c r="A22" s="70"/>
      <c r="C22" s="168"/>
      <c r="D22" s="168"/>
    </row>
    <row r="23" spans="1:7" ht="20.100000000000001" customHeight="1">
      <c r="A23" s="70"/>
      <c r="C23" s="168"/>
      <c r="D23" s="168"/>
    </row>
    <row r="24" spans="1:7" ht="20.100000000000001" customHeight="1">
      <c r="A24" s="70"/>
      <c r="C24" s="168"/>
      <c r="D24" s="168"/>
    </row>
    <row r="25" spans="1:7" ht="20.100000000000001" customHeight="1">
      <c r="A25" s="70"/>
      <c r="C25" s="168"/>
      <c r="D25" s="168"/>
    </row>
    <row r="26" spans="1:7" ht="20.100000000000001" customHeight="1">
      <c r="A26" s="70"/>
    </row>
    <row r="27" spans="1:7" ht="20.100000000000001" customHeight="1">
      <c r="A27" s="70"/>
    </row>
    <row r="28" spans="1:7" ht="20.100000000000001" customHeight="1">
      <c r="A28" s="70"/>
    </row>
    <row r="29" spans="1:7" ht="20.100000000000001" customHeight="1">
      <c r="A29" s="70"/>
    </row>
    <row r="30" spans="1:7" ht="20.100000000000001" customHeight="1">
      <c r="A30" s="70"/>
    </row>
    <row r="31" spans="1:7" ht="20.100000000000001" customHeight="1">
      <c r="A31" s="70"/>
    </row>
    <row r="32" spans="1:7" ht="20.100000000000001" customHeight="1">
      <c r="A32" s="70"/>
    </row>
    <row r="33" spans="1:1" ht="20.100000000000001" customHeight="1">
      <c r="A33" s="70"/>
    </row>
    <row r="34" spans="1:1" ht="20.100000000000001" customHeight="1">
      <c r="A34" s="70"/>
    </row>
    <row r="35" spans="1:1" ht="20.100000000000001" customHeight="1">
      <c r="A35" s="70"/>
    </row>
    <row r="36" spans="1:1" ht="20.100000000000001" customHeight="1">
      <c r="A36" s="70"/>
    </row>
    <row r="37" spans="1:1" ht="20.100000000000001" customHeight="1">
      <c r="A37" s="70"/>
    </row>
    <row r="38" spans="1:1" ht="20.100000000000001" customHeight="1">
      <c r="A38" s="70"/>
    </row>
    <row r="39" spans="1:1" ht="20.100000000000001" customHeight="1">
      <c r="A39" s="70"/>
    </row>
    <row r="40" spans="1:1" ht="20.100000000000001" customHeight="1">
      <c r="A40" s="70"/>
    </row>
    <row r="41" spans="1:1" ht="20.100000000000001" customHeight="1">
      <c r="A41" s="70"/>
    </row>
    <row r="42" spans="1:1" ht="20.100000000000001" customHeight="1">
      <c r="A42" s="70"/>
    </row>
    <row r="43" spans="1:1" ht="20.100000000000001" customHeight="1">
      <c r="A43" s="70"/>
    </row>
    <row r="44" spans="1:1" ht="20.100000000000001" customHeight="1">
      <c r="A44" s="70"/>
    </row>
    <row r="45" spans="1:1" ht="20.100000000000001" customHeight="1">
      <c r="A45" s="70"/>
    </row>
    <row r="46" spans="1:1" ht="20.100000000000001" customHeight="1">
      <c r="A46" s="70"/>
    </row>
    <row r="47" spans="1:1" ht="20.100000000000001" customHeight="1">
      <c r="A47" s="70"/>
    </row>
    <row r="48" spans="1:1" ht="20.100000000000001" customHeight="1">
      <c r="A48" s="70"/>
    </row>
    <row r="49" spans="1:1" ht="20.100000000000001" customHeight="1">
      <c r="A49" s="70"/>
    </row>
    <row r="50" spans="1:1" ht="20.100000000000001" customHeight="1">
      <c r="A50" s="70"/>
    </row>
    <row r="51" spans="1:1" ht="20.100000000000001" customHeight="1">
      <c r="A51" s="70"/>
    </row>
    <row r="52" spans="1:1" ht="20.100000000000001" customHeight="1">
      <c r="A52" s="70"/>
    </row>
    <row r="53" spans="1:1" ht="20.100000000000001" customHeight="1">
      <c r="A53" s="70"/>
    </row>
    <row r="54" spans="1:1" ht="20.100000000000001" customHeight="1">
      <c r="A54" s="70"/>
    </row>
    <row r="55" spans="1:1" ht="20.100000000000001" customHeight="1">
      <c r="A55" s="70"/>
    </row>
    <row r="56" spans="1:1" ht="20.100000000000001" customHeight="1">
      <c r="A56" s="70"/>
    </row>
    <row r="57" spans="1:1" ht="20.100000000000001" customHeight="1">
      <c r="A57" s="70"/>
    </row>
    <row r="58" spans="1:1" ht="20.100000000000001" customHeight="1">
      <c r="A58" s="70"/>
    </row>
    <row r="59" spans="1:1" ht="20.100000000000001" customHeight="1">
      <c r="A59" s="23"/>
    </row>
    <row r="100" spans="7:7" ht="20.100000000000001" customHeight="1">
      <c r="G100" s="1">
        <f>60000</f>
        <v>60000</v>
      </c>
    </row>
  </sheetData>
  <mergeCells count="1">
    <mergeCell ref="A1:E1"/>
  </mergeCells>
  <pageMargins left="0.51181102362204722" right="0" top="0" bottom="7.874015748031496E-2" header="0.11811023622047245" footer="0"/>
  <pageSetup paperSize="9" scale="95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20"/>
  <sheetViews>
    <sheetView topLeftCell="A38" zoomScaleNormal="100" zoomScaleSheetLayoutView="68" workbookViewId="0"/>
  </sheetViews>
  <sheetFormatPr defaultColWidth="9.140625" defaultRowHeight="20.100000000000001" customHeight="1"/>
  <cols>
    <col min="1" max="1" width="6.140625" style="13" customWidth="1"/>
    <col min="2" max="2" width="37.42578125" style="13" customWidth="1"/>
    <col min="3" max="3" width="37.140625" style="13" customWidth="1"/>
    <col min="4" max="4" width="29.140625" style="13" customWidth="1"/>
    <col min="5" max="5" width="27" style="13" customWidth="1"/>
    <col min="6" max="6" width="32.42578125" style="13" customWidth="1"/>
    <col min="7" max="7" width="30.42578125" style="13" customWidth="1"/>
    <col min="8" max="13" width="9.140625" style="13"/>
    <col min="14" max="14" width="23" style="13" customWidth="1"/>
    <col min="15" max="16384" width="9.140625" style="13"/>
  </cols>
  <sheetData>
    <row r="1" spans="1:7" ht="34.35" customHeight="1">
      <c r="B1" s="335" t="s">
        <v>149</v>
      </c>
      <c r="C1" s="335"/>
      <c r="D1" s="335"/>
      <c r="E1" s="234"/>
    </row>
    <row r="2" spans="1:7" ht="2.25" customHeight="1">
      <c r="B2" s="336" t="s">
        <v>150</v>
      </c>
      <c r="C2" s="336"/>
      <c r="D2" s="336"/>
    </row>
    <row r="3" spans="1:7" ht="20.100000000000001" customHeight="1">
      <c r="C3" s="233"/>
      <c r="D3" s="233"/>
      <c r="E3" s="233"/>
    </row>
    <row r="4" spans="1:7" ht="35.450000000000003" customHeight="1">
      <c r="A4" s="3"/>
      <c r="B4" s="230" t="s">
        <v>2</v>
      </c>
      <c r="C4" s="76" t="s">
        <v>3</v>
      </c>
      <c r="D4" s="9" t="s">
        <v>151</v>
      </c>
      <c r="E4" s="9" t="s">
        <v>152</v>
      </c>
      <c r="F4" s="9" t="s">
        <v>153</v>
      </c>
      <c r="G4" s="9" t="s">
        <v>152</v>
      </c>
    </row>
    <row r="5" spans="1:7" ht="30" customHeight="1">
      <c r="A5" s="3">
        <v>1</v>
      </c>
      <c r="B5" s="197" t="s">
        <v>154</v>
      </c>
      <c r="C5" s="192" t="s">
        <v>34</v>
      </c>
      <c r="D5" s="235" t="s">
        <v>155</v>
      </c>
      <c r="E5" s="235" t="s">
        <v>156</v>
      </c>
      <c r="F5" s="236">
        <v>44478</v>
      </c>
      <c r="G5" s="236">
        <v>44842</v>
      </c>
    </row>
    <row r="6" spans="1:7" ht="30" customHeight="1">
      <c r="A6" s="3">
        <v>2</v>
      </c>
      <c r="B6" s="197" t="s">
        <v>157</v>
      </c>
      <c r="C6" s="192" t="s">
        <v>90</v>
      </c>
      <c r="D6" s="235" t="s">
        <v>158</v>
      </c>
      <c r="E6" s="235" t="s">
        <v>159</v>
      </c>
      <c r="F6" s="235"/>
      <c r="G6" s="235"/>
    </row>
    <row r="7" spans="1:7" ht="30" customHeight="1">
      <c r="A7" s="3">
        <v>3</v>
      </c>
      <c r="B7" s="197" t="s">
        <v>160</v>
      </c>
      <c r="C7" s="192" t="s">
        <v>90</v>
      </c>
      <c r="D7" s="235" t="s">
        <v>161</v>
      </c>
      <c r="E7" s="235" t="s">
        <v>162</v>
      </c>
      <c r="F7" s="235"/>
      <c r="G7" s="235"/>
    </row>
    <row r="8" spans="1:7" ht="30" customHeight="1">
      <c r="A8" s="3">
        <v>4</v>
      </c>
      <c r="B8" s="197" t="s">
        <v>163</v>
      </c>
      <c r="C8" s="192" t="s">
        <v>34</v>
      </c>
      <c r="D8" s="235" t="s">
        <v>164</v>
      </c>
      <c r="E8" s="235" t="s">
        <v>165</v>
      </c>
      <c r="F8" s="235"/>
      <c r="G8" s="235"/>
    </row>
    <row r="9" spans="1:7" ht="30" customHeight="1">
      <c r="A9" s="3">
        <v>7</v>
      </c>
      <c r="B9" s="197" t="s">
        <v>166</v>
      </c>
      <c r="C9" s="192"/>
      <c r="D9" s="237" t="s">
        <v>167</v>
      </c>
      <c r="E9" s="237" t="s">
        <v>168</v>
      </c>
      <c r="F9" s="238">
        <v>44706</v>
      </c>
      <c r="G9" s="238">
        <v>45070</v>
      </c>
    </row>
    <row r="10" spans="1:7" ht="30" customHeight="1">
      <c r="A10" s="3">
        <v>8</v>
      </c>
      <c r="B10" s="150" t="s">
        <v>14</v>
      </c>
      <c r="C10" s="150" t="s">
        <v>15</v>
      </c>
      <c r="D10" s="237"/>
      <c r="E10" s="237"/>
      <c r="F10" s="238"/>
      <c r="G10" s="238"/>
    </row>
    <row r="11" spans="1:7" ht="30" customHeight="1">
      <c r="A11" s="3">
        <v>12</v>
      </c>
      <c r="B11" s="197" t="s">
        <v>16</v>
      </c>
      <c r="C11" s="197" t="s">
        <v>17</v>
      </c>
      <c r="D11" s="237"/>
      <c r="E11" s="235"/>
      <c r="F11" s="236"/>
      <c r="G11" s="236"/>
    </row>
    <row r="12" spans="1:7" ht="30" customHeight="1">
      <c r="A12" s="3">
        <v>13</v>
      </c>
      <c r="B12" s="231" t="s">
        <v>169</v>
      </c>
      <c r="C12" s="197" t="s">
        <v>170</v>
      </c>
      <c r="D12" s="237" t="s">
        <v>171</v>
      </c>
      <c r="E12" s="235" t="s">
        <v>172</v>
      </c>
      <c r="F12" s="236"/>
      <c r="G12" s="236"/>
    </row>
    <row r="13" spans="1:7" ht="30" customHeight="1">
      <c r="A13" s="3">
        <v>14</v>
      </c>
      <c r="B13" s="197" t="s">
        <v>173</v>
      </c>
      <c r="C13" s="197" t="s">
        <v>174</v>
      </c>
      <c r="D13" s="237" t="s">
        <v>175</v>
      </c>
      <c r="E13" s="235" t="s">
        <v>176</v>
      </c>
      <c r="F13" s="236"/>
      <c r="G13" s="236"/>
    </row>
    <row r="14" spans="1:7" ht="30" customHeight="1">
      <c r="A14" s="3">
        <v>18</v>
      </c>
      <c r="B14" s="197" t="s">
        <v>18</v>
      </c>
      <c r="C14" s="197" t="s">
        <v>177</v>
      </c>
      <c r="D14" s="237"/>
      <c r="E14" s="235"/>
      <c r="F14" s="236"/>
      <c r="G14" s="236"/>
    </row>
    <row r="15" spans="1:7" ht="30" customHeight="1">
      <c r="A15" s="3">
        <v>19</v>
      </c>
      <c r="B15" s="197" t="s">
        <v>178</v>
      </c>
      <c r="C15" s="197" t="s">
        <v>177</v>
      </c>
      <c r="D15" s="237"/>
      <c r="E15" s="235"/>
      <c r="F15" s="236"/>
      <c r="G15" s="236"/>
    </row>
    <row r="16" spans="1:7" ht="30" customHeight="1">
      <c r="A16" s="3">
        <v>20</v>
      </c>
      <c r="B16" s="197" t="s">
        <v>20</v>
      </c>
      <c r="C16" s="197" t="s">
        <v>21</v>
      </c>
      <c r="D16" s="237"/>
      <c r="E16" s="235"/>
      <c r="F16" s="236"/>
      <c r="G16" s="236"/>
    </row>
    <row r="17" spans="1:7" ht="30" customHeight="1">
      <c r="A17" s="3">
        <v>21</v>
      </c>
      <c r="B17" s="197" t="s">
        <v>179</v>
      </c>
      <c r="C17" s="197" t="s">
        <v>19</v>
      </c>
      <c r="D17" s="237" t="s">
        <v>180</v>
      </c>
      <c r="E17" s="235"/>
      <c r="F17" s="236"/>
      <c r="G17" s="236"/>
    </row>
    <row r="18" spans="1:7" ht="30" customHeight="1">
      <c r="A18" s="3">
        <v>22</v>
      </c>
      <c r="B18" s="192" t="s">
        <v>181</v>
      </c>
      <c r="C18" s="197" t="s">
        <v>19</v>
      </c>
      <c r="D18" s="237" t="s">
        <v>182</v>
      </c>
      <c r="E18" s="237"/>
      <c r="F18" s="238"/>
      <c r="G18" s="238"/>
    </row>
    <row r="19" spans="1:7" ht="30" customHeight="1">
      <c r="A19" s="3">
        <v>23</v>
      </c>
      <c r="B19" s="197" t="s">
        <v>22</v>
      </c>
      <c r="C19" s="197" t="s">
        <v>23</v>
      </c>
      <c r="D19" s="237"/>
      <c r="E19" s="235"/>
      <c r="F19" s="236"/>
      <c r="G19" s="236"/>
    </row>
    <row r="20" spans="1:7" ht="30" customHeight="1">
      <c r="A20" s="3">
        <v>24</v>
      </c>
      <c r="B20" s="197" t="s">
        <v>183</v>
      </c>
      <c r="C20" s="197" t="s">
        <v>90</v>
      </c>
      <c r="D20" s="237" t="s">
        <v>184</v>
      </c>
      <c r="E20" s="235" t="s">
        <v>185</v>
      </c>
      <c r="F20" s="236">
        <v>44593</v>
      </c>
      <c r="G20" s="236">
        <v>44957</v>
      </c>
    </row>
    <row r="21" spans="1:7" ht="30" customHeight="1">
      <c r="A21" s="3">
        <v>25</v>
      </c>
      <c r="B21" s="197" t="s">
        <v>186</v>
      </c>
      <c r="C21" s="197" t="s">
        <v>34</v>
      </c>
      <c r="D21" s="237" t="s">
        <v>187</v>
      </c>
      <c r="E21" s="235" t="s">
        <v>188</v>
      </c>
      <c r="F21" s="236"/>
      <c r="G21" s="236"/>
    </row>
    <row r="22" spans="1:7" ht="30" customHeight="1">
      <c r="A22" s="3">
        <v>26</v>
      </c>
      <c r="B22" s="197" t="s">
        <v>189</v>
      </c>
      <c r="C22" s="197" t="s">
        <v>34</v>
      </c>
      <c r="D22" s="237" t="s">
        <v>190</v>
      </c>
      <c r="E22" s="235" t="s">
        <v>191</v>
      </c>
      <c r="F22" s="236"/>
      <c r="G22" s="236"/>
    </row>
    <row r="23" spans="1:7" ht="30" customHeight="1">
      <c r="A23" s="3">
        <v>27</v>
      </c>
      <c r="B23" s="192" t="s">
        <v>192</v>
      </c>
      <c r="C23" s="197" t="s">
        <v>193</v>
      </c>
      <c r="D23" s="237" t="s">
        <v>194</v>
      </c>
      <c r="E23" s="237" t="s">
        <v>195</v>
      </c>
      <c r="F23" s="238">
        <v>44835</v>
      </c>
      <c r="G23" s="238">
        <v>45170</v>
      </c>
    </row>
    <row r="24" spans="1:7" ht="30" customHeight="1">
      <c r="A24" s="3">
        <v>28</v>
      </c>
      <c r="B24" s="192" t="s">
        <v>196</v>
      </c>
      <c r="C24" s="197" t="s">
        <v>19</v>
      </c>
      <c r="D24" s="237" t="s">
        <v>180</v>
      </c>
      <c r="E24" s="235"/>
      <c r="F24" s="236"/>
      <c r="G24" s="236"/>
    </row>
    <row r="25" spans="1:7" ht="30" customHeight="1">
      <c r="A25" s="3">
        <v>29</v>
      </c>
      <c r="B25" s="192" t="s">
        <v>197</v>
      </c>
      <c r="C25" s="197" t="s">
        <v>198</v>
      </c>
      <c r="D25" s="237" t="s">
        <v>199</v>
      </c>
      <c r="E25" s="237" t="s">
        <v>200</v>
      </c>
      <c r="F25" s="238">
        <v>44845</v>
      </c>
      <c r="G25" s="238">
        <v>45209</v>
      </c>
    </row>
    <row r="26" spans="1:7" ht="30" customHeight="1">
      <c r="A26" s="3">
        <v>30</v>
      </c>
      <c r="B26" s="232" t="s">
        <v>201</v>
      </c>
      <c r="C26" s="232" t="s">
        <v>202</v>
      </c>
      <c r="D26" s="239" t="s">
        <v>203</v>
      </c>
      <c r="E26" s="240" t="s">
        <v>204</v>
      </c>
      <c r="F26" s="241">
        <v>44835</v>
      </c>
      <c r="G26" s="241">
        <v>45170</v>
      </c>
    </row>
    <row r="27" spans="1:7" ht="30" customHeight="1">
      <c r="A27" s="3">
        <v>31</v>
      </c>
      <c r="B27" s="197" t="s">
        <v>205</v>
      </c>
      <c r="C27" s="197" t="s">
        <v>19</v>
      </c>
      <c r="D27" s="237" t="s">
        <v>206</v>
      </c>
      <c r="E27" s="250" t="s">
        <v>207</v>
      </c>
      <c r="F27" s="236"/>
      <c r="G27" s="236"/>
    </row>
    <row r="28" spans="1:7" ht="30" customHeight="1">
      <c r="A28" s="3">
        <v>32</v>
      </c>
      <c r="B28" s="197" t="s">
        <v>208</v>
      </c>
      <c r="C28" s="197" t="s">
        <v>76</v>
      </c>
      <c r="D28" s="237" t="s">
        <v>209</v>
      </c>
      <c r="E28" s="235" t="s">
        <v>210</v>
      </c>
      <c r="F28" s="236">
        <v>44739</v>
      </c>
      <c r="G28" s="236">
        <v>45103</v>
      </c>
    </row>
    <row r="29" spans="1:7" ht="30" customHeight="1">
      <c r="A29" s="3">
        <v>33</v>
      </c>
      <c r="B29" s="197" t="s">
        <v>211</v>
      </c>
      <c r="C29" s="197" t="s">
        <v>19</v>
      </c>
      <c r="D29" s="237" t="s">
        <v>212</v>
      </c>
      <c r="E29" s="235"/>
      <c r="F29" s="236"/>
      <c r="G29" s="236"/>
    </row>
    <row r="30" spans="1:7" ht="30" customHeight="1">
      <c r="A30" s="3">
        <v>34</v>
      </c>
      <c r="B30" s="197" t="s">
        <v>213</v>
      </c>
      <c r="C30" s="197" t="s">
        <v>214</v>
      </c>
      <c r="D30" s="237" t="s">
        <v>215</v>
      </c>
      <c r="E30" s="235"/>
      <c r="F30" s="236"/>
      <c r="G30" s="236"/>
    </row>
    <row r="31" spans="1:7" ht="30" customHeight="1">
      <c r="A31" s="3">
        <v>35</v>
      </c>
      <c r="B31" s="192" t="s">
        <v>216</v>
      </c>
      <c r="C31" s="192" t="s">
        <v>34</v>
      </c>
      <c r="D31" s="3" t="s">
        <v>217</v>
      </c>
      <c r="E31" s="3"/>
      <c r="F31" s="242"/>
      <c r="G31" s="242"/>
    </row>
    <row r="32" spans="1:7" ht="30" customHeight="1">
      <c r="A32" s="3">
        <v>36</v>
      </c>
      <c r="B32" s="192" t="s">
        <v>218</v>
      </c>
      <c r="C32" s="192" t="s">
        <v>90</v>
      </c>
      <c r="D32" s="3" t="s">
        <v>219</v>
      </c>
      <c r="E32" s="3" t="s">
        <v>220</v>
      </c>
      <c r="F32" s="242"/>
      <c r="G32" s="242"/>
    </row>
    <row r="33" spans="1:7" ht="30" customHeight="1">
      <c r="A33" s="3">
        <v>37</v>
      </c>
      <c r="B33" s="192" t="s">
        <v>221</v>
      </c>
      <c r="C33" s="192" t="s">
        <v>29</v>
      </c>
      <c r="D33" s="3" t="s">
        <v>222</v>
      </c>
      <c r="E33" s="3"/>
      <c r="F33" s="242"/>
      <c r="G33" s="242"/>
    </row>
    <row r="34" spans="1:7" ht="30" customHeight="1">
      <c r="A34" s="3">
        <v>38</v>
      </c>
      <c r="B34" s="192" t="s">
        <v>223</v>
      </c>
      <c r="C34" s="192" t="s">
        <v>90</v>
      </c>
      <c r="D34" s="3" t="s">
        <v>161</v>
      </c>
      <c r="E34" s="3" t="s">
        <v>224</v>
      </c>
      <c r="F34" s="242" t="s">
        <v>225</v>
      </c>
      <c r="G34" s="242" t="s">
        <v>226</v>
      </c>
    </row>
    <row r="35" spans="1:7" ht="30" customHeight="1">
      <c r="A35" s="3">
        <v>39</v>
      </c>
      <c r="B35" s="192" t="s">
        <v>227</v>
      </c>
      <c r="C35" s="192" t="s">
        <v>76</v>
      </c>
      <c r="D35" s="3" t="s">
        <v>228</v>
      </c>
      <c r="E35" s="3" t="s">
        <v>229</v>
      </c>
      <c r="F35" s="242"/>
      <c r="G35" s="242"/>
    </row>
    <row r="36" spans="1:7" ht="30" customHeight="1">
      <c r="A36" s="3">
        <v>40</v>
      </c>
      <c r="B36" s="253" t="s">
        <v>230</v>
      </c>
      <c r="C36" s="192" t="s">
        <v>39</v>
      </c>
      <c r="D36" s="3" t="s">
        <v>231</v>
      </c>
      <c r="E36" s="3"/>
      <c r="F36" s="242"/>
      <c r="G36" s="242"/>
    </row>
    <row r="37" spans="1:7" ht="30" customHeight="1">
      <c r="A37" s="3">
        <v>41</v>
      </c>
      <c r="B37" s="192" t="s">
        <v>232</v>
      </c>
      <c r="C37" s="192" t="s">
        <v>19</v>
      </c>
      <c r="D37" s="3" t="s">
        <v>180</v>
      </c>
      <c r="E37" s="3"/>
      <c r="F37" s="242"/>
      <c r="G37" s="242"/>
    </row>
    <row r="38" spans="1:7" ht="30" customHeight="1">
      <c r="A38" s="3">
        <v>42</v>
      </c>
      <c r="B38" s="253" t="s">
        <v>233</v>
      </c>
      <c r="C38" s="192" t="s">
        <v>39</v>
      </c>
      <c r="D38" s="3" t="s">
        <v>190</v>
      </c>
      <c r="E38" s="3"/>
      <c r="F38" s="242"/>
      <c r="G38" s="242"/>
    </row>
    <row r="39" spans="1:7" ht="30" customHeight="1">
      <c r="A39" s="3">
        <v>43</v>
      </c>
      <c r="B39" s="253" t="s">
        <v>234</v>
      </c>
      <c r="C39" s="192" t="s">
        <v>39</v>
      </c>
      <c r="D39" s="3" t="s">
        <v>190</v>
      </c>
      <c r="E39" s="3"/>
      <c r="F39" s="242"/>
      <c r="G39" s="242"/>
    </row>
    <row r="40" spans="1:7" ht="30" customHeight="1">
      <c r="A40" s="3">
        <v>44</v>
      </c>
      <c r="B40" s="253" t="s">
        <v>235</v>
      </c>
      <c r="C40" s="192" t="s">
        <v>39</v>
      </c>
      <c r="D40" s="3" t="s">
        <v>236</v>
      </c>
      <c r="E40" s="3"/>
      <c r="F40" s="242"/>
      <c r="G40" s="242"/>
    </row>
    <row r="41" spans="1:7" ht="30" customHeight="1">
      <c r="A41" s="3">
        <v>45</v>
      </c>
      <c r="B41" s="192" t="s">
        <v>237</v>
      </c>
      <c r="C41" s="192" t="s">
        <v>90</v>
      </c>
      <c r="D41" s="3" t="s">
        <v>171</v>
      </c>
      <c r="E41" s="3" t="s">
        <v>172</v>
      </c>
      <c r="F41" s="242"/>
      <c r="G41" s="242"/>
    </row>
    <row r="42" spans="1:7" ht="30" customHeight="1">
      <c r="A42" s="3">
        <v>46</v>
      </c>
      <c r="B42" s="150" t="s">
        <v>238</v>
      </c>
      <c r="C42" s="192" t="s">
        <v>34</v>
      </c>
      <c r="D42" s="3" t="s">
        <v>239</v>
      </c>
      <c r="E42" s="3" t="s">
        <v>240</v>
      </c>
      <c r="F42" s="243">
        <v>44682</v>
      </c>
      <c r="G42" s="243">
        <v>45017</v>
      </c>
    </row>
    <row r="43" spans="1:7" ht="30" customHeight="1">
      <c r="A43" s="3">
        <v>47</v>
      </c>
      <c r="B43" s="192" t="s">
        <v>241</v>
      </c>
      <c r="C43" s="192" t="s">
        <v>76</v>
      </c>
      <c r="D43" s="3" t="s">
        <v>242</v>
      </c>
      <c r="E43" s="3" t="s">
        <v>243</v>
      </c>
      <c r="F43" s="246" t="s">
        <v>244</v>
      </c>
      <c r="G43" s="242"/>
    </row>
    <row r="44" spans="1:7" ht="30" customHeight="1">
      <c r="A44" s="3">
        <v>48</v>
      </c>
      <c r="B44" s="192" t="s">
        <v>245</v>
      </c>
      <c r="C44" s="192" t="s">
        <v>76</v>
      </c>
      <c r="D44" s="3" t="s">
        <v>246</v>
      </c>
      <c r="E44" s="3" t="s">
        <v>247</v>
      </c>
      <c r="F44" s="242"/>
      <c r="G44" s="242"/>
    </row>
    <row r="45" spans="1:7" ht="30" customHeight="1">
      <c r="A45" s="3">
        <v>49</v>
      </c>
      <c r="B45" s="192" t="s">
        <v>248</v>
      </c>
      <c r="C45" s="192" t="s">
        <v>19</v>
      </c>
      <c r="D45" s="3" t="s">
        <v>249</v>
      </c>
      <c r="E45" s="3"/>
      <c r="F45" s="242"/>
      <c r="G45" s="242"/>
    </row>
    <row r="46" spans="1:7" ht="30" customHeight="1">
      <c r="A46" s="3">
        <v>50</v>
      </c>
      <c r="B46" s="192" t="s">
        <v>27</v>
      </c>
      <c r="C46" s="192" t="s">
        <v>250</v>
      </c>
      <c r="D46" s="3" t="s">
        <v>251</v>
      </c>
      <c r="E46" s="3"/>
      <c r="F46" s="242"/>
      <c r="G46" s="242"/>
    </row>
    <row r="47" spans="1:7" ht="30" customHeight="1">
      <c r="A47" s="3">
        <v>51</v>
      </c>
      <c r="B47" s="192" t="s">
        <v>26</v>
      </c>
      <c r="C47" s="192" t="s">
        <v>252</v>
      </c>
      <c r="D47" s="3" t="s">
        <v>253</v>
      </c>
      <c r="E47" s="3"/>
      <c r="F47" s="242"/>
      <c r="G47" s="242"/>
    </row>
    <row r="48" spans="1:7" ht="30" customHeight="1">
      <c r="A48" s="3">
        <v>52</v>
      </c>
      <c r="B48" s="192" t="s">
        <v>254</v>
      </c>
      <c r="C48" s="192" t="s">
        <v>19</v>
      </c>
      <c r="D48" s="3"/>
      <c r="E48" s="3"/>
      <c r="F48" s="242"/>
      <c r="G48" s="242"/>
    </row>
    <row r="49" spans="1:7" ht="30" customHeight="1">
      <c r="A49" s="3">
        <v>53</v>
      </c>
      <c r="B49" s="244" t="s">
        <v>255</v>
      </c>
      <c r="C49" s="192" t="s">
        <v>90</v>
      </c>
      <c r="D49" s="3" t="s">
        <v>256</v>
      </c>
      <c r="E49" s="3" t="s">
        <v>257</v>
      </c>
      <c r="F49" s="242"/>
      <c r="G49" s="242"/>
    </row>
    <row r="50" spans="1:7" ht="30" customHeight="1">
      <c r="A50" s="3">
        <v>54</v>
      </c>
      <c r="B50" s="253" t="s">
        <v>258</v>
      </c>
      <c r="C50" s="192" t="s">
        <v>39</v>
      </c>
      <c r="D50" s="242" t="s">
        <v>259</v>
      </c>
      <c r="E50" s="3"/>
      <c r="F50" s="242"/>
      <c r="G50" s="242"/>
    </row>
    <row r="51" spans="1:7" ht="30" customHeight="1">
      <c r="A51" s="3">
        <v>55</v>
      </c>
      <c r="B51" s="253" t="s">
        <v>260</v>
      </c>
      <c r="C51" s="192" t="s">
        <v>39</v>
      </c>
      <c r="D51" s="3" t="s">
        <v>261</v>
      </c>
      <c r="E51" s="3"/>
      <c r="F51" s="242"/>
      <c r="G51" s="242"/>
    </row>
    <row r="52" spans="1:7" ht="30" customHeight="1">
      <c r="A52" s="3">
        <v>56</v>
      </c>
      <c r="B52" s="192" t="s">
        <v>262</v>
      </c>
      <c r="C52" s="192" t="s">
        <v>90</v>
      </c>
      <c r="D52" s="3" t="s">
        <v>263</v>
      </c>
      <c r="E52" s="3" t="s">
        <v>264</v>
      </c>
      <c r="F52" s="242">
        <v>44662</v>
      </c>
      <c r="G52" s="242">
        <v>45026</v>
      </c>
    </row>
    <row r="53" spans="1:7" ht="30" customHeight="1">
      <c r="A53" s="3">
        <v>57</v>
      </c>
      <c r="B53" s="253" t="s">
        <v>265</v>
      </c>
      <c r="C53" s="192" t="s">
        <v>39</v>
      </c>
      <c r="D53" s="3" t="s">
        <v>266</v>
      </c>
      <c r="E53" s="3"/>
      <c r="F53" s="242"/>
      <c r="G53" s="247"/>
    </row>
    <row r="54" spans="1:7" ht="30" customHeight="1">
      <c r="A54" s="3">
        <v>58</v>
      </c>
      <c r="B54" s="253" t="s">
        <v>267</v>
      </c>
      <c r="C54" s="192" t="s">
        <v>39</v>
      </c>
      <c r="D54" s="3" t="s">
        <v>266</v>
      </c>
      <c r="E54" s="3"/>
      <c r="F54" s="242"/>
      <c r="G54" s="247"/>
    </row>
    <row r="55" spans="1:7" ht="30" customHeight="1">
      <c r="A55" s="3">
        <v>59</v>
      </c>
      <c r="B55" s="253" t="s">
        <v>268</v>
      </c>
      <c r="C55" s="192" t="s">
        <v>39</v>
      </c>
      <c r="D55" s="3" t="s">
        <v>263</v>
      </c>
      <c r="E55" s="3"/>
      <c r="F55" s="242"/>
      <c r="G55" s="247"/>
    </row>
    <row r="56" spans="1:7" ht="30" customHeight="1">
      <c r="A56" s="3">
        <v>60</v>
      </c>
      <c r="B56" s="253" t="s">
        <v>269</v>
      </c>
      <c r="C56" s="192" t="s">
        <v>39</v>
      </c>
      <c r="D56" s="3" t="s">
        <v>270</v>
      </c>
      <c r="E56" s="3"/>
      <c r="F56" s="242"/>
      <c r="G56" s="247"/>
    </row>
    <row r="57" spans="1:7" ht="30" customHeight="1">
      <c r="A57" s="3">
        <v>61</v>
      </c>
      <c r="B57" s="192" t="s">
        <v>271</v>
      </c>
      <c r="C57" s="192" t="s">
        <v>34</v>
      </c>
      <c r="D57" s="3" t="s">
        <v>272</v>
      </c>
      <c r="E57" s="3" t="s">
        <v>273</v>
      </c>
      <c r="F57" s="242"/>
      <c r="G57" s="247"/>
    </row>
    <row r="58" spans="1:7" ht="30" customHeight="1">
      <c r="A58" s="3">
        <v>62</v>
      </c>
      <c r="B58" s="192" t="s">
        <v>274</v>
      </c>
      <c r="C58" s="192" t="s">
        <v>275</v>
      </c>
      <c r="D58" s="3" t="s">
        <v>276</v>
      </c>
      <c r="E58" s="3" t="s">
        <v>277</v>
      </c>
      <c r="F58" s="242"/>
      <c r="G58" s="247"/>
    </row>
    <row r="59" spans="1:7" ht="30" customHeight="1">
      <c r="A59" s="3">
        <v>66</v>
      </c>
      <c r="B59" s="192" t="s">
        <v>278</v>
      </c>
      <c r="C59" s="192" t="s">
        <v>34</v>
      </c>
      <c r="D59" s="3" t="s">
        <v>184</v>
      </c>
      <c r="E59" s="3" t="s">
        <v>185</v>
      </c>
      <c r="F59" s="242"/>
      <c r="G59" s="247"/>
    </row>
    <row r="60" spans="1:7" ht="30" customHeight="1">
      <c r="A60" s="3">
        <v>67</v>
      </c>
      <c r="B60" s="192" t="s">
        <v>279</v>
      </c>
      <c r="C60" s="192" t="s">
        <v>34</v>
      </c>
      <c r="D60" s="3" t="s">
        <v>184</v>
      </c>
      <c r="E60" s="3" t="s">
        <v>185</v>
      </c>
      <c r="F60" s="242"/>
      <c r="G60" s="247"/>
    </row>
    <row r="61" spans="1:7" ht="30" customHeight="1">
      <c r="A61" s="3">
        <v>68</v>
      </c>
      <c r="B61" s="150" t="s">
        <v>280</v>
      </c>
      <c r="C61" s="192" t="s">
        <v>34</v>
      </c>
      <c r="D61" s="3" t="s">
        <v>281</v>
      </c>
      <c r="E61" s="3" t="s">
        <v>282</v>
      </c>
      <c r="F61" s="242"/>
      <c r="G61" s="247"/>
    </row>
    <row r="62" spans="1:7" ht="30" customHeight="1">
      <c r="A62" s="3">
        <v>69</v>
      </c>
      <c r="B62" s="245" t="s">
        <v>283</v>
      </c>
      <c r="C62" s="192" t="s">
        <v>37</v>
      </c>
      <c r="D62" s="242">
        <v>44818</v>
      </c>
      <c r="E62" s="242">
        <v>45182</v>
      </c>
      <c r="F62" s="242"/>
      <c r="G62" s="243"/>
    </row>
    <row r="63" spans="1:7" ht="30" customHeight="1">
      <c r="A63" s="3">
        <v>70</v>
      </c>
      <c r="B63" s="245" t="s">
        <v>284</v>
      </c>
      <c r="C63" s="192" t="s">
        <v>37</v>
      </c>
      <c r="D63" s="242">
        <v>44819</v>
      </c>
      <c r="E63" s="242">
        <v>45183</v>
      </c>
      <c r="F63" s="242"/>
      <c r="G63" s="243"/>
    </row>
    <row r="64" spans="1:7" ht="30" customHeight="1">
      <c r="A64" s="3">
        <v>71</v>
      </c>
      <c r="B64" s="245" t="s">
        <v>285</v>
      </c>
      <c r="C64" s="192" t="s">
        <v>37</v>
      </c>
      <c r="D64" s="242">
        <v>44819</v>
      </c>
      <c r="E64" s="242">
        <v>45183</v>
      </c>
      <c r="F64" s="242"/>
      <c r="G64" s="243"/>
    </row>
    <row r="65" spans="1:7" ht="30" customHeight="1">
      <c r="A65" s="3">
        <v>72</v>
      </c>
      <c r="B65" s="245" t="s">
        <v>286</v>
      </c>
      <c r="C65" s="192" t="s">
        <v>37</v>
      </c>
      <c r="D65" s="242">
        <v>44823</v>
      </c>
      <c r="E65" s="242">
        <v>45187</v>
      </c>
      <c r="F65" s="242"/>
      <c r="G65" s="243"/>
    </row>
    <row r="66" spans="1:7" ht="30" customHeight="1">
      <c r="A66" s="3">
        <v>73</v>
      </c>
      <c r="B66" s="229" t="s">
        <v>287</v>
      </c>
      <c r="C66" s="197" t="s">
        <v>288</v>
      </c>
      <c r="D66" s="3" t="s">
        <v>289</v>
      </c>
      <c r="E66" s="3" t="s">
        <v>290</v>
      </c>
      <c r="F66" s="242"/>
      <c r="G66" s="243"/>
    </row>
    <row r="67" spans="1:7" ht="30" customHeight="1">
      <c r="A67" s="3">
        <v>74</v>
      </c>
      <c r="B67" s="192" t="s">
        <v>291</v>
      </c>
      <c r="C67" s="192" t="s">
        <v>76</v>
      </c>
      <c r="D67" s="242">
        <v>44782</v>
      </c>
      <c r="E67" s="242">
        <v>45177</v>
      </c>
      <c r="F67" s="242"/>
      <c r="G67" s="243"/>
    </row>
    <row r="68" spans="1:7" ht="30" customHeight="1">
      <c r="A68" s="3">
        <v>75</v>
      </c>
      <c r="B68" s="253" t="s">
        <v>292</v>
      </c>
      <c r="C68" s="192" t="s">
        <v>39</v>
      </c>
      <c r="D68" s="3"/>
      <c r="E68" s="248">
        <v>44835</v>
      </c>
      <c r="F68" s="242"/>
      <c r="G68" s="243"/>
    </row>
    <row r="69" spans="1:7" ht="30" customHeight="1">
      <c r="A69" s="3">
        <v>76</v>
      </c>
      <c r="B69" s="253" t="s">
        <v>293</v>
      </c>
      <c r="C69" s="192" t="s">
        <v>39</v>
      </c>
      <c r="D69" s="3"/>
      <c r="E69" s="248">
        <v>44835</v>
      </c>
      <c r="F69" s="242"/>
      <c r="G69" s="243"/>
    </row>
    <row r="70" spans="1:7" ht="30" customHeight="1">
      <c r="A70" s="3">
        <v>77</v>
      </c>
      <c r="B70" s="253" t="s">
        <v>294</v>
      </c>
      <c r="C70" s="192" t="s">
        <v>39</v>
      </c>
      <c r="D70" s="3"/>
      <c r="E70" s="248">
        <v>44835</v>
      </c>
      <c r="F70" s="242"/>
      <c r="G70" s="243"/>
    </row>
    <row r="71" spans="1:7" ht="30" customHeight="1">
      <c r="A71" s="3">
        <v>78</v>
      </c>
      <c r="B71" s="253" t="s">
        <v>295</v>
      </c>
      <c r="C71" s="192" t="s">
        <v>39</v>
      </c>
      <c r="D71" s="3"/>
      <c r="E71" s="248">
        <v>44835</v>
      </c>
      <c r="F71" s="242"/>
      <c r="G71" s="243"/>
    </row>
    <row r="72" spans="1:7" ht="30" customHeight="1">
      <c r="A72" s="3">
        <v>79</v>
      </c>
      <c r="B72" s="192" t="s">
        <v>296</v>
      </c>
      <c r="C72" s="192" t="s">
        <v>76</v>
      </c>
      <c r="D72" s="242">
        <v>44826</v>
      </c>
      <c r="E72" s="242">
        <v>45190</v>
      </c>
      <c r="F72" s="242"/>
      <c r="G72" s="243"/>
    </row>
    <row r="73" spans="1:7" ht="30" customHeight="1">
      <c r="A73" s="3">
        <v>80</v>
      </c>
      <c r="B73" s="192" t="s">
        <v>119</v>
      </c>
      <c r="C73" s="192" t="s">
        <v>76</v>
      </c>
      <c r="D73" s="242">
        <v>44826</v>
      </c>
      <c r="E73" s="242">
        <v>45190</v>
      </c>
      <c r="F73" s="242"/>
      <c r="G73" s="243"/>
    </row>
    <row r="74" spans="1:7" ht="30" customHeight="1">
      <c r="A74" s="3">
        <v>81</v>
      </c>
      <c r="B74" s="252" t="s">
        <v>297</v>
      </c>
      <c r="C74" s="192" t="s">
        <v>39</v>
      </c>
      <c r="D74" s="242">
        <v>44839</v>
      </c>
      <c r="E74" s="242">
        <v>45203</v>
      </c>
      <c r="F74" s="242"/>
      <c r="G74" s="243"/>
    </row>
    <row r="75" spans="1:7" ht="30" customHeight="1">
      <c r="A75" s="3">
        <v>82</v>
      </c>
      <c r="B75" s="192" t="s">
        <v>298</v>
      </c>
      <c r="C75" s="192" t="s">
        <v>299</v>
      </c>
      <c r="D75" s="242">
        <v>44827</v>
      </c>
      <c r="E75" s="242">
        <v>45191</v>
      </c>
      <c r="F75" s="242"/>
      <c r="G75" s="243"/>
    </row>
    <row r="76" spans="1:7" ht="30" customHeight="1">
      <c r="A76" s="3">
        <v>83</v>
      </c>
      <c r="B76" s="150" t="s">
        <v>300</v>
      </c>
      <c r="C76" s="192" t="s">
        <v>32</v>
      </c>
      <c r="D76" s="242">
        <v>44452</v>
      </c>
      <c r="E76" s="242">
        <v>45181</v>
      </c>
      <c r="F76" s="242"/>
      <c r="G76" s="243"/>
    </row>
    <row r="77" spans="1:7" ht="30" customHeight="1">
      <c r="A77" s="3">
        <v>84</v>
      </c>
      <c r="B77" s="192" t="s">
        <v>301</v>
      </c>
      <c r="C77" s="192" t="s">
        <v>299</v>
      </c>
      <c r="D77" s="242">
        <v>44452</v>
      </c>
      <c r="E77" s="242">
        <v>44816</v>
      </c>
      <c r="F77" s="242"/>
      <c r="G77" s="243"/>
    </row>
    <row r="78" spans="1:7" ht="30" customHeight="1">
      <c r="A78" s="3">
        <v>85</v>
      </c>
      <c r="B78" s="192" t="s">
        <v>302</v>
      </c>
      <c r="C78" s="192" t="s">
        <v>299</v>
      </c>
      <c r="D78" s="242">
        <v>44449</v>
      </c>
      <c r="E78" s="242">
        <v>44813</v>
      </c>
      <c r="F78" s="242"/>
      <c r="G78" s="243"/>
    </row>
    <row r="79" spans="1:7" ht="30" customHeight="1">
      <c r="A79" s="3">
        <v>86</v>
      </c>
      <c r="B79" s="192" t="s">
        <v>31</v>
      </c>
      <c r="C79" s="192" t="s">
        <v>32</v>
      </c>
      <c r="D79" s="242">
        <v>44417</v>
      </c>
      <c r="E79" s="242">
        <v>45146</v>
      </c>
      <c r="F79" s="242"/>
      <c r="G79" s="243"/>
    </row>
    <row r="80" spans="1:7" ht="30" customHeight="1">
      <c r="A80" s="3">
        <v>87</v>
      </c>
      <c r="B80" s="192" t="s">
        <v>303</v>
      </c>
      <c r="C80" s="192" t="s">
        <v>32</v>
      </c>
      <c r="D80" s="242">
        <v>44403</v>
      </c>
      <c r="E80" s="242">
        <v>45132</v>
      </c>
      <c r="F80" s="242"/>
      <c r="G80" s="243"/>
    </row>
    <row r="81" spans="1:7" ht="30" customHeight="1">
      <c r="A81" s="3">
        <v>88</v>
      </c>
      <c r="B81" s="192" t="s">
        <v>304</v>
      </c>
      <c r="C81" s="192" t="s">
        <v>32</v>
      </c>
      <c r="D81" s="242">
        <v>44272</v>
      </c>
      <c r="E81" s="242">
        <v>45001</v>
      </c>
      <c r="F81" s="242"/>
      <c r="G81" s="243"/>
    </row>
    <row r="82" spans="1:7" ht="30" customHeight="1">
      <c r="A82" s="3">
        <v>89</v>
      </c>
      <c r="B82" s="192" t="s">
        <v>305</v>
      </c>
      <c r="C82" s="192" t="s">
        <v>34</v>
      </c>
      <c r="D82" s="242">
        <v>44845</v>
      </c>
      <c r="E82" s="242">
        <v>45209</v>
      </c>
      <c r="F82" s="242"/>
      <c r="G82" s="243"/>
    </row>
    <row r="83" spans="1:7" ht="30" customHeight="1">
      <c r="A83" s="3">
        <v>90</v>
      </c>
      <c r="B83" s="252" t="s">
        <v>306</v>
      </c>
      <c r="C83" s="192" t="s">
        <v>39</v>
      </c>
      <c r="D83" s="242">
        <v>44763</v>
      </c>
      <c r="E83" s="242">
        <v>45092</v>
      </c>
      <c r="F83" s="242"/>
      <c r="G83" s="243"/>
    </row>
    <row r="84" spans="1:7" ht="30" customHeight="1">
      <c r="A84" s="3">
        <v>91</v>
      </c>
      <c r="B84" s="252" t="s">
        <v>307</v>
      </c>
      <c r="C84" s="192" t="s">
        <v>39</v>
      </c>
      <c r="D84" s="242">
        <v>44762</v>
      </c>
      <c r="E84" s="242">
        <v>45092</v>
      </c>
      <c r="F84" s="242"/>
      <c r="G84" s="243"/>
    </row>
    <row r="85" spans="1:7" ht="30" customHeight="1">
      <c r="A85" s="3">
        <v>92</v>
      </c>
      <c r="B85" s="252" t="s">
        <v>308</v>
      </c>
      <c r="C85" s="192" t="s">
        <v>39</v>
      </c>
      <c r="D85" s="242">
        <v>44762</v>
      </c>
      <c r="E85" s="242" t="s">
        <v>309</v>
      </c>
      <c r="F85" s="242"/>
      <c r="G85" s="243"/>
    </row>
    <row r="86" spans="1:7" ht="30" customHeight="1">
      <c r="A86" s="3">
        <v>93</v>
      </c>
      <c r="B86" s="192" t="s">
        <v>310</v>
      </c>
      <c r="C86" s="192" t="s">
        <v>76</v>
      </c>
      <c r="D86" s="242">
        <v>44714</v>
      </c>
      <c r="E86" s="242">
        <v>45078</v>
      </c>
      <c r="F86" s="242"/>
      <c r="G86" s="243"/>
    </row>
    <row r="87" spans="1:7" ht="30" customHeight="1">
      <c r="A87" s="3">
        <v>94</v>
      </c>
      <c r="B87" s="192" t="s">
        <v>311</v>
      </c>
      <c r="C87" s="192" t="s">
        <v>76</v>
      </c>
      <c r="D87" s="242">
        <v>45078</v>
      </c>
      <c r="E87" s="242">
        <v>45077</v>
      </c>
      <c r="F87" s="242"/>
      <c r="G87" s="243"/>
    </row>
    <row r="88" spans="1:7" ht="30" customHeight="1">
      <c r="A88" s="3">
        <v>95</v>
      </c>
      <c r="B88" s="252" t="s">
        <v>312</v>
      </c>
      <c r="C88" s="192" t="s">
        <v>39</v>
      </c>
      <c r="D88" s="242">
        <v>44682</v>
      </c>
      <c r="E88" s="242">
        <v>45017</v>
      </c>
      <c r="F88" s="242">
        <v>45003</v>
      </c>
      <c r="G88" s="243"/>
    </row>
    <row r="89" spans="1:7" ht="30" customHeight="1">
      <c r="A89" s="3">
        <v>96</v>
      </c>
      <c r="B89" s="252" t="s">
        <v>313</v>
      </c>
      <c r="C89" s="192" t="s">
        <v>39</v>
      </c>
      <c r="D89" s="242">
        <v>44696</v>
      </c>
      <c r="E89" s="3" t="s">
        <v>314</v>
      </c>
      <c r="F89" s="242"/>
      <c r="G89" s="243"/>
    </row>
    <row r="90" spans="1:7" ht="30" customHeight="1">
      <c r="A90" s="3">
        <v>97</v>
      </c>
      <c r="B90" s="192" t="s">
        <v>315</v>
      </c>
      <c r="C90" s="192" t="s">
        <v>76</v>
      </c>
      <c r="D90" s="242">
        <v>44670</v>
      </c>
      <c r="E90" s="242">
        <v>45034</v>
      </c>
      <c r="F90" s="242"/>
      <c r="G90" s="243"/>
    </row>
    <row r="91" spans="1:7" ht="30" customHeight="1">
      <c r="A91" s="3">
        <v>98</v>
      </c>
      <c r="B91" s="252" t="s">
        <v>316</v>
      </c>
      <c r="C91" s="192" t="s">
        <v>39</v>
      </c>
      <c r="D91" s="242">
        <v>44675</v>
      </c>
      <c r="E91" s="248">
        <v>44986</v>
      </c>
      <c r="F91" s="242"/>
      <c r="G91" s="243"/>
    </row>
    <row r="92" spans="1:7" ht="30" customHeight="1">
      <c r="A92" s="3">
        <v>99</v>
      </c>
      <c r="B92" s="192" t="s">
        <v>317</v>
      </c>
      <c r="C92" s="192" t="s">
        <v>76</v>
      </c>
      <c r="D92" s="242">
        <v>44670</v>
      </c>
      <c r="E92" s="242">
        <v>45034</v>
      </c>
      <c r="F92" s="242"/>
      <c r="G92" s="243"/>
    </row>
    <row r="93" spans="1:7" ht="30" customHeight="1">
      <c r="A93" s="3">
        <v>100</v>
      </c>
      <c r="B93" s="192" t="s">
        <v>318</v>
      </c>
      <c r="C93" s="192" t="s">
        <v>76</v>
      </c>
      <c r="D93" s="248">
        <v>44670</v>
      </c>
      <c r="E93" s="242">
        <v>45034</v>
      </c>
      <c r="F93" s="242"/>
      <c r="G93" s="243"/>
    </row>
    <row r="94" spans="1:7" ht="30" customHeight="1">
      <c r="A94" s="3">
        <v>101</v>
      </c>
      <c r="B94" s="192" t="s">
        <v>319</v>
      </c>
      <c r="C94" s="192" t="s">
        <v>76</v>
      </c>
      <c r="D94" s="242">
        <v>44673</v>
      </c>
      <c r="E94" s="242">
        <v>45037</v>
      </c>
      <c r="F94" s="242"/>
      <c r="G94" s="243"/>
    </row>
    <row r="95" spans="1:7" ht="30" customHeight="1">
      <c r="A95" s="3">
        <v>102</v>
      </c>
      <c r="B95" s="192" t="s">
        <v>320</v>
      </c>
      <c r="C95" s="192" t="s">
        <v>76</v>
      </c>
      <c r="D95" s="242">
        <v>44670</v>
      </c>
      <c r="E95" s="242">
        <v>45034</v>
      </c>
      <c r="F95" s="242"/>
      <c r="G95" s="243"/>
    </row>
    <row r="96" spans="1:7" ht="30" customHeight="1">
      <c r="A96" s="3">
        <v>103</v>
      </c>
      <c r="B96" s="192" t="s">
        <v>321</v>
      </c>
      <c r="C96" s="192" t="s">
        <v>76</v>
      </c>
      <c r="D96" s="242">
        <v>44670</v>
      </c>
      <c r="E96" s="242">
        <v>45034</v>
      </c>
      <c r="F96" s="242"/>
      <c r="G96" s="243"/>
    </row>
    <row r="97" spans="1:7" ht="30" customHeight="1">
      <c r="A97" s="3">
        <v>104</v>
      </c>
      <c r="B97" s="192" t="s">
        <v>322</v>
      </c>
      <c r="C97" s="192" t="s">
        <v>76</v>
      </c>
      <c r="D97" s="242">
        <v>44670</v>
      </c>
      <c r="E97" s="242">
        <v>45034</v>
      </c>
      <c r="F97" s="242"/>
      <c r="G97" s="243"/>
    </row>
    <row r="98" spans="1:7" ht="30" customHeight="1">
      <c r="A98" s="3">
        <v>105</v>
      </c>
      <c r="B98" s="192" t="s">
        <v>323</v>
      </c>
      <c r="C98" s="192" t="s">
        <v>76</v>
      </c>
      <c r="D98" s="242">
        <v>44676</v>
      </c>
      <c r="E98" s="242">
        <v>45040</v>
      </c>
      <c r="F98" s="242"/>
      <c r="G98" s="243"/>
    </row>
    <row r="99" spans="1:7" ht="30" customHeight="1">
      <c r="A99" s="3">
        <v>106</v>
      </c>
      <c r="B99" s="192" t="s">
        <v>324</v>
      </c>
      <c r="C99" s="192" t="s">
        <v>76</v>
      </c>
      <c r="D99" s="242">
        <v>44670</v>
      </c>
      <c r="E99" s="242">
        <v>45034</v>
      </c>
      <c r="F99" s="242"/>
      <c r="G99" s="243"/>
    </row>
    <row r="100" spans="1:7" ht="30" customHeight="1">
      <c r="A100" s="3">
        <v>107</v>
      </c>
      <c r="B100" s="252" t="s">
        <v>325</v>
      </c>
      <c r="C100" s="192" t="s">
        <v>39</v>
      </c>
      <c r="D100" s="242">
        <v>45041</v>
      </c>
      <c r="E100" s="248">
        <v>44986</v>
      </c>
      <c r="F100" s="242"/>
      <c r="G100" s="243"/>
    </row>
    <row r="101" spans="1:7" ht="30" customHeight="1">
      <c r="A101" s="3">
        <v>108</v>
      </c>
      <c r="B101" s="244" t="s">
        <v>326</v>
      </c>
      <c r="C101" s="192" t="s">
        <v>39</v>
      </c>
      <c r="D101" s="242">
        <v>44671</v>
      </c>
      <c r="E101" s="3" t="s">
        <v>327</v>
      </c>
      <c r="F101" s="242"/>
      <c r="G101" s="243"/>
    </row>
    <row r="102" spans="1:7" ht="30" customHeight="1">
      <c r="A102" s="3">
        <v>109</v>
      </c>
      <c r="B102" s="253" t="s">
        <v>328</v>
      </c>
      <c r="C102" s="192" t="s">
        <v>39</v>
      </c>
      <c r="D102" s="242">
        <v>44651</v>
      </c>
      <c r="E102" s="3" t="s">
        <v>329</v>
      </c>
      <c r="F102" s="3"/>
    </row>
    <row r="103" spans="1:7" ht="30" customHeight="1">
      <c r="A103" s="3">
        <v>110</v>
      </c>
      <c r="B103" s="192" t="s">
        <v>330</v>
      </c>
      <c r="C103" s="192" t="s">
        <v>76</v>
      </c>
      <c r="D103" s="242">
        <v>44595</v>
      </c>
      <c r="E103" s="242">
        <v>44959</v>
      </c>
      <c r="F103" s="3"/>
    </row>
    <row r="104" spans="1:7" ht="30" customHeight="1">
      <c r="A104" s="3">
        <v>111</v>
      </c>
      <c r="B104" s="244" t="s">
        <v>331</v>
      </c>
      <c r="C104" s="192" t="s">
        <v>39</v>
      </c>
      <c r="D104" s="242">
        <v>44592</v>
      </c>
      <c r="E104" s="242">
        <v>44889</v>
      </c>
      <c r="F104" s="3"/>
    </row>
    <row r="105" spans="1:7" ht="30" customHeight="1">
      <c r="A105" s="3">
        <v>112</v>
      </c>
      <c r="B105" s="244" t="s">
        <v>332</v>
      </c>
      <c r="C105" s="192" t="s">
        <v>39</v>
      </c>
      <c r="D105" s="242">
        <v>44592</v>
      </c>
      <c r="E105" s="242">
        <v>44889</v>
      </c>
      <c r="F105" s="3"/>
    </row>
    <row r="106" spans="1:7" ht="30" customHeight="1">
      <c r="A106" s="3">
        <v>113</v>
      </c>
      <c r="B106" s="192" t="s">
        <v>333</v>
      </c>
      <c r="C106" s="192" t="s">
        <v>34</v>
      </c>
      <c r="D106" s="242">
        <v>44593</v>
      </c>
      <c r="E106" s="242">
        <v>44957</v>
      </c>
      <c r="F106" s="3"/>
    </row>
    <row r="107" spans="1:7" ht="30" customHeight="1">
      <c r="A107" s="3">
        <v>114</v>
      </c>
      <c r="B107" s="253" t="s">
        <v>334</v>
      </c>
      <c r="C107" s="192" t="s">
        <v>39</v>
      </c>
      <c r="D107" s="242">
        <v>44589</v>
      </c>
      <c r="E107" s="242">
        <v>44889</v>
      </c>
      <c r="F107" s="3"/>
    </row>
    <row r="108" spans="1:7" ht="30" customHeight="1">
      <c r="A108" s="3">
        <v>115</v>
      </c>
      <c r="B108" s="244" t="s">
        <v>335</v>
      </c>
      <c r="C108" s="192" t="s">
        <v>39</v>
      </c>
      <c r="D108" s="242">
        <v>44587</v>
      </c>
      <c r="E108" s="242">
        <v>44889</v>
      </c>
      <c r="F108" s="3"/>
    </row>
    <row r="109" spans="1:7" ht="30" customHeight="1">
      <c r="A109" s="3">
        <v>116</v>
      </c>
      <c r="B109" s="244" t="s">
        <v>336</v>
      </c>
      <c r="C109" s="192" t="s">
        <v>39</v>
      </c>
      <c r="D109" s="242">
        <v>44587</v>
      </c>
      <c r="E109" s="242">
        <v>44889</v>
      </c>
      <c r="F109" s="3"/>
    </row>
    <row r="110" spans="1:7" ht="30" customHeight="1">
      <c r="A110" s="3">
        <v>117</v>
      </c>
      <c r="B110" s="244" t="s">
        <v>337</v>
      </c>
      <c r="C110" s="192" t="s">
        <v>39</v>
      </c>
      <c r="D110" s="242">
        <v>44581</v>
      </c>
      <c r="E110" s="242">
        <v>44889</v>
      </c>
      <c r="F110" s="3"/>
    </row>
    <row r="111" spans="1:7" ht="30" customHeight="1">
      <c r="A111" s="3">
        <v>118</v>
      </c>
      <c r="B111" s="244" t="s">
        <v>338</v>
      </c>
      <c r="C111" s="192" t="s">
        <v>39</v>
      </c>
      <c r="D111" s="242">
        <v>44580</v>
      </c>
      <c r="E111" s="242">
        <v>44889</v>
      </c>
      <c r="F111" s="3"/>
    </row>
    <row r="112" spans="1:7" ht="30" customHeight="1">
      <c r="A112" s="3">
        <v>119</v>
      </c>
      <c r="B112" s="244" t="s">
        <v>339</v>
      </c>
      <c r="C112" s="192" t="s">
        <v>39</v>
      </c>
      <c r="D112" s="242">
        <v>44580</v>
      </c>
      <c r="E112" s="242">
        <v>44889</v>
      </c>
      <c r="F112" s="3"/>
    </row>
    <row r="113" spans="1:6" ht="30" customHeight="1">
      <c r="A113" s="3">
        <v>120</v>
      </c>
      <c r="B113" s="244" t="s">
        <v>340</v>
      </c>
      <c r="C113" s="192" t="s">
        <v>39</v>
      </c>
      <c r="D113" s="242">
        <v>44579</v>
      </c>
      <c r="E113" s="242">
        <v>44889</v>
      </c>
      <c r="F113" s="3"/>
    </row>
    <row r="114" spans="1:6" ht="30" customHeight="1">
      <c r="A114" s="3">
        <v>121</v>
      </c>
      <c r="B114" s="244" t="s">
        <v>341</v>
      </c>
      <c r="C114" s="192" t="s">
        <v>39</v>
      </c>
      <c r="D114" s="242">
        <v>44578</v>
      </c>
      <c r="E114" s="242">
        <v>44889</v>
      </c>
      <c r="F114" s="3"/>
    </row>
    <row r="115" spans="1:6" ht="30" customHeight="1">
      <c r="A115" s="3">
        <v>122</v>
      </c>
      <c r="B115" s="252" t="s">
        <v>342</v>
      </c>
      <c r="C115" s="192" t="s">
        <v>39</v>
      </c>
      <c r="D115" s="242">
        <v>44573</v>
      </c>
      <c r="E115" s="242">
        <v>44889</v>
      </c>
      <c r="F115" s="3"/>
    </row>
    <row r="116" spans="1:6" ht="30" customHeight="1">
      <c r="A116" s="3">
        <v>123</v>
      </c>
      <c r="B116" s="244" t="s">
        <v>343</v>
      </c>
      <c r="C116" s="192" t="s">
        <v>39</v>
      </c>
      <c r="D116" s="242">
        <v>44573</v>
      </c>
      <c r="E116" s="242">
        <v>44889</v>
      </c>
      <c r="F116" s="3"/>
    </row>
    <row r="117" spans="1:6" ht="30" customHeight="1">
      <c r="A117" s="3">
        <v>125</v>
      </c>
      <c r="B117" s="192"/>
      <c r="C117" s="192"/>
      <c r="D117" s="3"/>
      <c r="E117" s="3"/>
      <c r="F117" s="3"/>
    </row>
    <row r="118" spans="1:6" ht="30" customHeight="1">
      <c r="A118" s="3">
        <v>126</v>
      </c>
      <c r="B118" s="192"/>
      <c r="C118" s="192"/>
      <c r="D118" s="3"/>
      <c r="E118" s="3"/>
      <c r="F118" s="3"/>
    </row>
    <row r="119" spans="1:6" ht="30" customHeight="1">
      <c r="A119" s="3">
        <v>127</v>
      </c>
      <c r="B119" s="192"/>
      <c r="C119" s="192"/>
      <c r="D119" s="3"/>
      <c r="E119" s="3"/>
      <c r="F119" s="3"/>
    </row>
    <row r="120" spans="1:6" ht="30" customHeight="1">
      <c r="A120" s="3">
        <v>128</v>
      </c>
      <c r="B120" s="3"/>
      <c r="C120" s="3"/>
      <c r="D120" s="3"/>
      <c r="E120" s="3"/>
      <c r="F120" s="3"/>
    </row>
  </sheetData>
  <mergeCells count="2">
    <mergeCell ref="B1:D1"/>
    <mergeCell ref="B2:D2"/>
  </mergeCells>
  <pageMargins left="0.5" right="0" top="0" bottom="0.06" header="0.13" footer="0.01"/>
  <pageSetup paperSize="9" scale="70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3"/>
  <sheetViews>
    <sheetView view="pageBreakPreview" zoomScale="78" zoomScaleNormal="100" zoomScaleSheetLayoutView="78" workbookViewId="0">
      <pane xSplit="5" ySplit="3" topLeftCell="F44" activePane="bottomRight" state="frozen"/>
      <selection pane="bottomRight" activeCell="J49" sqref="J49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34.42578125" style="1" customWidth="1"/>
    <col min="3" max="3" width="22.28515625" style="1" customWidth="1"/>
    <col min="4" max="4" width="20.42578125" style="1" customWidth="1"/>
    <col min="5" max="5" width="19.28515625" style="1" customWidth="1"/>
    <col min="6" max="6" width="18.5703125" style="1" customWidth="1"/>
    <col min="7" max="7" width="23.5703125" style="1" customWidth="1"/>
    <col min="8" max="8" width="21.5703125" style="1" customWidth="1"/>
    <col min="9" max="9" width="12.85546875" style="1" customWidth="1"/>
    <col min="10" max="10" width="14.42578125" style="1" customWidth="1"/>
    <col min="11" max="16384" width="9.140625" style="1"/>
  </cols>
  <sheetData>
    <row r="1" spans="1:8" ht="52.5" customHeight="1">
      <c r="A1" s="330" t="s">
        <v>344</v>
      </c>
      <c r="B1" s="331"/>
      <c r="C1" s="331"/>
      <c r="D1" s="331"/>
      <c r="E1" s="331"/>
      <c r="F1" s="331"/>
      <c r="G1" s="334"/>
    </row>
    <row r="2" spans="1:8" ht="2.25" customHeight="1">
      <c r="A2" s="23"/>
      <c r="B2" s="103"/>
      <c r="C2" s="103"/>
      <c r="D2" s="103"/>
      <c r="E2" s="23"/>
      <c r="F2" s="23"/>
      <c r="G2" s="23"/>
    </row>
    <row r="3" spans="1:8" ht="58.5" customHeight="1">
      <c r="A3" s="224" t="s">
        <v>1</v>
      </c>
      <c r="B3" s="272" t="s">
        <v>2</v>
      </c>
      <c r="C3" s="224" t="s">
        <v>3</v>
      </c>
      <c r="D3" s="224" t="s">
        <v>4</v>
      </c>
      <c r="E3" s="224" t="s">
        <v>5</v>
      </c>
      <c r="F3" s="224" t="s">
        <v>6</v>
      </c>
      <c r="G3" s="223" t="s">
        <v>345</v>
      </c>
    </row>
    <row r="4" spans="1:8" ht="44.25" customHeight="1">
      <c r="A4" s="33"/>
      <c r="B4" s="34"/>
      <c r="C4" s="27"/>
      <c r="D4" s="28"/>
      <c r="E4" s="28"/>
      <c r="F4" s="28"/>
      <c r="G4" s="225" t="s">
        <v>148</v>
      </c>
    </row>
    <row r="5" spans="1:8" ht="24.95" customHeight="1">
      <c r="A5" s="73">
        <v>1</v>
      </c>
      <c r="B5" s="181" t="s">
        <v>89</v>
      </c>
      <c r="C5" s="31" t="s">
        <v>90</v>
      </c>
      <c r="D5" s="122">
        <f>300000</f>
        <v>300000</v>
      </c>
      <c r="E5" s="122">
        <f>0</f>
        <v>0</v>
      </c>
      <c r="F5" s="265">
        <f>D5+E5</f>
        <v>300000</v>
      </c>
      <c r="G5" s="265">
        <f>F5/2</f>
        <v>150000</v>
      </c>
    </row>
    <row r="6" spans="1:8" ht="24.95" customHeight="1">
      <c r="A6" s="73">
        <v>2</v>
      </c>
      <c r="B6" s="57" t="s">
        <v>14</v>
      </c>
      <c r="C6" s="59" t="s">
        <v>15</v>
      </c>
      <c r="D6" s="134">
        <f>136027.8</f>
        <v>136027.79999999999</v>
      </c>
      <c r="E6" s="134">
        <f>60000</f>
        <v>60000</v>
      </c>
      <c r="F6" s="265">
        <f t="shared" ref="F6:F48" si="0">D6+E6</f>
        <v>196027.8</v>
      </c>
      <c r="G6" s="265">
        <f t="shared" ref="G6:G48" si="1">F6/2</f>
        <v>98013.9</v>
      </c>
      <c r="H6" s="187"/>
    </row>
    <row r="7" spans="1:8" ht="24.95" customHeight="1">
      <c r="A7" s="73">
        <v>3</v>
      </c>
      <c r="B7" s="181" t="s">
        <v>16</v>
      </c>
      <c r="C7" s="181" t="s">
        <v>17</v>
      </c>
      <c r="D7" s="124">
        <v>90000</v>
      </c>
      <c r="E7" s="122">
        <v>30000</v>
      </c>
      <c r="F7" s="265">
        <f t="shared" si="0"/>
        <v>120000</v>
      </c>
      <c r="G7" s="265">
        <f t="shared" si="1"/>
        <v>60000</v>
      </c>
    </row>
    <row r="8" spans="1:8" ht="24.95" customHeight="1">
      <c r="A8" s="73">
        <v>4</v>
      </c>
      <c r="B8" s="181" t="s">
        <v>18</v>
      </c>
      <c r="C8" s="181" t="s">
        <v>19</v>
      </c>
      <c r="D8" s="124">
        <v>45000</v>
      </c>
      <c r="E8" s="122">
        <v>15000</v>
      </c>
      <c r="F8" s="265">
        <f t="shared" si="0"/>
        <v>60000</v>
      </c>
      <c r="G8" s="265">
        <f t="shared" si="1"/>
        <v>30000</v>
      </c>
    </row>
    <row r="9" spans="1:8" ht="24.95" customHeight="1">
      <c r="A9" s="73">
        <v>5</v>
      </c>
      <c r="B9" s="181" t="s">
        <v>20</v>
      </c>
      <c r="C9" s="181" t="s">
        <v>21</v>
      </c>
      <c r="D9" s="124">
        <v>45000</v>
      </c>
      <c r="E9" s="122">
        <v>15000</v>
      </c>
      <c r="F9" s="265">
        <f t="shared" si="0"/>
        <v>60000</v>
      </c>
      <c r="G9" s="265">
        <f t="shared" si="1"/>
        <v>30000</v>
      </c>
    </row>
    <row r="10" spans="1:8" ht="24.95" customHeight="1">
      <c r="A10" s="73">
        <v>6</v>
      </c>
      <c r="B10" s="181" t="s">
        <v>22</v>
      </c>
      <c r="C10" s="181" t="s">
        <v>23</v>
      </c>
      <c r="D10" s="124">
        <v>45000</v>
      </c>
      <c r="E10" s="122">
        <v>15000</v>
      </c>
      <c r="F10" s="265">
        <f t="shared" si="0"/>
        <v>60000</v>
      </c>
      <c r="G10" s="265">
        <f t="shared" si="1"/>
        <v>30000</v>
      </c>
    </row>
    <row r="11" spans="1:8" ht="24.95" customHeight="1">
      <c r="A11" s="73">
        <v>7</v>
      </c>
      <c r="B11" s="31" t="s">
        <v>346</v>
      </c>
      <c r="C11" s="181" t="s">
        <v>19</v>
      </c>
      <c r="D11" s="124">
        <f>90000</f>
        <v>90000</v>
      </c>
      <c r="E11" s="122">
        <v>30000</v>
      </c>
      <c r="F11" s="265">
        <f t="shared" si="0"/>
        <v>120000</v>
      </c>
      <c r="G11" s="265">
        <f t="shared" si="1"/>
        <v>60000</v>
      </c>
    </row>
    <row r="12" spans="1:8" ht="24.95" customHeight="1">
      <c r="A12" s="73">
        <v>8</v>
      </c>
      <c r="B12" s="181" t="s">
        <v>24</v>
      </c>
      <c r="C12" s="181" t="s">
        <v>25</v>
      </c>
      <c r="D12" s="124">
        <f>50000</f>
        <v>50000</v>
      </c>
      <c r="E12" s="122">
        <v>15000</v>
      </c>
      <c r="F12" s="265">
        <f t="shared" si="0"/>
        <v>65000</v>
      </c>
      <c r="G12" s="265">
        <f t="shared" si="1"/>
        <v>32500</v>
      </c>
    </row>
    <row r="13" spans="1:8" ht="24.95" customHeight="1">
      <c r="A13" s="73">
        <v>9</v>
      </c>
      <c r="B13" s="181" t="s">
        <v>26</v>
      </c>
      <c r="C13" s="181" t="s">
        <v>25</v>
      </c>
      <c r="D13" s="124">
        <f>50000</f>
        <v>50000</v>
      </c>
      <c r="E13" s="122">
        <v>15000</v>
      </c>
      <c r="F13" s="265">
        <f t="shared" si="0"/>
        <v>65000</v>
      </c>
      <c r="G13" s="265">
        <f t="shared" si="1"/>
        <v>32500</v>
      </c>
    </row>
    <row r="14" spans="1:8" ht="24.95" customHeight="1">
      <c r="A14" s="73">
        <v>10</v>
      </c>
      <c r="B14" s="181" t="s">
        <v>27</v>
      </c>
      <c r="C14" s="181" t="s">
        <v>23</v>
      </c>
      <c r="D14" s="124">
        <f>60000</f>
        <v>60000</v>
      </c>
      <c r="E14" s="122">
        <v>20000</v>
      </c>
      <c r="F14" s="265">
        <f t="shared" si="0"/>
        <v>80000</v>
      </c>
      <c r="G14" s="265">
        <f t="shared" si="1"/>
        <v>40000</v>
      </c>
    </row>
    <row r="15" spans="1:8" ht="24.95" customHeight="1">
      <c r="A15" s="73">
        <v>11</v>
      </c>
      <c r="B15" s="249" t="s">
        <v>238</v>
      </c>
      <c r="C15" s="181" t="s">
        <v>34</v>
      </c>
      <c r="D15" s="124">
        <f>300000</f>
        <v>300000</v>
      </c>
      <c r="E15" s="122"/>
      <c r="F15" s="265">
        <f t="shared" si="0"/>
        <v>300000</v>
      </c>
      <c r="G15" s="265">
        <f t="shared" si="1"/>
        <v>150000</v>
      </c>
    </row>
    <row r="16" spans="1:8" ht="24.95" customHeight="1">
      <c r="A16" s="73">
        <v>12</v>
      </c>
      <c r="B16" s="181" t="s">
        <v>93</v>
      </c>
      <c r="C16" s="181" t="s">
        <v>92</v>
      </c>
      <c r="D16" s="124">
        <f>500000</f>
        <v>500000</v>
      </c>
      <c r="E16" s="122">
        <f>0</f>
        <v>0</v>
      </c>
      <c r="F16" s="265">
        <f t="shared" si="0"/>
        <v>500000</v>
      </c>
      <c r="G16" s="265">
        <f t="shared" si="1"/>
        <v>250000</v>
      </c>
    </row>
    <row r="17" spans="1:8" ht="24.95" customHeight="1">
      <c r="A17" s="73">
        <v>13</v>
      </c>
      <c r="B17" s="31" t="s">
        <v>347</v>
      </c>
      <c r="C17" s="31" t="s">
        <v>90</v>
      </c>
      <c r="D17" s="124">
        <v>300000</v>
      </c>
      <c r="E17" s="122">
        <v>0</v>
      </c>
      <c r="F17" s="265">
        <f t="shared" si="0"/>
        <v>300000</v>
      </c>
      <c r="G17" s="265">
        <f t="shared" si="1"/>
        <v>150000</v>
      </c>
    </row>
    <row r="18" spans="1:8" ht="24.95" customHeight="1">
      <c r="A18" s="73">
        <v>14</v>
      </c>
      <c r="B18" s="31" t="s">
        <v>28</v>
      </c>
      <c r="C18" s="31" t="s">
        <v>29</v>
      </c>
      <c r="D18" s="124">
        <f>70000</f>
        <v>70000</v>
      </c>
      <c r="E18" s="122">
        <v>20000</v>
      </c>
      <c r="F18" s="265">
        <f t="shared" si="0"/>
        <v>90000</v>
      </c>
      <c r="G18" s="265">
        <f t="shared" si="1"/>
        <v>45000</v>
      </c>
    </row>
    <row r="19" spans="1:8" ht="24.95" customHeight="1">
      <c r="A19" s="73">
        <v>15</v>
      </c>
      <c r="B19" s="31" t="s">
        <v>30</v>
      </c>
      <c r="C19" s="31" t="s">
        <v>19</v>
      </c>
      <c r="D19" s="124">
        <f>90000</f>
        <v>90000</v>
      </c>
      <c r="E19" s="122">
        <v>30000</v>
      </c>
      <c r="F19" s="265">
        <f t="shared" si="0"/>
        <v>120000</v>
      </c>
      <c r="G19" s="265">
        <f t="shared" si="1"/>
        <v>60000</v>
      </c>
    </row>
    <row r="20" spans="1:8" ht="24.95" customHeight="1">
      <c r="A20" s="73">
        <v>16</v>
      </c>
      <c r="B20" s="31" t="s">
        <v>348</v>
      </c>
      <c r="C20" s="31" t="s">
        <v>19</v>
      </c>
      <c r="D20" s="217">
        <f>90000</f>
        <v>90000</v>
      </c>
      <c r="E20" s="122">
        <f>30000</f>
        <v>30000</v>
      </c>
      <c r="F20" s="265">
        <f t="shared" si="0"/>
        <v>120000</v>
      </c>
      <c r="G20" s="265">
        <f t="shared" si="1"/>
        <v>60000</v>
      </c>
    </row>
    <row r="21" spans="1:8" ht="24.95" customHeight="1">
      <c r="A21" s="73">
        <v>17</v>
      </c>
      <c r="B21" s="31" t="s">
        <v>349</v>
      </c>
      <c r="C21" s="31" t="s">
        <v>19</v>
      </c>
      <c r="D21" s="217">
        <f>90000</f>
        <v>90000</v>
      </c>
      <c r="E21" s="122">
        <f>30000</f>
        <v>30000</v>
      </c>
      <c r="F21" s="265">
        <f t="shared" si="0"/>
        <v>120000</v>
      </c>
      <c r="G21" s="265">
        <f t="shared" si="1"/>
        <v>60000</v>
      </c>
    </row>
    <row r="22" spans="1:8" ht="24.95" customHeight="1">
      <c r="A22" s="73">
        <v>18</v>
      </c>
      <c r="B22" s="31" t="s">
        <v>31</v>
      </c>
      <c r="C22" s="31" t="s">
        <v>32</v>
      </c>
      <c r="D22" s="217">
        <f>105352.17</f>
        <v>105352.17</v>
      </c>
      <c r="E22" s="216">
        <f>(60000+50000)</f>
        <v>110000</v>
      </c>
      <c r="F22" s="265">
        <f t="shared" si="0"/>
        <v>215352.16999999998</v>
      </c>
      <c r="G22" s="265">
        <f t="shared" si="1"/>
        <v>107676.08499999999</v>
      </c>
    </row>
    <row r="23" spans="1:8" ht="24.95" customHeight="1">
      <c r="A23" s="73">
        <v>19</v>
      </c>
      <c r="B23" s="59" t="s">
        <v>350</v>
      </c>
      <c r="C23" s="31" t="s">
        <v>351</v>
      </c>
      <c r="D23" s="217">
        <f>90000</f>
        <v>90000</v>
      </c>
      <c r="E23" s="216">
        <f>30000</f>
        <v>30000</v>
      </c>
      <c r="F23" s="265">
        <f t="shared" si="0"/>
        <v>120000</v>
      </c>
      <c r="G23" s="265">
        <f t="shared" si="1"/>
        <v>60000</v>
      </c>
    </row>
    <row r="24" spans="1:8" ht="24.95" customHeight="1">
      <c r="A24" s="73">
        <v>20</v>
      </c>
      <c r="B24" s="59" t="s">
        <v>352</v>
      </c>
      <c r="C24" s="31" t="s">
        <v>39</v>
      </c>
      <c r="D24" s="217">
        <v>15000</v>
      </c>
      <c r="E24" s="216">
        <v>0</v>
      </c>
      <c r="F24" s="265">
        <f t="shared" si="0"/>
        <v>15000</v>
      </c>
      <c r="G24" s="265">
        <f t="shared" si="1"/>
        <v>7500</v>
      </c>
    </row>
    <row r="25" spans="1:8" ht="24.95" customHeight="1">
      <c r="A25" s="73">
        <v>21</v>
      </c>
      <c r="B25" s="59" t="s">
        <v>126</v>
      </c>
      <c r="C25" s="31" t="s">
        <v>19</v>
      </c>
      <c r="D25" s="217">
        <v>90000</v>
      </c>
      <c r="E25" s="216">
        <f>30000</f>
        <v>30000</v>
      </c>
      <c r="F25" s="265">
        <f t="shared" si="0"/>
        <v>120000</v>
      </c>
      <c r="G25" s="265">
        <f t="shared" si="1"/>
        <v>60000</v>
      </c>
      <c r="H25" s="187"/>
    </row>
    <row r="26" spans="1:8" ht="24.95" customHeight="1">
      <c r="A26" s="73">
        <v>22</v>
      </c>
      <c r="B26" s="59" t="s">
        <v>353</v>
      </c>
      <c r="C26" s="31" t="s">
        <v>34</v>
      </c>
      <c r="D26" s="217">
        <f>399385.82</f>
        <v>399385.82</v>
      </c>
      <c r="E26" s="216">
        <f>160000</f>
        <v>160000</v>
      </c>
      <c r="F26" s="265">
        <f t="shared" si="0"/>
        <v>559385.82000000007</v>
      </c>
      <c r="G26" s="265">
        <f t="shared" si="1"/>
        <v>279692.91000000003</v>
      </c>
    </row>
    <row r="27" spans="1:8" ht="24.95" customHeight="1">
      <c r="A27" s="73">
        <v>23</v>
      </c>
      <c r="B27" s="227" t="s">
        <v>328</v>
      </c>
      <c r="C27" s="31" t="s">
        <v>39</v>
      </c>
      <c r="D27" s="217">
        <f>15000</f>
        <v>15000</v>
      </c>
      <c r="E27" s="216">
        <v>0</v>
      </c>
      <c r="F27" s="265">
        <f t="shared" si="0"/>
        <v>15000</v>
      </c>
      <c r="G27" s="265">
        <f t="shared" si="1"/>
        <v>7500</v>
      </c>
    </row>
    <row r="28" spans="1:8" ht="24.95" customHeight="1">
      <c r="A28" s="73">
        <v>24</v>
      </c>
      <c r="B28" s="227" t="s">
        <v>354</v>
      </c>
      <c r="C28" s="31" t="s">
        <v>39</v>
      </c>
      <c r="D28" s="217">
        <v>15000</v>
      </c>
      <c r="E28" s="216"/>
      <c r="F28" s="265">
        <f t="shared" si="0"/>
        <v>15000</v>
      </c>
      <c r="G28" s="265">
        <f t="shared" si="1"/>
        <v>7500</v>
      </c>
    </row>
    <row r="29" spans="1:8" ht="24.95" customHeight="1">
      <c r="A29" s="73">
        <v>25</v>
      </c>
      <c r="B29" s="227" t="s">
        <v>316</v>
      </c>
      <c r="C29" s="31" t="s">
        <v>39</v>
      </c>
      <c r="D29" s="217">
        <v>15000</v>
      </c>
      <c r="E29" s="216"/>
      <c r="F29" s="265">
        <f t="shared" si="0"/>
        <v>15000</v>
      </c>
      <c r="G29" s="265">
        <f t="shared" si="1"/>
        <v>7500</v>
      </c>
    </row>
    <row r="30" spans="1:8" ht="24.95" customHeight="1">
      <c r="A30" s="73">
        <v>26</v>
      </c>
      <c r="B30" s="227" t="s">
        <v>355</v>
      </c>
      <c r="C30" s="31" t="s">
        <v>39</v>
      </c>
      <c r="D30" s="217">
        <v>15000</v>
      </c>
      <c r="E30" s="216"/>
      <c r="F30" s="265">
        <f t="shared" si="0"/>
        <v>15000</v>
      </c>
      <c r="G30" s="265">
        <f t="shared" si="1"/>
        <v>7500</v>
      </c>
    </row>
    <row r="31" spans="1:8" ht="24.95" customHeight="1">
      <c r="A31" s="73">
        <v>27</v>
      </c>
      <c r="B31" s="227" t="s">
        <v>356</v>
      </c>
      <c r="C31" s="31" t="s">
        <v>39</v>
      </c>
      <c r="D31" s="217">
        <v>15000</v>
      </c>
      <c r="E31" s="216"/>
      <c r="F31" s="265">
        <f t="shared" si="0"/>
        <v>15000</v>
      </c>
      <c r="G31" s="265">
        <f t="shared" si="1"/>
        <v>7500</v>
      </c>
    </row>
    <row r="32" spans="1:8" ht="24.95" customHeight="1">
      <c r="A32" s="73">
        <v>28</v>
      </c>
      <c r="B32" s="227" t="s">
        <v>308</v>
      </c>
      <c r="C32" s="31" t="s">
        <v>39</v>
      </c>
      <c r="D32" s="217">
        <v>15000</v>
      </c>
      <c r="E32" s="216"/>
      <c r="F32" s="265">
        <f t="shared" si="0"/>
        <v>15000</v>
      </c>
      <c r="G32" s="265">
        <f t="shared" si="1"/>
        <v>7500</v>
      </c>
    </row>
    <row r="33" spans="1:10" ht="24.95" customHeight="1">
      <c r="A33" s="73">
        <v>29</v>
      </c>
      <c r="B33" s="227" t="s">
        <v>306</v>
      </c>
      <c r="C33" s="31" t="s">
        <v>39</v>
      </c>
      <c r="D33" s="217">
        <v>15000</v>
      </c>
      <c r="E33" s="216"/>
      <c r="F33" s="265">
        <f t="shared" si="0"/>
        <v>15000</v>
      </c>
      <c r="G33" s="265">
        <f t="shared" si="1"/>
        <v>7500</v>
      </c>
    </row>
    <row r="34" spans="1:10" ht="24.95" customHeight="1">
      <c r="A34" s="73">
        <v>30</v>
      </c>
      <c r="B34" s="227" t="s">
        <v>357</v>
      </c>
      <c r="C34" s="31" t="s">
        <v>39</v>
      </c>
      <c r="D34" s="217">
        <v>15000</v>
      </c>
      <c r="E34" s="216"/>
      <c r="F34" s="265">
        <f t="shared" si="0"/>
        <v>15000</v>
      </c>
      <c r="G34" s="265">
        <f t="shared" si="1"/>
        <v>7500</v>
      </c>
    </row>
    <row r="35" spans="1:10" ht="24.95" customHeight="1">
      <c r="A35" s="73">
        <v>31</v>
      </c>
      <c r="B35" s="227" t="s">
        <v>283</v>
      </c>
      <c r="C35" s="31" t="s">
        <v>37</v>
      </c>
      <c r="D35" s="217">
        <f>123329.05</f>
        <v>123329.05</v>
      </c>
      <c r="E35" s="216">
        <v>50000</v>
      </c>
      <c r="F35" s="265">
        <f t="shared" si="0"/>
        <v>173329.05</v>
      </c>
      <c r="G35" s="265">
        <f t="shared" si="1"/>
        <v>86664.524999999994</v>
      </c>
    </row>
    <row r="36" spans="1:10" ht="24.95" customHeight="1">
      <c r="A36" s="73">
        <v>32</v>
      </c>
      <c r="B36" s="227" t="s">
        <v>284</v>
      </c>
      <c r="C36" s="31" t="s">
        <v>37</v>
      </c>
      <c r="D36" s="217">
        <f>'[3]Nils Salary Structure'!$H$36</f>
        <v>168601.58333333334</v>
      </c>
      <c r="E36" s="216">
        <v>100000</v>
      </c>
      <c r="F36" s="265">
        <f t="shared" si="0"/>
        <v>268601.58333333337</v>
      </c>
      <c r="G36" s="265">
        <f t="shared" si="1"/>
        <v>134300.79166666669</v>
      </c>
    </row>
    <row r="37" spans="1:10" ht="24.95" customHeight="1">
      <c r="A37" s="73">
        <v>33</v>
      </c>
      <c r="B37" s="227" t="s">
        <v>285</v>
      </c>
      <c r="C37" s="31" t="s">
        <v>37</v>
      </c>
      <c r="D37" s="217">
        <f>'[3]Nils Salary Structure'!$H$35</f>
        <v>145203.66666666666</v>
      </c>
      <c r="E37" s="216">
        <v>100000</v>
      </c>
      <c r="F37" s="265">
        <f t="shared" si="0"/>
        <v>245203.66666666666</v>
      </c>
      <c r="G37" s="265">
        <f t="shared" si="1"/>
        <v>122601.83333333333</v>
      </c>
    </row>
    <row r="38" spans="1:10" ht="24.95" customHeight="1">
      <c r="A38" s="73">
        <v>34</v>
      </c>
      <c r="B38" s="227" t="s">
        <v>286</v>
      </c>
      <c r="C38" s="31" t="s">
        <v>37</v>
      </c>
      <c r="D38" s="217">
        <f>123329.05</f>
        <v>123329.05</v>
      </c>
      <c r="E38" s="216">
        <v>50000</v>
      </c>
      <c r="F38" s="265">
        <f t="shared" si="0"/>
        <v>173329.05</v>
      </c>
      <c r="G38" s="265">
        <f t="shared" si="1"/>
        <v>86664.524999999994</v>
      </c>
      <c r="H38" s="212"/>
    </row>
    <row r="39" spans="1:10" ht="24.95" customHeight="1">
      <c r="A39" s="73">
        <v>35</v>
      </c>
      <c r="B39" s="227" t="s">
        <v>296</v>
      </c>
      <c r="C39" s="31" t="s">
        <v>37</v>
      </c>
      <c r="D39" s="217">
        <f>'[4]October 2022'!$R$108-60000</f>
        <v>244895.91326215054</v>
      </c>
      <c r="E39" s="216">
        <v>60000</v>
      </c>
      <c r="F39" s="265">
        <f t="shared" si="0"/>
        <v>304895.91326215054</v>
      </c>
      <c r="G39" s="265">
        <f t="shared" si="1"/>
        <v>152447.95663107527</v>
      </c>
    </row>
    <row r="40" spans="1:10" ht="24.95" customHeight="1">
      <c r="A40" s="73">
        <v>36</v>
      </c>
      <c r="B40" s="227" t="s">
        <v>119</v>
      </c>
      <c r="C40" s="31" t="s">
        <v>37</v>
      </c>
      <c r="D40" s="120">
        <f>205372.08</f>
        <v>205372.08</v>
      </c>
      <c r="E40" s="216">
        <v>110000</v>
      </c>
      <c r="F40" s="265">
        <f t="shared" si="0"/>
        <v>315372.07999999996</v>
      </c>
      <c r="G40" s="265">
        <f t="shared" si="1"/>
        <v>157686.03999999998</v>
      </c>
      <c r="H40" s="8"/>
      <c r="I40" s="8"/>
      <c r="J40" s="8"/>
    </row>
    <row r="41" spans="1:10" ht="30" customHeight="1">
      <c r="A41" s="73">
        <v>37</v>
      </c>
      <c r="B41" s="227" t="s">
        <v>305</v>
      </c>
      <c r="C41" s="31" t="s">
        <v>34</v>
      </c>
      <c r="D41" s="217">
        <v>328759.88</v>
      </c>
      <c r="E41" s="216">
        <v>160000</v>
      </c>
      <c r="F41" s="265">
        <f t="shared" si="0"/>
        <v>488759.88</v>
      </c>
      <c r="G41" s="265">
        <f t="shared" si="1"/>
        <v>244379.94</v>
      </c>
      <c r="H41" s="8"/>
      <c r="I41" s="8"/>
      <c r="J41" s="8"/>
    </row>
    <row r="42" spans="1:10" ht="33" customHeight="1">
      <c r="A42" s="73">
        <v>38</v>
      </c>
      <c r="B42" s="255" t="s">
        <v>310</v>
      </c>
      <c r="C42" s="31" t="s">
        <v>37</v>
      </c>
      <c r="D42" s="217">
        <f>268602.07775-100000</f>
        <v>168602.07775</v>
      </c>
      <c r="E42" s="216">
        <v>100000</v>
      </c>
      <c r="F42" s="265">
        <f t="shared" si="0"/>
        <v>268602.07775</v>
      </c>
      <c r="G42" s="265">
        <f t="shared" si="1"/>
        <v>134301.038875</v>
      </c>
    </row>
    <row r="43" spans="1:10" ht="33" customHeight="1">
      <c r="A43" s="73">
        <v>39</v>
      </c>
      <c r="B43" s="276" t="s">
        <v>358</v>
      </c>
      <c r="C43" s="31" t="s">
        <v>39</v>
      </c>
      <c r="D43" s="217">
        <v>15000</v>
      </c>
      <c r="E43" s="216"/>
      <c r="F43" s="265">
        <f t="shared" si="0"/>
        <v>15000</v>
      </c>
      <c r="G43" s="265">
        <f t="shared" si="1"/>
        <v>7500</v>
      </c>
    </row>
    <row r="44" spans="1:10" ht="33" customHeight="1">
      <c r="A44" s="73">
        <v>40</v>
      </c>
      <c r="B44" s="276" t="s">
        <v>359</v>
      </c>
      <c r="C44" s="31" t="s">
        <v>39</v>
      </c>
      <c r="D44" s="217">
        <v>15000</v>
      </c>
      <c r="E44" s="216"/>
      <c r="F44" s="265">
        <f t="shared" si="0"/>
        <v>15000</v>
      </c>
      <c r="G44" s="265">
        <f t="shared" si="1"/>
        <v>7500</v>
      </c>
    </row>
    <row r="45" spans="1:10" ht="33" customHeight="1">
      <c r="A45" s="73">
        <v>41</v>
      </c>
      <c r="B45" s="276" t="s">
        <v>360</v>
      </c>
      <c r="C45" s="31" t="s">
        <v>39</v>
      </c>
      <c r="D45" s="217">
        <v>15000</v>
      </c>
      <c r="E45" s="216"/>
      <c r="F45" s="265">
        <f t="shared" si="0"/>
        <v>15000</v>
      </c>
      <c r="G45" s="265">
        <f t="shared" si="1"/>
        <v>7500</v>
      </c>
    </row>
    <row r="46" spans="1:10" ht="33" customHeight="1">
      <c r="A46" s="73">
        <v>42</v>
      </c>
      <c r="B46" s="276" t="s">
        <v>361</v>
      </c>
      <c r="C46" s="31" t="s">
        <v>39</v>
      </c>
      <c r="D46" s="217">
        <v>15000</v>
      </c>
      <c r="E46" s="216"/>
      <c r="F46" s="265">
        <f t="shared" si="0"/>
        <v>15000</v>
      </c>
      <c r="G46" s="265">
        <f t="shared" si="1"/>
        <v>7500</v>
      </c>
    </row>
    <row r="47" spans="1:10" ht="33" customHeight="1">
      <c r="A47" s="73">
        <v>43</v>
      </c>
      <c r="B47" s="276" t="s">
        <v>362</v>
      </c>
      <c r="C47" s="31" t="s">
        <v>39</v>
      </c>
      <c r="D47" s="217">
        <v>15000</v>
      </c>
      <c r="E47" s="216"/>
      <c r="F47" s="265">
        <f t="shared" si="0"/>
        <v>15000</v>
      </c>
      <c r="G47" s="265">
        <f t="shared" si="1"/>
        <v>7500</v>
      </c>
    </row>
    <row r="48" spans="1:10" ht="46.5" customHeight="1">
      <c r="A48" s="73">
        <v>44</v>
      </c>
      <c r="B48" s="255" t="s">
        <v>363</v>
      </c>
      <c r="C48" s="31" t="s">
        <v>34</v>
      </c>
      <c r="D48" s="217">
        <f>373267.83*0.77</f>
        <v>287416.2291</v>
      </c>
      <c r="E48" s="216">
        <f>160000*0.77</f>
        <v>123200</v>
      </c>
      <c r="F48" s="265">
        <f t="shared" si="0"/>
        <v>410616.2291</v>
      </c>
      <c r="G48" s="265">
        <f t="shared" si="1"/>
        <v>205308.11455</v>
      </c>
    </row>
    <row r="49" spans="1:7" ht="45.75" customHeight="1">
      <c r="A49" s="73"/>
      <c r="B49" s="33" t="s">
        <v>84</v>
      </c>
      <c r="C49" s="31"/>
      <c r="D49" s="251">
        <f>SUM(D5:D48)</f>
        <v>5041275.3201121502</v>
      </c>
      <c r="E49" s="251">
        <f>SUM(E5:E48)</f>
        <v>1508200</v>
      </c>
      <c r="F49" s="266">
        <f>SUM(F5:F48)</f>
        <v>6549475.3201121502</v>
      </c>
      <c r="G49" s="273">
        <f>SUM(G5:G48)</f>
        <v>3274737.6600560751</v>
      </c>
    </row>
    <row r="50" spans="1:7" ht="33" customHeight="1">
      <c r="A50" s="70"/>
      <c r="B50" s="23"/>
      <c r="C50" s="23"/>
      <c r="D50" s="267"/>
      <c r="E50" s="267"/>
      <c r="F50" s="268"/>
      <c r="G50" s="268"/>
    </row>
    <row r="51" spans="1:7" ht="27.75" customHeight="1">
      <c r="A51" s="337" t="s">
        <v>364</v>
      </c>
      <c r="B51" s="337"/>
      <c r="C51" s="337"/>
      <c r="D51" s="337"/>
      <c r="E51" s="337"/>
      <c r="F51" s="337"/>
      <c r="G51" s="337"/>
    </row>
    <row r="52" spans="1:7" ht="20.100000000000001" customHeight="1">
      <c r="A52" s="70"/>
      <c r="G52" s="1">
        <f>242808.11</f>
        <v>242808.11</v>
      </c>
    </row>
    <row r="53" spans="1:7" ht="20.100000000000001" customHeight="1">
      <c r="A53" s="70"/>
      <c r="G53" s="116"/>
    </row>
    <row r="54" spans="1:7" ht="20.100000000000001" customHeight="1">
      <c r="A54" s="70"/>
      <c r="G54" s="187"/>
    </row>
    <row r="55" spans="1:7" ht="20.100000000000001" customHeight="1">
      <c r="A55" s="70"/>
      <c r="C55" s="168"/>
      <c r="D55" s="168"/>
      <c r="E55" s="168"/>
      <c r="F55" s="187"/>
    </row>
    <row r="56" spans="1:7" ht="20.100000000000001" customHeight="1">
      <c r="A56" s="70"/>
      <c r="C56" s="168"/>
      <c r="D56" s="168"/>
      <c r="E56" s="168"/>
      <c r="F56" s="187"/>
    </row>
    <row r="57" spans="1:7" ht="20.100000000000001" customHeight="1">
      <c r="A57" s="70"/>
      <c r="C57" s="168"/>
      <c r="D57" s="168"/>
      <c r="E57" s="168"/>
      <c r="F57" s="187"/>
      <c r="G57" s="187"/>
    </row>
    <row r="58" spans="1:7" ht="20.100000000000001" customHeight="1">
      <c r="A58" s="70"/>
      <c r="C58" s="168"/>
      <c r="D58" s="168"/>
      <c r="E58" s="168"/>
    </row>
    <row r="59" spans="1:7" ht="20.100000000000001" customHeight="1">
      <c r="A59" s="70"/>
    </row>
    <row r="60" spans="1:7" ht="20.100000000000001" customHeight="1">
      <c r="A60" s="70"/>
    </row>
    <row r="61" spans="1:7" ht="20.100000000000001" customHeight="1">
      <c r="A61" s="70"/>
    </row>
    <row r="62" spans="1:7" ht="20.100000000000001" customHeight="1">
      <c r="A62" s="70"/>
    </row>
    <row r="63" spans="1:7" ht="20.100000000000001" customHeight="1">
      <c r="A63" s="70"/>
    </row>
    <row r="64" spans="1:7" ht="20.100000000000001" customHeight="1">
      <c r="A64" s="70"/>
    </row>
    <row r="65" spans="1:1" ht="20.100000000000001" customHeight="1">
      <c r="A65" s="70"/>
    </row>
    <row r="66" spans="1:1" ht="20.100000000000001" customHeight="1">
      <c r="A66" s="70"/>
    </row>
    <row r="67" spans="1:1" ht="20.100000000000001" customHeight="1">
      <c r="A67" s="70"/>
    </row>
    <row r="68" spans="1:1" ht="20.100000000000001" customHeight="1">
      <c r="A68" s="70"/>
    </row>
    <row r="69" spans="1:1" ht="20.100000000000001" customHeight="1">
      <c r="A69" s="70"/>
    </row>
    <row r="70" spans="1:1" ht="20.100000000000001" customHeight="1">
      <c r="A70" s="70"/>
    </row>
    <row r="71" spans="1:1" ht="20.100000000000001" customHeight="1">
      <c r="A71" s="70"/>
    </row>
    <row r="72" spans="1:1" ht="20.100000000000001" customHeight="1">
      <c r="A72" s="70"/>
    </row>
    <row r="73" spans="1:1" ht="20.100000000000001" customHeight="1">
      <c r="A73" s="70"/>
    </row>
    <row r="74" spans="1:1" ht="20.100000000000001" customHeight="1">
      <c r="A74" s="70"/>
    </row>
    <row r="75" spans="1:1" ht="20.100000000000001" customHeight="1">
      <c r="A75" s="70"/>
    </row>
    <row r="76" spans="1:1" ht="20.100000000000001" customHeight="1">
      <c r="A76" s="70"/>
    </row>
    <row r="77" spans="1:1" ht="20.100000000000001" customHeight="1">
      <c r="A77" s="70"/>
    </row>
    <row r="78" spans="1:1" ht="20.100000000000001" customHeight="1">
      <c r="A78" s="70"/>
    </row>
    <row r="79" spans="1:1" ht="20.100000000000001" customHeight="1">
      <c r="A79" s="70"/>
    </row>
    <row r="80" spans="1:1" ht="20.100000000000001" customHeight="1">
      <c r="A80" s="70"/>
    </row>
    <row r="81" spans="1:1" ht="20.100000000000001" customHeight="1">
      <c r="A81" s="70"/>
    </row>
    <row r="82" spans="1:1" ht="20.100000000000001" customHeight="1">
      <c r="A82" s="70"/>
    </row>
    <row r="83" spans="1:1" ht="20.100000000000001" customHeight="1">
      <c r="A83" s="70"/>
    </row>
    <row r="84" spans="1:1" ht="20.100000000000001" customHeight="1">
      <c r="A84" s="70"/>
    </row>
    <row r="85" spans="1:1" ht="20.100000000000001" customHeight="1">
      <c r="A85" s="70"/>
    </row>
    <row r="86" spans="1:1" ht="20.100000000000001" customHeight="1">
      <c r="A86" s="70"/>
    </row>
    <row r="87" spans="1:1" ht="20.100000000000001" customHeight="1">
      <c r="A87" s="70"/>
    </row>
    <row r="88" spans="1:1" ht="20.100000000000001" customHeight="1">
      <c r="A88" s="70"/>
    </row>
    <row r="89" spans="1:1" ht="20.100000000000001" customHeight="1">
      <c r="A89" s="70"/>
    </row>
    <row r="90" spans="1:1" ht="20.100000000000001" customHeight="1">
      <c r="A90" s="70"/>
    </row>
    <row r="91" spans="1:1" ht="20.100000000000001" customHeight="1">
      <c r="A91" s="70"/>
    </row>
    <row r="92" spans="1:1" ht="20.100000000000001" customHeight="1">
      <c r="A92" s="23"/>
    </row>
    <row r="133" spans="9:9" ht="20.100000000000001" customHeight="1">
      <c r="I133" s="1">
        <f>60000</f>
        <v>60000</v>
      </c>
    </row>
  </sheetData>
  <mergeCells count="2">
    <mergeCell ref="A1:G1"/>
    <mergeCell ref="A51:G51"/>
  </mergeCells>
  <pageMargins left="0.51181102362204722" right="0" top="0" bottom="7.874015748031496E-2" header="0.11811023622047245" footer="0"/>
  <pageSetup paperSize="9" scale="5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2"/>
  <sheetViews>
    <sheetView view="pageBreakPreview" zoomScale="78" zoomScaleNormal="100" zoomScaleSheetLayoutView="78" workbookViewId="0">
      <pane xSplit="4" ySplit="3" topLeftCell="E43" activePane="bottomRight" state="frozen"/>
      <selection pane="bottomRight" activeCell="B49" sqref="B49:D50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51.7109375" style="1" customWidth="1"/>
    <col min="3" max="3" width="34" style="1" customWidth="1"/>
    <col min="4" max="4" width="30.85546875" style="1" customWidth="1"/>
    <col min="5" max="5" width="1.140625" style="1" customWidth="1"/>
    <col min="6" max="16384" width="9.140625" style="1"/>
  </cols>
  <sheetData>
    <row r="1" spans="1:5" ht="54" customHeight="1">
      <c r="A1" s="330" t="s">
        <v>365</v>
      </c>
      <c r="B1" s="331"/>
      <c r="C1" s="331"/>
      <c r="D1" s="331"/>
      <c r="E1" s="24"/>
    </row>
    <row r="2" spans="1:5" ht="2.25" customHeight="1">
      <c r="A2" s="23"/>
      <c r="B2" s="103"/>
      <c r="C2" s="103"/>
      <c r="D2" s="103"/>
      <c r="E2" s="23"/>
    </row>
    <row r="3" spans="1:5" ht="30" customHeight="1">
      <c r="A3" s="28" t="s">
        <v>1</v>
      </c>
      <c r="B3" s="118" t="s">
        <v>2</v>
      </c>
      <c r="C3" s="28" t="s">
        <v>3</v>
      </c>
      <c r="D3" s="224" t="s">
        <v>117</v>
      </c>
      <c r="E3" s="188"/>
    </row>
    <row r="4" spans="1:5" ht="9" customHeight="1">
      <c r="A4" s="33"/>
      <c r="B4" s="34"/>
      <c r="C4" s="27"/>
      <c r="D4" s="28"/>
      <c r="E4" s="188"/>
    </row>
    <row r="5" spans="1:5" ht="24.95" customHeight="1">
      <c r="A5" s="73">
        <v>1</v>
      </c>
      <c r="B5" s="57" t="s">
        <v>14</v>
      </c>
      <c r="C5" s="59" t="s">
        <v>15</v>
      </c>
      <c r="D5" s="122">
        <v>75000</v>
      </c>
      <c r="E5" s="120">
        <f t="shared" ref="E5:E14" si="0">SUM(D5:D5)</f>
        <v>75000</v>
      </c>
    </row>
    <row r="6" spans="1:5" ht="24.95" customHeight="1">
      <c r="A6" s="73">
        <v>2</v>
      </c>
      <c r="B6" s="181" t="s">
        <v>16</v>
      </c>
      <c r="C6" s="181" t="s">
        <v>17</v>
      </c>
      <c r="D6" s="124">
        <v>45000</v>
      </c>
      <c r="E6" s="120">
        <f t="shared" si="0"/>
        <v>45000</v>
      </c>
    </row>
    <row r="7" spans="1:5" ht="24.95" customHeight="1">
      <c r="A7" s="73">
        <v>3</v>
      </c>
      <c r="B7" s="181" t="s">
        <v>18</v>
      </c>
      <c r="C7" s="181" t="s">
        <v>19</v>
      </c>
      <c r="D7" s="124">
        <v>30000</v>
      </c>
      <c r="E7" s="120">
        <f t="shared" si="0"/>
        <v>30000</v>
      </c>
    </row>
    <row r="8" spans="1:5" ht="24.95" customHeight="1">
      <c r="A8" s="73">
        <v>4</v>
      </c>
      <c r="B8" s="181" t="s">
        <v>20</v>
      </c>
      <c r="C8" s="181" t="s">
        <v>21</v>
      </c>
      <c r="D8" s="124">
        <v>30000</v>
      </c>
      <c r="E8" s="120">
        <f t="shared" si="0"/>
        <v>30000</v>
      </c>
    </row>
    <row r="9" spans="1:5" ht="24.95" customHeight="1">
      <c r="A9" s="73">
        <v>5</v>
      </c>
      <c r="B9" s="181" t="s">
        <v>22</v>
      </c>
      <c r="C9" s="181" t="s">
        <v>23</v>
      </c>
      <c r="D9" s="124">
        <v>30000</v>
      </c>
      <c r="E9" s="120">
        <f t="shared" si="0"/>
        <v>30000</v>
      </c>
    </row>
    <row r="10" spans="1:5" ht="24.95" customHeight="1">
      <c r="A10" s="73">
        <v>6</v>
      </c>
      <c r="B10" s="31" t="s">
        <v>346</v>
      </c>
      <c r="C10" s="181" t="s">
        <v>19</v>
      </c>
      <c r="D10" s="124">
        <v>45000</v>
      </c>
      <c r="E10" s="120">
        <f t="shared" si="0"/>
        <v>45000</v>
      </c>
    </row>
    <row r="11" spans="1:5" ht="24.95" customHeight="1">
      <c r="A11" s="73">
        <v>7</v>
      </c>
      <c r="B11" s="181" t="s">
        <v>24</v>
      </c>
      <c r="C11" s="181" t="s">
        <v>25</v>
      </c>
      <c r="D11" s="124">
        <v>30000</v>
      </c>
      <c r="E11" s="120">
        <f t="shared" si="0"/>
        <v>30000</v>
      </c>
    </row>
    <row r="12" spans="1:5" ht="24.95" customHeight="1">
      <c r="A12" s="73">
        <v>8</v>
      </c>
      <c r="B12" s="181" t="s">
        <v>26</v>
      </c>
      <c r="C12" s="181" t="s">
        <v>25</v>
      </c>
      <c r="D12" s="124">
        <v>30000</v>
      </c>
      <c r="E12" s="120">
        <f t="shared" si="0"/>
        <v>30000</v>
      </c>
    </row>
    <row r="13" spans="1:5" ht="24.95" customHeight="1">
      <c r="A13" s="73">
        <v>9</v>
      </c>
      <c r="B13" s="181" t="s">
        <v>27</v>
      </c>
      <c r="C13" s="181" t="s">
        <v>23</v>
      </c>
      <c r="D13" s="124">
        <v>30000</v>
      </c>
      <c r="E13" s="120">
        <f t="shared" si="0"/>
        <v>30000</v>
      </c>
    </row>
    <row r="14" spans="1:5" ht="24.95" customHeight="1">
      <c r="A14" s="73">
        <v>10</v>
      </c>
      <c r="B14" s="249" t="s">
        <v>238</v>
      </c>
      <c r="C14" s="181" t="s">
        <v>34</v>
      </c>
      <c r="D14" s="124">
        <v>75000</v>
      </c>
      <c r="E14" s="120">
        <f t="shared" si="0"/>
        <v>75000</v>
      </c>
    </row>
    <row r="15" spans="1:5" ht="24.95" customHeight="1">
      <c r="A15" s="73">
        <v>11</v>
      </c>
      <c r="B15" s="181" t="s">
        <v>366</v>
      </c>
      <c r="C15" s="181" t="s">
        <v>90</v>
      </c>
      <c r="D15" s="124">
        <f>105000</f>
        <v>105000</v>
      </c>
      <c r="E15" s="120"/>
    </row>
    <row r="16" spans="1:5" ht="24.95" customHeight="1">
      <c r="A16" s="73">
        <v>12</v>
      </c>
      <c r="B16" s="31" t="s">
        <v>28</v>
      </c>
      <c r="C16" s="31" t="s">
        <v>29</v>
      </c>
      <c r="D16" s="124">
        <f>25000*1.5</f>
        <v>37500</v>
      </c>
      <c r="E16" s="120">
        <f t="shared" ref="E16:E21" si="1">SUM(D16:D16)</f>
        <v>37500</v>
      </c>
    </row>
    <row r="17" spans="1:5" ht="24.95" customHeight="1">
      <c r="A17" s="73">
        <v>13</v>
      </c>
      <c r="B17" s="31" t="s">
        <v>30</v>
      </c>
      <c r="C17" s="31" t="s">
        <v>19</v>
      </c>
      <c r="D17" s="124">
        <v>45000</v>
      </c>
      <c r="E17" s="120">
        <f t="shared" si="1"/>
        <v>45000</v>
      </c>
    </row>
    <row r="18" spans="1:5" ht="24.95" customHeight="1">
      <c r="A18" s="73">
        <v>14</v>
      </c>
      <c r="B18" s="31" t="s">
        <v>348</v>
      </c>
      <c r="C18" s="31" t="s">
        <v>19</v>
      </c>
      <c r="D18" s="124">
        <v>45000</v>
      </c>
      <c r="E18" s="120">
        <f t="shared" si="1"/>
        <v>45000</v>
      </c>
    </row>
    <row r="19" spans="1:5" ht="24.95" customHeight="1">
      <c r="A19" s="73">
        <v>15</v>
      </c>
      <c r="B19" s="31" t="s">
        <v>349</v>
      </c>
      <c r="C19" s="31" t="s">
        <v>19</v>
      </c>
      <c r="D19" s="124">
        <v>45000</v>
      </c>
      <c r="E19" s="120">
        <f t="shared" si="1"/>
        <v>45000</v>
      </c>
    </row>
    <row r="20" spans="1:5" ht="24.95" customHeight="1">
      <c r="A20" s="73">
        <v>16</v>
      </c>
      <c r="B20" s="31" t="s">
        <v>31</v>
      </c>
      <c r="C20" s="31" t="s">
        <v>32</v>
      </c>
      <c r="D20" s="124">
        <v>45000</v>
      </c>
      <c r="E20" s="120">
        <f t="shared" si="1"/>
        <v>45000</v>
      </c>
    </row>
    <row r="21" spans="1:5" ht="24.95" customHeight="1">
      <c r="A21" s="73">
        <v>17</v>
      </c>
      <c r="B21" s="59" t="s">
        <v>350</v>
      </c>
      <c r="C21" s="31" t="s">
        <v>351</v>
      </c>
      <c r="D21" s="124">
        <v>45000</v>
      </c>
      <c r="E21" s="120">
        <f t="shared" si="1"/>
        <v>45000</v>
      </c>
    </row>
    <row r="22" spans="1:5" ht="24.95" customHeight="1">
      <c r="A22" s="73">
        <v>18</v>
      </c>
      <c r="B22" s="59" t="s">
        <v>367</v>
      </c>
      <c r="C22" s="31" t="s">
        <v>34</v>
      </c>
      <c r="D22" s="254"/>
      <c r="E22" s="120"/>
    </row>
    <row r="23" spans="1:5" ht="24.95" customHeight="1">
      <c r="A23" s="73">
        <v>19</v>
      </c>
      <c r="B23" s="59" t="s">
        <v>326</v>
      </c>
      <c r="C23" s="31" t="s">
        <v>39</v>
      </c>
      <c r="D23" s="217">
        <v>15000</v>
      </c>
      <c r="E23" s="120">
        <f t="shared" ref="E23:E29" si="2">SUM(D23:D23)</f>
        <v>15000</v>
      </c>
    </row>
    <row r="24" spans="1:5" ht="24.95" customHeight="1">
      <c r="A24" s="73">
        <v>20</v>
      </c>
      <c r="B24" s="59" t="s">
        <v>126</v>
      </c>
      <c r="C24" s="31" t="s">
        <v>19</v>
      </c>
      <c r="D24" s="217">
        <v>45000</v>
      </c>
      <c r="E24" s="120">
        <f t="shared" si="2"/>
        <v>45000</v>
      </c>
    </row>
    <row r="25" spans="1:5" ht="24.95" customHeight="1">
      <c r="A25" s="73">
        <v>21</v>
      </c>
      <c r="B25" s="59" t="s">
        <v>353</v>
      </c>
      <c r="C25" s="31" t="s">
        <v>34</v>
      </c>
      <c r="D25" s="217">
        <v>105000</v>
      </c>
      <c r="E25" s="120">
        <f t="shared" si="2"/>
        <v>105000</v>
      </c>
    </row>
    <row r="26" spans="1:5" ht="24.95" customHeight="1">
      <c r="A26" s="73">
        <v>22</v>
      </c>
      <c r="B26" s="227" t="s">
        <v>328</v>
      </c>
      <c r="C26" s="31" t="s">
        <v>39</v>
      </c>
      <c r="D26" s="217">
        <v>15000</v>
      </c>
      <c r="E26" s="120">
        <f t="shared" si="2"/>
        <v>15000</v>
      </c>
    </row>
    <row r="27" spans="1:5" ht="24.95" customHeight="1">
      <c r="A27" s="73">
        <v>23</v>
      </c>
      <c r="B27" s="227" t="s">
        <v>354</v>
      </c>
      <c r="C27" s="31" t="s">
        <v>39</v>
      </c>
      <c r="D27" s="217">
        <v>15000</v>
      </c>
      <c r="E27" s="120">
        <f t="shared" si="2"/>
        <v>15000</v>
      </c>
    </row>
    <row r="28" spans="1:5" ht="24.95" customHeight="1">
      <c r="A28" s="73">
        <v>24</v>
      </c>
      <c r="B28" s="227" t="s">
        <v>316</v>
      </c>
      <c r="C28" s="31" t="s">
        <v>39</v>
      </c>
      <c r="D28" s="217">
        <v>15000</v>
      </c>
      <c r="E28" s="120">
        <f t="shared" si="2"/>
        <v>15000</v>
      </c>
    </row>
    <row r="29" spans="1:5" ht="24.95" customHeight="1">
      <c r="A29" s="73">
        <v>25</v>
      </c>
      <c r="B29" s="227" t="s">
        <v>355</v>
      </c>
      <c r="C29" s="31" t="s">
        <v>39</v>
      </c>
      <c r="D29" s="217">
        <v>15000</v>
      </c>
      <c r="E29" s="120">
        <f t="shared" si="2"/>
        <v>15000</v>
      </c>
    </row>
    <row r="30" spans="1:5" ht="24.95" customHeight="1">
      <c r="A30" s="73">
        <v>26</v>
      </c>
      <c r="B30" s="227" t="s">
        <v>356</v>
      </c>
      <c r="C30" s="31" t="s">
        <v>39</v>
      </c>
      <c r="D30" s="217">
        <v>15000</v>
      </c>
      <c r="E30" s="120"/>
    </row>
    <row r="31" spans="1:5" ht="24.95" customHeight="1">
      <c r="A31" s="73">
        <v>27</v>
      </c>
      <c r="B31" s="227" t="s">
        <v>308</v>
      </c>
      <c r="C31" s="31" t="s">
        <v>39</v>
      </c>
      <c r="D31" s="217">
        <v>15000</v>
      </c>
      <c r="E31" s="120"/>
    </row>
    <row r="32" spans="1:5" ht="24.95" customHeight="1">
      <c r="A32" s="73">
        <v>28</v>
      </c>
      <c r="B32" s="227" t="s">
        <v>306</v>
      </c>
      <c r="C32" s="31" t="s">
        <v>39</v>
      </c>
      <c r="D32" s="217">
        <v>15000</v>
      </c>
      <c r="E32" s="120"/>
    </row>
    <row r="33" spans="1:5" ht="24.95" customHeight="1">
      <c r="A33" s="73">
        <v>29</v>
      </c>
      <c r="B33" s="227" t="s">
        <v>357</v>
      </c>
      <c r="C33" s="31" t="s">
        <v>39</v>
      </c>
      <c r="D33" s="217">
        <v>15000</v>
      </c>
      <c r="E33" s="120"/>
    </row>
    <row r="34" spans="1:5" ht="24.95" customHeight="1">
      <c r="A34" s="73">
        <v>30</v>
      </c>
      <c r="B34" s="227" t="s">
        <v>283</v>
      </c>
      <c r="C34" s="31" t="s">
        <v>37</v>
      </c>
      <c r="D34" s="217">
        <v>45000</v>
      </c>
      <c r="E34" s="120"/>
    </row>
    <row r="35" spans="1:5" ht="24.95" customHeight="1">
      <c r="A35" s="73">
        <v>31</v>
      </c>
      <c r="B35" s="227" t="s">
        <v>284</v>
      </c>
      <c r="C35" s="31" t="s">
        <v>37</v>
      </c>
      <c r="D35" s="217">
        <v>45000</v>
      </c>
      <c r="E35" s="120"/>
    </row>
    <row r="36" spans="1:5" ht="24.95" customHeight="1">
      <c r="A36" s="73">
        <v>32</v>
      </c>
      <c r="B36" s="227" t="s">
        <v>285</v>
      </c>
      <c r="C36" s="31" t="s">
        <v>37</v>
      </c>
      <c r="D36" s="217">
        <v>45000</v>
      </c>
      <c r="E36" s="120"/>
    </row>
    <row r="37" spans="1:5" ht="24.95" customHeight="1">
      <c r="A37" s="73">
        <v>33</v>
      </c>
      <c r="B37" s="227" t="s">
        <v>286</v>
      </c>
      <c r="C37" s="31" t="s">
        <v>37</v>
      </c>
      <c r="D37" s="217">
        <v>45000</v>
      </c>
      <c r="E37" s="120" t="e">
        <f>#REF!-#REF!</f>
        <v>#REF!</v>
      </c>
    </row>
    <row r="38" spans="1:5" ht="24.95" customHeight="1">
      <c r="A38" s="73">
        <v>34</v>
      </c>
      <c r="B38" s="227" t="s">
        <v>296</v>
      </c>
      <c r="C38" s="31" t="s">
        <v>37</v>
      </c>
      <c r="D38" s="217">
        <v>45000</v>
      </c>
      <c r="E38" s="120"/>
    </row>
    <row r="39" spans="1:5" ht="24.95" customHeight="1">
      <c r="A39" s="73">
        <v>35</v>
      </c>
      <c r="B39" s="227" t="s">
        <v>119</v>
      </c>
      <c r="C39" s="31" t="s">
        <v>37</v>
      </c>
      <c r="D39" s="217">
        <v>45000</v>
      </c>
      <c r="E39" s="120"/>
    </row>
    <row r="40" spans="1:5" ht="30" customHeight="1">
      <c r="A40" s="73">
        <v>36</v>
      </c>
      <c r="B40" s="227" t="s">
        <v>305</v>
      </c>
      <c r="C40" s="31" t="s">
        <v>34</v>
      </c>
      <c r="D40" s="217">
        <v>75000</v>
      </c>
      <c r="E40" s="120"/>
    </row>
    <row r="41" spans="1:5" ht="33" customHeight="1">
      <c r="A41" s="73">
        <v>37</v>
      </c>
      <c r="B41" s="255" t="s">
        <v>291</v>
      </c>
      <c r="C41" s="31" t="s">
        <v>37</v>
      </c>
      <c r="D41" s="217">
        <v>45000</v>
      </c>
      <c r="E41" s="120"/>
    </row>
    <row r="42" spans="1:5" ht="33" customHeight="1">
      <c r="A42" s="73">
        <v>38</v>
      </c>
      <c r="B42" s="256" t="s">
        <v>368</v>
      </c>
      <c r="C42" s="31" t="s">
        <v>37</v>
      </c>
      <c r="D42" s="217">
        <v>45000</v>
      </c>
      <c r="E42" s="120"/>
    </row>
    <row r="43" spans="1:5" ht="33" customHeight="1">
      <c r="A43" s="73">
        <v>39</v>
      </c>
      <c r="B43" s="256" t="s">
        <v>369</v>
      </c>
      <c r="C43" s="31" t="s">
        <v>37</v>
      </c>
      <c r="D43" s="217">
        <v>45000</v>
      </c>
      <c r="E43" s="120"/>
    </row>
    <row r="44" spans="1:5" ht="33" customHeight="1">
      <c r="A44" s="73">
        <v>40</v>
      </c>
      <c r="B44" s="256" t="s">
        <v>324</v>
      </c>
      <c r="C44" s="31" t="s">
        <v>37</v>
      </c>
      <c r="D44" s="217">
        <v>45000</v>
      </c>
      <c r="E44" s="120"/>
    </row>
    <row r="45" spans="1:5" ht="33" customHeight="1">
      <c r="A45" s="73">
        <v>41</v>
      </c>
      <c r="B45" s="256" t="s">
        <v>181</v>
      </c>
      <c r="C45" s="31" t="s">
        <v>37</v>
      </c>
      <c r="D45" s="217">
        <v>45000</v>
      </c>
      <c r="E45" s="120"/>
    </row>
    <row r="46" spans="1:5" ht="33" customHeight="1">
      <c r="A46" s="73">
        <v>42</v>
      </c>
      <c r="B46" s="257" t="s">
        <v>370</v>
      </c>
      <c r="C46" s="31" t="s">
        <v>37</v>
      </c>
      <c r="D46" s="217">
        <v>45000</v>
      </c>
      <c r="E46" s="120"/>
    </row>
    <row r="47" spans="1:5" ht="33" customHeight="1">
      <c r="A47" s="73">
        <v>43</v>
      </c>
      <c r="B47" s="255" t="s">
        <v>310</v>
      </c>
      <c r="C47" s="31" t="s">
        <v>37</v>
      </c>
      <c r="D47" s="217">
        <v>45000</v>
      </c>
      <c r="E47" s="120"/>
    </row>
    <row r="48" spans="1:5" ht="33" customHeight="1">
      <c r="A48" s="73">
        <v>44</v>
      </c>
      <c r="B48" s="255" t="s">
        <v>298</v>
      </c>
      <c r="C48" s="31" t="s">
        <v>37</v>
      </c>
      <c r="D48" s="217">
        <v>150000</v>
      </c>
      <c r="E48" s="120"/>
    </row>
    <row r="49" spans="1:5" ht="33" customHeight="1">
      <c r="A49" s="73">
        <v>45</v>
      </c>
      <c r="B49" s="222" t="s">
        <v>140</v>
      </c>
      <c r="C49" s="31" t="s">
        <v>141</v>
      </c>
      <c r="D49" s="217">
        <v>45000</v>
      </c>
      <c r="E49" s="216"/>
    </row>
    <row r="50" spans="1:5" ht="33" customHeight="1">
      <c r="A50" s="73">
        <v>46</v>
      </c>
      <c r="B50" s="222" t="s">
        <v>122</v>
      </c>
      <c r="C50" s="31" t="s">
        <v>141</v>
      </c>
      <c r="D50" s="217">
        <v>45000</v>
      </c>
      <c r="E50" s="216"/>
    </row>
    <row r="51" spans="1:5" ht="30" customHeight="1">
      <c r="A51" s="73"/>
      <c r="B51" s="33" t="s">
        <v>84</v>
      </c>
      <c r="C51" s="31"/>
      <c r="D51" s="179">
        <f>SUM(D5:D50)</f>
        <v>1972500</v>
      </c>
      <c r="E51" s="269" t="e">
        <f>SUM(E5:E37)</f>
        <v>#REF!</v>
      </c>
    </row>
    <row r="52" spans="1:5" ht="20.100000000000001" customHeight="1">
      <c r="A52" s="70"/>
    </row>
    <row r="53" spans="1:5" ht="20.100000000000001" customHeight="1">
      <c r="A53" s="70"/>
      <c r="E53" s="116"/>
    </row>
    <row r="54" spans="1:5" ht="20.100000000000001" customHeight="1">
      <c r="A54" s="70"/>
    </row>
    <row r="55" spans="1:5" ht="20.100000000000001" customHeight="1">
      <c r="A55" s="70"/>
      <c r="C55" s="168"/>
      <c r="D55" s="168"/>
    </row>
    <row r="56" spans="1:5" ht="20.100000000000001" customHeight="1">
      <c r="A56" s="70"/>
      <c r="C56" s="168"/>
      <c r="D56" s="168"/>
    </row>
    <row r="57" spans="1:5" ht="20.100000000000001" customHeight="1">
      <c r="A57" s="70"/>
      <c r="C57" s="168"/>
      <c r="D57" s="168"/>
    </row>
    <row r="58" spans="1:5" ht="20.100000000000001" customHeight="1">
      <c r="A58" s="70"/>
      <c r="C58" s="168"/>
      <c r="D58" s="168"/>
    </row>
    <row r="59" spans="1:5" ht="20.100000000000001" customHeight="1">
      <c r="A59" s="70"/>
    </row>
    <row r="60" spans="1:5" ht="20.100000000000001" customHeight="1">
      <c r="A60" s="70"/>
    </row>
    <row r="61" spans="1:5" ht="20.100000000000001" customHeight="1">
      <c r="A61" s="70"/>
    </row>
    <row r="62" spans="1:5" ht="20.100000000000001" customHeight="1">
      <c r="A62" s="70"/>
    </row>
    <row r="63" spans="1:5" ht="20.100000000000001" customHeight="1">
      <c r="A63" s="70"/>
    </row>
    <row r="64" spans="1:5" ht="20.100000000000001" customHeight="1">
      <c r="A64" s="70"/>
    </row>
    <row r="65" spans="1:1" ht="20.100000000000001" customHeight="1">
      <c r="A65" s="70"/>
    </row>
    <row r="66" spans="1:1" ht="20.100000000000001" customHeight="1">
      <c r="A66" s="70"/>
    </row>
    <row r="67" spans="1:1" ht="20.100000000000001" customHeight="1">
      <c r="A67" s="70"/>
    </row>
    <row r="68" spans="1:1" ht="20.100000000000001" customHeight="1">
      <c r="A68" s="70"/>
    </row>
    <row r="69" spans="1:1" ht="20.100000000000001" customHeight="1">
      <c r="A69" s="70"/>
    </row>
    <row r="70" spans="1:1" ht="20.100000000000001" customHeight="1">
      <c r="A70" s="70"/>
    </row>
    <row r="71" spans="1:1" ht="20.100000000000001" customHeight="1">
      <c r="A71" s="70"/>
    </row>
    <row r="72" spans="1:1" ht="20.100000000000001" customHeight="1">
      <c r="A72" s="70"/>
    </row>
    <row r="73" spans="1:1" ht="20.100000000000001" customHeight="1">
      <c r="A73" s="70"/>
    </row>
    <row r="74" spans="1:1" ht="20.100000000000001" customHeight="1">
      <c r="A74" s="70"/>
    </row>
    <row r="75" spans="1:1" ht="20.100000000000001" customHeight="1">
      <c r="A75" s="70"/>
    </row>
    <row r="76" spans="1:1" ht="20.100000000000001" customHeight="1">
      <c r="A76" s="70"/>
    </row>
    <row r="77" spans="1:1" ht="20.100000000000001" customHeight="1">
      <c r="A77" s="70"/>
    </row>
    <row r="78" spans="1:1" ht="20.100000000000001" customHeight="1">
      <c r="A78" s="70"/>
    </row>
    <row r="79" spans="1:1" ht="20.100000000000001" customHeight="1">
      <c r="A79" s="70"/>
    </row>
    <row r="80" spans="1:1" ht="20.100000000000001" customHeight="1">
      <c r="A80" s="70"/>
    </row>
    <row r="81" spans="1:1" ht="20.100000000000001" customHeight="1">
      <c r="A81" s="70"/>
    </row>
    <row r="82" spans="1:1" ht="20.100000000000001" customHeight="1">
      <c r="A82" s="70"/>
    </row>
    <row r="83" spans="1:1" ht="20.100000000000001" customHeight="1">
      <c r="A83" s="70"/>
    </row>
    <row r="84" spans="1:1" ht="20.100000000000001" customHeight="1">
      <c r="A84" s="70"/>
    </row>
    <row r="85" spans="1:1" ht="20.100000000000001" customHeight="1">
      <c r="A85" s="70"/>
    </row>
    <row r="86" spans="1:1" ht="20.100000000000001" customHeight="1">
      <c r="A86" s="70"/>
    </row>
    <row r="87" spans="1:1" ht="20.100000000000001" customHeight="1">
      <c r="A87" s="70"/>
    </row>
    <row r="88" spans="1:1" ht="20.100000000000001" customHeight="1">
      <c r="A88" s="70"/>
    </row>
    <row r="89" spans="1:1" ht="20.100000000000001" customHeight="1">
      <c r="A89" s="70"/>
    </row>
    <row r="90" spans="1:1" ht="20.100000000000001" customHeight="1">
      <c r="A90" s="70"/>
    </row>
    <row r="91" spans="1:1" ht="20.100000000000001" customHeight="1">
      <c r="A91" s="70"/>
    </row>
    <row r="92" spans="1:1" ht="20.100000000000001" customHeight="1">
      <c r="A92" s="23"/>
    </row>
  </sheetData>
  <mergeCells count="1">
    <mergeCell ref="A1:D1"/>
  </mergeCells>
  <pageMargins left="0.51181102362204722" right="0" top="0" bottom="7.874015748031496E-2" header="0.11811023622047245" footer="0"/>
  <pageSetup paperSize="9" scale="61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92"/>
  <sheetViews>
    <sheetView view="pageBreakPreview" zoomScale="78" zoomScaleNormal="100" zoomScaleSheetLayoutView="78" workbookViewId="0">
      <pane xSplit="4" ySplit="3" topLeftCell="E44" activePane="bottomRight" state="frozen"/>
      <selection pane="bottomRight" activeCell="J51" sqref="J51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51.7109375" style="1" customWidth="1"/>
    <col min="3" max="3" width="34" style="1" customWidth="1"/>
    <col min="4" max="4" width="30.85546875" style="1" customWidth="1"/>
    <col min="5" max="5" width="1.140625" style="1" customWidth="1"/>
    <col min="6" max="16384" width="9.140625" style="1"/>
  </cols>
  <sheetData>
    <row r="1" spans="1:5" ht="54" customHeight="1">
      <c r="A1" s="330" t="s">
        <v>365</v>
      </c>
      <c r="B1" s="331"/>
      <c r="C1" s="331"/>
      <c r="D1" s="331"/>
      <c r="E1" s="24"/>
    </row>
    <row r="2" spans="1:5" ht="2.25" customHeight="1">
      <c r="A2" s="23"/>
      <c r="B2" s="103"/>
      <c r="C2" s="103"/>
      <c r="D2" s="103"/>
      <c r="E2" s="23"/>
    </row>
    <row r="3" spans="1:5" ht="30" customHeight="1">
      <c r="A3" s="28" t="s">
        <v>1</v>
      </c>
      <c r="B3" s="118" t="s">
        <v>2</v>
      </c>
      <c r="C3" s="28" t="s">
        <v>3</v>
      </c>
      <c r="D3" s="224" t="s">
        <v>117</v>
      </c>
      <c r="E3" s="188"/>
    </row>
    <row r="4" spans="1:5" ht="9" customHeight="1">
      <c r="A4" s="33"/>
      <c r="B4" s="34"/>
      <c r="C4" s="27"/>
      <c r="D4" s="28"/>
      <c r="E4" s="188"/>
    </row>
    <row r="5" spans="1:5" ht="24.95" customHeight="1">
      <c r="A5" s="73">
        <v>1</v>
      </c>
      <c r="B5" s="57" t="s">
        <v>14</v>
      </c>
      <c r="C5" s="59" t="s">
        <v>15</v>
      </c>
      <c r="D5" s="134">
        <f>50000</f>
        <v>50000</v>
      </c>
      <c r="E5" s="120">
        <f t="shared" ref="E5:E14" si="0">SUM(D5:D5)</f>
        <v>50000</v>
      </c>
    </row>
    <row r="6" spans="1:5" ht="24.95" customHeight="1">
      <c r="A6" s="73">
        <v>2</v>
      </c>
      <c r="B6" s="181" t="s">
        <v>16</v>
      </c>
      <c r="C6" s="181" t="s">
        <v>17</v>
      </c>
      <c r="D6" s="124">
        <v>30000</v>
      </c>
      <c r="E6" s="120">
        <f t="shared" si="0"/>
        <v>30000</v>
      </c>
    </row>
    <row r="7" spans="1:5" ht="24.95" customHeight="1">
      <c r="A7" s="73">
        <v>3</v>
      </c>
      <c r="B7" s="181" t="s">
        <v>18</v>
      </c>
      <c r="C7" s="181" t="s">
        <v>19</v>
      </c>
      <c r="D7" s="124">
        <v>20000</v>
      </c>
      <c r="E7" s="120">
        <f t="shared" si="0"/>
        <v>20000</v>
      </c>
    </row>
    <row r="8" spans="1:5" ht="24.95" customHeight="1">
      <c r="A8" s="73">
        <v>4</v>
      </c>
      <c r="B8" s="181" t="s">
        <v>20</v>
      </c>
      <c r="C8" s="181" t="s">
        <v>21</v>
      </c>
      <c r="D8" s="124">
        <v>20000</v>
      </c>
      <c r="E8" s="120">
        <f t="shared" si="0"/>
        <v>20000</v>
      </c>
    </row>
    <row r="9" spans="1:5" ht="24.95" customHeight="1">
      <c r="A9" s="73">
        <v>5</v>
      </c>
      <c r="B9" s="181" t="s">
        <v>22</v>
      </c>
      <c r="C9" s="181" t="s">
        <v>23</v>
      </c>
      <c r="D9" s="124">
        <v>20000</v>
      </c>
      <c r="E9" s="120">
        <f t="shared" si="0"/>
        <v>20000</v>
      </c>
    </row>
    <row r="10" spans="1:5" ht="24.95" customHeight="1">
      <c r="A10" s="73">
        <v>6</v>
      </c>
      <c r="B10" s="31" t="s">
        <v>346</v>
      </c>
      <c r="C10" s="181" t="s">
        <v>19</v>
      </c>
      <c r="D10" s="124">
        <v>30000</v>
      </c>
      <c r="E10" s="120">
        <f t="shared" si="0"/>
        <v>30000</v>
      </c>
    </row>
    <row r="11" spans="1:5" ht="24.95" customHeight="1">
      <c r="A11" s="73">
        <v>7</v>
      </c>
      <c r="B11" s="181" t="s">
        <v>24</v>
      </c>
      <c r="C11" s="181" t="s">
        <v>25</v>
      </c>
      <c r="D11" s="124">
        <v>20000</v>
      </c>
      <c r="E11" s="120">
        <f t="shared" si="0"/>
        <v>20000</v>
      </c>
    </row>
    <row r="12" spans="1:5" ht="24.95" customHeight="1">
      <c r="A12" s="73">
        <v>8</v>
      </c>
      <c r="B12" s="181" t="s">
        <v>26</v>
      </c>
      <c r="C12" s="181" t="s">
        <v>25</v>
      </c>
      <c r="D12" s="124">
        <v>20000</v>
      </c>
      <c r="E12" s="120">
        <f t="shared" si="0"/>
        <v>20000</v>
      </c>
    </row>
    <row r="13" spans="1:5" ht="24.95" customHeight="1">
      <c r="A13" s="73">
        <v>9</v>
      </c>
      <c r="B13" s="181" t="s">
        <v>27</v>
      </c>
      <c r="C13" s="181" t="s">
        <v>23</v>
      </c>
      <c r="D13" s="124">
        <v>20000</v>
      </c>
      <c r="E13" s="120">
        <f t="shared" si="0"/>
        <v>20000</v>
      </c>
    </row>
    <row r="14" spans="1:5" ht="24.95" customHeight="1">
      <c r="A14" s="73">
        <v>10</v>
      </c>
      <c r="B14" s="249" t="s">
        <v>238</v>
      </c>
      <c r="C14" s="181" t="s">
        <v>34</v>
      </c>
      <c r="D14" s="124">
        <v>50000</v>
      </c>
      <c r="E14" s="120">
        <f t="shared" si="0"/>
        <v>50000</v>
      </c>
    </row>
    <row r="15" spans="1:5" ht="24.95" customHeight="1">
      <c r="A15" s="73">
        <v>11</v>
      </c>
      <c r="B15" s="181" t="s">
        <v>366</v>
      </c>
      <c r="C15" s="181" t="s">
        <v>90</v>
      </c>
      <c r="D15" s="124">
        <f>70000</f>
        <v>70000</v>
      </c>
      <c r="E15" s="122"/>
    </row>
    <row r="16" spans="1:5" ht="24.95" customHeight="1">
      <c r="A16" s="73">
        <v>12</v>
      </c>
      <c r="B16" s="31" t="s">
        <v>28</v>
      </c>
      <c r="C16" s="31" t="s">
        <v>29</v>
      </c>
      <c r="D16" s="124">
        <v>25000</v>
      </c>
      <c r="E16" s="120">
        <f t="shared" ref="E16:E21" si="1">SUM(D16:D16)</f>
        <v>25000</v>
      </c>
    </row>
    <row r="17" spans="1:5" ht="24.95" customHeight="1">
      <c r="A17" s="73">
        <v>13</v>
      </c>
      <c r="B17" s="31" t="s">
        <v>30</v>
      </c>
      <c r="C17" s="31" t="s">
        <v>19</v>
      </c>
      <c r="D17" s="124">
        <v>30000</v>
      </c>
      <c r="E17" s="120">
        <f t="shared" si="1"/>
        <v>30000</v>
      </c>
    </row>
    <row r="18" spans="1:5" ht="24.95" customHeight="1">
      <c r="A18" s="73">
        <v>14</v>
      </c>
      <c r="B18" s="31" t="s">
        <v>348</v>
      </c>
      <c r="C18" s="31" t="s">
        <v>19</v>
      </c>
      <c r="D18" s="217">
        <v>30000</v>
      </c>
      <c r="E18" s="120">
        <f t="shared" si="1"/>
        <v>30000</v>
      </c>
    </row>
    <row r="19" spans="1:5" ht="24.95" customHeight="1">
      <c r="A19" s="73">
        <v>15</v>
      </c>
      <c r="B19" s="31" t="s">
        <v>349</v>
      </c>
      <c r="C19" s="31" t="s">
        <v>19</v>
      </c>
      <c r="D19" s="217">
        <v>30000</v>
      </c>
      <c r="E19" s="120">
        <f t="shared" si="1"/>
        <v>30000</v>
      </c>
    </row>
    <row r="20" spans="1:5" ht="24.95" customHeight="1">
      <c r="A20" s="73">
        <v>16</v>
      </c>
      <c r="B20" s="31" t="s">
        <v>31</v>
      </c>
      <c r="C20" s="31" t="s">
        <v>32</v>
      </c>
      <c r="D20" s="217">
        <v>30000</v>
      </c>
      <c r="E20" s="120">
        <f t="shared" si="1"/>
        <v>30000</v>
      </c>
    </row>
    <row r="21" spans="1:5" ht="24.95" customHeight="1">
      <c r="A21" s="73">
        <v>17</v>
      </c>
      <c r="B21" s="59" t="s">
        <v>350</v>
      </c>
      <c r="C21" s="31" t="s">
        <v>351</v>
      </c>
      <c r="D21" s="217">
        <v>30000</v>
      </c>
      <c r="E21" s="120">
        <f t="shared" si="1"/>
        <v>30000</v>
      </c>
    </row>
    <row r="22" spans="1:5" ht="24.95" customHeight="1">
      <c r="A22" s="73">
        <v>18</v>
      </c>
      <c r="B22" s="59" t="s">
        <v>367</v>
      </c>
      <c r="C22" s="31" t="s">
        <v>34</v>
      </c>
      <c r="D22" s="254">
        <v>70000</v>
      </c>
      <c r="E22" s="120"/>
    </row>
    <row r="23" spans="1:5" ht="24.95" customHeight="1">
      <c r="A23" s="73">
        <v>19</v>
      </c>
      <c r="B23" s="59" t="s">
        <v>326</v>
      </c>
      <c r="C23" s="31" t="s">
        <v>39</v>
      </c>
      <c r="D23" s="217">
        <v>10000</v>
      </c>
      <c r="E23" s="120">
        <f t="shared" ref="E23:E29" si="2">SUM(D23:D23)</f>
        <v>10000</v>
      </c>
    </row>
    <row r="24" spans="1:5" ht="24.95" customHeight="1">
      <c r="A24" s="73">
        <v>20</v>
      </c>
      <c r="B24" s="59" t="s">
        <v>126</v>
      </c>
      <c r="C24" s="31" t="s">
        <v>19</v>
      </c>
      <c r="D24" s="217">
        <v>30000</v>
      </c>
      <c r="E24" s="120">
        <f t="shared" si="2"/>
        <v>30000</v>
      </c>
    </row>
    <row r="25" spans="1:5" ht="24.95" customHeight="1">
      <c r="A25" s="73">
        <v>21</v>
      </c>
      <c r="B25" s="59" t="s">
        <v>353</v>
      </c>
      <c r="C25" s="31" t="s">
        <v>34</v>
      </c>
      <c r="D25" s="217">
        <v>70000</v>
      </c>
      <c r="E25" s="120">
        <f t="shared" si="2"/>
        <v>70000</v>
      </c>
    </row>
    <row r="26" spans="1:5" ht="24.95" customHeight="1">
      <c r="A26" s="73">
        <v>22</v>
      </c>
      <c r="B26" s="227" t="s">
        <v>328</v>
      </c>
      <c r="C26" s="31" t="s">
        <v>39</v>
      </c>
      <c r="D26" s="217">
        <f>10000</f>
        <v>10000</v>
      </c>
      <c r="E26" s="120">
        <f t="shared" si="2"/>
        <v>10000</v>
      </c>
    </row>
    <row r="27" spans="1:5" ht="24.95" customHeight="1">
      <c r="A27" s="73">
        <v>23</v>
      </c>
      <c r="B27" s="227" t="s">
        <v>354</v>
      </c>
      <c r="C27" s="31" t="s">
        <v>39</v>
      </c>
      <c r="D27" s="217">
        <f>10000</f>
        <v>10000</v>
      </c>
      <c r="E27" s="120">
        <f t="shared" si="2"/>
        <v>10000</v>
      </c>
    </row>
    <row r="28" spans="1:5" ht="24.95" customHeight="1">
      <c r="A28" s="73">
        <v>24</v>
      </c>
      <c r="B28" s="227" t="s">
        <v>316</v>
      </c>
      <c r="C28" s="31" t="s">
        <v>39</v>
      </c>
      <c r="D28" s="217">
        <f>10000</f>
        <v>10000</v>
      </c>
      <c r="E28" s="120">
        <f t="shared" si="2"/>
        <v>10000</v>
      </c>
    </row>
    <row r="29" spans="1:5" ht="24.95" customHeight="1">
      <c r="A29" s="73">
        <v>25</v>
      </c>
      <c r="B29" s="227" t="s">
        <v>355</v>
      </c>
      <c r="C29" s="31" t="s">
        <v>39</v>
      </c>
      <c r="D29" s="217">
        <f>10000</f>
        <v>10000</v>
      </c>
      <c r="E29" s="120">
        <f t="shared" si="2"/>
        <v>10000</v>
      </c>
    </row>
    <row r="30" spans="1:5" ht="24.95" customHeight="1">
      <c r="A30" s="73">
        <v>26</v>
      </c>
      <c r="B30" s="227" t="s">
        <v>356</v>
      </c>
      <c r="C30" s="31" t="s">
        <v>39</v>
      </c>
      <c r="D30" s="217">
        <f>10000</f>
        <v>10000</v>
      </c>
      <c r="E30" s="120"/>
    </row>
    <row r="31" spans="1:5" ht="24.95" customHeight="1">
      <c r="A31" s="73">
        <v>27</v>
      </c>
      <c r="B31" s="227" t="s">
        <v>308</v>
      </c>
      <c r="C31" s="31" t="s">
        <v>39</v>
      </c>
      <c r="D31" s="217">
        <f>10000</f>
        <v>10000</v>
      </c>
      <c r="E31" s="120"/>
    </row>
    <row r="32" spans="1:5" ht="24.95" customHeight="1">
      <c r="A32" s="73">
        <v>28</v>
      </c>
      <c r="B32" s="227" t="s">
        <v>306</v>
      </c>
      <c r="C32" s="31" t="s">
        <v>39</v>
      </c>
      <c r="D32" s="217">
        <f>10000</f>
        <v>10000</v>
      </c>
      <c r="E32" s="120"/>
    </row>
    <row r="33" spans="1:5" ht="24.95" customHeight="1">
      <c r="A33" s="73">
        <v>29</v>
      </c>
      <c r="B33" s="227" t="s">
        <v>357</v>
      </c>
      <c r="C33" s="31" t="s">
        <v>39</v>
      </c>
      <c r="D33" s="217">
        <f>10000</f>
        <v>10000</v>
      </c>
      <c r="E33" s="120"/>
    </row>
    <row r="34" spans="1:5" ht="24.95" customHeight="1">
      <c r="A34" s="73">
        <v>30</v>
      </c>
      <c r="B34" s="227" t="s">
        <v>283</v>
      </c>
      <c r="C34" s="31" t="s">
        <v>37</v>
      </c>
      <c r="D34" s="217">
        <v>30000</v>
      </c>
      <c r="E34" s="120"/>
    </row>
    <row r="35" spans="1:5" ht="24.95" customHeight="1">
      <c r="A35" s="73">
        <v>31</v>
      </c>
      <c r="B35" s="227" t="s">
        <v>284</v>
      </c>
      <c r="C35" s="31" t="s">
        <v>37</v>
      </c>
      <c r="D35" s="217">
        <v>30000</v>
      </c>
      <c r="E35" s="120"/>
    </row>
    <row r="36" spans="1:5" ht="24.95" customHeight="1">
      <c r="A36" s="73">
        <v>32</v>
      </c>
      <c r="B36" s="227" t="s">
        <v>285</v>
      </c>
      <c r="C36" s="31" t="s">
        <v>37</v>
      </c>
      <c r="D36" s="217">
        <v>30000</v>
      </c>
      <c r="E36" s="120"/>
    </row>
    <row r="37" spans="1:5" ht="24.95" customHeight="1">
      <c r="A37" s="73">
        <v>33</v>
      </c>
      <c r="B37" s="227" t="s">
        <v>286</v>
      </c>
      <c r="C37" s="31" t="s">
        <v>37</v>
      </c>
      <c r="D37" s="217">
        <v>30000</v>
      </c>
      <c r="E37" s="120" t="e">
        <f>#REF!-#REF!</f>
        <v>#REF!</v>
      </c>
    </row>
    <row r="38" spans="1:5" ht="24.95" customHeight="1">
      <c r="A38" s="73">
        <v>34</v>
      </c>
      <c r="B38" s="227" t="s">
        <v>296</v>
      </c>
      <c r="C38" s="31" t="s">
        <v>37</v>
      </c>
      <c r="D38" s="217">
        <v>30000</v>
      </c>
      <c r="E38" s="120"/>
    </row>
    <row r="39" spans="1:5" ht="24.95" customHeight="1">
      <c r="A39" s="73">
        <v>35</v>
      </c>
      <c r="B39" s="227" t="s">
        <v>119</v>
      </c>
      <c r="C39" s="31" t="s">
        <v>37</v>
      </c>
      <c r="D39" s="217">
        <v>30000</v>
      </c>
      <c r="E39" s="120"/>
    </row>
    <row r="40" spans="1:5" ht="30" customHeight="1">
      <c r="A40" s="73">
        <v>36</v>
      </c>
      <c r="B40" s="227" t="s">
        <v>305</v>
      </c>
      <c r="C40" s="31" t="s">
        <v>34</v>
      </c>
      <c r="D40" s="217">
        <v>50000</v>
      </c>
      <c r="E40" s="120"/>
    </row>
    <row r="41" spans="1:5" ht="33" customHeight="1">
      <c r="A41" s="73">
        <v>37</v>
      </c>
      <c r="B41" s="255" t="s">
        <v>291</v>
      </c>
      <c r="C41" s="31" t="s">
        <v>37</v>
      </c>
      <c r="D41" s="217">
        <v>30000</v>
      </c>
      <c r="E41" s="120"/>
    </row>
    <row r="42" spans="1:5" ht="33" customHeight="1">
      <c r="A42" s="73">
        <v>38</v>
      </c>
      <c r="B42" s="256" t="s">
        <v>368</v>
      </c>
      <c r="C42" s="31" t="s">
        <v>37</v>
      </c>
      <c r="D42" s="217">
        <v>30000</v>
      </c>
      <c r="E42" s="120"/>
    </row>
    <row r="43" spans="1:5" ht="33" customHeight="1">
      <c r="A43" s="73">
        <v>39</v>
      </c>
      <c r="B43" s="256" t="s">
        <v>369</v>
      </c>
      <c r="C43" s="31" t="s">
        <v>37</v>
      </c>
      <c r="D43" s="217">
        <v>30000</v>
      </c>
      <c r="E43" s="120"/>
    </row>
    <row r="44" spans="1:5" ht="33" customHeight="1">
      <c r="A44" s="73">
        <v>40</v>
      </c>
      <c r="B44" s="256" t="s">
        <v>324</v>
      </c>
      <c r="C44" s="31" t="s">
        <v>37</v>
      </c>
      <c r="D44" s="217">
        <v>30000</v>
      </c>
      <c r="E44" s="120"/>
    </row>
    <row r="45" spans="1:5" ht="33" customHeight="1">
      <c r="A45" s="73">
        <v>41</v>
      </c>
      <c r="B45" s="256" t="s">
        <v>181</v>
      </c>
      <c r="C45" s="31" t="s">
        <v>37</v>
      </c>
      <c r="D45" s="217">
        <v>30000</v>
      </c>
      <c r="E45" s="120"/>
    </row>
    <row r="46" spans="1:5" ht="33" customHeight="1">
      <c r="A46" s="73">
        <v>42</v>
      </c>
      <c r="B46" s="257" t="s">
        <v>370</v>
      </c>
      <c r="C46" s="31" t="s">
        <v>37</v>
      </c>
      <c r="D46" s="217">
        <v>30000</v>
      </c>
      <c r="E46" s="120"/>
    </row>
    <row r="47" spans="1:5" ht="33" customHeight="1">
      <c r="A47" s="73">
        <v>43</v>
      </c>
      <c r="B47" s="255" t="s">
        <v>310</v>
      </c>
      <c r="C47" s="31" t="s">
        <v>37</v>
      </c>
      <c r="D47" s="217">
        <v>30000</v>
      </c>
      <c r="E47" s="120"/>
    </row>
    <row r="48" spans="1:5" ht="33" customHeight="1">
      <c r="A48" s="73">
        <v>44</v>
      </c>
      <c r="B48" s="255" t="s">
        <v>298</v>
      </c>
      <c r="C48" s="31" t="s">
        <v>37</v>
      </c>
      <c r="D48" s="217">
        <v>70000</v>
      </c>
      <c r="E48" s="120"/>
    </row>
    <row r="49" spans="1:5" ht="33" customHeight="1">
      <c r="A49" s="73">
        <v>45</v>
      </c>
      <c r="B49" s="271" t="s">
        <v>140</v>
      </c>
      <c r="C49" s="31" t="s">
        <v>141</v>
      </c>
      <c r="D49" s="217">
        <v>30000</v>
      </c>
      <c r="E49" s="270"/>
    </row>
    <row r="50" spans="1:5" ht="33" customHeight="1">
      <c r="A50" s="73">
        <v>46</v>
      </c>
      <c r="B50" s="271" t="s">
        <v>122</v>
      </c>
      <c r="C50" s="31" t="s">
        <v>141</v>
      </c>
      <c r="D50" s="217">
        <v>30000</v>
      </c>
      <c r="E50" s="270"/>
    </row>
    <row r="51" spans="1:5" ht="30" customHeight="1">
      <c r="A51" s="73"/>
      <c r="B51" s="33" t="s">
        <v>84</v>
      </c>
      <c r="C51" s="31"/>
      <c r="D51" s="179">
        <f>SUM(D5:D50)</f>
        <v>1355000</v>
      </c>
      <c r="E51" s="269" t="e">
        <f>SUM(E5:E37)</f>
        <v>#REF!</v>
      </c>
    </row>
    <row r="52" spans="1:5" ht="20.100000000000001" customHeight="1">
      <c r="A52" s="70"/>
    </row>
    <row r="53" spans="1:5" ht="20.100000000000001" customHeight="1">
      <c r="A53" s="70"/>
      <c r="E53" s="116"/>
    </row>
    <row r="54" spans="1:5" ht="20.100000000000001" customHeight="1">
      <c r="A54" s="70"/>
    </row>
    <row r="55" spans="1:5" ht="20.100000000000001" customHeight="1">
      <c r="A55" s="70"/>
      <c r="C55" s="168"/>
      <c r="D55" s="168"/>
    </row>
    <row r="56" spans="1:5" ht="20.100000000000001" customHeight="1">
      <c r="A56" s="70"/>
      <c r="C56" s="168"/>
      <c r="D56" s="168"/>
    </row>
    <row r="57" spans="1:5" ht="20.100000000000001" customHeight="1">
      <c r="A57" s="70"/>
      <c r="C57" s="168"/>
      <c r="D57" s="168"/>
    </row>
    <row r="58" spans="1:5" ht="20.100000000000001" customHeight="1">
      <c r="A58" s="70"/>
      <c r="C58" s="168"/>
      <c r="D58" s="168"/>
    </row>
    <row r="59" spans="1:5" ht="20.100000000000001" customHeight="1">
      <c r="A59" s="70"/>
    </row>
    <row r="60" spans="1:5" ht="20.100000000000001" customHeight="1">
      <c r="A60" s="70"/>
    </row>
    <row r="61" spans="1:5" ht="20.100000000000001" customHeight="1">
      <c r="A61" s="70"/>
    </row>
    <row r="62" spans="1:5" ht="20.100000000000001" customHeight="1">
      <c r="A62" s="70"/>
    </row>
    <row r="63" spans="1:5" ht="20.100000000000001" customHeight="1">
      <c r="A63" s="70"/>
    </row>
    <row r="64" spans="1:5" ht="20.100000000000001" customHeight="1">
      <c r="A64" s="70"/>
    </row>
    <row r="65" spans="1:1" ht="20.100000000000001" customHeight="1">
      <c r="A65" s="70"/>
    </row>
    <row r="66" spans="1:1" ht="20.100000000000001" customHeight="1">
      <c r="A66" s="70"/>
    </row>
    <row r="67" spans="1:1" ht="20.100000000000001" customHeight="1">
      <c r="A67" s="70"/>
    </row>
    <row r="68" spans="1:1" ht="20.100000000000001" customHeight="1">
      <c r="A68" s="70"/>
    </row>
    <row r="69" spans="1:1" ht="20.100000000000001" customHeight="1">
      <c r="A69" s="70"/>
    </row>
    <row r="70" spans="1:1" ht="20.100000000000001" customHeight="1">
      <c r="A70" s="70"/>
    </row>
    <row r="71" spans="1:1" ht="20.100000000000001" customHeight="1">
      <c r="A71" s="70"/>
    </row>
    <row r="72" spans="1:1" ht="20.100000000000001" customHeight="1">
      <c r="A72" s="70"/>
    </row>
    <row r="73" spans="1:1" ht="20.100000000000001" customHeight="1">
      <c r="A73" s="70"/>
    </row>
    <row r="74" spans="1:1" ht="20.100000000000001" customHeight="1">
      <c r="A74" s="70"/>
    </row>
    <row r="75" spans="1:1" ht="20.100000000000001" customHeight="1">
      <c r="A75" s="70"/>
    </row>
    <row r="76" spans="1:1" ht="20.100000000000001" customHeight="1">
      <c r="A76" s="70"/>
    </row>
    <row r="77" spans="1:1" ht="20.100000000000001" customHeight="1">
      <c r="A77" s="70"/>
    </row>
    <row r="78" spans="1:1" ht="20.100000000000001" customHeight="1">
      <c r="A78" s="70"/>
    </row>
    <row r="79" spans="1:1" ht="20.100000000000001" customHeight="1">
      <c r="A79" s="70"/>
    </row>
    <row r="80" spans="1:1" ht="20.100000000000001" customHeight="1">
      <c r="A80" s="70"/>
    </row>
    <row r="81" spans="1:1" ht="20.100000000000001" customHeight="1">
      <c r="A81" s="70"/>
    </row>
    <row r="82" spans="1:1" ht="20.100000000000001" customHeight="1">
      <c r="A82" s="70"/>
    </row>
    <row r="83" spans="1:1" ht="20.100000000000001" customHeight="1">
      <c r="A83" s="70"/>
    </row>
    <row r="84" spans="1:1" ht="20.100000000000001" customHeight="1">
      <c r="A84" s="70"/>
    </row>
    <row r="85" spans="1:1" ht="20.100000000000001" customHeight="1">
      <c r="A85" s="70"/>
    </row>
    <row r="86" spans="1:1" ht="20.100000000000001" customHeight="1">
      <c r="A86" s="70"/>
    </row>
    <row r="87" spans="1:1" ht="20.100000000000001" customHeight="1">
      <c r="A87" s="70"/>
    </row>
    <row r="88" spans="1:1" ht="20.100000000000001" customHeight="1">
      <c r="A88" s="70"/>
    </row>
    <row r="89" spans="1:1" ht="20.100000000000001" customHeight="1">
      <c r="A89" s="70"/>
    </row>
    <row r="90" spans="1:1" ht="20.100000000000001" customHeight="1">
      <c r="A90" s="70"/>
    </row>
    <row r="91" spans="1:1" ht="20.100000000000001" customHeight="1">
      <c r="A91" s="70"/>
    </row>
    <row r="92" spans="1:1" ht="20.100000000000001" customHeight="1">
      <c r="A92" s="23"/>
    </row>
  </sheetData>
  <mergeCells count="1">
    <mergeCell ref="A1:D1"/>
  </mergeCells>
  <pageMargins left="0.51181102362204722" right="0" top="0" bottom="7.874015748031496E-2" header="0.11811023622047245" footer="0"/>
  <pageSetup paperSize="9" scale="61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58"/>
  <sheetViews>
    <sheetView view="pageBreakPreview" zoomScale="78" zoomScaleNormal="100" zoomScaleSheetLayoutView="78" workbookViewId="0">
      <pane xSplit="3" ySplit="2" topLeftCell="D3" activePane="bottomRight" state="frozen"/>
      <selection pane="bottomRight" activeCell="F17" sqref="F17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33.42578125" style="1" customWidth="1"/>
    <col min="3" max="3" width="22.42578125" style="1" customWidth="1"/>
    <col min="4" max="4" width="24" style="1" customWidth="1"/>
    <col min="5" max="5" width="21.5703125" style="1" customWidth="1"/>
    <col min="6" max="6" width="18.7109375" style="1" customWidth="1"/>
    <col min="7" max="7" width="14.42578125" style="1" customWidth="1"/>
    <col min="8" max="16384" width="9.140625" style="1"/>
  </cols>
  <sheetData>
    <row r="1" spans="1:5" ht="46.5" customHeight="1">
      <c r="A1" s="330" t="s">
        <v>371</v>
      </c>
      <c r="B1" s="331"/>
      <c r="C1" s="331"/>
      <c r="D1" s="334"/>
    </row>
    <row r="2" spans="1:5" ht="41.25" customHeight="1">
      <c r="A2" s="28" t="s">
        <v>1</v>
      </c>
      <c r="B2" s="118" t="s">
        <v>2</v>
      </c>
      <c r="C2" s="28" t="s">
        <v>3</v>
      </c>
      <c r="D2" s="223" t="s">
        <v>372</v>
      </c>
    </row>
    <row r="3" spans="1:5" ht="28.5" customHeight="1">
      <c r="A3" s="33"/>
      <c r="B3" s="34"/>
      <c r="C3" s="27"/>
      <c r="D3" s="225" t="s">
        <v>13</v>
      </c>
    </row>
    <row r="4" spans="1:5" ht="24.95" customHeight="1">
      <c r="A4" s="73">
        <v>1</v>
      </c>
      <c r="B4" s="181" t="s">
        <v>89</v>
      </c>
      <c r="C4" s="31" t="s">
        <v>90</v>
      </c>
      <c r="D4" s="282">
        <v>75000</v>
      </c>
    </row>
    <row r="5" spans="1:5" ht="24.95" customHeight="1">
      <c r="A5" s="73">
        <v>2</v>
      </c>
      <c r="B5" s="57" t="s">
        <v>14</v>
      </c>
      <c r="C5" s="59" t="s">
        <v>15</v>
      </c>
      <c r="D5" s="282">
        <v>75000</v>
      </c>
      <c r="E5" s="187"/>
    </row>
    <row r="6" spans="1:5" ht="24.95" customHeight="1">
      <c r="A6" s="73">
        <v>3</v>
      </c>
      <c r="B6" s="181" t="s">
        <v>16</v>
      </c>
      <c r="C6" s="181" t="s">
        <v>17</v>
      </c>
      <c r="D6" s="282">
        <v>45000</v>
      </c>
    </row>
    <row r="7" spans="1:5" ht="24.95" customHeight="1">
      <c r="A7" s="73">
        <v>4</v>
      </c>
      <c r="B7" s="181" t="s">
        <v>18</v>
      </c>
      <c r="C7" s="181" t="s">
        <v>19</v>
      </c>
      <c r="D7" s="282">
        <v>30000</v>
      </c>
    </row>
    <row r="8" spans="1:5" ht="24.95" customHeight="1">
      <c r="A8" s="73">
        <v>5</v>
      </c>
      <c r="B8" s="181" t="s">
        <v>20</v>
      </c>
      <c r="C8" s="181" t="s">
        <v>21</v>
      </c>
      <c r="D8" s="282">
        <v>30000</v>
      </c>
    </row>
    <row r="9" spans="1:5" ht="24.95" customHeight="1">
      <c r="A9" s="73">
        <v>6</v>
      </c>
      <c r="B9" s="181" t="s">
        <v>22</v>
      </c>
      <c r="C9" s="181" t="s">
        <v>23</v>
      </c>
      <c r="D9" s="282">
        <v>30000</v>
      </c>
    </row>
    <row r="10" spans="1:5" ht="24.95" customHeight="1">
      <c r="A10" s="73">
        <v>7</v>
      </c>
      <c r="B10" s="181" t="s">
        <v>24</v>
      </c>
      <c r="C10" s="181" t="s">
        <v>25</v>
      </c>
      <c r="D10" s="282">
        <v>30000</v>
      </c>
    </row>
    <row r="11" spans="1:5" ht="24.95" customHeight="1">
      <c r="A11" s="73">
        <v>8</v>
      </c>
      <c r="B11" s="181" t="s">
        <v>26</v>
      </c>
      <c r="C11" s="181" t="s">
        <v>25</v>
      </c>
      <c r="D11" s="282">
        <v>30000</v>
      </c>
    </row>
    <row r="12" spans="1:5" ht="24.95" customHeight="1">
      <c r="A12" s="73">
        <v>9</v>
      </c>
      <c r="B12" s="181" t="s">
        <v>27</v>
      </c>
      <c r="C12" s="181" t="s">
        <v>23</v>
      </c>
      <c r="D12" s="282">
        <v>30000</v>
      </c>
    </row>
    <row r="13" spans="1:5" ht="24.95" customHeight="1">
      <c r="A13" s="73">
        <v>10</v>
      </c>
      <c r="B13" s="249" t="s">
        <v>238</v>
      </c>
      <c r="C13" s="181" t="s">
        <v>34</v>
      </c>
      <c r="D13" s="282">
        <v>75000</v>
      </c>
    </row>
    <row r="14" spans="1:5" ht="24.95" customHeight="1">
      <c r="A14" s="73">
        <v>11</v>
      </c>
      <c r="B14" s="181" t="s">
        <v>93</v>
      </c>
      <c r="C14" s="181" t="s">
        <v>92</v>
      </c>
      <c r="D14" s="282">
        <v>75000</v>
      </c>
    </row>
    <row r="15" spans="1:5" ht="24.95" customHeight="1">
      <c r="A15" s="73">
        <v>12</v>
      </c>
      <c r="B15" s="31" t="s">
        <v>347</v>
      </c>
      <c r="C15" s="31" t="s">
        <v>90</v>
      </c>
      <c r="D15" s="282">
        <v>75000</v>
      </c>
    </row>
    <row r="16" spans="1:5" ht="24.95" customHeight="1">
      <c r="A16" s="73">
        <v>13</v>
      </c>
      <c r="B16" s="31" t="s">
        <v>28</v>
      </c>
      <c r="C16" s="31" t="s">
        <v>29</v>
      </c>
      <c r="D16" s="282">
        <v>37500</v>
      </c>
    </row>
    <row r="17" spans="1:5" ht="24.95" customHeight="1">
      <c r="A17" s="73">
        <v>14</v>
      </c>
      <c r="B17" s="31" t="s">
        <v>30</v>
      </c>
      <c r="C17" s="31" t="s">
        <v>19</v>
      </c>
      <c r="D17" s="282">
        <v>45000</v>
      </c>
    </row>
    <row r="18" spans="1:5" ht="24.95" customHeight="1">
      <c r="A18" s="73">
        <v>15</v>
      </c>
      <c r="B18" s="31" t="s">
        <v>348</v>
      </c>
      <c r="C18" s="31" t="s">
        <v>19</v>
      </c>
      <c r="D18" s="282">
        <v>45000</v>
      </c>
    </row>
    <row r="19" spans="1:5" ht="24.95" customHeight="1">
      <c r="A19" s="73">
        <v>16</v>
      </c>
      <c r="B19" s="31" t="s">
        <v>349</v>
      </c>
      <c r="C19" s="31" t="s">
        <v>19</v>
      </c>
      <c r="D19" s="282">
        <v>45000</v>
      </c>
    </row>
    <row r="20" spans="1:5" ht="24.95" customHeight="1">
      <c r="A20" s="73">
        <v>17</v>
      </c>
      <c r="B20" s="31" t="s">
        <v>31</v>
      </c>
      <c r="C20" s="31" t="s">
        <v>32</v>
      </c>
      <c r="D20" s="282">
        <v>45000</v>
      </c>
    </row>
    <row r="21" spans="1:5" ht="24.95" customHeight="1">
      <c r="A21" s="73">
        <v>18</v>
      </c>
      <c r="B21" s="59" t="s">
        <v>350</v>
      </c>
      <c r="C21" s="31" t="s">
        <v>373</v>
      </c>
      <c r="D21" s="282">
        <v>45000</v>
      </c>
    </row>
    <row r="22" spans="1:5" ht="24.95" customHeight="1">
      <c r="A22" s="73">
        <v>19</v>
      </c>
      <c r="B22" s="59" t="s">
        <v>126</v>
      </c>
      <c r="C22" s="31" t="s">
        <v>19</v>
      </c>
      <c r="D22" s="282">
        <v>45000</v>
      </c>
      <c r="E22" s="187"/>
    </row>
    <row r="23" spans="1:5" ht="24.95" customHeight="1">
      <c r="A23" s="73">
        <v>20</v>
      </c>
      <c r="B23" s="59" t="s">
        <v>353</v>
      </c>
      <c r="C23" s="31" t="s">
        <v>34</v>
      </c>
      <c r="D23" s="282">
        <v>75000</v>
      </c>
    </row>
    <row r="24" spans="1:5" ht="24.95" customHeight="1">
      <c r="A24" s="73">
        <v>21</v>
      </c>
      <c r="B24" s="227" t="s">
        <v>354</v>
      </c>
      <c r="C24" s="31" t="s">
        <v>39</v>
      </c>
      <c r="D24" s="282">
        <v>15000</v>
      </c>
    </row>
    <row r="25" spans="1:5" ht="24.95" customHeight="1">
      <c r="A25" s="73">
        <v>22</v>
      </c>
      <c r="B25" s="227" t="s">
        <v>316</v>
      </c>
      <c r="C25" s="31" t="s">
        <v>39</v>
      </c>
      <c r="D25" s="282">
        <v>15000</v>
      </c>
    </row>
    <row r="26" spans="1:5" ht="24.95" customHeight="1">
      <c r="A26" s="73">
        <v>23</v>
      </c>
      <c r="B26" s="227" t="s">
        <v>356</v>
      </c>
      <c r="C26" s="31" t="s">
        <v>39</v>
      </c>
      <c r="D26" s="282">
        <v>15000</v>
      </c>
    </row>
    <row r="27" spans="1:5" ht="24.95" customHeight="1">
      <c r="A27" s="73">
        <v>24</v>
      </c>
      <c r="B27" s="227" t="s">
        <v>306</v>
      </c>
      <c r="C27" s="31" t="s">
        <v>39</v>
      </c>
      <c r="D27" s="282">
        <v>15000</v>
      </c>
    </row>
    <row r="28" spans="1:5" ht="24.95" customHeight="1">
      <c r="A28" s="73">
        <v>25</v>
      </c>
      <c r="B28" s="227" t="s">
        <v>357</v>
      </c>
      <c r="C28" s="31" t="s">
        <v>39</v>
      </c>
      <c r="D28" s="282">
        <v>15000</v>
      </c>
    </row>
    <row r="29" spans="1:5" ht="24.95" customHeight="1">
      <c r="A29" s="73">
        <v>26</v>
      </c>
      <c r="B29" s="227" t="s">
        <v>283</v>
      </c>
      <c r="C29" s="31" t="s">
        <v>37</v>
      </c>
      <c r="D29" s="282">
        <v>45000</v>
      </c>
    </row>
    <row r="30" spans="1:5" ht="24.95" customHeight="1">
      <c r="A30" s="73">
        <v>27</v>
      </c>
      <c r="B30" s="227" t="s">
        <v>284</v>
      </c>
      <c r="C30" s="31" t="s">
        <v>37</v>
      </c>
      <c r="D30" s="282">
        <v>45000</v>
      </c>
    </row>
    <row r="31" spans="1:5" ht="24.95" customHeight="1">
      <c r="A31" s="73">
        <v>28</v>
      </c>
      <c r="B31" s="227" t="s">
        <v>285</v>
      </c>
      <c r="C31" s="31" t="s">
        <v>37</v>
      </c>
      <c r="D31" s="282">
        <v>45000</v>
      </c>
    </row>
    <row r="32" spans="1:5" ht="24.95" customHeight="1">
      <c r="A32" s="73">
        <v>29</v>
      </c>
      <c r="B32" s="227" t="s">
        <v>286</v>
      </c>
      <c r="C32" s="31" t="s">
        <v>37</v>
      </c>
      <c r="D32" s="282">
        <v>45000</v>
      </c>
      <c r="E32" s="212"/>
    </row>
    <row r="33" spans="1:7" ht="24.95" customHeight="1">
      <c r="A33" s="73">
        <v>30</v>
      </c>
      <c r="B33" s="227" t="s">
        <v>296</v>
      </c>
      <c r="C33" s="31" t="s">
        <v>37</v>
      </c>
      <c r="D33" s="282">
        <v>45000</v>
      </c>
    </row>
    <row r="34" spans="1:7" ht="24.95" customHeight="1">
      <c r="A34" s="73">
        <v>31</v>
      </c>
      <c r="B34" s="227" t="s">
        <v>119</v>
      </c>
      <c r="C34" s="31" t="s">
        <v>37</v>
      </c>
      <c r="D34" s="282">
        <v>45000</v>
      </c>
      <c r="E34" s="8"/>
      <c r="F34" s="8"/>
      <c r="G34" s="8"/>
    </row>
    <row r="35" spans="1:7" ht="30" customHeight="1">
      <c r="A35" s="73">
        <v>32</v>
      </c>
      <c r="B35" s="227" t="s">
        <v>374</v>
      </c>
      <c r="C35" s="31" t="s">
        <v>34</v>
      </c>
      <c r="D35" s="282">
        <v>75000</v>
      </c>
      <c r="E35" s="8"/>
      <c r="F35" s="8"/>
      <c r="G35" s="8"/>
    </row>
    <row r="36" spans="1:7" ht="33" customHeight="1">
      <c r="A36" s="73">
        <v>33</v>
      </c>
      <c r="B36" s="255" t="s">
        <v>358</v>
      </c>
      <c r="C36" s="31" t="s">
        <v>39</v>
      </c>
      <c r="D36" s="282">
        <v>15000</v>
      </c>
    </row>
    <row r="37" spans="1:7" ht="33" customHeight="1">
      <c r="A37" s="73">
        <v>34</v>
      </c>
      <c r="B37" s="255" t="s">
        <v>359</v>
      </c>
      <c r="C37" s="31" t="s">
        <v>39</v>
      </c>
      <c r="D37" s="282">
        <v>15000</v>
      </c>
    </row>
    <row r="38" spans="1:7" ht="33" customHeight="1">
      <c r="A38" s="73">
        <v>35</v>
      </c>
      <c r="B38" s="255" t="s">
        <v>360</v>
      </c>
      <c r="C38" s="31" t="s">
        <v>39</v>
      </c>
      <c r="D38" s="282">
        <v>15000</v>
      </c>
    </row>
    <row r="39" spans="1:7" ht="33" customHeight="1">
      <c r="A39" s="73">
        <v>36</v>
      </c>
      <c r="B39" s="255" t="s">
        <v>361</v>
      </c>
      <c r="C39" s="31" t="s">
        <v>39</v>
      </c>
      <c r="D39" s="282">
        <v>15000</v>
      </c>
    </row>
    <row r="40" spans="1:7" ht="33" customHeight="1">
      <c r="A40" s="73">
        <v>37</v>
      </c>
      <c r="B40" s="255" t="s">
        <v>362</v>
      </c>
      <c r="C40" s="31" t="s">
        <v>39</v>
      </c>
      <c r="D40" s="282">
        <v>15000</v>
      </c>
    </row>
    <row r="41" spans="1:7" ht="35.1" customHeight="1">
      <c r="A41" s="73">
        <v>38</v>
      </c>
      <c r="B41" s="255" t="s">
        <v>127</v>
      </c>
      <c r="C41" s="31" t="s">
        <v>34</v>
      </c>
      <c r="D41" s="282">
        <v>75000</v>
      </c>
    </row>
    <row r="42" spans="1:7" ht="35.1" customHeight="1">
      <c r="A42" s="73">
        <v>39</v>
      </c>
      <c r="B42" s="255" t="s">
        <v>33</v>
      </c>
      <c r="C42" s="277" t="s">
        <v>34</v>
      </c>
      <c r="D42" s="282">
        <v>225000</v>
      </c>
    </row>
    <row r="43" spans="1:7" ht="35.1" customHeight="1">
      <c r="A43" s="73">
        <v>40</v>
      </c>
      <c r="B43" s="255" t="s">
        <v>375</v>
      </c>
      <c r="C43" s="31" t="s">
        <v>39</v>
      </c>
      <c r="D43" s="282">
        <v>15000</v>
      </c>
    </row>
    <row r="44" spans="1:7" ht="35.1" customHeight="1">
      <c r="A44" s="73">
        <v>41</v>
      </c>
      <c r="B44" s="255" t="s">
        <v>376</v>
      </c>
      <c r="C44" s="31" t="s">
        <v>39</v>
      </c>
      <c r="D44" s="282">
        <v>15000</v>
      </c>
    </row>
    <row r="45" spans="1:7" ht="35.1" customHeight="1">
      <c r="A45" s="73">
        <v>42</v>
      </c>
      <c r="B45" s="255" t="s">
        <v>377</v>
      </c>
      <c r="C45" s="31" t="s">
        <v>39</v>
      </c>
      <c r="D45" s="282">
        <v>15000</v>
      </c>
    </row>
    <row r="46" spans="1:7" ht="35.1" customHeight="1">
      <c r="A46" s="73">
        <v>43</v>
      </c>
      <c r="B46" s="255" t="s">
        <v>378</v>
      </c>
      <c r="C46" s="31" t="s">
        <v>39</v>
      </c>
      <c r="D46" s="282">
        <v>15000</v>
      </c>
    </row>
    <row r="47" spans="1:7" ht="35.1" customHeight="1">
      <c r="A47" s="73">
        <v>44</v>
      </c>
      <c r="B47" s="255" t="s">
        <v>379</v>
      </c>
      <c r="C47" s="31" t="s">
        <v>39</v>
      </c>
      <c r="D47" s="282">
        <v>15000</v>
      </c>
    </row>
    <row r="48" spans="1:7" ht="35.1" customHeight="1">
      <c r="A48" s="73">
        <v>45</v>
      </c>
      <c r="B48" s="255" t="s">
        <v>380</v>
      </c>
      <c r="C48" s="31" t="s">
        <v>39</v>
      </c>
      <c r="D48" s="282">
        <v>15000</v>
      </c>
    </row>
    <row r="49" spans="1:4" ht="35.1" customHeight="1">
      <c r="A49" s="73">
        <v>46</v>
      </c>
      <c r="B49" s="255" t="s">
        <v>381</v>
      </c>
      <c r="C49" s="31" t="s">
        <v>39</v>
      </c>
      <c r="D49" s="282">
        <v>15000</v>
      </c>
    </row>
    <row r="50" spans="1:4" ht="35.1" customHeight="1">
      <c r="A50" s="73">
        <v>47</v>
      </c>
      <c r="B50" s="255" t="s">
        <v>382</v>
      </c>
      <c r="C50" s="31" t="s">
        <v>39</v>
      </c>
      <c r="D50" s="282">
        <v>15000</v>
      </c>
    </row>
    <row r="51" spans="1:4" ht="35.1" customHeight="1">
      <c r="A51" s="73">
        <v>48</v>
      </c>
      <c r="B51" s="255" t="s">
        <v>128</v>
      </c>
      <c r="C51" s="31" t="s">
        <v>39</v>
      </c>
      <c r="D51" s="282">
        <v>15000</v>
      </c>
    </row>
    <row r="52" spans="1:4" ht="35.1" customHeight="1">
      <c r="A52" s="73">
        <v>49</v>
      </c>
      <c r="B52" s="255" t="s">
        <v>383</v>
      </c>
      <c r="C52" s="31" t="s">
        <v>39</v>
      </c>
      <c r="D52" s="282">
        <v>15000</v>
      </c>
    </row>
    <row r="53" spans="1:4" ht="35.1" customHeight="1">
      <c r="A53" s="73">
        <v>50</v>
      </c>
      <c r="B53" s="255" t="s">
        <v>129</v>
      </c>
      <c r="C53" s="31" t="s">
        <v>39</v>
      </c>
      <c r="D53" s="282">
        <v>15000</v>
      </c>
    </row>
    <row r="54" spans="1:4" ht="35.1" customHeight="1">
      <c r="A54" s="73">
        <v>51</v>
      </c>
      <c r="B54" s="255" t="s">
        <v>130</v>
      </c>
      <c r="C54" s="31" t="s">
        <v>39</v>
      </c>
      <c r="D54" s="282">
        <v>15000</v>
      </c>
    </row>
    <row r="55" spans="1:4" ht="35.1" customHeight="1">
      <c r="A55" s="73">
        <v>52</v>
      </c>
      <c r="B55" s="255" t="s">
        <v>131</v>
      </c>
      <c r="C55" s="31" t="s">
        <v>39</v>
      </c>
      <c r="D55" s="282">
        <v>15000</v>
      </c>
    </row>
    <row r="56" spans="1:4" ht="35.1" customHeight="1">
      <c r="A56" s="73">
        <v>53</v>
      </c>
      <c r="B56" s="255" t="s">
        <v>132</v>
      </c>
      <c r="C56" s="31" t="s">
        <v>39</v>
      </c>
      <c r="D56" s="282">
        <v>15000</v>
      </c>
    </row>
    <row r="57" spans="1:4" ht="35.1" customHeight="1">
      <c r="A57" s="73">
        <v>54</v>
      </c>
      <c r="B57" s="255" t="s">
        <v>140</v>
      </c>
      <c r="C57" s="31" t="s">
        <v>141</v>
      </c>
      <c r="D57" s="282">
        <v>45000</v>
      </c>
    </row>
    <row r="58" spans="1:4" ht="35.1" customHeight="1">
      <c r="A58" s="73">
        <v>55</v>
      </c>
      <c r="B58" s="255" t="s">
        <v>122</v>
      </c>
      <c r="C58" s="31" t="s">
        <v>141</v>
      </c>
      <c r="D58" s="282">
        <v>45000</v>
      </c>
    </row>
    <row r="59" spans="1:4" ht="35.1" customHeight="1">
      <c r="A59" s="73">
        <v>56</v>
      </c>
      <c r="B59" s="255" t="s">
        <v>384</v>
      </c>
      <c r="C59" s="31" t="s">
        <v>34</v>
      </c>
      <c r="D59" s="282">
        <v>75000</v>
      </c>
    </row>
    <row r="60" spans="1:4" ht="35.1" customHeight="1">
      <c r="A60" s="73">
        <v>57</v>
      </c>
      <c r="B60" s="255" t="s">
        <v>36</v>
      </c>
      <c r="C60" s="31" t="s">
        <v>37</v>
      </c>
      <c r="D60" s="282">
        <f>225000</f>
        <v>225000</v>
      </c>
    </row>
    <row r="61" spans="1:4" ht="35.1" customHeight="1">
      <c r="A61" s="73">
        <v>58</v>
      </c>
      <c r="B61" s="255" t="s">
        <v>135</v>
      </c>
      <c r="C61" s="31" t="s">
        <v>39</v>
      </c>
      <c r="D61" s="282">
        <v>15000</v>
      </c>
    </row>
    <row r="62" spans="1:4" ht="35.1" customHeight="1">
      <c r="A62" s="73">
        <v>59</v>
      </c>
      <c r="B62" s="255" t="s">
        <v>136</v>
      </c>
      <c r="C62" s="31" t="s">
        <v>39</v>
      </c>
      <c r="D62" s="282">
        <v>15000</v>
      </c>
    </row>
    <row r="63" spans="1:4" ht="35.1" customHeight="1">
      <c r="A63" s="73">
        <v>60</v>
      </c>
      <c r="B63" s="255" t="s">
        <v>137</v>
      </c>
      <c r="C63" s="31" t="s">
        <v>39</v>
      </c>
      <c r="D63" s="282">
        <v>15000</v>
      </c>
    </row>
    <row r="64" spans="1:4" ht="35.1" customHeight="1">
      <c r="A64" s="73">
        <v>61</v>
      </c>
      <c r="B64" s="255" t="s">
        <v>138</v>
      </c>
      <c r="C64" s="31" t="s">
        <v>39</v>
      </c>
      <c r="D64" s="282">
        <v>15000</v>
      </c>
    </row>
    <row r="65" spans="1:6" ht="35.1" customHeight="1">
      <c r="A65" s="73">
        <v>62</v>
      </c>
      <c r="B65" s="255" t="s">
        <v>43</v>
      </c>
      <c r="C65" s="31" t="s">
        <v>44</v>
      </c>
      <c r="D65" s="282">
        <v>150000</v>
      </c>
    </row>
    <row r="66" spans="1:6" ht="35.1" customHeight="1">
      <c r="A66" s="73">
        <v>63</v>
      </c>
      <c r="B66" s="255" t="s">
        <v>45</v>
      </c>
      <c r="C66" s="31" t="s">
        <v>34</v>
      </c>
      <c r="D66" s="282">
        <v>75000</v>
      </c>
    </row>
    <row r="67" spans="1:6" ht="35.1" customHeight="1">
      <c r="A67" s="73">
        <v>64</v>
      </c>
      <c r="B67" s="255" t="s">
        <v>46</v>
      </c>
      <c r="C67" s="31" t="s">
        <v>39</v>
      </c>
      <c r="D67" s="282">
        <v>15000</v>
      </c>
      <c r="F67" s="116"/>
    </row>
    <row r="68" spans="1:6" ht="35.1" customHeight="1">
      <c r="A68" s="73">
        <v>65</v>
      </c>
      <c r="B68" s="255" t="s">
        <v>48</v>
      </c>
      <c r="C68" s="31" t="s">
        <v>39</v>
      </c>
      <c r="D68" s="282">
        <v>15000</v>
      </c>
      <c r="F68" s="116"/>
    </row>
    <row r="69" spans="1:6" ht="35.1" customHeight="1">
      <c r="A69" s="73">
        <v>66</v>
      </c>
      <c r="B69" s="255" t="s">
        <v>49</v>
      </c>
      <c r="C69" s="31" t="s">
        <v>50</v>
      </c>
      <c r="D69" s="282">
        <v>45000</v>
      </c>
      <c r="F69" s="116"/>
    </row>
    <row r="70" spans="1:6" ht="33" customHeight="1">
      <c r="A70" s="73">
        <v>67</v>
      </c>
      <c r="B70" s="255" t="s">
        <v>51</v>
      </c>
      <c r="C70" s="31" t="s">
        <v>52</v>
      </c>
      <c r="D70" s="282">
        <v>45000</v>
      </c>
    </row>
    <row r="71" spans="1:6" ht="33" customHeight="1">
      <c r="A71" s="73">
        <v>68</v>
      </c>
      <c r="B71" s="255" t="s">
        <v>385</v>
      </c>
      <c r="C71" s="31" t="s">
        <v>386</v>
      </c>
      <c r="D71" s="282">
        <v>45000</v>
      </c>
    </row>
    <row r="72" spans="1:6" ht="33" customHeight="1">
      <c r="A72" s="73">
        <v>69</v>
      </c>
      <c r="B72" s="255" t="s">
        <v>53</v>
      </c>
      <c r="C72" s="31" t="s">
        <v>39</v>
      </c>
      <c r="D72" s="282">
        <v>15000</v>
      </c>
    </row>
    <row r="73" spans="1:6" ht="33" customHeight="1">
      <c r="A73" s="73"/>
      <c r="B73" s="287" t="s">
        <v>84</v>
      </c>
      <c r="C73" s="31"/>
      <c r="D73" s="285">
        <f>SUM(D4:D72)</f>
        <v>2842500</v>
      </c>
    </row>
    <row r="74" spans="1:6" ht="25.5" customHeight="1">
      <c r="A74" s="70"/>
      <c r="B74" s="283"/>
      <c r="C74" s="23"/>
      <c r="D74" s="286"/>
    </row>
    <row r="75" spans="1:6" ht="15" customHeight="1">
      <c r="A75" s="70"/>
      <c r="B75" s="283"/>
      <c r="C75" s="23"/>
      <c r="D75" s="284"/>
    </row>
    <row r="76" spans="1:6" ht="27.75" customHeight="1">
      <c r="A76" s="338"/>
      <c r="B76" s="338"/>
      <c r="C76" s="338"/>
      <c r="D76" s="338"/>
    </row>
    <row r="77" spans="1:6" ht="20.100000000000001" customHeight="1">
      <c r="A77" s="70"/>
    </row>
    <row r="78" spans="1:6" ht="20.100000000000001" customHeight="1">
      <c r="A78" s="70"/>
      <c r="D78" s="116"/>
    </row>
    <row r="79" spans="1:6" ht="20.100000000000001" customHeight="1">
      <c r="A79" s="70"/>
    </row>
    <row r="80" spans="1:6" ht="20.100000000000001" customHeight="1">
      <c r="A80" s="70"/>
      <c r="C80" s="168"/>
    </row>
    <row r="81" spans="1:3" ht="20.100000000000001" customHeight="1">
      <c r="A81" s="70"/>
      <c r="C81" s="168"/>
    </row>
    <row r="82" spans="1:3" ht="20.100000000000001" customHeight="1">
      <c r="A82" s="70"/>
      <c r="C82" s="168"/>
    </row>
    <row r="83" spans="1:3" ht="20.100000000000001" customHeight="1">
      <c r="A83" s="70"/>
      <c r="C83" s="168"/>
    </row>
    <row r="84" spans="1:3" ht="20.100000000000001" customHeight="1">
      <c r="A84" s="70"/>
    </row>
    <row r="85" spans="1:3" ht="20.100000000000001" customHeight="1">
      <c r="A85" s="70"/>
    </row>
    <row r="86" spans="1:3" ht="20.100000000000001" customHeight="1">
      <c r="A86" s="70"/>
    </row>
    <row r="87" spans="1:3" ht="20.100000000000001" customHeight="1">
      <c r="A87" s="70"/>
    </row>
    <row r="88" spans="1:3" ht="20.100000000000001" customHeight="1">
      <c r="A88" s="70"/>
    </row>
    <row r="89" spans="1:3" ht="20.100000000000001" customHeight="1">
      <c r="A89" s="70"/>
    </row>
    <row r="90" spans="1:3" ht="20.100000000000001" customHeight="1">
      <c r="A90" s="70"/>
    </row>
    <row r="91" spans="1:3" ht="20.100000000000001" customHeight="1">
      <c r="A91" s="70"/>
    </row>
    <row r="92" spans="1:3" ht="20.100000000000001" customHeight="1">
      <c r="A92" s="70"/>
    </row>
    <row r="93" spans="1:3" ht="20.100000000000001" customHeight="1">
      <c r="A93" s="70"/>
    </row>
    <row r="94" spans="1:3" ht="20.100000000000001" customHeight="1">
      <c r="A94" s="70"/>
    </row>
    <row r="95" spans="1:3" ht="20.100000000000001" customHeight="1">
      <c r="A95" s="70"/>
    </row>
    <row r="96" spans="1:3" ht="20.100000000000001" customHeight="1">
      <c r="A96" s="70"/>
    </row>
    <row r="97" spans="1:1" ht="20.100000000000001" customHeight="1">
      <c r="A97" s="70"/>
    </row>
    <row r="98" spans="1:1" ht="20.100000000000001" customHeight="1">
      <c r="A98" s="70"/>
    </row>
    <row r="99" spans="1:1" ht="20.100000000000001" customHeight="1">
      <c r="A99" s="70"/>
    </row>
    <row r="100" spans="1:1" ht="20.100000000000001" customHeight="1">
      <c r="A100" s="70"/>
    </row>
    <row r="101" spans="1:1" ht="20.100000000000001" customHeight="1">
      <c r="A101" s="70"/>
    </row>
    <row r="102" spans="1:1" ht="20.100000000000001" customHeight="1">
      <c r="A102" s="70"/>
    </row>
    <row r="103" spans="1:1" ht="20.100000000000001" customHeight="1">
      <c r="A103" s="70"/>
    </row>
    <row r="104" spans="1:1" ht="20.100000000000001" customHeight="1">
      <c r="A104" s="70"/>
    </row>
    <row r="105" spans="1:1" ht="20.100000000000001" customHeight="1">
      <c r="A105" s="70"/>
    </row>
    <row r="106" spans="1:1" ht="20.100000000000001" customHeight="1">
      <c r="A106" s="70"/>
    </row>
    <row r="107" spans="1:1" ht="20.100000000000001" customHeight="1">
      <c r="A107" s="70"/>
    </row>
    <row r="108" spans="1:1" ht="20.100000000000001" customHeight="1">
      <c r="A108" s="70"/>
    </row>
    <row r="109" spans="1:1" ht="20.100000000000001" customHeight="1">
      <c r="A109" s="70"/>
    </row>
    <row r="110" spans="1:1" ht="20.100000000000001" customHeight="1">
      <c r="A110" s="70"/>
    </row>
    <row r="111" spans="1:1" ht="20.100000000000001" customHeight="1">
      <c r="A111" s="70"/>
    </row>
    <row r="112" spans="1:1" ht="20.100000000000001" customHeight="1">
      <c r="A112" s="70"/>
    </row>
    <row r="113" spans="1:1" ht="20.100000000000001" customHeight="1">
      <c r="A113" s="70"/>
    </row>
    <row r="114" spans="1:1" ht="20.100000000000001" customHeight="1">
      <c r="A114" s="70"/>
    </row>
    <row r="115" spans="1:1" ht="20.100000000000001" customHeight="1">
      <c r="A115" s="70"/>
    </row>
    <row r="116" spans="1:1" ht="20.100000000000001" customHeight="1">
      <c r="A116" s="70"/>
    </row>
    <row r="117" spans="1:1" ht="20.100000000000001" customHeight="1">
      <c r="A117" s="23"/>
    </row>
    <row r="158" spans="6:6" ht="20.100000000000001" customHeight="1">
      <c r="F158" s="1">
        <f>60000</f>
        <v>60000</v>
      </c>
    </row>
  </sheetData>
  <mergeCells count="2">
    <mergeCell ref="A1:D1"/>
    <mergeCell ref="A76:D76"/>
  </mergeCells>
  <pageMargins left="0.51181102362204722" right="0" top="0" bottom="7.874015748031496E-2" header="0.11811023622047245" footer="0"/>
  <pageSetup paperSize="9" scale="97" orientation="portrait" r:id="rId1"/>
  <headerFooter alignWithMargins="0"/>
  <rowBreaks count="2" manualBreakCount="2">
    <brk id="28" max="10" man="1"/>
    <brk id="52" max="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52"/>
  <sheetViews>
    <sheetView view="pageBreakPreview" zoomScale="78" zoomScaleNormal="100" zoomScaleSheetLayoutView="78" workbookViewId="0">
      <pane xSplit="3" ySplit="2" topLeftCell="D47" activePane="bottomRight" state="frozen"/>
      <selection pane="bottomRight" activeCell="B51" sqref="B51:D52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33.42578125" style="1" customWidth="1"/>
    <col min="3" max="3" width="23.28515625" style="1" customWidth="1"/>
    <col min="4" max="4" width="19.7109375" style="1" customWidth="1"/>
    <col min="5" max="5" width="21.5703125" style="1" customWidth="1"/>
    <col min="6" max="6" width="18.7109375" style="1" customWidth="1"/>
    <col min="7" max="7" width="14.42578125" style="1" customWidth="1"/>
    <col min="8" max="16384" width="9.140625" style="1"/>
  </cols>
  <sheetData>
    <row r="1" spans="1:5" ht="46.5" customHeight="1">
      <c r="A1" s="330" t="s">
        <v>371</v>
      </c>
      <c r="B1" s="331"/>
      <c r="C1" s="331"/>
      <c r="D1" s="331"/>
    </row>
    <row r="2" spans="1:5" ht="54" customHeight="1">
      <c r="A2" s="28" t="s">
        <v>1</v>
      </c>
      <c r="B2" s="118" t="s">
        <v>2</v>
      </c>
      <c r="C2" s="28" t="s">
        <v>3</v>
      </c>
      <c r="D2" s="223" t="s">
        <v>372</v>
      </c>
    </row>
    <row r="3" spans="1:5" ht="19.5" customHeight="1">
      <c r="A3" s="33"/>
      <c r="B3" s="34"/>
      <c r="C3" s="27"/>
      <c r="D3" s="288" t="s">
        <v>13</v>
      </c>
    </row>
    <row r="4" spans="1:5" ht="24.95" customHeight="1">
      <c r="A4" s="73">
        <v>1</v>
      </c>
      <c r="B4" s="181" t="s">
        <v>89</v>
      </c>
      <c r="C4" s="31" t="s">
        <v>90</v>
      </c>
      <c r="D4" s="282">
        <v>90000</v>
      </c>
    </row>
    <row r="5" spans="1:5" ht="24.95" customHeight="1">
      <c r="A5" s="73">
        <v>2</v>
      </c>
      <c r="B5" s="57" t="s">
        <v>14</v>
      </c>
      <c r="C5" s="59" t="s">
        <v>15</v>
      </c>
      <c r="D5" s="282">
        <v>90000</v>
      </c>
      <c r="E5" s="187"/>
    </row>
    <row r="6" spans="1:5" ht="24.95" customHeight="1">
      <c r="A6" s="73">
        <v>3</v>
      </c>
      <c r="B6" s="181" t="s">
        <v>16</v>
      </c>
      <c r="C6" s="181" t="s">
        <v>17</v>
      </c>
      <c r="D6" s="282">
        <v>54000</v>
      </c>
    </row>
    <row r="7" spans="1:5" ht="24.95" customHeight="1">
      <c r="A7" s="73">
        <v>4</v>
      </c>
      <c r="B7" s="181" t="s">
        <v>18</v>
      </c>
      <c r="C7" s="181" t="s">
        <v>19</v>
      </c>
      <c r="D7" s="282">
        <v>36000</v>
      </c>
    </row>
    <row r="8" spans="1:5" ht="24.95" customHeight="1">
      <c r="A8" s="73">
        <v>5</v>
      </c>
      <c r="B8" s="181" t="s">
        <v>20</v>
      </c>
      <c r="C8" s="181" t="s">
        <v>21</v>
      </c>
      <c r="D8" s="282">
        <v>36000</v>
      </c>
    </row>
    <row r="9" spans="1:5" ht="24.95" customHeight="1">
      <c r="A9" s="73">
        <v>6</v>
      </c>
      <c r="B9" s="181" t="s">
        <v>22</v>
      </c>
      <c r="C9" s="181" t="s">
        <v>23</v>
      </c>
      <c r="D9" s="282">
        <v>36000</v>
      </c>
    </row>
    <row r="10" spans="1:5" ht="24.95" customHeight="1">
      <c r="A10" s="73">
        <v>7</v>
      </c>
      <c r="B10" s="181" t="s">
        <v>24</v>
      </c>
      <c r="C10" s="181" t="s">
        <v>25</v>
      </c>
      <c r="D10" s="282">
        <v>36000</v>
      </c>
    </row>
    <row r="11" spans="1:5" ht="24.95" customHeight="1">
      <c r="A11" s="73">
        <v>8</v>
      </c>
      <c r="B11" s="181" t="s">
        <v>26</v>
      </c>
      <c r="C11" s="181" t="s">
        <v>25</v>
      </c>
      <c r="D11" s="282">
        <v>36000</v>
      </c>
    </row>
    <row r="12" spans="1:5" ht="24.95" customHeight="1">
      <c r="A12" s="73">
        <v>9</v>
      </c>
      <c r="B12" s="181" t="s">
        <v>27</v>
      </c>
      <c r="C12" s="181" t="s">
        <v>23</v>
      </c>
      <c r="D12" s="282">
        <v>36000</v>
      </c>
    </row>
    <row r="13" spans="1:5" ht="24.95" customHeight="1">
      <c r="A13" s="73">
        <v>10</v>
      </c>
      <c r="B13" s="249" t="s">
        <v>238</v>
      </c>
      <c r="C13" s="181" t="s">
        <v>34</v>
      </c>
      <c r="D13" s="282">
        <v>90000</v>
      </c>
    </row>
    <row r="14" spans="1:5" ht="24.95" customHeight="1">
      <c r="A14" s="73">
        <v>11</v>
      </c>
      <c r="B14" s="181" t="s">
        <v>93</v>
      </c>
      <c r="C14" s="181" t="s">
        <v>92</v>
      </c>
      <c r="D14" s="282">
        <v>90000</v>
      </c>
    </row>
    <row r="15" spans="1:5" ht="24.95" customHeight="1">
      <c r="A15" s="73">
        <v>12</v>
      </c>
      <c r="B15" s="31" t="s">
        <v>347</v>
      </c>
      <c r="C15" s="31" t="s">
        <v>90</v>
      </c>
      <c r="D15" s="282">
        <v>90000</v>
      </c>
    </row>
    <row r="16" spans="1:5" ht="24.95" customHeight="1">
      <c r="A16" s="73">
        <v>13</v>
      </c>
      <c r="B16" s="31" t="s">
        <v>28</v>
      </c>
      <c r="C16" s="31" t="s">
        <v>29</v>
      </c>
      <c r="D16" s="282">
        <v>45000</v>
      </c>
    </row>
    <row r="17" spans="1:7" ht="24.95" customHeight="1">
      <c r="A17" s="73">
        <v>14</v>
      </c>
      <c r="B17" s="31" t="s">
        <v>30</v>
      </c>
      <c r="C17" s="31" t="s">
        <v>19</v>
      </c>
      <c r="D17" s="282">
        <v>54000</v>
      </c>
    </row>
    <row r="18" spans="1:7" ht="24.95" customHeight="1">
      <c r="A18" s="73">
        <v>15</v>
      </c>
      <c r="B18" s="31" t="s">
        <v>31</v>
      </c>
      <c r="C18" s="31" t="s">
        <v>32</v>
      </c>
      <c r="D18" s="282">
        <v>54000</v>
      </c>
    </row>
    <row r="19" spans="1:7" ht="24.95" customHeight="1">
      <c r="A19" s="73">
        <v>16</v>
      </c>
      <c r="B19" s="59" t="s">
        <v>350</v>
      </c>
      <c r="C19" s="31" t="s">
        <v>373</v>
      </c>
      <c r="D19" s="282">
        <v>54000</v>
      </c>
    </row>
    <row r="20" spans="1:7" ht="24.95" customHeight="1">
      <c r="A20" s="73">
        <v>17</v>
      </c>
      <c r="B20" s="59" t="s">
        <v>126</v>
      </c>
      <c r="C20" s="31" t="s">
        <v>19</v>
      </c>
      <c r="D20" s="282">
        <v>54000</v>
      </c>
      <c r="E20" s="187"/>
    </row>
    <row r="21" spans="1:7" ht="24.95" customHeight="1">
      <c r="A21" s="73">
        <v>18</v>
      </c>
      <c r="B21" s="227" t="s">
        <v>356</v>
      </c>
      <c r="C21" s="31" t="s">
        <v>39</v>
      </c>
      <c r="D21" s="282">
        <v>18000</v>
      </c>
    </row>
    <row r="22" spans="1:7" ht="24.95" customHeight="1">
      <c r="A22" s="73">
        <v>19</v>
      </c>
      <c r="B22" s="227" t="s">
        <v>306</v>
      </c>
      <c r="C22" s="31" t="s">
        <v>39</v>
      </c>
      <c r="D22" s="282">
        <v>18000</v>
      </c>
    </row>
    <row r="23" spans="1:7" ht="24.95" customHeight="1">
      <c r="A23" s="73">
        <v>20</v>
      </c>
      <c r="B23" s="227" t="s">
        <v>283</v>
      </c>
      <c r="C23" s="31" t="s">
        <v>37</v>
      </c>
      <c r="D23" s="282">
        <v>54000</v>
      </c>
    </row>
    <row r="24" spans="1:7" ht="24.95" customHeight="1">
      <c r="A24" s="73">
        <v>21</v>
      </c>
      <c r="B24" s="227" t="s">
        <v>284</v>
      </c>
      <c r="C24" s="31" t="s">
        <v>37</v>
      </c>
      <c r="D24" s="282">
        <v>54000</v>
      </c>
    </row>
    <row r="25" spans="1:7" ht="24.95" customHeight="1">
      <c r="A25" s="73">
        <v>22</v>
      </c>
      <c r="B25" s="227" t="s">
        <v>285</v>
      </c>
      <c r="C25" s="31" t="s">
        <v>37</v>
      </c>
      <c r="D25" s="282">
        <v>54000</v>
      </c>
    </row>
    <row r="26" spans="1:7" ht="24.95" customHeight="1">
      <c r="A26" s="73">
        <v>23</v>
      </c>
      <c r="B26" s="227" t="s">
        <v>286</v>
      </c>
      <c r="C26" s="31" t="s">
        <v>37</v>
      </c>
      <c r="D26" s="282">
        <v>54000</v>
      </c>
      <c r="E26" s="212"/>
    </row>
    <row r="27" spans="1:7" ht="24.95" customHeight="1">
      <c r="A27" s="73">
        <v>24</v>
      </c>
      <c r="B27" s="227" t="s">
        <v>296</v>
      </c>
      <c r="C27" s="31" t="s">
        <v>37</v>
      </c>
      <c r="D27" s="282">
        <v>54000</v>
      </c>
    </row>
    <row r="28" spans="1:7" ht="24.95" customHeight="1">
      <c r="A28" s="73">
        <v>25</v>
      </c>
      <c r="B28" s="227" t="s">
        <v>119</v>
      </c>
      <c r="C28" s="31" t="s">
        <v>37</v>
      </c>
      <c r="D28" s="282">
        <v>54000</v>
      </c>
      <c r="E28" s="8"/>
      <c r="F28" s="8"/>
      <c r="G28" s="8"/>
    </row>
    <row r="29" spans="1:7" ht="30" customHeight="1">
      <c r="A29" s="73">
        <v>26</v>
      </c>
      <c r="B29" s="227" t="s">
        <v>374</v>
      </c>
      <c r="C29" s="31" t="s">
        <v>34</v>
      </c>
      <c r="D29" s="282">
        <v>90000</v>
      </c>
      <c r="E29" s="8"/>
      <c r="F29" s="8"/>
      <c r="G29" s="8"/>
    </row>
    <row r="30" spans="1:7" ht="33" customHeight="1">
      <c r="A30" s="73">
        <v>27</v>
      </c>
      <c r="B30" s="255" t="s">
        <v>358</v>
      </c>
      <c r="C30" s="31" t="s">
        <v>39</v>
      </c>
      <c r="D30" s="282">
        <v>18000</v>
      </c>
    </row>
    <row r="31" spans="1:7" ht="33" customHeight="1">
      <c r="A31" s="73">
        <v>28</v>
      </c>
      <c r="B31" s="255" t="s">
        <v>359</v>
      </c>
      <c r="C31" s="31" t="s">
        <v>39</v>
      </c>
      <c r="D31" s="282">
        <v>18000</v>
      </c>
    </row>
    <row r="32" spans="1:7" ht="33" customHeight="1">
      <c r="A32" s="73">
        <v>29</v>
      </c>
      <c r="B32" s="255" t="s">
        <v>360</v>
      </c>
      <c r="C32" s="31" t="s">
        <v>39</v>
      </c>
      <c r="D32" s="282">
        <v>18000</v>
      </c>
    </row>
    <row r="33" spans="1:4" ht="33" customHeight="1">
      <c r="A33" s="73">
        <v>30</v>
      </c>
      <c r="B33" s="255" t="s">
        <v>361</v>
      </c>
      <c r="C33" s="31" t="s">
        <v>39</v>
      </c>
      <c r="D33" s="282">
        <v>18000</v>
      </c>
    </row>
    <row r="34" spans="1:4" ht="33" customHeight="1">
      <c r="A34" s="73">
        <v>31</v>
      </c>
      <c r="B34" s="255" t="s">
        <v>362</v>
      </c>
      <c r="C34" s="31" t="s">
        <v>39</v>
      </c>
      <c r="D34" s="282">
        <v>18000</v>
      </c>
    </row>
    <row r="35" spans="1:4" ht="35.1" customHeight="1">
      <c r="A35" s="73">
        <v>32</v>
      </c>
      <c r="B35" s="255" t="s">
        <v>127</v>
      </c>
      <c r="C35" s="31" t="s">
        <v>34</v>
      </c>
      <c r="D35" s="282">
        <v>90000</v>
      </c>
    </row>
    <row r="36" spans="1:4" ht="35.1" customHeight="1">
      <c r="A36" s="73">
        <v>33</v>
      </c>
      <c r="B36" s="255" t="s">
        <v>33</v>
      </c>
      <c r="C36" s="277" t="s">
        <v>34</v>
      </c>
      <c r="D36" s="282">
        <v>270000</v>
      </c>
    </row>
    <row r="37" spans="1:4" ht="35.1" customHeight="1">
      <c r="A37" s="73">
        <v>34</v>
      </c>
      <c r="B37" s="255" t="s">
        <v>375</v>
      </c>
      <c r="C37" s="31" t="s">
        <v>39</v>
      </c>
      <c r="D37" s="282">
        <v>18000</v>
      </c>
    </row>
    <row r="38" spans="1:4" ht="35.1" customHeight="1">
      <c r="A38" s="73">
        <v>35</v>
      </c>
      <c r="B38" s="255" t="s">
        <v>376</v>
      </c>
      <c r="C38" s="31" t="s">
        <v>39</v>
      </c>
      <c r="D38" s="282">
        <v>18000</v>
      </c>
    </row>
    <row r="39" spans="1:4" ht="35.1" customHeight="1">
      <c r="A39" s="73">
        <v>36</v>
      </c>
      <c r="B39" s="255" t="s">
        <v>377</v>
      </c>
      <c r="C39" s="31" t="s">
        <v>39</v>
      </c>
      <c r="D39" s="282">
        <v>18000</v>
      </c>
    </row>
    <row r="40" spans="1:4" ht="35.1" customHeight="1">
      <c r="A40" s="73">
        <v>37</v>
      </c>
      <c r="B40" s="255" t="s">
        <v>378</v>
      </c>
      <c r="C40" s="31" t="s">
        <v>39</v>
      </c>
      <c r="D40" s="282">
        <v>18000</v>
      </c>
    </row>
    <row r="41" spans="1:4" ht="35.1" customHeight="1">
      <c r="A41" s="73">
        <v>38</v>
      </c>
      <c r="B41" s="255" t="s">
        <v>379</v>
      </c>
      <c r="C41" s="31" t="s">
        <v>39</v>
      </c>
      <c r="D41" s="282">
        <v>18000</v>
      </c>
    </row>
    <row r="42" spans="1:4" ht="35.1" customHeight="1">
      <c r="A42" s="73">
        <v>39</v>
      </c>
      <c r="B42" s="255" t="s">
        <v>380</v>
      </c>
      <c r="C42" s="31" t="s">
        <v>39</v>
      </c>
      <c r="D42" s="282">
        <v>18000</v>
      </c>
    </row>
    <row r="43" spans="1:4" ht="35.1" customHeight="1">
      <c r="A43" s="73">
        <v>40</v>
      </c>
      <c r="B43" s="255" t="s">
        <v>381</v>
      </c>
      <c r="C43" s="31" t="s">
        <v>39</v>
      </c>
      <c r="D43" s="282">
        <v>18000</v>
      </c>
    </row>
    <row r="44" spans="1:4" ht="35.1" customHeight="1">
      <c r="A44" s="73">
        <v>41</v>
      </c>
      <c r="B44" s="255" t="s">
        <v>382</v>
      </c>
      <c r="C44" s="31" t="s">
        <v>39</v>
      </c>
      <c r="D44" s="282">
        <v>18000</v>
      </c>
    </row>
    <row r="45" spans="1:4" ht="35.1" customHeight="1">
      <c r="A45" s="73">
        <v>42</v>
      </c>
      <c r="B45" s="255" t="s">
        <v>128</v>
      </c>
      <c r="C45" s="31" t="s">
        <v>39</v>
      </c>
      <c r="D45" s="282">
        <v>18000</v>
      </c>
    </row>
    <row r="46" spans="1:4" ht="35.1" customHeight="1">
      <c r="A46" s="73">
        <v>43</v>
      </c>
      <c r="B46" s="255" t="s">
        <v>383</v>
      </c>
      <c r="C46" s="31" t="s">
        <v>39</v>
      </c>
      <c r="D46" s="282">
        <v>18000</v>
      </c>
    </row>
    <row r="47" spans="1:4" ht="35.1" customHeight="1">
      <c r="A47" s="73">
        <v>44</v>
      </c>
      <c r="B47" s="255" t="s">
        <v>129</v>
      </c>
      <c r="C47" s="31" t="s">
        <v>39</v>
      </c>
      <c r="D47" s="282">
        <v>18000</v>
      </c>
    </row>
    <row r="48" spans="1:4" ht="35.1" customHeight="1">
      <c r="A48" s="73">
        <v>45</v>
      </c>
      <c r="B48" s="255" t="s">
        <v>130</v>
      </c>
      <c r="C48" s="31" t="s">
        <v>39</v>
      </c>
      <c r="D48" s="282">
        <v>18000</v>
      </c>
    </row>
    <row r="49" spans="1:6" ht="35.1" customHeight="1">
      <c r="A49" s="73">
        <v>46</v>
      </c>
      <c r="B49" s="255" t="s">
        <v>131</v>
      </c>
      <c r="C49" s="31" t="s">
        <v>39</v>
      </c>
      <c r="D49" s="282">
        <v>18000</v>
      </c>
    </row>
    <row r="50" spans="1:6" ht="35.1" customHeight="1">
      <c r="A50" s="73">
        <v>47</v>
      </c>
      <c r="B50" s="255" t="s">
        <v>132</v>
      </c>
      <c r="C50" s="31" t="s">
        <v>39</v>
      </c>
      <c r="D50" s="282">
        <v>18000</v>
      </c>
    </row>
    <row r="51" spans="1:6" ht="35.1" customHeight="1">
      <c r="A51" s="73">
        <v>48</v>
      </c>
      <c r="B51" s="255" t="s">
        <v>140</v>
      </c>
      <c r="C51" s="31" t="s">
        <v>141</v>
      </c>
      <c r="D51" s="282">
        <v>54000</v>
      </c>
    </row>
    <row r="52" spans="1:6" ht="35.1" customHeight="1">
      <c r="A52" s="73">
        <v>49</v>
      </c>
      <c r="B52" s="255" t="s">
        <v>122</v>
      </c>
      <c r="C52" s="31" t="s">
        <v>141</v>
      </c>
      <c r="D52" s="282">
        <v>54000</v>
      </c>
    </row>
    <row r="53" spans="1:6" ht="35.1" customHeight="1">
      <c r="A53" s="73">
        <v>50</v>
      </c>
      <c r="B53" s="255" t="s">
        <v>384</v>
      </c>
      <c r="C53" s="31" t="s">
        <v>34</v>
      </c>
      <c r="D53" s="282">
        <v>90000</v>
      </c>
    </row>
    <row r="54" spans="1:6" ht="35.1" customHeight="1">
      <c r="A54" s="73">
        <v>51</v>
      </c>
      <c r="B54" s="255" t="s">
        <v>36</v>
      </c>
      <c r="C54" s="31" t="s">
        <v>37</v>
      </c>
      <c r="D54" s="282">
        <v>270000</v>
      </c>
    </row>
    <row r="55" spans="1:6" ht="35.1" customHeight="1">
      <c r="A55" s="73">
        <v>52</v>
      </c>
      <c r="B55" s="255" t="s">
        <v>135</v>
      </c>
      <c r="C55" s="31" t="s">
        <v>39</v>
      </c>
      <c r="D55" s="282">
        <v>18000</v>
      </c>
    </row>
    <row r="56" spans="1:6" ht="35.1" customHeight="1">
      <c r="A56" s="73">
        <v>53</v>
      </c>
      <c r="B56" s="255" t="s">
        <v>136</v>
      </c>
      <c r="C56" s="31" t="s">
        <v>39</v>
      </c>
      <c r="D56" s="282">
        <v>18000</v>
      </c>
    </row>
    <row r="57" spans="1:6" ht="35.1" customHeight="1">
      <c r="A57" s="73">
        <v>54</v>
      </c>
      <c r="B57" s="255" t="s">
        <v>137</v>
      </c>
      <c r="C57" s="31" t="s">
        <v>39</v>
      </c>
      <c r="D57" s="282">
        <v>18000</v>
      </c>
    </row>
    <row r="58" spans="1:6" ht="35.1" customHeight="1">
      <c r="A58" s="73">
        <v>55</v>
      </c>
      <c r="B58" s="255" t="s">
        <v>138</v>
      </c>
      <c r="C58" s="31" t="s">
        <v>39</v>
      </c>
      <c r="D58" s="282">
        <v>18000</v>
      </c>
    </row>
    <row r="59" spans="1:6" ht="35.1" customHeight="1">
      <c r="A59" s="73">
        <v>56</v>
      </c>
      <c r="B59" s="255" t="s">
        <v>43</v>
      </c>
      <c r="C59" s="31" t="s">
        <v>44</v>
      </c>
      <c r="D59" s="282">
        <v>180000</v>
      </c>
    </row>
    <row r="60" spans="1:6" ht="35.1" customHeight="1">
      <c r="A60" s="73">
        <v>57</v>
      </c>
      <c r="B60" s="255" t="s">
        <v>45</v>
      </c>
      <c r="C60" s="31" t="s">
        <v>34</v>
      </c>
      <c r="D60" s="282">
        <v>90000</v>
      </c>
    </row>
    <row r="61" spans="1:6" ht="35.1" customHeight="1">
      <c r="A61" s="73">
        <v>58</v>
      </c>
      <c r="B61" s="255" t="s">
        <v>46</v>
      </c>
      <c r="C61" s="31" t="s">
        <v>39</v>
      </c>
      <c r="D61" s="282">
        <v>18000</v>
      </c>
      <c r="F61" s="116"/>
    </row>
    <row r="62" spans="1:6" ht="35.1" customHeight="1">
      <c r="A62" s="73">
        <v>59</v>
      </c>
      <c r="B62" s="255" t="s">
        <v>48</v>
      </c>
      <c r="C62" s="31" t="s">
        <v>39</v>
      </c>
      <c r="D62" s="282">
        <v>18000</v>
      </c>
      <c r="F62" s="116"/>
    </row>
    <row r="63" spans="1:6" ht="35.1" customHeight="1">
      <c r="A63" s="73">
        <v>60</v>
      </c>
      <c r="B63" s="255" t="s">
        <v>49</v>
      </c>
      <c r="C63" s="31" t="s">
        <v>50</v>
      </c>
      <c r="D63" s="282">
        <v>54000</v>
      </c>
      <c r="F63" s="116"/>
    </row>
    <row r="64" spans="1:6" ht="33" customHeight="1">
      <c r="A64" s="73">
        <v>61</v>
      </c>
      <c r="B64" s="255" t="s">
        <v>51</v>
      </c>
      <c r="C64" s="31" t="s">
        <v>52</v>
      </c>
      <c r="D64" s="282">
        <v>54000</v>
      </c>
    </row>
    <row r="65" spans="1:4" ht="33" customHeight="1">
      <c r="A65" s="73">
        <v>62</v>
      </c>
      <c r="B65" s="255" t="s">
        <v>385</v>
      </c>
      <c r="C65" s="31" t="s">
        <v>386</v>
      </c>
      <c r="D65" s="282">
        <v>54000</v>
      </c>
    </row>
    <row r="66" spans="1:4" ht="33" customHeight="1">
      <c r="A66" s="73">
        <v>63</v>
      </c>
      <c r="B66" s="255" t="s">
        <v>53</v>
      </c>
      <c r="C66" s="31" t="s">
        <v>39</v>
      </c>
      <c r="D66" s="282">
        <v>18000</v>
      </c>
    </row>
    <row r="67" spans="1:4" ht="37.5" customHeight="1">
      <c r="A67" s="73"/>
      <c r="B67" s="287" t="s">
        <v>84</v>
      </c>
      <c r="C67" s="31"/>
      <c r="D67" s="285">
        <f>SUM(D4:D66)</f>
        <v>3159000</v>
      </c>
    </row>
    <row r="68" spans="1:4" ht="25.5" customHeight="1">
      <c r="A68" s="70"/>
      <c r="B68" s="283"/>
      <c r="C68" s="23"/>
      <c r="D68" s="23"/>
    </row>
    <row r="69" spans="1:4" ht="15" customHeight="1">
      <c r="A69" s="70"/>
      <c r="B69" s="283"/>
      <c r="C69" s="23"/>
      <c r="D69" s="23"/>
    </row>
    <row r="70" spans="1:4" ht="27.75" customHeight="1">
      <c r="A70" s="338"/>
      <c r="B70" s="338"/>
      <c r="C70" s="338"/>
      <c r="D70" s="338"/>
    </row>
    <row r="71" spans="1:4" ht="20.100000000000001" customHeight="1">
      <c r="A71" s="70"/>
    </row>
    <row r="72" spans="1:4" ht="20.100000000000001" customHeight="1">
      <c r="A72" s="70"/>
    </row>
    <row r="73" spans="1:4" ht="20.100000000000001" customHeight="1">
      <c r="A73" s="70"/>
    </row>
    <row r="74" spans="1:4" ht="20.100000000000001" customHeight="1">
      <c r="A74" s="70"/>
      <c r="C74" s="168"/>
      <c r="D74" s="168"/>
    </row>
    <row r="75" spans="1:4" ht="20.100000000000001" customHeight="1">
      <c r="A75" s="70"/>
      <c r="C75" s="168"/>
      <c r="D75" s="168"/>
    </row>
    <row r="76" spans="1:4" ht="20.100000000000001" customHeight="1">
      <c r="A76" s="70"/>
      <c r="C76" s="168"/>
      <c r="D76" s="168"/>
    </row>
    <row r="77" spans="1:4" ht="20.100000000000001" customHeight="1">
      <c r="A77" s="70"/>
      <c r="C77" s="168"/>
      <c r="D77" s="168"/>
    </row>
    <row r="78" spans="1:4" ht="20.100000000000001" customHeight="1">
      <c r="A78" s="70"/>
    </row>
    <row r="79" spans="1:4" ht="20.100000000000001" customHeight="1">
      <c r="A79" s="70"/>
    </row>
    <row r="80" spans="1:4" ht="20.100000000000001" customHeight="1">
      <c r="A80" s="70"/>
    </row>
    <row r="81" spans="1:1" ht="20.100000000000001" customHeight="1">
      <c r="A81" s="70"/>
    </row>
    <row r="82" spans="1:1" ht="20.100000000000001" customHeight="1">
      <c r="A82" s="70"/>
    </row>
    <row r="83" spans="1:1" ht="20.100000000000001" customHeight="1">
      <c r="A83" s="70"/>
    </row>
    <row r="84" spans="1:1" ht="20.100000000000001" customHeight="1">
      <c r="A84" s="70"/>
    </row>
    <row r="85" spans="1:1" ht="20.100000000000001" customHeight="1">
      <c r="A85" s="70"/>
    </row>
    <row r="86" spans="1:1" ht="20.100000000000001" customHeight="1">
      <c r="A86" s="70"/>
    </row>
    <row r="87" spans="1:1" ht="20.100000000000001" customHeight="1">
      <c r="A87" s="70"/>
    </row>
    <row r="88" spans="1:1" ht="20.100000000000001" customHeight="1">
      <c r="A88" s="70"/>
    </row>
    <row r="89" spans="1:1" ht="20.100000000000001" customHeight="1">
      <c r="A89" s="70"/>
    </row>
    <row r="90" spans="1:1" ht="20.100000000000001" customHeight="1">
      <c r="A90" s="70"/>
    </row>
    <row r="91" spans="1:1" ht="20.100000000000001" customHeight="1">
      <c r="A91" s="70"/>
    </row>
    <row r="92" spans="1:1" ht="20.100000000000001" customHeight="1">
      <c r="A92" s="70"/>
    </row>
    <row r="93" spans="1:1" ht="20.100000000000001" customHeight="1">
      <c r="A93" s="70"/>
    </row>
    <row r="94" spans="1:1" ht="20.100000000000001" customHeight="1">
      <c r="A94" s="70"/>
    </row>
    <row r="95" spans="1:1" ht="20.100000000000001" customHeight="1">
      <c r="A95" s="70"/>
    </row>
    <row r="96" spans="1:1" ht="20.100000000000001" customHeight="1">
      <c r="A96" s="70"/>
    </row>
    <row r="97" spans="1:1" ht="20.100000000000001" customHeight="1">
      <c r="A97" s="70"/>
    </row>
    <row r="98" spans="1:1" ht="20.100000000000001" customHeight="1">
      <c r="A98" s="70"/>
    </row>
    <row r="99" spans="1:1" ht="20.100000000000001" customHeight="1">
      <c r="A99" s="70"/>
    </row>
    <row r="100" spans="1:1" ht="20.100000000000001" customHeight="1">
      <c r="A100" s="70"/>
    </row>
    <row r="101" spans="1:1" ht="20.100000000000001" customHeight="1">
      <c r="A101" s="70"/>
    </row>
    <row r="102" spans="1:1" ht="20.100000000000001" customHeight="1">
      <c r="A102" s="70"/>
    </row>
    <row r="103" spans="1:1" ht="20.100000000000001" customHeight="1">
      <c r="A103" s="70"/>
    </row>
    <row r="104" spans="1:1" ht="20.100000000000001" customHeight="1">
      <c r="A104" s="70"/>
    </row>
    <row r="105" spans="1:1" ht="20.100000000000001" customHeight="1">
      <c r="A105" s="70"/>
    </row>
    <row r="106" spans="1:1" ht="20.100000000000001" customHeight="1">
      <c r="A106" s="70"/>
    </row>
    <row r="107" spans="1:1" ht="20.100000000000001" customHeight="1">
      <c r="A107" s="70"/>
    </row>
    <row r="108" spans="1:1" ht="20.100000000000001" customHeight="1">
      <c r="A108" s="70"/>
    </row>
    <row r="109" spans="1:1" ht="20.100000000000001" customHeight="1">
      <c r="A109" s="70"/>
    </row>
    <row r="110" spans="1:1" ht="20.100000000000001" customHeight="1">
      <c r="A110" s="70"/>
    </row>
    <row r="111" spans="1:1" ht="20.100000000000001" customHeight="1">
      <c r="A111" s="23"/>
    </row>
    <row r="152" spans="6:6" ht="20.100000000000001" customHeight="1">
      <c r="F152" s="1">
        <f>60000</f>
        <v>60000</v>
      </c>
    </row>
  </sheetData>
  <mergeCells count="2">
    <mergeCell ref="A1:D1"/>
    <mergeCell ref="A70:D70"/>
  </mergeCells>
  <pageMargins left="0.51181102362204722" right="0" top="0" bottom="7.874015748031496E-2" header="0.11811023622047245" footer="0"/>
  <pageSetup paperSize="9" scale="96" orientation="portrait" r:id="rId1"/>
  <headerFooter alignWithMargins="0"/>
  <rowBreaks count="2" manualBreakCount="2">
    <brk id="28" max="3" man="1"/>
    <brk id="51" max="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49"/>
  <sheetViews>
    <sheetView zoomScaleNormal="100" zoomScaleSheetLayoutView="78" workbookViewId="0">
      <pane xSplit="3" ySplit="3" topLeftCell="D4" activePane="bottomRight" state="frozen"/>
      <selection pane="bottomRight" activeCell="F14" sqref="F14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33.42578125" style="1" customWidth="1"/>
    <col min="3" max="3" width="22.42578125" style="1" customWidth="1"/>
    <col min="4" max="4" width="24" style="1" customWidth="1"/>
    <col min="5" max="5" width="21.5703125" style="1" customWidth="1"/>
    <col min="6" max="6" width="18.7109375" style="1" customWidth="1"/>
    <col min="7" max="7" width="14.42578125" style="1" customWidth="1"/>
    <col min="8" max="16384" width="9.140625" style="1"/>
  </cols>
  <sheetData>
    <row r="1" spans="1:5" ht="46.5" customHeight="1">
      <c r="A1" s="330" t="s">
        <v>387</v>
      </c>
      <c r="B1" s="331"/>
      <c r="C1" s="331"/>
      <c r="D1" s="334"/>
    </row>
    <row r="2" spans="1:5" ht="9" customHeight="1">
      <c r="A2" s="23"/>
      <c r="B2" s="103"/>
      <c r="C2" s="103"/>
      <c r="D2" s="23"/>
    </row>
    <row r="3" spans="1:5" ht="58.5" customHeight="1">
      <c r="A3" s="28" t="s">
        <v>1</v>
      </c>
      <c r="B3" s="118" t="s">
        <v>2</v>
      </c>
      <c r="C3" s="28" t="s">
        <v>3</v>
      </c>
      <c r="D3" s="223" t="s">
        <v>372</v>
      </c>
    </row>
    <row r="4" spans="1:5" ht="28.5" customHeight="1">
      <c r="A4" s="33"/>
      <c r="B4" s="34"/>
      <c r="C4" s="27"/>
      <c r="D4" s="225" t="s">
        <v>13</v>
      </c>
    </row>
    <row r="5" spans="1:5" ht="24.95" customHeight="1">
      <c r="A5" s="73">
        <v>1</v>
      </c>
      <c r="B5" s="181" t="s">
        <v>89</v>
      </c>
      <c r="C5" s="31" t="s">
        <v>90</v>
      </c>
      <c r="D5" s="282">
        <v>75000</v>
      </c>
    </row>
    <row r="6" spans="1:5" ht="24.95" customHeight="1">
      <c r="A6" s="73">
        <v>2</v>
      </c>
      <c r="B6" s="57" t="s">
        <v>14</v>
      </c>
      <c r="C6" s="59" t="s">
        <v>15</v>
      </c>
      <c r="D6" s="282">
        <v>75000</v>
      </c>
      <c r="E6" s="187"/>
    </row>
    <row r="7" spans="1:5" ht="24.95" customHeight="1">
      <c r="A7" s="73">
        <v>3</v>
      </c>
      <c r="B7" s="181" t="s">
        <v>16</v>
      </c>
      <c r="C7" s="181" t="s">
        <v>17</v>
      </c>
      <c r="D7" s="282">
        <v>45000</v>
      </c>
    </row>
    <row r="8" spans="1:5" ht="24.95" customHeight="1">
      <c r="A8" s="73">
        <v>4</v>
      </c>
      <c r="B8" s="181" t="s">
        <v>18</v>
      </c>
      <c r="C8" s="181" t="s">
        <v>19</v>
      </c>
      <c r="D8" s="282">
        <v>30000</v>
      </c>
    </row>
    <row r="9" spans="1:5" ht="24.95" customHeight="1">
      <c r="A9" s="73">
        <v>5</v>
      </c>
      <c r="B9" s="181" t="s">
        <v>20</v>
      </c>
      <c r="C9" s="181" t="s">
        <v>21</v>
      </c>
      <c r="D9" s="282">
        <v>30000</v>
      </c>
    </row>
    <row r="10" spans="1:5" ht="24.95" customHeight="1">
      <c r="A10" s="73">
        <v>6</v>
      </c>
      <c r="B10" s="181" t="s">
        <v>22</v>
      </c>
      <c r="C10" s="181" t="s">
        <v>23</v>
      </c>
      <c r="D10" s="282">
        <v>30000</v>
      </c>
    </row>
    <row r="11" spans="1:5" ht="24.95" customHeight="1">
      <c r="A11" s="73">
        <v>8</v>
      </c>
      <c r="B11" s="181" t="s">
        <v>24</v>
      </c>
      <c r="C11" s="181" t="s">
        <v>25</v>
      </c>
      <c r="D11" s="282">
        <v>30000</v>
      </c>
    </row>
    <row r="12" spans="1:5" ht="24.95" customHeight="1">
      <c r="A12" s="73">
        <v>9</v>
      </c>
      <c r="B12" s="181" t="s">
        <v>26</v>
      </c>
      <c r="C12" s="181" t="s">
        <v>25</v>
      </c>
      <c r="D12" s="282">
        <v>30000</v>
      </c>
    </row>
    <row r="13" spans="1:5" ht="24.95" customHeight="1">
      <c r="A13" s="73">
        <v>10</v>
      </c>
      <c r="B13" s="181" t="s">
        <v>27</v>
      </c>
      <c r="C13" s="181" t="s">
        <v>23</v>
      </c>
      <c r="D13" s="282">
        <v>30000</v>
      </c>
    </row>
    <row r="14" spans="1:5" ht="24.95" customHeight="1">
      <c r="A14" s="73">
        <v>11</v>
      </c>
      <c r="B14" s="249" t="s">
        <v>238</v>
      </c>
      <c r="C14" s="181" t="s">
        <v>34</v>
      </c>
      <c r="D14" s="282">
        <v>75000</v>
      </c>
    </row>
    <row r="15" spans="1:5" ht="24.95" customHeight="1">
      <c r="A15" s="73">
        <v>12</v>
      </c>
      <c r="B15" s="181" t="s">
        <v>93</v>
      </c>
      <c r="C15" s="181" t="s">
        <v>92</v>
      </c>
      <c r="D15" s="282">
        <v>75000</v>
      </c>
    </row>
    <row r="16" spans="1:5" ht="24.95" customHeight="1">
      <c r="A16" s="73">
        <v>13</v>
      </c>
      <c r="B16" s="31" t="s">
        <v>347</v>
      </c>
      <c r="C16" s="31" t="s">
        <v>90</v>
      </c>
      <c r="D16" s="282">
        <v>75000</v>
      </c>
    </row>
    <row r="17" spans="1:5" ht="24.95" customHeight="1">
      <c r="A17" s="73">
        <v>14</v>
      </c>
      <c r="B17" s="31" t="s">
        <v>28</v>
      </c>
      <c r="C17" s="31" t="s">
        <v>29</v>
      </c>
      <c r="D17" s="282">
        <v>37500</v>
      </c>
    </row>
    <row r="18" spans="1:5" ht="24.95" customHeight="1">
      <c r="A18" s="73">
        <v>15</v>
      </c>
      <c r="B18" s="31" t="s">
        <v>30</v>
      </c>
      <c r="C18" s="31" t="s">
        <v>19</v>
      </c>
      <c r="D18" s="282">
        <v>45000</v>
      </c>
    </row>
    <row r="19" spans="1:5" ht="24.95" customHeight="1">
      <c r="A19" s="73">
        <v>16</v>
      </c>
      <c r="B19" s="31" t="s">
        <v>348</v>
      </c>
      <c r="C19" s="31" t="s">
        <v>19</v>
      </c>
      <c r="D19" s="282">
        <v>45000</v>
      </c>
    </row>
    <row r="20" spans="1:5" ht="24.95" customHeight="1">
      <c r="A20" s="73">
        <v>17</v>
      </c>
      <c r="B20" s="31" t="s">
        <v>349</v>
      </c>
      <c r="C20" s="31" t="s">
        <v>19</v>
      </c>
      <c r="D20" s="282">
        <v>45000</v>
      </c>
    </row>
    <row r="21" spans="1:5" ht="24.95" customHeight="1">
      <c r="A21" s="73">
        <v>18</v>
      </c>
      <c r="B21" s="31" t="s">
        <v>31</v>
      </c>
      <c r="C21" s="31" t="s">
        <v>32</v>
      </c>
      <c r="D21" s="282">
        <v>45000</v>
      </c>
    </row>
    <row r="22" spans="1:5" ht="24.95" customHeight="1">
      <c r="A22" s="73">
        <v>19</v>
      </c>
      <c r="B22" s="59" t="s">
        <v>350</v>
      </c>
      <c r="C22" s="31" t="s">
        <v>373</v>
      </c>
      <c r="D22" s="282">
        <v>45000</v>
      </c>
    </row>
    <row r="23" spans="1:5" ht="24.95" customHeight="1">
      <c r="A23" s="73">
        <v>21</v>
      </c>
      <c r="B23" s="59" t="s">
        <v>126</v>
      </c>
      <c r="C23" s="31" t="s">
        <v>19</v>
      </c>
      <c r="D23" s="282">
        <v>45000</v>
      </c>
      <c r="E23" s="187"/>
    </row>
    <row r="24" spans="1:5" ht="24.95" customHeight="1">
      <c r="A24" s="73">
        <v>22</v>
      </c>
      <c r="B24" s="59" t="s">
        <v>353</v>
      </c>
      <c r="C24" s="31" t="s">
        <v>34</v>
      </c>
      <c r="D24" s="282">
        <v>75000</v>
      </c>
    </row>
    <row r="25" spans="1:5" ht="24.95" customHeight="1">
      <c r="A25" s="73">
        <v>24</v>
      </c>
      <c r="B25" s="227" t="s">
        <v>354</v>
      </c>
      <c r="C25" s="31" t="s">
        <v>39</v>
      </c>
      <c r="D25" s="282">
        <v>15000</v>
      </c>
    </row>
    <row r="26" spans="1:5" ht="24.95" customHeight="1">
      <c r="A26" s="73">
        <v>25</v>
      </c>
      <c r="B26" s="227" t="s">
        <v>316</v>
      </c>
      <c r="C26" s="31" t="s">
        <v>39</v>
      </c>
      <c r="D26" s="282">
        <v>15000</v>
      </c>
    </row>
    <row r="27" spans="1:5" ht="24.95" customHeight="1">
      <c r="A27" s="73">
        <v>27</v>
      </c>
      <c r="B27" s="227" t="s">
        <v>356</v>
      </c>
      <c r="C27" s="31" t="s">
        <v>39</v>
      </c>
      <c r="D27" s="282">
        <v>15000</v>
      </c>
    </row>
    <row r="28" spans="1:5" ht="24.95" customHeight="1">
      <c r="A28" s="73">
        <v>29</v>
      </c>
      <c r="B28" s="227" t="s">
        <v>306</v>
      </c>
      <c r="C28" s="31" t="s">
        <v>39</v>
      </c>
      <c r="D28" s="282">
        <v>15000</v>
      </c>
    </row>
    <row r="29" spans="1:5" ht="24.95" customHeight="1">
      <c r="A29" s="73">
        <v>30</v>
      </c>
      <c r="B29" s="227" t="s">
        <v>357</v>
      </c>
      <c r="C29" s="31" t="s">
        <v>39</v>
      </c>
      <c r="D29" s="282">
        <v>15000</v>
      </c>
    </row>
    <row r="30" spans="1:5" ht="24.95" customHeight="1">
      <c r="A30" s="73">
        <v>31</v>
      </c>
      <c r="B30" s="227" t="s">
        <v>283</v>
      </c>
      <c r="C30" s="31" t="s">
        <v>37</v>
      </c>
      <c r="D30" s="282">
        <v>45000</v>
      </c>
    </row>
    <row r="31" spans="1:5" ht="24.95" customHeight="1">
      <c r="A31" s="73">
        <v>32</v>
      </c>
      <c r="B31" s="227" t="s">
        <v>284</v>
      </c>
      <c r="C31" s="31" t="s">
        <v>37</v>
      </c>
      <c r="D31" s="282">
        <v>45000</v>
      </c>
    </row>
    <row r="32" spans="1:5" ht="24.95" customHeight="1">
      <c r="A32" s="73">
        <v>33</v>
      </c>
      <c r="B32" s="227" t="s">
        <v>285</v>
      </c>
      <c r="C32" s="31" t="s">
        <v>37</v>
      </c>
      <c r="D32" s="282">
        <v>45000</v>
      </c>
    </row>
    <row r="33" spans="1:7" ht="24.95" customHeight="1">
      <c r="A33" s="73">
        <v>34</v>
      </c>
      <c r="B33" s="227" t="s">
        <v>286</v>
      </c>
      <c r="C33" s="31" t="s">
        <v>37</v>
      </c>
      <c r="D33" s="282">
        <v>45000</v>
      </c>
      <c r="E33" s="212"/>
    </row>
    <row r="34" spans="1:7" ht="24.95" customHeight="1">
      <c r="A34" s="73">
        <v>35</v>
      </c>
      <c r="B34" s="227" t="s">
        <v>296</v>
      </c>
      <c r="C34" s="31" t="s">
        <v>37</v>
      </c>
      <c r="D34" s="282">
        <v>45000</v>
      </c>
    </row>
    <row r="35" spans="1:7" ht="24.95" customHeight="1">
      <c r="A35" s="73">
        <v>36</v>
      </c>
      <c r="B35" s="227" t="s">
        <v>119</v>
      </c>
      <c r="C35" s="31" t="s">
        <v>37</v>
      </c>
      <c r="D35" s="282">
        <v>45000</v>
      </c>
      <c r="E35" s="8"/>
      <c r="F35" s="8"/>
      <c r="G35" s="8"/>
    </row>
    <row r="36" spans="1:7" ht="30" customHeight="1">
      <c r="A36" s="73">
        <v>37</v>
      </c>
      <c r="B36" s="227" t="s">
        <v>305</v>
      </c>
      <c r="C36" s="31" t="s">
        <v>34</v>
      </c>
      <c r="D36" s="282">
        <v>75000</v>
      </c>
      <c r="E36" s="8"/>
      <c r="F36" s="8"/>
      <c r="G36" s="8"/>
    </row>
    <row r="37" spans="1:7" ht="33" customHeight="1">
      <c r="A37" s="73">
        <v>38</v>
      </c>
      <c r="B37" s="255" t="s">
        <v>310</v>
      </c>
      <c r="C37" s="31" t="s">
        <v>37</v>
      </c>
      <c r="D37" s="282">
        <v>45000</v>
      </c>
    </row>
    <row r="38" spans="1:7" ht="33" customHeight="1">
      <c r="A38" s="73">
        <v>39</v>
      </c>
      <c r="B38" s="255" t="s">
        <v>358</v>
      </c>
      <c r="C38" s="31" t="s">
        <v>39</v>
      </c>
      <c r="D38" s="282">
        <v>15000</v>
      </c>
    </row>
    <row r="39" spans="1:7" ht="33" customHeight="1">
      <c r="A39" s="73">
        <v>40</v>
      </c>
      <c r="B39" s="255" t="s">
        <v>359</v>
      </c>
      <c r="C39" s="31" t="s">
        <v>39</v>
      </c>
      <c r="D39" s="282">
        <v>15000</v>
      </c>
    </row>
    <row r="40" spans="1:7" ht="33" customHeight="1">
      <c r="A40" s="73">
        <v>41</v>
      </c>
      <c r="B40" s="255" t="s">
        <v>360</v>
      </c>
      <c r="C40" s="31" t="s">
        <v>39</v>
      </c>
      <c r="D40" s="282">
        <v>15000</v>
      </c>
    </row>
    <row r="41" spans="1:7" ht="33" customHeight="1">
      <c r="A41" s="73">
        <v>42</v>
      </c>
      <c r="B41" s="255" t="s">
        <v>361</v>
      </c>
      <c r="C41" s="31" t="s">
        <v>39</v>
      </c>
      <c r="D41" s="282">
        <v>15000</v>
      </c>
    </row>
    <row r="42" spans="1:7" ht="33" customHeight="1">
      <c r="A42" s="73">
        <v>43</v>
      </c>
      <c r="B42" s="255" t="s">
        <v>362</v>
      </c>
      <c r="C42" s="31" t="s">
        <v>39</v>
      </c>
      <c r="D42" s="282">
        <v>15000</v>
      </c>
    </row>
    <row r="43" spans="1:7" ht="35.1" customHeight="1">
      <c r="A43" s="73">
        <v>44</v>
      </c>
      <c r="B43" s="255" t="s">
        <v>363</v>
      </c>
      <c r="C43" s="31" t="s">
        <v>34</v>
      </c>
      <c r="D43" s="282">
        <v>75000</v>
      </c>
    </row>
    <row r="44" spans="1:7" ht="35.1" customHeight="1">
      <c r="A44" s="73">
        <v>45</v>
      </c>
      <c r="B44" s="255" t="s">
        <v>388</v>
      </c>
      <c r="C44" s="277" t="s">
        <v>34</v>
      </c>
      <c r="D44" s="282">
        <v>225000</v>
      </c>
    </row>
    <row r="45" spans="1:7" ht="35.1" customHeight="1">
      <c r="A45" s="73">
        <v>46</v>
      </c>
      <c r="B45" s="255" t="s">
        <v>375</v>
      </c>
      <c r="C45" s="31" t="s">
        <v>39</v>
      </c>
      <c r="D45" s="282">
        <v>15000</v>
      </c>
    </row>
    <row r="46" spans="1:7" ht="35.1" customHeight="1">
      <c r="A46" s="73">
        <v>47</v>
      </c>
      <c r="B46" s="255" t="s">
        <v>376</v>
      </c>
      <c r="C46" s="31" t="s">
        <v>39</v>
      </c>
      <c r="D46" s="282">
        <v>15000</v>
      </c>
    </row>
    <row r="47" spans="1:7" ht="35.1" customHeight="1">
      <c r="A47" s="73">
        <v>48</v>
      </c>
      <c r="B47" s="255" t="s">
        <v>377</v>
      </c>
      <c r="C47" s="31" t="s">
        <v>39</v>
      </c>
      <c r="D47" s="282">
        <v>15000</v>
      </c>
    </row>
    <row r="48" spans="1:7" ht="35.1" customHeight="1">
      <c r="A48" s="73">
        <v>49</v>
      </c>
      <c r="B48" s="255" t="s">
        <v>378</v>
      </c>
      <c r="C48" s="31" t="s">
        <v>39</v>
      </c>
      <c r="D48" s="282">
        <v>15000</v>
      </c>
    </row>
    <row r="49" spans="1:6" ht="35.1" customHeight="1">
      <c r="A49" s="73">
        <v>50</v>
      </c>
      <c r="B49" s="255" t="s">
        <v>379</v>
      </c>
      <c r="C49" s="31" t="s">
        <v>39</v>
      </c>
      <c r="D49" s="282">
        <v>15000</v>
      </c>
    </row>
    <row r="50" spans="1:6" ht="35.1" customHeight="1">
      <c r="A50" s="73">
        <v>51</v>
      </c>
      <c r="B50" s="255" t="s">
        <v>380</v>
      </c>
      <c r="C50" s="31" t="s">
        <v>39</v>
      </c>
      <c r="D50" s="282">
        <v>15000</v>
      </c>
    </row>
    <row r="51" spans="1:6" ht="35.1" customHeight="1">
      <c r="A51" s="73">
        <v>52</v>
      </c>
      <c r="B51" s="255" t="s">
        <v>381</v>
      </c>
      <c r="C51" s="31" t="s">
        <v>39</v>
      </c>
      <c r="D51" s="282">
        <v>15000</v>
      </c>
    </row>
    <row r="52" spans="1:6" ht="35.1" customHeight="1">
      <c r="A52" s="73">
        <v>53</v>
      </c>
      <c r="B52" s="255" t="s">
        <v>382</v>
      </c>
      <c r="C52" s="31" t="s">
        <v>39</v>
      </c>
      <c r="D52" s="282">
        <v>15000</v>
      </c>
    </row>
    <row r="53" spans="1:6" ht="35.1" customHeight="1">
      <c r="A53" s="73">
        <v>54</v>
      </c>
      <c r="B53" s="255" t="s">
        <v>128</v>
      </c>
      <c r="C53" s="31" t="s">
        <v>39</v>
      </c>
      <c r="D53" s="282">
        <v>15000</v>
      </c>
    </row>
    <row r="54" spans="1:6" ht="35.1" customHeight="1">
      <c r="A54" s="73">
        <v>55</v>
      </c>
      <c r="B54" s="255" t="s">
        <v>383</v>
      </c>
      <c r="C54" s="31" t="s">
        <v>39</v>
      </c>
      <c r="D54" s="282">
        <v>15000</v>
      </c>
    </row>
    <row r="55" spans="1:6" ht="35.1" customHeight="1">
      <c r="A55" s="73">
        <v>56</v>
      </c>
      <c r="B55" s="255" t="s">
        <v>129</v>
      </c>
      <c r="C55" s="31" t="s">
        <v>39</v>
      </c>
      <c r="D55" s="282">
        <v>15000</v>
      </c>
    </row>
    <row r="56" spans="1:6" ht="35.1" customHeight="1">
      <c r="A56" s="73">
        <v>57</v>
      </c>
      <c r="B56" s="255" t="s">
        <v>130</v>
      </c>
      <c r="C56" s="31" t="s">
        <v>39</v>
      </c>
      <c r="D56" s="282">
        <v>15000</v>
      </c>
    </row>
    <row r="57" spans="1:6" ht="35.1" customHeight="1">
      <c r="A57" s="73">
        <v>58</v>
      </c>
      <c r="B57" s="255" t="s">
        <v>131</v>
      </c>
      <c r="C57" s="31" t="s">
        <v>39</v>
      </c>
      <c r="D57" s="282">
        <v>15000</v>
      </c>
    </row>
    <row r="58" spans="1:6" ht="35.1" customHeight="1">
      <c r="A58" s="73">
        <v>59</v>
      </c>
      <c r="B58" s="255" t="s">
        <v>132</v>
      </c>
      <c r="C58" s="31" t="s">
        <v>39</v>
      </c>
      <c r="D58" s="282">
        <v>15000</v>
      </c>
    </row>
    <row r="59" spans="1:6" ht="35.1" customHeight="1">
      <c r="A59" s="73">
        <v>60</v>
      </c>
      <c r="B59" s="255" t="s">
        <v>140</v>
      </c>
      <c r="C59" s="31" t="s">
        <v>141</v>
      </c>
      <c r="D59" s="282">
        <v>45000</v>
      </c>
    </row>
    <row r="60" spans="1:6" ht="35.1" customHeight="1">
      <c r="A60" s="73">
        <v>61</v>
      </c>
      <c r="B60" s="255" t="s">
        <v>122</v>
      </c>
      <c r="C60" s="31" t="s">
        <v>141</v>
      </c>
      <c r="D60" s="282">
        <v>45000</v>
      </c>
    </row>
    <row r="61" spans="1:6" ht="35.1" customHeight="1">
      <c r="A61" s="73">
        <v>62</v>
      </c>
      <c r="B61" s="255" t="s">
        <v>384</v>
      </c>
      <c r="C61" s="31" t="s">
        <v>34</v>
      </c>
      <c r="D61" s="282">
        <v>75000</v>
      </c>
    </row>
    <row r="62" spans="1:6" ht="35.1" customHeight="1">
      <c r="A62" s="73"/>
      <c r="B62" s="278" t="s">
        <v>84</v>
      </c>
      <c r="C62" s="31"/>
      <c r="D62" s="281">
        <f>SUM(D5:D61)</f>
        <v>2197500</v>
      </c>
      <c r="F62" s="116"/>
    </row>
    <row r="63" spans="1:6" ht="35.1" customHeight="1">
      <c r="A63" s="70"/>
      <c r="B63" s="280"/>
      <c r="C63" s="23"/>
      <c r="D63" s="268"/>
      <c r="F63" s="116"/>
    </row>
    <row r="64" spans="1:6" ht="35.1" customHeight="1">
      <c r="A64" s="70"/>
      <c r="B64" s="280"/>
      <c r="C64" s="23"/>
      <c r="D64" s="268"/>
      <c r="F64" s="116"/>
    </row>
    <row r="65" spans="1:4" ht="33" customHeight="1">
      <c r="A65" s="70"/>
      <c r="B65" s="23"/>
      <c r="C65" s="23"/>
      <c r="D65" s="268"/>
    </row>
    <row r="66" spans="1:4" ht="15.75" customHeight="1">
      <c r="A66" s="70"/>
      <c r="B66" s="23"/>
      <c r="C66" s="23"/>
      <c r="D66" s="268"/>
    </row>
    <row r="67" spans="1:4" ht="27.75" customHeight="1">
      <c r="A67" s="337" t="s">
        <v>364</v>
      </c>
      <c r="B67" s="337"/>
      <c r="C67" s="337"/>
      <c r="D67" s="337"/>
    </row>
    <row r="68" spans="1:4" ht="20.100000000000001" customHeight="1">
      <c r="A68" s="70"/>
    </row>
    <row r="69" spans="1:4" ht="20.100000000000001" customHeight="1">
      <c r="A69" s="70"/>
      <c r="D69" s="116"/>
    </row>
    <row r="70" spans="1:4" ht="20.100000000000001" customHeight="1">
      <c r="A70" s="70"/>
    </row>
    <row r="71" spans="1:4" ht="20.100000000000001" customHeight="1">
      <c r="A71" s="70"/>
      <c r="C71" s="168"/>
    </row>
    <row r="72" spans="1:4" ht="20.100000000000001" customHeight="1">
      <c r="A72" s="70"/>
      <c r="C72" s="168"/>
    </row>
    <row r="73" spans="1:4" ht="20.100000000000001" customHeight="1">
      <c r="A73" s="70"/>
      <c r="C73" s="168"/>
    </row>
    <row r="74" spans="1:4" ht="20.100000000000001" customHeight="1">
      <c r="A74" s="70"/>
      <c r="C74" s="168"/>
    </row>
    <row r="75" spans="1:4" ht="20.100000000000001" customHeight="1">
      <c r="A75" s="70"/>
    </row>
    <row r="76" spans="1:4" ht="20.100000000000001" customHeight="1">
      <c r="A76" s="70"/>
    </row>
    <row r="77" spans="1:4" ht="20.100000000000001" customHeight="1">
      <c r="A77" s="70"/>
    </row>
    <row r="78" spans="1:4" ht="20.100000000000001" customHeight="1">
      <c r="A78" s="70"/>
    </row>
    <row r="79" spans="1:4" ht="20.100000000000001" customHeight="1">
      <c r="A79" s="70"/>
    </row>
    <row r="80" spans="1:4" ht="20.100000000000001" customHeight="1">
      <c r="A80" s="70"/>
    </row>
    <row r="81" spans="1:1" ht="20.100000000000001" customHeight="1">
      <c r="A81" s="70"/>
    </row>
    <row r="82" spans="1:1" ht="20.100000000000001" customHeight="1">
      <c r="A82" s="70"/>
    </row>
    <row r="83" spans="1:1" ht="20.100000000000001" customHeight="1">
      <c r="A83" s="70"/>
    </row>
    <row r="84" spans="1:1" ht="20.100000000000001" customHeight="1">
      <c r="A84" s="70"/>
    </row>
    <row r="85" spans="1:1" ht="20.100000000000001" customHeight="1">
      <c r="A85" s="70"/>
    </row>
    <row r="86" spans="1:1" ht="20.100000000000001" customHeight="1">
      <c r="A86" s="70"/>
    </row>
    <row r="87" spans="1:1" ht="20.100000000000001" customHeight="1">
      <c r="A87" s="70"/>
    </row>
    <row r="88" spans="1:1" ht="20.100000000000001" customHeight="1">
      <c r="A88" s="70"/>
    </row>
    <row r="89" spans="1:1" ht="20.100000000000001" customHeight="1">
      <c r="A89" s="70"/>
    </row>
    <row r="90" spans="1:1" ht="20.100000000000001" customHeight="1">
      <c r="A90" s="70"/>
    </row>
    <row r="91" spans="1:1" ht="20.100000000000001" customHeight="1">
      <c r="A91" s="70"/>
    </row>
    <row r="92" spans="1:1" ht="20.100000000000001" customHeight="1">
      <c r="A92" s="70"/>
    </row>
    <row r="93" spans="1:1" ht="20.100000000000001" customHeight="1">
      <c r="A93" s="70"/>
    </row>
    <row r="94" spans="1:1" ht="20.100000000000001" customHeight="1">
      <c r="A94" s="70"/>
    </row>
    <row r="95" spans="1:1" ht="20.100000000000001" customHeight="1">
      <c r="A95" s="70"/>
    </row>
    <row r="96" spans="1:1" ht="20.100000000000001" customHeight="1">
      <c r="A96" s="70"/>
    </row>
    <row r="97" spans="1:1" ht="20.100000000000001" customHeight="1">
      <c r="A97" s="70"/>
    </row>
    <row r="98" spans="1:1" ht="20.100000000000001" customHeight="1">
      <c r="A98" s="70"/>
    </row>
    <row r="99" spans="1:1" ht="20.100000000000001" customHeight="1">
      <c r="A99" s="70"/>
    </row>
    <row r="100" spans="1:1" ht="20.100000000000001" customHeight="1">
      <c r="A100" s="70"/>
    </row>
    <row r="101" spans="1:1" ht="20.100000000000001" customHeight="1">
      <c r="A101" s="70"/>
    </row>
    <row r="102" spans="1:1" ht="20.100000000000001" customHeight="1">
      <c r="A102" s="70"/>
    </row>
    <row r="103" spans="1:1" ht="20.100000000000001" customHeight="1">
      <c r="A103" s="70"/>
    </row>
    <row r="104" spans="1:1" ht="20.100000000000001" customHeight="1">
      <c r="A104" s="70"/>
    </row>
    <row r="105" spans="1:1" ht="20.100000000000001" customHeight="1">
      <c r="A105" s="70"/>
    </row>
    <row r="106" spans="1:1" ht="20.100000000000001" customHeight="1">
      <c r="A106" s="70"/>
    </row>
    <row r="107" spans="1:1" ht="20.100000000000001" customHeight="1">
      <c r="A107" s="70"/>
    </row>
    <row r="108" spans="1:1" ht="20.100000000000001" customHeight="1">
      <c r="A108" s="23"/>
    </row>
    <row r="149" spans="6:6" ht="20.100000000000001" customHeight="1">
      <c r="F149" s="1">
        <f>60000</f>
        <v>60000</v>
      </c>
    </row>
  </sheetData>
  <mergeCells count="2">
    <mergeCell ref="A1:D1"/>
    <mergeCell ref="A67:D67"/>
  </mergeCells>
  <pageMargins left="0.51181102362204722" right="0" top="0" bottom="7.874015748031496E-2" header="0.11811023622047245" footer="0"/>
  <pageSetup paperSize="9" orientation="portrait" r:id="rId1"/>
  <headerFooter alignWithMargins="0"/>
  <rowBreaks count="1" manualBreakCount="1">
    <brk id="29" max="10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53"/>
  <sheetViews>
    <sheetView view="pageBreakPreview" zoomScale="78" zoomScaleNormal="100" zoomScaleSheetLayoutView="78" workbookViewId="0">
      <pane xSplit="5" ySplit="3" topLeftCell="F4" activePane="bottomRight" state="frozen"/>
      <selection pane="bottomRight" activeCell="D56" sqref="D56:J57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33.42578125" style="1" customWidth="1"/>
    <col min="3" max="3" width="22.42578125" style="1" customWidth="1"/>
    <col min="4" max="4" width="20.42578125" style="1" customWidth="1"/>
    <col min="5" max="5" width="19.28515625" style="1" customWidth="1"/>
    <col min="6" max="6" width="20.140625" style="1" customWidth="1"/>
    <col min="7" max="7" width="18.28515625" style="1" customWidth="1"/>
    <col min="8" max="8" width="20.5703125" style="1" customWidth="1"/>
    <col min="9" max="9" width="18.5703125" style="1" customWidth="1"/>
    <col min="10" max="10" width="20" style="1" customWidth="1"/>
    <col min="11" max="11" width="20.85546875" style="1" customWidth="1"/>
    <col min="12" max="12" width="21.5703125" style="1" customWidth="1"/>
    <col min="13" max="13" width="18.7109375" style="1" customWidth="1"/>
    <col min="14" max="14" width="14.42578125" style="1" customWidth="1"/>
    <col min="15" max="16384" width="9.140625" style="1"/>
  </cols>
  <sheetData>
    <row r="1" spans="1:12" ht="34.35" customHeight="1">
      <c r="A1" s="330" t="s">
        <v>389</v>
      </c>
      <c r="B1" s="331"/>
      <c r="C1" s="331"/>
      <c r="D1" s="331"/>
      <c r="E1" s="331"/>
      <c r="F1" s="331"/>
      <c r="G1" s="331"/>
      <c r="H1" s="331"/>
      <c r="I1" s="331"/>
      <c r="J1" s="331"/>
      <c r="K1" s="334"/>
    </row>
    <row r="2" spans="1:12" ht="2.25" customHeight="1">
      <c r="A2" s="23"/>
      <c r="B2" s="103"/>
      <c r="C2" s="103"/>
      <c r="D2" s="103"/>
      <c r="E2" s="23"/>
      <c r="F2" s="23"/>
      <c r="G2" s="23"/>
      <c r="H2" s="23"/>
      <c r="I2" s="23"/>
      <c r="J2" s="23"/>
      <c r="K2" s="23"/>
    </row>
    <row r="3" spans="1:12" ht="58.5" customHeight="1">
      <c r="A3" s="28" t="s">
        <v>1</v>
      </c>
      <c r="B3" s="118" t="s">
        <v>2</v>
      </c>
      <c r="C3" s="28" t="s">
        <v>3</v>
      </c>
      <c r="D3" s="224" t="s">
        <v>4</v>
      </c>
      <c r="E3" s="224" t="s">
        <v>5</v>
      </c>
      <c r="F3" s="28" t="s">
        <v>6</v>
      </c>
      <c r="G3" s="325" t="s">
        <v>7</v>
      </c>
      <c r="H3" s="326"/>
      <c r="I3" s="326"/>
      <c r="J3" s="327"/>
      <c r="K3" s="223" t="s">
        <v>390</v>
      </c>
    </row>
    <row r="4" spans="1:12" ht="44.25" customHeight="1">
      <c r="A4" s="33"/>
      <c r="B4" s="34"/>
      <c r="C4" s="27"/>
      <c r="D4" s="28"/>
      <c r="E4" s="28"/>
      <c r="F4" s="28"/>
      <c r="G4" s="226" t="s">
        <v>9</v>
      </c>
      <c r="H4" s="226" t="s">
        <v>10</v>
      </c>
      <c r="I4" s="226" t="s">
        <v>11</v>
      </c>
      <c r="J4" s="226" t="s">
        <v>12</v>
      </c>
      <c r="K4" s="225" t="s">
        <v>148</v>
      </c>
    </row>
    <row r="5" spans="1:12" ht="24.95" customHeight="1">
      <c r="A5" s="73">
        <v>1</v>
      </c>
      <c r="B5" s="181" t="s">
        <v>89</v>
      </c>
      <c r="C5" s="31" t="s">
        <v>90</v>
      </c>
      <c r="D5" s="122">
        <f>300000</f>
        <v>300000</v>
      </c>
      <c r="E5" s="122">
        <f>0</f>
        <v>0</v>
      </c>
      <c r="F5" s="265">
        <f>D5+E5</f>
        <v>300000</v>
      </c>
      <c r="G5" s="134"/>
      <c r="H5" s="134"/>
      <c r="I5" s="122">
        <v>37566.666666666701</v>
      </c>
      <c r="J5" s="120">
        <f>G5+H5+I5</f>
        <v>37566.666666666701</v>
      </c>
      <c r="K5" s="265">
        <f t="shared" ref="K5:K52" si="0">F5-J5</f>
        <v>262433.33333333331</v>
      </c>
    </row>
    <row r="6" spans="1:12" ht="24.95" customHeight="1">
      <c r="A6" s="73">
        <v>2</v>
      </c>
      <c r="B6" s="57" t="s">
        <v>14</v>
      </c>
      <c r="C6" s="59" t="s">
        <v>15</v>
      </c>
      <c r="D6" s="134">
        <f>136027.8</f>
        <v>136027.79999999999</v>
      </c>
      <c r="E6" s="134">
        <f>60000</f>
        <v>60000</v>
      </c>
      <c r="F6" s="265">
        <f t="shared" ref="F6:F52" si="1">D6+E6</f>
        <v>196027.8</v>
      </c>
      <c r="G6" s="134">
        <f>30000</f>
        <v>30000</v>
      </c>
      <c r="H6" s="134"/>
      <c r="I6" s="134">
        <f>'[1]August 2022 '!$AD$6</f>
        <v>20099.33706666666</v>
      </c>
      <c r="J6" s="120">
        <f t="shared" ref="J6:J50" si="2">G6+H6+I6</f>
        <v>50099.33706666666</v>
      </c>
      <c r="K6" s="265">
        <f t="shared" si="0"/>
        <v>145928.46293333333</v>
      </c>
      <c r="L6" s="187"/>
    </row>
    <row r="7" spans="1:12" ht="24.95" customHeight="1">
      <c r="A7" s="73">
        <v>3</v>
      </c>
      <c r="B7" s="181" t="s">
        <v>16</v>
      </c>
      <c r="C7" s="181" t="s">
        <v>17</v>
      </c>
      <c r="D7" s="124">
        <v>90000</v>
      </c>
      <c r="E7" s="122">
        <v>30000</v>
      </c>
      <c r="F7" s="265">
        <f t="shared" si="1"/>
        <v>120000</v>
      </c>
      <c r="G7" s="134">
        <v>10000</v>
      </c>
      <c r="H7" s="134">
        <f>20000</f>
        <v>20000</v>
      </c>
      <c r="I7" s="120">
        <v>8900</v>
      </c>
      <c r="J7" s="120">
        <f t="shared" si="2"/>
        <v>38900</v>
      </c>
      <c r="K7" s="265">
        <f t="shared" si="0"/>
        <v>81100</v>
      </c>
    </row>
    <row r="8" spans="1:12" ht="24.95" customHeight="1">
      <c r="A8" s="73">
        <v>4</v>
      </c>
      <c r="B8" s="181" t="s">
        <v>18</v>
      </c>
      <c r="C8" s="181" t="s">
        <v>19</v>
      </c>
      <c r="D8" s="124">
        <v>45000</v>
      </c>
      <c r="E8" s="122">
        <v>15000</v>
      </c>
      <c r="F8" s="265">
        <f t="shared" si="1"/>
        <v>60000</v>
      </c>
      <c r="G8" s="134">
        <f>10000</f>
        <v>10000</v>
      </c>
      <c r="H8" s="134">
        <f>10000+10000</f>
        <v>20000</v>
      </c>
      <c r="I8" s="120">
        <v>2446.6666666666665</v>
      </c>
      <c r="J8" s="120">
        <f t="shared" si="2"/>
        <v>32446.666666666668</v>
      </c>
      <c r="K8" s="265">
        <f t="shared" si="0"/>
        <v>27553.333333333332</v>
      </c>
    </row>
    <row r="9" spans="1:12" ht="24.95" customHeight="1">
      <c r="A9" s="73">
        <v>5</v>
      </c>
      <c r="B9" s="181" t="s">
        <v>20</v>
      </c>
      <c r="C9" s="181" t="s">
        <v>21</v>
      </c>
      <c r="D9" s="124">
        <v>45000</v>
      </c>
      <c r="E9" s="122">
        <v>15000</v>
      </c>
      <c r="F9" s="265">
        <f t="shared" si="1"/>
        <v>60000</v>
      </c>
      <c r="G9" s="134">
        <f>10000</f>
        <v>10000</v>
      </c>
      <c r="H9" s="228">
        <f>20000</f>
        <v>20000</v>
      </c>
      <c r="I9" s="120">
        <v>2446.6666666666665</v>
      </c>
      <c r="J9" s="120">
        <f t="shared" si="2"/>
        <v>32446.666666666668</v>
      </c>
      <c r="K9" s="265">
        <f t="shared" si="0"/>
        <v>27553.333333333332</v>
      </c>
    </row>
    <row r="10" spans="1:12" ht="24.95" customHeight="1">
      <c r="A10" s="73">
        <v>6</v>
      </c>
      <c r="B10" s="181" t="s">
        <v>22</v>
      </c>
      <c r="C10" s="181" t="s">
        <v>23</v>
      </c>
      <c r="D10" s="124">
        <v>45000</v>
      </c>
      <c r="E10" s="122">
        <v>15000</v>
      </c>
      <c r="F10" s="265">
        <f t="shared" si="1"/>
        <v>60000</v>
      </c>
      <c r="G10" s="134"/>
      <c r="H10" s="228"/>
      <c r="I10" s="120">
        <v>2446.6666666666665</v>
      </c>
      <c r="J10" s="120">
        <f t="shared" si="2"/>
        <v>2446.6666666666665</v>
      </c>
      <c r="K10" s="265">
        <f t="shared" si="0"/>
        <v>57553.333333333336</v>
      </c>
    </row>
    <row r="11" spans="1:12" ht="24.95" customHeight="1">
      <c r="A11" s="73">
        <v>8</v>
      </c>
      <c r="B11" s="181" t="s">
        <v>24</v>
      </c>
      <c r="C11" s="181" t="s">
        <v>25</v>
      </c>
      <c r="D11" s="124">
        <f>50000</f>
        <v>50000</v>
      </c>
      <c r="E11" s="122">
        <v>15000</v>
      </c>
      <c r="F11" s="265">
        <f t="shared" si="1"/>
        <v>65000</v>
      </c>
      <c r="G11" s="134">
        <f>5000+5000+5000</f>
        <v>15000</v>
      </c>
      <c r="H11" s="134">
        <f>14350</f>
        <v>14350</v>
      </c>
      <c r="I11" s="134">
        <v>2886.6666666666665</v>
      </c>
      <c r="J11" s="120">
        <f t="shared" si="2"/>
        <v>32236.666666666668</v>
      </c>
      <c r="K11" s="265">
        <f t="shared" si="0"/>
        <v>32763.333333333332</v>
      </c>
    </row>
    <row r="12" spans="1:12" ht="24.95" customHeight="1">
      <c r="A12" s="73">
        <v>9</v>
      </c>
      <c r="B12" s="181" t="s">
        <v>26</v>
      </c>
      <c r="C12" s="181" t="s">
        <v>25</v>
      </c>
      <c r="D12" s="124">
        <f>50000</f>
        <v>50000</v>
      </c>
      <c r="E12" s="122">
        <v>15000</v>
      </c>
      <c r="F12" s="265">
        <f t="shared" si="1"/>
        <v>65000</v>
      </c>
      <c r="G12" s="134">
        <f>5000</f>
        <v>5000</v>
      </c>
      <c r="H12" s="134">
        <v>10500</v>
      </c>
      <c r="I12" s="134">
        <v>2886.6666666666665</v>
      </c>
      <c r="J12" s="120">
        <f t="shared" si="2"/>
        <v>18386.666666666668</v>
      </c>
      <c r="K12" s="265">
        <f t="shared" si="0"/>
        <v>46613.333333333328</v>
      </c>
    </row>
    <row r="13" spans="1:12" ht="24.95" customHeight="1">
      <c r="A13" s="73">
        <v>10</v>
      </c>
      <c r="B13" s="181" t="s">
        <v>27</v>
      </c>
      <c r="C13" s="181" t="s">
        <v>23</v>
      </c>
      <c r="D13" s="124">
        <f>60000</f>
        <v>60000</v>
      </c>
      <c r="E13" s="122">
        <v>20000</v>
      </c>
      <c r="F13" s="265">
        <f t="shared" si="1"/>
        <v>80000</v>
      </c>
      <c r="G13" s="134">
        <f>10000</f>
        <v>10000</v>
      </c>
      <c r="H13" s="134">
        <f>17500</f>
        <v>17500</v>
      </c>
      <c r="I13" s="134">
        <v>4206.666666666667</v>
      </c>
      <c r="J13" s="120">
        <f t="shared" si="2"/>
        <v>31706.666666666668</v>
      </c>
      <c r="K13" s="265">
        <f t="shared" si="0"/>
        <v>48293.333333333328</v>
      </c>
    </row>
    <row r="14" spans="1:12" ht="24.95" customHeight="1">
      <c r="A14" s="73">
        <v>11</v>
      </c>
      <c r="B14" s="249" t="s">
        <v>238</v>
      </c>
      <c r="C14" s="181" t="s">
        <v>34</v>
      </c>
      <c r="D14" s="124">
        <f>300000</f>
        <v>300000</v>
      </c>
      <c r="E14" s="122"/>
      <c r="F14" s="265">
        <f t="shared" si="1"/>
        <v>300000</v>
      </c>
      <c r="G14" s="134"/>
      <c r="H14" s="134"/>
      <c r="I14" s="134">
        <v>37566.666666666664</v>
      </c>
      <c r="J14" s="120">
        <f t="shared" si="2"/>
        <v>37566.666666666664</v>
      </c>
      <c r="K14" s="265">
        <f t="shared" si="0"/>
        <v>262433.33333333331</v>
      </c>
    </row>
    <row r="15" spans="1:12" ht="24.95" customHeight="1">
      <c r="A15" s="73">
        <v>12</v>
      </c>
      <c r="B15" s="181" t="s">
        <v>93</v>
      </c>
      <c r="C15" s="181" t="s">
        <v>92</v>
      </c>
      <c r="D15" s="124">
        <f>500000</f>
        <v>500000</v>
      </c>
      <c r="E15" s="122">
        <f>0</f>
        <v>0</v>
      </c>
      <c r="F15" s="265">
        <f t="shared" si="1"/>
        <v>500000</v>
      </c>
      <c r="G15" s="134">
        <v>25000</v>
      </c>
      <c r="H15" s="134">
        <v>60640</v>
      </c>
      <c r="I15" s="134">
        <v>74666.666666666672</v>
      </c>
      <c r="J15" s="120">
        <f t="shared" si="2"/>
        <v>160306.66666666669</v>
      </c>
      <c r="K15" s="265">
        <f t="shared" si="0"/>
        <v>339693.33333333331</v>
      </c>
    </row>
    <row r="16" spans="1:12" ht="24.95" customHeight="1">
      <c r="A16" s="73">
        <v>13</v>
      </c>
      <c r="B16" s="31" t="s">
        <v>347</v>
      </c>
      <c r="C16" s="31" t="s">
        <v>90</v>
      </c>
      <c r="D16" s="124">
        <v>300000</v>
      </c>
      <c r="E16" s="122">
        <v>0</v>
      </c>
      <c r="F16" s="265">
        <f t="shared" si="1"/>
        <v>300000</v>
      </c>
      <c r="G16" s="134"/>
      <c r="H16" s="134"/>
      <c r="I16" s="134">
        <v>37566.666666666664</v>
      </c>
      <c r="J16" s="120">
        <f t="shared" si="2"/>
        <v>37566.666666666664</v>
      </c>
      <c r="K16" s="265">
        <f t="shared" si="0"/>
        <v>262433.33333333331</v>
      </c>
    </row>
    <row r="17" spans="1:12" ht="24.95" customHeight="1">
      <c r="A17" s="73">
        <v>14</v>
      </c>
      <c r="B17" s="31" t="s">
        <v>28</v>
      </c>
      <c r="C17" s="31" t="s">
        <v>29</v>
      </c>
      <c r="D17" s="124">
        <f>70000</f>
        <v>70000</v>
      </c>
      <c r="E17" s="122">
        <v>20000</v>
      </c>
      <c r="F17" s="265">
        <f t="shared" si="1"/>
        <v>90000</v>
      </c>
      <c r="G17" s="134">
        <f>0</f>
        <v>0</v>
      </c>
      <c r="H17" s="134"/>
      <c r="I17" s="134">
        <v>5300</v>
      </c>
      <c r="J17" s="120">
        <f t="shared" si="2"/>
        <v>5300</v>
      </c>
      <c r="K17" s="265">
        <f t="shared" si="0"/>
        <v>84700</v>
      </c>
    </row>
    <row r="18" spans="1:12" ht="24.95" customHeight="1">
      <c r="A18" s="73">
        <v>15</v>
      </c>
      <c r="B18" s="31" t="s">
        <v>30</v>
      </c>
      <c r="C18" s="31" t="s">
        <v>19</v>
      </c>
      <c r="D18" s="124">
        <f>90000</f>
        <v>90000</v>
      </c>
      <c r="E18" s="122">
        <v>30000</v>
      </c>
      <c r="F18" s="265">
        <f t="shared" si="1"/>
        <v>120000</v>
      </c>
      <c r="G18" s="134"/>
      <c r="H18" s="134"/>
      <c r="I18" s="120">
        <v>8900</v>
      </c>
      <c r="J18" s="120">
        <f t="shared" si="2"/>
        <v>8900</v>
      </c>
      <c r="K18" s="265">
        <f t="shared" si="0"/>
        <v>111100</v>
      </c>
    </row>
    <row r="19" spans="1:12" ht="24.95" customHeight="1">
      <c r="A19" s="73">
        <v>16</v>
      </c>
      <c r="B19" s="31" t="s">
        <v>348</v>
      </c>
      <c r="C19" s="31" t="s">
        <v>19</v>
      </c>
      <c r="D19" s="217">
        <f>90000</f>
        <v>90000</v>
      </c>
      <c r="E19" s="122">
        <f>30000</f>
        <v>30000</v>
      </c>
      <c r="F19" s="265">
        <f t="shared" si="1"/>
        <v>120000</v>
      </c>
      <c r="G19" s="134"/>
      <c r="H19" s="134"/>
      <c r="I19" s="134">
        <v>8900</v>
      </c>
      <c r="J19" s="120">
        <f t="shared" si="2"/>
        <v>8900</v>
      </c>
      <c r="K19" s="265">
        <f t="shared" si="0"/>
        <v>111100</v>
      </c>
    </row>
    <row r="20" spans="1:12" ht="24.95" customHeight="1">
      <c r="A20" s="73">
        <v>17</v>
      </c>
      <c r="B20" s="31" t="s">
        <v>349</v>
      </c>
      <c r="C20" s="31" t="s">
        <v>19</v>
      </c>
      <c r="D20" s="217">
        <f>90000</f>
        <v>90000</v>
      </c>
      <c r="E20" s="122">
        <f>30000</f>
        <v>30000</v>
      </c>
      <c r="F20" s="265">
        <f t="shared" si="1"/>
        <v>120000</v>
      </c>
      <c r="G20" s="134"/>
      <c r="H20" s="134"/>
      <c r="I20" s="134">
        <v>8900</v>
      </c>
      <c r="J20" s="120">
        <f t="shared" si="2"/>
        <v>8900</v>
      </c>
      <c r="K20" s="265">
        <f t="shared" si="0"/>
        <v>111100</v>
      </c>
    </row>
    <row r="21" spans="1:12" ht="24.95" customHeight="1">
      <c r="A21" s="73">
        <v>18</v>
      </c>
      <c r="B21" s="31" t="s">
        <v>31</v>
      </c>
      <c r="C21" s="31" t="s">
        <v>32</v>
      </c>
      <c r="D21" s="217">
        <f>105352.17</f>
        <v>105352.17</v>
      </c>
      <c r="E21" s="216">
        <f>(60000+50000)</f>
        <v>110000</v>
      </c>
      <c r="F21" s="265">
        <f t="shared" si="1"/>
        <v>215352.16999999998</v>
      </c>
      <c r="G21" s="120"/>
      <c r="H21" s="120"/>
      <c r="I21" s="134">
        <v>23345.831226666665</v>
      </c>
      <c r="J21" s="120">
        <f t="shared" si="2"/>
        <v>23345.831226666665</v>
      </c>
      <c r="K21" s="265">
        <f t="shared" si="0"/>
        <v>192006.33877333332</v>
      </c>
    </row>
    <row r="22" spans="1:12" ht="24.95" customHeight="1">
      <c r="A22" s="73">
        <v>19</v>
      </c>
      <c r="B22" s="59" t="s">
        <v>350</v>
      </c>
      <c r="C22" s="31" t="s">
        <v>373</v>
      </c>
      <c r="D22" s="217">
        <f>90000</f>
        <v>90000</v>
      </c>
      <c r="E22" s="216">
        <f>30000</f>
        <v>30000</v>
      </c>
      <c r="F22" s="265">
        <f t="shared" si="1"/>
        <v>120000</v>
      </c>
      <c r="G22" s="120"/>
      <c r="H22" s="120"/>
      <c r="I22" s="134">
        <v>8900</v>
      </c>
      <c r="J22" s="120">
        <f t="shared" si="2"/>
        <v>8900</v>
      </c>
      <c r="K22" s="265">
        <f t="shared" si="0"/>
        <v>111100</v>
      </c>
    </row>
    <row r="23" spans="1:12" ht="24.95" customHeight="1">
      <c r="A23" s="73">
        <v>21</v>
      </c>
      <c r="B23" s="59" t="s">
        <v>126</v>
      </c>
      <c r="C23" s="31" t="s">
        <v>19</v>
      </c>
      <c r="D23" s="217">
        <v>90000</v>
      </c>
      <c r="E23" s="216">
        <f>30000</f>
        <v>30000</v>
      </c>
      <c r="F23" s="265">
        <f t="shared" si="1"/>
        <v>120000</v>
      </c>
      <c r="G23" s="120"/>
      <c r="H23" s="120"/>
      <c r="I23" s="134">
        <v>8900</v>
      </c>
      <c r="J23" s="120">
        <f t="shared" si="2"/>
        <v>8900</v>
      </c>
      <c r="K23" s="265">
        <f t="shared" si="0"/>
        <v>111100</v>
      </c>
      <c r="L23" s="187"/>
    </row>
    <row r="24" spans="1:12" ht="24.95" customHeight="1">
      <c r="A24" s="73">
        <v>22</v>
      </c>
      <c r="B24" s="59" t="s">
        <v>353</v>
      </c>
      <c r="C24" s="31" t="s">
        <v>34</v>
      </c>
      <c r="D24" s="217">
        <f>399385.82</f>
        <v>399385.82</v>
      </c>
      <c r="E24" s="216">
        <f>160000</f>
        <v>160000</v>
      </c>
      <c r="F24" s="265">
        <f t="shared" si="1"/>
        <v>559385.82000000007</v>
      </c>
      <c r="G24" s="120"/>
      <c r="H24" s="120"/>
      <c r="I24" s="134">
        <v>86068.744106666665</v>
      </c>
      <c r="J24" s="120">
        <f t="shared" si="2"/>
        <v>86068.744106666665</v>
      </c>
      <c r="K24" s="265">
        <f t="shared" si="0"/>
        <v>473317.07589333341</v>
      </c>
    </row>
    <row r="25" spans="1:12" ht="24.95" customHeight="1">
      <c r="A25" s="73">
        <v>24</v>
      </c>
      <c r="B25" s="227" t="s">
        <v>354</v>
      </c>
      <c r="C25" s="31" t="s">
        <v>39</v>
      </c>
      <c r="D25" s="217">
        <v>15000</v>
      </c>
      <c r="E25" s="216"/>
      <c r="F25" s="265">
        <f t="shared" si="1"/>
        <v>15000</v>
      </c>
      <c r="G25" s="120"/>
      <c r="H25" s="120"/>
      <c r="I25" s="134">
        <v>0</v>
      </c>
      <c r="J25" s="120">
        <f t="shared" si="2"/>
        <v>0</v>
      </c>
      <c r="K25" s="265">
        <f t="shared" si="0"/>
        <v>15000</v>
      </c>
    </row>
    <row r="26" spans="1:12" ht="24.95" customHeight="1">
      <c r="A26" s="73">
        <v>25</v>
      </c>
      <c r="B26" s="227" t="s">
        <v>316</v>
      </c>
      <c r="C26" s="31" t="s">
        <v>39</v>
      </c>
      <c r="D26" s="217">
        <v>15000</v>
      </c>
      <c r="E26" s="216"/>
      <c r="F26" s="265">
        <f t="shared" si="1"/>
        <v>15000</v>
      </c>
      <c r="G26" s="120"/>
      <c r="H26" s="120"/>
      <c r="I26" s="134">
        <v>0</v>
      </c>
      <c r="J26" s="120">
        <f t="shared" si="2"/>
        <v>0</v>
      </c>
      <c r="K26" s="265">
        <f t="shared" si="0"/>
        <v>15000</v>
      </c>
    </row>
    <row r="27" spans="1:12" ht="24.95" customHeight="1">
      <c r="A27" s="73">
        <v>27</v>
      </c>
      <c r="B27" s="227" t="s">
        <v>356</v>
      </c>
      <c r="C27" s="31" t="s">
        <v>39</v>
      </c>
      <c r="D27" s="217">
        <v>15000</v>
      </c>
      <c r="E27" s="216"/>
      <c r="F27" s="265">
        <f t="shared" si="1"/>
        <v>15000</v>
      </c>
      <c r="G27" s="120"/>
      <c r="H27" s="120"/>
      <c r="I27" s="134">
        <v>0</v>
      </c>
      <c r="J27" s="120">
        <f t="shared" si="2"/>
        <v>0</v>
      </c>
      <c r="K27" s="265">
        <f t="shared" si="0"/>
        <v>15000</v>
      </c>
    </row>
    <row r="28" spans="1:12" ht="24.95" customHeight="1">
      <c r="A28" s="73">
        <v>29</v>
      </c>
      <c r="B28" s="227" t="s">
        <v>306</v>
      </c>
      <c r="C28" s="31" t="s">
        <v>39</v>
      </c>
      <c r="D28" s="217">
        <v>15000</v>
      </c>
      <c r="E28" s="216"/>
      <c r="F28" s="265">
        <f t="shared" si="1"/>
        <v>15000</v>
      </c>
      <c r="G28" s="120"/>
      <c r="H28" s="120"/>
      <c r="I28" s="134">
        <v>0</v>
      </c>
      <c r="J28" s="120">
        <f t="shared" si="2"/>
        <v>0</v>
      </c>
      <c r="K28" s="265">
        <f t="shared" si="0"/>
        <v>15000</v>
      </c>
    </row>
    <row r="29" spans="1:12" ht="24.95" customHeight="1">
      <c r="A29" s="73">
        <v>30</v>
      </c>
      <c r="B29" s="227" t="s">
        <v>357</v>
      </c>
      <c r="C29" s="31" t="s">
        <v>39</v>
      </c>
      <c r="D29" s="217">
        <v>15000</v>
      </c>
      <c r="E29" s="216"/>
      <c r="F29" s="265">
        <f t="shared" si="1"/>
        <v>15000</v>
      </c>
      <c r="G29" s="120"/>
      <c r="H29" s="120"/>
      <c r="I29" s="134">
        <v>0</v>
      </c>
      <c r="J29" s="120">
        <f t="shared" si="2"/>
        <v>0</v>
      </c>
      <c r="K29" s="265">
        <f t="shared" si="0"/>
        <v>15000</v>
      </c>
    </row>
    <row r="30" spans="1:12" ht="24.95" customHeight="1">
      <c r="A30" s="73">
        <v>31</v>
      </c>
      <c r="B30" s="227" t="s">
        <v>283</v>
      </c>
      <c r="C30" s="31" t="s">
        <v>37</v>
      </c>
      <c r="D30" s="217">
        <f>123329.05</f>
        <v>123329.05</v>
      </c>
      <c r="E30" s="216">
        <v>50000</v>
      </c>
      <c r="F30" s="265">
        <f t="shared" si="1"/>
        <v>173329.05</v>
      </c>
      <c r="G30" s="120"/>
      <c r="H30" s="120"/>
      <c r="I30" s="134">
        <f>16512.68</f>
        <v>16512.68</v>
      </c>
      <c r="J30" s="120">
        <f t="shared" si="2"/>
        <v>16512.68</v>
      </c>
      <c r="K30" s="265">
        <f t="shared" si="0"/>
        <v>156816.37</v>
      </c>
    </row>
    <row r="31" spans="1:12" ht="24.95" customHeight="1">
      <c r="A31" s="73">
        <v>32</v>
      </c>
      <c r="B31" s="227" t="s">
        <v>284</v>
      </c>
      <c r="C31" s="31" t="s">
        <v>37</v>
      </c>
      <c r="D31" s="217">
        <f>'[3]Nils Salary Structure'!$H$36</f>
        <v>168601.58333333334</v>
      </c>
      <c r="E31" s="216">
        <v>100000</v>
      </c>
      <c r="F31" s="265">
        <f t="shared" si="1"/>
        <v>268601.58333333337</v>
      </c>
      <c r="G31" s="120"/>
      <c r="H31" s="120"/>
      <c r="I31" s="134">
        <f>32291.82</f>
        <v>32291.82</v>
      </c>
      <c r="J31" s="120">
        <f t="shared" si="2"/>
        <v>32291.82</v>
      </c>
      <c r="K31" s="265">
        <f t="shared" si="0"/>
        <v>236309.76333333337</v>
      </c>
    </row>
    <row r="32" spans="1:12" ht="24.95" customHeight="1">
      <c r="A32" s="73">
        <v>33</v>
      </c>
      <c r="B32" s="227" t="s">
        <v>285</v>
      </c>
      <c r="C32" s="31" t="s">
        <v>37</v>
      </c>
      <c r="D32" s="217">
        <f>'[3]Nils Salary Structure'!$H$35</f>
        <v>145203.66666666666</v>
      </c>
      <c r="E32" s="216">
        <v>100000</v>
      </c>
      <c r="F32" s="265">
        <f t="shared" si="1"/>
        <v>245203.66666666666</v>
      </c>
      <c r="G32" s="120"/>
      <c r="H32" s="120"/>
      <c r="I32" s="122">
        <f>21640.95</f>
        <v>21640.95</v>
      </c>
      <c r="J32" s="120">
        <f t="shared" si="2"/>
        <v>21640.95</v>
      </c>
      <c r="K32" s="265">
        <f t="shared" si="0"/>
        <v>223562.71666666665</v>
      </c>
    </row>
    <row r="33" spans="1:14" ht="24.95" customHeight="1">
      <c r="A33" s="73">
        <v>34</v>
      </c>
      <c r="B33" s="227" t="s">
        <v>286</v>
      </c>
      <c r="C33" s="31" t="s">
        <v>37</v>
      </c>
      <c r="D33" s="217">
        <f>123329.05</f>
        <v>123329.05</v>
      </c>
      <c r="E33" s="216">
        <v>50000</v>
      </c>
      <c r="F33" s="265">
        <f t="shared" si="1"/>
        <v>173329.05</v>
      </c>
      <c r="G33" s="120">
        <v>20000</v>
      </c>
      <c r="H33" s="120"/>
      <c r="I33" s="134">
        <f>I30</f>
        <v>16512.68</v>
      </c>
      <c r="J33" s="120">
        <f t="shared" si="2"/>
        <v>36512.68</v>
      </c>
      <c r="K33" s="265">
        <f t="shared" si="0"/>
        <v>136816.37</v>
      </c>
      <c r="L33" s="212"/>
    </row>
    <row r="34" spans="1:14" ht="24.95" customHeight="1">
      <c r="A34" s="73">
        <v>35</v>
      </c>
      <c r="B34" s="227" t="s">
        <v>296</v>
      </c>
      <c r="C34" s="31" t="s">
        <v>37</v>
      </c>
      <c r="D34" s="217">
        <f>'[4]October 2022'!$R$108-60000</f>
        <v>244895.91326215054</v>
      </c>
      <c r="E34" s="216">
        <v>60000</v>
      </c>
      <c r="F34" s="265">
        <f t="shared" si="1"/>
        <v>304895.91326215054</v>
      </c>
      <c r="G34" s="120"/>
      <c r="H34" s="120"/>
      <c r="I34" s="122">
        <f>31749.1368366667</f>
        <v>31749.136836666701</v>
      </c>
      <c r="J34" s="120">
        <f t="shared" si="2"/>
        <v>31749.136836666701</v>
      </c>
      <c r="K34" s="265">
        <f t="shared" si="0"/>
        <v>273146.77642548387</v>
      </c>
    </row>
    <row r="35" spans="1:14" ht="24.95" customHeight="1">
      <c r="A35" s="73">
        <v>36</v>
      </c>
      <c r="B35" s="227" t="s">
        <v>119</v>
      </c>
      <c r="C35" s="31" t="s">
        <v>37</v>
      </c>
      <c r="D35" s="120">
        <f>205372.08</f>
        <v>205372.08</v>
      </c>
      <c r="E35" s="216">
        <v>110000</v>
      </c>
      <c r="F35" s="265">
        <f t="shared" si="1"/>
        <v>315372.07999999996</v>
      </c>
      <c r="G35" s="120"/>
      <c r="H35" s="120"/>
      <c r="I35" s="122">
        <f>'Arrears in Nov'!B4</f>
        <v>40149.18</v>
      </c>
      <c r="J35" s="120">
        <f t="shared" si="2"/>
        <v>40149.18</v>
      </c>
      <c r="K35" s="265">
        <f t="shared" si="0"/>
        <v>275222.89999999997</v>
      </c>
      <c r="L35" s="8"/>
      <c r="M35" s="8"/>
      <c r="N35" s="8"/>
    </row>
    <row r="36" spans="1:14" ht="30" customHeight="1">
      <c r="A36" s="73">
        <v>37</v>
      </c>
      <c r="B36" s="227" t="s">
        <v>305</v>
      </c>
      <c r="C36" s="31" t="s">
        <v>34</v>
      </c>
      <c r="D36" s="217">
        <v>328759.88</v>
      </c>
      <c r="E36" s="216">
        <v>160000</v>
      </c>
      <c r="F36" s="265">
        <f t="shared" si="1"/>
        <v>488759.88</v>
      </c>
      <c r="G36" s="120"/>
      <c r="H36" s="120"/>
      <c r="I36" s="134">
        <f>72508.5636266667</f>
        <v>72508.563626666699</v>
      </c>
      <c r="J36" s="120">
        <f t="shared" si="2"/>
        <v>72508.563626666699</v>
      </c>
      <c r="K36" s="265">
        <f t="shared" si="0"/>
        <v>416251.31637333333</v>
      </c>
      <c r="L36" s="8"/>
      <c r="M36" s="8"/>
      <c r="N36" s="8"/>
    </row>
    <row r="37" spans="1:14" ht="33" customHeight="1">
      <c r="A37" s="73">
        <v>38</v>
      </c>
      <c r="B37" s="255" t="s">
        <v>310</v>
      </c>
      <c r="C37" s="31" t="s">
        <v>37</v>
      </c>
      <c r="D37" s="217">
        <f>268602.07775-100000</f>
        <v>168602.07775</v>
      </c>
      <c r="E37" s="216">
        <v>100000</v>
      </c>
      <c r="F37" s="265">
        <f t="shared" si="1"/>
        <v>268602.07775</v>
      </c>
      <c r="G37" s="120"/>
      <c r="H37" s="120"/>
      <c r="I37" s="134">
        <v>32291.82</v>
      </c>
      <c r="J37" s="120">
        <f t="shared" si="2"/>
        <v>32291.82</v>
      </c>
      <c r="K37" s="265">
        <f t="shared" si="0"/>
        <v>236310.25774999999</v>
      </c>
    </row>
    <row r="38" spans="1:14" ht="33" customHeight="1">
      <c r="A38" s="73">
        <v>39</v>
      </c>
      <c r="B38" s="255" t="s">
        <v>358</v>
      </c>
      <c r="C38" s="31" t="s">
        <v>39</v>
      </c>
      <c r="D38" s="217">
        <v>15000</v>
      </c>
      <c r="E38" s="216"/>
      <c r="F38" s="265">
        <f t="shared" si="1"/>
        <v>15000</v>
      </c>
      <c r="G38" s="120"/>
      <c r="H38" s="120"/>
      <c r="I38" s="134">
        <v>0</v>
      </c>
      <c r="J38" s="120">
        <f t="shared" si="2"/>
        <v>0</v>
      </c>
      <c r="K38" s="265">
        <f t="shared" si="0"/>
        <v>15000</v>
      </c>
    </row>
    <row r="39" spans="1:14" ht="33" customHeight="1">
      <c r="A39" s="73">
        <v>40</v>
      </c>
      <c r="B39" s="255" t="s">
        <v>359</v>
      </c>
      <c r="C39" s="31" t="s">
        <v>39</v>
      </c>
      <c r="D39" s="217">
        <v>15000</v>
      </c>
      <c r="E39" s="216"/>
      <c r="F39" s="265">
        <f t="shared" si="1"/>
        <v>15000</v>
      </c>
      <c r="G39" s="120"/>
      <c r="H39" s="120"/>
      <c r="I39" s="134">
        <v>0</v>
      </c>
      <c r="J39" s="120">
        <f t="shared" si="2"/>
        <v>0</v>
      </c>
      <c r="K39" s="265">
        <f t="shared" si="0"/>
        <v>15000</v>
      </c>
    </row>
    <row r="40" spans="1:14" ht="33" customHeight="1">
      <c r="A40" s="73">
        <v>41</v>
      </c>
      <c r="B40" s="255" t="s">
        <v>360</v>
      </c>
      <c r="C40" s="31" t="s">
        <v>39</v>
      </c>
      <c r="D40" s="217">
        <v>15000</v>
      </c>
      <c r="E40" s="216"/>
      <c r="F40" s="265">
        <f t="shared" si="1"/>
        <v>15000</v>
      </c>
      <c r="G40" s="120"/>
      <c r="H40" s="120"/>
      <c r="I40" s="134">
        <v>0</v>
      </c>
      <c r="J40" s="120">
        <f t="shared" si="2"/>
        <v>0</v>
      </c>
      <c r="K40" s="265">
        <f t="shared" si="0"/>
        <v>15000</v>
      </c>
    </row>
    <row r="41" spans="1:14" ht="33" customHeight="1">
      <c r="A41" s="73">
        <v>42</v>
      </c>
      <c r="B41" s="255" t="s">
        <v>361</v>
      </c>
      <c r="C41" s="31" t="s">
        <v>39</v>
      </c>
      <c r="D41" s="217">
        <v>15000</v>
      </c>
      <c r="E41" s="216"/>
      <c r="F41" s="265">
        <f t="shared" si="1"/>
        <v>15000</v>
      </c>
      <c r="G41" s="120"/>
      <c r="H41" s="120"/>
      <c r="I41" s="134">
        <v>0</v>
      </c>
      <c r="J41" s="120">
        <f t="shared" si="2"/>
        <v>0</v>
      </c>
      <c r="K41" s="265">
        <f t="shared" si="0"/>
        <v>15000</v>
      </c>
    </row>
    <row r="42" spans="1:14" ht="33" customHeight="1">
      <c r="A42" s="73">
        <v>43</v>
      </c>
      <c r="B42" s="255" t="s">
        <v>362</v>
      </c>
      <c r="C42" s="31" t="s">
        <v>39</v>
      </c>
      <c r="D42" s="217">
        <v>15000</v>
      </c>
      <c r="E42" s="216"/>
      <c r="F42" s="265">
        <f t="shared" si="1"/>
        <v>15000</v>
      </c>
      <c r="G42" s="120"/>
      <c r="H42" s="120"/>
      <c r="I42" s="134">
        <v>0</v>
      </c>
      <c r="J42" s="120">
        <f t="shared" si="2"/>
        <v>0</v>
      </c>
      <c r="K42" s="265">
        <f t="shared" si="0"/>
        <v>15000</v>
      </c>
    </row>
    <row r="43" spans="1:14" ht="35.1" customHeight="1">
      <c r="A43" s="73">
        <v>44</v>
      </c>
      <c r="B43" s="255" t="s">
        <v>363</v>
      </c>
      <c r="C43" s="31" t="s">
        <v>34</v>
      </c>
      <c r="D43" s="217">
        <f>385939.33</f>
        <v>385939.33</v>
      </c>
      <c r="E43" s="216">
        <f>160000</f>
        <v>160000</v>
      </c>
      <c r="F43" s="265">
        <f t="shared" si="1"/>
        <v>545939.33000000007</v>
      </c>
      <c r="G43" s="120"/>
      <c r="H43" s="120"/>
      <c r="I43" s="134">
        <f>83487.02</f>
        <v>83487.02</v>
      </c>
      <c r="J43" s="120">
        <f t="shared" si="2"/>
        <v>83487.02</v>
      </c>
      <c r="K43" s="265">
        <f t="shared" si="0"/>
        <v>462452.31000000006</v>
      </c>
    </row>
    <row r="44" spans="1:14" ht="35.1" customHeight="1">
      <c r="A44" s="73">
        <v>45</v>
      </c>
      <c r="B44" s="255" t="s">
        <v>388</v>
      </c>
      <c r="C44" s="277" t="s">
        <v>34</v>
      </c>
      <c r="D44" s="217">
        <f>502746.92</f>
        <v>502746.92</v>
      </c>
      <c r="E44" s="216">
        <v>180000</v>
      </c>
      <c r="F44" s="265">
        <f t="shared" si="1"/>
        <v>682746.91999999993</v>
      </c>
      <c r="G44" s="216"/>
      <c r="H44" s="216">
        <f>'Arrears in Nov'!G10</f>
        <v>0</v>
      </c>
      <c r="I44" s="216">
        <v>109754.08</v>
      </c>
      <c r="J44" s="120">
        <f t="shared" si="2"/>
        <v>109754.08</v>
      </c>
      <c r="K44" s="265">
        <f t="shared" si="0"/>
        <v>572992.84</v>
      </c>
    </row>
    <row r="45" spans="1:14" ht="35.1" customHeight="1">
      <c r="A45" s="73">
        <v>46</v>
      </c>
      <c r="B45" s="255" t="s">
        <v>375</v>
      </c>
      <c r="C45" s="31" t="s">
        <v>39</v>
      </c>
      <c r="D45" s="217">
        <v>15000</v>
      </c>
      <c r="E45" s="216"/>
      <c r="F45" s="265">
        <f t="shared" si="1"/>
        <v>15000</v>
      </c>
      <c r="G45" s="120"/>
      <c r="H45" s="120"/>
      <c r="I45" s="134">
        <v>0</v>
      </c>
      <c r="J45" s="120">
        <f t="shared" si="2"/>
        <v>0</v>
      </c>
      <c r="K45" s="265">
        <f t="shared" si="0"/>
        <v>15000</v>
      </c>
    </row>
    <row r="46" spans="1:14" ht="35.1" customHeight="1">
      <c r="A46" s="73">
        <v>47</v>
      </c>
      <c r="B46" s="255" t="s">
        <v>376</v>
      </c>
      <c r="C46" s="31" t="s">
        <v>39</v>
      </c>
      <c r="D46" s="217">
        <v>15000</v>
      </c>
      <c r="E46" s="216"/>
      <c r="F46" s="265">
        <f t="shared" si="1"/>
        <v>15000</v>
      </c>
      <c r="G46" s="120"/>
      <c r="H46" s="120"/>
      <c r="I46" s="134">
        <v>0</v>
      </c>
      <c r="J46" s="120">
        <f t="shared" si="2"/>
        <v>0</v>
      </c>
      <c r="K46" s="265">
        <f t="shared" si="0"/>
        <v>15000</v>
      </c>
    </row>
    <row r="47" spans="1:14" ht="35.1" customHeight="1">
      <c r="A47" s="73">
        <v>48</v>
      </c>
      <c r="B47" s="255" t="s">
        <v>377</v>
      </c>
      <c r="C47" s="31" t="s">
        <v>39</v>
      </c>
      <c r="D47" s="217">
        <v>15000</v>
      </c>
      <c r="E47" s="216"/>
      <c r="F47" s="265">
        <f t="shared" si="1"/>
        <v>15000</v>
      </c>
      <c r="G47" s="120"/>
      <c r="H47" s="120"/>
      <c r="I47" s="134">
        <v>0</v>
      </c>
      <c r="J47" s="120">
        <f t="shared" si="2"/>
        <v>0</v>
      </c>
      <c r="K47" s="265">
        <f t="shared" si="0"/>
        <v>15000</v>
      </c>
    </row>
    <row r="48" spans="1:14" ht="35.1" customHeight="1">
      <c r="A48" s="73">
        <v>49</v>
      </c>
      <c r="B48" s="255" t="s">
        <v>378</v>
      </c>
      <c r="C48" s="31" t="s">
        <v>39</v>
      </c>
      <c r="D48" s="217">
        <v>15000</v>
      </c>
      <c r="E48" s="216"/>
      <c r="F48" s="265">
        <f t="shared" si="1"/>
        <v>15000</v>
      </c>
      <c r="G48" s="120"/>
      <c r="H48" s="120"/>
      <c r="I48" s="134">
        <v>0</v>
      </c>
      <c r="J48" s="120">
        <f t="shared" si="2"/>
        <v>0</v>
      </c>
      <c r="K48" s="265">
        <f t="shared" si="0"/>
        <v>15000</v>
      </c>
    </row>
    <row r="49" spans="1:11" ht="35.1" customHeight="1">
      <c r="A49" s="73">
        <v>50</v>
      </c>
      <c r="B49" s="255" t="s">
        <v>379</v>
      </c>
      <c r="C49" s="31" t="s">
        <v>39</v>
      </c>
      <c r="D49" s="217">
        <v>15000</v>
      </c>
      <c r="E49" s="216"/>
      <c r="F49" s="265">
        <f t="shared" si="1"/>
        <v>15000</v>
      </c>
      <c r="G49" s="120"/>
      <c r="H49" s="120"/>
      <c r="I49" s="134">
        <v>0</v>
      </c>
      <c r="J49" s="120">
        <f t="shared" si="2"/>
        <v>0</v>
      </c>
      <c r="K49" s="265">
        <f t="shared" si="0"/>
        <v>15000</v>
      </c>
    </row>
    <row r="50" spans="1:11" ht="35.1" customHeight="1">
      <c r="A50" s="73">
        <v>51</v>
      </c>
      <c r="B50" s="255" t="s">
        <v>380</v>
      </c>
      <c r="C50" s="31" t="s">
        <v>39</v>
      </c>
      <c r="D50" s="217">
        <v>15000</v>
      </c>
      <c r="E50" s="216"/>
      <c r="F50" s="265">
        <f t="shared" si="1"/>
        <v>15000</v>
      </c>
      <c r="G50" s="120"/>
      <c r="H50" s="120"/>
      <c r="I50" s="134">
        <v>0</v>
      </c>
      <c r="J50" s="120">
        <f t="shared" si="2"/>
        <v>0</v>
      </c>
      <c r="K50" s="265">
        <f t="shared" si="0"/>
        <v>15000</v>
      </c>
    </row>
    <row r="51" spans="1:11" ht="35.1" customHeight="1">
      <c r="A51" s="73">
        <v>52</v>
      </c>
      <c r="B51" s="255" t="s">
        <v>381</v>
      </c>
      <c r="C51" s="31" t="s">
        <v>39</v>
      </c>
      <c r="D51" s="217">
        <v>15000</v>
      </c>
      <c r="E51" s="216"/>
      <c r="F51" s="265">
        <f t="shared" si="1"/>
        <v>15000</v>
      </c>
      <c r="G51" s="120"/>
      <c r="H51" s="120"/>
      <c r="I51" s="134">
        <v>0</v>
      </c>
      <c r="J51" s="120">
        <v>0</v>
      </c>
      <c r="K51" s="265">
        <f t="shared" si="0"/>
        <v>15000</v>
      </c>
    </row>
    <row r="52" spans="1:11" ht="35.1" customHeight="1">
      <c r="A52" s="73">
        <v>53</v>
      </c>
      <c r="B52" s="255" t="s">
        <v>382</v>
      </c>
      <c r="C52" s="31" t="s">
        <v>39</v>
      </c>
      <c r="D52" s="217">
        <v>15000</v>
      </c>
      <c r="E52" s="216"/>
      <c r="F52" s="265">
        <f t="shared" si="1"/>
        <v>15000</v>
      </c>
      <c r="G52" s="120"/>
      <c r="H52" s="120"/>
      <c r="I52" s="134">
        <v>0</v>
      </c>
      <c r="J52" s="120">
        <v>0</v>
      </c>
      <c r="K52" s="265">
        <f t="shared" si="0"/>
        <v>15000</v>
      </c>
    </row>
    <row r="53" spans="1:11" ht="35.1" customHeight="1">
      <c r="A53" s="73">
        <v>54</v>
      </c>
      <c r="B53" s="255" t="s">
        <v>128</v>
      </c>
      <c r="C53" s="31" t="s">
        <v>39</v>
      </c>
      <c r="D53" s="217">
        <v>15000</v>
      </c>
      <c r="E53" s="216"/>
      <c r="F53" s="265">
        <v>15000</v>
      </c>
      <c r="G53" s="120"/>
      <c r="H53" s="120"/>
      <c r="I53" s="134">
        <v>0</v>
      </c>
      <c r="J53" s="120">
        <v>0</v>
      </c>
      <c r="K53" s="265">
        <v>15000</v>
      </c>
    </row>
    <row r="54" spans="1:11" ht="35.1" customHeight="1">
      <c r="A54" s="73">
        <v>55</v>
      </c>
      <c r="B54" s="255" t="s">
        <v>383</v>
      </c>
      <c r="C54" s="31" t="s">
        <v>39</v>
      </c>
      <c r="D54" s="217">
        <v>15000</v>
      </c>
      <c r="E54" s="216"/>
      <c r="F54" s="265">
        <v>15000</v>
      </c>
      <c r="G54" s="120"/>
      <c r="H54" s="120"/>
      <c r="I54" s="134">
        <v>0</v>
      </c>
      <c r="J54" s="120">
        <v>0</v>
      </c>
      <c r="K54" s="265">
        <v>15000</v>
      </c>
    </row>
    <row r="55" spans="1:11" ht="35.1" customHeight="1">
      <c r="A55" s="73">
        <v>56</v>
      </c>
      <c r="B55" s="255" t="s">
        <v>129</v>
      </c>
      <c r="C55" s="31" t="s">
        <v>39</v>
      </c>
      <c r="D55" s="217">
        <v>15000</v>
      </c>
      <c r="E55" s="216"/>
      <c r="F55" s="265">
        <v>15000</v>
      </c>
      <c r="G55" s="120"/>
      <c r="H55" s="120"/>
      <c r="I55" s="134">
        <v>0</v>
      </c>
      <c r="J55" s="120">
        <v>0</v>
      </c>
      <c r="K55" s="265">
        <v>15000</v>
      </c>
    </row>
    <row r="56" spans="1:11" ht="35.1" customHeight="1">
      <c r="A56" s="73">
        <v>57</v>
      </c>
      <c r="B56" s="255" t="s">
        <v>130</v>
      </c>
      <c r="C56" s="31" t="s">
        <v>39</v>
      </c>
      <c r="D56" s="217">
        <v>15000</v>
      </c>
      <c r="E56" s="216"/>
      <c r="F56" s="265">
        <v>15000</v>
      </c>
      <c r="G56" s="120"/>
      <c r="H56" s="120"/>
      <c r="I56" s="134">
        <v>0</v>
      </c>
      <c r="J56" s="120">
        <v>0</v>
      </c>
      <c r="K56" s="265">
        <v>15000</v>
      </c>
    </row>
    <row r="57" spans="1:11" ht="35.1" customHeight="1">
      <c r="A57" s="73">
        <v>58</v>
      </c>
      <c r="B57" s="255" t="s">
        <v>131</v>
      </c>
      <c r="C57" s="31" t="s">
        <v>39</v>
      </c>
      <c r="D57" s="217">
        <v>15000</v>
      </c>
      <c r="E57" s="216"/>
      <c r="F57" s="265">
        <v>15000</v>
      </c>
      <c r="G57" s="120"/>
      <c r="H57" s="120"/>
      <c r="I57" s="134">
        <v>0</v>
      </c>
      <c r="J57" s="120">
        <v>0</v>
      </c>
      <c r="K57" s="265">
        <v>15000</v>
      </c>
    </row>
    <row r="58" spans="1:11" ht="35.1" customHeight="1">
      <c r="A58" s="73">
        <v>59</v>
      </c>
      <c r="B58" s="255" t="s">
        <v>391</v>
      </c>
      <c r="C58" s="31" t="s">
        <v>392</v>
      </c>
      <c r="D58" s="217">
        <v>560000</v>
      </c>
      <c r="E58" s="216">
        <v>0</v>
      </c>
      <c r="F58" s="265">
        <f>D58+E58</f>
        <v>560000</v>
      </c>
      <c r="G58" s="120"/>
      <c r="H58" s="120"/>
      <c r="I58" s="134"/>
      <c r="J58" s="120"/>
      <c r="K58" s="265">
        <f t="shared" ref="K58:K65" si="3">F58</f>
        <v>560000</v>
      </c>
    </row>
    <row r="59" spans="1:11" ht="35.1" customHeight="1">
      <c r="A59" s="73">
        <v>60</v>
      </c>
      <c r="B59" s="255" t="s">
        <v>393</v>
      </c>
      <c r="C59" s="31" t="s">
        <v>392</v>
      </c>
      <c r="D59" s="217">
        <f>25000*28</f>
        <v>700000</v>
      </c>
      <c r="E59" s="216">
        <v>0</v>
      </c>
      <c r="F59" s="265">
        <f t="shared" ref="F59:F65" si="4">D59+E59</f>
        <v>700000</v>
      </c>
      <c r="G59" s="120"/>
      <c r="H59" s="120"/>
      <c r="I59" s="134"/>
      <c r="J59" s="120"/>
      <c r="K59" s="265">
        <f t="shared" si="3"/>
        <v>700000</v>
      </c>
    </row>
    <row r="60" spans="1:11" ht="35.1" customHeight="1">
      <c r="A60" s="73">
        <v>61</v>
      </c>
      <c r="B60" s="255" t="s">
        <v>323</v>
      </c>
      <c r="C60" s="31" t="s">
        <v>392</v>
      </c>
      <c r="D60" s="217">
        <v>560000</v>
      </c>
      <c r="E60" s="216">
        <v>0</v>
      </c>
      <c r="F60" s="265">
        <f t="shared" si="4"/>
        <v>560000</v>
      </c>
      <c r="G60" s="120"/>
      <c r="H60" s="120"/>
      <c r="I60" s="134"/>
      <c r="J60" s="120"/>
      <c r="K60" s="265">
        <f t="shared" si="3"/>
        <v>560000</v>
      </c>
    </row>
    <row r="61" spans="1:11" ht="35.1" customHeight="1">
      <c r="A61" s="73">
        <v>62</v>
      </c>
      <c r="B61" s="255" t="s">
        <v>394</v>
      </c>
      <c r="C61" s="31" t="s">
        <v>392</v>
      </c>
      <c r="D61" s="217">
        <v>560000</v>
      </c>
      <c r="E61" s="216">
        <v>0</v>
      </c>
      <c r="F61" s="265">
        <f t="shared" si="4"/>
        <v>560000</v>
      </c>
      <c r="G61" s="120"/>
      <c r="H61" s="120"/>
      <c r="I61" s="134"/>
      <c r="J61" s="120"/>
      <c r="K61" s="265">
        <f t="shared" si="3"/>
        <v>560000</v>
      </c>
    </row>
    <row r="62" spans="1:11" ht="35.1" customHeight="1">
      <c r="A62" s="73">
        <v>63</v>
      </c>
      <c r="B62" s="255" t="s">
        <v>324</v>
      </c>
      <c r="C62" s="31" t="s">
        <v>392</v>
      </c>
      <c r="D62" s="217">
        <v>560000</v>
      </c>
      <c r="E62" s="216">
        <v>0</v>
      </c>
      <c r="F62" s="265">
        <f t="shared" si="4"/>
        <v>560000</v>
      </c>
      <c r="G62" s="120"/>
      <c r="H62" s="120"/>
      <c r="I62" s="134"/>
      <c r="J62" s="120"/>
      <c r="K62" s="265">
        <f t="shared" si="3"/>
        <v>560000</v>
      </c>
    </row>
    <row r="63" spans="1:11" ht="35.1" customHeight="1">
      <c r="A63" s="73">
        <v>64</v>
      </c>
      <c r="B63" s="255" t="s">
        <v>321</v>
      </c>
      <c r="C63" s="31" t="s">
        <v>392</v>
      </c>
      <c r="D63" s="217">
        <f>25000*28</f>
        <v>700000</v>
      </c>
      <c r="E63" s="216"/>
      <c r="F63" s="265">
        <f t="shared" si="4"/>
        <v>700000</v>
      </c>
      <c r="G63" s="120"/>
      <c r="H63" s="120"/>
      <c r="I63" s="134"/>
      <c r="J63" s="120"/>
      <c r="K63" s="265">
        <f t="shared" si="3"/>
        <v>700000</v>
      </c>
    </row>
    <row r="64" spans="1:11" ht="35.1" customHeight="1">
      <c r="A64" s="73">
        <v>65</v>
      </c>
      <c r="B64" s="255" t="s">
        <v>179</v>
      </c>
      <c r="C64" s="31" t="s">
        <v>392</v>
      </c>
      <c r="D64" s="217">
        <v>560000</v>
      </c>
      <c r="E64" s="216">
        <v>0</v>
      </c>
      <c r="F64" s="279">
        <f t="shared" si="4"/>
        <v>560000</v>
      </c>
      <c r="G64" s="120"/>
      <c r="H64" s="120"/>
      <c r="I64" s="134"/>
      <c r="J64" s="120"/>
      <c r="K64" s="279">
        <f t="shared" si="3"/>
        <v>560000</v>
      </c>
    </row>
    <row r="65" spans="1:13" ht="35.1" customHeight="1">
      <c r="A65" s="73">
        <v>66</v>
      </c>
      <c r="B65" s="255" t="s">
        <v>315</v>
      </c>
      <c r="C65" s="31" t="s">
        <v>392</v>
      </c>
      <c r="D65" s="217">
        <v>560000</v>
      </c>
      <c r="E65" s="216">
        <v>0</v>
      </c>
      <c r="F65" s="279">
        <f t="shared" si="4"/>
        <v>560000</v>
      </c>
      <c r="G65" s="120"/>
      <c r="H65" s="120"/>
      <c r="I65" s="134"/>
      <c r="J65" s="120"/>
      <c r="K65" s="279">
        <f t="shared" si="3"/>
        <v>560000</v>
      </c>
    </row>
    <row r="66" spans="1:13" ht="35.1" customHeight="1">
      <c r="A66" s="73"/>
      <c r="B66" s="278" t="s">
        <v>84</v>
      </c>
      <c r="C66" s="31"/>
      <c r="D66" s="266">
        <f>SUM(D5:D65)</f>
        <v>10447545.34101215</v>
      </c>
      <c r="E66" s="266">
        <f t="shared" ref="E66:K66" si="5">SUM(E5:E65)</f>
        <v>1695000</v>
      </c>
      <c r="F66" s="266">
        <f t="shared" si="5"/>
        <v>12142545.34101215</v>
      </c>
      <c r="G66" s="266">
        <f t="shared" si="5"/>
        <v>135000</v>
      </c>
      <c r="H66" s="266">
        <f t="shared" si="5"/>
        <v>162990</v>
      </c>
      <c r="I66" s="266">
        <f t="shared" si="5"/>
        <v>849798.50953000016</v>
      </c>
      <c r="J66" s="266">
        <f t="shared" si="5"/>
        <v>1147788.5095300002</v>
      </c>
      <c r="K66" s="266">
        <f t="shared" si="5"/>
        <v>10994756.831482152</v>
      </c>
      <c r="M66" s="116"/>
    </row>
    <row r="67" spans="1:13" ht="35.1" customHeight="1">
      <c r="A67" s="70"/>
      <c r="B67" s="280"/>
      <c r="C67" s="23"/>
      <c r="D67" s="267"/>
      <c r="E67" s="267"/>
      <c r="F67" s="268"/>
      <c r="G67" s="268"/>
      <c r="H67" s="268"/>
      <c r="I67" s="268"/>
      <c r="J67" s="268"/>
      <c r="K67" s="268"/>
      <c r="M67" s="116"/>
    </row>
    <row r="68" spans="1:13" ht="35.1" customHeight="1">
      <c r="A68" s="70"/>
      <c r="B68" s="280"/>
      <c r="C68" s="23"/>
      <c r="D68" s="267"/>
      <c r="E68" s="267"/>
      <c r="F68" s="268"/>
      <c r="G68" s="268"/>
      <c r="H68" s="268"/>
      <c r="I68" s="268"/>
      <c r="J68" s="268"/>
      <c r="K68" s="268"/>
      <c r="M68" s="116"/>
    </row>
    <row r="69" spans="1:13" ht="33" customHeight="1">
      <c r="A69" s="70"/>
      <c r="B69" s="23"/>
      <c r="C69" s="23"/>
      <c r="D69" s="267"/>
      <c r="E69" s="267"/>
      <c r="F69" s="268"/>
      <c r="G69" s="268"/>
      <c r="H69" s="268"/>
      <c r="I69" s="268"/>
      <c r="J69" s="268"/>
      <c r="K69" s="268"/>
    </row>
    <row r="70" spans="1:13" ht="15.75" customHeight="1">
      <c r="A70" s="70"/>
      <c r="B70" s="23"/>
      <c r="C70" s="23"/>
      <c r="D70" s="267"/>
      <c r="E70" s="267"/>
      <c r="F70" s="268"/>
      <c r="G70" s="268"/>
      <c r="H70" s="268"/>
      <c r="I70" s="268"/>
      <c r="J70" s="268"/>
      <c r="K70" s="268"/>
    </row>
    <row r="71" spans="1:13" ht="27.75" customHeight="1">
      <c r="A71" s="337" t="s">
        <v>364</v>
      </c>
      <c r="B71" s="337"/>
      <c r="C71" s="337"/>
      <c r="D71" s="337"/>
      <c r="E71" s="337"/>
      <c r="F71" s="337"/>
      <c r="G71" s="337"/>
      <c r="H71" s="337"/>
      <c r="I71" s="337"/>
      <c r="J71" s="337"/>
      <c r="K71" s="337"/>
    </row>
    <row r="72" spans="1:13" ht="20.100000000000001" customHeight="1">
      <c r="A72" s="70"/>
      <c r="G72" s="116"/>
      <c r="H72" s="8"/>
    </row>
    <row r="73" spans="1:13" ht="20.100000000000001" customHeight="1">
      <c r="A73" s="70"/>
      <c r="K73" s="116"/>
    </row>
    <row r="74" spans="1:13" ht="20.100000000000001" customHeight="1">
      <c r="A74" s="70"/>
      <c r="G74" s="168"/>
    </row>
    <row r="75" spans="1:13" ht="20.100000000000001" customHeight="1">
      <c r="A75" s="70"/>
      <c r="C75" s="168"/>
      <c r="D75" s="168"/>
      <c r="E75" s="168"/>
      <c r="F75" s="187"/>
      <c r="G75" s="168"/>
    </row>
    <row r="76" spans="1:13" ht="20.100000000000001" customHeight="1">
      <c r="A76" s="70"/>
      <c r="C76" s="168"/>
      <c r="D76" s="168"/>
      <c r="E76" s="168"/>
      <c r="F76" s="187"/>
    </row>
    <row r="77" spans="1:13" ht="20.100000000000001" customHeight="1">
      <c r="A77" s="70"/>
      <c r="C77" s="168"/>
      <c r="D77" s="168"/>
      <c r="E77" s="168"/>
      <c r="F77" s="187"/>
    </row>
    <row r="78" spans="1:13" ht="20.100000000000001" customHeight="1">
      <c r="A78" s="70"/>
      <c r="C78" s="168"/>
      <c r="D78" s="168"/>
      <c r="E78" s="168"/>
    </row>
    <row r="79" spans="1:13" ht="20.100000000000001" customHeight="1">
      <c r="A79" s="70"/>
    </row>
    <row r="80" spans="1:13" ht="20.100000000000001" customHeight="1">
      <c r="A80" s="70"/>
    </row>
    <row r="81" spans="1:1" ht="20.100000000000001" customHeight="1">
      <c r="A81" s="70"/>
    </row>
    <row r="82" spans="1:1" ht="20.100000000000001" customHeight="1">
      <c r="A82" s="70"/>
    </row>
    <row r="83" spans="1:1" ht="20.100000000000001" customHeight="1">
      <c r="A83" s="70"/>
    </row>
    <row r="84" spans="1:1" ht="20.100000000000001" customHeight="1">
      <c r="A84" s="70"/>
    </row>
    <row r="85" spans="1:1" ht="20.100000000000001" customHeight="1">
      <c r="A85" s="70"/>
    </row>
    <row r="86" spans="1:1" ht="20.100000000000001" customHeight="1">
      <c r="A86" s="70"/>
    </row>
    <row r="87" spans="1:1" ht="20.100000000000001" customHeight="1">
      <c r="A87" s="70"/>
    </row>
    <row r="88" spans="1:1" ht="20.100000000000001" customHeight="1">
      <c r="A88" s="70"/>
    </row>
    <row r="89" spans="1:1" ht="20.100000000000001" customHeight="1">
      <c r="A89" s="70"/>
    </row>
    <row r="90" spans="1:1" ht="20.100000000000001" customHeight="1">
      <c r="A90" s="70"/>
    </row>
    <row r="91" spans="1:1" ht="20.100000000000001" customHeight="1">
      <c r="A91" s="70"/>
    </row>
    <row r="92" spans="1:1" ht="20.100000000000001" customHeight="1">
      <c r="A92" s="70"/>
    </row>
    <row r="93" spans="1:1" ht="20.100000000000001" customHeight="1">
      <c r="A93" s="70"/>
    </row>
    <row r="94" spans="1:1" ht="20.100000000000001" customHeight="1">
      <c r="A94" s="70"/>
    </row>
    <row r="95" spans="1:1" ht="20.100000000000001" customHeight="1">
      <c r="A95" s="70"/>
    </row>
    <row r="96" spans="1:1" ht="20.100000000000001" customHeight="1">
      <c r="A96" s="70"/>
    </row>
    <row r="97" spans="1:1" ht="20.100000000000001" customHeight="1">
      <c r="A97" s="70"/>
    </row>
    <row r="98" spans="1:1" ht="20.100000000000001" customHeight="1">
      <c r="A98" s="70"/>
    </row>
    <row r="99" spans="1:1" ht="20.100000000000001" customHeight="1">
      <c r="A99" s="70"/>
    </row>
    <row r="100" spans="1:1" ht="20.100000000000001" customHeight="1">
      <c r="A100" s="70"/>
    </row>
    <row r="101" spans="1:1" ht="20.100000000000001" customHeight="1">
      <c r="A101" s="70"/>
    </row>
    <row r="102" spans="1:1" ht="20.100000000000001" customHeight="1">
      <c r="A102" s="70"/>
    </row>
    <row r="103" spans="1:1" ht="20.100000000000001" customHeight="1">
      <c r="A103" s="70"/>
    </row>
    <row r="104" spans="1:1" ht="20.100000000000001" customHeight="1">
      <c r="A104" s="70"/>
    </row>
    <row r="105" spans="1:1" ht="20.100000000000001" customHeight="1">
      <c r="A105" s="70"/>
    </row>
    <row r="106" spans="1:1" ht="20.100000000000001" customHeight="1">
      <c r="A106" s="70"/>
    </row>
    <row r="107" spans="1:1" ht="20.100000000000001" customHeight="1">
      <c r="A107" s="70"/>
    </row>
    <row r="108" spans="1:1" ht="20.100000000000001" customHeight="1">
      <c r="A108" s="70"/>
    </row>
    <row r="109" spans="1:1" ht="20.100000000000001" customHeight="1">
      <c r="A109" s="70"/>
    </row>
    <row r="110" spans="1:1" ht="20.100000000000001" customHeight="1">
      <c r="A110" s="70"/>
    </row>
    <row r="111" spans="1:1" ht="20.100000000000001" customHeight="1">
      <c r="A111" s="70"/>
    </row>
    <row r="112" spans="1:1" ht="20.100000000000001" customHeight="1">
      <c r="A112" s="23"/>
    </row>
    <row r="153" spans="13:13" ht="20.100000000000001" customHeight="1">
      <c r="M153" s="1">
        <f>60000</f>
        <v>60000</v>
      </c>
    </row>
  </sheetData>
  <mergeCells count="3">
    <mergeCell ref="A1:K1"/>
    <mergeCell ref="G3:J3"/>
    <mergeCell ref="A71:K71"/>
  </mergeCells>
  <pageMargins left="0.51181102362204722" right="0" top="0" bottom="7.874015748031496E-2" header="0.11811023622047245" footer="0"/>
  <pageSetup paperSize="9" scale="62" orientation="landscape" r:id="rId1"/>
  <headerFooter alignWithMargins="0"/>
  <rowBreaks count="1" manualBreakCount="1">
    <brk id="29" max="10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F11"/>
  <sheetViews>
    <sheetView workbookViewId="0">
      <selection activeCell="F4" sqref="F4"/>
    </sheetView>
  </sheetViews>
  <sheetFormatPr defaultRowHeight="12.75"/>
  <cols>
    <col min="1" max="1" width="16" customWidth="1"/>
    <col min="2" max="2" width="16.42578125" customWidth="1"/>
    <col min="3" max="3" width="18" customWidth="1"/>
    <col min="4" max="4" width="25" customWidth="1"/>
    <col min="5" max="5" width="22.42578125" customWidth="1"/>
    <col min="6" max="6" width="31.42578125" customWidth="1"/>
  </cols>
  <sheetData>
    <row r="2" spans="1:6" ht="36" customHeight="1">
      <c r="A2" s="260" t="s">
        <v>119</v>
      </c>
      <c r="B2" s="260" t="s">
        <v>395</v>
      </c>
      <c r="C2" s="261" t="s">
        <v>396</v>
      </c>
      <c r="D2" s="261" t="s">
        <v>397</v>
      </c>
      <c r="E2" s="261" t="s">
        <v>398</v>
      </c>
      <c r="F2" s="261" t="s">
        <v>399</v>
      </c>
    </row>
    <row r="3" spans="1:6" ht="35.1" customHeight="1">
      <c r="A3" s="258"/>
      <c r="B3" s="259">
        <v>315372.08</v>
      </c>
      <c r="C3" s="259">
        <v>346583.32612903224</v>
      </c>
      <c r="D3" s="259">
        <v>406931.71612903231</v>
      </c>
      <c r="E3" s="259">
        <f>D3-C3</f>
        <v>60348.390000000072</v>
      </c>
      <c r="F3" s="259">
        <f>B3+E3</f>
        <v>375720.47000000009</v>
      </c>
    </row>
    <row r="4" spans="1:6" ht="35.1" customHeight="1">
      <c r="A4" s="258"/>
      <c r="B4" s="259">
        <v>40149.18</v>
      </c>
      <c r="C4" s="259">
        <v>41666.864516129033</v>
      </c>
      <c r="D4" s="259">
        <v>51805.393548387096</v>
      </c>
      <c r="E4" s="259">
        <f t="shared" ref="E4:E5" si="0">D4-C4</f>
        <v>10138.529032258062</v>
      </c>
      <c r="F4" s="259">
        <f t="shared" ref="F4:F5" si="1">B4+E4</f>
        <v>50287.709032258063</v>
      </c>
    </row>
    <row r="5" spans="1:6" ht="35.1" customHeight="1">
      <c r="A5" s="258"/>
      <c r="B5" s="259">
        <v>275222.90000000002</v>
      </c>
      <c r="C5" s="259">
        <v>304916.46161290322</v>
      </c>
      <c r="D5" s="259">
        <v>355126.32258064521</v>
      </c>
      <c r="E5" s="259">
        <f t="shared" si="0"/>
        <v>50209.860967741988</v>
      </c>
      <c r="F5" s="259">
        <f t="shared" si="1"/>
        <v>325432.76096774201</v>
      </c>
    </row>
    <row r="6" spans="1:6" ht="35.1" customHeight="1">
      <c r="A6" s="258"/>
      <c r="B6" s="259"/>
      <c r="C6" s="259"/>
      <c r="D6" s="259"/>
      <c r="E6" s="259"/>
      <c r="F6" s="259"/>
    </row>
    <row r="7" spans="1:6" ht="35.1" customHeight="1">
      <c r="A7" s="258" t="s">
        <v>400</v>
      </c>
      <c r="B7" s="263" t="s">
        <v>401</v>
      </c>
      <c r="C7" s="263" t="s">
        <v>402</v>
      </c>
      <c r="D7" s="263" t="s">
        <v>403</v>
      </c>
      <c r="E7" s="259"/>
      <c r="F7" s="259"/>
    </row>
    <row r="8" spans="1:6" ht="35.1" customHeight="1">
      <c r="A8" s="258"/>
      <c r="B8" s="262">
        <f>'[5]Promotion Arrear'!$H$17</f>
        <v>8607</v>
      </c>
      <c r="C8" s="258">
        <f>7.73</f>
        <v>7.73</v>
      </c>
      <c r="D8" s="259">
        <f>B8*C8</f>
        <v>66532.11</v>
      </c>
      <c r="E8" s="258"/>
      <c r="F8" s="258"/>
    </row>
    <row r="9" spans="1:6" ht="31.5" customHeight="1">
      <c r="A9" s="264" t="s">
        <v>404</v>
      </c>
      <c r="B9" s="258">
        <v>20000</v>
      </c>
      <c r="C9" s="258">
        <f>7.73</f>
        <v>7.73</v>
      </c>
      <c r="D9" s="259">
        <f>B9*C9</f>
        <v>154600</v>
      </c>
      <c r="E9" s="258"/>
      <c r="F9" s="258"/>
    </row>
    <row r="10" spans="1:6" ht="21" customHeight="1">
      <c r="B10" s="24" t="s">
        <v>405</v>
      </c>
      <c r="C10" s="24"/>
      <c r="D10" s="24">
        <f>SUM(D8:D9)</f>
        <v>221132.11</v>
      </c>
    </row>
    <row r="11" spans="1:6" ht="18">
      <c r="B11" s="24"/>
      <c r="C11" s="24"/>
      <c r="D11" s="2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106"/>
  <sheetViews>
    <sheetView view="pageBreakPreview" zoomScale="68" zoomScaleSheetLayoutView="68" workbookViewId="0">
      <pane xSplit="5" ySplit="6" topLeftCell="K12" activePane="bottomRight" state="frozen"/>
      <selection pane="bottomRight" activeCell="B19" sqref="B19:K19"/>
      <selection pane="bottomLeft"/>
      <selection pane="topRight"/>
    </sheetView>
  </sheetViews>
  <sheetFormatPr defaultColWidth="9.140625" defaultRowHeight="20.100000000000001" customHeight="1"/>
  <cols>
    <col min="1" max="1" width="6.140625" style="1" customWidth="1"/>
    <col min="2" max="2" width="39.140625" style="1" customWidth="1"/>
    <col min="3" max="3" width="24.7109375" style="1" customWidth="1"/>
    <col min="4" max="5" width="22.42578125" style="1" hidden="1" customWidth="1"/>
    <col min="6" max="6" width="24" style="1" hidden="1" customWidth="1"/>
    <col min="7" max="7" width="19" style="1" hidden="1" customWidth="1"/>
    <col min="8" max="8" width="22.140625" style="1" hidden="1" customWidth="1"/>
    <col min="9" max="9" width="19.5703125" style="1" hidden="1" customWidth="1"/>
    <col min="10" max="10" width="21.5703125" style="1" hidden="1" customWidth="1"/>
    <col min="11" max="11" width="26" style="1" customWidth="1"/>
    <col min="12" max="12" width="1.140625" style="1" customWidth="1"/>
    <col min="13" max="13" width="21.5703125" style="1" customWidth="1"/>
    <col min="14" max="14" width="9.140625" style="1" customWidth="1"/>
    <col min="15" max="16384" width="9.140625" style="1"/>
  </cols>
  <sheetData>
    <row r="1" spans="1:16" ht="29.25" customHeight="1">
      <c r="A1" s="23"/>
      <c r="B1" s="22"/>
      <c r="C1" s="22"/>
      <c r="D1" s="22" t="s">
        <v>406</v>
      </c>
      <c r="E1" s="22"/>
      <c r="F1" s="23"/>
      <c r="G1" s="23"/>
      <c r="H1" s="23"/>
      <c r="I1" s="23"/>
      <c r="J1" s="23"/>
      <c r="K1" s="23"/>
      <c r="L1" s="23"/>
      <c r="P1" s="1" t="s">
        <v>407</v>
      </c>
    </row>
    <row r="2" spans="1:16" ht="5.25" customHeight="1">
      <c r="A2" s="23"/>
      <c r="B2" s="23"/>
      <c r="C2" s="23"/>
      <c r="D2" s="23"/>
      <c r="E2" s="23"/>
      <c r="F2" s="24"/>
      <c r="G2" s="24"/>
      <c r="H2" s="24"/>
      <c r="I2" s="24"/>
      <c r="J2" s="24"/>
      <c r="K2" s="24"/>
      <c r="L2" s="24"/>
    </row>
    <row r="3" spans="1:16" ht="34.35" customHeight="1">
      <c r="A3" s="339"/>
      <c r="B3" s="339"/>
      <c r="C3" s="339"/>
      <c r="D3" s="339"/>
      <c r="E3" s="339"/>
      <c r="F3" s="339"/>
      <c r="G3" s="339"/>
      <c r="H3" s="339"/>
      <c r="I3" s="339"/>
      <c r="J3" s="339"/>
      <c r="K3" s="339"/>
      <c r="L3" s="24"/>
    </row>
    <row r="4" spans="1:16" ht="2.25" customHeight="1">
      <c r="A4" s="23"/>
      <c r="B4" s="103"/>
      <c r="C4" s="103"/>
      <c r="D4" s="103"/>
      <c r="E4" s="23"/>
      <c r="F4" s="23"/>
      <c r="G4" s="23"/>
      <c r="H4" s="23"/>
      <c r="I4" s="23"/>
      <c r="J4" s="23"/>
      <c r="K4" s="23"/>
      <c r="L4" s="23"/>
    </row>
    <row r="5" spans="1:16" ht="20.100000000000001" customHeight="1">
      <c r="A5" s="23"/>
      <c r="C5" s="26"/>
      <c r="D5" s="103"/>
      <c r="E5" s="103"/>
      <c r="F5" s="103"/>
      <c r="G5" s="340" t="s">
        <v>7</v>
      </c>
      <c r="H5" s="340"/>
      <c r="I5" s="340"/>
      <c r="J5" s="340"/>
      <c r="K5" s="26" t="s">
        <v>408</v>
      </c>
      <c r="L5" s="26"/>
    </row>
    <row r="6" spans="1:16" ht="35.450000000000003" customHeight="1">
      <c r="A6" s="33" t="s">
        <v>1</v>
      </c>
      <c r="B6" s="34" t="s">
        <v>2</v>
      </c>
      <c r="C6" s="27" t="s">
        <v>3</v>
      </c>
      <c r="D6" s="28" t="s">
        <v>6</v>
      </c>
      <c r="E6" s="28" t="s">
        <v>409</v>
      </c>
      <c r="F6" s="28" t="s">
        <v>6</v>
      </c>
      <c r="G6" s="28"/>
      <c r="H6" s="28"/>
      <c r="I6" s="28"/>
      <c r="J6" s="28"/>
      <c r="K6" s="188">
        <v>44743</v>
      </c>
      <c r="L6" s="211"/>
    </row>
    <row r="7" spans="1:16" ht="35.450000000000003" customHeight="1">
      <c r="A7" s="33"/>
      <c r="B7" s="34"/>
      <c r="C7" s="27"/>
      <c r="D7" s="28"/>
      <c r="E7" s="28"/>
      <c r="F7" s="28"/>
      <c r="G7" s="28" t="s">
        <v>9</v>
      </c>
      <c r="H7" s="28" t="s">
        <v>410</v>
      </c>
      <c r="I7" s="28" t="s">
        <v>411</v>
      </c>
      <c r="J7" s="28" t="s">
        <v>12</v>
      </c>
      <c r="K7" s="219" t="s">
        <v>148</v>
      </c>
      <c r="L7" s="211"/>
    </row>
    <row r="8" spans="1:16" ht="20.100000000000001" customHeight="1">
      <c r="A8" s="73">
        <v>1</v>
      </c>
      <c r="B8" s="57" t="s">
        <v>14</v>
      </c>
      <c r="C8" s="59" t="s">
        <v>15</v>
      </c>
      <c r="D8" s="134">
        <v>114649.42</v>
      </c>
      <c r="E8" s="134">
        <f>60000</f>
        <v>60000</v>
      </c>
      <c r="F8" s="120">
        <f t="shared" ref="F8:F18" si="0">D8+E8</f>
        <v>174649.41999999998</v>
      </c>
      <c r="G8" s="134">
        <f>30000</f>
        <v>30000</v>
      </c>
      <c r="H8" s="134"/>
      <c r="I8" s="178">
        <v>0</v>
      </c>
      <c r="J8" s="120">
        <f t="shared" ref="J8:J33" si="1">G8+H8+I8</f>
        <v>30000</v>
      </c>
      <c r="K8" s="120">
        <v>30000</v>
      </c>
      <c r="L8" s="212"/>
      <c r="M8" s="187"/>
    </row>
    <row r="9" spans="1:16" ht="20.100000000000001" customHeight="1">
      <c r="A9" s="73">
        <v>2</v>
      </c>
      <c r="B9" s="181" t="s">
        <v>16</v>
      </c>
      <c r="C9" s="181" t="s">
        <v>17</v>
      </c>
      <c r="D9" s="124">
        <v>90000</v>
      </c>
      <c r="E9" s="122">
        <v>30000</v>
      </c>
      <c r="F9" s="120">
        <f t="shared" si="0"/>
        <v>120000</v>
      </c>
      <c r="G9" s="120">
        <v>50000</v>
      </c>
      <c r="H9" s="120">
        <f>20000</f>
        <v>20000</v>
      </c>
      <c r="I9" s="120">
        <v>0</v>
      </c>
      <c r="J9" s="120">
        <f t="shared" si="1"/>
        <v>70000</v>
      </c>
      <c r="K9" s="120">
        <v>30000</v>
      </c>
      <c r="L9" s="212"/>
    </row>
    <row r="10" spans="1:16" ht="20.100000000000001" customHeight="1">
      <c r="A10" s="73">
        <v>3</v>
      </c>
      <c r="B10" s="181" t="s">
        <v>18</v>
      </c>
      <c r="C10" s="181" t="s">
        <v>19</v>
      </c>
      <c r="D10" s="124">
        <v>45000</v>
      </c>
      <c r="E10" s="122">
        <v>15000</v>
      </c>
      <c r="F10" s="120">
        <f t="shared" si="0"/>
        <v>60000</v>
      </c>
      <c r="G10" s="120">
        <f>10000</f>
        <v>10000</v>
      </c>
      <c r="H10" s="120">
        <f>10000+10000</f>
        <v>20000</v>
      </c>
      <c r="I10" s="120">
        <v>0</v>
      </c>
      <c r="J10" s="120">
        <f t="shared" si="1"/>
        <v>30000</v>
      </c>
      <c r="K10" s="120">
        <v>20000</v>
      </c>
      <c r="L10" s="212"/>
    </row>
    <row r="11" spans="1:16" ht="20.100000000000001" customHeight="1">
      <c r="A11" s="73">
        <v>4</v>
      </c>
      <c r="B11" s="181" t="s">
        <v>20</v>
      </c>
      <c r="C11" s="181" t="s">
        <v>21</v>
      </c>
      <c r="D11" s="124">
        <v>45000</v>
      </c>
      <c r="E11" s="122">
        <v>15000</v>
      </c>
      <c r="F11" s="120">
        <f t="shared" si="0"/>
        <v>60000</v>
      </c>
      <c r="G11" s="120">
        <f>10000</f>
        <v>10000</v>
      </c>
      <c r="H11" s="185">
        <f>20000</f>
        <v>20000</v>
      </c>
      <c r="I11" s="120">
        <v>0</v>
      </c>
      <c r="J11" s="120">
        <f t="shared" si="1"/>
        <v>30000</v>
      </c>
      <c r="K11" s="120">
        <v>20000</v>
      </c>
      <c r="L11" s="212"/>
    </row>
    <row r="12" spans="1:16" ht="20.100000000000001" customHeight="1">
      <c r="A12" s="73">
        <v>5</v>
      </c>
      <c r="B12" s="181" t="s">
        <v>412</v>
      </c>
      <c r="C12" s="181" t="s">
        <v>76</v>
      </c>
      <c r="D12" s="124">
        <f>96825</f>
        <v>96825</v>
      </c>
      <c r="E12" s="122">
        <v>30000</v>
      </c>
      <c r="F12" s="120">
        <f t="shared" si="0"/>
        <v>126825</v>
      </c>
      <c r="G12" s="120">
        <f>10000+5000</f>
        <v>15000</v>
      </c>
      <c r="H12" s="185">
        <f>32000</f>
        <v>32000</v>
      </c>
      <c r="I12" s="120">
        <v>0</v>
      </c>
      <c r="J12" s="120">
        <f t="shared" si="1"/>
        <v>47000</v>
      </c>
      <c r="K12" s="120">
        <v>30000</v>
      </c>
      <c r="L12" s="212"/>
    </row>
    <row r="13" spans="1:16" ht="20.100000000000001" customHeight="1">
      <c r="A13" s="73">
        <v>6</v>
      </c>
      <c r="B13" s="181" t="s">
        <v>22</v>
      </c>
      <c r="C13" s="181" t="s">
        <v>23</v>
      </c>
      <c r="D13" s="124">
        <v>45000</v>
      </c>
      <c r="E13" s="122">
        <v>15000</v>
      </c>
      <c r="F13" s="120">
        <f t="shared" si="0"/>
        <v>60000</v>
      </c>
      <c r="G13" s="120"/>
      <c r="H13" s="185"/>
      <c r="I13" s="120"/>
      <c r="J13" s="120">
        <f t="shared" si="1"/>
        <v>0</v>
      </c>
      <c r="K13" s="120">
        <v>20000</v>
      </c>
      <c r="L13" s="212"/>
    </row>
    <row r="14" spans="1:16" ht="20.100000000000001" customHeight="1">
      <c r="A14" s="73">
        <v>7</v>
      </c>
      <c r="B14" s="31" t="s">
        <v>346</v>
      </c>
      <c r="C14" s="181" t="s">
        <v>19</v>
      </c>
      <c r="D14" s="124">
        <f>90000</f>
        <v>90000</v>
      </c>
      <c r="E14" s="122">
        <v>30000</v>
      </c>
      <c r="F14" s="120">
        <f t="shared" si="0"/>
        <v>120000</v>
      </c>
      <c r="G14" s="120">
        <f>30000</f>
        <v>30000</v>
      </c>
      <c r="H14" s="185">
        <f>0</f>
        <v>0</v>
      </c>
      <c r="I14" s="120"/>
      <c r="J14" s="120">
        <f t="shared" si="1"/>
        <v>30000</v>
      </c>
      <c r="K14" s="120">
        <v>30000</v>
      </c>
      <c r="L14" s="212"/>
    </row>
    <row r="15" spans="1:16" ht="20.100000000000001" customHeight="1">
      <c r="A15" s="73">
        <v>8</v>
      </c>
      <c r="B15" s="181" t="s">
        <v>205</v>
      </c>
      <c r="C15" s="181" t="s">
        <v>19</v>
      </c>
      <c r="D15" s="124">
        <f>90000</f>
        <v>90000</v>
      </c>
      <c r="E15" s="122">
        <v>30000</v>
      </c>
      <c r="F15" s="120">
        <f t="shared" si="0"/>
        <v>120000</v>
      </c>
      <c r="G15" s="120">
        <f>50000</f>
        <v>50000</v>
      </c>
      <c r="H15" s="120">
        <f>10000</f>
        <v>10000</v>
      </c>
      <c r="I15" s="134"/>
      <c r="J15" s="120">
        <f t="shared" si="1"/>
        <v>60000</v>
      </c>
      <c r="K15" s="120">
        <v>30000</v>
      </c>
      <c r="L15" s="212"/>
    </row>
    <row r="16" spans="1:16" ht="20.100000000000001" customHeight="1">
      <c r="A16" s="73">
        <v>9</v>
      </c>
      <c r="B16" s="181" t="s">
        <v>24</v>
      </c>
      <c r="C16" s="181" t="s">
        <v>25</v>
      </c>
      <c r="D16" s="124">
        <f>50000</f>
        <v>50000</v>
      </c>
      <c r="E16" s="122">
        <v>15000</v>
      </c>
      <c r="F16" s="120">
        <f t="shared" si="0"/>
        <v>65000</v>
      </c>
      <c r="G16" s="120">
        <f>5000+5000</f>
        <v>10000</v>
      </c>
      <c r="H16" s="120">
        <f>14350</f>
        <v>14350</v>
      </c>
      <c r="I16" s="134"/>
      <c r="J16" s="120">
        <f t="shared" si="1"/>
        <v>24350</v>
      </c>
      <c r="K16" s="120">
        <v>20000</v>
      </c>
      <c r="L16" s="212"/>
    </row>
    <row r="17" spans="1:12" ht="20.100000000000001" customHeight="1">
      <c r="A17" s="73">
        <v>10</v>
      </c>
      <c r="B17" s="181" t="s">
        <v>26</v>
      </c>
      <c r="C17" s="181" t="s">
        <v>25</v>
      </c>
      <c r="D17" s="124">
        <f>50000</f>
        <v>50000</v>
      </c>
      <c r="E17" s="122">
        <v>15000</v>
      </c>
      <c r="F17" s="120">
        <f t="shared" si="0"/>
        <v>65000</v>
      </c>
      <c r="G17" s="120">
        <f>5000</f>
        <v>5000</v>
      </c>
      <c r="H17" s="120"/>
      <c r="I17" s="134"/>
      <c r="J17" s="120">
        <f t="shared" si="1"/>
        <v>5000</v>
      </c>
      <c r="K17" s="120">
        <v>20000</v>
      </c>
      <c r="L17" s="212"/>
    </row>
    <row r="18" spans="1:12" ht="20.100000000000001" customHeight="1">
      <c r="A18" s="73">
        <v>11</v>
      </c>
      <c r="B18" s="181" t="s">
        <v>27</v>
      </c>
      <c r="C18" s="181" t="s">
        <v>23</v>
      </c>
      <c r="D18" s="124">
        <f>60000</f>
        <v>60000</v>
      </c>
      <c r="E18" s="122">
        <v>20000</v>
      </c>
      <c r="F18" s="120">
        <f t="shared" si="0"/>
        <v>80000</v>
      </c>
      <c r="G18" s="120">
        <f>10000</f>
        <v>10000</v>
      </c>
      <c r="H18" s="120"/>
      <c r="I18" s="134"/>
      <c r="J18" s="120">
        <f t="shared" si="1"/>
        <v>10000</v>
      </c>
      <c r="K18" s="120">
        <v>20000</v>
      </c>
      <c r="L18" s="212"/>
    </row>
    <row r="19" spans="1:12" ht="20.100000000000001" customHeight="1">
      <c r="A19" s="73">
        <v>12</v>
      </c>
      <c r="B19" s="181" t="s">
        <v>366</v>
      </c>
      <c r="C19" s="181" t="s">
        <v>90</v>
      </c>
      <c r="D19" s="124"/>
      <c r="E19" s="122"/>
      <c r="F19" s="120"/>
      <c r="G19" s="120"/>
      <c r="H19" s="120"/>
      <c r="I19" s="134"/>
      <c r="J19" s="120"/>
      <c r="K19" s="120">
        <f>70000</f>
        <v>70000</v>
      </c>
      <c r="L19" s="212"/>
    </row>
    <row r="20" spans="1:12" ht="20.100000000000001" customHeight="1">
      <c r="A20" s="73">
        <v>13</v>
      </c>
      <c r="B20" s="31" t="s">
        <v>28</v>
      </c>
      <c r="C20" s="31" t="s">
        <v>29</v>
      </c>
      <c r="D20" s="124">
        <f>70000</f>
        <v>70000</v>
      </c>
      <c r="E20" s="122">
        <v>20000</v>
      </c>
      <c r="F20" s="120">
        <f>D20+E20</f>
        <v>90000</v>
      </c>
      <c r="G20" s="120">
        <f>0</f>
        <v>0</v>
      </c>
      <c r="H20" s="120"/>
      <c r="I20" s="134"/>
      <c r="J20" s="120">
        <f t="shared" si="1"/>
        <v>0</v>
      </c>
      <c r="K20" s="120">
        <v>20000</v>
      </c>
      <c r="L20" s="212"/>
    </row>
    <row r="21" spans="1:12" ht="20.100000000000001" customHeight="1">
      <c r="A21" s="73">
        <v>14</v>
      </c>
      <c r="B21" s="31" t="s">
        <v>30</v>
      </c>
      <c r="C21" s="31" t="s">
        <v>19</v>
      </c>
      <c r="D21" s="124">
        <f t="shared" ref="D21:D27" si="2">90000</f>
        <v>90000</v>
      </c>
      <c r="E21" s="122">
        <v>30000</v>
      </c>
      <c r="F21" s="120">
        <f>(D21+E21)</f>
        <v>120000</v>
      </c>
      <c r="G21" s="120"/>
      <c r="H21" s="120"/>
      <c r="I21" s="120"/>
      <c r="J21" s="120">
        <f t="shared" si="1"/>
        <v>0</v>
      </c>
      <c r="K21" s="120">
        <v>30000</v>
      </c>
      <c r="L21" s="212"/>
    </row>
    <row r="22" spans="1:12" ht="20.100000000000001" customHeight="1">
      <c r="A22" s="73">
        <v>15</v>
      </c>
      <c r="B22" s="218" t="s">
        <v>181</v>
      </c>
      <c r="C22" s="31" t="s">
        <v>19</v>
      </c>
      <c r="D22" s="122">
        <f t="shared" si="2"/>
        <v>90000</v>
      </c>
      <c r="E22" s="122">
        <v>30000</v>
      </c>
      <c r="F22" s="120">
        <f t="shared" ref="F22:F23" si="3">D22+E22</f>
        <v>120000</v>
      </c>
      <c r="G22" s="120"/>
      <c r="H22" s="120"/>
      <c r="I22" s="122"/>
      <c r="J22" s="120">
        <f t="shared" si="1"/>
        <v>0</v>
      </c>
      <c r="K22" s="120">
        <v>30000</v>
      </c>
      <c r="L22" s="212"/>
    </row>
    <row r="23" spans="1:12" ht="20.100000000000001" customHeight="1">
      <c r="A23" s="73">
        <v>16</v>
      </c>
      <c r="B23" s="31" t="s">
        <v>413</v>
      </c>
      <c r="C23" s="181" t="s">
        <v>19</v>
      </c>
      <c r="D23" s="122">
        <f t="shared" si="2"/>
        <v>90000</v>
      </c>
      <c r="E23" s="122">
        <v>30000</v>
      </c>
      <c r="F23" s="120">
        <f t="shared" si="3"/>
        <v>120000</v>
      </c>
      <c r="G23" s="120"/>
      <c r="H23" s="120"/>
      <c r="I23" s="122"/>
      <c r="J23" s="120">
        <f t="shared" si="1"/>
        <v>0</v>
      </c>
      <c r="K23" s="120">
        <v>30000</v>
      </c>
      <c r="L23" s="212"/>
    </row>
    <row r="24" spans="1:12" ht="20.100000000000001" customHeight="1">
      <c r="A24" s="73">
        <v>17</v>
      </c>
      <c r="B24" s="102" t="s">
        <v>414</v>
      </c>
      <c r="C24" s="31" t="s">
        <v>19</v>
      </c>
      <c r="D24" s="217">
        <f t="shared" si="2"/>
        <v>90000</v>
      </c>
      <c r="E24" s="122">
        <f>30000</f>
        <v>30000</v>
      </c>
      <c r="F24" s="120">
        <f t="shared" ref="F24:F26" si="4">(D24+E24)</f>
        <v>120000</v>
      </c>
      <c r="G24" s="120">
        <f>3000</f>
        <v>3000</v>
      </c>
      <c r="H24" s="134">
        <f>25000</f>
        <v>25000</v>
      </c>
      <c r="J24" s="120">
        <f>G24+H24</f>
        <v>28000</v>
      </c>
      <c r="K24" s="120">
        <v>30000</v>
      </c>
      <c r="L24" s="212"/>
    </row>
    <row r="25" spans="1:12" ht="20.100000000000001" customHeight="1">
      <c r="A25" s="73">
        <v>18</v>
      </c>
      <c r="B25" s="102" t="s">
        <v>348</v>
      </c>
      <c r="C25" s="31" t="s">
        <v>19</v>
      </c>
      <c r="D25" s="217">
        <f t="shared" si="2"/>
        <v>90000</v>
      </c>
      <c r="E25" s="122">
        <f>30000</f>
        <v>30000</v>
      </c>
      <c r="F25" s="120">
        <f t="shared" si="4"/>
        <v>120000</v>
      </c>
      <c r="G25" s="120"/>
      <c r="H25" s="120"/>
      <c r="I25" s="134"/>
      <c r="J25" s="120">
        <f t="shared" si="1"/>
        <v>0</v>
      </c>
      <c r="K25" s="120">
        <v>30000</v>
      </c>
      <c r="L25" s="212"/>
    </row>
    <row r="26" spans="1:12" ht="20.100000000000001" customHeight="1">
      <c r="A26" s="73">
        <v>19</v>
      </c>
      <c r="B26" s="102" t="s">
        <v>349</v>
      </c>
      <c r="C26" s="31" t="s">
        <v>19</v>
      </c>
      <c r="D26" s="217">
        <f t="shared" si="2"/>
        <v>90000</v>
      </c>
      <c r="E26" s="122">
        <f>30000</f>
        <v>30000</v>
      </c>
      <c r="F26" s="120">
        <f t="shared" si="4"/>
        <v>120000</v>
      </c>
      <c r="G26" s="120"/>
      <c r="H26" s="120"/>
      <c r="I26" s="134"/>
      <c r="J26" s="120">
        <f t="shared" si="1"/>
        <v>0</v>
      </c>
      <c r="K26" s="120">
        <v>30000</v>
      </c>
      <c r="L26" s="212"/>
    </row>
    <row r="27" spans="1:12" ht="20.100000000000001" customHeight="1">
      <c r="A27" s="73">
        <v>20</v>
      </c>
      <c r="B27" s="102" t="s">
        <v>415</v>
      </c>
      <c r="C27" s="31" t="s">
        <v>19</v>
      </c>
      <c r="D27" s="217">
        <f t="shared" si="2"/>
        <v>90000</v>
      </c>
      <c r="E27" s="122">
        <f>30000</f>
        <v>30000</v>
      </c>
      <c r="F27" s="120">
        <f>D27+E27</f>
        <v>120000</v>
      </c>
      <c r="G27" s="120"/>
      <c r="H27" s="120"/>
      <c r="I27" s="134"/>
      <c r="J27" s="120">
        <f t="shared" si="1"/>
        <v>0</v>
      </c>
      <c r="K27" s="120">
        <v>30000</v>
      </c>
      <c r="L27" s="212"/>
    </row>
    <row r="28" spans="1:12" ht="20.100000000000001" customHeight="1">
      <c r="A28" s="73">
        <v>21</v>
      </c>
      <c r="B28" s="102" t="s">
        <v>416</v>
      </c>
      <c r="C28" s="31" t="s">
        <v>39</v>
      </c>
      <c r="D28" s="217">
        <f>15000</f>
        <v>15000</v>
      </c>
      <c r="E28" s="122"/>
      <c r="F28" s="120">
        <f>D28+E28</f>
        <v>15000</v>
      </c>
      <c r="G28" s="120"/>
      <c r="H28" s="120"/>
      <c r="I28" s="134"/>
      <c r="J28" s="120">
        <f t="shared" si="1"/>
        <v>0</v>
      </c>
      <c r="K28" s="120">
        <v>10000</v>
      </c>
      <c r="L28" s="212"/>
    </row>
    <row r="29" spans="1:12" ht="20.100000000000001" customHeight="1">
      <c r="A29" s="73">
        <v>22</v>
      </c>
      <c r="B29" s="102" t="s">
        <v>417</v>
      </c>
      <c r="C29" s="31" t="s">
        <v>39</v>
      </c>
      <c r="D29" s="217">
        <f>15000</f>
        <v>15000</v>
      </c>
      <c r="E29" s="122"/>
      <c r="F29" s="120">
        <v>15000</v>
      </c>
      <c r="G29" s="120"/>
      <c r="H29" s="120"/>
      <c r="I29" s="134"/>
      <c r="J29" s="120">
        <f t="shared" si="1"/>
        <v>0</v>
      </c>
      <c r="K29" s="120">
        <v>10000</v>
      </c>
      <c r="L29" s="212"/>
    </row>
    <row r="30" spans="1:12" ht="20.100000000000001" customHeight="1">
      <c r="A30" s="73">
        <v>23</v>
      </c>
      <c r="B30" s="102" t="s">
        <v>367</v>
      </c>
      <c r="C30" s="31" t="s">
        <v>34</v>
      </c>
      <c r="D30" s="217">
        <f>373287.83</f>
        <v>373287.83</v>
      </c>
      <c r="E30" s="122">
        <f>160000</f>
        <v>160000</v>
      </c>
      <c r="F30" s="120">
        <f>D30+E30</f>
        <v>533287.83000000007</v>
      </c>
      <c r="G30" s="120"/>
      <c r="H30" s="120"/>
      <c r="I30" s="122">
        <f>15548.33</f>
        <v>15548.33</v>
      </c>
      <c r="J30" s="120">
        <f t="shared" si="1"/>
        <v>15548.33</v>
      </c>
      <c r="K30" s="120">
        <f>70000</f>
        <v>70000</v>
      </c>
      <c r="L30" s="212"/>
    </row>
    <row r="31" spans="1:12" ht="20.100000000000001" customHeight="1">
      <c r="A31" s="73">
        <v>24</v>
      </c>
      <c r="B31" s="102" t="s">
        <v>418</v>
      </c>
      <c r="C31" s="102" t="s">
        <v>39</v>
      </c>
      <c r="D31" s="217">
        <v>15000</v>
      </c>
      <c r="E31" s="122">
        <v>0</v>
      </c>
      <c r="F31" s="120">
        <v>15000</v>
      </c>
      <c r="G31" s="120"/>
      <c r="H31" s="120"/>
      <c r="I31" s="134"/>
      <c r="J31" s="120">
        <f t="shared" si="1"/>
        <v>0</v>
      </c>
      <c r="K31" s="120">
        <v>10000</v>
      </c>
      <c r="L31" s="212"/>
    </row>
    <row r="32" spans="1:12" ht="20.100000000000001" customHeight="1">
      <c r="A32" s="73">
        <v>25</v>
      </c>
      <c r="B32" s="102" t="s">
        <v>419</v>
      </c>
      <c r="C32" s="102" t="s">
        <v>39</v>
      </c>
      <c r="D32" s="217">
        <v>15000</v>
      </c>
      <c r="E32" s="122"/>
      <c r="F32" s="120">
        <v>15000</v>
      </c>
      <c r="G32" s="120"/>
      <c r="H32" s="120"/>
      <c r="I32" s="134"/>
      <c r="J32" s="120">
        <f t="shared" si="1"/>
        <v>0</v>
      </c>
      <c r="K32" s="120">
        <v>10000</v>
      </c>
      <c r="L32" s="212"/>
    </row>
    <row r="33" spans="1:13" ht="20.100000000000001" customHeight="1">
      <c r="A33" s="73">
        <v>26</v>
      </c>
      <c r="B33" s="102" t="s">
        <v>31</v>
      </c>
      <c r="C33" s="31" t="s">
        <v>32</v>
      </c>
      <c r="D33" s="217">
        <f>105352.17</f>
        <v>105352.17</v>
      </c>
      <c r="E33" s="216">
        <f>(60000+50000)</f>
        <v>110000</v>
      </c>
      <c r="F33" s="120">
        <f t="shared" ref="F33:F41" si="5">D33+E33</f>
        <v>215352.16999999998</v>
      </c>
      <c r="G33" s="120"/>
      <c r="H33" s="120"/>
      <c r="I33" s="134">
        <f>4771.84</f>
        <v>4771.84</v>
      </c>
      <c r="J33" s="120">
        <f t="shared" si="1"/>
        <v>4771.84</v>
      </c>
      <c r="K33" s="120">
        <v>30000</v>
      </c>
      <c r="L33" s="212"/>
    </row>
    <row r="34" spans="1:13" ht="20.100000000000001" customHeight="1">
      <c r="A34" s="73">
        <v>27</v>
      </c>
      <c r="B34" s="102" t="s">
        <v>350</v>
      </c>
      <c r="C34" s="31" t="s">
        <v>19</v>
      </c>
      <c r="D34" s="217">
        <f>90000</f>
        <v>90000</v>
      </c>
      <c r="E34" s="216">
        <f>30000</f>
        <v>30000</v>
      </c>
      <c r="F34" s="120">
        <f t="shared" si="5"/>
        <v>120000</v>
      </c>
      <c r="G34" s="120"/>
      <c r="H34" s="120"/>
      <c r="I34" s="134"/>
      <c r="J34" s="120"/>
      <c r="K34" s="120">
        <v>30000</v>
      </c>
      <c r="L34" s="212"/>
    </row>
    <row r="35" spans="1:13" ht="20.100000000000001" customHeight="1">
      <c r="A35" s="73">
        <v>28</v>
      </c>
      <c r="B35" s="102" t="s">
        <v>291</v>
      </c>
      <c r="C35" s="31" t="s">
        <v>39</v>
      </c>
      <c r="D35" s="217">
        <f>15000</f>
        <v>15000</v>
      </c>
      <c r="E35" s="220">
        <v>0</v>
      </c>
      <c r="F35" s="120">
        <f t="shared" si="5"/>
        <v>15000</v>
      </c>
      <c r="G35" s="120"/>
      <c r="H35" s="120"/>
      <c r="I35" s="134"/>
      <c r="J35" s="120"/>
      <c r="K35" s="120">
        <v>10000</v>
      </c>
      <c r="L35" s="212"/>
    </row>
    <row r="36" spans="1:13" ht="20.100000000000001" customHeight="1">
      <c r="A36" s="73">
        <v>29</v>
      </c>
      <c r="B36" s="102" t="s">
        <v>294</v>
      </c>
      <c r="C36" s="31" t="s">
        <v>39</v>
      </c>
      <c r="D36" s="217">
        <f>15000</f>
        <v>15000</v>
      </c>
      <c r="E36" s="220"/>
      <c r="F36" s="120">
        <f t="shared" si="5"/>
        <v>15000</v>
      </c>
      <c r="G36" s="120"/>
      <c r="H36" s="120"/>
      <c r="I36" s="134"/>
      <c r="J36" s="120"/>
      <c r="K36" s="120">
        <v>10000</v>
      </c>
      <c r="L36" s="212"/>
    </row>
    <row r="37" spans="1:13" ht="20.100000000000001" customHeight="1">
      <c r="A37" s="73">
        <v>30</v>
      </c>
      <c r="B37" s="102" t="s">
        <v>293</v>
      </c>
      <c r="C37" s="31" t="s">
        <v>39</v>
      </c>
      <c r="D37" s="217">
        <f>15000</f>
        <v>15000</v>
      </c>
      <c r="E37" s="220"/>
      <c r="F37" s="120">
        <f t="shared" si="5"/>
        <v>15000</v>
      </c>
      <c r="G37" s="120"/>
      <c r="H37" s="120"/>
      <c r="I37" s="134"/>
      <c r="J37" s="120"/>
      <c r="K37" s="120">
        <v>10000</v>
      </c>
      <c r="L37" s="212"/>
    </row>
    <row r="38" spans="1:13" ht="20.100000000000001" customHeight="1">
      <c r="A38" s="73">
        <v>31</v>
      </c>
      <c r="B38" s="102" t="s">
        <v>295</v>
      </c>
      <c r="C38" s="31" t="s">
        <v>39</v>
      </c>
      <c r="D38" s="217">
        <f>15000</f>
        <v>15000</v>
      </c>
      <c r="E38" s="220"/>
      <c r="F38" s="120">
        <f t="shared" si="5"/>
        <v>15000</v>
      </c>
      <c r="G38" s="120"/>
      <c r="H38" s="120"/>
      <c r="I38" s="134"/>
      <c r="J38" s="120"/>
      <c r="K38" s="120">
        <v>10000</v>
      </c>
      <c r="L38" s="212"/>
    </row>
    <row r="39" spans="1:13" ht="20.100000000000001" customHeight="1">
      <c r="A39" s="73">
        <v>32</v>
      </c>
      <c r="B39" s="102" t="s">
        <v>292</v>
      </c>
      <c r="C39" s="31" t="s">
        <v>39</v>
      </c>
      <c r="D39" s="217">
        <f>15000</f>
        <v>15000</v>
      </c>
      <c r="E39" s="220"/>
      <c r="F39" s="120">
        <f t="shared" si="5"/>
        <v>15000</v>
      </c>
      <c r="G39" s="120"/>
      <c r="H39" s="120"/>
      <c r="I39" s="134"/>
      <c r="J39" s="120"/>
      <c r="K39" s="120">
        <v>10000</v>
      </c>
      <c r="L39" s="212"/>
    </row>
    <row r="40" spans="1:13" ht="20.100000000000001" customHeight="1">
      <c r="A40" s="73">
        <v>33</v>
      </c>
      <c r="B40" s="102" t="s">
        <v>420</v>
      </c>
      <c r="C40" s="31" t="s">
        <v>39</v>
      </c>
      <c r="D40" s="217">
        <f>15000</f>
        <v>15000</v>
      </c>
      <c r="E40" s="216">
        <f>0</f>
        <v>0</v>
      </c>
      <c r="F40" s="120">
        <f t="shared" si="5"/>
        <v>15000</v>
      </c>
      <c r="G40" s="120"/>
      <c r="H40" s="120"/>
      <c r="I40" s="134"/>
      <c r="J40" s="120"/>
      <c r="K40" s="120">
        <v>10000</v>
      </c>
      <c r="L40" s="212"/>
    </row>
    <row r="41" spans="1:13" ht="20.100000000000001" customHeight="1">
      <c r="A41" s="73">
        <v>34</v>
      </c>
      <c r="B41" s="102" t="s">
        <v>421</v>
      </c>
      <c r="C41" s="31" t="s">
        <v>39</v>
      </c>
      <c r="D41" s="217">
        <f>15000</f>
        <v>15000</v>
      </c>
      <c r="E41" s="216">
        <f>0</f>
        <v>0</v>
      </c>
      <c r="F41" s="120">
        <f t="shared" si="5"/>
        <v>15000</v>
      </c>
      <c r="G41" s="120"/>
      <c r="H41" s="120"/>
      <c r="I41" s="134"/>
      <c r="J41" s="120"/>
      <c r="K41" s="120">
        <v>10000</v>
      </c>
      <c r="L41" s="212"/>
    </row>
    <row r="42" spans="1:13" ht="20.100000000000001" customHeight="1">
      <c r="A42" s="73">
        <v>35</v>
      </c>
      <c r="B42" s="102" t="s">
        <v>352</v>
      </c>
      <c r="C42" s="31" t="s">
        <v>39</v>
      </c>
      <c r="D42" s="217">
        <v>15000</v>
      </c>
      <c r="E42" s="216">
        <v>0</v>
      </c>
      <c r="F42" s="120">
        <v>15000</v>
      </c>
      <c r="G42" s="120"/>
      <c r="H42" s="120"/>
      <c r="I42" s="134"/>
      <c r="J42" s="120"/>
      <c r="K42" s="120">
        <v>10000</v>
      </c>
      <c r="L42" s="212"/>
    </row>
    <row r="43" spans="1:13" ht="20.100000000000001" customHeight="1">
      <c r="A43" s="73">
        <v>36</v>
      </c>
      <c r="B43" s="102" t="s">
        <v>422</v>
      </c>
      <c r="C43" s="31" t="s">
        <v>39</v>
      </c>
      <c r="D43" s="217">
        <v>15000</v>
      </c>
      <c r="E43" s="216">
        <v>0</v>
      </c>
      <c r="F43" s="120">
        <v>15000</v>
      </c>
      <c r="G43" s="120"/>
      <c r="H43" s="120"/>
      <c r="I43" s="134"/>
      <c r="J43" s="120"/>
      <c r="K43" s="120">
        <v>10000</v>
      </c>
      <c r="L43" s="212"/>
    </row>
    <row r="44" spans="1:13" ht="20.100000000000001" customHeight="1">
      <c r="A44" s="73">
        <v>37</v>
      </c>
      <c r="B44" s="102" t="s">
        <v>341</v>
      </c>
      <c r="C44" s="31" t="s">
        <v>39</v>
      </c>
      <c r="D44" s="217">
        <v>15000</v>
      </c>
      <c r="E44" s="216">
        <v>0</v>
      </c>
      <c r="F44" s="120">
        <v>15000</v>
      </c>
      <c r="G44" s="120"/>
      <c r="H44" s="120"/>
      <c r="I44" s="134"/>
      <c r="J44" s="120"/>
      <c r="K44" s="120">
        <v>10000</v>
      </c>
      <c r="L44" s="212"/>
    </row>
    <row r="45" spans="1:13" ht="20.100000000000001" customHeight="1">
      <c r="A45" s="73">
        <v>38</v>
      </c>
      <c r="B45" s="102" t="s">
        <v>423</v>
      </c>
      <c r="C45" s="31" t="s">
        <v>39</v>
      </c>
      <c r="D45" s="217">
        <v>15000</v>
      </c>
      <c r="E45" s="216">
        <v>0</v>
      </c>
      <c r="F45" s="120">
        <v>15000</v>
      </c>
      <c r="G45" s="120"/>
      <c r="H45" s="120"/>
      <c r="I45" s="134"/>
      <c r="J45" s="120"/>
      <c r="K45" s="120">
        <v>10000</v>
      </c>
      <c r="L45" s="212"/>
    </row>
    <row r="46" spans="1:13" ht="20.100000000000001" customHeight="1">
      <c r="A46" s="73">
        <v>39</v>
      </c>
      <c r="B46" s="102" t="s">
        <v>126</v>
      </c>
      <c r="C46" s="31" t="s">
        <v>19</v>
      </c>
      <c r="D46" s="217">
        <v>90000</v>
      </c>
      <c r="E46" s="216">
        <f>30000+76451.61+76451.61</f>
        <v>182903.22</v>
      </c>
      <c r="F46" s="120">
        <f>D46+E46</f>
        <v>272903.21999999997</v>
      </c>
      <c r="G46" s="120"/>
      <c r="H46" s="120"/>
      <c r="I46" s="134"/>
      <c r="J46" s="120"/>
      <c r="K46" s="120">
        <v>30000</v>
      </c>
      <c r="L46" s="212"/>
      <c r="M46" s="187"/>
    </row>
    <row r="47" spans="1:13" ht="20.100000000000001" customHeight="1">
      <c r="A47" s="73">
        <v>40</v>
      </c>
      <c r="B47" s="102" t="s">
        <v>338</v>
      </c>
      <c r="C47" s="31" t="s">
        <v>39</v>
      </c>
      <c r="D47" s="217">
        <f>15000</f>
        <v>15000</v>
      </c>
      <c r="E47" s="216">
        <v>0</v>
      </c>
      <c r="F47" s="120">
        <f>15000</f>
        <v>15000</v>
      </c>
      <c r="G47" s="120"/>
      <c r="H47" s="120"/>
      <c r="I47" s="134"/>
      <c r="J47" s="120"/>
      <c r="K47" s="120">
        <v>10000</v>
      </c>
      <c r="L47" s="212"/>
    </row>
    <row r="48" spans="1:13" ht="20.100000000000001" customHeight="1">
      <c r="A48" s="73">
        <v>41</v>
      </c>
      <c r="B48" s="102" t="s">
        <v>424</v>
      </c>
      <c r="C48" s="31" t="s">
        <v>39</v>
      </c>
      <c r="D48" s="217">
        <v>15000</v>
      </c>
      <c r="E48" s="216">
        <v>0</v>
      </c>
      <c r="F48" s="120">
        <v>15000</v>
      </c>
      <c r="G48" s="120"/>
      <c r="H48" s="120"/>
      <c r="I48" s="134"/>
      <c r="J48" s="120"/>
      <c r="K48" s="120">
        <v>10000</v>
      </c>
      <c r="L48" s="212"/>
    </row>
    <row r="49" spans="1:12" ht="20.100000000000001" customHeight="1">
      <c r="A49" s="73">
        <v>42</v>
      </c>
      <c r="B49" s="102" t="s">
        <v>331</v>
      </c>
      <c r="C49" s="31" t="s">
        <v>39</v>
      </c>
      <c r="D49" s="217">
        <v>15000</v>
      </c>
      <c r="E49" s="216"/>
      <c r="F49" s="120">
        <f t="shared" ref="F49:F55" si="6">D49+E49</f>
        <v>15000</v>
      </c>
      <c r="G49" s="120"/>
      <c r="H49" s="120"/>
      <c r="I49" s="134"/>
      <c r="J49" s="120"/>
      <c r="K49" s="120">
        <v>10000</v>
      </c>
      <c r="L49" s="212"/>
    </row>
    <row r="50" spans="1:12" ht="20.100000000000001" customHeight="1">
      <c r="A50" s="73">
        <v>43</v>
      </c>
      <c r="B50" s="102" t="s">
        <v>425</v>
      </c>
      <c r="C50" s="31" t="s">
        <v>39</v>
      </c>
      <c r="D50" s="217">
        <v>15000</v>
      </c>
      <c r="E50" s="216"/>
      <c r="F50" s="120">
        <f t="shared" si="6"/>
        <v>15000</v>
      </c>
      <c r="G50" s="120"/>
      <c r="H50" s="120"/>
      <c r="I50" s="134"/>
      <c r="J50" s="120"/>
      <c r="K50" s="120">
        <v>10000</v>
      </c>
      <c r="L50" s="212"/>
    </row>
    <row r="51" spans="1:12" ht="20.100000000000001" customHeight="1">
      <c r="A51" s="73">
        <v>44</v>
      </c>
      <c r="B51" s="102" t="s">
        <v>426</v>
      </c>
      <c r="C51" s="31" t="s">
        <v>39</v>
      </c>
      <c r="D51" s="217">
        <v>15000</v>
      </c>
      <c r="E51" s="216"/>
      <c r="F51" s="120">
        <f t="shared" si="6"/>
        <v>15000</v>
      </c>
      <c r="G51" s="120"/>
      <c r="H51" s="120"/>
      <c r="I51" s="134"/>
      <c r="J51" s="120"/>
      <c r="K51" s="120">
        <v>10000</v>
      </c>
      <c r="L51" s="212"/>
    </row>
    <row r="52" spans="1:12" ht="20.100000000000001" customHeight="1">
      <c r="A52" s="73">
        <v>45</v>
      </c>
      <c r="B52" s="102" t="s">
        <v>335</v>
      </c>
      <c r="C52" s="31" t="s">
        <v>39</v>
      </c>
      <c r="D52" s="217">
        <v>15000</v>
      </c>
      <c r="E52" s="216"/>
      <c r="F52" s="120">
        <f t="shared" si="6"/>
        <v>15000</v>
      </c>
      <c r="G52" s="120"/>
      <c r="H52" s="120"/>
      <c r="I52" s="134"/>
      <c r="J52" s="120"/>
      <c r="K52" s="120">
        <v>10000</v>
      </c>
      <c r="L52" s="212"/>
    </row>
    <row r="53" spans="1:12" ht="20.100000000000001" customHeight="1">
      <c r="A53" s="73">
        <v>46</v>
      </c>
      <c r="B53" s="1" t="s">
        <v>336</v>
      </c>
      <c r="C53" s="31" t="s">
        <v>39</v>
      </c>
      <c r="D53" s="217">
        <v>15000</v>
      </c>
      <c r="E53" s="216"/>
      <c r="F53" s="120">
        <f t="shared" si="6"/>
        <v>15000</v>
      </c>
      <c r="G53" s="120"/>
      <c r="H53" s="120"/>
      <c r="I53" s="134"/>
      <c r="J53" s="120"/>
      <c r="K53" s="120">
        <v>10000</v>
      </c>
      <c r="L53" s="212"/>
    </row>
    <row r="54" spans="1:12" ht="20.100000000000001" customHeight="1">
      <c r="A54" s="73">
        <v>47</v>
      </c>
      <c r="B54" s="1" t="s">
        <v>337</v>
      </c>
      <c r="C54" s="31" t="s">
        <v>39</v>
      </c>
      <c r="D54" s="217">
        <v>15000</v>
      </c>
      <c r="E54" s="216"/>
      <c r="F54" s="120">
        <f t="shared" si="6"/>
        <v>15000</v>
      </c>
      <c r="G54" s="120"/>
      <c r="H54" s="120"/>
      <c r="I54" s="134"/>
      <c r="J54" s="120"/>
      <c r="K54" s="120">
        <v>10000</v>
      </c>
      <c r="L54" s="212"/>
    </row>
    <row r="55" spans="1:12" ht="20.100000000000001" customHeight="1">
      <c r="A55" s="73">
        <v>48</v>
      </c>
      <c r="B55" s="102" t="s">
        <v>353</v>
      </c>
      <c r="C55" s="31" t="s">
        <v>34</v>
      </c>
      <c r="D55" s="217">
        <f>399385.82</f>
        <v>399385.82</v>
      </c>
      <c r="E55" s="216">
        <f>160000</f>
        <v>160000</v>
      </c>
      <c r="F55" s="120">
        <f t="shared" si="6"/>
        <v>559385.82000000007</v>
      </c>
      <c r="G55" s="120"/>
      <c r="H55" s="120"/>
      <c r="I55" s="134">
        <v>15548.33</v>
      </c>
      <c r="J55" s="120">
        <v>15548.33</v>
      </c>
      <c r="K55" s="120">
        <v>50000</v>
      </c>
      <c r="L55" s="212"/>
    </row>
    <row r="56" spans="1:12" ht="20.100000000000001" customHeight="1">
      <c r="A56" s="73">
        <v>49</v>
      </c>
      <c r="B56" s="222" t="s">
        <v>328</v>
      </c>
      <c r="C56" s="31" t="s">
        <v>39</v>
      </c>
      <c r="D56" s="217">
        <f>15000</f>
        <v>15000</v>
      </c>
      <c r="E56" s="216">
        <v>0</v>
      </c>
      <c r="F56" s="120">
        <v>15000</v>
      </c>
      <c r="G56" s="120"/>
      <c r="H56" s="120"/>
      <c r="I56" s="134"/>
      <c r="J56" s="134"/>
      <c r="K56" s="120">
        <v>10000</v>
      </c>
      <c r="L56" s="212"/>
    </row>
    <row r="57" spans="1:12" ht="20.100000000000001" customHeight="1">
      <c r="A57" s="73">
        <v>50</v>
      </c>
      <c r="B57" s="222" t="s">
        <v>326</v>
      </c>
      <c r="C57" s="31" t="s">
        <v>39</v>
      </c>
      <c r="D57" s="217">
        <v>15000</v>
      </c>
      <c r="E57" s="216"/>
      <c r="F57" s="120">
        <v>15000</v>
      </c>
      <c r="G57" s="120"/>
      <c r="H57" s="120"/>
      <c r="I57" s="134"/>
      <c r="J57" s="134"/>
      <c r="K57" s="120">
        <v>10000</v>
      </c>
      <c r="L57" s="212"/>
    </row>
    <row r="58" spans="1:12" ht="20.100000000000001" customHeight="1">
      <c r="A58" s="73">
        <v>51</v>
      </c>
      <c r="B58" s="222" t="s">
        <v>354</v>
      </c>
      <c r="C58" s="31" t="s">
        <v>39</v>
      </c>
      <c r="D58" s="102"/>
      <c r="E58" s="102"/>
      <c r="F58" s="102"/>
      <c r="G58" s="102"/>
      <c r="H58" s="102"/>
      <c r="I58" s="102"/>
      <c r="J58" s="102"/>
      <c r="K58" s="120">
        <v>10000</v>
      </c>
      <c r="L58" s="212"/>
    </row>
    <row r="59" spans="1:12" ht="20.100000000000001" customHeight="1">
      <c r="A59" s="73">
        <v>52</v>
      </c>
      <c r="B59" s="222" t="s">
        <v>316</v>
      </c>
      <c r="C59" s="31" t="s">
        <v>39</v>
      </c>
      <c r="D59" s="217">
        <v>15000</v>
      </c>
      <c r="E59" s="216"/>
      <c r="F59" s="120">
        <v>15000</v>
      </c>
      <c r="G59" s="120"/>
      <c r="H59" s="120"/>
      <c r="I59" s="134"/>
      <c r="J59" s="134"/>
      <c r="K59" s="120">
        <v>10000</v>
      </c>
      <c r="L59" s="212"/>
    </row>
    <row r="60" spans="1:12" ht="20.100000000000001" customHeight="1">
      <c r="A60" s="73">
        <v>53</v>
      </c>
      <c r="B60" s="222" t="s">
        <v>355</v>
      </c>
      <c r="C60" s="31" t="s">
        <v>39</v>
      </c>
      <c r="D60" s="217">
        <v>15000</v>
      </c>
      <c r="E60" s="216"/>
      <c r="F60" s="120">
        <v>15000</v>
      </c>
      <c r="G60" s="120"/>
      <c r="H60" s="120"/>
      <c r="I60" s="134"/>
      <c r="J60" s="134"/>
      <c r="K60" s="120">
        <v>10000</v>
      </c>
      <c r="L60" s="212"/>
    </row>
    <row r="61" spans="1:12" ht="20.100000000000001" customHeight="1">
      <c r="A61" s="73">
        <v>54</v>
      </c>
      <c r="B61" s="222" t="s">
        <v>140</v>
      </c>
      <c r="C61" s="31" t="s">
        <v>141</v>
      </c>
      <c r="D61" s="217"/>
      <c r="E61" s="216"/>
      <c r="F61" s="120"/>
      <c r="G61" s="120"/>
      <c r="H61" s="120"/>
      <c r="I61" s="134"/>
      <c r="J61" s="134"/>
      <c r="K61" s="120">
        <f>30000</f>
        <v>30000</v>
      </c>
      <c r="L61" s="212"/>
    </row>
    <row r="62" spans="1:12" ht="20.100000000000001" customHeight="1">
      <c r="A62" s="73">
        <v>55</v>
      </c>
      <c r="B62" s="222" t="s">
        <v>122</v>
      </c>
      <c r="C62" s="31" t="s">
        <v>141</v>
      </c>
      <c r="D62" s="217"/>
      <c r="E62" s="216"/>
      <c r="F62" s="120"/>
      <c r="G62" s="120"/>
      <c r="H62" s="120"/>
      <c r="I62" s="134"/>
      <c r="J62" s="134"/>
      <c r="K62" s="120">
        <f>30000</f>
        <v>30000</v>
      </c>
      <c r="L62" s="212"/>
    </row>
    <row r="63" spans="1:12" ht="20.100000000000001" customHeight="1">
      <c r="A63" s="73"/>
      <c r="B63" s="47" t="s">
        <v>84</v>
      </c>
      <c r="C63" s="31"/>
      <c r="D63" s="179">
        <f t="shared" ref="D63:J63" si="7">SUM(D8:D57)</f>
        <v>2909500.2399999998</v>
      </c>
      <c r="E63" s="180">
        <f t="shared" si="7"/>
        <v>1147903.22</v>
      </c>
      <c r="F63" s="125">
        <f t="shared" si="7"/>
        <v>4057403.46</v>
      </c>
      <c r="G63" s="125">
        <f t="shared" si="7"/>
        <v>223000</v>
      </c>
      <c r="H63" s="125">
        <f t="shared" si="7"/>
        <v>141350</v>
      </c>
      <c r="I63" s="178">
        <f t="shared" si="7"/>
        <v>35868.5</v>
      </c>
      <c r="J63" s="125">
        <f t="shared" si="7"/>
        <v>400218.50000000006</v>
      </c>
      <c r="K63" s="127">
        <f>SUM(K8:K62)</f>
        <v>1120000</v>
      </c>
      <c r="L63" s="212"/>
    </row>
    <row r="64" spans="1:12" ht="20.100000000000001" customHeight="1">
      <c r="A64" s="73"/>
      <c r="B64" s="169"/>
      <c r="C64" s="341"/>
      <c r="D64" s="341" t="s">
        <v>427</v>
      </c>
      <c r="E64" s="342"/>
      <c r="F64" s="342"/>
      <c r="G64" s="208">
        <f>H63+G63</f>
        <v>364350</v>
      </c>
      <c r="H64" s="208"/>
      <c r="I64" s="127"/>
      <c r="J64" s="127"/>
      <c r="L64" s="214"/>
    </row>
    <row r="65" spans="1:12" ht="20.100000000000001" customHeight="1">
      <c r="A65" s="73"/>
      <c r="B65" s="169"/>
      <c r="C65" s="341"/>
      <c r="D65" s="341"/>
      <c r="E65" s="342"/>
      <c r="F65" s="342"/>
      <c r="G65" s="208"/>
      <c r="H65" s="215"/>
      <c r="I65" s="127"/>
      <c r="J65" s="127"/>
      <c r="K65" s="127"/>
      <c r="L65" s="214"/>
    </row>
    <row r="66" spans="1:12" ht="20.100000000000001" customHeight="1">
      <c r="A66" s="70"/>
      <c r="G66" s="116"/>
      <c r="H66" s="8"/>
    </row>
    <row r="67" spans="1:12" ht="20.100000000000001" customHeight="1">
      <c r="A67" s="70"/>
      <c r="K67" s="116"/>
      <c r="L67" s="116"/>
    </row>
    <row r="68" spans="1:12" ht="20.100000000000001" customHeight="1">
      <c r="A68" s="70"/>
      <c r="G68" s="168"/>
    </row>
    <row r="69" spans="1:12" ht="20.100000000000001" customHeight="1">
      <c r="A69" s="70"/>
      <c r="C69" s="168"/>
      <c r="D69" s="168"/>
      <c r="E69" s="168"/>
      <c r="F69" s="187"/>
      <c r="G69" s="168"/>
    </row>
    <row r="70" spans="1:12" ht="20.100000000000001" customHeight="1">
      <c r="A70" s="70"/>
      <c r="C70" s="168"/>
      <c r="D70" s="168"/>
      <c r="E70" s="168"/>
      <c r="F70" s="187"/>
    </row>
    <row r="71" spans="1:12" ht="20.100000000000001" customHeight="1">
      <c r="A71" s="70"/>
      <c r="C71" s="168"/>
      <c r="D71" s="168"/>
      <c r="E71" s="168"/>
      <c r="F71" s="187"/>
    </row>
    <row r="72" spans="1:12" ht="20.100000000000001" customHeight="1">
      <c r="A72" s="70"/>
      <c r="C72" s="168"/>
      <c r="D72" s="168"/>
      <c r="E72" s="168"/>
    </row>
    <row r="73" spans="1:12" ht="20.100000000000001" customHeight="1">
      <c r="A73" s="70"/>
    </row>
    <row r="74" spans="1:12" ht="20.100000000000001" customHeight="1">
      <c r="A74" s="70"/>
    </row>
    <row r="75" spans="1:12" ht="20.100000000000001" customHeight="1">
      <c r="A75" s="70"/>
    </row>
    <row r="76" spans="1:12" ht="20.100000000000001" customHeight="1">
      <c r="A76" s="70"/>
    </row>
    <row r="77" spans="1:12" ht="20.100000000000001" customHeight="1">
      <c r="A77" s="70"/>
    </row>
    <row r="78" spans="1:12" ht="20.100000000000001" customHeight="1">
      <c r="A78" s="70"/>
    </row>
    <row r="79" spans="1:12" ht="20.100000000000001" customHeight="1">
      <c r="A79" s="70"/>
    </row>
    <row r="80" spans="1:12" ht="20.100000000000001" customHeight="1">
      <c r="A80" s="70"/>
    </row>
    <row r="81" spans="1:1" ht="20.100000000000001" customHeight="1">
      <c r="A81" s="70"/>
    </row>
    <row r="82" spans="1:1" ht="20.100000000000001" customHeight="1">
      <c r="A82" s="70"/>
    </row>
    <row r="83" spans="1:1" ht="20.100000000000001" customHeight="1">
      <c r="A83" s="70"/>
    </row>
    <row r="84" spans="1:1" ht="20.100000000000001" customHeight="1">
      <c r="A84" s="70"/>
    </row>
    <row r="85" spans="1:1" ht="20.100000000000001" customHeight="1">
      <c r="A85" s="70"/>
    </row>
    <row r="86" spans="1:1" ht="20.100000000000001" customHeight="1">
      <c r="A86" s="70"/>
    </row>
    <row r="87" spans="1:1" ht="20.100000000000001" customHeight="1">
      <c r="A87" s="70"/>
    </row>
    <row r="88" spans="1:1" ht="20.100000000000001" customHeight="1">
      <c r="A88" s="70"/>
    </row>
    <row r="89" spans="1:1" ht="20.100000000000001" customHeight="1">
      <c r="A89" s="70"/>
    </row>
    <row r="90" spans="1:1" ht="20.100000000000001" customHeight="1">
      <c r="A90" s="70"/>
    </row>
    <row r="91" spans="1:1" ht="20.100000000000001" customHeight="1">
      <c r="A91" s="70"/>
    </row>
    <row r="92" spans="1:1" ht="20.100000000000001" customHeight="1">
      <c r="A92" s="70"/>
    </row>
    <row r="93" spans="1:1" ht="20.100000000000001" customHeight="1">
      <c r="A93" s="70"/>
    </row>
    <row r="94" spans="1:1" ht="20.100000000000001" customHeight="1">
      <c r="A94" s="70"/>
    </row>
    <row r="95" spans="1:1" ht="20.100000000000001" customHeight="1">
      <c r="A95" s="70"/>
    </row>
    <row r="96" spans="1:1" ht="20.100000000000001" customHeight="1">
      <c r="A96" s="70"/>
    </row>
    <row r="97" spans="1:1" ht="20.100000000000001" customHeight="1">
      <c r="A97" s="70"/>
    </row>
    <row r="98" spans="1:1" ht="20.100000000000001" customHeight="1">
      <c r="A98" s="70"/>
    </row>
    <row r="99" spans="1:1" ht="20.100000000000001" customHeight="1">
      <c r="A99" s="70"/>
    </row>
    <row r="100" spans="1:1" ht="20.100000000000001" customHeight="1">
      <c r="A100" s="70"/>
    </row>
    <row r="101" spans="1:1" ht="20.100000000000001" customHeight="1">
      <c r="A101" s="70"/>
    </row>
    <row r="102" spans="1:1" ht="20.100000000000001" customHeight="1">
      <c r="A102" s="70"/>
    </row>
    <row r="103" spans="1:1" ht="20.100000000000001" customHeight="1">
      <c r="A103" s="70"/>
    </row>
    <row r="104" spans="1:1" ht="20.100000000000001" customHeight="1">
      <c r="A104" s="70"/>
    </row>
    <row r="105" spans="1:1" ht="20.100000000000001" customHeight="1">
      <c r="A105" s="70"/>
    </row>
    <row r="106" spans="1:1" ht="20.100000000000001" customHeight="1">
      <c r="A106" s="23"/>
    </row>
  </sheetData>
  <mergeCells count="5">
    <mergeCell ref="A3:K3"/>
    <mergeCell ref="G5:J5"/>
    <mergeCell ref="C64:C65"/>
    <mergeCell ref="D64:D65"/>
    <mergeCell ref="E64:F65"/>
  </mergeCells>
  <pageMargins left="0.51181102362204722" right="0" top="0" bottom="7.874015748031496E-2" header="0.11811023622047245" footer="0"/>
  <pageSetup paperSize="9" scale="9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54"/>
  <sheetViews>
    <sheetView zoomScaleNormal="100" zoomScaleSheetLayoutView="68" workbookViewId="0">
      <pane xSplit="5" ySplit="6" topLeftCell="K7" activePane="bottomRight" state="frozen"/>
      <selection pane="bottomRight"/>
      <selection pane="bottomLeft"/>
      <selection pane="topRight"/>
    </sheetView>
  </sheetViews>
  <sheetFormatPr defaultColWidth="9.140625" defaultRowHeight="20.100000000000001" customHeight="1"/>
  <cols>
    <col min="1" max="1" width="6.140625" style="1" customWidth="1"/>
    <col min="2" max="2" width="39.140625" style="1" customWidth="1"/>
    <col min="3" max="3" width="24.7109375" style="1" customWidth="1"/>
    <col min="4" max="5" width="22.42578125" style="1" hidden="1" customWidth="1"/>
    <col min="6" max="6" width="24" style="1" hidden="1" customWidth="1"/>
    <col min="7" max="7" width="19" style="1" hidden="1" customWidth="1"/>
    <col min="8" max="8" width="22.140625" style="1" hidden="1" customWidth="1"/>
    <col min="9" max="9" width="19.5703125" style="1" hidden="1" customWidth="1"/>
    <col min="10" max="10" width="21.5703125" style="1" hidden="1" customWidth="1"/>
    <col min="11" max="11" width="26" style="1" customWidth="1"/>
    <col min="12" max="12" width="1.140625" style="1" customWidth="1"/>
    <col min="13" max="13" width="21.5703125" style="1" customWidth="1"/>
    <col min="14" max="14" width="9.140625" style="1" customWidth="1"/>
    <col min="15" max="16384" width="9.140625" style="1"/>
  </cols>
  <sheetData>
    <row r="1" spans="1:16" ht="29.25" customHeight="1">
      <c r="A1" s="23"/>
      <c r="B1" s="22"/>
      <c r="C1" s="22"/>
      <c r="D1" s="22"/>
      <c r="E1" s="22"/>
      <c r="F1" s="23"/>
      <c r="G1" s="23"/>
      <c r="H1" s="23"/>
      <c r="I1" s="23"/>
      <c r="J1" s="23"/>
      <c r="K1" s="23"/>
      <c r="L1" s="23"/>
      <c r="P1" s="1" t="s">
        <v>407</v>
      </c>
    </row>
    <row r="2" spans="1:16" ht="5.25" customHeight="1">
      <c r="A2" s="23"/>
      <c r="B2" s="23"/>
      <c r="C2" s="23"/>
      <c r="D2" s="23"/>
      <c r="E2" s="23"/>
      <c r="F2" s="24"/>
      <c r="G2" s="24"/>
      <c r="H2" s="24"/>
      <c r="I2" s="24"/>
      <c r="J2" s="24"/>
      <c r="K2" s="24"/>
      <c r="L2" s="24"/>
    </row>
    <row r="3" spans="1:16" ht="34.35" customHeight="1">
      <c r="A3" s="339" t="s">
        <v>428</v>
      </c>
      <c r="B3" s="339"/>
      <c r="C3" s="339"/>
      <c r="D3" s="339"/>
      <c r="E3" s="339"/>
      <c r="F3" s="339"/>
      <c r="G3" s="339"/>
      <c r="H3" s="339"/>
      <c r="I3" s="339"/>
      <c r="J3" s="339"/>
      <c r="K3" s="339"/>
      <c r="L3" s="24"/>
    </row>
    <row r="4" spans="1:16" ht="2.25" customHeight="1">
      <c r="A4" s="23"/>
      <c r="B4" s="103"/>
      <c r="C4" s="103"/>
      <c r="D4" s="103"/>
      <c r="E4" s="23"/>
      <c r="F4" s="23"/>
      <c r="G4" s="23"/>
      <c r="H4" s="23"/>
      <c r="I4" s="23"/>
      <c r="J4" s="23"/>
      <c r="K4" s="23"/>
      <c r="L4" s="23"/>
    </row>
    <row r="5" spans="1:16" ht="20.100000000000001" customHeight="1">
      <c r="A5" s="23"/>
      <c r="C5" s="26"/>
      <c r="D5" s="103"/>
      <c r="E5" s="103"/>
      <c r="F5" s="103"/>
      <c r="G5" s="340" t="s">
        <v>7</v>
      </c>
      <c r="H5" s="340"/>
      <c r="I5" s="340"/>
      <c r="J5" s="340"/>
      <c r="K5" s="26" t="s">
        <v>408</v>
      </c>
      <c r="L5" s="26"/>
    </row>
    <row r="6" spans="1:16" ht="35.450000000000003" customHeight="1">
      <c r="A6" s="33" t="s">
        <v>1</v>
      </c>
      <c r="B6" s="34" t="s">
        <v>2</v>
      </c>
      <c r="C6" s="27" t="s">
        <v>3</v>
      </c>
      <c r="D6" s="28" t="s">
        <v>6</v>
      </c>
      <c r="E6" s="28" t="s">
        <v>409</v>
      </c>
      <c r="F6" s="28" t="s">
        <v>6</v>
      </c>
      <c r="G6" s="28"/>
      <c r="H6" s="28"/>
      <c r="I6" s="28"/>
      <c r="J6" s="28"/>
      <c r="K6" s="221" t="s">
        <v>148</v>
      </c>
      <c r="L6" s="211"/>
    </row>
    <row r="7" spans="1:16" ht="20.100000000000001" customHeight="1">
      <c r="A7" s="73">
        <v>1</v>
      </c>
      <c r="B7" s="57" t="s">
        <v>14</v>
      </c>
      <c r="C7" s="59" t="s">
        <v>15</v>
      </c>
      <c r="D7" s="134">
        <v>114649.42</v>
      </c>
      <c r="E7" s="134">
        <f>60000</f>
        <v>60000</v>
      </c>
      <c r="F7" s="120">
        <f t="shared" ref="F7" si="0">D7+E7</f>
        <v>174649.41999999998</v>
      </c>
      <c r="G7" s="134">
        <f>30000</f>
        <v>30000</v>
      </c>
      <c r="H7" s="134"/>
      <c r="I7" s="178">
        <v>0</v>
      </c>
      <c r="J7" s="120">
        <f t="shared" ref="J7:J9" si="1">G7+H7+I7</f>
        <v>30000</v>
      </c>
      <c r="K7" s="120">
        <f>300000</f>
        <v>300000</v>
      </c>
      <c r="L7" s="212"/>
      <c r="M7" s="187"/>
    </row>
    <row r="8" spans="1:16" ht="20.100000000000001" customHeight="1">
      <c r="A8" s="73">
        <v>2</v>
      </c>
      <c r="B8" s="31" t="s">
        <v>367</v>
      </c>
      <c r="C8" s="31" t="s">
        <v>34</v>
      </c>
      <c r="D8" s="217">
        <f>373287.83</f>
        <v>373287.83</v>
      </c>
      <c r="E8" s="122">
        <f>160000</f>
        <v>160000</v>
      </c>
      <c r="F8" s="120">
        <f>D8+E8</f>
        <v>533287.83000000007</v>
      </c>
      <c r="G8" s="120"/>
      <c r="H8" s="120"/>
      <c r="I8" s="122">
        <f>15548.33</f>
        <v>15548.33</v>
      </c>
      <c r="J8" s="120">
        <f t="shared" si="1"/>
        <v>15548.33</v>
      </c>
      <c r="K8" s="120">
        <f>250000</f>
        <v>250000</v>
      </c>
      <c r="L8" s="212"/>
    </row>
    <row r="9" spans="1:16" ht="20.100000000000001" customHeight="1">
      <c r="A9" s="73">
        <v>3</v>
      </c>
      <c r="B9" s="31" t="s">
        <v>31</v>
      </c>
      <c r="C9" s="31" t="s">
        <v>32</v>
      </c>
      <c r="D9" s="217">
        <f>105352.17</f>
        <v>105352.17</v>
      </c>
      <c r="E9" s="216">
        <f>(60000+50000)</f>
        <v>110000</v>
      </c>
      <c r="F9" s="120">
        <f t="shared" ref="F9" si="2">D9+E9</f>
        <v>215352.16999999998</v>
      </c>
      <c r="G9" s="120"/>
      <c r="H9" s="120"/>
      <c r="I9" s="134">
        <f>4771.84</f>
        <v>4771.84</v>
      </c>
      <c r="J9" s="120">
        <f t="shared" si="1"/>
        <v>4771.84</v>
      </c>
      <c r="K9" s="120">
        <f>300000</f>
        <v>300000</v>
      </c>
      <c r="L9" s="212"/>
    </row>
    <row r="10" spans="1:16" ht="20.100000000000001" customHeight="1">
      <c r="A10" s="73">
        <v>4</v>
      </c>
      <c r="B10" s="31" t="s">
        <v>330</v>
      </c>
      <c r="C10" s="31" t="s">
        <v>76</v>
      </c>
      <c r="D10" s="217"/>
      <c r="E10" s="216"/>
      <c r="F10" s="120"/>
      <c r="G10" s="120"/>
      <c r="H10" s="120"/>
      <c r="I10" s="134"/>
      <c r="J10" s="120"/>
      <c r="K10" s="120">
        <f>300000</f>
        <v>300000</v>
      </c>
      <c r="L10" s="212"/>
    </row>
    <row r="11" spans="1:16" ht="20.100000000000001" customHeight="1">
      <c r="A11" s="73"/>
      <c r="B11" s="102"/>
      <c r="C11" s="31"/>
      <c r="D11" s="179">
        <f t="shared" ref="D11:J11" si="3">SUM(D7:D9)</f>
        <v>593289.42000000004</v>
      </c>
      <c r="E11" s="180">
        <f t="shared" si="3"/>
        <v>330000</v>
      </c>
      <c r="F11" s="125">
        <f t="shared" si="3"/>
        <v>923289.41999999993</v>
      </c>
      <c r="G11" s="125">
        <f t="shared" si="3"/>
        <v>30000</v>
      </c>
      <c r="H11" s="125">
        <f t="shared" si="3"/>
        <v>0</v>
      </c>
      <c r="I11" s="178">
        <f t="shared" si="3"/>
        <v>20320.169999999998</v>
      </c>
      <c r="J11" s="125">
        <f t="shared" si="3"/>
        <v>50320.17</v>
      </c>
      <c r="K11" s="125">
        <f>SUM(K7:K10)</f>
        <v>1150000</v>
      </c>
      <c r="L11" s="212"/>
    </row>
    <row r="12" spans="1:16" ht="20.100000000000001" customHeight="1">
      <c r="A12" s="73"/>
      <c r="B12" s="169"/>
      <c r="C12" s="341" t="s">
        <v>429</v>
      </c>
      <c r="D12" s="341" t="s">
        <v>427</v>
      </c>
      <c r="E12" s="342"/>
      <c r="F12" s="342"/>
      <c r="G12" s="208">
        <f>H11+G11</f>
        <v>30000</v>
      </c>
      <c r="H12" s="208"/>
      <c r="I12" s="127"/>
      <c r="J12" s="127"/>
      <c r="K12" s="127"/>
      <c r="L12" s="214"/>
    </row>
    <row r="13" spans="1:16" ht="20.100000000000001" customHeight="1">
      <c r="A13" s="73"/>
      <c r="B13" s="169"/>
      <c r="C13" s="341"/>
      <c r="D13" s="341"/>
      <c r="E13" s="342"/>
      <c r="F13" s="342"/>
      <c r="G13" s="208">
        <f>436350-G12</f>
        <v>406350</v>
      </c>
      <c r="H13" s="215"/>
      <c r="I13" s="127"/>
      <c r="J13" s="127"/>
      <c r="K13" s="127"/>
      <c r="L13" s="214"/>
    </row>
    <row r="14" spans="1:16" ht="20.100000000000001" customHeight="1">
      <c r="A14" s="70"/>
      <c r="G14" s="116"/>
      <c r="H14" s="8"/>
    </row>
    <row r="15" spans="1:16" ht="20.100000000000001" customHeight="1">
      <c r="A15" s="70"/>
      <c r="K15" s="116"/>
      <c r="L15" s="116"/>
    </row>
    <row r="16" spans="1:16" ht="20.100000000000001" customHeight="1">
      <c r="A16" s="70"/>
      <c r="G16" s="168"/>
    </row>
    <row r="17" spans="1:7" ht="20.100000000000001" customHeight="1">
      <c r="A17" s="70"/>
      <c r="C17" s="168"/>
      <c r="D17" s="168"/>
      <c r="E17" s="168"/>
      <c r="F17" s="187"/>
      <c r="G17" s="168"/>
    </row>
    <row r="18" spans="1:7" ht="20.100000000000001" customHeight="1">
      <c r="A18" s="70"/>
      <c r="C18" s="168"/>
      <c r="D18" s="168"/>
      <c r="E18" s="168"/>
      <c r="F18" s="187"/>
    </row>
    <row r="19" spans="1:7" ht="20.100000000000001" customHeight="1">
      <c r="A19" s="70"/>
      <c r="C19" s="168"/>
      <c r="D19" s="168"/>
      <c r="E19" s="168"/>
      <c r="F19" s="187"/>
    </row>
    <row r="20" spans="1:7" ht="20.100000000000001" customHeight="1">
      <c r="A20" s="70"/>
      <c r="C20" s="168"/>
      <c r="D20" s="168"/>
      <c r="E20" s="168"/>
    </row>
    <row r="21" spans="1:7" ht="20.100000000000001" customHeight="1">
      <c r="A21" s="70"/>
    </row>
    <row r="22" spans="1:7" ht="20.100000000000001" customHeight="1">
      <c r="A22" s="70"/>
    </row>
    <row r="23" spans="1:7" ht="20.100000000000001" customHeight="1">
      <c r="A23" s="70"/>
    </row>
    <row r="24" spans="1:7" ht="20.100000000000001" customHeight="1">
      <c r="A24" s="70"/>
    </row>
    <row r="25" spans="1:7" ht="20.100000000000001" customHeight="1">
      <c r="A25" s="70"/>
    </row>
    <row r="26" spans="1:7" ht="20.100000000000001" customHeight="1">
      <c r="A26" s="70"/>
    </row>
    <row r="27" spans="1:7" ht="20.100000000000001" customHeight="1">
      <c r="A27" s="70"/>
    </row>
    <row r="28" spans="1:7" ht="20.100000000000001" customHeight="1">
      <c r="A28" s="70"/>
    </row>
    <row r="29" spans="1:7" ht="20.100000000000001" customHeight="1">
      <c r="A29" s="70"/>
    </row>
    <row r="30" spans="1:7" ht="20.100000000000001" customHeight="1">
      <c r="A30" s="70"/>
    </row>
    <row r="31" spans="1:7" ht="20.100000000000001" customHeight="1">
      <c r="A31" s="70"/>
    </row>
    <row r="32" spans="1:7" ht="20.100000000000001" customHeight="1">
      <c r="A32" s="70"/>
    </row>
    <row r="33" spans="1:1" ht="20.100000000000001" customHeight="1">
      <c r="A33" s="70"/>
    </row>
    <row r="34" spans="1:1" ht="20.100000000000001" customHeight="1">
      <c r="A34" s="70"/>
    </row>
    <row r="35" spans="1:1" ht="20.100000000000001" customHeight="1">
      <c r="A35" s="70"/>
    </row>
    <row r="36" spans="1:1" ht="20.100000000000001" customHeight="1">
      <c r="A36" s="70"/>
    </row>
    <row r="37" spans="1:1" ht="20.100000000000001" customHeight="1">
      <c r="A37" s="70"/>
    </row>
    <row r="38" spans="1:1" ht="20.100000000000001" customHeight="1">
      <c r="A38" s="70"/>
    </row>
    <row r="39" spans="1:1" ht="20.100000000000001" customHeight="1">
      <c r="A39" s="70"/>
    </row>
    <row r="40" spans="1:1" ht="20.100000000000001" customHeight="1">
      <c r="A40" s="70"/>
    </row>
    <row r="41" spans="1:1" ht="20.100000000000001" customHeight="1">
      <c r="A41" s="70"/>
    </row>
    <row r="42" spans="1:1" ht="20.100000000000001" customHeight="1">
      <c r="A42" s="70"/>
    </row>
    <row r="43" spans="1:1" ht="20.100000000000001" customHeight="1">
      <c r="A43" s="70"/>
    </row>
    <row r="44" spans="1:1" ht="20.100000000000001" customHeight="1">
      <c r="A44" s="70"/>
    </row>
    <row r="45" spans="1:1" ht="20.100000000000001" customHeight="1">
      <c r="A45" s="70"/>
    </row>
    <row r="46" spans="1:1" ht="20.100000000000001" customHeight="1">
      <c r="A46" s="70"/>
    </row>
    <row r="47" spans="1:1" ht="20.100000000000001" customHeight="1">
      <c r="A47" s="70"/>
    </row>
    <row r="48" spans="1:1" ht="20.100000000000001" customHeight="1">
      <c r="A48" s="70"/>
    </row>
    <row r="49" spans="1:1" ht="20.100000000000001" customHeight="1">
      <c r="A49" s="70"/>
    </row>
    <row r="50" spans="1:1" ht="20.100000000000001" customHeight="1">
      <c r="A50" s="70"/>
    </row>
    <row r="51" spans="1:1" ht="20.100000000000001" customHeight="1">
      <c r="A51" s="70"/>
    </row>
    <row r="52" spans="1:1" ht="20.100000000000001" customHeight="1">
      <c r="A52" s="70"/>
    </row>
    <row r="53" spans="1:1" ht="20.100000000000001" customHeight="1">
      <c r="A53" s="70"/>
    </row>
    <row r="54" spans="1:1" ht="20.100000000000001" customHeight="1">
      <c r="A54" s="23"/>
    </row>
  </sheetData>
  <mergeCells count="5">
    <mergeCell ref="A3:K3"/>
    <mergeCell ref="G5:J5"/>
    <mergeCell ref="C12:C13"/>
    <mergeCell ref="D12:D13"/>
    <mergeCell ref="E12:F13"/>
  </mergeCells>
  <pageMargins left="0.51181102362204722" right="0" top="0" bottom="7.874015748031496E-2" header="0.11811023622047245" footer="0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68"/>
  <sheetViews>
    <sheetView view="pageBreakPreview" zoomScale="78" zoomScaleNormal="100" zoomScaleSheetLayoutView="78" workbookViewId="0">
      <pane xSplit="4" ySplit="3" topLeftCell="E19" activePane="bottomRight" state="frozen"/>
      <selection pane="bottomRight" activeCell="G19" sqref="G19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51.7109375" style="1" customWidth="1"/>
    <col min="3" max="3" width="28" style="1" customWidth="1"/>
    <col min="4" max="4" width="30.85546875" style="1" customWidth="1"/>
    <col min="5" max="16384" width="9.140625" style="1"/>
  </cols>
  <sheetData>
    <row r="1" spans="1:4" ht="61.5" customHeight="1">
      <c r="A1" s="330" t="s">
        <v>430</v>
      </c>
      <c r="B1" s="331"/>
      <c r="C1" s="331"/>
      <c r="D1" s="331"/>
    </row>
    <row r="2" spans="1:4" ht="12.75" customHeight="1">
      <c r="A2" s="23"/>
      <c r="B2" s="103"/>
      <c r="C2" s="103"/>
      <c r="D2" s="103"/>
    </row>
    <row r="3" spans="1:4" ht="39" customHeight="1">
      <c r="A3" s="28" t="s">
        <v>1</v>
      </c>
      <c r="B3" s="118" t="s">
        <v>2</v>
      </c>
      <c r="C3" s="28" t="s">
        <v>3</v>
      </c>
      <c r="D3" s="224" t="s">
        <v>117</v>
      </c>
    </row>
    <row r="4" spans="1:4" ht="32.1" customHeight="1">
      <c r="A4" s="73">
        <v>1</v>
      </c>
      <c r="B4" s="57" t="s">
        <v>14</v>
      </c>
      <c r="C4" s="59" t="s">
        <v>15</v>
      </c>
      <c r="D4" s="122">
        <v>500000</v>
      </c>
    </row>
    <row r="5" spans="1:4" ht="32.1" customHeight="1">
      <c r="A5" s="73">
        <v>2</v>
      </c>
      <c r="B5" s="181" t="s">
        <v>16</v>
      </c>
      <c r="C5" s="181" t="s">
        <v>17</v>
      </c>
      <c r="D5" s="124">
        <v>300000</v>
      </c>
    </row>
    <row r="6" spans="1:4" ht="32.1" customHeight="1">
      <c r="A6" s="73">
        <v>3</v>
      </c>
      <c r="B6" s="181" t="s">
        <v>18</v>
      </c>
      <c r="C6" s="181" t="s">
        <v>19</v>
      </c>
      <c r="D6" s="124">
        <v>100000</v>
      </c>
    </row>
    <row r="7" spans="1:4" ht="32.1" customHeight="1">
      <c r="A7" s="73">
        <v>4</v>
      </c>
      <c r="B7" s="181" t="s">
        <v>20</v>
      </c>
      <c r="C7" s="181" t="s">
        <v>21</v>
      </c>
      <c r="D7" s="124">
        <v>100000</v>
      </c>
    </row>
    <row r="8" spans="1:4" ht="32.1" customHeight="1">
      <c r="A8" s="73">
        <v>5</v>
      </c>
      <c r="B8" s="181" t="s">
        <v>22</v>
      </c>
      <c r="C8" s="181" t="s">
        <v>23</v>
      </c>
      <c r="D8" s="124">
        <v>100000</v>
      </c>
    </row>
    <row r="9" spans="1:4" ht="32.1" customHeight="1">
      <c r="A9" s="73">
        <v>6</v>
      </c>
      <c r="B9" s="31" t="s">
        <v>346</v>
      </c>
      <c r="C9" s="181" t="s">
        <v>19</v>
      </c>
      <c r="D9" s="124">
        <v>300000</v>
      </c>
    </row>
    <row r="10" spans="1:4" ht="32.1" customHeight="1">
      <c r="A10" s="73">
        <v>7</v>
      </c>
      <c r="B10" s="181" t="s">
        <v>24</v>
      </c>
      <c r="C10" s="181" t="s">
        <v>25</v>
      </c>
      <c r="D10" s="124">
        <v>100000</v>
      </c>
    </row>
    <row r="11" spans="1:4" ht="32.1" customHeight="1">
      <c r="A11" s="73">
        <v>8</v>
      </c>
      <c r="B11" s="181" t="s">
        <v>26</v>
      </c>
      <c r="C11" s="181" t="s">
        <v>25</v>
      </c>
      <c r="D11" s="124">
        <v>100000</v>
      </c>
    </row>
    <row r="12" spans="1:4" ht="32.1" customHeight="1">
      <c r="A12" s="73">
        <v>9</v>
      </c>
      <c r="B12" s="181" t="s">
        <v>27</v>
      </c>
      <c r="C12" s="181" t="s">
        <v>23</v>
      </c>
      <c r="D12" s="124">
        <v>100000</v>
      </c>
    </row>
    <row r="13" spans="1:4" ht="32.1" customHeight="1">
      <c r="A13" s="73">
        <v>10</v>
      </c>
      <c r="B13" s="181" t="s">
        <v>366</v>
      </c>
      <c r="C13" s="181" t="s">
        <v>90</v>
      </c>
      <c r="D13" s="275">
        <v>250000</v>
      </c>
    </row>
    <row r="14" spans="1:4" ht="32.1" customHeight="1">
      <c r="A14" s="73">
        <v>11</v>
      </c>
      <c r="B14" s="31" t="s">
        <v>28</v>
      </c>
      <c r="C14" s="31" t="s">
        <v>29</v>
      </c>
      <c r="D14" s="124">
        <v>100000</v>
      </c>
    </row>
    <row r="15" spans="1:4" ht="32.1" customHeight="1">
      <c r="A15" s="73">
        <v>12</v>
      </c>
      <c r="B15" s="31" t="s">
        <v>30</v>
      </c>
      <c r="C15" s="31" t="s">
        <v>19</v>
      </c>
      <c r="D15" s="124">
        <v>300000</v>
      </c>
    </row>
    <row r="16" spans="1:4" ht="32.1" customHeight="1">
      <c r="A16" s="73">
        <v>13</v>
      </c>
      <c r="B16" s="31" t="s">
        <v>348</v>
      </c>
      <c r="C16" s="31" t="s">
        <v>19</v>
      </c>
      <c r="D16" s="124">
        <v>300000</v>
      </c>
    </row>
    <row r="17" spans="1:4" ht="32.1" customHeight="1">
      <c r="A17" s="73">
        <v>14</v>
      </c>
      <c r="B17" s="31" t="s">
        <v>349</v>
      </c>
      <c r="C17" s="31" t="s">
        <v>19</v>
      </c>
      <c r="D17" s="124">
        <v>300000</v>
      </c>
    </row>
    <row r="18" spans="1:4" ht="32.1" customHeight="1">
      <c r="A18" s="73">
        <v>15</v>
      </c>
      <c r="B18" s="31" t="s">
        <v>31</v>
      </c>
      <c r="C18" s="31" t="s">
        <v>32</v>
      </c>
      <c r="D18" s="124">
        <v>300000</v>
      </c>
    </row>
    <row r="19" spans="1:4" ht="32.1" customHeight="1">
      <c r="A19" s="73">
        <v>16</v>
      </c>
      <c r="B19" s="59" t="s">
        <v>350</v>
      </c>
      <c r="C19" s="31" t="s">
        <v>351</v>
      </c>
      <c r="D19" s="124">
        <v>300000</v>
      </c>
    </row>
    <row r="20" spans="1:4" ht="32.1" customHeight="1">
      <c r="A20" s="73">
        <v>17</v>
      </c>
      <c r="B20" s="59" t="s">
        <v>126</v>
      </c>
      <c r="C20" s="31" t="s">
        <v>19</v>
      </c>
      <c r="D20" s="217">
        <v>300000</v>
      </c>
    </row>
    <row r="21" spans="1:4" ht="32.1" customHeight="1">
      <c r="A21" s="73">
        <v>18</v>
      </c>
      <c r="B21" s="227" t="s">
        <v>283</v>
      </c>
      <c r="C21" s="31" t="s">
        <v>37</v>
      </c>
      <c r="D21" s="217">
        <v>300000</v>
      </c>
    </row>
    <row r="22" spans="1:4" ht="32.1" customHeight="1">
      <c r="A22" s="73">
        <v>19</v>
      </c>
      <c r="B22" s="227" t="s">
        <v>284</v>
      </c>
      <c r="C22" s="31" t="s">
        <v>37</v>
      </c>
      <c r="D22" s="217">
        <v>300000</v>
      </c>
    </row>
    <row r="23" spans="1:4" ht="32.1" customHeight="1">
      <c r="A23" s="73">
        <v>20</v>
      </c>
      <c r="B23" s="227" t="s">
        <v>285</v>
      </c>
      <c r="C23" s="31" t="s">
        <v>37</v>
      </c>
      <c r="D23" s="217">
        <v>300000</v>
      </c>
    </row>
    <row r="24" spans="1:4" ht="32.1" customHeight="1">
      <c r="A24" s="73">
        <v>21</v>
      </c>
      <c r="B24" s="227" t="s">
        <v>286</v>
      </c>
      <c r="C24" s="31" t="s">
        <v>37</v>
      </c>
      <c r="D24" s="217">
        <v>300000</v>
      </c>
    </row>
    <row r="25" spans="1:4" ht="32.1" customHeight="1">
      <c r="A25" s="73">
        <v>22</v>
      </c>
      <c r="B25" s="227" t="s">
        <v>296</v>
      </c>
      <c r="C25" s="31" t="s">
        <v>37</v>
      </c>
      <c r="D25" s="217">
        <v>400000</v>
      </c>
    </row>
    <row r="26" spans="1:4" ht="32.1" customHeight="1">
      <c r="A26" s="73">
        <v>23</v>
      </c>
      <c r="B26" s="227" t="s">
        <v>119</v>
      </c>
      <c r="C26" s="31" t="s">
        <v>37</v>
      </c>
      <c r="D26" s="217">
        <v>400000</v>
      </c>
    </row>
    <row r="27" spans="1:4" ht="32.1" customHeight="1">
      <c r="A27" s="73"/>
      <c r="B27" s="33" t="s">
        <v>84</v>
      </c>
      <c r="C27" s="31"/>
      <c r="D27" s="179">
        <f>SUM(D4:D26)</f>
        <v>5850000</v>
      </c>
    </row>
    <row r="28" spans="1:4" ht="20.100000000000001" customHeight="1">
      <c r="A28" s="70"/>
    </row>
    <row r="29" spans="1:4" ht="20.100000000000001" customHeight="1">
      <c r="A29" s="70"/>
      <c r="D29" s="187"/>
    </row>
    <row r="30" spans="1:4" ht="20.100000000000001" customHeight="1">
      <c r="A30" s="70"/>
    </row>
    <row r="31" spans="1:4" ht="20.100000000000001" customHeight="1">
      <c r="A31" s="70"/>
      <c r="C31" s="168"/>
      <c r="D31" s="168"/>
    </row>
    <row r="32" spans="1:4" ht="20.100000000000001" customHeight="1">
      <c r="A32" s="70"/>
      <c r="C32" s="168"/>
      <c r="D32" s="168"/>
    </row>
    <row r="33" spans="1:4" ht="20.100000000000001" customHeight="1">
      <c r="A33" s="70"/>
      <c r="C33" s="168"/>
      <c r="D33" s="168"/>
    </row>
    <row r="34" spans="1:4" ht="20.100000000000001" customHeight="1">
      <c r="A34" s="70"/>
      <c r="C34" s="168"/>
      <c r="D34" s="168"/>
    </row>
    <row r="35" spans="1:4" ht="20.100000000000001" customHeight="1">
      <c r="A35" s="70"/>
    </row>
    <row r="36" spans="1:4" ht="20.100000000000001" customHeight="1">
      <c r="A36" s="70"/>
    </row>
    <row r="37" spans="1:4" ht="20.100000000000001" customHeight="1">
      <c r="A37" s="70"/>
    </row>
    <row r="38" spans="1:4" ht="20.100000000000001" customHeight="1">
      <c r="A38" s="70"/>
    </row>
    <row r="39" spans="1:4" ht="20.100000000000001" customHeight="1">
      <c r="A39" s="70"/>
    </row>
    <row r="40" spans="1:4" ht="20.100000000000001" customHeight="1">
      <c r="A40" s="70"/>
    </row>
    <row r="41" spans="1:4" ht="20.100000000000001" customHeight="1">
      <c r="A41" s="70"/>
    </row>
    <row r="42" spans="1:4" ht="20.100000000000001" customHeight="1">
      <c r="A42" s="70"/>
    </row>
    <row r="43" spans="1:4" ht="20.100000000000001" customHeight="1">
      <c r="A43" s="70"/>
    </row>
    <row r="44" spans="1:4" ht="20.100000000000001" customHeight="1">
      <c r="A44" s="70"/>
    </row>
    <row r="45" spans="1:4" ht="20.100000000000001" customHeight="1">
      <c r="A45" s="70"/>
    </row>
    <row r="46" spans="1:4" ht="20.100000000000001" customHeight="1">
      <c r="A46" s="70"/>
    </row>
    <row r="47" spans="1:4" ht="20.100000000000001" customHeight="1">
      <c r="A47" s="70"/>
    </row>
    <row r="48" spans="1:4" ht="20.100000000000001" customHeight="1">
      <c r="A48" s="70"/>
    </row>
    <row r="49" spans="1:1" ht="20.100000000000001" customHeight="1">
      <c r="A49" s="70"/>
    </row>
    <row r="50" spans="1:1" ht="20.100000000000001" customHeight="1">
      <c r="A50" s="70"/>
    </row>
    <row r="51" spans="1:1" ht="20.100000000000001" customHeight="1">
      <c r="A51" s="70"/>
    </row>
    <row r="52" spans="1:1" ht="20.100000000000001" customHeight="1">
      <c r="A52" s="70"/>
    </row>
    <row r="53" spans="1:1" ht="20.100000000000001" customHeight="1">
      <c r="A53" s="70"/>
    </row>
    <row r="54" spans="1:1" ht="20.100000000000001" customHeight="1">
      <c r="A54" s="70"/>
    </row>
    <row r="55" spans="1:1" ht="20.100000000000001" customHeight="1">
      <c r="A55" s="70"/>
    </row>
    <row r="56" spans="1:1" ht="20.100000000000001" customHeight="1">
      <c r="A56" s="70"/>
    </row>
    <row r="57" spans="1:1" ht="20.100000000000001" customHeight="1">
      <c r="A57" s="70"/>
    </row>
    <row r="58" spans="1:1" ht="20.100000000000001" customHeight="1">
      <c r="A58" s="70"/>
    </row>
    <row r="59" spans="1:1" ht="20.100000000000001" customHeight="1">
      <c r="A59" s="70"/>
    </row>
    <row r="60" spans="1:1" ht="20.100000000000001" customHeight="1">
      <c r="A60" s="70"/>
    </row>
    <row r="61" spans="1:1" ht="20.100000000000001" customHeight="1">
      <c r="A61" s="70"/>
    </row>
    <row r="62" spans="1:1" ht="20.100000000000001" customHeight="1">
      <c r="A62" s="70"/>
    </row>
    <row r="63" spans="1:1" ht="20.100000000000001" customHeight="1">
      <c r="A63" s="70"/>
    </row>
    <row r="64" spans="1:1" ht="20.100000000000001" customHeight="1">
      <c r="A64" s="70"/>
    </row>
    <row r="65" spans="1:1" ht="20.100000000000001" customHeight="1">
      <c r="A65" s="70"/>
    </row>
    <row r="66" spans="1:1" ht="20.100000000000001" customHeight="1">
      <c r="A66" s="70"/>
    </row>
    <row r="67" spans="1:1" ht="20.100000000000001" customHeight="1">
      <c r="A67" s="70"/>
    </row>
    <row r="68" spans="1:1" ht="20.100000000000001" customHeight="1">
      <c r="A68" s="23"/>
    </row>
  </sheetData>
  <mergeCells count="1">
    <mergeCell ref="A1:D1"/>
  </mergeCells>
  <pageMargins left="0.51181102362204722" right="0" top="0" bottom="7.874015748031496E-2" header="0.11811023622047245" footer="0"/>
  <pageSetup paperSize="9" scale="8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4"/>
  <sheetViews>
    <sheetView view="pageBreakPreview" zoomScale="78" zoomScaleNormal="100" zoomScaleSheetLayoutView="78" workbookViewId="0">
      <pane xSplit="4" ySplit="3" topLeftCell="E4" activePane="bottomRight" state="frozen"/>
      <selection pane="bottomRight" activeCell="G13" sqref="G13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51.7109375" style="1" customWidth="1"/>
    <col min="3" max="3" width="28" style="1" customWidth="1"/>
    <col min="4" max="4" width="30.85546875" style="1" customWidth="1"/>
    <col min="5" max="5" width="1.140625" style="1" customWidth="1"/>
    <col min="6" max="16384" width="9.140625" style="1"/>
  </cols>
  <sheetData>
    <row r="1" spans="1:5" ht="54" customHeight="1">
      <c r="A1" s="330" t="s">
        <v>431</v>
      </c>
      <c r="B1" s="331"/>
      <c r="C1" s="331"/>
      <c r="D1" s="331"/>
      <c r="E1" s="24"/>
    </row>
    <row r="2" spans="1:5" ht="2.25" customHeight="1">
      <c r="A2" s="23"/>
      <c r="B2" s="103"/>
      <c r="C2" s="103"/>
      <c r="D2" s="103"/>
      <c r="E2" s="23"/>
    </row>
    <row r="3" spans="1:5" ht="30" customHeight="1">
      <c r="A3" s="28" t="s">
        <v>1</v>
      </c>
      <c r="B3" s="118" t="s">
        <v>2</v>
      </c>
      <c r="C3" s="28" t="s">
        <v>3</v>
      </c>
      <c r="D3" s="224" t="s">
        <v>117</v>
      </c>
      <c r="E3" s="188"/>
    </row>
    <row r="4" spans="1:5" ht="9" customHeight="1">
      <c r="A4" s="33"/>
      <c r="B4" s="34"/>
      <c r="C4" s="27"/>
      <c r="D4" s="28"/>
      <c r="E4" s="188"/>
    </row>
    <row r="5" spans="1:5" ht="30" customHeight="1">
      <c r="A5" s="73">
        <v>1</v>
      </c>
      <c r="B5" s="57" t="s">
        <v>14</v>
      </c>
      <c r="C5" s="59" t="s">
        <v>15</v>
      </c>
      <c r="D5" s="122">
        <v>500000</v>
      </c>
      <c r="E5" s="120">
        <f t="shared" ref="E5:E14" si="0">SUM(D5:D5)</f>
        <v>500000</v>
      </c>
    </row>
    <row r="6" spans="1:5" ht="30" customHeight="1">
      <c r="A6" s="73">
        <v>2</v>
      </c>
      <c r="B6" s="181" t="s">
        <v>16</v>
      </c>
      <c r="C6" s="181" t="s">
        <v>17</v>
      </c>
      <c r="D6" s="124">
        <v>300000</v>
      </c>
      <c r="E6" s="120">
        <f t="shared" si="0"/>
        <v>300000</v>
      </c>
    </row>
    <row r="7" spans="1:5" ht="30" customHeight="1">
      <c r="A7" s="73">
        <v>3</v>
      </c>
      <c r="B7" s="181" t="s">
        <v>18</v>
      </c>
      <c r="C7" s="181" t="s">
        <v>19</v>
      </c>
      <c r="D7" s="124">
        <v>100000</v>
      </c>
      <c r="E7" s="120">
        <f t="shared" si="0"/>
        <v>100000</v>
      </c>
    </row>
    <row r="8" spans="1:5" ht="30" customHeight="1">
      <c r="A8" s="73">
        <v>4</v>
      </c>
      <c r="B8" s="181" t="s">
        <v>20</v>
      </c>
      <c r="C8" s="181" t="s">
        <v>21</v>
      </c>
      <c r="D8" s="124">
        <v>100000</v>
      </c>
      <c r="E8" s="120">
        <f t="shared" si="0"/>
        <v>100000</v>
      </c>
    </row>
    <row r="9" spans="1:5" ht="30" customHeight="1">
      <c r="A9" s="73">
        <v>5</v>
      </c>
      <c r="B9" s="181" t="s">
        <v>22</v>
      </c>
      <c r="C9" s="181" t="s">
        <v>23</v>
      </c>
      <c r="D9" s="124">
        <v>100000</v>
      </c>
      <c r="E9" s="120">
        <f t="shared" si="0"/>
        <v>100000</v>
      </c>
    </row>
    <row r="10" spans="1:5" ht="30" customHeight="1">
      <c r="A10" s="73">
        <v>6</v>
      </c>
      <c r="B10" s="31" t="s">
        <v>346</v>
      </c>
      <c r="C10" s="181" t="s">
        <v>19</v>
      </c>
      <c r="D10" s="124">
        <v>300000</v>
      </c>
      <c r="E10" s="120">
        <f t="shared" si="0"/>
        <v>300000</v>
      </c>
    </row>
    <row r="11" spans="1:5" ht="30" customHeight="1">
      <c r="A11" s="73">
        <v>7</v>
      </c>
      <c r="B11" s="181" t="s">
        <v>24</v>
      </c>
      <c r="C11" s="181" t="s">
        <v>25</v>
      </c>
      <c r="D11" s="124">
        <v>100000</v>
      </c>
      <c r="E11" s="120">
        <f t="shared" si="0"/>
        <v>100000</v>
      </c>
    </row>
    <row r="12" spans="1:5" ht="30" customHeight="1">
      <c r="A12" s="73">
        <v>8</v>
      </c>
      <c r="B12" s="181" t="s">
        <v>26</v>
      </c>
      <c r="C12" s="181" t="s">
        <v>25</v>
      </c>
      <c r="D12" s="124">
        <v>100000</v>
      </c>
      <c r="E12" s="120">
        <f t="shared" si="0"/>
        <v>100000</v>
      </c>
    </row>
    <row r="13" spans="1:5" ht="30" customHeight="1">
      <c r="A13" s="73">
        <v>9</v>
      </c>
      <c r="B13" s="181" t="s">
        <v>27</v>
      </c>
      <c r="C13" s="181" t="s">
        <v>23</v>
      </c>
      <c r="D13" s="124">
        <v>100000</v>
      </c>
      <c r="E13" s="120">
        <f t="shared" si="0"/>
        <v>100000</v>
      </c>
    </row>
    <row r="14" spans="1:5" ht="30" customHeight="1">
      <c r="A14" s="73">
        <v>10</v>
      </c>
      <c r="B14" s="249" t="s">
        <v>238</v>
      </c>
      <c r="C14" s="181" t="s">
        <v>34</v>
      </c>
      <c r="D14" s="275">
        <v>0</v>
      </c>
      <c r="E14" s="120">
        <f t="shared" si="0"/>
        <v>0</v>
      </c>
    </row>
    <row r="15" spans="1:5" ht="30" customHeight="1">
      <c r="A15" s="73">
        <v>11</v>
      </c>
      <c r="B15" s="181" t="s">
        <v>366</v>
      </c>
      <c r="C15" s="181" t="s">
        <v>90</v>
      </c>
      <c r="D15" s="275">
        <v>250000</v>
      </c>
      <c r="E15" s="120"/>
    </row>
    <row r="16" spans="1:5" ht="30" customHeight="1">
      <c r="A16" s="73">
        <v>12</v>
      </c>
      <c r="B16" s="31" t="s">
        <v>28</v>
      </c>
      <c r="C16" s="31" t="s">
        <v>29</v>
      </c>
      <c r="D16" s="124">
        <v>100000</v>
      </c>
      <c r="E16" s="120">
        <f t="shared" ref="E16:E23" si="1">SUM(D16:D16)</f>
        <v>100000</v>
      </c>
    </row>
    <row r="17" spans="1:5" ht="30" customHeight="1">
      <c r="A17" s="73">
        <v>13</v>
      </c>
      <c r="B17" s="31" t="s">
        <v>30</v>
      </c>
      <c r="C17" s="31" t="s">
        <v>19</v>
      </c>
      <c r="D17" s="124">
        <v>300000</v>
      </c>
      <c r="E17" s="120">
        <f t="shared" si="1"/>
        <v>300000</v>
      </c>
    </row>
    <row r="18" spans="1:5" ht="30" customHeight="1">
      <c r="A18" s="73">
        <v>14</v>
      </c>
      <c r="B18" s="31" t="s">
        <v>348</v>
      </c>
      <c r="C18" s="31" t="s">
        <v>19</v>
      </c>
      <c r="D18" s="124">
        <v>300000</v>
      </c>
      <c r="E18" s="120">
        <f t="shared" si="1"/>
        <v>300000</v>
      </c>
    </row>
    <row r="19" spans="1:5" ht="30" customHeight="1">
      <c r="A19" s="73">
        <v>15</v>
      </c>
      <c r="B19" s="31" t="s">
        <v>349</v>
      </c>
      <c r="C19" s="31" t="s">
        <v>19</v>
      </c>
      <c r="D19" s="124">
        <v>300000</v>
      </c>
      <c r="E19" s="120">
        <f t="shared" si="1"/>
        <v>300000</v>
      </c>
    </row>
    <row r="20" spans="1:5" ht="30" customHeight="1">
      <c r="A20" s="73">
        <v>16</v>
      </c>
      <c r="B20" s="31" t="s">
        <v>31</v>
      </c>
      <c r="C20" s="31" t="s">
        <v>32</v>
      </c>
      <c r="D20" s="124">
        <v>300000</v>
      </c>
      <c r="E20" s="120">
        <f t="shared" si="1"/>
        <v>300000</v>
      </c>
    </row>
    <row r="21" spans="1:5" ht="30" customHeight="1">
      <c r="A21" s="73">
        <v>17</v>
      </c>
      <c r="B21" s="59" t="s">
        <v>350</v>
      </c>
      <c r="C21" s="31" t="s">
        <v>351</v>
      </c>
      <c r="D21" s="124">
        <v>300000</v>
      </c>
      <c r="E21" s="120">
        <f t="shared" si="1"/>
        <v>300000</v>
      </c>
    </row>
    <row r="22" spans="1:5" ht="30" customHeight="1">
      <c r="A22" s="73">
        <v>20</v>
      </c>
      <c r="B22" s="59" t="s">
        <v>126</v>
      </c>
      <c r="C22" s="31" t="s">
        <v>19</v>
      </c>
      <c r="D22" s="217">
        <v>300000</v>
      </c>
      <c r="E22" s="120">
        <f t="shared" si="1"/>
        <v>300000</v>
      </c>
    </row>
    <row r="23" spans="1:5" ht="30" customHeight="1">
      <c r="A23" s="73">
        <v>21</v>
      </c>
      <c r="B23" s="59" t="s">
        <v>353</v>
      </c>
      <c r="C23" s="31" t="s">
        <v>34</v>
      </c>
      <c r="D23" s="274">
        <v>0</v>
      </c>
      <c r="E23" s="120">
        <f t="shared" si="1"/>
        <v>0</v>
      </c>
    </row>
    <row r="24" spans="1:5" ht="30" customHeight="1">
      <c r="A24" s="73">
        <v>30</v>
      </c>
      <c r="B24" s="227" t="s">
        <v>283</v>
      </c>
      <c r="C24" s="31" t="s">
        <v>37</v>
      </c>
      <c r="D24" s="217">
        <v>300000</v>
      </c>
      <c r="E24" s="120"/>
    </row>
    <row r="25" spans="1:5" ht="30" customHeight="1">
      <c r="A25" s="73">
        <v>31</v>
      </c>
      <c r="B25" s="227" t="s">
        <v>284</v>
      </c>
      <c r="C25" s="31" t="s">
        <v>37</v>
      </c>
      <c r="D25" s="217">
        <v>300000</v>
      </c>
      <c r="E25" s="120"/>
    </row>
    <row r="26" spans="1:5" ht="30" customHeight="1">
      <c r="A26" s="73">
        <v>32</v>
      </c>
      <c r="B26" s="227" t="s">
        <v>285</v>
      </c>
      <c r="C26" s="31" t="s">
        <v>37</v>
      </c>
      <c r="D26" s="217">
        <v>300000</v>
      </c>
      <c r="E26" s="120"/>
    </row>
    <row r="27" spans="1:5" ht="30" customHeight="1">
      <c r="A27" s="73">
        <v>33</v>
      </c>
      <c r="B27" s="227" t="s">
        <v>286</v>
      </c>
      <c r="C27" s="31" t="s">
        <v>37</v>
      </c>
      <c r="D27" s="217">
        <v>300000</v>
      </c>
      <c r="E27" s="120" t="e">
        <f>#REF!-#REF!</f>
        <v>#REF!</v>
      </c>
    </row>
    <row r="28" spans="1:5" ht="30" customHeight="1">
      <c r="A28" s="73">
        <v>34</v>
      </c>
      <c r="B28" s="227" t="s">
        <v>296</v>
      </c>
      <c r="C28" s="31" t="s">
        <v>37</v>
      </c>
      <c r="D28" s="217">
        <v>300000</v>
      </c>
      <c r="E28" s="120"/>
    </row>
    <row r="29" spans="1:5" ht="30" customHeight="1">
      <c r="A29" s="73">
        <v>35</v>
      </c>
      <c r="B29" s="227" t="s">
        <v>119</v>
      </c>
      <c r="C29" s="31" t="s">
        <v>37</v>
      </c>
      <c r="D29" s="217">
        <v>400000</v>
      </c>
      <c r="E29" s="120"/>
    </row>
    <row r="30" spans="1:5" ht="30" customHeight="1">
      <c r="A30" s="73">
        <v>36</v>
      </c>
      <c r="B30" s="227" t="s">
        <v>305</v>
      </c>
      <c r="C30" s="31" t="s">
        <v>34</v>
      </c>
      <c r="D30" s="274">
        <v>0</v>
      </c>
      <c r="E30" s="120"/>
    </row>
    <row r="31" spans="1:5" ht="30" customHeight="1">
      <c r="A31" s="73">
        <v>37</v>
      </c>
      <c r="B31" s="255" t="s">
        <v>363</v>
      </c>
      <c r="C31" s="31" t="s">
        <v>34</v>
      </c>
      <c r="D31" s="274">
        <v>0</v>
      </c>
      <c r="E31" s="120"/>
    </row>
    <row r="32" spans="1:5" ht="30" customHeight="1">
      <c r="A32" s="73">
        <v>38</v>
      </c>
      <c r="B32" s="256" t="s">
        <v>432</v>
      </c>
      <c r="C32" s="31" t="s">
        <v>34</v>
      </c>
      <c r="D32" s="274">
        <v>0</v>
      </c>
      <c r="E32" s="120"/>
    </row>
    <row r="33" spans="1:5" ht="30" customHeight="1">
      <c r="A33" s="73"/>
      <c r="B33" s="33" t="s">
        <v>84</v>
      </c>
      <c r="C33" s="31"/>
      <c r="D33" s="179">
        <f>SUM(D5:D32)</f>
        <v>5750000</v>
      </c>
      <c r="E33" s="269" t="e">
        <f>SUM(E5:E27)</f>
        <v>#REF!</v>
      </c>
    </row>
    <row r="34" spans="1:5" ht="20.100000000000001" customHeight="1">
      <c r="A34" s="70"/>
    </row>
    <row r="35" spans="1:5" ht="20.100000000000001" customHeight="1">
      <c r="A35" s="70"/>
      <c r="D35" s="187"/>
      <c r="E35" s="116"/>
    </row>
    <row r="36" spans="1:5" ht="20.100000000000001" customHeight="1">
      <c r="A36" s="70"/>
    </row>
    <row r="37" spans="1:5" ht="20.100000000000001" customHeight="1">
      <c r="A37" s="70"/>
      <c r="C37" s="168"/>
      <c r="D37" s="168"/>
    </row>
    <row r="38" spans="1:5" ht="20.100000000000001" customHeight="1">
      <c r="A38" s="70"/>
      <c r="C38" s="168"/>
      <c r="D38" s="168"/>
    </row>
    <row r="39" spans="1:5" ht="20.100000000000001" customHeight="1">
      <c r="A39" s="70"/>
      <c r="C39" s="168"/>
      <c r="D39" s="168"/>
    </row>
    <row r="40" spans="1:5" ht="20.100000000000001" customHeight="1">
      <c r="A40" s="70"/>
      <c r="C40" s="168"/>
      <c r="D40" s="168"/>
    </row>
    <row r="41" spans="1:5" ht="20.100000000000001" customHeight="1">
      <c r="A41" s="70"/>
    </row>
    <row r="42" spans="1:5" ht="20.100000000000001" customHeight="1">
      <c r="A42" s="70"/>
    </row>
    <row r="43" spans="1:5" ht="20.100000000000001" customHeight="1">
      <c r="A43" s="70"/>
    </row>
    <row r="44" spans="1:5" ht="20.100000000000001" customHeight="1">
      <c r="A44" s="70"/>
    </row>
    <row r="45" spans="1:5" ht="20.100000000000001" customHeight="1">
      <c r="A45" s="70"/>
    </row>
    <row r="46" spans="1:5" ht="20.100000000000001" customHeight="1">
      <c r="A46" s="70"/>
    </row>
    <row r="47" spans="1:5" ht="20.100000000000001" customHeight="1">
      <c r="A47" s="70"/>
    </row>
    <row r="48" spans="1:5" ht="20.100000000000001" customHeight="1">
      <c r="A48" s="70"/>
    </row>
    <row r="49" spans="1:1" ht="20.100000000000001" customHeight="1">
      <c r="A49" s="70"/>
    </row>
    <row r="50" spans="1:1" ht="20.100000000000001" customHeight="1">
      <c r="A50" s="70"/>
    </row>
    <row r="51" spans="1:1" ht="20.100000000000001" customHeight="1">
      <c r="A51" s="70"/>
    </row>
    <row r="52" spans="1:1" ht="20.100000000000001" customHeight="1">
      <c r="A52" s="70"/>
    </row>
    <row r="53" spans="1:1" ht="20.100000000000001" customHeight="1">
      <c r="A53" s="70"/>
    </row>
    <row r="54" spans="1:1" ht="20.100000000000001" customHeight="1">
      <c r="A54" s="70"/>
    </row>
    <row r="55" spans="1:1" ht="20.100000000000001" customHeight="1">
      <c r="A55" s="70"/>
    </row>
    <row r="56" spans="1:1" ht="20.100000000000001" customHeight="1">
      <c r="A56" s="70"/>
    </row>
    <row r="57" spans="1:1" ht="20.100000000000001" customHeight="1">
      <c r="A57" s="70"/>
    </row>
    <row r="58" spans="1:1" ht="20.100000000000001" customHeight="1">
      <c r="A58" s="70"/>
    </row>
    <row r="59" spans="1:1" ht="20.100000000000001" customHeight="1">
      <c r="A59" s="70"/>
    </row>
    <row r="60" spans="1:1" ht="20.100000000000001" customHeight="1">
      <c r="A60" s="70"/>
    </row>
    <row r="61" spans="1:1" ht="20.100000000000001" customHeight="1">
      <c r="A61" s="70"/>
    </row>
    <row r="62" spans="1:1" ht="20.100000000000001" customHeight="1">
      <c r="A62" s="70"/>
    </row>
    <row r="63" spans="1:1" ht="20.100000000000001" customHeight="1">
      <c r="A63" s="70"/>
    </row>
    <row r="64" spans="1:1" ht="20.100000000000001" customHeight="1">
      <c r="A64" s="70"/>
    </row>
    <row r="65" spans="1:1" ht="20.100000000000001" customHeight="1">
      <c r="A65" s="70"/>
    </row>
    <row r="66" spans="1:1" ht="20.100000000000001" customHeight="1">
      <c r="A66" s="70"/>
    </row>
    <row r="67" spans="1:1" ht="20.100000000000001" customHeight="1">
      <c r="A67" s="70"/>
    </row>
    <row r="68" spans="1:1" ht="20.100000000000001" customHeight="1">
      <c r="A68" s="70"/>
    </row>
    <row r="69" spans="1:1" ht="20.100000000000001" customHeight="1">
      <c r="A69" s="70"/>
    </row>
    <row r="70" spans="1:1" ht="20.100000000000001" customHeight="1">
      <c r="A70" s="70"/>
    </row>
    <row r="71" spans="1:1" ht="20.100000000000001" customHeight="1">
      <c r="A71" s="70"/>
    </row>
    <row r="72" spans="1:1" ht="20.100000000000001" customHeight="1">
      <c r="A72" s="70"/>
    </row>
    <row r="73" spans="1:1" ht="20.100000000000001" customHeight="1">
      <c r="A73" s="70"/>
    </row>
    <row r="74" spans="1:1" ht="20.100000000000001" customHeight="1">
      <c r="A74" s="23"/>
    </row>
  </sheetData>
  <mergeCells count="1">
    <mergeCell ref="A1:D1"/>
  </mergeCells>
  <pageMargins left="0.51181102362204722" right="0" top="0" bottom="7.874015748031496E-2" header="0.11811023622047245" footer="0"/>
  <pageSetup paperSize="9" scale="8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>
      <selection activeCell="I22" sqref="I22"/>
    </sheetView>
  </sheetViews>
  <sheetFormatPr defaultRowHeight="12.7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72"/>
  <sheetViews>
    <sheetView zoomScaleNormal="100" zoomScaleSheetLayoutView="68" workbookViewId="0">
      <pane xSplit="5" ySplit="6" topLeftCell="K15" activePane="bottomRight" state="frozen"/>
      <selection pane="bottomRight" activeCell="M10" sqref="M10"/>
      <selection pane="bottomLeft"/>
      <selection pane="topRight"/>
    </sheetView>
  </sheetViews>
  <sheetFormatPr defaultColWidth="9.140625" defaultRowHeight="20.100000000000001" customHeight="1"/>
  <cols>
    <col min="1" max="1" width="6.140625" style="1" customWidth="1"/>
    <col min="2" max="2" width="39.140625" style="1" customWidth="1"/>
    <col min="3" max="3" width="24.7109375" style="1" customWidth="1"/>
    <col min="4" max="5" width="22.42578125" style="1" hidden="1" customWidth="1"/>
    <col min="6" max="6" width="24" style="1" hidden="1" customWidth="1"/>
    <col min="7" max="7" width="19" style="1" hidden="1" customWidth="1"/>
    <col min="8" max="8" width="22.140625" style="1" hidden="1" customWidth="1"/>
    <col min="9" max="9" width="19.5703125" style="1" hidden="1" customWidth="1"/>
    <col min="10" max="10" width="21.5703125" style="1" hidden="1" customWidth="1"/>
    <col min="11" max="11" width="26" style="1" customWidth="1"/>
    <col min="12" max="12" width="1.140625" style="1" customWidth="1"/>
    <col min="13" max="13" width="21.5703125" style="1" customWidth="1"/>
    <col min="14" max="14" width="9.140625" style="1" customWidth="1"/>
    <col min="15" max="16384" width="9.140625" style="1"/>
  </cols>
  <sheetData>
    <row r="1" spans="1:16" ht="29.25" customHeight="1">
      <c r="A1" s="23"/>
      <c r="B1" s="22"/>
      <c r="C1" s="22"/>
      <c r="D1" s="22"/>
      <c r="E1" s="22"/>
      <c r="F1" s="23"/>
      <c r="G1" s="23"/>
      <c r="H1" s="23"/>
      <c r="I1" s="23"/>
      <c r="J1" s="23"/>
      <c r="K1" s="23"/>
      <c r="L1" s="23"/>
      <c r="P1" s="1" t="s">
        <v>407</v>
      </c>
    </row>
    <row r="2" spans="1:16" ht="5.25" customHeight="1">
      <c r="A2" s="23"/>
      <c r="B2" s="23"/>
      <c r="C2" s="23"/>
      <c r="D2" s="23"/>
      <c r="E2" s="23"/>
      <c r="F2" s="24"/>
      <c r="G2" s="24"/>
      <c r="H2" s="24"/>
      <c r="I2" s="24"/>
      <c r="J2" s="24"/>
      <c r="K2" s="24"/>
      <c r="L2" s="24"/>
    </row>
    <row r="3" spans="1:16" ht="34.35" customHeight="1">
      <c r="A3" s="339" t="s">
        <v>428</v>
      </c>
      <c r="B3" s="339"/>
      <c r="C3" s="339"/>
      <c r="D3" s="339"/>
      <c r="E3" s="339"/>
      <c r="F3" s="339"/>
      <c r="G3" s="339"/>
      <c r="H3" s="339"/>
      <c r="I3" s="339"/>
      <c r="J3" s="339"/>
      <c r="K3" s="339"/>
      <c r="L3" s="24"/>
    </row>
    <row r="4" spans="1:16" ht="2.25" customHeight="1">
      <c r="A4" s="23"/>
      <c r="B4" s="103"/>
      <c r="C4" s="103"/>
      <c r="D4" s="103"/>
      <c r="E4" s="23"/>
      <c r="F4" s="23"/>
      <c r="G4" s="23"/>
      <c r="H4" s="23"/>
      <c r="I4" s="23"/>
      <c r="J4" s="23"/>
      <c r="K4" s="23"/>
      <c r="L4" s="23"/>
    </row>
    <row r="5" spans="1:16" ht="20.100000000000001" customHeight="1">
      <c r="A5" s="23"/>
      <c r="C5" s="26"/>
      <c r="D5" s="103"/>
      <c r="E5" s="103"/>
      <c r="F5" s="103"/>
      <c r="G5" s="340" t="s">
        <v>7</v>
      </c>
      <c r="H5" s="340"/>
      <c r="I5" s="340"/>
      <c r="J5" s="340"/>
      <c r="K5" s="26" t="s">
        <v>408</v>
      </c>
      <c r="L5" s="26"/>
    </row>
    <row r="6" spans="1:16" ht="35.450000000000003" customHeight="1">
      <c r="A6" s="33" t="s">
        <v>1</v>
      </c>
      <c r="B6" s="34" t="s">
        <v>2</v>
      </c>
      <c r="C6" s="27" t="s">
        <v>3</v>
      </c>
      <c r="D6" s="28" t="s">
        <v>6</v>
      </c>
      <c r="E6" s="28" t="s">
        <v>409</v>
      </c>
      <c r="F6" s="28" t="s">
        <v>6</v>
      </c>
      <c r="G6" s="28"/>
      <c r="H6" s="28"/>
      <c r="I6" s="28"/>
      <c r="J6" s="28"/>
      <c r="K6" s="221" t="s">
        <v>148</v>
      </c>
      <c r="L6" s="211"/>
    </row>
    <row r="7" spans="1:16" ht="20.100000000000001" customHeight="1">
      <c r="A7" s="73">
        <v>1</v>
      </c>
      <c r="B7" s="181" t="s">
        <v>16</v>
      </c>
      <c r="C7" s="181" t="s">
        <v>17</v>
      </c>
      <c r="D7" s="124">
        <v>90000</v>
      </c>
      <c r="E7" s="122">
        <v>30000</v>
      </c>
      <c r="F7" s="120">
        <f t="shared" ref="F7:F16" si="0">D7+E7</f>
        <v>120000</v>
      </c>
      <c r="G7" s="120">
        <v>50000</v>
      </c>
      <c r="H7" s="120">
        <f>20000</f>
        <v>20000</v>
      </c>
      <c r="I7" s="120">
        <v>0</v>
      </c>
      <c r="J7" s="120">
        <f t="shared" ref="J7:J24" si="1">G7+H7+I7</f>
        <v>70000</v>
      </c>
      <c r="K7" s="120">
        <f>300000</f>
        <v>300000</v>
      </c>
      <c r="L7" s="212"/>
    </row>
    <row r="8" spans="1:16" ht="20.100000000000001" customHeight="1">
      <c r="A8" s="73">
        <v>2</v>
      </c>
      <c r="B8" s="181" t="s">
        <v>18</v>
      </c>
      <c r="C8" s="181" t="s">
        <v>19</v>
      </c>
      <c r="D8" s="124">
        <v>45000</v>
      </c>
      <c r="E8" s="122">
        <v>15000</v>
      </c>
      <c r="F8" s="120">
        <f t="shared" si="0"/>
        <v>60000</v>
      </c>
      <c r="G8" s="120">
        <f>10000</f>
        <v>10000</v>
      </c>
      <c r="H8" s="120">
        <f>10000</f>
        <v>10000</v>
      </c>
      <c r="I8" s="120">
        <v>0</v>
      </c>
      <c r="J8" s="120">
        <f t="shared" si="1"/>
        <v>20000</v>
      </c>
      <c r="K8" s="120">
        <f>100000</f>
        <v>100000</v>
      </c>
      <c r="L8" s="212"/>
    </row>
    <row r="9" spans="1:16" ht="20.100000000000001" customHeight="1">
      <c r="A9" s="73">
        <v>3</v>
      </c>
      <c r="B9" s="181" t="s">
        <v>20</v>
      </c>
      <c r="C9" s="181" t="s">
        <v>21</v>
      </c>
      <c r="D9" s="124">
        <v>45000</v>
      </c>
      <c r="E9" s="122">
        <v>15000</v>
      </c>
      <c r="F9" s="120">
        <f t="shared" si="0"/>
        <v>60000</v>
      </c>
      <c r="G9" s="120">
        <f>10000</f>
        <v>10000</v>
      </c>
      <c r="H9" s="185">
        <f>20000</f>
        <v>20000</v>
      </c>
      <c r="I9" s="120">
        <v>0</v>
      </c>
      <c r="J9" s="120">
        <f t="shared" si="1"/>
        <v>30000</v>
      </c>
      <c r="K9" s="120">
        <f>100000</f>
        <v>100000</v>
      </c>
      <c r="L9" s="212"/>
    </row>
    <row r="10" spans="1:16" ht="20.100000000000001" customHeight="1">
      <c r="A10" s="73">
        <v>4</v>
      </c>
      <c r="B10" s="181" t="s">
        <v>412</v>
      </c>
      <c r="C10" s="181" t="s">
        <v>76</v>
      </c>
      <c r="D10" s="124">
        <f>96825</f>
        <v>96825</v>
      </c>
      <c r="E10" s="122">
        <v>30000</v>
      </c>
      <c r="F10" s="120">
        <f t="shared" si="0"/>
        <v>126825</v>
      </c>
      <c r="G10" s="120">
        <f>10000+5000</f>
        <v>15000</v>
      </c>
      <c r="H10" s="185">
        <f>32000</f>
        <v>32000</v>
      </c>
      <c r="I10" s="120">
        <v>0</v>
      </c>
      <c r="J10" s="120">
        <f t="shared" si="1"/>
        <v>47000</v>
      </c>
      <c r="K10" s="120">
        <f>300000</f>
        <v>300000</v>
      </c>
      <c r="L10" s="212"/>
    </row>
    <row r="11" spans="1:16" ht="20.100000000000001" customHeight="1">
      <c r="A11" s="73">
        <v>5</v>
      </c>
      <c r="B11" s="181" t="s">
        <v>22</v>
      </c>
      <c r="C11" s="181" t="s">
        <v>23</v>
      </c>
      <c r="D11" s="124">
        <v>45000</v>
      </c>
      <c r="E11" s="122">
        <v>15000</v>
      </c>
      <c r="F11" s="120">
        <f t="shared" si="0"/>
        <v>60000</v>
      </c>
      <c r="G11" s="120"/>
      <c r="H11" s="185"/>
      <c r="I11" s="120"/>
      <c r="J11" s="120">
        <f t="shared" si="1"/>
        <v>0</v>
      </c>
      <c r="K11" s="120">
        <f>100000</f>
        <v>100000</v>
      </c>
      <c r="L11" s="212"/>
    </row>
    <row r="12" spans="1:16" ht="20.100000000000001" customHeight="1">
      <c r="A12" s="73">
        <v>6</v>
      </c>
      <c r="B12" s="31" t="s">
        <v>346</v>
      </c>
      <c r="C12" s="181" t="s">
        <v>19</v>
      </c>
      <c r="D12" s="124">
        <f>90000</f>
        <v>90000</v>
      </c>
      <c r="E12" s="122">
        <v>30000</v>
      </c>
      <c r="F12" s="120">
        <f t="shared" si="0"/>
        <v>120000</v>
      </c>
      <c r="G12" s="120">
        <f>30000</f>
        <v>30000</v>
      </c>
      <c r="H12" s="185">
        <f>20000</f>
        <v>20000</v>
      </c>
      <c r="I12" s="120"/>
      <c r="J12" s="120">
        <f t="shared" si="1"/>
        <v>50000</v>
      </c>
      <c r="K12" s="120">
        <f>300000</f>
        <v>300000</v>
      </c>
      <c r="L12" s="212"/>
    </row>
    <row r="13" spans="1:16" ht="20.100000000000001" customHeight="1">
      <c r="A13" s="73">
        <v>7</v>
      </c>
      <c r="B13" s="181" t="s">
        <v>205</v>
      </c>
      <c r="C13" s="181" t="s">
        <v>19</v>
      </c>
      <c r="D13" s="124">
        <f>90000</f>
        <v>90000</v>
      </c>
      <c r="E13" s="122">
        <v>30000</v>
      </c>
      <c r="F13" s="120">
        <f t="shared" si="0"/>
        <v>120000</v>
      </c>
      <c r="G13" s="120">
        <f>50000</f>
        <v>50000</v>
      </c>
      <c r="H13" s="120">
        <f>10000</f>
        <v>10000</v>
      </c>
      <c r="I13" s="134"/>
      <c r="J13" s="120">
        <f t="shared" si="1"/>
        <v>60000</v>
      </c>
      <c r="K13" s="120">
        <f>300000</f>
        <v>300000</v>
      </c>
      <c r="L13" s="212"/>
    </row>
    <row r="14" spans="1:16" ht="20.100000000000001" customHeight="1">
      <c r="A14" s="73">
        <v>8</v>
      </c>
      <c r="B14" s="181" t="s">
        <v>24</v>
      </c>
      <c r="C14" s="181" t="s">
        <v>25</v>
      </c>
      <c r="D14" s="124">
        <f>50000</f>
        <v>50000</v>
      </c>
      <c r="E14" s="122">
        <v>15000</v>
      </c>
      <c r="F14" s="120">
        <f t="shared" si="0"/>
        <v>65000</v>
      </c>
      <c r="G14" s="120">
        <f>5000+5000</f>
        <v>10000</v>
      </c>
      <c r="H14" s="120">
        <f>14350</f>
        <v>14350</v>
      </c>
      <c r="I14" s="134"/>
      <c r="J14" s="120">
        <f t="shared" si="1"/>
        <v>24350</v>
      </c>
      <c r="K14" s="120">
        <f>100000</f>
        <v>100000</v>
      </c>
      <c r="L14" s="212"/>
    </row>
    <row r="15" spans="1:16" ht="20.100000000000001" customHeight="1">
      <c r="A15" s="73">
        <v>9</v>
      </c>
      <c r="B15" s="181" t="s">
        <v>26</v>
      </c>
      <c r="C15" s="181" t="s">
        <v>25</v>
      </c>
      <c r="D15" s="124">
        <f>50000</f>
        <v>50000</v>
      </c>
      <c r="E15" s="122">
        <v>15000</v>
      </c>
      <c r="F15" s="120">
        <f t="shared" si="0"/>
        <v>65000</v>
      </c>
      <c r="G15" s="120">
        <f>5000</f>
        <v>5000</v>
      </c>
      <c r="H15" s="120"/>
      <c r="I15" s="134"/>
      <c r="J15" s="120">
        <f t="shared" si="1"/>
        <v>5000</v>
      </c>
      <c r="K15" s="120">
        <f>100000</f>
        <v>100000</v>
      </c>
      <c r="L15" s="212"/>
    </row>
    <row r="16" spans="1:16" ht="20.100000000000001" customHeight="1">
      <c r="A16" s="73">
        <v>10</v>
      </c>
      <c r="B16" s="181" t="s">
        <v>27</v>
      </c>
      <c r="C16" s="181" t="s">
        <v>23</v>
      </c>
      <c r="D16" s="124">
        <f>60000</f>
        <v>60000</v>
      </c>
      <c r="E16" s="122">
        <v>20000</v>
      </c>
      <c r="F16" s="120">
        <f t="shared" si="0"/>
        <v>80000</v>
      </c>
      <c r="G16" s="120">
        <f>10000+2000</f>
        <v>12000</v>
      </c>
      <c r="H16" s="120"/>
      <c r="I16" s="134"/>
      <c r="J16" s="120">
        <f t="shared" si="1"/>
        <v>12000</v>
      </c>
      <c r="K16" s="120">
        <f>100000</f>
        <v>100000</v>
      </c>
      <c r="L16" s="212"/>
    </row>
    <row r="17" spans="1:12" ht="20.100000000000001" customHeight="1">
      <c r="A17" s="73">
        <v>11</v>
      </c>
      <c r="B17" s="31" t="s">
        <v>28</v>
      </c>
      <c r="C17" s="31" t="s">
        <v>29</v>
      </c>
      <c r="D17" s="124">
        <f>70000</f>
        <v>70000</v>
      </c>
      <c r="E17" s="122">
        <v>20000</v>
      </c>
      <c r="F17" s="120">
        <f>D17+E17</f>
        <v>90000</v>
      </c>
      <c r="G17" s="120">
        <f>10000</f>
        <v>10000</v>
      </c>
      <c r="H17" s="120"/>
      <c r="I17" s="134"/>
      <c r="J17" s="120">
        <f t="shared" si="1"/>
        <v>10000</v>
      </c>
      <c r="K17" s="120">
        <f>100000</f>
        <v>100000</v>
      </c>
      <c r="L17" s="212"/>
    </row>
    <row r="18" spans="1:12" ht="20.100000000000001" customHeight="1">
      <c r="A18" s="73">
        <v>12</v>
      </c>
      <c r="B18" s="31" t="s">
        <v>30</v>
      </c>
      <c r="C18" s="31" t="s">
        <v>19</v>
      </c>
      <c r="D18" s="124">
        <f t="shared" ref="D18:D24" si="2">90000</f>
        <v>90000</v>
      </c>
      <c r="E18" s="122">
        <v>30000</v>
      </c>
      <c r="F18" s="120">
        <f>(D18+E18)</f>
        <v>120000</v>
      </c>
      <c r="G18" s="120"/>
      <c r="H18" s="120"/>
      <c r="I18" s="120"/>
      <c r="J18" s="120">
        <f t="shared" si="1"/>
        <v>0</v>
      </c>
      <c r="K18" s="120">
        <v>300000</v>
      </c>
      <c r="L18" s="212"/>
    </row>
    <row r="19" spans="1:12" ht="20.100000000000001" customHeight="1">
      <c r="A19" s="73">
        <v>13</v>
      </c>
      <c r="B19" s="218" t="s">
        <v>181</v>
      </c>
      <c r="C19" s="31" t="s">
        <v>19</v>
      </c>
      <c r="D19" s="122">
        <f t="shared" si="2"/>
        <v>90000</v>
      </c>
      <c r="E19" s="122">
        <v>30000</v>
      </c>
      <c r="F19" s="120">
        <f t="shared" ref="F19:F20" si="3">D19+E19</f>
        <v>120000</v>
      </c>
      <c r="G19" s="120"/>
      <c r="H19" s="120"/>
      <c r="I19" s="122"/>
      <c r="J19" s="120">
        <f t="shared" si="1"/>
        <v>0</v>
      </c>
      <c r="K19" s="120">
        <v>300000</v>
      </c>
      <c r="L19" s="212"/>
    </row>
    <row r="20" spans="1:12" ht="20.100000000000001" customHeight="1">
      <c r="A20" s="73">
        <v>14</v>
      </c>
      <c r="B20" s="31" t="s">
        <v>413</v>
      </c>
      <c r="C20" s="181" t="s">
        <v>19</v>
      </c>
      <c r="D20" s="122">
        <f t="shared" si="2"/>
        <v>90000</v>
      </c>
      <c r="E20" s="122">
        <v>30000</v>
      </c>
      <c r="F20" s="120">
        <f t="shared" si="3"/>
        <v>120000</v>
      </c>
      <c r="G20" s="120"/>
      <c r="H20" s="120"/>
      <c r="I20" s="122"/>
      <c r="J20" s="120">
        <f t="shared" si="1"/>
        <v>0</v>
      </c>
      <c r="K20" s="120">
        <v>300000</v>
      </c>
      <c r="L20" s="212"/>
    </row>
    <row r="21" spans="1:12" ht="20.100000000000001" customHeight="1">
      <c r="A21" s="73">
        <v>15</v>
      </c>
      <c r="B21" s="31" t="s">
        <v>414</v>
      </c>
      <c r="C21" s="31" t="s">
        <v>19</v>
      </c>
      <c r="D21" s="217">
        <f t="shared" si="2"/>
        <v>90000</v>
      </c>
      <c r="E21" s="122">
        <f>30000</f>
        <v>30000</v>
      </c>
      <c r="F21" s="120">
        <f>(D21+E21)</f>
        <v>120000</v>
      </c>
      <c r="G21" s="120">
        <f>3000</f>
        <v>3000</v>
      </c>
      <c r="H21" s="134">
        <f>25000</f>
        <v>25000</v>
      </c>
      <c r="J21" s="120">
        <f>G21+H21</f>
        <v>28000</v>
      </c>
      <c r="K21" s="120">
        <v>300000</v>
      </c>
      <c r="L21" s="212"/>
    </row>
    <row r="22" spans="1:12" ht="20.100000000000001" customHeight="1">
      <c r="A22" s="73">
        <v>16</v>
      </c>
      <c r="B22" s="31" t="s">
        <v>348</v>
      </c>
      <c r="C22" s="31" t="s">
        <v>19</v>
      </c>
      <c r="D22" s="217">
        <f t="shared" si="2"/>
        <v>90000</v>
      </c>
      <c r="E22" s="122">
        <f>30000</f>
        <v>30000</v>
      </c>
      <c r="F22" s="120">
        <f>(D22+E22)</f>
        <v>120000</v>
      </c>
      <c r="G22" s="120"/>
      <c r="H22" s="120"/>
      <c r="I22" s="134"/>
      <c r="J22" s="120">
        <f t="shared" si="1"/>
        <v>0</v>
      </c>
      <c r="K22" s="120">
        <v>300000</v>
      </c>
      <c r="L22" s="212"/>
    </row>
    <row r="23" spans="1:12" ht="20.100000000000001" customHeight="1">
      <c r="A23" s="73">
        <v>17</v>
      </c>
      <c r="B23" s="31" t="s">
        <v>349</v>
      </c>
      <c r="C23" s="31" t="s">
        <v>19</v>
      </c>
      <c r="D23" s="217">
        <f t="shared" si="2"/>
        <v>90000</v>
      </c>
      <c r="E23" s="122">
        <f>30000</f>
        <v>30000</v>
      </c>
      <c r="F23" s="120">
        <f>(D23+E23)</f>
        <v>120000</v>
      </c>
      <c r="G23" s="120"/>
      <c r="H23" s="120"/>
      <c r="I23" s="134"/>
      <c r="J23" s="120">
        <f t="shared" si="1"/>
        <v>0</v>
      </c>
      <c r="K23" s="120">
        <v>300000</v>
      </c>
      <c r="L23" s="212"/>
    </row>
    <row r="24" spans="1:12" ht="20.100000000000001" customHeight="1">
      <c r="A24" s="73">
        <v>18</v>
      </c>
      <c r="B24" s="31" t="s">
        <v>415</v>
      </c>
      <c r="C24" s="31" t="s">
        <v>19</v>
      </c>
      <c r="D24" s="217">
        <f t="shared" si="2"/>
        <v>90000</v>
      </c>
      <c r="E24" s="122">
        <f>30000</f>
        <v>30000</v>
      </c>
      <c r="F24" s="120">
        <f>D24+E24</f>
        <v>120000</v>
      </c>
      <c r="G24" s="120"/>
      <c r="H24" s="120"/>
      <c r="I24" s="134"/>
      <c r="J24" s="120">
        <f t="shared" si="1"/>
        <v>0</v>
      </c>
      <c r="K24" s="120">
        <v>300000</v>
      </c>
      <c r="L24" s="212"/>
    </row>
    <row r="25" spans="1:12" ht="20.100000000000001" customHeight="1">
      <c r="A25" s="73">
        <v>19</v>
      </c>
      <c r="B25" s="31" t="s">
        <v>350</v>
      </c>
      <c r="C25" s="31" t="s">
        <v>19</v>
      </c>
      <c r="D25" s="217">
        <f>90000</f>
        <v>90000</v>
      </c>
      <c r="E25" s="216">
        <f>30000</f>
        <v>30000</v>
      </c>
      <c r="F25" s="120">
        <f t="shared" ref="F25" si="4">D25+E25</f>
        <v>120000</v>
      </c>
      <c r="G25" s="120"/>
      <c r="H25" s="120"/>
      <c r="I25" s="134"/>
      <c r="J25" s="120"/>
      <c r="K25" s="120">
        <v>300000</v>
      </c>
      <c r="L25" s="212"/>
    </row>
    <row r="26" spans="1:12" ht="20.100000000000001" customHeight="1">
      <c r="A26" s="73">
        <v>20</v>
      </c>
      <c r="B26" s="31" t="s">
        <v>126</v>
      </c>
      <c r="C26" s="31" t="s">
        <v>19</v>
      </c>
      <c r="D26" s="217">
        <v>90000</v>
      </c>
      <c r="E26" s="216">
        <v>0</v>
      </c>
      <c r="F26" s="120">
        <f>90000*15/31</f>
        <v>43548.387096774197</v>
      </c>
      <c r="G26" s="120"/>
      <c r="H26" s="120"/>
      <c r="I26" s="134"/>
      <c r="J26" s="120"/>
      <c r="K26" s="120">
        <f>300000</f>
        <v>300000</v>
      </c>
      <c r="L26" s="212"/>
    </row>
    <row r="27" spans="1:12" ht="20.100000000000001" customHeight="1">
      <c r="A27" s="73">
        <v>21</v>
      </c>
      <c r="B27" s="31" t="s">
        <v>120</v>
      </c>
      <c r="C27" s="31" t="s">
        <v>433</v>
      </c>
      <c r="D27" s="217"/>
      <c r="E27" s="216"/>
      <c r="F27" s="120"/>
      <c r="G27" s="120"/>
      <c r="H27" s="120"/>
      <c r="I27" s="134"/>
      <c r="J27" s="120"/>
      <c r="K27" s="120">
        <f>300000</f>
        <v>300000</v>
      </c>
      <c r="L27" s="212"/>
    </row>
    <row r="28" spans="1:12" ht="20.100000000000001" customHeight="1">
      <c r="A28" s="73">
        <v>22</v>
      </c>
      <c r="B28" s="31" t="s">
        <v>122</v>
      </c>
      <c r="C28" s="31" t="s">
        <v>433</v>
      </c>
      <c r="D28" s="217"/>
      <c r="E28" s="216"/>
      <c r="F28" s="120"/>
      <c r="G28" s="120"/>
      <c r="H28" s="120"/>
      <c r="I28" s="134"/>
      <c r="J28" s="120"/>
      <c r="K28" s="120">
        <v>300000</v>
      </c>
      <c r="L28" s="212"/>
    </row>
    <row r="29" spans="1:12" ht="20.100000000000001" customHeight="1">
      <c r="A29" s="73"/>
      <c r="B29" s="102"/>
      <c r="C29" s="31"/>
      <c r="D29" s="179">
        <f t="shared" ref="D29:J29" si="5">SUM(D7:D26)</f>
        <v>1541825</v>
      </c>
      <c r="E29" s="180">
        <f t="shared" si="5"/>
        <v>475000</v>
      </c>
      <c r="F29" s="125">
        <f t="shared" si="5"/>
        <v>1970373.3870967743</v>
      </c>
      <c r="G29" s="125">
        <f t="shared" si="5"/>
        <v>205000</v>
      </c>
      <c r="H29" s="125">
        <f t="shared" si="5"/>
        <v>151350</v>
      </c>
      <c r="I29" s="178">
        <f t="shared" si="5"/>
        <v>0</v>
      </c>
      <c r="J29" s="125">
        <f t="shared" si="5"/>
        <v>356350</v>
      </c>
      <c r="K29" s="125">
        <f>SUM(K7:K28)</f>
        <v>5200000</v>
      </c>
      <c r="L29" s="212"/>
    </row>
    <row r="30" spans="1:12" ht="20.100000000000001" customHeight="1">
      <c r="A30" s="73"/>
      <c r="B30" s="169"/>
      <c r="C30" s="341" t="s">
        <v>429</v>
      </c>
      <c r="D30" s="341" t="s">
        <v>427</v>
      </c>
      <c r="E30" s="342"/>
      <c r="F30" s="342"/>
      <c r="G30" s="208">
        <f>H29+G29</f>
        <v>356350</v>
      </c>
      <c r="H30" s="208"/>
      <c r="I30" s="127"/>
      <c r="J30" s="127"/>
      <c r="K30" s="127"/>
      <c r="L30" s="214"/>
    </row>
    <row r="31" spans="1:12" ht="20.100000000000001" customHeight="1">
      <c r="A31" s="73"/>
      <c r="B31" s="169"/>
      <c r="C31" s="341"/>
      <c r="D31" s="341"/>
      <c r="E31" s="342"/>
      <c r="F31" s="342"/>
      <c r="G31" s="208">
        <f>436350-G30</f>
        <v>80000</v>
      </c>
      <c r="H31" s="215"/>
      <c r="I31" s="127"/>
      <c r="J31" s="127"/>
      <c r="K31" s="127"/>
      <c r="L31" s="214"/>
    </row>
    <row r="32" spans="1:12" ht="20.100000000000001" customHeight="1">
      <c r="A32" s="70"/>
      <c r="G32" s="116"/>
      <c r="H32" s="8"/>
    </row>
    <row r="33" spans="1:12" ht="20.100000000000001" customHeight="1">
      <c r="A33" s="70"/>
      <c r="K33" s="116"/>
      <c r="L33" s="116"/>
    </row>
    <row r="34" spans="1:12" ht="20.100000000000001" customHeight="1">
      <c r="A34" s="70"/>
      <c r="G34" s="168"/>
    </row>
    <row r="35" spans="1:12" ht="20.100000000000001" customHeight="1">
      <c r="A35" s="70"/>
      <c r="C35" s="168"/>
      <c r="D35" s="168"/>
      <c r="E35" s="168"/>
      <c r="F35" s="187"/>
      <c r="G35" s="168"/>
    </row>
    <row r="36" spans="1:12" ht="20.100000000000001" customHeight="1">
      <c r="A36" s="70"/>
      <c r="C36" s="168"/>
      <c r="D36" s="168"/>
      <c r="E36" s="168"/>
      <c r="F36" s="187"/>
    </row>
    <row r="37" spans="1:12" ht="20.100000000000001" customHeight="1">
      <c r="A37" s="70"/>
      <c r="C37" s="168"/>
      <c r="D37" s="168"/>
      <c r="E37" s="168"/>
      <c r="F37" s="187"/>
    </row>
    <row r="38" spans="1:12" ht="20.100000000000001" customHeight="1">
      <c r="A38" s="70"/>
      <c r="C38" s="168"/>
      <c r="D38" s="168"/>
      <c r="E38" s="168"/>
    </row>
    <row r="39" spans="1:12" ht="20.100000000000001" customHeight="1">
      <c r="A39" s="70"/>
    </row>
    <row r="40" spans="1:12" ht="20.100000000000001" customHeight="1">
      <c r="A40" s="70"/>
    </row>
    <row r="41" spans="1:12" ht="20.100000000000001" customHeight="1">
      <c r="A41" s="70"/>
    </row>
    <row r="42" spans="1:12" ht="20.100000000000001" customHeight="1">
      <c r="A42" s="70"/>
    </row>
    <row r="43" spans="1:12" ht="20.100000000000001" customHeight="1">
      <c r="A43" s="70"/>
    </row>
    <row r="44" spans="1:12" ht="20.100000000000001" customHeight="1">
      <c r="A44" s="70"/>
    </row>
    <row r="45" spans="1:12" ht="20.100000000000001" customHeight="1">
      <c r="A45" s="70"/>
    </row>
    <row r="46" spans="1:12" ht="20.100000000000001" customHeight="1">
      <c r="A46" s="70"/>
    </row>
    <row r="47" spans="1:12" ht="20.100000000000001" customHeight="1">
      <c r="A47" s="70"/>
    </row>
    <row r="48" spans="1:12" ht="20.100000000000001" customHeight="1">
      <c r="A48" s="70"/>
    </row>
    <row r="49" spans="1:1" ht="20.100000000000001" customHeight="1">
      <c r="A49" s="70"/>
    </row>
    <row r="50" spans="1:1" ht="20.100000000000001" customHeight="1">
      <c r="A50" s="70"/>
    </row>
    <row r="51" spans="1:1" ht="20.100000000000001" customHeight="1">
      <c r="A51" s="70"/>
    </row>
    <row r="52" spans="1:1" ht="20.100000000000001" customHeight="1">
      <c r="A52" s="70"/>
    </row>
    <row r="53" spans="1:1" ht="20.100000000000001" customHeight="1">
      <c r="A53" s="70"/>
    </row>
    <row r="54" spans="1:1" ht="20.100000000000001" customHeight="1">
      <c r="A54" s="70"/>
    </row>
    <row r="55" spans="1:1" ht="20.100000000000001" customHeight="1">
      <c r="A55" s="70"/>
    </row>
    <row r="56" spans="1:1" ht="20.100000000000001" customHeight="1">
      <c r="A56" s="70"/>
    </row>
    <row r="57" spans="1:1" ht="20.100000000000001" customHeight="1">
      <c r="A57" s="70"/>
    </row>
    <row r="58" spans="1:1" ht="20.100000000000001" customHeight="1">
      <c r="A58" s="70"/>
    </row>
    <row r="59" spans="1:1" ht="20.100000000000001" customHeight="1">
      <c r="A59" s="70"/>
    </row>
    <row r="60" spans="1:1" ht="20.100000000000001" customHeight="1">
      <c r="A60" s="70"/>
    </row>
    <row r="61" spans="1:1" ht="20.100000000000001" customHeight="1">
      <c r="A61" s="70"/>
    </row>
    <row r="62" spans="1:1" ht="20.100000000000001" customHeight="1">
      <c r="A62" s="70"/>
    </row>
    <row r="63" spans="1:1" ht="20.100000000000001" customHeight="1">
      <c r="A63" s="70"/>
    </row>
    <row r="64" spans="1:1" ht="20.100000000000001" customHeight="1">
      <c r="A64" s="70"/>
    </row>
    <row r="65" spans="1:1" ht="20.100000000000001" customHeight="1">
      <c r="A65" s="70"/>
    </row>
    <row r="66" spans="1:1" ht="20.100000000000001" customHeight="1">
      <c r="A66" s="70"/>
    </row>
    <row r="67" spans="1:1" ht="20.100000000000001" customHeight="1">
      <c r="A67" s="70"/>
    </row>
    <row r="68" spans="1:1" ht="20.100000000000001" customHeight="1">
      <c r="A68" s="70"/>
    </row>
    <row r="69" spans="1:1" ht="20.100000000000001" customHeight="1">
      <c r="A69" s="70"/>
    </row>
    <row r="70" spans="1:1" ht="20.100000000000001" customHeight="1">
      <c r="A70" s="70"/>
    </row>
    <row r="71" spans="1:1" ht="20.100000000000001" customHeight="1">
      <c r="A71" s="70"/>
    </row>
    <row r="72" spans="1:1" ht="20.100000000000001" customHeight="1">
      <c r="A72" s="23"/>
    </row>
  </sheetData>
  <mergeCells count="5">
    <mergeCell ref="A3:K3"/>
    <mergeCell ref="G5:J5"/>
    <mergeCell ref="C30:C31"/>
    <mergeCell ref="D30:D31"/>
    <mergeCell ref="E30:F31"/>
  </mergeCells>
  <pageMargins left="0.51181102362204722" right="0" top="0" bottom="7.874015748031496E-2" header="0.11811023622047245" footer="0"/>
  <pageSetup paperSize="9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86"/>
  <sheetViews>
    <sheetView view="pageBreakPreview" zoomScale="68" zoomScaleSheetLayoutView="68" workbookViewId="0">
      <pane xSplit="5" ySplit="6" topLeftCell="L16" activePane="bottomRight" state="frozen"/>
      <selection pane="bottomRight"/>
      <selection pane="bottomLeft"/>
      <selection pane="topRight"/>
    </sheetView>
  </sheetViews>
  <sheetFormatPr defaultColWidth="9.140625" defaultRowHeight="20.100000000000001" customHeight="1"/>
  <cols>
    <col min="1" max="1" width="6.140625" style="1" customWidth="1"/>
    <col min="2" max="2" width="36.5703125" style="1" customWidth="1"/>
    <col min="3" max="3" width="30.140625" style="1" customWidth="1"/>
    <col min="4" max="4" width="41.28515625" style="1" hidden="1" customWidth="1"/>
    <col min="5" max="5" width="32.85546875" style="1" hidden="1" customWidth="1"/>
    <col min="6" max="6" width="24" style="1" hidden="1" customWidth="1"/>
    <col min="7" max="7" width="19" style="1" hidden="1" customWidth="1"/>
    <col min="8" max="8" width="22.140625" style="1" hidden="1" customWidth="1"/>
    <col min="9" max="9" width="16.140625" style="1" hidden="1" customWidth="1"/>
    <col min="10" max="10" width="19.5703125" style="1" hidden="1" customWidth="1"/>
    <col min="11" max="11" width="21.5703125" style="1" hidden="1" customWidth="1"/>
    <col min="12" max="12" width="23.85546875" style="1" customWidth="1"/>
    <col min="13" max="13" width="0.7109375" style="1" customWidth="1"/>
    <col min="14" max="14" width="21.5703125" style="1" customWidth="1"/>
    <col min="15" max="15" width="9.140625" style="1" customWidth="1"/>
    <col min="16" max="16384" width="9.140625" style="1"/>
  </cols>
  <sheetData>
    <row r="1" spans="1:17" ht="29.25" customHeight="1">
      <c r="A1" s="23"/>
      <c r="B1" s="22"/>
      <c r="C1" s="22"/>
      <c r="D1" s="22"/>
      <c r="E1" s="22"/>
      <c r="F1" s="23"/>
      <c r="G1" s="23"/>
      <c r="H1" s="23"/>
      <c r="I1" s="23"/>
      <c r="J1" s="23"/>
      <c r="K1" s="23"/>
      <c r="L1" s="23"/>
      <c r="M1" s="23"/>
      <c r="Q1" s="1" t="s">
        <v>407</v>
      </c>
    </row>
    <row r="2" spans="1:17" ht="5.25" customHeight="1">
      <c r="A2" s="23"/>
      <c r="B2" s="23"/>
      <c r="C2" s="23"/>
      <c r="D2" s="23"/>
      <c r="E2" s="23"/>
      <c r="F2" s="24"/>
      <c r="G2" s="24"/>
      <c r="H2" s="24"/>
      <c r="I2" s="24"/>
      <c r="J2" s="24"/>
      <c r="K2" s="24"/>
      <c r="L2" s="24"/>
      <c r="M2" s="24"/>
    </row>
    <row r="3" spans="1:17" ht="34.35" customHeight="1">
      <c r="A3" s="23"/>
      <c r="B3" s="339" t="s">
        <v>434</v>
      </c>
      <c r="C3" s="339"/>
      <c r="D3" s="339"/>
      <c r="E3" s="25"/>
      <c r="F3" s="24"/>
      <c r="G3" s="24"/>
      <c r="H3" s="24"/>
      <c r="I3" s="24"/>
      <c r="J3" s="24"/>
      <c r="K3" s="24"/>
      <c r="L3" s="24"/>
      <c r="M3" s="24"/>
    </row>
    <row r="4" spans="1:17" ht="2.25" customHeight="1">
      <c r="A4" s="23"/>
      <c r="B4" s="339"/>
      <c r="C4" s="339"/>
      <c r="D4" s="339"/>
      <c r="E4" s="23"/>
      <c r="F4" s="23"/>
      <c r="G4" s="23"/>
      <c r="H4" s="23"/>
      <c r="I4" s="23"/>
      <c r="J4" s="23"/>
      <c r="K4" s="23"/>
      <c r="L4" s="23"/>
      <c r="M4" s="23"/>
    </row>
    <row r="5" spans="1:17" ht="20.100000000000001" customHeight="1">
      <c r="A5" s="23"/>
      <c r="C5" s="26"/>
      <c r="D5" s="103"/>
      <c r="E5" s="103"/>
      <c r="F5" s="103"/>
      <c r="G5" s="340" t="s">
        <v>7</v>
      </c>
      <c r="H5" s="340"/>
      <c r="I5" s="340"/>
      <c r="J5" s="340"/>
      <c r="K5" s="340"/>
      <c r="L5" s="26" t="s">
        <v>435</v>
      </c>
      <c r="M5" s="26"/>
    </row>
    <row r="6" spans="1:17" ht="35.450000000000003" customHeight="1">
      <c r="A6" s="33" t="s">
        <v>1</v>
      </c>
      <c r="B6" s="34" t="s">
        <v>2</v>
      </c>
      <c r="C6" s="27" t="s">
        <v>3</v>
      </c>
      <c r="D6" s="28" t="s">
        <v>6</v>
      </c>
      <c r="E6" s="28" t="s">
        <v>409</v>
      </c>
      <c r="F6" s="28" t="s">
        <v>6</v>
      </c>
      <c r="G6" s="28"/>
      <c r="H6" s="28"/>
      <c r="I6" s="28"/>
      <c r="J6" s="28"/>
      <c r="K6" s="28"/>
      <c r="L6" s="188">
        <v>44378</v>
      </c>
      <c r="M6" s="211"/>
    </row>
    <row r="7" spans="1:17" ht="20.100000000000001" customHeight="1">
      <c r="A7" s="73">
        <v>1</v>
      </c>
      <c r="B7" s="57" t="s">
        <v>14</v>
      </c>
      <c r="C7" s="59" t="s">
        <v>15</v>
      </c>
      <c r="D7" s="134">
        <v>114649.42</v>
      </c>
      <c r="E7" s="134">
        <f>0</f>
        <v>0</v>
      </c>
      <c r="F7" s="120">
        <f t="shared" ref="F7:F14" si="0">D7+E7</f>
        <v>114649.42</v>
      </c>
      <c r="G7" s="134">
        <f>30000</f>
        <v>30000</v>
      </c>
      <c r="H7" s="134">
        <f>43750</f>
        <v>43750</v>
      </c>
      <c r="I7" s="134"/>
      <c r="J7" s="178">
        <v>0</v>
      </c>
      <c r="K7" s="120">
        <f t="shared" ref="K7:K25" si="1">G7+H7+J7</f>
        <v>73750</v>
      </c>
      <c r="L7" s="120">
        <f>30000</f>
        <v>30000</v>
      </c>
      <c r="M7" s="212"/>
      <c r="N7" s="187"/>
    </row>
    <row r="8" spans="1:17" ht="20.100000000000001" customHeight="1">
      <c r="A8" s="73">
        <v>2</v>
      </c>
      <c r="B8" s="181" t="s">
        <v>16</v>
      </c>
      <c r="C8" s="181" t="s">
        <v>17</v>
      </c>
      <c r="D8" s="124">
        <v>90000</v>
      </c>
      <c r="E8" s="122"/>
      <c r="F8" s="120">
        <f t="shared" si="0"/>
        <v>90000</v>
      </c>
      <c r="G8" s="120">
        <v>20000</v>
      </c>
      <c r="H8" s="120">
        <f>20000</f>
        <v>20000</v>
      </c>
      <c r="I8" s="120"/>
      <c r="J8" s="120">
        <v>0</v>
      </c>
      <c r="K8" s="120">
        <f t="shared" si="1"/>
        <v>40000</v>
      </c>
      <c r="L8" s="120">
        <f>30000</f>
        <v>30000</v>
      </c>
      <c r="M8" s="212"/>
    </row>
    <row r="9" spans="1:17" ht="20.100000000000001" customHeight="1">
      <c r="A9" s="73">
        <v>3</v>
      </c>
      <c r="B9" s="181" t="s">
        <v>18</v>
      </c>
      <c r="C9" s="181" t="s">
        <v>177</v>
      </c>
      <c r="D9" s="124">
        <v>45000</v>
      </c>
      <c r="E9" s="122"/>
      <c r="F9" s="120">
        <f t="shared" si="0"/>
        <v>45000</v>
      </c>
      <c r="G9" s="120">
        <f>10000</f>
        <v>10000</v>
      </c>
      <c r="H9" s="120"/>
      <c r="I9" s="120"/>
      <c r="J9" s="120">
        <v>0</v>
      </c>
      <c r="K9" s="120">
        <f t="shared" si="1"/>
        <v>10000</v>
      </c>
      <c r="L9" s="120">
        <v>20000</v>
      </c>
      <c r="M9" s="212"/>
    </row>
    <row r="10" spans="1:17" ht="20.100000000000001" customHeight="1">
      <c r="A10" s="73">
        <v>4</v>
      </c>
      <c r="B10" s="181" t="s">
        <v>20</v>
      </c>
      <c r="C10" s="181" t="s">
        <v>21</v>
      </c>
      <c r="D10" s="124">
        <v>45000</v>
      </c>
      <c r="E10" s="122"/>
      <c r="F10" s="120">
        <f t="shared" si="0"/>
        <v>45000</v>
      </c>
      <c r="G10" s="120">
        <f>10000</f>
        <v>10000</v>
      </c>
      <c r="H10" s="185">
        <f>20000</f>
        <v>20000</v>
      </c>
      <c r="I10" s="120"/>
      <c r="J10" s="120">
        <v>0</v>
      </c>
      <c r="K10" s="120">
        <f t="shared" si="1"/>
        <v>30000</v>
      </c>
      <c r="L10" s="120">
        <v>20000</v>
      </c>
      <c r="M10" s="212"/>
    </row>
    <row r="11" spans="1:17" ht="20.100000000000001" customHeight="1">
      <c r="A11" s="73">
        <v>5</v>
      </c>
      <c r="B11" s="181" t="s">
        <v>412</v>
      </c>
      <c r="C11" s="181" t="s">
        <v>76</v>
      </c>
      <c r="D11" s="124">
        <f>96825</f>
        <v>96825</v>
      </c>
      <c r="E11" s="122">
        <f>0</f>
        <v>0</v>
      </c>
      <c r="F11" s="120">
        <f t="shared" si="0"/>
        <v>96825</v>
      </c>
      <c r="G11" s="120">
        <f>10000+3000</f>
        <v>13000</v>
      </c>
      <c r="H11" s="185">
        <f>32000</f>
        <v>32000</v>
      </c>
      <c r="I11" s="120"/>
      <c r="J11" s="120">
        <v>0</v>
      </c>
      <c r="K11" s="120">
        <f t="shared" si="1"/>
        <v>45000</v>
      </c>
      <c r="L11" s="120">
        <v>30000</v>
      </c>
      <c r="M11" s="212"/>
    </row>
    <row r="12" spans="1:17" ht="20.100000000000001" customHeight="1">
      <c r="A12" s="73">
        <v>6</v>
      </c>
      <c r="B12" s="181" t="s">
        <v>22</v>
      </c>
      <c r="C12" s="181" t="s">
        <v>23</v>
      </c>
      <c r="D12" s="124">
        <v>45000</v>
      </c>
      <c r="E12" s="122"/>
      <c r="F12" s="120">
        <f t="shared" si="0"/>
        <v>45000</v>
      </c>
      <c r="G12" s="120"/>
      <c r="H12" s="185"/>
      <c r="I12" s="120"/>
      <c r="J12" s="120"/>
      <c r="K12" s="120">
        <f t="shared" si="1"/>
        <v>0</v>
      </c>
      <c r="L12" s="120">
        <v>20000</v>
      </c>
      <c r="M12" s="212"/>
    </row>
    <row r="13" spans="1:17" ht="20.100000000000001" customHeight="1">
      <c r="A13" s="73">
        <v>7</v>
      </c>
      <c r="B13" s="31" t="s">
        <v>346</v>
      </c>
      <c r="C13" s="181" t="s">
        <v>19</v>
      </c>
      <c r="D13" s="124">
        <f>90000</f>
        <v>90000</v>
      </c>
      <c r="E13" s="122"/>
      <c r="F13" s="120">
        <f t="shared" si="0"/>
        <v>90000</v>
      </c>
      <c r="G13" s="120">
        <f>30000</f>
        <v>30000</v>
      </c>
      <c r="H13" s="185">
        <f>20000</f>
        <v>20000</v>
      </c>
      <c r="I13" s="120"/>
      <c r="J13" s="120"/>
      <c r="K13" s="120">
        <f t="shared" si="1"/>
        <v>50000</v>
      </c>
      <c r="L13" s="120">
        <f>30000</f>
        <v>30000</v>
      </c>
      <c r="M13" s="212"/>
    </row>
    <row r="14" spans="1:17" ht="20.100000000000001" customHeight="1">
      <c r="A14" s="73">
        <v>8</v>
      </c>
      <c r="B14" s="31" t="s">
        <v>436</v>
      </c>
      <c r="C14" s="181" t="s">
        <v>19</v>
      </c>
      <c r="D14" s="124">
        <f>90000</f>
        <v>90000</v>
      </c>
      <c r="E14" s="122"/>
      <c r="F14" s="120">
        <f t="shared" si="0"/>
        <v>90000</v>
      </c>
      <c r="G14" s="120">
        <f>50000</f>
        <v>50000</v>
      </c>
      <c r="H14" s="120"/>
      <c r="I14" s="120"/>
      <c r="J14" s="120"/>
      <c r="K14" s="120">
        <f t="shared" si="1"/>
        <v>50000</v>
      </c>
      <c r="L14" s="120">
        <f>30000</f>
        <v>30000</v>
      </c>
      <c r="M14" s="212"/>
    </row>
    <row r="15" spans="1:17" ht="20.100000000000001" customHeight="1">
      <c r="A15" s="73">
        <v>9</v>
      </c>
      <c r="B15" s="31" t="s">
        <v>437</v>
      </c>
      <c r="C15" s="181" t="s">
        <v>34</v>
      </c>
      <c r="D15" s="124">
        <f>422590.63</f>
        <v>422590.63</v>
      </c>
      <c r="E15" s="122"/>
      <c r="F15" s="120">
        <f>(D15+E15)</f>
        <v>422590.63</v>
      </c>
      <c r="G15" s="120"/>
      <c r="H15" s="120"/>
      <c r="I15" s="120"/>
      <c r="J15" s="120">
        <f>(15548.33)+(13/31*15548.33)</f>
        <v>22068.597419354839</v>
      </c>
      <c r="K15" s="120">
        <f t="shared" si="1"/>
        <v>22068.597419354839</v>
      </c>
      <c r="L15" s="120">
        <v>70000</v>
      </c>
      <c r="M15" s="212"/>
    </row>
    <row r="16" spans="1:17" ht="20.100000000000001" customHeight="1">
      <c r="A16" s="73">
        <v>10</v>
      </c>
      <c r="B16" s="31" t="s">
        <v>186</v>
      </c>
      <c r="C16" s="181" t="s">
        <v>34</v>
      </c>
      <c r="D16" s="124">
        <f>407042.3</f>
        <v>407042.3</v>
      </c>
      <c r="E16" s="122"/>
      <c r="F16" s="120">
        <f>D16+E16</f>
        <v>407042.3</v>
      </c>
      <c r="G16" s="120"/>
      <c r="H16" s="120"/>
      <c r="I16" s="120"/>
      <c r="J16" s="134">
        <f t="shared" ref="J16" si="2">15548.33</f>
        <v>15548.33</v>
      </c>
      <c r="K16" s="120">
        <f t="shared" si="1"/>
        <v>15548.33</v>
      </c>
      <c r="L16" s="120">
        <v>70000</v>
      </c>
      <c r="M16" s="212"/>
    </row>
    <row r="17" spans="1:13" ht="20.100000000000001" customHeight="1">
      <c r="A17" s="73">
        <v>11</v>
      </c>
      <c r="B17" s="181" t="s">
        <v>205</v>
      </c>
      <c r="C17" s="181" t="s">
        <v>19</v>
      </c>
      <c r="D17" s="124">
        <f>90000</f>
        <v>90000</v>
      </c>
      <c r="E17" s="122"/>
      <c r="F17" s="120">
        <f t="shared" ref="F17:F25" si="3">D17+E17</f>
        <v>90000</v>
      </c>
      <c r="G17" s="120">
        <f>50000</f>
        <v>50000</v>
      </c>
      <c r="H17" s="120"/>
      <c r="I17" s="120"/>
      <c r="J17" s="134"/>
      <c r="K17" s="120">
        <f t="shared" si="1"/>
        <v>50000</v>
      </c>
      <c r="L17" s="120">
        <f>30000</f>
        <v>30000</v>
      </c>
      <c r="M17" s="212"/>
    </row>
    <row r="18" spans="1:13" ht="20.100000000000001" customHeight="1">
      <c r="A18" s="73">
        <v>12</v>
      </c>
      <c r="B18" s="181" t="s">
        <v>24</v>
      </c>
      <c r="C18" s="181" t="s">
        <v>25</v>
      </c>
      <c r="D18" s="124">
        <f>50000</f>
        <v>50000</v>
      </c>
      <c r="E18" s="122"/>
      <c r="F18" s="120">
        <f t="shared" si="3"/>
        <v>50000</v>
      </c>
      <c r="G18" s="120">
        <f>5000+3000</f>
        <v>8000</v>
      </c>
      <c r="H18" s="120">
        <f>7350+8750</f>
        <v>16100</v>
      </c>
      <c r="I18" s="120"/>
      <c r="J18" s="134"/>
      <c r="K18" s="120">
        <f t="shared" si="1"/>
        <v>24100</v>
      </c>
      <c r="L18" s="120">
        <f>30000</f>
        <v>30000</v>
      </c>
      <c r="M18" s="212"/>
    </row>
    <row r="19" spans="1:13" ht="20.100000000000001" customHeight="1">
      <c r="A19" s="73">
        <v>13</v>
      </c>
      <c r="B19" s="181" t="s">
        <v>26</v>
      </c>
      <c r="C19" s="181" t="s">
        <v>25</v>
      </c>
      <c r="D19" s="124">
        <f>50000</f>
        <v>50000</v>
      </c>
      <c r="E19" s="122"/>
      <c r="F19" s="120">
        <f t="shared" si="3"/>
        <v>50000</v>
      </c>
      <c r="G19" s="120">
        <f>5000</f>
        <v>5000</v>
      </c>
      <c r="H19" s="120"/>
      <c r="I19" s="120"/>
      <c r="J19" s="134"/>
      <c r="K19" s="120">
        <f t="shared" si="1"/>
        <v>5000</v>
      </c>
      <c r="L19" s="120">
        <f>30000</f>
        <v>30000</v>
      </c>
      <c r="M19" s="212"/>
    </row>
    <row r="20" spans="1:13" ht="20.100000000000001" customHeight="1">
      <c r="A20" s="73">
        <v>14</v>
      </c>
      <c r="B20" s="181" t="s">
        <v>27</v>
      </c>
      <c r="C20" s="181" t="s">
        <v>23</v>
      </c>
      <c r="D20" s="124">
        <f>60000</f>
        <v>60000</v>
      </c>
      <c r="E20" s="122"/>
      <c r="F20" s="120">
        <f t="shared" si="3"/>
        <v>60000</v>
      </c>
      <c r="G20" s="120"/>
      <c r="H20" s="120"/>
      <c r="I20" s="120"/>
      <c r="J20" s="134"/>
      <c r="K20" s="120">
        <f t="shared" si="1"/>
        <v>0</v>
      </c>
      <c r="L20" s="120">
        <f>30000</f>
        <v>30000</v>
      </c>
      <c r="M20" s="212"/>
    </row>
    <row r="21" spans="1:13" ht="20.100000000000001" customHeight="1">
      <c r="A21" s="73">
        <v>15</v>
      </c>
      <c r="B21" s="181" t="s">
        <v>238</v>
      </c>
      <c r="C21" s="181" t="s">
        <v>34</v>
      </c>
      <c r="D21" s="124">
        <f>444720</f>
        <v>444720</v>
      </c>
      <c r="E21" s="122">
        <f>0</f>
        <v>0</v>
      </c>
      <c r="F21" s="120">
        <f t="shared" si="3"/>
        <v>444720</v>
      </c>
      <c r="G21" s="120"/>
      <c r="H21" s="120"/>
      <c r="I21" s="120"/>
      <c r="J21" s="134">
        <f>15548.33</f>
        <v>15548.33</v>
      </c>
      <c r="K21" s="120">
        <f t="shared" si="1"/>
        <v>15548.33</v>
      </c>
      <c r="L21" s="120">
        <v>70000</v>
      </c>
      <c r="M21" s="212"/>
    </row>
    <row r="22" spans="1:13" ht="20.100000000000001" customHeight="1">
      <c r="A22" s="73">
        <v>16</v>
      </c>
      <c r="B22" s="181" t="s">
        <v>232</v>
      </c>
      <c r="C22" s="181" t="s">
        <v>19</v>
      </c>
      <c r="D22" s="124">
        <f>90000</f>
        <v>90000</v>
      </c>
      <c r="E22" s="122"/>
      <c r="F22" s="120">
        <f t="shared" si="3"/>
        <v>90000</v>
      </c>
      <c r="G22" s="120">
        <f>0</f>
        <v>0</v>
      </c>
      <c r="H22" s="185">
        <f>0</f>
        <v>0</v>
      </c>
      <c r="I22" s="120"/>
      <c r="J22" s="120"/>
      <c r="K22" s="120">
        <f t="shared" si="1"/>
        <v>0</v>
      </c>
      <c r="L22" s="120">
        <f>30000</f>
        <v>30000</v>
      </c>
      <c r="M22" s="212"/>
    </row>
    <row r="23" spans="1:13" ht="20.100000000000001" customHeight="1">
      <c r="A23" s="73">
        <v>17</v>
      </c>
      <c r="B23" s="181" t="s">
        <v>438</v>
      </c>
      <c r="C23" s="181" t="s">
        <v>19</v>
      </c>
      <c r="D23" s="124">
        <f>90000</f>
        <v>90000</v>
      </c>
      <c r="E23" s="122"/>
      <c r="F23" s="120">
        <f t="shared" si="3"/>
        <v>90000</v>
      </c>
      <c r="G23" s="120">
        <f>0</f>
        <v>0</v>
      </c>
      <c r="H23" s="185">
        <f>0</f>
        <v>0</v>
      </c>
      <c r="I23" s="120"/>
      <c r="J23" s="120"/>
      <c r="K23" s="120">
        <f t="shared" si="1"/>
        <v>0</v>
      </c>
      <c r="L23" s="120">
        <f>30000</f>
        <v>30000</v>
      </c>
      <c r="M23" s="212"/>
    </row>
    <row r="24" spans="1:13" ht="20.100000000000001" customHeight="1">
      <c r="A24" s="73">
        <v>18</v>
      </c>
      <c r="B24" s="181" t="s">
        <v>179</v>
      </c>
      <c r="C24" s="181" t="s">
        <v>19</v>
      </c>
      <c r="D24" s="124">
        <f>90000</f>
        <v>90000</v>
      </c>
      <c r="E24" s="122"/>
      <c r="F24" s="120">
        <f t="shared" si="3"/>
        <v>90000</v>
      </c>
      <c r="G24" s="120">
        <f>0</f>
        <v>0</v>
      </c>
      <c r="H24" s="185">
        <f>0</f>
        <v>0</v>
      </c>
      <c r="I24" s="120"/>
      <c r="J24" s="120"/>
      <c r="K24" s="120">
        <f t="shared" si="1"/>
        <v>0</v>
      </c>
      <c r="L24" s="120">
        <f>30000</f>
        <v>30000</v>
      </c>
      <c r="M24" s="212"/>
    </row>
    <row r="25" spans="1:13" ht="20.100000000000001" customHeight="1">
      <c r="A25" s="73">
        <v>19</v>
      </c>
      <c r="B25" s="31" t="s">
        <v>439</v>
      </c>
      <c r="C25" s="31" t="s">
        <v>76</v>
      </c>
      <c r="D25" s="124">
        <f>123329</f>
        <v>123329</v>
      </c>
      <c r="E25" s="122"/>
      <c r="F25" s="120">
        <f t="shared" si="3"/>
        <v>123329</v>
      </c>
      <c r="G25" s="120">
        <f>70000</f>
        <v>70000</v>
      </c>
      <c r="H25" s="120"/>
      <c r="I25" s="120"/>
      <c r="J25" s="120">
        <f>1235.19</f>
        <v>1235.19</v>
      </c>
      <c r="K25" s="120">
        <f t="shared" si="1"/>
        <v>71235.19</v>
      </c>
      <c r="L25" s="120">
        <f>30000</f>
        <v>30000</v>
      </c>
      <c r="M25" s="212"/>
    </row>
    <row r="26" spans="1:13" ht="20.100000000000001" customHeight="1">
      <c r="A26" s="73">
        <v>20</v>
      </c>
      <c r="B26" s="31" t="s">
        <v>216</v>
      </c>
      <c r="C26" s="31" t="s">
        <v>34</v>
      </c>
      <c r="D26" s="124">
        <f>153161.33+34243.25+99537.5</f>
        <v>286942.07999999996</v>
      </c>
      <c r="E26" s="122">
        <f>100000</f>
        <v>100000</v>
      </c>
      <c r="F26" s="120">
        <f>(D26+E26)</f>
        <v>386942.07999999996</v>
      </c>
      <c r="G26" s="120"/>
      <c r="H26" s="120"/>
      <c r="I26" s="120"/>
      <c r="J26" s="120">
        <f>15548.33</f>
        <v>15548.33</v>
      </c>
      <c r="K26" s="120">
        <f>G26+H26+I26+J26</f>
        <v>15548.33</v>
      </c>
      <c r="L26" s="120">
        <v>50000</v>
      </c>
      <c r="M26" s="212"/>
    </row>
    <row r="27" spans="1:13" ht="20.100000000000001" customHeight="1">
      <c r="A27" s="73">
        <v>21</v>
      </c>
      <c r="B27" s="31" t="s">
        <v>30</v>
      </c>
      <c r="C27" s="31" t="s">
        <v>19</v>
      </c>
      <c r="D27" s="124">
        <f>90000</f>
        <v>90000</v>
      </c>
      <c r="E27" s="122"/>
      <c r="F27" s="120">
        <f>(D27+E27)</f>
        <v>90000</v>
      </c>
      <c r="G27" s="120"/>
      <c r="H27" s="120"/>
      <c r="I27" s="120"/>
      <c r="J27" s="120"/>
      <c r="K27" s="120"/>
      <c r="L27" s="120">
        <f>30000</f>
        <v>30000</v>
      </c>
      <c r="M27" s="212"/>
    </row>
    <row r="28" spans="1:13" ht="20.100000000000001" customHeight="1">
      <c r="A28" s="73">
        <v>22</v>
      </c>
      <c r="B28" s="31" t="s">
        <v>440</v>
      </c>
      <c r="C28" s="31" t="s">
        <v>19</v>
      </c>
      <c r="D28" s="122">
        <f>90000</f>
        <v>90000</v>
      </c>
      <c r="E28" s="122"/>
      <c r="F28" s="120">
        <f t="shared" ref="F28:F32" si="4">D28+E28</f>
        <v>90000</v>
      </c>
      <c r="G28" s="120"/>
      <c r="H28" s="120"/>
      <c r="I28" s="120"/>
      <c r="J28" s="122"/>
      <c r="K28" s="120"/>
      <c r="L28" s="120">
        <f>30000</f>
        <v>30000</v>
      </c>
      <c r="M28" s="212"/>
    </row>
    <row r="29" spans="1:13" ht="20.100000000000001" customHeight="1">
      <c r="A29" s="73">
        <v>23</v>
      </c>
      <c r="B29" s="31" t="s">
        <v>441</v>
      </c>
      <c r="C29" s="31" t="s">
        <v>39</v>
      </c>
      <c r="D29" s="122">
        <f>15000</f>
        <v>15000</v>
      </c>
      <c r="E29" s="122">
        <v>0</v>
      </c>
      <c r="F29" s="120">
        <f t="shared" si="4"/>
        <v>15000</v>
      </c>
      <c r="G29" s="120"/>
      <c r="H29" s="120"/>
      <c r="I29" s="120"/>
      <c r="J29" s="122"/>
      <c r="K29" s="120"/>
      <c r="L29" s="120">
        <v>10000</v>
      </c>
      <c r="M29" s="212"/>
    </row>
    <row r="30" spans="1:13" ht="20.100000000000001" customHeight="1">
      <c r="A30" s="73">
        <v>24</v>
      </c>
      <c r="B30" s="31" t="s">
        <v>442</v>
      </c>
      <c r="C30" s="31" t="s">
        <v>34</v>
      </c>
      <c r="D30" s="122">
        <f>299997.17</f>
        <v>299997.17</v>
      </c>
      <c r="E30" s="122">
        <f>100000</f>
        <v>100000</v>
      </c>
      <c r="F30" s="120">
        <f t="shared" si="4"/>
        <v>399997.17</v>
      </c>
      <c r="G30" s="120"/>
      <c r="H30" s="120"/>
      <c r="I30" s="120"/>
      <c r="J30" s="122">
        <f>15548.33</f>
        <v>15548.33</v>
      </c>
      <c r="K30" s="120">
        <f>G30+H30+I30+J30</f>
        <v>15548.33</v>
      </c>
      <c r="L30" s="120">
        <v>50000</v>
      </c>
      <c r="M30" s="212"/>
    </row>
    <row r="31" spans="1:13" ht="20.100000000000001" customHeight="1">
      <c r="A31" s="73">
        <v>25</v>
      </c>
      <c r="B31" s="31" t="s">
        <v>278</v>
      </c>
      <c r="C31" s="181" t="s">
        <v>34</v>
      </c>
      <c r="D31" s="122">
        <f>424023</f>
        <v>424023</v>
      </c>
      <c r="E31" s="122">
        <f>100000</f>
        <v>100000</v>
      </c>
      <c r="F31" s="120">
        <f t="shared" si="4"/>
        <v>524023</v>
      </c>
      <c r="G31" s="120"/>
      <c r="H31" s="120"/>
      <c r="I31" s="120"/>
      <c r="J31" s="122">
        <f>21618.09</f>
        <v>21618.09</v>
      </c>
      <c r="K31" s="120">
        <f>G31+H31+I31+J31</f>
        <v>21618.09</v>
      </c>
      <c r="L31" s="120">
        <v>70000</v>
      </c>
      <c r="M31" s="212"/>
    </row>
    <row r="32" spans="1:13" ht="20.100000000000001" customHeight="1">
      <c r="A32" s="73">
        <v>26</v>
      </c>
      <c r="B32" s="31" t="s">
        <v>413</v>
      </c>
      <c r="C32" s="181" t="s">
        <v>19</v>
      </c>
      <c r="D32" s="122">
        <f>90000</f>
        <v>90000</v>
      </c>
      <c r="E32" s="122"/>
      <c r="F32" s="120">
        <f t="shared" si="4"/>
        <v>90000</v>
      </c>
      <c r="G32" s="120"/>
      <c r="H32" s="120"/>
      <c r="I32" s="120"/>
      <c r="J32" s="122"/>
      <c r="K32" s="120"/>
      <c r="L32" s="120">
        <f>30000</f>
        <v>30000</v>
      </c>
      <c r="M32" s="212"/>
    </row>
    <row r="33" spans="1:13" ht="20.100000000000001" customHeight="1">
      <c r="A33" s="73">
        <v>27</v>
      </c>
      <c r="B33" s="31" t="s">
        <v>443</v>
      </c>
      <c r="C33" s="181" t="s">
        <v>39</v>
      </c>
      <c r="D33" s="122">
        <f>15000</f>
        <v>15000</v>
      </c>
      <c r="E33" s="122"/>
      <c r="F33" s="120">
        <v>15000</v>
      </c>
      <c r="G33" s="120"/>
      <c r="H33" s="120"/>
      <c r="I33" s="120"/>
      <c r="J33" s="122"/>
      <c r="K33" s="120"/>
      <c r="L33" s="120">
        <v>10000</v>
      </c>
      <c r="M33" s="212"/>
    </row>
    <row r="34" spans="1:13" ht="20.100000000000001" customHeight="1">
      <c r="A34" s="73">
        <v>28</v>
      </c>
      <c r="B34" s="31" t="s">
        <v>444</v>
      </c>
      <c r="C34" s="181" t="s">
        <v>39</v>
      </c>
      <c r="D34" s="122">
        <f>15000</f>
        <v>15000</v>
      </c>
      <c r="E34" s="122"/>
      <c r="F34" s="120">
        <f>D34+E34</f>
        <v>15000</v>
      </c>
      <c r="G34" s="120"/>
      <c r="H34" s="120"/>
      <c r="I34" s="120"/>
      <c r="J34" s="122"/>
      <c r="K34" s="120"/>
      <c r="L34" s="120">
        <v>10000</v>
      </c>
      <c r="M34" s="212"/>
    </row>
    <row r="35" spans="1:13" ht="20.100000000000001" customHeight="1">
      <c r="A35" s="73">
        <v>29</v>
      </c>
      <c r="B35" s="31" t="s">
        <v>445</v>
      </c>
      <c r="C35" s="181" t="s">
        <v>39</v>
      </c>
      <c r="D35" s="122">
        <v>15000</v>
      </c>
      <c r="E35" s="122">
        <v>0</v>
      </c>
      <c r="F35" s="120">
        <f>D35+E35</f>
        <v>15000</v>
      </c>
      <c r="G35" s="120"/>
      <c r="H35" s="120"/>
      <c r="I35" s="120"/>
      <c r="J35" s="122"/>
      <c r="K35" s="120"/>
      <c r="L35" s="120">
        <v>10000</v>
      </c>
      <c r="M35" s="212"/>
    </row>
    <row r="36" spans="1:13" ht="20.100000000000001" customHeight="1">
      <c r="A36" s="73">
        <v>30</v>
      </c>
      <c r="B36" s="31" t="s">
        <v>274</v>
      </c>
      <c r="C36" s="181" t="s">
        <v>32</v>
      </c>
      <c r="D36" s="122">
        <f>226713</f>
        <v>226713</v>
      </c>
      <c r="E36" s="122"/>
      <c r="F36" s="120">
        <f t="shared" ref="F36:F42" si="5">(D36+E36)</f>
        <v>226713</v>
      </c>
      <c r="G36" s="120"/>
      <c r="H36" s="120"/>
      <c r="I36" s="120"/>
      <c r="J36" s="122">
        <f>7709.76</f>
        <v>7709.76</v>
      </c>
      <c r="K36" s="120">
        <f>G36+H36+I36+J36</f>
        <v>7709.76</v>
      </c>
      <c r="L36" s="120">
        <v>50000</v>
      </c>
      <c r="M36" s="212"/>
    </row>
    <row r="37" spans="1:13" ht="20.100000000000001" customHeight="1">
      <c r="A37" s="73">
        <v>31</v>
      </c>
      <c r="B37" s="31" t="s">
        <v>269</v>
      </c>
      <c r="C37" s="181" t="s">
        <v>39</v>
      </c>
      <c r="D37" s="122">
        <f>15000</f>
        <v>15000</v>
      </c>
      <c r="E37" s="122"/>
      <c r="F37" s="120">
        <f t="shared" si="5"/>
        <v>15000</v>
      </c>
      <c r="G37" s="120"/>
      <c r="H37" s="120"/>
      <c r="I37" s="120"/>
      <c r="J37" s="122"/>
      <c r="K37" s="120"/>
      <c r="L37" s="120">
        <v>10000</v>
      </c>
      <c r="M37" s="212"/>
    </row>
    <row r="38" spans="1:13" ht="20.100000000000001" customHeight="1">
      <c r="A38" s="73">
        <v>32</v>
      </c>
      <c r="B38" s="31" t="s">
        <v>446</v>
      </c>
      <c r="C38" s="181" t="s">
        <v>39</v>
      </c>
      <c r="D38" s="122">
        <f>15000</f>
        <v>15000</v>
      </c>
      <c r="E38" s="122"/>
      <c r="F38" s="120">
        <f t="shared" si="5"/>
        <v>15000</v>
      </c>
      <c r="G38" s="120"/>
      <c r="H38" s="120"/>
      <c r="I38" s="120"/>
      <c r="J38" s="122"/>
      <c r="K38" s="120"/>
      <c r="L38" s="120">
        <v>10000</v>
      </c>
      <c r="M38" s="212"/>
    </row>
    <row r="39" spans="1:13" ht="20.100000000000001" customHeight="1">
      <c r="A39" s="73">
        <v>33</v>
      </c>
      <c r="B39" s="31" t="s">
        <v>267</v>
      </c>
      <c r="C39" s="181" t="s">
        <v>39</v>
      </c>
      <c r="D39" s="122">
        <f>15000</f>
        <v>15000</v>
      </c>
      <c r="E39" s="122"/>
      <c r="F39" s="120">
        <f t="shared" si="5"/>
        <v>15000</v>
      </c>
      <c r="G39" s="120"/>
      <c r="H39" s="120"/>
      <c r="I39" s="120"/>
      <c r="J39" s="122"/>
      <c r="K39" s="120"/>
      <c r="L39" s="120">
        <v>10000</v>
      </c>
      <c r="M39" s="212"/>
    </row>
    <row r="40" spans="1:13" ht="20.100000000000001" customHeight="1">
      <c r="A40" s="73">
        <v>34</v>
      </c>
      <c r="B40" s="31" t="s">
        <v>447</v>
      </c>
      <c r="C40" s="181" t="s">
        <v>39</v>
      </c>
      <c r="D40" s="122">
        <f>15000</f>
        <v>15000</v>
      </c>
      <c r="E40" s="122"/>
      <c r="F40" s="120">
        <f t="shared" si="5"/>
        <v>15000</v>
      </c>
      <c r="G40" s="120"/>
      <c r="H40" s="120"/>
      <c r="I40" s="120"/>
      <c r="J40" s="122"/>
      <c r="K40" s="120"/>
      <c r="L40" s="120">
        <v>10000</v>
      </c>
      <c r="M40" s="212"/>
    </row>
    <row r="41" spans="1:13" ht="20.100000000000001" customHeight="1">
      <c r="A41" s="73">
        <v>35</v>
      </c>
      <c r="B41" s="31" t="s">
        <v>258</v>
      </c>
      <c r="C41" s="181" t="s">
        <v>39</v>
      </c>
      <c r="D41" s="122">
        <f>15000</f>
        <v>15000</v>
      </c>
      <c r="E41" s="122"/>
      <c r="F41" s="120">
        <f t="shared" si="5"/>
        <v>15000</v>
      </c>
      <c r="G41" s="120"/>
      <c r="H41" s="120"/>
      <c r="I41" s="120"/>
      <c r="J41" s="122"/>
      <c r="K41" s="120"/>
      <c r="L41" s="120">
        <v>10000</v>
      </c>
      <c r="M41" s="212"/>
    </row>
    <row r="42" spans="1:13" ht="20.100000000000001" customHeight="1">
      <c r="A42" s="73">
        <v>36</v>
      </c>
      <c r="B42" s="31" t="s">
        <v>385</v>
      </c>
      <c r="C42" s="181" t="s">
        <v>39</v>
      </c>
      <c r="D42" s="122">
        <f>15000</f>
        <v>15000</v>
      </c>
      <c r="E42" s="122"/>
      <c r="F42" s="120">
        <f t="shared" si="5"/>
        <v>15000</v>
      </c>
      <c r="G42" s="120"/>
      <c r="H42" s="120"/>
      <c r="I42" s="120"/>
      <c r="J42" s="122"/>
      <c r="K42" s="120"/>
      <c r="L42" s="120">
        <v>10000</v>
      </c>
      <c r="M42" s="212"/>
    </row>
    <row r="43" spans="1:13" ht="20.100000000000001" customHeight="1">
      <c r="A43" s="73"/>
      <c r="B43" s="102" t="s">
        <v>84</v>
      </c>
      <c r="C43" s="102"/>
      <c r="D43" s="179">
        <f>SUM(D7:D42)</f>
        <v>4191831.5999999996</v>
      </c>
      <c r="E43" s="180">
        <f>SUM(E7:E42)</f>
        <v>300000</v>
      </c>
      <c r="F43" s="125">
        <f>SUM(F7:F42)</f>
        <v>4491831.5999999996</v>
      </c>
      <c r="G43" s="125">
        <f>SUM(G7:G42)</f>
        <v>296000</v>
      </c>
      <c r="H43" s="125">
        <f>SUM(H7:H42)</f>
        <v>151850</v>
      </c>
      <c r="I43" s="125"/>
      <c r="J43" s="125">
        <f>SUM(J7:J42)</f>
        <v>114824.95741935483</v>
      </c>
      <c r="K43" s="125">
        <f>SUM(K7:K42)</f>
        <v>562674.95741935482</v>
      </c>
      <c r="L43" s="125">
        <f>SUM(L7:L42)</f>
        <v>1070000</v>
      </c>
      <c r="M43" s="213"/>
    </row>
    <row r="44" spans="1:13" ht="20.100000000000001" customHeight="1">
      <c r="A44" s="73"/>
      <c r="B44" s="169" t="s">
        <v>448</v>
      </c>
      <c r="C44" s="341"/>
      <c r="D44" s="341" t="s">
        <v>427</v>
      </c>
      <c r="E44" s="342"/>
      <c r="F44" s="342"/>
      <c r="G44" s="208"/>
      <c r="H44" s="208">
        <f>H43+G43</f>
        <v>447850</v>
      </c>
      <c r="I44" s="208"/>
      <c r="J44" s="127"/>
      <c r="K44" s="127"/>
      <c r="L44" s="127">
        <f>'[6]Welfare 2'!$Y$180+L43</f>
        <v>8260000</v>
      </c>
      <c r="M44" s="214"/>
    </row>
    <row r="45" spans="1:13" ht="20.100000000000001" customHeight="1">
      <c r="A45" s="73"/>
      <c r="B45" s="169"/>
      <c r="C45" s="341"/>
      <c r="D45" s="341"/>
      <c r="E45" s="342"/>
      <c r="F45" s="342"/>
      <c r="G45" s="208"/>
      <c r="H45" s="215"/>
      <c r="I45" s="208"/>
      <c r="J45" s="127"/>
      <c r="K45" s="127"/>
      <c r="L45" s="127"/>
      <c r="M45" s="214"/>
    </row>
    <row r="46" spans="1:13" ht="20.100000000000001" customHeight="1">
      <c r="A46" s="70"/>
      <c r="G46" s="116"/>
      <c r="H46" s="8"/>
    </row>
    <row r="47" spans="1:13" ht="20.100000000000001" customHeight="1">
      <c r="A47" s="70"/>
      <c r="L47" s="116"/>
      <c r="M47" s="116"/>
    </row>
    <row r="48" spans="1:13" ht="20.100000000000001" customHeight="1">
      <c r="A48" s="70"/>
      <c r="G48" s="168"/>
    </row>
    <row r="49" spans="1:9" ht="20.100000000000001" customHeight="1">
      <c r="A49" s="70"/>
      <c r="C49" s="168"/>
      <c r="D49" s="168"/>
      <c r="E49" s="168"/>
      <c r="F49" s="187"/>
      <c r="G49" s="168"/>
    </row>
    <row r="50" spans="1:9" ht="20.100000000000001" customHeight="1">
      <c r="A50" s="70"/>
      <c r="C50" s="168"/>
      <c r="D50" s="168"/>
      <c r="E50" s="168"/>
      <c r="F50" s="187"/>
      <c r="I50" s="168"/>
    </row>
    <row r="51" spans="1:9" ht="20.100000000000001" customHeight="1">
      <c r="A51" s="70"/>
      <c r="C51" s="168"/>
      <c r="D51" s="168"/>
      <c r="E51" s="168"/>
      <c r="F51" s="187"/>
    </row>
    <row r="52" spans="1:9" ht="20.100000000000001" customHeight="1">
      <c r="A52" s="70"/>
      <c r="C52" s="168"/>
      <c r="D52" s="168"/>
      <c r="E52" s="168"/>
    </row>
    <row r="53" spans="1:9" ht="20.100000000000001" customHeight="1">
      <c r="A53" s="70"/>
    </row>
    <row r="54" spans="1:9" ht="20.100000000000001" customHeight="1">
      <c r="A54" s="70"/>
    </row>
    <row r="55" spans="1:9" ht="20.100000000000001" customHeight="1">
      <c r="A55" s="70"/>
    </row>
    <row r="56" spans="1:9" ht="20.100000000000001" customHeight="1">
      <c r="A56" s="70"/>
    </row>
    <row r="57" spans="1:9" ht="20.100000000000001" customHeight="1">
      <c r="A57" s="70"/>
    </row>
    <row r="58" spans="1:9" ht="20.100000000000001" customHeight="1">
      <c r="A58" s="70"/>
    </row>
    <row r="59" spans="1:9" ht="20.100000000000001" customHeight="1">
      <c r="A59" s="70"/>
    </row>
    <row r="60" spans="1:9" ht="20.100000000000001" customHeight="1">
      <c r="A60" s="70"/>
    </row>
    <row r="61" spans="1:9" ht="20.100000000000001" customHeight="1">
      <c r="A61" s="70"/>
    </row>
    <row r="62" spans="1:9" ht="20.100000000000001" customHeight="1">
      <c r="A62" s="70"/>
    </row>
    <row r="63" spans="1:9" ht="20.100000000000001" customHeight="1">
      <c r="A63" s="70"/>
    </row>
    <row r="64" spans="1:9" ht="20.100000000000001" customHeight="1">
      <c r="A64" s="70"/>
    </row>
    <row r="65" spans="1:1" ht="20.100000000000001" customHeight="1">
      <c r="A65" s="70"/>
    </row>
    <row r="66" spans="1:1" ht="20.100000000000001" customHeight="1">
      <c r="A66" s="70"/>
    </row>
    <row r="67" spans="1:1" ht="20.100000000000001" customHeight="1">
      <c r="A67" s="70"/>
    </row>
    <row r="68" spans="1:1" ht="20.100000000000001" customHeight="1">
      <c r="A68" s="70"/>
    </row>
    <row r="69" spans="1:1" ht="20.100000000000001" customHeight="1">
      <c r="A69" s="70"/>
    </row>
    <row r="70" spans="1:1" ht="20.100000000000001" customHeight="1">
      <c r="A70" s="70"/>
    </row>
    <row r="71" spans="1:1" ht="20.100000000000001" customHeight="1">
      <c r="A71" s="70"/>
    </row>
    <row r="72" spans="1:1" ht="20.100000000000001" customHeight="1">
      <c r="A72" s="70"/>
    </row>
    <row r="73" spans="1:1" ht="20.100000000000001" customHeight="1">
      <c r="A73" s="70"/>
    </row>
    <row r="74" spans="1:1" ht="20.100000000000001" customHeight="1">
      <c r="A74" s="70"/>
    </row>
    <row r="75" spans="1:1" ht="20.100000000000001" customHeight="1">
      <c r="A75" s="70"/>
    </row>
    <row r="76" spans="1:1" ht="20.100000000000001" customHeight="1">
      <c r="A76" s="70"/>
    </row>
    <row r="77" spans="1:1" ht="20.100000000000001" customHeight="1">
      <c r="A77" s="70"/>
    </row>
    <row r="78" spans="1:1" ht="20.100000000000001" customHeight="1">
      <c r="A78" s="70"/>
    </row>
    <row r="79" spans="1:1" ht="20.100000000000001" customHeight="1">
      <c r="A79" s="70"/>
    </row>
    <row r="80" spans="1:1" ht="20.100000000000001" customHeight="1">
      <c r="A80" s="70"/>
    </row>
    <row r="81" spans="1:1" ht="20.100000000000001" customHeight="1">
      <c r="A81" s="70"/>
    </row>
    <row r="82" spans="1:1" ht="20.100000000000001" customHeight="1">
      <c r="A82" s="70"/>
    </row>
    <row r="83" spans="1:1" ht="20.100000000000001" customHeight="1">
      <c r="A83" s="70"/>
    </row>
    <row r="84" spans="1:1" ht="20.100000000000001" customHeight="1">
      <c r="A84" s="70"/>
    </row>
    <row r="85" spans="1:1" ht="20.100000000000001" customHeight="1">
      <c r="A85" s="70"/>
    </row>
    <row r="86" spans="1:1" ht="20.100000000000001" customHeight="1">
      <c r="A86" s="23"/>
    </row>
  </sheetData>
  <mergeCells count="5">
    <mergeCell ref="B3:D4"/>
    <mergeCell ref="G5:K5"/>
    <mergeCell ref="C44:C45"/>
    <mergeCell ref="D44:D45"/>
    <mergeCell ref="E44:F45"/>
  </mergeCells>
  <pageMargins left="0.51181102362204722" right="0" top="0" bottom="7.874015748031496E-2" header="0.11811023622047245" footer="0"/>
  <pageSetup paperSize="9" scale="9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01"/>
  <sheetViews>
    <sheetView zoomScaleNormal="100" zoomScaleSheetLayoutView="68" workbookViewId="0">
      <pane xSplit="5" ySplit="7" topLeftCell="L41" activePane="bottomRight" state="frozen"/>
      <selection pane="bottomRight"/>
      <selection pane="bottomLeft"/>
      <selection pane="topRight"/>
    </sheetView>
  </sheetViews>
  <sheetFormatPr defaultColWidth="9.140625" defaultRowHeight="20.100000000000001" customHeight="1"/>
  <cols>
    <col min="1" max="1" width="6.140625" style="1" customWidth="1"/>
    <col min="2" max="2" width="36.5703125" style="1" customWidth="1"/>
    <col min="3" max="3" width="30.140625" style="1" customWidth="1"/>
    <col min="4" max="4" width="22.85546875" style="1" hidden="1" customWidth="1"/>
    <col min="5" max="5" width="32.85546875" style="1" hidden="1" customWidth="1"/>
    <col min="6" max="6" width="24" style="1" hidden="1" customWidth="1"/>
    <col min="7" max="7" width="19" style="1" hidden="1" customWidth="1"/>
    <col min="8" max="8" width="22.140625" style="1" hidden="1" customWidth="1"/>
    <col min="9" max="9" width="16.140625" style="1" hidden="1" customWidth="1"/>
    <col min="10" max="10" width="19.5703125" style="1" hidden="1" customWidth="1"/>
    <col min="11" max="11" width="21.5703125" style="1" hidden="1" customWidth="1"/>
    <col min="12" max="12" width="23.85546875" style="1" customWidth="1"/>
    <col min="13" max="13" width="21.5703125" style="1" customWidth="1"/>
    <col min="14" max="14" width="9.140625" style="1" customWidth="1"/>
    <col min="15" max="16384" width="9.140625" style="1"/>
  </cols>
  <sheetData>
    <row r="1" spans="1:16" ht="29.25" customHeight="1">
      <c r="A1" s="23"/>
      <c r="B1" s="22"/>
      <c r="C1" s="22"/>
      <c r="D1" s="22"/>
      <c r="E1" s="22"/>
      <c r="F1" s="23"/>
      <c r="G1" s="23"/>
      <c r="H1" s="23"/>
      <c r="I1" s="23"/>
      <c r="J1" s="23"/>
      <c r="K1" s="23"/>
      <c r="L1" s="23"/>
      <c r="P1" s="1" t="s">
        <v>407</v>
      </c>
    </row>
    <row r="2" spans="1:16" ht="5.25" customHeight="1">
      <c r="A2" s="23"/>
      <c r="B2" s="23"/>
      <c r="C2" s="23"/>
      <c r="D2" s="23"/>
      <c r="E2" s="23"/>
      <c r="F2" s="24"/>
      <c r="G2" s="24"/>
      <c r="H2" s="24"/>
      <c r="I2" s="24"/>
      <c r="J2" s="24"/>
      <c r="K2" s="24"/>
      <c r="L2" s="24"/>
    </row>
    <row r="3" spans="1:16" ht="34.35" customHeight="1">
      <c r="A3" s="23"/>
      <c r="B3" s="339" t="s">
        <v>449</v>
      </c>
      <c r="C3" s="339"/>
      <c r="D3" s="339"/>
      <c r="E3" s="25"/>
      <c r="F3" s="24"/>
      <c r="G3" s="24"/>
      <c r="H3" s="24"/>
      <c r="I3" s="24"/>
      <c r="J3" s="24"/>
      <c r="K3" s="24"/>
      <c r="L3" s="24"/>
    </row>
    <row r="4" spans="1:16" ht="2.25" customHeight="1">
      <c r="A4" s="23"/>
      <c r="B4" s="339"/>
      <c r="C4" s="339"/>
      <c r="D4" s="339"/>
      <c r="E4" s="23"/>
      <c r="F4" s="23"/>
      <c r="G4" s="23"/>
      <c r="H4" s="23"/>
      <c r="I4" s="23"/>
      <c r="J4" s="23"/>
      <c r="K4" s="23"/>
      <c r="L4" s="23"/>
    </row>
    <row r="5" spans="1:16" ht="20.100000000000001" customHeight="1">
      <c r="A5" s="23"/>
      <c r="C5" s="26"/>
      <c r="D5" s="103"/>
      <c r="E5" s="103"/>
      <c r="F5" s="103"/>
      <c r="G5" s="340" t="s">
        <v>7</v>
      </c>
      <c r="H5" s="340"/>
      <c r="I5" s="340"/>
      <c r="J5" s="340"/>
      <c r="K5" s="340"/>
      <c r="L5" s="26" t="s">
        <v>450</v>
      </c>
    </row>
    <row r="6" spans="1:16" ht="35.450000000000003" customHeight="1">
      <c r="A6" s="33" t="s">
        <v>1</v>
      </c>
      <c r="B6" s="34" t="s">
        <v>2</v>
      </c>
      <c r="C6" s="27" t="s">
        <v>3</v>
      </c>
      <c r="D6" s="28" t="s">
        <v>6</v>
      </c>
      <c r="E6" s="28" t="s">
        <v>409</v>
      </c>
      <c r="F6" s="28" t="s">
        <v>6</v>
      </c>
      <c r="G6" s="28"/>
      <c r="H6" s="28"/>
      <c r="I6" s="28"/>
      <c r="J6" s="28"/>
      <c r="K6" s="28"/>
      <c r="L6" s="188">
        <v>44197</v>
      </c>
    </row>
    <row r="7" spans="1:16" ht="18.75" customHeight="1">
      <c r="A7" s="73">
        <v>1</v>
      </c>
      <c r="B7" s="181" t="s">
        <v>451</v>
      </c>
      <c r="C7" s="31" t="s">
        <v>76</v>
      </c>
      <c r="D7" s="122">
        <f>314201.03</f>
        <v>314201.03000000003</v>
      </c>
      <c r="E7" s="122">
        <f>50000</f>
        <v>50000</v>
      </c>
      <c r="F7" s="120">
        <f t="shared" ref="F7:F30" si="0">D7+E7</f>
        <v>364201.03</v>
      </c>
      <c r="G7" s="120">
        <f>10000</f>
        <v>10000</v>
      </c>
      <c r="H7" s="120">
        <f>131666.67</f>
        <v>131666.67000000001</v>
      </c>
      <c r="I7" s="120"/>
      <c r="J7" s="122">
        <f>7709.76</f>
        <v>7709.76</v>
      </c>
      <c r="K7" s="120">
        <f t="shared" ref="K7:K47" si="1">G7+H7+J7</f>
        <v>149376.43000000002</v>
      </c>
      <c r="L7" s="120">
        <f>500000</f>
        <v>500000</v>
      </c>
    </row>
    <row r="8" spans="1:16" ht="18.75" customHeight="1">
      <c r="A8" s="73">
        <v>2</v>
      </c>
      <c r="B8" s="181" t="s">
        <v>452</v>
      </c>
      <c r="C8" s="31" t="s">
        <v>76</v>
      </c>
      <c r="D8" s="122">
        <f>349153.06</f>
        <v>349153.06</v>
      </c>
      <c r="E8" s="122">
        <f>50000</f>
        <v>50000</v>
      </c>
      <c r="F8" s="120">
        <f t="shared" si="0"/>
        <v>399153.06</v>
      </c>
      <c r="G8" s="120">
        <f>50000</f>
        <v>50000</v>
      </c>
      <c r="H8" s="120"/>
      <c r="I8" s="120"/>
      <c r="J8" s="122">
        <f>7709.76</f>
        <v>7709.76</v>
      </c>
      <c r="K8" s="120">
        <f t="shared" si="1"/>
        <v>57709.760000000002</v>
      </c>
      <c r="L8" s="120">
        <f>500000</f>
        <v>500000</v>
      </c>
    </row>
    <row r="9" spans="1:16" ht="18.75" customHeight="1">
      <c r="A9" s="73">
        <v>3</v>
      </c>
      <c r="B9" s="181" t="s">
        <v>453</v>
      </c>
      <c r="C9" s="31" t="s">
        <v>76</v>
      </c>
      <c r="D9" s="122">
        <f>314201.03</f>
        <v>314201.03000000003</v>
      </c>
      <c r="E9" s="122">
        <f>50000</f>
        <v>50000</v>
      </c>
      <c r="F9" s="120">
        <f t="shared" si="0"/>
        <v>364201.03</v>
      </c>
      <c r="G9" s="120">
        <f>25000</f>
        <v>25000</v>
      </c>
      <c r="H9" s="120">
        <f>94262.15</f>
        <v>94262.15</v>
      </c>
      <c r="I9" s="120"/>
      <c r="J9" s="122">
        <f>7709.76</f>
        <v>7709.76</v>
      </c>
      <c r="K9" s="120">
        <f t="shared" si="1"/>
        <v>126971.90999999999</v>
      </c>
      <c r="L9" s="120">
        <f>500000</f>
        <v>500000</v>
      </c>
    </row>
    <row r="10" spans="1:16" ht="19.5" customHeight="1">
      <c r="A10" s="73">
        <v>4</v>
      </c>
      <c r="B10" s="133" t="s">
        <v>454</v>
      </c>
      <c r="C10" s="31" t="s">
        <v>455</v>
      </c>
      <c r="D10" s="120">
        <v>101161.25</v>
      </c>
      <c r="E10" s="120">
        <f>50000</f>
        <v>50000</v>
      </c>
      <c r="F10" s="120">
        <f t="shared" si="0"/>
        <v>151161.25</v>
      </c>
      <c r="G10" s="117"/>
      <c r="H10" s="117"/>
      <c r="I10" s="117"/>
      <c r="J10" s="125"/>
      <c r="K10" s="120">
        <f t="shared" si="1"/>
        <v>0</v>
      </c>
      <c r="L10" s="120">
        <f>500000</f>
        <v>500000</v>
      </c>
    </row>
    <row r="11" spans="1:16" ht="20.100000000000001" customHeight="1">
      <c r="A11" s="73">
        <v>5</v>
      </c>
      <c r="B11" s="181" t="s">
        <v>456</v>
      </c>
      <c r="C11" s="31" t="s">
        <v>76</v>
      </c>
      <c r="D11" s="122">
        <f>326713</f>
        <v>326713</v>
      </c>
      <c r="E11" s="122">
        <f>50000</f>
        <v>50000</v>
      </c>
      <c r="F11" s="120">
        <f t="shared" si="0"/>
        <v>376713</v>
      </c>
      <c r="G11" s="120">
        <f>70000</f>
        <v>70000</v>
      </c>
      <c r="H11" s="120">
        <f>0</f>
        <v>0</v>
      </c>
      <c r="I11" s="120"/>
      <c r="J11" s="122">
        <f>7709.76</f>
        <v>7709.76</v>
      </c>
      <c r="K11" s="120">
        <f t="shared" si="1"/>
        <v>77709.759999999995</v>
      </c>
      <c r="L11" s="120">
        <f>250000</f>
        <v>250000</v>
      </c>
    </row>
    <row r="12" spans="1:16" ht="20.100000000000001" customHeight="1">
      <c r="A12" s="73">
        <v>6</v>
      </c>
      <c r="B12" s="181" t="s">
        <v>457</v>
      </c>
      <c r="C12" s="31" t="s">
        <v>76</v>
      </c>
      <c r="D12" s="122">
        <f>326713</f>
        <v>326713</v>
      </c>
      <c r="E12" s="122">
        <f>50000</f>
        <v>50000</v>
      </c>
      <c r="F12" s="120">
        <f t="shared" si="0"/>
        <v>376713</v>
      </c>
      <c r="G12" s="120">
        <f>110000</f>
        <v>110000</v>
      </c>
      <c r="H12" s="120"/>
      <c r="I12" s="120"/>
      <c r="J12" s="122">
        <f>7709.76</f>
        <v>7709.76</v>
      </c>
      <c r="K12" s="120">
        <f t="shared" si="1"/>
        <v>117709.75999999999</v>
      </c>
      <c r="L12" s="120">
        <f>500000</f>
        <v>500000</v>
      </c>
    </row>
    <row r="13" spans="1:16" ht="20.100000000000001" customHeight="1">
      <c r="A13" s="73">
        <v>7</v>
      </c>
      <c r="B13" s="181" t="s">
        <v>458</v>
      </c>
      <c r="C13" s="31" t="s">
        <v>76</v>
      </c>
      <c r="D13" s="122">
        <f>168602.08</f>
        <v>168602.08</v>
      </c>
      <c r="E13" s="122">
        <f>150000</f>
        <v>150000</v>
      </c>
      <c r="F13" s="120">
        <f t="shared" si="0"/>
        <v>318602.07999999996</v>
      </c>
      <c r="G13" s="120">
        <f>50000</f>
        <v>50000</v>
      </c>
      <c r="H13" s="120"/>
      <c r="I13" s="120"/>
      <c r="J13" s="122">
        <v>3369.51</v>
      </c>
      <c r="K13" s="120">
        <f t="shared" si="1"/>
        <v>53369.51</v>
      </c>
      <c r="L13" s="120">
        <f>300000</f>
        <v>300000</v>
      </c>
    </row>
    <row r="14" spans="1:16" ht="20.100000000000001" customHeight="1">
      <c r="A14" s="73">
        <v>8</v>
      </c>
      <c r="B14" s="181" t="s">
        <v>459</v>
      </c>
      <c r="C14" s="31" t="s">
        <v>76</v>
      </c>
      <c r="D14" s="122">
        <f>168602.08</f>
        <v>168602.08</v>
      </c>
      <c r="E14" s="122">
        <f>150000</f>
        <v>150000</v>
      </c>
      <c r="F14" s="120">
        <f t="shared" si="0"/>
        <v>318602.07999999996</v>
      </c>
      <c r="G14" s="120"/>
      <c r="H14" s="120"/>
      <c r="I14" s="120"/>
      <c r="J14" s="122">
        <v>3369.51</v>
      </c>
      <c r="K14" s="120">
        <f t="shared" si="1"/>
        <v>3369.51</v>
      </c>
      <c r="L14" s="120">
        <f>300000</f>
        <v>300000</v>
      </c>
    </row>
    <row r="15" spans="1:16" ht="20.100000000000001" customHeight="1">
      <c r="A15" s="73">
        <v>9</v>
      </c>
      <c r="B15" s="181" t="s">
        <v>460</v>
      </c>
      <c r="C15" s="31" t="s">
        <v>461</v>
      </c>
      <c r="D15" s="122">
        <v>329171.71999999997</v>
      </c>
      <c r="E15" s="122">
        <f>150000</f>
        <v>150000</v>
      </c>
      <c r="F15" s="120">
        <f t="shared" si="0"/>
        <v>479171.72</v>
      </c>
      <c r="G15" s="120"/>
      <c r="H15" s="120"/>
      <c r="I15" s="120"/>
      <c r="J15" s="122">
        <f>15548.33</f>
        <v>15548.33</v>
      </c>
      <c r="K15" s="120">
        <f t="shared" si="1"/>
        <v>15548.33</v>
      </c>
      <c r="L15" s="120">
        <f>700000</f>
        <v>700000</v>
      </c>
    </row>
    <row r="16" spans="1:16" ht="20.100000000000001" customHeight="1">
      <c r="A16" s="73">
        <v>10</v>
      </c>
      <c r="B16" s="57" t="s">
        <v>14</v>
      </c>
      <c r="C16" s="59" t="s">
        <v>15</v>
      </c>
      <c r="D16" s="134">
        <v>114649.42</v>
      </c>
      <c r="E16" s="134">
        <f>0</f>
        <v>0</v>
      </c>
      <c r="F16" s="120">
        <f t="shared" si="0"/>
        <v>114649.42</v>
      </c>
      <c r="G16" s="134">
        <f>30000</f>
        <v>30000</v>
      </c>
      <c r="H16" s="134">
        <f>43750</f>
        <v>43750</v>
      </c>
      <c r="I16" s="134"/>
      <c r="J16" s="178">
        <v>0</v>
      </c>
      <c r="K16" s="120">
        <f t="shared" si="1"/>
        <v>73750</v>
      </c>
      <c r="L16" s="120">
        <v>300000</v>
      </c>
      <c r="M16" s="207"/>
    </row>
    <row r="17" spans="1:13" ht="20.100000000000001" customHeight="1">
      <c r="A17" s="73">
        <v>11</v>
      </c>
      <c r="B17" s="181" t="s">
        <v>462</v>
      </c>
      <c r="C17" s="31" t="s">
        <v>463</v>
      </c>
      <c r="D17" s="122">
        <f>123329</f>
        <v>123329</v>
      </c>
      <c r="E17" s="122">
        <f>150000</f>
        <v>150000</v>
      </c>
      <c r="F17" s="120">
        <f t="shared" si="0"/>
        <v>273329</v>
      </c>
      <c r="G17" s="120"/>
      <c r="H17" s="120"/>
      <c r="I17" s="120"/>
      <c r="J17" s="122">
        <f>1235.19</f>
        <v>1235.19</v>
      </c>
      <c r="K17" s="120">
        <f t="shared" si="1"/>
        <v>1235.19</v>
      </c>
      <c r="L17" s="120">
        <v>300000</v>
      </c>
      <c r="M17" s="168"/>
    </row>
    <row r="18" spans="1:13" ht="20.100000000000001" customHeight="1">
      <c r="A18" s="73">
        <v>12</v>
      </c>
      <c r="B18" s="181" t="s">
        <v>16</v>
      </c>
      <c r="C18" s="181" t="s">
        <v>17</v>
      </c>
      <c r="D18" s="124">
        <v>90000</v>
      </c>
      <c r="E18" s="122">
        <f>25000</f>
        <v>25000</v>
      </c>
      <c r="F18" s="120">
        <f t="shared" si="0"/>
        <v>115000</v>
      </c>
      <c r="G18" s="120">
        <v>20000</v>
      </c>
      <c r="H18" s="120">
        <f>20000+50000</f>
        <v>70000</v>
      </c>
      <c r="I18" s="120"/>
      <c r="J18" s="120">
        <v>0</v>
      </c>
      <c r="K18" s="120">
        <f t="shared" si="1"/>
        <v>90000</v>
      </c>
      <c r="L18" s="120">
        <f>300000</f>
        <v>300000</v>
      </c>
    </row>
    <row r="19" spans="1:13" ht="20.100000000000001" customHeight="1">
      <c r="A19" s="73">
        <v>13</v>
      </c>
      <c r="B19" s="181" t="s">
        <v>169</v>
      </c>
      <c r="C19" s="181" t="s">
        <v>170</v>
      </c>
      <c r="D19" s="124">
        <f>344720</f>
        <v>344720</v>
      </c>
      <c r="E19" s="122">
        <f>150000</f>
        <v>150000</v>
      </c>
      <c r="F19" s="120">
        <f t="shared" si="0"/>
        <v>494720</v>
      </c>
      <c r="G19" s="120"/>
      <c r="H19" s="120"/>
      <c r="I19" s="120"/>
      <c r="J19" s="122">
        <f>15548.33</f>
        <v>15548.33</v>
      </c>
      <c r="K19" s="120">
        <f t="shared" si="1"/>
        <v>15548.33</v>
      </c>
      <c r="L19" s="120">
        <f>700000</f>
        <v>700000</v>
      </c>
    </row>
    <row r="20" spans="1:13" ht="20.100000000000001" customHeight="1">
      <c r="A20" s="73">
        <v>14</v>
      </c>
      <c r="B20" s="181" t="s">
        <v>464</v>
      </c>
      <c r="C20" s="181" t="s">
        <v>174</v>
      </c>
      <c r="D20" s="124">
        <f>226713.03</f>
        <v>226713.03</v>
      </c>
      <c r="E20" s="122">
        <f>100000+100000</f>
        <v>200000</v>
      </c>
      <c r="F20" s="120">
        <f t="shared" si="0"/>
        <v>426713.03</v>
      </c>
      <c r="G20" s="120"/>
      <c r="H20" s="120"/>
      <c r="I20" s="120"/>
      <c r="J20" s="120">
        <f>7709.76</f>
        <v>7709.76</v>
      </c>
      <c r="K20" s="120">
        <f t="shared" si="1"/>
        <v>7709.76</v>
      </c>
      <c r="L20" s="120">
        <v>500000</v>
      </c>
    </row>
    <row r="21" spans="1:13" ht="20.100000000000001" customHeight="1">
      <c r="A21" s="73">
        <v>15</v>
      </c>
      <c r="B21" s="181" t="s">
        <v>465</v>
      </c>
      <c r="C21" s="181" t="s">
        <v>466</v>
      </c>
      <c r="D21" s="124">
        <f>123329</f>
        <v>123329</v>
      </c>
      <c r="E21" s="122">
        <f>100000</f>
        <v>100000</v>
      </c>
      <c r="F21" s="120">
        <f t="shared" si="0"/>
        <v>223329</v>
      </c>
      <c r="G21" s="120">
        <f>23000</f>
        <v>23000</v>
      </c>
      <c r="H21" s="120"/>
      <c r="I21" s="120"/>
      <c r="J21" s="120">
        <f>1235.19</f>
        <v>1235.19</v>
      </c>
      <c r="K21" s="120">
        <f t="shared" si="1"/>
        <v>24235.19</v>
      </c>
      <c r="L21" s="120">
        <v>300000</v>
      </c>
    </row>
    <row r="22" spans="1:13" ht="20.100000000000001" customHeight="1">
      <c r="A22" s="73">
        <v>16</v>
      </c>
      <c r="B22" s="181" t="s">
        <v>467</v>
      </c>
      <c r="C22" s="181" t="s">
        <v>468</v>
      </c>
      <c r="D22" s="124">
        <f>123329</f>
        <v>123329</v>
      </c>
      <c r="E22" s="122">
        <f>150000</f>
        <v>150000</v>
      </c>
      <c r="F22" s="120">
        <f t="shared" si="0"/>
        <v>273329</v>
      </c>
      <c r="G22" s="120"/>
      <c r="H22" s="120"/>
      <c r="I22" s="120"/>
      <c r="J22" s="120">
        <f>1235.19</f>
        <v>1235.19</v>
      </c>
      <c r="K22" s="120">
        <f t="shared" si="1"/>
        <v>1235.19</v>
      </c>
      <c r="L22" s="120">
        <v>300000</v>
      </c>
    </row>
    <row r="23" spans="1:13" ht="20.100000000000001" customHeight="1">
      <c r="A23" s="73">
        <v>17</v>
      </c>
      <c r="B23" s="181" t="s">
        <v>469</v>
      </c>
      <c r="C23" s="181" t="s">
        <v>468</v>
      </c>
      <c r="D23" s="124">
        <f t="shared" ref="D23:D24" si="2">123329</f>
        <v>123329</v>
      </c>
      <c r="E23" s="122">
        <f t="shared" ref="E23:E24" si="3">150000</f>
        <v>150000</v>
      </c>
      <c r="F23" s="120">
        <f t="shared" si="0"/>
        <v>273329</v>
      </c>
      <c r="G23" s="120"/>
      <c r="H23" s="120"/>
      <c r="I23" s="120"/>
      <c r="J23" s="120">
        <f>1235.19</f>
        <v>1235.19</v>
      </c>
      <c r="K23" s="120">
        <f t="shared" si="1"/>
        <v>1235.19</v>
      </c>
      <c r="L23" s="120">
        <v>300000</v>
      </c>
    </row>
    <row r="24" spans="1:13" ht="20.100000000000001" customHeight="1">
      <c r="A24" s="73">
        <v>18</v>
      </c>
      <c r="B24" s="181" t="s">
        <v>470</v>
      </c>
      <c r="C24" s="181" t="s">
        <v>468</v>
      </c>
      <c r="D24" s="124">
        <f t="shared" si="2"/>
        <v>123329</v>
      </c>
      <c r="E24" s="122">
        <f t="shared" si="3"/>
        <v>150000</v>
      </c>
      <c r="F24" s="120">
        <f t="shared" si="0"/>
        <v>273329</v>
      </c>
      <c r="G24" s="120"/>
      <c r="H24" s="120"/>
      <c r="I24" s="120"/>
      <c r="J24" s="120">
        <f>1235.19</f>
        <v>1235.19</v>
      </c>
      <c r="K24" s="120">
        <f t="shared" si="1"/>
        <v>1235.19</v>
      </c>
      <c r="L24" s="120">
        <v>300000</v>
      </c>
    </row>
    <row r="25" spans="1:13" ht="20.100000000000001" customHeight="1">
      <c r="A25" s="73">
        <v>19</v>
      </c>
      <c r="B25" s="181" t="s">
        <v>18</v>
      </c>
      <c r="C25" s="181" t="s">
        <v>177</v>
      </c>
      <c r="D25" s="124">
        <v>45000</v>
      </c>
      <c r="E25" s="122">
        <f>25000</f>
        <v>25000</v>
      </c>
      <c r="F25" s="120">
        <f t="shared" si="0"/>
        <v>70000</v>
      </c>
      <c r="G25" s="120"/>
      <c r="H25" s="120"/>
      <c r="I25" s="120"/>
      <c r="J25" s="120">
        <v>0</v>
      </c>
      <c r="K25" s="120">
        <f t="shared" si="1"/>
        <v>0</v>
      </c>
      <c r="L25" s="120">
        <v>100000</v>
      </c>
    </row>
    <row r="26" spans="1:13" ht="20.100000000000001" customHeight="1">
      <c r="A26" s="73">
        <v>20</v>
      </c>
      <c r="B26" s="181" t="s">
        <v>20</v>
      </c>
      <c r="C26" s="181" t="s">
        <v>21</v>
      </c>
      <c r="D26" s="124">
        <v>45000</v>
      </c>
      <c r="E26" s="122">
        <f>25000</f>
        <v>25000</v>
      </c>
      <c r="F26" s="120">
        <f t="shared" si="0"/>
        <v>70000</v>
      </c>
      <c r="G26" s="120">
        <f>10000</f>
        <v>10000</v>
      </c>
      <c r="H26" s="185">
        <f>13750</f>
        <v>13750</v>
      </c>
      <c r="I26" s="120"/>
      <c r="J26" s="120">
        <v>0</v>
      </c>
      <c r="K26" s="120">
        <f t="shared" si="1"/>
        <v>23750</v>
      </c>
      <c r="L26" s="120">
        <v>100000</v>
      </c>
    </row>
    <row r="27" spans="1:13" ht="20.100000000000001" customHeight="1">
      <c r="A27" s="73">
        <v>21</v>
      </c>
      <c r="B27" s="181" t="s">
        <v>412</v>
      </c>
      <c r="C27" s="181" t="s">
        <v>76</v>
      </c>
      <c r="D27" s="124">
        <f>96825</f>
        <v>96825</v>
      </c>
      <c r="E27" s="122">
        <f>25000</f>
        <v>25000</v>
      </c>
      <c r="F27" s="120">
        <f t="shared" si="0"/>
        <v>121825</v>
      </c>
      <c r="G27" s="120">
        <f>10000+2000</f>
        <v>12000</v>
      </c>
      <c r="H27" s="185">
        <f>18155.56+50000</f>
        <v>68155.56</v>
      </c>
      <c r="I27" s="120"/>
      <c r="J27" s="120">
        <v>0</v>
      </c>
      <c r="K27" s="120">
        <f t="shared" si="1"/>
        <v>80155.56</v>
      </c>
      <c r="L27" s="120">
        <v>300000</v>
      </c>
    </row>
    <row r="28" spans="1:13" ht="20.100000000000001" customHeight="1">
      <c r="A28" s="73">
        <v>22</v>
      </c>
      <c r="B28" s="181" t="s">
        <v>22</v>
      </c>
      <c r="C28" s="181" t="s">
        <v>23</v>
      </c>
      <c r="D28" s="124">
        <v>45000</v>
      </c>
      <c r="E28" s="122">
        <f>25000</f>
        <v>25000</v>
      </c>
      <c r="F28" s="120">
        <f t="shared" si="0"/>
        <v>70000</v>
      </c>
      <c r="G28" s="120"/>
      <c r="H28" s="185"/>
      <c r="I28" s="120"/>
      <c r="J28" s="120"/>
      <c r="K28" s="120">
        <f t="shared" si="1"/>
        <v>0</v>
      </c>
      <c r="L28" s="120">
        <v>100000</v>
      </c>
    </row>
    <row r="29" spans="1:13" ht="20.100000000000001" customHeight="1">
      <c r="A29" s="73">
        <v>23</v>
      </c>
      <c r="B29" s="31" t="s">
        <v>346</v>
      </c>
      <c r="C29" s="181" t="s">
        <v>19</v>
      </c>
      <c r="D29" s="124">
        <f>90000</f>
        <v>90000</v>
      </c>
      <c r="E29" s="122">
        <f>25000</f>
        <v>25000</v>
      </c>
      <c r="F29" s="120">
        <f t="shared" si="0"/>
        <v>115000</v>
      </c>
      <c r="G29" s="120">
        <f>30000</f>
        <v>30000</v>
      </c>
      <c r="H29" s="185">
        <f>20000</f>
        <v>20000</v>
      </c>
      <c r="I29" s="120"/>
      <c r="J29" s="120"/>
      <c r="K29" s="120">
        <f t="shared" si="1"/>
        <v>50000</v>
      </c>
      <c r="L29" s="120">
        <v>300000</v>
      </c>
    </row>
    <row r="30" spans="1:13" ht="20.100000000000001" customHeight="1">
      <c r="A30" s="73">
        <v>24</v>
      </c>
      <c r="B30" s="31" t="s">
        <v>436</v>
      </c>
      <c r="C30" s="181" t="s">
        <v>19</v>
      </c>
      <c r="D30" s="124">
        <f>90000</f>
        <v>90000</v>
      </c>
      <c r="E30" s="122">
        <f>25000</f>
        <v>25000</v>
      </c>
      <c r="F30" s="120">
        <f t="shared" si="0"/>
        <v>115000</v>
      </c>
      <c r="G30" s="120">
        <f>35000</f>
        <v>35000</v>
      </c>
      <c r="H30" s="120"/>
      <c r="I30" s="120"/>
      <c r="J30" s="120"/>
      <c r="K30" s="120">
        <f t="shared" si="1"/>
        <v>35000</v>
      </c>
      <c r="L30" s="120">
        <v>300000</v>
      </c>
    </row>
    <row r="31" spans="1:13" ht="20.100000000000001" customHeight="1">
      <c r="A31" s="73">
        <v>25</v>
      </c>
      <c r="B31" s="31" t="s">
        <v>437</v>
      </c>
      <c r="C31" s="181" t="s">
        <v>34</v>
      </c>
      <c r="D31" s="124">
        <f>422590.63</f>
        <v>422590.63</v>
      </c>
      <c r="E31" s="122"/>
      <c r="F31" s="120">
        <f>(D31+E31)</f>
        <v>422590.63</v>
      </c>
      <c r="G31" s="120"/>
      <c r="H31" s="120"/>
      <c r="I31" s="120"/>
      <c r="J31" s="120">
        <f>(15548.33)+(13/31*15548.33)</f>
        <v>22068.597419354839</v>
      </c>
      <c r="K31" s="120">
        <f t="shared" si="1"/>
        <v>22068.597419354839</v>
      </c>
      <c r="L31" s="120">
        <f>350000</f>
        <v>350000</v>
      </c>
    </row>
    <row r="32" spans="1:13" ht="20.100000000000001" customHeight="1">
      <c r="A32" s="73">
        <v>26</v>
      </c>
      <c r="B32" s="31" t="s">
        <v>186</v>
      </c>
      <c r="C32" s="181" t="s">
        <v>34</v>
      </c>
      <c r="D32" s="124">
        <f>407042.3</f>
        <v>407042.3</v>
      </c>
      <c r="E32" s="122"/>
      <c r="F32" s="120">
        <f>D32+E32</f>
        <v>407042.3</v>
      </c>
      <c r="G32" s="120"/>
      <c r="H32" s="120"/>
      <c r="I32" s="120"/>
      <c r="J32" s="134">
        <f t="shared" ref="J32:J35" si="4">15548.33</f>
        <v>15548.33</v>
      </c>
      <c r="K32" s="120">
        <f t="shared" si="1"/>
        <v>15548.33</v>
      </c>
      <c r="L32" s="120">
        <f>350000</f>
        <v>350000</v>
      </c>
    </row>
    <row r="33" spans="1:12" ht="20.100000000000001" customHeight="1">
      <c r="A33" s="73">
        <v>27</v>
      </c>
      <c r="B33" s="31" t="s">
        <v>192</v>
      </c>
      <c r="C33" s="181" t="s">
        <v>76</v>
      </c>
      <c r="D33" s="124">
        <f>344720</f>
        <v>344720</v>
      </c>
      <c r="E33" s="122">
        <f>100000+100000</f>
        <v>200000</v>
      </c>
      <c r="F33" s="120">
        <f>D33+E33</f>
        <v>544720</v>
      </c>
      <c r="G33" s="120">
        <f>100000</f>
        <v>100000</v>
      </c>
      <c r="H33" s="120">
        <f>0</f>
        <v>0</v>
      </c>
      <c r="I33" s="120"/>
      <c r="J33" s="122">
        <f t="shared" si="4"/>
        <v>15548.33</v>
      </c>
      <c r="K33" s="120">
        <f t="shared" si="1"/>
        <v>115548.33</v>
      </c>
      <c r="L33" s="120">
        <v>700000</v>
      </c>
    </row>
    <row r="34" spans="1:12" ht="20.100000000000001" customHeight="1">
      <c r="A34" s="73">
        <v>28</v>
      </c>
      <c r="B34" s="31" t="s">
        <v>197</v>
      </c>
      <c r="C34" s="181" t="s">
        <v>76</v>
      </c>
      <c r="D34" s="124">
        <f>344720</f>
        <v>344720</v>
      </c>
      <c r="E34" s="122">
        <f>150000</f>
        <v>150000</v>
      </c>
      <c r="F34" s="120">
        <f>D34+E34</f>
        <v>494720</v>
      </c>
      <c r="G34" s="120"/>
      <c r="H34" s="120"/>
      <c r="I34" s="120"/>
      <c r="J34" s="134">
        <f t="shared" si="4"/>
        <v>15548.33</v>
      </c>
      <c r="K34" s="120">
        <f t="shared" si="1"/>
        <v>15548.33</v>
      </c>
      <c r="L34" s="120">
        <v>700000</v>
      </c>
    </row>
    <row r="35" spans="1:12" ht="20.100000000000001" customHeight="1">
      <c r="A35" s="73">
        <v>29</v>
      </c>
      <c r="B35" s="181" t="s">
        <v>201</v>
      </c>
      <c r="C35" s="181" t="s">
        <v>76</v>
      </c>
      <c r="D35" s="124">
        <f>344720</f>
        <v>344720</v>
      </c>
      <c r="E35" s="122">
        <f>100000</f>
        <v>100000</v>
      </c>
      <c r="F35" s="120">
        <f>D35+E35</f>
        <v>444720</v>
      </c>
      <c r="G35" s="120">
        <f>25000</f>
        <v>25000</v>
      </c>
      <c r="H35" s="120"/>
      <c r="I35" s="120"/>
      <c r="J35" s="134">
        <f t="shared" si="4"/>
        <v>15548.33</v>
      </c>
      <c r="K35" s="120">
        <f t="shared" si="1"/>
        <v>40548.33</v>
      </c>
      <c r="L35" s="120">
        <v>700000</v>
      </c>
    </row>
    <row r="36" spans="1:12" ht="20.100000000000001" customHeight="1">
      <c r="A36" s="73">
        <v>30</v>
      </c>
      <c r="B36" s="181" t="s">
        <v>205</v>
      </c>
      <c r="C36" s="181" t="s">
        <v>19</v>
      </c>
      <c r="D36" s="124">
        <f>90000</f>
        <v>90000</v>
      </c>
      <c r="E36" s="122">
        <f>25000</f>
        <v>25000</v>
      </c>
      <c r="F36" s="120">
        <f t="shared" ref="F36:F39" si="5">D36+E36</f>
        <v>115000</v>
      </c>
      <c r="G36" s="120">
        <f>50000</f>
        <v>50000</v>
      </c>
      <c r="H36" s="120"/>
      <c r="I36" s="120"/>
      <c r="J36" s="134"/>
      <c r="K36" s="120">
        <f t="shared" si="1"/>
        <v>50000</v>
      </c>
      <c r="L36" s="120">
        <v>300000</v>
      </c>
    </row>
    <row r="37" spans="1:12" ht="20.100000000000001" customHeight="1">
      <c r="A37" s="73">
        <v>31</v>
      </c>
      <c r="B37" s="181" t="s">
        <v>24</v>
      </c>
      <c r="C37" s="181" t="s">
        <v>25</v>
      </c>
      <c r="D37" s="124">
        <f>50000</f>
        <v>50000</v>
      </c>
      <c r="E37" s="122">
        <f>25000</f>
        <v>25000</v>
      </c>
      <c r="F37" s="120">
        <f t="shared" si="5"/>
        <v>75000</v>
      </c>
      <c r="G37" s="120">
        <f>5000+2000</f>
        <v>7000</v>
      </c>
      <c r="H37" s="120">
        <f>7350</f>
        <v>7350</v>
      </c>
      <c r="I37" s="120"/>
      <c r="J37" s="134"/>
      <c r="K37" s="120">
        <f t="shared" si="1"/>
        <v>14350</v>
      </c>
      <c r="L37" s="120">
        <v>100000</v>
      </c>
    </row>
    <row r="38" spans="1:12" ht="20.100000000000001" customHeight="1">
      <c r="A38" s="73">
        <v>32</v>
      </c>
      <c r="B38" s="181" t="s">
        <v>26</v>
      </c>
      <c r="C38" s="181" t="s">
        <v>25</v>
      </c>
      <c r="D38" s="124">
        <f>50000</f>
        <v>50000</v>
      </c>
      <c r="E38" s="122">
        <f>25000</f>
        <v>25000</v>
      </c>
      <c r="F38" s="120">
        <f t="shared" si="5"/>
        <v>75000</v>
      </c>
      <c r="G38" s="120"/>
      <c r="H38" s="120"/>
      <c r="I38" s="120"/>
      <c r="J38" s="134"/>
      <c r="K38" s="120">
        <f t="shared" si="1"/>
        <v>0</v>
      </c>
      <c r="L38" s="120">
        <v>100000</v>
      </c>
    </row>
    <row r="39" spans="1:12" ht="20.100000000000001" customHeight="1">
      <c r="A39" s="73">
        <v>33</v>
      </c>
      <c r="B39" s="181" t="s">
        <v>27</v>
      </c>
      <c r="C39" s="181" t="s">
        <v>23</v>
      </c>
      <c r="D39" s="124">
        <f>60000</f>
        <v>60000</v>
      </c>
      <c r="E39" s="122">
        <f>25000</f>
        <v>25000</v>
      </c>
      <c r="F39" s="120">
        <f t="shared" si="5"/>
        <v>85000</v>
      </c>
      <c r="G39" s="120"/>
      <c r="H39" s="120"/>
      <c r="I39" s="120"/>
      <c r="J39" s="134"/>
      <c r="K39" s="120">
        <f t="shared" si="1"/>
        <v>0</v>
      </c>
      <c r="L39" s="120">
        <v>100000</v>
      </c>
    </row>
    <row r="40" spans="1:12" ht="20.100000000000001" customHeight="1">
      <c r="A40" s="73">
        <v>34</v>
      </c>
      <c r="B40" s="181" t="s">
        <v>248</v>
      </c>
      <c r="C40" s="181" t="s">
        <v>177</v>
      </c>
      <c r="D40" s="124">
        <f>60000</f>
        <v>60000</v>
      </c>
      <c r="E40" s="122">
        <f>25000</f>
        <v>25000</v>
      </c>
      <c r="F40" s="120">
        <f>(D40+E40)</f>
        <v>85000</v>
      </c>
      <c r="G40" s="120"/>
      <c r="H40" s="120"/>
      <c r="I40" s="120"/>
      <c r="J40" s="134"/>
      <c r="K40" s="120">
        <f t="shared" si="1"/>
        <v>0</v>
      </c>
      <c r="L40" s="120">
        <v>100000</v>
      </c>
    </row>
    <row r="41" spans="1:12" ht="20.100000000000001" customHeight="1">
      <c r="A41" s="73">
        <v>35</v>
      </c>
      <c r="B41" s="181" t="s">
        <v>238</v>
      </c>
      <c r="C41" s="181" t="s">
        <v>34</v>
      </c>
      <c r="D41" s="124">
        <f>444720</f>
        <v>444720</v>
      </c>
      <c r="E41" s="122">
        <f>0</f>
        <v>0</v>
      </c>
      <c r="F41" s="120">
        <f t="shared" ref="F41:F43" si="6">D41+E41</f>
        <v>444720</v>
      </c>
      <c r="G41" s="120"/>
      <c r="H41" s="120"/>
      <c r="I41" s="120"/>
      <c r="J41" s="134">
        <f>15548.33</f>
        <v>15548.33</v>
      </c>
      <c r="K41" s="120">
        <f t="shared" si="1"/>
        <v>15548.33</v>
      </c>
      <c r="L41" s="120">
        <f>700000</f>
        <v>700000</v>
      </c>
    </row>
    <row r="42" spans="1:12" ht="20.100000000000001" customHeight="1">
      <c r="A42" s="73">
        <v>36</v>
      </c>
      <c r="B42" s="181" t="s">
        <v>93</v>
      </c>
      <c r="C42" s="181" t="s">
        <v>92</v>
      </c>
      <c r="D42" s="124">
        <f>500000</f>
        <v>500000</v>
      </c>
      <c r="E42" s="122">
        <f>0</f>
        <v>0</v>
      </c>
      <c r="F42" s="120">
        <f t="shared" si="6"/>
        <v>500000</v>
      </c>
      <c r="G42" s="120"/>
      <c r="H42" s="120"/>
      <c r="I42" s="120"/>
      <c r="J42" s="134">
        <f>0.05*D42</f>
        <v>25000</v>
      </c>
      <c r="K42" s="120">
        <f t="shared" si="1"/>
        <v>25000</v>
      </c>
      <c r="L42" s="120">
        <f>700000</f>
        <v>700000</v>
      </c>
    </row>
    <row r="43" spans="1:12" ht="20.100000000000001" customHeight="1">
      <c r="A43" s="73">
        <v>37</v>
      </c>
      <c r="B43" s="181" t="s">
        <v>471</v>
      </c>
      <c r="C43" s="181" t="s">
        <v>76</v>
      </c>
      <c r="D43" s="124">
        <f>524023.33</f>
        <v>524023.33</v>
      </c>
      <c r="E43" s="122"/>
      <c r="F43" s="120">
        <f t="shared" si="6"/>
        <v>524023.33</v>
      </c>
      <c r="G43" s="120"/>
      <c r="H43" s="120"/>
      <c r="I43" s="120"/>
      <c r="J43" s="134">
        <f>21618.09</f>
        <v>21618.09</v>
      </c>
      <c r="K43" s="120">
        <f t="shared" si="1"/>
        <v>21618.09</v>
      </c>
      <c r="L43" s="120">
        <f>700000</f>
        <v>700000</v>
      </c>
    </row>
    <row r="44" spans="1:12" ht="20.100000000000001" customHeight="1">
      <c r="A44" s="73">
        <v>38</v>
      </c>
      <c r="B44" s="181" t="s">
        <v>232</v>
      </c>
      <c r="C44" s="181" t="s">
        <v>19</v>
      </c>
      <c r="D44" s="124">
        <f>90000</f>
        <v>90000</v>
      </c>
      <c r="E44" s="122">
        <f>25000</f>
        <v>25000</v>
      </c>
      <c r="F44" s="120">
        <f t="shared" ref="F44" si="7">D44+E44</f>
        <v>115000</v>
      </c>
      <c r="G44" s="120">
        <f>0</f>
        <v>0</v>
      </c>
      <c r="H44" s="185">
        <f>0</f>
        <v>0</v>
      </c>
      <c r="I44" s="120"/>
      <c r="J44" s="120"/>
      <c r="K44" s="120">
        <f t="shared" si="1"/>
        <v>0</v>
      </c>
      <c r="L44" s="120">
        <v>300000</v>
      </c>
    </row>
    <row r="45" spans="1:12" ht="20.100000000000001" customHeight="1">
      <c r="A45" s="73">
        <v>39</v>
      </c>
      <c r="B45" s="181" t="s">
        <v>438</v>
      </c>
      <c r="C45" s="181" t="s">
        <v>19</v>
      </c>
      <c r="D45" s="124">
        <f>90000</f>
        <v>90000</v>
      </c>
      <c r="E45" s="122">
        <f>25000</f>
        <v>25000</v>
      </c>
      <c r="F45" s="120">
        <f t="shared" ref="F45:F47" si="8">D45+E45</f>
        <v>115000</v>
      </c>
      <c r="G45" s="120">
        <f>0</f>
        <v>0</v>
      </c>
      <c r="H45" s="185">
        <f>0</f>
        <v>0</v>
      </c>
      <c r="I45" s="120"/>
      <c r="J45" s="120"/>
      <c r="K45" s="120">
        <f t="shared" si="1"/>
        <v>0</v>
      </c>
      <c r="L45" s="120">
        <v>300000</v>
      </c>
    </row>
    <row r="46" spans="1:12" ht="20.100000000000001" customHeight="1">
      <c r="A46" s="73">
        <v>40</v>
      </c>
      <c r="B46" s="181" t="s">
        <v>179</v>
      </c>
      <c r="C46" s="181" t="s">
        <v>19</v>
      </c>
      <c r="D46" s="124">
        <f>90000</f>
        <v>90000</v>
      </c>
      <c r="E46" s="122">
        <f>25000</f>
        <v>25000</v>
      </c>
      <c r="F46" s="120">
        <f t="shared" si="8"/>
        <v>115000</v>
      </c>
      <c r="G46" s="120">
        <f>0</f>
        <v>0</v>
      </c>
      <c r="H46" s="185">
        <f>0</f>
        <v>0</v>
      </c>
      <c r="I46" s="120"/>
      <c r="J46" s="120"/>
      <c r="K46" s="120">
        <f t="shared" si="1"/>
        <v>0</v>
      </c>
      <c r="L46" s="120">
        <v>300000</v>
      </c>
    </row>
    <row r="47" spans="1:12" ht="20.100000000000001" customHeight="1">
      <c r="A47" s="73">
        <v>41</v>
      </c>
      <c r="B47" s="31" t="s">
        <v>439</v>
      </c>
      <c r="C47" s="31" t="s">
        <v>76</v>
      </c>
      <c r="D47" s="124">
        <f>123329</f>
        <v>123329</v>
      </c>
      <c r="E47" s="122">
        <f>100000</f>
        <v>100000</v>
      </c>
      <c r="F47" s="120">
        <f t="shared" si="8"/>
        <v>223329</v>
      </c>
      <c r="G47" s="120">
        <f>70000</f>
        <v>70000</v>
      </c>
      <c r="H47" s="120"/>
      <c r="I47" s="120"/>
      <c r="J47" s="120">
        <f>1235.19</f>
        <v>1235.19</v>
      </c>
      <c r="K47" s="120">
        <f t="shared" si="1"/>
        <v>71235.19</v>
      </c>
      <c r="L47" s="120">
        <v>300000</v>
      </c>
    </row>
    <row r="48" spans="1:12" ht="20.100000000000001" customHeight="1">
      <c r="A48" s="73">
        <v>42</v>
      </c>
      <c r="B48" s="31" t="s">
        <v>213</v>
      </c>
      <c r="C48" s="31" t="s">
        <v>472</v>
      </c>
      <c r="D48" s="124">
        <f>123329</f>
        <v>123329</v>
      </c>
      <c r="E48" s="122">
        <f>100000</f>
        <v>100000</v>
      </c>
      <c r="F48" s="120">
        <f>(D48+E48)</f>
        <v>223329</v>
      </c>
      <c r="G48" s="120"/>
      <c r="H48" s="120"/>
      <c r="I48" s="120"/>
      <c r="J48" s="120">
        <f>1235.19</f>
        <v>1235.19</v>
      </c>
      <c r="K48" s="120">
        <f>G48+H48+I48+J48</f>
        <v>1235.19</v>
      </c>
      <c r="L48" s="120">
        <v>300000</v>
      </c>
    </row>
    <row r="49" spans="1:12" ht="20.100000000000001" customHeight="1">
      <c r="A49" s="73">
        <v>43</v>
      </c>
      <c r="B49" s="31" t="s">
        <v>216</v>
      </c>
      <c r="C49" s="31" t="s">
        <v>34</v>
      </c>
      <c r="D49" s="124">
        <f>153161.33+34243.25+99537.5</f>
        <v>286942.07999999996</v>
      </c>
      <c r="E49" s="122">
        <f>150000</f>
        <v>150000</v>
      </c>
      <c r="F49" s="120">
        <f>(D49+E49)</f>
        <v>436942.07999999996</v>
      </c>
      <c r="G49" s="120"/>
      <c r="H49" s="120"/>
      <c r="I49" s="120"/>
      <c r="J49" s="120">
        <f>15548.33</f>
        <v>15548.33</v>
      </c>
      <c r="K49" s="120">
        <f>G49+H49+I49+J49</f>
        <v>15548.33</v>
      </c>
      <c r="L49" s="120">
        <f>350000</f>
        <v>350000</v>
      </c>
    </row>
    <row r="50" spans="1:12" ht="20.100000000000001" customHeight="1">
      <c r="A50" s="73">
        <v>44</v>
      </c>
      <c r="B50" s="31" t="s">
        <v>30</v>
      </c>
      <c r="C50" s="31" t="s">
        <v>19</v>
      </c>
      <c r="D50" s="124">
        <f>90000</f>
        <v>90000</v>
      </c>
      <c r="E50" s="122">
        <f>25000</f>
        <v>25000</v>
      </c>
      <c r="F50" s="120">
        <f>(D50+E50)</f>
        <v>115000</v>
      </c>
      <c r="G50" s="120"/>
      <c r="H50" s="120"/>
      <c r="I50" s="120"/>
      <c r="J50" s="120"/>
      <c r="K50" s="120"/>
      <c r="L50" s="120">
        <v>300000</v>
      </c>
    </row>
    <row r="51" spans="1:12" ht="20.100000000000001" customHeight="1">
      <c r="A51" s="73">
        <v>45</v>
      </c>
      <c r="B51" s="31" t="s">
        <v>473</v>
      </c>
      <c r="C51" s="31" t="s">
        <v>76</v>
      </c>
      <c r="D51" s="122">
        <f>344720</f>
        <v>344720</v>
      </c>
      <c r="E51" s="122">
        <v>100000</v>
      </c>
      <c r="F51" s="120">
        <f>(D51+E51)</f>
        <v>444720</v>
      </c>
      <c r="G51" s="120"/>
      <c r="H51" s="120"/>
      <c r="I51" s="120"/>
      <c r="J51" s="122">
        <f>15548.33</f>
        <v>15548.33</v>
      </c>
      <c r="K51" s="120">
        <f t="shared" ref="K51" si="9">G51+H51+J51</f>
        <v>15548.33</v>
      </c>
      <c r="L51" s="120">
        <v>700000</v>
      </c>
    </row>
    <row r="52" spans="1:12" ht="20.100000000000001" customHeight="1">
      <c r="A52" s="73">
        <v>46</v>
      </c>
      <c r="B52" s="31" t="s">
        <v>474</v>
      </c>
      <c r="C52" s="31" t="s">
        <v>475</v>
      </c>
      <c r="D52" s="122">
        <f>44538</f>
        <v>44538</v>
      </c>
      <c r="E52" s="122">
        <f>25000</f>
        <v>25000</v>
      </c>
      <c r="F52" s="120">
        <f>D52+E52</f>
        <v>69538</v>
      </c>
      <c r="G52" s="120"/>
      <c r="H52" s="120"/>
      <c r="I52" s="120"/>
      <c r="J52" s="122">
        <f>236.04</f>
        <v>236.04</v>
      </c>
      <c r="K52" s="120">
        <f>G52+H52+I52+J52</f>
        <v>236.04</v>
      </c>
      <c r="L52" s="120">
        <v>100000</v>
      </c>
    </row>
    <row r="53" spans="1:12" ht="20.100000000000001" customHeight="1">
      <c r="A53" s="73">
        <v>47</v>
      </c>
      <c r="B53" s="31" t="s">
        <v>440</v>
      </c>
      <c r="C53" s="31" t="s">
        <v>19</v>
      </c>
      <c r="D53" s="122">
        <f>90000</f>
        <v>90000</v>
      </c>
      <c r="E53" s="122">
        <f>25000+25000</f>
        <v>50000</v>
      </c>
      <c r="F53" s="120">
        <f>D53+E53</f>
        <v>140000</v>
      </c>
      <c r="G53" s="120"/>
      <c r="H53" s="120"/>
      <c r="I53" s="120"/>
      <c r="J53" s="122"/>
      <c r="K53" s="120"/>
      <c r="L53" s="120">
        <v>300000</v>
      </c>
    </row>
    <row r="54" spans="1:12" ht="20.100000000000001" customHeight="1">
      <c r="A54" s="73">
        <v>48</v>
      </c>
      <c r="B54" s="31" t="s">
        <v>476</v>
      </c>
      <c r="C54" s="31" t="s">
        <v>477</v>
      </c>
      <c r="D54" s="122">
        <f>424023</f>
        <v>424023</v>
      </c>
      <c r="E54" s="122">
        <f>100000</f>
        <v>100000</v>
      </c>
      <c r="F54" s="120">
        <f>D54+E54</f>
        <v>524023</v>
      </c>
      <c r="G54" s="120"/>
      <c r="H54" s="120"/>
      <c r="I54" s="120"/>
      <c r="J54" s="122">
        <f>15548.33</f>
        <v>15548.33</v>
      </c>
      <c r="K54" s="120">
        <f>G54+H54+I54+J54</f>
        <v>15548.33</v>
      </c>
      <c r="L54" s="120">
        <f>350000</f>
        <v>350000</v>
      </c>
    </row>
    <row r="55" spans="1:12" ht="20.100000000000001" customHeight="1">
      <c r="A55" s="73">
        <v>49</v>
      </c>
      <c r="B55" s="31" t="s">
        <v>478</v>
      </c>
      <c r="C55" s="31" t="s">
        <v>479</v>
      </c>
      <c r="D55" s="122"/>
      <c r="E55" s="122"/>
      <c r="F55" s="120"/>
      <c r="G55" s="120"/>
      <c r="H55" s="120"/>
      <c r="I55" s="120"/>
      <c r="J55" s="122"/>
      <c r="K55" s="120"/>
      <c r="L55" s="120">
        <f>300000</f>
        <v>300000</v>
      </c>
    </row>
    <row r="56" spans="1:12" ht="20.100000000000001" customHeight="1">
      <c r="A56" s="73">
        <v>50</v>
      </c>
      <c r="B56" s="31" t="s">
        <v>122</v>
      </c>
      <c r="C56" s="31" t="s">
        <v>479</v>
      </c>
      <c r="D56" s="122"/>
      <c r="E56" s="122"/>
      <c r="F56" s="120"/>
      <c r="G56" s="120"/>
      <c r="H56" s="120"/>
      <c r="I56" s="120"/>
      <c r="J56" s="122"/>
      <c r="K56" s="120"/>
      <c r="L56" s="120">
        <f>300000</f>
        <v>300000</v>
      </c>
    </row>
    <row r="57" spans="1:12" ht="20.100000000000001" customHeight="1">
      <c r="A57" s="73">
        <v>51</v>
      </c>
      <c r="B57" s="31" t="s">
        <v>442</v>
      </c>
      <c r="C57" s="31" t="s">
        <v>34</v>
      </c>
      <c r="D57" s="122"/>
      <c r="E57" s="122"/>
      <c r="F57" s="120"/>
      <c r="G57" s="120"/>
      <c r="H57" s="120"/>
      <c r="I57" s="120"/>
      <c r="J57" s="122"/>
      <c r="K57" s="120"/>
      <c r="L57" s="120">
        <f>350000</f>
        <v>350000</v>
      </c>
    </row>
    <row r="58" spans="1:12" ht="20.100000000000001" customHeight="1">
      <c r="A58" s="73"/>
      <c r="B58" s="102"/>
      <c r="C58" s="181"/>
      <c r="D58" s="179">
        <f>SUM(D7:D52)</f>
        <v>9128465.0399999991</v>
      </c>
      <c r="E58" s="180">
        <f>SUM(E7:E52)</f>
        <v>3125000</v>
      </c>
      <c r="F58" s="125">
        <f>SUM(F7:F52)</f>
        <v>12253465.039999999</v>
      </c>
      <c r="G58" s="125">
        <f>SUM(G7:G52)</f>
        <v>727000</v>
      </c>
      <c r="H58" s="125">
        <f>SUM(H7:H52)</f>
        <v>448934.38</v>
      </c>
      <c r="I58" s="125"/>
      <c r="J58" s="125">
        <f>SUM(J7:J52)</f>
        <v>270501.60741935478</v>
      </c>
      <c r="K58" s="125">
        <f>SUM(K7:K52)</f>
        <v>1446435.9874193547</v>
      </c>
      <c r="L58" s="125">
        <f>SUM(L7:L57)</f>
        <v>18700000</v>
      </c>
    </row>
    <row r="59" spans="1:12" ht="20.100000000000001" customHeight="1">
      <c r="A59" s="73"/>
      <c r="B59" s="169"/>
      <c r="C59" s="341" t="s">
        <v>429</v>
      </c>
      <c r="D59" s="341"/>
      <c r="E59" s="342"/>
      <c r="F59" s="342"/>
      <c r="G59" s="208"/>
      <c r="H59" s="208">
        <f>H58+G58</f>
        <v>1175934.3799999999</v>
      </c>
      <c r="I59" s="208"/>
      <c r="J59" s="127"/>
      <c r="K59" s="127"/>
      <c r="L59" s="127"/>
    </row>
    <row r="60" spans="1:12" ht="20.100000000000001" customHeight="1">
      <c r="A60" s="206"/>
      <c r="B60" s="169"/>
      <c r="C60" s="341"/>
      <c r="D60" s="341"/>
      <c r="E60" s="342"/>
      <c r="F60" s="342"/>
      <c r="G60" s="208"/>
      <c r="H60" s="8"/>
      <c r="I60" s="208"/>
      <c r="J60" s="127"/>
      <c r="K60" s="127"/>
      <c r="L60" s="127">
        <f>L58-L59</f>
        <v>18700000</v>
      </c>
    </row>
    <row r="61" spans="1:12" ht="20.100000000000001" customHeight="1">
      <c r="A61" s="70"/>
      <c r="G61" s="116"/>
      <c r="H61" s="8"/>
    </row>
    <row r="62" spans="1:12" ht="20.100000000000001" customHeight="1">
      <c r="A62" s="70"/>
      <c r="L62" s="116"/>
    </row>
    <row r="63" spans="1:12" ht="20.100000000000001" customHeight="1">
      <c r="A63" s="70"/>
      <c r="G63" s="168"/>
    </row>
    <row r="64" spans="1:12" ht="20.100000000000001" customHeight="1">
      <c r="A64" s="70"/>
      <c r="C64" s="168"/>
      <c r="D64" s="168"/>
      <c r="E64" s="168"/>
      <c r="F64" s="187"/>
      <c r="G64" s="168"/>
    </row>
    <row r="65" spans="1:9" ht="20.100000000000001" customHeight="1">
      <c r="A65" s="70"/>
      <c r="C65" s="168"/>
      <c r="D65" s="168"/>
      <c r="E65" s="168"/>
      <c r="F65" s="187"/>
      <c r="I65" s="168"/>
    </row>
    <row r="66" spans="1:9" ht="20.100000000000001" customHeight="1">
      <c r="A66" s="70"/>
      <c r="C66" s="168"/>
      <c r="D66" s="168"/>
      <c r="E66" s="168"/>
      <c r="F66" s="187"/>
    </row>
    <row r="67" spans="1:9" ht="20.100000000000001" customHeight="1">
      <c r="A67" s="70"/>
      <c r="C67" s="168"/>
      <c r="D67" s="168"/>
      <c r="E67" s="168"/>
    </row>
    <row r="68" spans="1:9" ht="20.100000000000001" customHeight="1">
      <c r="A68" s="70"/>
    </row>
    <row r="69" spans="1:9" ht="20.100000000000001" customHeight="1">
      <c r="A69" s="70"/>
    </row>
    <row r="70" spans="1:9" ht="20.100000000000001" customHeight="1">
      <c r="A70" s="70"/>
    </row>
    <row r="71" spans="1:9" ht="20.100000000000001" customHeight="1">
      <c r="A71" s="70"/>
    </row>
    <row r="72" spans="1:9" ht="20.100000000000001" customHeight="1">
      <c r="A72" s="70"/>
    </row>
    <row r="73" spans="1:9" ht="20.100000000000001" customHeight="1">
      <c r="A73" s="70"/>
    </row>
    <row r="74" spans="1:9" ht="20.100000000000001" customHeight="1">
      <c r="A74" s="70"/>
    </row>
    <row r="75" spans="1:9" ht="20.100000000000001" customHeight="1">
      <c r="A75" s="70"/>
    </row>
    <row r="76" spans="1:9" ht="20.100000000000001" customHeight="1">
      <c r="A76" s="70"/>
    </row>
    <row r="77" spans="1:9" ht="20.100000000000001" customHeight="1">
      <c r="A77" s="70"/>
    </row>
    <row r="78" spans="1:9" ht="20.100000000000001" customHeight="1">
      <c r="A78" s="70"/>
    </row>
    <row r="79" spans="1:9" ht="20.100000000000001" customHeight="1">
      <c r="A79" s="70"/>
    </row>
    <row r="80" spans="1:9" ht="20.100000000000001" customHeight="1">
      <c r="A80" s="70"/>
    </row>
    <row r="81" spans="1:1" ht="20.100000000000001" customHeight="1">
      <c r="A81" s="70"/>
    </row>
    <row r="82" spans="1:1" ht="20.100000000000001" customHeight="1">
      <c r="A82" s="70"/>
    </row>
    <row r="83" spans="1:1" ht="20.100000000000001" customHeight="1">
      <c r="A83" s="70"/>
    </row>
    <row r="84" spans="1:1" ht="20.100000000000001" customHeight="1">
      <c r="A84" s="70"/>
    </row>
    <row r="85" spans="1:1" ht="20.100000000000001" customHeight="1">
      <c r="A85" s="70"/>
    </row>
    <row r="86" spans="1:1" ht="20.100000000000001" customHeight="1">
      <c r="A86" s="70"/>
    </row>
    <row r="87" spans="1:1" ht="20.100000000000001" customHeight="1">
      <c r="A87" s="70"/>
    </row>
    <row r="88" spans="1:1" ht="20.100000000000001" customHeight="1">
      <c r="A88" s="70"/>
    </row>
    <row r="89" spans="1:1" ht="20.100000000000001" customHeight="1">
      <c r="A89" s="70"/>
    </row>
    <row r="90" spans="1:1" ht="20.100000000000001" customHeight="1">
      <c r="A90" s="70"/>
    </row>
    <row r="91" spans="1:1" ht="20.100000000000001" customHeight="1">
      <c r="A91" s="70"/>
    </row>
    <row r="92" spans="1:1" ht="20.100000000000001" customHeight="1">
      <c r="A92" s="70"/>
    </row>
    <row r="93" spans="1:1" ht="20.100000000000001" customHeight="1">
      <c r="A93" s="70"/>
    </row>
    <row r="94" spans="1:1" ht="20.100000000000001" customHeight="1">
      <c r="A94" s="70"/>
    </row>
    <row r="95" spans="1:1" ht="20.100000000000001" customHeight="1">
      <c r="A95" s="70"/>
    </row>
    <row r="96" spans="1:1" ht="20.100000000000001" customHeight="1">
      <c r="A96" s="70"/>
    </row>
    <row r="97" spans="1:1" ht="20.100000000000001" customHeight="1">
      <c r="A97" s="70"/>
    </row>
    <row r="98" spans="1:1" ht="20.100000000000001" customHeight="1">
      <c r="A98" s="70"/>
    </row>
    <row r="99" spans="1:1" ht="20.100000000000001" customHeight="1">
      <c r="A99" s="70"/>
    </row>
    <row r="100" spans="1:1" ht="20.100000000000001" customHeight="1">
      <c r="A100" s="70"/>
    </row>
    <row r="101" spans="1:1" ht="20.100000000000001" customHeight="1">
      <c r="A101" s="23"/>
    </row>
  </sheetData>
  <mergeCells count="5">
    <mergeCell ref="B3:D4"/>
    <mergeCell ref="G5:K5"/>
    <mergeCell ref="C59:C60"/>
    <mergeCell ref="D59:D60"/>
    <mergeCell ref="E59:F60"/>
  </mergeCells>
  <pageMargins left="0.51181102362204722" right="0" top="0" bottom="7.874015748031496E-2" header="0.11811023622047245" footer="0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62"/>
  <sheetViews>
    <sheetView view="pageBreakPreview" zoomScale="68" zoomScaleSheetLayoutView="68" workbookViewId="0">
      <pane xSplit="4" ySplit="9" topLeftCell="E10" activePane="bottomRight" state="frozen"/>
      <selection pane="bottomRight"/>
      <selection pane="bottomLeft"/>
      <selection pane="topRight"/>
    </sheetView>
  </sheetViews>
  <sheetFormatPr defaultColWidth="9.140625" defaultRowHeight="20.100000000000001" customHeight="1"/>
  <cols>
    <col min="1" max="1" width="6.140625" style="1" customWidth="1"/>
    <col min="2" max="2" width="39.140625" style="1" customWidth="1"/>
    <col min="3" max="3" width="35.5703125" style="1" customWidth="1"/>
    <col min="4" max="4" width="26.85546875" style="1" customWidth="1"/>
    <col min="5" max="5" width="28.42578125" style="1" customWidth="1"/>
    <col min="6" max="16384" width="9.140625" style="1"/>
  </cols>
  <sheetData>
    <row r="1" spans="1:10" ht="29.25" customHeight="1">
      <c r="A1" s="23"/>
      <c r="B1" s="22"/>
      <c r="C1" s="22"/>
      <c r="D1" s="22"/>
      <c r="J1" s="1" t="s">
        <v>407</v>
      </c>
    </row>
    <row r="2" spans="1:10" ht="5.25" customHeight="1">
      <c r="A2" s="23"/>
      <c r="B2" s="23"/>
      <c r="C2" s="23"/>
      <c r="D2" s="23"/>
    </row>
    <row r="3" spans="1:10" ht="34.35" customHeight="1">
      <c r="A3" s="23"/>
      <c r="B3" s="339" t="s">
        <v>480</v>
      </c>
      <c r="C3" s="339"/>
      <c r="D3" s="339"/>
    </row>
    <row r="4" spans="1:10" ht="2.25" customHeight="1">
      <c r="A4" s="23"/>
      <c r="B4" s="339"/>
      <c r="C4" s="339"/>
      <c r="D4" s="339"/>
    </row>
    <row r="5" spans="1:10" ht="20.100000000000001" customHeight="1">
      <c r="A5" s="23"/>
      <c r="C5" s="26"/>
      <c r="D5" s="103"/>
    </row>
    <row r="6" spans="1:10" ht="44.1" customHeight="1">
      <c r="A6" s="33" t="s">
        <v>1</v>
      </c>
      <c r="B6" s="34" t="s">
        <v>2</v>
      </c>
      <c r="C6" s="27" t="s">
        <v>3</v>
      </c>
      <c r="D6" s="28" t="s">
        <v>117</v>
      </c>
    </row>
    <row r="7" spans="1:10" ht="20.100000000000001" customHeight="1">
      <c r="B7" s="184"/>
      <c r="C7" s="177"/>
      <c r="D7" s="119" t="s">
        <v>13</v>
      </c>
    </row>
    <row r="8" spans="1:10" ht="18.75" customHeight="1">
      <c r="A8" s="73">
        <v>1</v>
      </c>
      <c r="B8" s="181" t="s">
        <v>481</v>
      </c>
      <c r="C8" s="181" t="s">
        <v>482</v>
      </c>
      <c r="D8" s="122">
        <f>70000</f>
        <v>70000</v>
      </c>
    </row>
    <row r="9" spans="1:10" ht="18.75" customHeight="1">
      <c r="A9" s="73">
        <v>2</v>
      </c>
      <c r="B9" s="181" t="s">
        <v>451</v>
      </c>
      <c r="C9" s="31" t="s">
        <v>76</v>
      </c>
      <c r="D9" s="122">
        <f>50000</f>
        <v>50000</v>
      </c>
    </row>
    <row r="10" spans="1:10" ht="18.75" customHeight="1">
      <c r="A10" s="73">
        <v>3</v>
      </c>
      <c r="B10" s="181" t="s">
        <v>452</v>
      </c>
      <c r="C10" s="31" t="s">
        <v>76</v>
      </c>
      <c r="D10" s="122">
        <f>50000</f>
        <v>50000</v>
      </c>
    </row>
    <row r="11" spans="1:10" ht="18.75" customHeight="1">
      <c r="A11" s="73">
        <v>4</v>
      </c>
      <c r="B11" s="181" t="s">
        <v>453</v>
      </c>
      <c r="C11" s="31" t="s">
        <v>76</v>
      </c>
      <c r="D11" s="122">
        <f>50000</f>
        <v>50000</v>
      </c>
    </row>
    <row r="12" spans="1:10" ht="21" customHeight="1">
      <c r="A12" s="73">
        <v>5</v>
      </c>
      <c r="B12" s="181" t="s">
        <v>483</v>
      </c>
      <c r="C12" s="181" t="s">
        <v>484</v>
      </c>
      <c r="D12" s="122">
        <f>30000</f>
        <v>30000</v>
      </c>
    </row>
    <row r="13" spans="1:10" ht="19.5" customHeight="1">
      <c r="A13" s="73">
        <v>6</v>
      </c>
      <c r="B13" s="133" t="s">
        <v>485</v>
      </c>
      <c r="C13" s="31" t="s">
        <v>15</v>
      </c>
      <c r="D13" s="122">
        <f>30000</f>
        <v>30000</v>
      </c>
    </row>
    <row r="14" spans="1:10" ht="19.5" customHeight="1">
      <c r="A14" s="73">
        <v>7</v>
      </c>
      <c r="B14" s="194" t="s">
        <v>454</v>
      </c>
      <c r="C14" s="31" t="s">
        <v>455</v>
      </c>
      <c r="D14" s="122">
        <f>30000</f>
        <v>30000</v>
      </c>
    </row>
    <row r="15" spans="1:10" ht="19.5" customHeight="1">
      <c r="A15" s="73">
        <v>8</v>
      </c>
      <c r="B15" s="133" t="s">
        <v>486</v>
      </c>
      <c r="C15" s="31" t="s">
        <v>15</v>
      </c>
      <c r="D15" s="122">
        <f>0</f>
        <v>0</v>
      </c>
    </row>
    <row r="16" spans="1:10" ht="19.5" customHeight="1">
      <c r="A16" s="73">
        <v>9</v>
      </c>
      <c r="B16" s="133" t="s">
        <v>487</v>
      </c>
      <c r="C16" s="31" t="s">
        <v>15</v>
      </c>
      <c r="D16" s="122">
        <f>0</f>
        <v>0</v>
      </c>
    </row>
    <row r="17" spans="1:5" ht="20.100000000000001" customHeight="1">
      <c r="A17" s="73">
        <v>10</v>
      </c>
      <c r="B17" s="182" t="s">
        <v>456</v>
      </c>
      <c r="C17" s="31" t="s">
        <v>76</v>
      </c>
      <c r="D17" s="122">
        <f>50000</f>
        <v>50000</v>
      </c>
    </row>
    <row r="18" spans="1:5" ht="20.100000000000001" customHeight="1">
      <c r="A18" s="73">
        <v>12</v>
      </c>
      <c r="B18" s="182" t="s">
        <v>457</v>
      </c>
      <c r="C18" s="31" t="s">
        <v>76</v>
      </c>
      <c r="D18" s="122">
        <f>50000</f>
        <v>50000</v>
      </c>
    </row>
    <row r="19" spans="1:5" ht="20.100000000000001" customHeight="1">
      <c r="A19" s="73">
        <v>13</v>
      </c>
      <c r="B19" s="182" t="s">
        <v>458</v>
      </c>
      <c r="C19" s="31" t="s">
        <v>76</v>
      </c>
      <c r="D19" s="122">
        <f>30000</f>
        <v>30000</v>
      </c>
    </row>
    <row r="20" spans="1:5" ht="20.100000000000001" customHeight="1">
      <c r="A20" s="73">
        <v>14</v>
      </c>
      <c r="B20" s="182" t="s">
        <v>459</v>
      </c>
      <c r="C20" s="31" t="s">
        <v>76</v>
      </c>
      <c r="D20" s="122">
        <f>30000</f>
        <v>30000</v>
      </c>
    </row>
    <row r="21" spans="1:5" ht="20.100000000000001" customHeight="1">
      <c r="A21" s="73">
        <v>15</v>
      </c>
      <c r="B21" s="182" t="s">
        <v>488</v>
      </c>
      <c r="C21" s="31" t="s">
        <v>76</v>
      </c>
      <c r="D21" s="122">
        <f>70000</f>
        <v>70000</v>
      </c>
    </row>
    <row r="22" spans="1:5" ht="20.100000000000001" customHeight="1">
      <c r="A22" s="73">
        <v>16</v>
      </c>
      <c r="B22" s="182" t="s">
        <v>460</v>
      </c>
      <c r="C22" s="31" t="s">
        <v>461</v>
      </c>
      <c r="D22" s="122">
        <f>70000</f>
        <v>70000</v>
      </c>
    </row>
    <row r="23" spans="1:5" ht="20.100000000000001" customHeight="1">
      <c r="A23" s="73">
        <v>17</v>
      </c>
      <c r="B23" s="57" t="s">
        <v>14</v>
      </c>
      <c r="C23" s="59" t="s">
        <v>15</v>
      </c>
      <c r="D23" s="122">
        <f>30000</f>
        <v>30000</v>
      </c>
      <c r="E23" s="116"/>
    </row>
    <row r="24" spans="1:5" ht="20.100000000000001" customHeight="1">
      <c r="A24" s="73">
        <v>18</v>
      </c>
      <c r="B24" s="181" t="s">
        <v>462</v>
      </c>
      <c r="C24" s="31" t="s">
        <v>463</v>
      </c>
      <c r="D24" s="122">
        <f>30000</f>
        <v>30000</v>
      </c>
    </row>
    <row r="25" spans="1:5" ht="20.100000000000001" customHeight="1">
      <c r="A25" s="73">
        <v>22</v>
      </c>
      <c r="B25" s="181" t="s">
        <v>16</v>
      </c>
      <c r="C25" s="181" t="s">
        <v>17</v>
      </c>
      <c r="D25" s="122">
        <f>30000</f>
        <v>30000</v>
      </c>
    </row>
    <row r="26" spans="1:5" ht="20.100000000000001" customHeight="1">
      <c r="A26" s="73">
        <v>23</v>
      </c>
      <c r="B26" s="182" t="s">
        <v>169</v>
      </c>
      <c r="C26" s="181" t="s">
        <v>170</v>
      </c>
      <c r="D26" s="122">
        <f>70000</f>
        <v>70000</v>
      </c>
    </row>
    <row r="27" spans="1:5" ht="20.100000000000001" customHeight="1">
      <c r="A27" s="73">
        <v>24</v>
      </c>
      <c r="B27" s="182" t="s">
        <v>489</v>
      </c>
      <c r="C27" s="181" t="s">
        <v>490</v>
      </c>
      <c r="D27" s="122">
        <f>30000</f>
        <v>30000</v>
      </c>
    </row>
    <row r="28" spans="1:5" ht="20.100000000000001" customHeight="1">
      <c r="A28" s="73">
        <v>25</v>
      </c>
      <c r="B28" s="182" t="s">
        <v>465</v>
      </c>
      <c r="C28" s="181" t="s">
        <v>466</v>
      </c>
      <c r="D28" s="122">
        <f>30000</f>
        <v>30000</v>
      </c>
    </row>
    <row r="29" spans="1:5" ht="20.100000000000001" customHeight="1">
      <c r="A29" s="73">
        <v>26</v>
      </c>
      <c r="B29" s="182" t="s">
        <v>491</v>
      </c>
      <c r="C29" s="181" t="s">
        <v>466</v>
      </c>
      <c r="D29" s="122">
        <f>30000</f>
        <v>30000</v>
      </c>
    </row>
    <row r="30" spans="1:5" ht="20.100000000000001" customHeight="1">
      <c r="A30" s="73">
        <v>27</v>
      </c>
      <c r="B30" s="182" t="s">
        <v>467</v>
      </c>
      <c r="C30" s="181" t="s">
        <v>468</v>
      </c>
      <c r="D30" s="122">
        <f>30000</f>
        <v>30000</v>
      </c>
    </row>
    <row r="31" spans="1:5" ht="20.100000000000001" customHeight="1">
      <c r="A31" s="73">
        <v>28</v>
      </c>
      <c r="B31" s="182" t="s">
        <v>469</v>
      </c>
      <c r="C31" s="181" t="s">
        <v>468</v>
      </c>
      <c r="D31" s="122">
        <f>30000</f>
        <v>30000</v>
      </c>
    </row>
    <row r="32" spans="1:5" ht="20.100000000000001" customHeight="1">
      <c r="A32" s="73">
        <v>29</v>
      </c>
      <c r="B32" s="182" t="s">
        <v>470</v>
      </c>
      <c r="C32" s="181" t="s">
        <v>468</v>
      </c>
      <c r="D32" s="122">
        <f>30000</f>
        <v>30000</v>
      </c>
    </row>
    <row r="33" spans="1:4" ht="20.100000000000001" customHeight="1">
      <c r="A33" s="73">
        <v>30</v>
      </c>
      <c r="B33" s="181" t="s">
        <v>18</v>
      </c>
      <c r="C33" s="181" t="s">
        <v>177</v>
      </c>
      <c r="D33" s="122">
        <f>20000</f>
        <v>20000</v>
      </c>
    </row>
    <row r="34" spans="1:4" ht="20.100000000000001" customHeight="1">
      <c r="A34" s="73">
        <v>32</v>
      </c>
      <c r="B34" s="181" t="s">
        <v>20</v>
      </c>
      <c r="C34" s="181" t="s">
        <v>21</v>
      </c>
      <c r="D34" s="122">
        <f>20000</f>
        <v>20000</v>
      </c>
    </row>
    <row r="35" spans="1:4" ht="20.100000000000001" customHeight="1">
      <c r="A35" s="73">
        <v>33</v>
      </c>
      <c r="B35" s="181" t="s">
        <v>412</v>
      </c>
      <c r="C35" s="181" t="s">
        <v>23</v>
      </c>
      <c r="D35" s="122">
        <f>30000</f>
        <v>30000</v>
      </c>
    </row>
    <row r="36" spans="1:4" ht="20.100000000000001" customHeight="1">
      <c r="A36" s="73">
        <v>34</v>
      </c>
      <c r="B36" s="182" t="s">
        <v>22</v>
      </c>
      <c r="C36" s="181" t="s">
        <v>23</v>
      </c>
      <c r="D36" s="122">
        <f>20000</f>
        <v>20000</v>
      </c>
    </row>
    <row r="37" spans="1:4" ht="20.100000000000001" customHeight="1">
      <c r="A37" s="73">
        <v>35</v>
      </c>
      <c r="B37" s="31" t="s">
        <v>346</v>
      </c>
      <c r="C37" s="181" t="s">
        <v>19</v>
      </c>
      <c r="D37" s="122">
        <f>30000</f>
        <v>30000</v>
      </c>
    </row>
    <row r="38" spans="1:4" ht="20.100000000000001" customHeight="1">
      <c r="A38" s="73">
        <v>36</v>
      </c>
      <c r="B38" s="31" t="s">
        <v>436</v>
      </c>
      <c r="C38" s="181" t="s">
        <v>19</v>
      </c>
      <c r="D38" s="122">
        <f>30000</f>
        <v>30000</v>
      </c>
    </row>
    <row r="39" spans="1:4" ht="20.100000000000001" customHeight="1">
      <c r="A39" s="73">
        <v>37</v>
      </c>
      <c r="B39" s="31" t="s">
        <v>492</v>
      </c>
      <c r="C39" s="181" t="s">
        <v>39</v>
      </c>
      <c r="D39" s="122">
        <f>10000</f>
        <v>10000</v>
      </c>
    </row>
    <row r="40" spans="1:4" ht="20.100000000000001" customHeight="1">
      <c r="A40" s="73">
        <v>38</v>
      </c>
      <c r="B40" s="31" t="s">
        <v>437</v>
      </c>
      <c r="C40" s="181" t="s">
        <v>34</v>
      </c>
      <c r="D40" s="122">
        <f>70000</f>
        <v>70000</v>
      </c>
    </row>
    <row r="41" spans="1:4" ht="20.100000000000001" customHeight="1">
      <c r="A41" s="73">
        <v>39</v>
      </c>
      <c r="B41" s="31" t="s">
        <v>186</v>
      </c>
      <c r="C41" s="181" t="s">
        <v>34</v>
      </c>
      <c r="D41" s="122">
        <f>70000</f>
        <v>70000</v>
      </c>
    </row>
    <row r="42" spans="1:4" ht="20.100000000000001" customHeight="1">
      <c r="A42" s="73">
        <v>40</v>
      </c>
      <c r="B42" s="31" t="s">
        <v>192</v>
      </c>
      <c r="C42" s="181" t="s">
        <v>76</v>
      </c>
      <c r="D42" s="122">
        <f>70000</f>
        <v>70000</v>
      </c>
    </row>
    <row r="43" spans="1:4" ht="20.100000000000001" customHeight="1">
      <c r="A43" s="73">
        <v>41</v>
      </c>
      <c r="B43" s="31" t="s">
        <v>196</v>
      </c>
      <c r="C43" s="181" t="s">
        <v>39</v>
      </c>
      <c r="D43" s="122">
        <f>10000</f>
        <v>10000</v>
      </c>
    </row>
    <row r="44" spans="1:4" ht="20.100000000000001" customHeight="1">
      <c r="A44" s="73">
        <v>42</v>
      </c>
      <c r="B44" s="31" t="s">
        <v>197</v>
      </c>
      <c r="C44" s="181" t="s">
        <v>76</v>
      </c>
      <c r="D44" s="122">
        <f>70000</f>
        <v>70000</v>
      </c>
    </row>
    <row r="45" spans="1:4" ht="20.100000000000001" customHeight="1">
      <c r="A45" s="73">
        <v>43</v>
      </c>
      <c r="B45" s="181" t="s">
        <v>201</v>
      </c>
      <c r="C45" s="181" t="s">
        <v>76</v>
      </c>
      <c r="D45" s="122">
        <f>70000</f>
        <v>70000</v>
      </c>
    </row>
    <row r="46" spans="1:4" ht="20.100000000000001" customHeight="1">
      <c r="A46" s="73">
        <v>44</v>
      </c>
      <c r="B46" s="181" t="s">
        <v>493</v>
      </c>
      <c r="C46" s="181" t="s">
        <v>34</v>
      </c>
      <c r="D46" s="122">
        <f>70000</f>
        <v>70000</v>
      </c>
    </row>
    <row r="47" spans="1:4" ht="20.100000000000001" customHeight="1">
      <c r="A47" s="73">
        <v>45</v>
      </c>
      <c r="B47" s="181" t="s">
        <v>494</v>
      </c>
      <c r="C47" s="181" t="s">
        <v>34</v>
      </c>
      <c r="D47" s="122">
        <f>70000</f>
        <v>70000</v>
      </c>
    </row>
    <row r="48" spans="1:4" ht="20.100000000000001" customHeight="1">
      <c r="A48" s="73">
        <v>46</v>
      </c>
      <c r="B48" s="181" t="s">
        <v>205</v>
      </c>
      <c r="C48" s="181" t="s">
        <v>39</v>
      </c>
      <c r="D48" s="122">
        <f>10000</f>
        <v>10000</v>
      </c>
    </row>
    <row r="49" spans="1:5" ht="20.100000000000001" customHeight="1">
      <c r="A49" s="73">
        <v>47</v>
      </c>
      <c r="B49" s="181" t="s">
        <v>495</v>
      </c>
      <c r="C49" s="181" t="s">
        <v>39</v>
      </c>
      <c r="D49" s="122">
        <f>10000</f>
        <v>10000</v>
      </c>
    </row>
    <row r="50" spans="1:5" ht="20.100000000000001" customHeight="1">
      <c r="A50" s="73">
        <v>48</v>
      </c>
      <c r="B50" s="181" t="s">
        <v>496</v>
      </c>
      <c r="C50" s="181" t="s">
        <v>39</v>
      </c>
      <c r="D50" s="122">
        <f>10000</f>
        <v>10000</v>
      </c>
    </row>
    <row r="51" spans="1:5" ht="20.100000000000001" customHeight="1">
      <c r="A51" s="73">
        <v>49</v>
      </c>
      <c r="B51" s="181" t="s">
        <v>24</v>
      </c>
      <c r="C51" s="181" t="s">
        <v>25</v>
      </c>
      <c r="D51" s="122">
        <f>20000</f>
        <v>20000</v>
      </c>
    </row>
    <row r="52" spans="1:5" ht="20.100000000000001" customHeight="1">
      <c r="A52" s="73">
        <v>50</v>
      </c>
      <c r="B52" s="181" t="s">
        <v>26</v>
      </c>
      <c r="C52" s="181" t="s">
        <v>25</v>
      </c>
      <c r="D52" s="122">
        <f>20000</f>
        <v>20000</v>
      </c>
    </row>
    <row r="53" spans="1:5" ht="20.100000000000001" customHeight="1">
      <c r="A53" s="73">
        <v>51</v>
      </c>
      <c r="B53" s="181" t="s">
        <v>497</v>
      </c>
      <c r="C53" s="181" t="s">
        <v>39</v>
      </c>
      <c r="D53" s="122">
        <f>10000</f>
        <v>10000</v>
      </c>
    </row>
    <row r="54" spans="1:5" ht="20.100000000000001" customHeight="1">
      <c r="A54" s="73">
        <v>52</v>
      </c>
      <c r="B54" s="181" t="s">
        <v>498</v>
      </c>
      <c r="C54" s="181" t="s">
        <v>39</v>
      </c>
      <c r="D54" s="122">
        <f>10000</f>
        <v>10000</v>
      </c>
    </row>
    <row r="55" spans="1:5" ht="20.100000000000001" customHeight="1">
      <c r="A55" s="73">
        <v>53</v>
      </c>
      <c r="B55" s="181" t="s">
        <v>499</v>
      </c>
      <c r="C55" s="181" t="s">
        <v>39</v>
      </c>
      <c r="D55" s="122">
        <f>10000</f>
        <v>10000</v>
      </c>
    </row>
    <row r="56" spans="1:5" ht="20.100000000000001" customHeight="1">
      <c r="A56" s="73">
        <v>54</v>
      </c>
      <c r="B56" s="181" t="s">
        <v>27</v>
      </c>
      <c r="C56" s="181" t="s">
        <v>23</v>
      </c>
      <c r="D56" s="122">
        <f>20000</f>
        <v>20000</v>
      </c>
    </row>
    <row r="57" spans="1:5" ht="20.100000000000001" customHeight="1">
      <c r="A57" s="73">
        <v>55</v>
      </c>
      <c r="B57" s="181" t="s">
        <v>248</v>
      </c>
      <c r="C57" s="181" t="s">
        <v>177</v>
      </c>
      <c r="D57" s="122">
        <f>20000</f>
        <v>20000</v>
      </c>
    </row>
    <row r="58" spans="1:5" ht="20.100000000000001" customHeight="1">
      <c r="A58" s="73">
        <v>56</v>
      </c>
      <c r="B58" s="181" t="s">
        <v>500</v>
      </c>
      <c r="C58" s="181" t="s">
        <v>39</v>
      </c>
      <c r="D58" s="122">
        <f>10000</f>
        <v>10000</v>
      </c>
    </row>
    <row r="59" spans="1:5" ht="20.100000000000001" customHeight="1">
      <c r="A59" s="73">
        <v>57</v>
      </c>
      <c r="B59" s="181" t="s">
        <v>501</v>
      </c>
      <c r="C59" s="181" t="s">
        <v>39</v>
      </c>
      <c r="D59" s="122">
        <f>10000</f>
        <v>10000</v>
      </c>
    </row>
    <row r="60" spans="1:5" ht="20.100000000000001" customHeight="1">
      <c r="A60" s="189"/>
      <c r="B60" s="102"/>
      <c r="C60" s="181"/>
      <c r="D60" s="179">
        <f>SUM(D8:D59)</f>
        <v>1770000</v>
      </c>
      <c r="E60" s="187"/>
    </row>
    <row r="61" spans="1:5" ht="20.100000000000001" customHeight="1">
      <c r="A61" s="31"/>
      <c r="B61" s="169"/>
      <c r="C61" s="341" t="s">
        <v>448</v>
      </c>
      <c r="D61" s="342" t="e">
        <f>#REF!+D60</f>
        <v>#REF!</v>
      </c>
      <c r="E61" s="116"/>
    </row>
    <row r="62" spans="1:5" ht="20.100000000000001" customHeight="1">
      <c r="A62" s="31"/>
      <c r="B62" s="169"/>
      <c r="C62" s="341"/>
      <c r="D62" s="342"/>
    </row>
  </sheetData>
  <mergeCells count="3">
    <mergeCell ref="B3:D4"/>
    <mergeCell ref="C61:C62"/>
    <mergeCell ref="D61:D62"/>
  </mergeCells>
  <pageMargins left="0.51181102362204722" right="0" top="0" bottom="7.874015748031496E-2" header="0.11811023622047245" footer="0"/>
  <pageSetup paperSize="9" scale="87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48"/>
  <sheetViews>
    <sheetView view="pageBreakPreview" zoomScale="68" zoomScaleSheetLayoutView="68" workbookViewId="0">
      <pane xSplit="5" ySplit="5" topLeftCell="F15" activePane="bottomRight" state="frozen"/>
      <selection pane="bottomRight"/>
      <selection pane="bottomLeft"/>
      <selection pane="topRight"/>
    </sheetView>
  </sheetViews>
  <sheetFormatPr defaultColWidth="9.140625" defaultRowHeight="20.100000000000001" customHeight="1"/>
  <cols>
    <col min="1" max="1" width="6.140625" style="1" customWidth="1"/>
    <col min="2" max="2" width="36.5703125" style="1" customWidth="1"/>
    <col min="3" max="3" width="30.140625" style="1" customWidth="1"/>
    <col min="4" max="4" width="20.7109375" style="1" customWidth="1"/>
    <col min="5" max="5" width="23" style="1" customWidth="1"/>
    <col min="6" max="6" width="28.42578125" style="1" customWidth="1"/>
    <col min="7" max="7" width="21.7109375" style="1" customWidth="1"/>
    <col min="8" max="8" width="28.7109375" style="1" customWidth="1"/>
    <col min="9" max="16384" width="9.140625" style="1"/>
  </cols>
  <sheetData>
    <row r="1" spans="1:11" ht="29.25" customHeight="1">
      <c r="A1" s="23"/>
      <c r="B1" s="22"/>
      <c r="C1" s="22"/>
      <c r="D1" s="22"/>
      <c r="E1" s="22"/>
      <c r="K1" s="1" t="s">
        <v>407</v>
      </c>
    </row>
    <row r="2" spans="1:11" ht="5.25" customHeight="1">
      <c r="A2" s="23"/>
      <c r="B2" s="23"/>
      <c r="C2" s="23"/>
      <c r="D2" s="23"/>
      <c r="E2" s="23"/>
    </row>
    <row r="3" spans="1:11" ht="53.1" customHeight="1">
      <c r="A3" s="47" t="s">
        <v>1</v>
      </c>
      <c r="B3" s="149" t="s">
        <v>2</v>
      </c>
      <c r="C3" s="76" t="s">
        <v>3</v>
      </c>
      <c r="D3" s="195" t="s">
        <v>502</v>
      </c>
      <c r="E3" s="196" t="s">
        <v>503</v>
      </c>
      <c r="F3" s="196" t="s">
        <v>504</v>
      </c>
      <c r="G3" s="47" t="s">
        <v>505</v>
      </c>
    </row>
    <row r="4" spans="1:11" ht="18.75" customHeight="1">
      <c r="A4" s="3">
        <v>2</v>
      </c>
      <c r="B4" s="197" t="s">
        <v>481</v>
      </c>
      <c r="C4" s="197" t="s">
        <v>482</v>
      </c>
      <c r="D4" s="198">
        <v>100000</v>
      </c>
      <c r="E4" s="198">
        <f>0</f>
        <v>0</v>
      </c>
      <c r="F4" s="53">
        <f>0</f>
        <v>0</v>
      </c>
      <c r="G4" s="53">
        <f>E4+F4</f>
        <v>0</v>
      </c>
    </row>
    <row r="5" spans="1:11" ht="18.75" customHeight="1">
      <c r="A5" s="3">
        <v>3</v>
      </c>
      <c r="B5" s="197" t="s">
        <v>451</v>
      </c>
      <c r="C5" s="102" t="s">
        <v>76</v>
      </c>
      <c r="D5" s="198">
        <f>50000</f>
        <v>50000</v>
      </c>
      <c r="E5" s="198">
        <f>50000</f>
        <v>50000</v>
      </c>
      <c r="F5" s="53">
        <f>0</f>
        <v>0</v>
      </c>
      <c r="G5" s="53">
        <f t="shared" ref="G5:G44" si="0">E5+F5</f>
        <v>50000</v>
      </c>
    </row>
    <row r="6" spans="1:11" ht="18.75" customHeight="1">
      <c r="A6" s="3">
        <v>4</v>
      </c>
      <c r="B6" s="197" t="s">
        <v>452</v>
      </c>
      <c r="C6" s="102" t="s">
        <v>76</v>
      </c>
      <c r="D6" s="198">
        <f>50000</f>
        <v>50000</v>
      </c>
      <c r="E6" s="198">
        <f>50000</f>
        <v>50000</v>
      </c>
      <c r="F6" s="53">
        <f>0</f>
        <v>0</v>
      </c>
      <c r="G6" s="53">
        <f t="shared" si="0"/>
        <v>50000</v>
      </c>
    </row>
    <row r="7" spans="1:11" ht="18.75" customHeight="1">
      <c r="A7" s="3">
        <v>5</v>
      </c>
      <c r="B7" s="197" t="s">
        <v>453</v>
      </c>
      <c r="C7" s="102" t="s">
        <v>76</v>
      </c>
      <c r="D7" s="198">
        <f>50000</f>
        <v>50000</v>
      </c>
      <c r="E7" s="198">
        <f>50000</f>
        <v>50000</v>
      </c>
      <c r="F7" s="53">
        <f>0</f>
        <v>0</v>
      </c>
      <c r="G7" s="53">
        <f t="shared" si="0"/>
        <v>50000</v>
      </c>
    </row>
    <row r="8" spans="1:11" ht="21" customHeight="1">
      <c r="A8" s="3">
        <v>6</v>
      </c>
      <c r="B8" s="197" t="s">
        <v>483</v>
      </c>
      <c r="C8" s="197" t="s">
        <v>484</v>
      </c>
      <c r="D8" s="198">
        <f>100000</f>
        <v>100000</v>
      </c>
      <c r="E8" s="198">
        <f>0</f>
        <v>0</v>
      </c>
      <c r="F8" s="53">
        <f>D8</f>
        <v>100000</v>
      </c>
      <c r="G8" s="53">
        <f t="shared" si="0"/>
        <v>100000</v>
      </c>
    </row>
    <row r="9" spans="1:11" ht="19.5" customHeight="1">
      <c r="A9" s="3">
        <v>7</v>
      </c>
      <c r="B9" s="192" t="s">
        <v>485</v>
      </c>
      <c r="C9" s="102" t="s">
        <v>15</v>
      </c>
      <c r="D9" s="141">
        <v>100000</v>
      </c>
      <c r="E9" s="141">
        <f>0</f>
        <v>0</v>
      </c>
      <c r="F9" s="53">
        <f>D9</f>
        <v>100000</v>
      </c>
      <c r="G9" s="53">
        <f t="shared" si="0"/>
        <v>100000</v>
      </c>
    </row>
    <row r="10" spans="1:11" ht="19.5" customHeight="1">
      <c r="A10" s="3">
        <v>8</v>
      </c>
      <c r="B10" s="193" t="s">
        <v>454</v>
      </c>
      <c r="C10" s="102" t="s">
        <v>455</v>
      </c>
      <c r="D10" s="141">
        <v>100000</v>
      </c>
      <c r="E10" s="141">
        <f>0</f>
        <v>0</v>
      </c>
      <c r="F10" s="53">
        <f>D10</f>
        <v>100000</v>
      </c>
      <c r="G10" s="53">
        <f t="shared" si="0"/>
        <v>100000</v>
      </c>
    </row>
    <row r="11" spans="1:11" ht="19.5" customHeight="1">
      <c r="A11" s="3">
        <v>9</v>
      </c>
      <c r="B11" s="192" t="s">
        <v>486</v>
      </c>
      <c r="C11" s="102" t="s">
        <v>15</v>
      </c>
      <c r="D11" s="141">
        <f>100000</f>
        <v>100000</v>
      </c>
      <c r="F11" s="141">
        <f>100000</f>
        <v>100000</v>
      </c>
      <c r="G11" s="53">
        <f t="shared" si="0"/>
        <v>100000</v>
      </c>
    </row>
    <row r="12" spans="1:11" ht="19.5" customHeight="1">
      <c r="A12" s="3">
        <v>10</v>
      </c>
      <c r="B12" s="192" t="s">
        <v>487</v>
      </c>
      <c r="C12" s="102" t="s">
        <v>15</v>
      </c>
      <c r="D12" s="141">
        <f>100000</f>
        <v>100000</v>
      </c>
      <c r="F12" s="141">
        <f>100000</f>
        <v>100000</v>
      </c>
      <c r="G12" s="53">
        <f t="shared" si="0"/>
        <v>100000</v>
      </c>
    </row>
    <row r="13" spans="1:11" ht="20.100000000000001" customHeight="1">
      <c r="A13" s="3">
        <v>11</v>
      </c>
      <c r="B13" s="199" t="s">
        <v>456</v>
      </c>
      <c r="C13" s="102" t="s">
        <v>76</v>
      </c>
      <c r="D13" s="198">
        <f>50000</f>
        <v>50000</v>
      </c>
      <c r="E13" s="198">
        <f>50000</f>
        <v>50000</v>
      </c>
      <c r="F13" s="53"/>
      <c r="G13" s="53">
        <f t="shared" si="0"/>
        <v>50000</v>
      </c>
    </row>
    <row r="14" spans="1:11" ht="20.100000000000001" customHeight="1">
      <c r="A14" s="3">
        <v>14</v>
      </c>
      <c r="B14" s="199" t="s">
        <v>457</v>
      </c>
      <c r="C14" s="102" t="s">
        <v>76</v>
      </c>
      <c r="D14" s="198">
        <f>50000</f>
        <v>50000</v>
      </c>
      <c r="E14" s="198">
        <f>50000</f>
        <v>50000</v>
      </c>
      <c r="F14" s="53"/>
      <c r="G14" s="53">
        <f t="shared" si="0"/>
        <v>50000</v>
      </c>
    </row>
    <row r="15" spans="1:11" ht="20.100000000000001" customHeight="1">
      <c r="A15" s="3">
        <v>15</v>
      </c>
      <c r="B15" s="199" t="s">
        <v>458</v>
      </c>
      <c r="C15" s="102" t="s">
        <v>76</v>
      </c>
      <c r="D15" s="198">
        <f>150000</f>
        <v>150000</v>
      </c>
      <c r="E15" s="198">
        <f>50000</f>
        <v>50000</v>
      </c>
      <c r="F15" s="53"/>
      <c r="G15" s="53">
        <f t="shared" si="0"/>
        <v>50000</v>
      </c>
    </row>
    <row r="16" spans="1:11" ht="20.100000000000001" customHeight="1">
      <c r="A16" s="3">
        <v>16</v>
      </c>
      <c r="B16" s="199" t="s">
        <v>459</v>
      </c>
      <c r="C16" s="102" t="s">
        <v>76</v>
      </c>
      <c r="D16" s="198">
        <f>150000</f>
        <v>150000</v>
      </c>
      <c r="E16" s="198">
        <f>50000</f>
        <v>50000</v>
      </c>
      <c r="F16" s="53"/>
      <c r="G16" s="53">
        <f t="shared" si="0"/>
        <v>50000</v>
      </c>
    </row>
    <row r="17" spans="1:7" ht="20.100000000000001" customHeight="1">
      <c r="A17" s="3">
        <v>17</v>
      </c>
      <c r="B17" s="199" t="s">
        <v>488</v>
      </c>
      <c r="C17" s="102" t="s">
        <v>76</v>
      </c>
      <c r="D17" s="198">
        <f>150000</f>
        <v>150000</v>
      </c>
      <c r="E17" s="198">
        <f>50000</f>
        <v>50000</v>
      </c>
      <c r="F17" s="53"/>
      <c r="G17" s="53">
        <f t="shared" si="0"/>
        <v>50000</v>
      </c>
    </row>
    <row r="18" spans="1:7" ht="20.100000000000001" customHeight="1">
      <c r="A18" s="3">
        <v>18</v>
      </c>
      <c r="B18" s="199" t="s">
        <v>460</v>
      </c>
      <c r="C18" s="102" t="s">
        <v>461</v>
      </c>
      <c r="D18" s="198">
        <f>150000</f>
        <v>150000</v>
      </c>
      <c r="E18" s="198">
        <f>50000</f>
        <v>50000</v>
      </c>
      <c r="F18" s="53"/>
      <c r="G18" s="53">
        <f t="shared" si="0"/>
        <v>50000</v>
      </c>
    </row>
    <row r="19" spans="1:7" ht="20.100000000000001" customHeight="1">
      <c r="A19" s="3">
        <v>19</v>
      </c>
      <c r="B19" s="150" t="s">
        <v>14</v>
      </c>
      <c r="C19" s="46" t="s">
        <v>15</v>
      </c>
      <c r="D19" s="50">
        <f>100000</f>
        <v>100000</v>
      </c>
      <c r="E19" s="50">
        <f>0</f>
        <v>0</v>
      </c>
      <c r="F19" s="53">
        <f>D19</f>
        <v>100000</v>
      </c>
      <c r="G19" s="53">
        <f t="shared" si="0"/>
        <v>100000</v>
      </c>
    </row>
    <row r="20" spans="1:7" ht="20.100000000000001" customHeight="1">
      <c r="A20" s="3">
        <v>20</v>
      </c>
      <c r="B20" s="197" t="s">
        <v>462</v>
      </c>
      <c r="C20" s="102" t="s">
        <v>463</v>
      </c>
      <c r="D20" s="198">
        <f>150000</f>
        <v>150000</v>
      </c>
      <c r="E20" s="198">
        <f>50000</f>
        <v>50000</v>
      </c>
      <c r="F20" s="53">
        <f>0</f>
        <v>0</v>
      </c>
      <c r="G20" s="53">
        <f t="shared" si="0"/>
        <v>50000</v>
      </c>
    </row>
    <row r="21" spans="1:7" ht="20.100000000000001" customHeight="1">
      <c r="A21" s="3">
        <v>24</v>
      </c>
      <c r="B21" s="199" t="s">
        <v>506</v>
      </c>
      <c r="C21" s="197" t="s">
        <v>507</v>
      </c>
      <c r="D21" s="198">
        <f>100000</f>
        <v>100000</v>
      </c>
      <c r="E21" s="198"/>
      <c r="F21" s="53">
        <f>0</f>
        <v>0</v>
      </c>
      <c r="G21" s="53">
        <f t="shared" si="0"/>
        <v>0</v>
      </c>
    </row>
    <row r="22" spans="1:7" ht="20.100000000000001" customHeight="1">
      <c r="A22" s="3">
        <v>25</v>
      </c>
      <c r="B22" s="197" t="s">
        <v>16</v>
      </c>
      <c r="C22" s="197" t="s">
        <v>17</v>
      </c>
      <c r="D22" s="198">
        <f>25000</f>
        <v>25000</v>
      </c>
      <c r="E22" s="198"/>
      <c r="F22" s="53">
        <f>D22</f>
        <v>25000</v>
      </c>
      <c r="G22" s="53">
        <f t="shared" si="0"/>
        <v>25000</v>
      </c>
    </row>
    <row r="23" spans="1:7" ht="20.100000000000001" customHeight="1">
      <c r="A23" s="3">
        <v>26</v>
      </c>
      <c r="B23" s="199" t="s">
        <v>169</v>
      </c>
      <c r="C23" s="197" t="s">
        <v>170</v>
      </c>
      <c r="D23" s="198">
        <f>100000</f>
        <v>100000</v>
      </c>
      <c r="E23" s="198"/>
      <c r="F23" s="53">
        <f>0</f>
        <v>0</v>
      </c>
      <c r="G23" s="53">
        <f t="shared" si="0"/>
        <v>0</v>
      </c>
    </row>
    <row r="24" spans="1:7" ht="20.100000000000001" customHeight="1">
      <c r="A24" s="3">
        <v>27</v>
      </c>
      <c r="B24" s="199" t="s">
        <v>489</v>
      </c>
      <c r="C24" s="197" t="s">
        <v>490</v>
      </c>
      <c r="D24" s="198">
        <f>25000</f>
        <v>25000</v>
      </c>
      <c r="E24" s="198"/>
      <c r="F24" s="53">
        <f>D24</f>
        <v>25000</v>
      </c>
      <c r="G24" s="53">
        <f t="shared" si="0"/>
        <v>25000</v>
      </c>
    </row>
    <row r="25" spans="1:7" ht="20.100000000000001" customHeight="1">
      <c r="A25" s="3">
        <v>28</v>
      </c>
      <c r="B25" s="199" t="s">
        <v>464</v>
      </c>
      <c r="C25" s="197" t="s">
        <v>174</v>
      </c>
      <c r="D25" s="198">
        <f>100000</f>
        <v>100000</v>
      </c>
      <c r="E25" s="198"/>
      <c r="F25" s="53">
        <f>D25</f>
        <v>100000</v>
      </c>
      <c r="G25" s="53">
        <f t="shared" si="0"/>
        <v>100000</v>
      </c>
    </row>
    <row r="26" spans="1:7" ht="20.100000000000001" customHeight="1">
      <c r="A26" s="3">
        <v>29</v>
      </c>
      <c r="B26" s="199" t="s">
        <v>465</v>
      </c>
      <c r="C26" s="197" t="s">
        <v>466</v>
      </c>
      <c r="D26" s="198">
        <f>25000</f>
        <v>25000</v>
      </c>
      <c r="E26" s="198"/>
      <c r="F26" s="53">
        <f>D26</f>
        <v>25000</v>
      </c>
      <c r="G26" s="53">
        <f t="shared" si="0"/>
        <v>25000</v>
      </c>
    </row>
    <row r="27" spans="1:7" ht="20.100000000000001" customHeight="1">
      <c r="A27" s="3">
        <v>30</v>
      </c>
      <c r="B27" s="199" t="s">
        <v>491</v>
      </c>
      <c r="C27" s="197" t="s">
        <v>466</v>
      </c>
      <c r="D27" s="198">
        <f>25000</f>
        <v>25000</v>
      </c>
      <c r="E27" s="198"/>
      <c r="F27" s="53">
        <f>D27</f>
        <v>25000</v>
      </c>
      <c r="G27" s="53">
        <f t="shared" si="0"/>
        <v>25000</v>
      </c>
    </row>
    <row r="28" spans="1:7" ht="20.100000000000001" customHeight="1">
      <c r="A28" s="3">
        <v>31</v>
      </c>
      <c r="B28" s="199" t="s">
        <v>467</v>
      </c>
      <c r="C28" s="197" t="s">
        <v>468</v>
      </c>
      <c r="D28" s="198">
        <f>150000</f>
        <v>150000</v>
      </c>
      <c r="E28" s="198">
        <f>50000</f>
        <v>50000</v>
      </c>
      <c r="F28" s="53"/>
      <c r="G28" s="53">
        <f t="shared" si="0"/>
        <v>50000</v>
      </c>
    </row>
    <row r="29" spans="1:7" ht="20.100000000000001" customHeight="1">
      <c r="A29" s="3">
        <v>32</v>
      </c>
      <c r="B29" s="199" t="s">
        <v>469</v>
      </c>
      <c r="C29" s="197" t="s">
        <v>468</v>
      </c>
      <c r="D29" s="198">
        <f t="shared" ref="D29:D30" si="1">150000</f>
        <v>150000</v>
      </c>
      <c r="E29" s="198">
        <f>50000</f>
        <v>50000</v>
      </c>
      <c r="F29" s="53"/>
      <c r="G29" s="53">
        <f t="shared" si="0"/>
        <v>50000</v>
      </c>
    </row>
    <row r="30" spans="1:7" ht="20.100000000000001" customHeight="1">
      <c r="A30" s="3">
        <v>33</v>
      </c>
      <c r="B30" s="199" t="s">
        <v>470</v>
      </c>
      <c r="C30" s="197" t="s">
        <v>468</v>
      </c>
      <c r="D30" s="198">
        <f t="shared" si="1"/>
        <v>150000</v>
      </c>
      <c r="E30" s="198">
        <f>50000</f>
        <v>50000</v>
      </c>
      <c r="F30" s="53"/>
      <c r="G30" s="53">
        <f t="shared" si="0"/>
        <v>50000</v>
      </c>
    </row>
    <row r="31" spans="1:7" ht="20.100000000000001" customHeight="1">
      <c r="A31" s="3">
        <v>34</v>
      </c>
      <c r="B31" s="197" t="s">
        <v>18</v>
      </c>
      <c r="C31" s="197" t="s">
        <v>177</v>
      </c>
      <c r="D31" s="198">
        <f>25000</f>
        <v>25000</v>
      </c>
      <c r="E31" s="198"/>
      <c r="F31" s="198">
        <f>25000</f>
        <v>25000</v>
      </c>
      <c r="G31" s="53">
        <f t="shared" si="0"/>
        <v>25000</v>
      </c>
    </row>
    <row r="32" spans="1:7" ht="20.100000000000001" customHeight="1">
      <c r="A32" s="3">
        <v>35</v>
      </c>
      <c r="B32" s="102" t="s">
        <v>508</v>
      </c>
      <c r="C32" s="197" t="s">
        <v>177</v>
      </c>
      <c r="D32" s="198">
        <f>25000</f>
        <v>25000</v>
      </c>
      <c r="E32" s="198"/>
      <c r="F32" s="198">
        <f>25000</f>
        <v>25000</v>
      </c>
      <c r="G32" s="53">
        <f t="shared" si="0"/>
        <v>25000</v>
      </c>
    </row>
    <row r="33" spans="1:7" ht="20.100000000000001" customHeight="1">
      <c r="A33" s="3">
        <v>36</v>
      </c>
      <c r="B33" s="197" t="s">
        <v>20</v>
      </c>
      <c r="C33" s="197" t="s">
        <v>21</v>
      </c>
      <c r="D33" s="198">
        <f>25000</f>
        <v>25000</v>
      </c>
      <c r="E33" s="198"/>
      <c r="F33" s="198">
        <f>25000</f>
        <v>25000</v>
      </c>
      <c r="G33" s="53">
        <f t="shared" si="0"/>
        <v>25000</v>
      </c>
    </row>
    <row r="34" spans="1:7" ht="20.100000000000001" customHeight="1">
      <c r="A34" s="3">
        <v>37</v>
      </c>
      <c r="B34" s="197" t="s">
        <v>412</v>
      </c>
      <c r="C34" s="197" t="s">
        <v>23</v>
      </c>
      <c r="D34" s="198">
        <f>25000</f>
        <v>25000</v>
      </c>
      <c r="E34" s="198"/>
      <c r="F34" s="198">
        <f>25000</f>
        <v>25000</v>
      </c>
      <c r="G34" s="53">
        <f t="shared" si="0"/>
        <v>25000</v>
      </c>
    </row>
    <row r="35" spans="1:7" ht="20.100000000000001" customHeight="1">
      <c r="A35" s="3">
        <v>38</v>
      </c>
      <c r="B35" s="199" t="s">
        <v>22</v>
      </c>
      <c r="C35" s="197" t="s">
        <v>23</v>
      </c>
      <c r="D35" s="198">
        <f>25000</f>
        <v>25000</v>
      </c>
      <c r="E35" s="198"/>
      <c r="F35" s="198">
        <f>25000</f>
        <v>25000</v>
      </c>
      <c r="G35" s="53">
        <f t="shared" si="0"/>
        <v>25000</v>
      </c>
    </row>
    <row r="36" spans="1:7" ht="20.100000000000001" customHeight="1">
      <c r="A36" s="3">
        <v>39</v>
      </c>
      <c r="B36" s="102" t="s">
        <v>346</v>
      </c>
      <c r="C36" s="197" t="s">
        <v>19</v>
      </c>
      <c r="D36" s="198">
        <f>25000</f>
        <v>25000</v>
      </c>
      <c r="E36" s="198"/>
      <c r="F36" s="198">
        <f>25000</f>
        <v>25000</v>
      </c>
      <c r="G36" s="53">
        <f t="shared" si="0"/>
        <v>25000</v>
      </c>
    </row>
    <row r="37" spans="1:7" ht="20.100000000000001" customHeight="1">
      <c r="A37" s="3">
        <v>50</v>
      </c>
      <c r="B37" s="102" t="s">
        <v>192</v>
      </c>
      <c r="C37" s="197" t="s">
        <v>76</v>
      </c>
      <c r="D37" s="198">
        <f>100000</f>
        <v>100000</v>
      </c>
      <c r="E37" s="198">
        <f>0</f>
        <v>0</v>
      </c>
      <c r="F37" s="198">
        <f>100000</f>
        <v>100000</v>
      </c>
      <c r="G37" s="53">
        <f t="shared" si="0"/>
        <v>100000</v>
      </c>
    </row>
    <row r="38" spans="1:7" ht="20.100000000000001" customHeight="1">
      <c r="A38" s="3">
        <v>52</v>
      </c>
      <c r="B38" s="102" t="s">
        <v>197</v>
      </c>
      <c r="C38" s="197" t="s">
        <v>76</v>
      </c>
      <c r="D38" s="198">
        <f>150000</f>
        <v>150000</v>
      </c>
      <c r="E38" s="198">
        <f>50000</f>
        <v>50000</v>
      </c>
      <c r="F38" s="53"/>
      <c r="G38" s="53">
        <f t="shared" si="0"/>
        <v>50000</v>
      </c>
    </row>
    <row r="39" spans="1:7" ht="20.100000000000001" customHeight="1">
      <c r="A39" s="3">
        <v>53</v>
      </c>
      <c r="B39" s="197" t="s">
        <v>201</v>
      </c>
      <c r="C39" s="197" t="s">
        <v>76</v>
      </c>
      <c r="D39" s="198">
        <f>100000</f>
        <v>100000</v>
      </c>
      <c r="E39" s="198">
        <v>0</v>
      </c>
      <c r="F39" s="53">
        <f>0</f>
        <v>0</v>
      </c>
      <c r="G39" s="53">
        <f t="shared" si="0"/>
        <v>0</v>
      </c>
    </row>
    <row r="40" spans="1:7" ht="20.100000000000001" customHeight="1">
      <c r="A40" s="3">
        <v>60</v>
      </c>
      <c r="B40" s="197" t="s">
        <v>24</v>
      </c>
      <c r="C40" s="197" t="s">
        <v>25</v>
      </c>
      <c r="D40" s="198">
        <f>25000</f>
        <v>25000</v>
      </c>
      <c r="E40" s="198"/>
      <c r="F40" s="198">
        <f>25000</f>
        <v>25000</v>
      </c>
      <c r="G40" s="53">
        <f t="shared" si="0"/>
        <v>25000</v>
      </c>
    </row>
    <row r="41" spans="1:7" ht="20.100000000000001" customHeight="1">
      <c r="A41" s="3">
        <v>61</v>
      </c>
      <c r="B41" s="197" t="s">
        <v>26</v>
      </c>
      <c r="C41" s="197" t="s">
        <v>25</v>
      </c>
      <c r="D41" s="198">
        <f>25000</f>
        <v>25000</v>
      </c>
      <c r="E41" s="198"/>
      <c r="F41" s="198">
        <f>25000</f>
        <v>25000</v>
      </c>
      <c r="G41" s="53">
        <f t="shared" si="0"/>
        <v>25000</v>
      </c>
    </row>
    <row r="42" spans="1:7" ht="20.100000000000001" customHeight="1">
      <c r="A42" s="3">
        <v>65</v>
      </c>
      <c r="B42" s="197" t="s">
        <v>27</v>
      </c>
      <c r="C42" s="197" t="s">
        <v>23</v>
      </c>
      <c r="D42" s="198">
        <f>25000</f>
        <v>25000</v>
      </c>
      <c r="E42" s="198"/>
      <c r="F42" s="198">
        <f>25000</f>
        <v>25000</v>
      </c>
      <c r="G42" s="53">
        <f t="shared" si="0"/>
        <v>25000</v>
      </c>
    </row>
    <row r="43" spans="1:7" ht="20.100000000000001" customHeight="1">
      <c r="A43" s="3">
        <v>66</v>
      </c>
      <c r="B43" s="197" t="s">
        <v>248</v>
      </c>
      <c r="C43" s="197" t="s">
        <v>177</v>
      </c>
      <c r="D43" s="198">
        <f>25000</f>
        <v>25000</v>
      </c>
      <c r="E43" s="198"/>
      <c r="F43" s="198">
        <f>25000</f>
        <v>25000</v>
      </c>
      <c r="G43" s="53">
        <f t="shared" si="0"/>
        <v>25000</v>
      </c>
    </row>
    <row r="44" spans="1:7" ht="20.100000000000001" customHeight="1">
      <c r="A44" s="201"/>
      <c r="B44" s="102"/>
      <c r="C44" s="197"/>
      <c r="D44" s="202">
        <f>SUM(D4:D43)</f>
        <v>3150000</v>
      </c>
      <c r="E44" s="203">
        <f>SUM(E4:E43)</f>
        <v>700000</v>
      </c>
      <c r="F44" s="204">
        <f>SUM(F4:F43)</f>
        <v>1150000</v>
      </c>
      <c r="G44" s="204">
        <f t="shared" si="0"/>
        <v>1850000</v>
      </c>
    </row>
    <row r="45" spans="1:7" ht="20.100000000000001" customHeight="1">
      <c r="A45" s="102"/>
      <c r="B45" s="200"/>
      <c r="C45" s="343" t="s">
        <v>429</v>
      </c>
      <c r="D45" s="165"/>
      <c r="E45" s="345"/>
      <c r="F45" s="116"/>
    </row>
    <row r="46" spans="1:7" ht="20.100000000000001" customHeight="1">
      <c r="A46" s="102"/>
      <c r="B46" s="200"/>
      <c r="C46" s="344"/>
      <c r="D46" s="165"/>
      <c r="E46" s="345"/>
    </row>
    <row r="48" spans="1:7" ht="20.100000000000001" customHeight="1">
      <c r="C48" s="168"/>
      <c r="D48" s="168"/>
      <c r="E48" s="168"/>
    </row>
  </sheetData>
  <mergeCells count="2">
    <mergeCell ref="C45:C46"/>
    <mergeCell ref="E45:E46"/>
  </mergeCells>
  <pageMargins left="0.5" right="0" top="0" bottom="0.06" header="0.13" footer="0.01"/>
  <pageSetup paperSize="9" scale="52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K1:K12"/>
  <sheetViews>
    <sheetView workbookViewId="0"/>
  </sheetViews>
  <sheetFormatPr defaultRowHeight="12.75"/>
  <cols>
    <col min="11" max="11" width="16.7109375" customWidth="1"/>
  </cols>
  <sheetData>
    <row r="1" spans="11:11" ht="13.5" thickBot="1"/>
    <row r="2" spans="11:11" ht="14.25" thickBot="1">
      <c r="K2" s="190"/>
    </row>
    <row r="3" spans="11:11" ht="14.25" thickBot="1">
      <c r="K3" s="191"/>
    </row>
    <row r="4" spans="11:11" ht="14.25" thickBot="1">
      <c r="K4" s="191"/>
    </row>
    <row r="5" spans="11:11" ht="14.25" thickBot="1">
      <c r="K5" s="191"/>
    </row>
    <row r="6" spans="11:11" ht="14.25" thickBot="1">
      <c r="K6" s="191"/>
    </row>
    <row r="7" spans="11:11" ht="14.25" thickBot="1">
      <c r="K7" s="191"/>
    </row>
    <row r="8" spans="11:11" ht="14.25" thickBot="1">
      <c r="K8" s="191"/>
    </row>
    <row r="9" spans="11:11" ht="14.25" thickBot="1">
      <c r="K9" s="191"/>
    </row>
    <row r="10" spans="11:11" ht="14.25" thickBot="1">
      <c r="K10" s="191"/>
    </row>
    <row r="11" spans="11:11" ht="14.25" thickBot="1">
      <c r="K11" s="191"/>
    </row>
    <row r="12" spans="11:11">
      <c r="K12" s="129"/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8"/>
  <sheetViews>
    <sheetView view="pageBreakPreview" zoomScale="68" zoomScaleSheetLayoutView="68" workbookViewId="0"/>
  </sheetViews>
  <sheetFormatPr defaultColWidth="9.140625" defaultRowHeight="20.100000000000001" customHeight="1"/>
  <cols>
    <col min="1" max="1" width="6.140625" style="1" customWidth="1"/>
    <col min="2" max="2" width="36.5703125" style="1" customWidth="1"/>
    <col min="3" max="3" width="30.140625" style="1" customWidth="1"/>
    <col min="4" max="4" width="23.85546875" style="1" customWidth="1"/>
    <col min="5" max="5" width="28.42578125" style="1" customWidth="1"/>
    <col min="6" max="16384" width="9.140625" style="1"/>
  </cols>
  <sheetData>
    <row r="1" spans="1:10" ht="29.25" customHeight="1">
      <c r="A1" s="23"/>
      <c r="B1" s="22"/>
      <c r="C1" s="22"/>
      <c r="D1" s="23"/>
      <c r="J1" s="1" t="s">
        <v>407</v>
      </c>
    </row>
    <row r="2" spans="1:10" ht="5.25" customHeight="1">
      <c r="A2" s="23"/>
      <c r="B2" s="23"/>
      <c r="C2" s="23"/>
      <c r="D2" s="24"/>
    </row>
    <row r="3" spans="1:10" ht="34.35" customHeight="1">
      <c r="A3" s="23"/>
      <c r="B3" s="339" t="s">
        <v>509</v>
      </c>
      <c r="C3" s="339"/>
      <c r="D3" s="24"/>
    </row>
    <row r="4" spans="1:10" ht="2.25" customHeight="1">
      <c r="A4" s="23"/>
      <c r="B4" s="339"/>
      <c r="C4" s="339"/>
      <c r="D4" s="23"/>
    </row>
    <row r="5" spans="1:10" ht="20.100000000000001" customHeight="1">
      <c r="A5" s="23"/>
      <c r="C5" s="26"/>
      <c r="D5" s="26"/>
    </row>
    <row r="6" spans="1:10" ht="35.450000000000003" customHeight="1">
      <c r="A6" s="33" t="s">
        <v>1</v>
      </c>
      <c r="B6" s="34" t="s">
        <v>2</v>
      </c>
      <c r="C6" s="27" t="s">
        <v>3</v>
      </c>
      <c r="D6" s="28" t="s">
        <v>84</v>
      </c>
    </row>
    <row r="7" spans="1:10" ht="20.100000000000001" customHeight="1">
      <c r="A7" s="73">
        <v>1</v>
      </c>
      <c r="B7" s="181" t="s">
        <v>179</v>
      </c>
      <c r="C7" s="181" t="s">
        <v>39</v>
      </c>
      <c r="D7" s="120">
        <f>5000</f>
        <v>5000</v>
      </c>
    </row>
    <row r="8" spans="1:10" ht="20.100000000000001" customHeight="1">
      <c r="A8" s="73">
        <v>2</v>
      </c>
      <c r="B8" s="182" t="s">
        <v>510</v>
      </c>
      <c r="C8" s="181" t="s">
        <v>39</v>
      </c>
      <c r="D8" s="120">
        <f>5000</f>
        <v>5000</v>
      </c>
    </row>
    <row r="9" spans="1:10" ht="20.100000000000001" customHeight="1">
      <c r="A9" s="73">
        <v>3</v>
      </c>
      <c r="B9" s="182" t="s">
        <v>511</v>
      </c>
      <c r="C9" s="181" t="s">
        <v>39</v>
      </c>
      <c r="D9" s="120">
        <f>5000</f>
        <v>5000</v>
      </c>
    </row>
    <row r="10" spans="1:10" ht="20.100000000000001" customHeight="1">
      <c r="A10" s="73">
        <v>4</v>
      </c>
      <c r="B10" s="182" t="s">
        <v>512</v>
      </c>
      <c r="C10" s="181" t="s">
        <v>39</v>
      </c>
      <c r="D10" s="120">
        <f>5000</f>
        <v>5000</v>
      </c>
    </row>
    <row r="11" spans="1:10" ht="20.100000000000001" customHeight="1">
      <c r="A11" s="73">
        <v>5</v>
      </c>
      <c r="B11" s="23" t="s">
        <v>181</v>
      </c>
      <c r="C11" s="181" t="s">
        <v>39</v>
      </c>
      <c r="D11" s="120">
        <f>5000</f>
        <v>5000</v>
      </c>
    </row>
    <row r="12" spans="1:10" ht="20.100000000000001" customHeight="1">
      <c r="A12" s="73">
        <v>6</v>
      </c>
      <c r="B12" s="31" t="s">
        <v>513</v>
      </c>
      <c r="C12" s="181" t="s">
        <v>39</v>
      </c>
      <c r="D12" s="120">
        <f>5000</f>
        <v>5000</v>
      </c>
    </row>
    <row r="13" spans="1:10" ht="20.100000000000001" customHeight="1">
      <c r="A13" s="73">
        <v>7</v>
      </c>
      <c r="B13" s="31" t="s">
        <v>514</v>
      </c>
      <c r="C13" s="181" t="s">
        <v>39</v>
      </c>
      <c r="D13" s="120">
        <f>5000</f>
        <v>5000</v>
      </c>
    </row>
    <row r="14" spans="1:10" ht="20.100000000000001" customHeight="1">
      <c r="A14" s="73">
        <v>8</v>
      </c>
      <c r="B14" s="31" t="s">
        <v>436</v>
      </c>
      <c r="C14" s="181" t="s">
        <v>39</v>
      </c>
      <c r="D14" s="120">
        <f>5000</f>
        <v>5000</v>
      </c>
    </row>
    <row r="15" spans="1:10" ht="20.100000000000001" customHeight="1">
      <c r="A15" s="73">
        <v>9</v>
      </c>
      <c r="B15" s="31" t="s">
        <v>515</v>
      </c>
      <c r="C15" s="181" t="s">
        <v>39</v>
      </c>
      <c r="D15" s="120">
        <f>5000</f>
        <v>5000</v>
      </c>
    </row>
    <row r="16" spans="1:10" ht="20.100000000000001" customHeight="1">
      <c r="A16" s="73">
        <v>10</v>
      </c>
      <c r="B16" s="31" t="s">
        <v>516</v>
      </c>
      <c r="C16" s="181" t="s">
        <v>39</v>
      </c>
      <c r="D16" s="120">
        <f>5000</f>
        <v>5000</v>
      </c>
    </row>
    <row r="17" spans="1:4" ht="20.100000000000001" customHeight="1">
      <c r="A17" s="73">
        <v>11</v>
      </c>
      <c r="B17" s="31" t="s">
        <v>517</v>
      </c>
      <c r="C17" s="181" t="s">
        <v>39</v>
      </c>
      <c r="D17" s="120">
        <f>5000</f>
        <v>5000</v>
      </c>
    </row>
    <row r="18" spans="1:4" ht="20.100000000000001" customHeight="1">
      <c r="A18" s="73">
        <v>12</v>
      </c>
      <c r="B18" s="31" t="s">
        <v>492</v>
      </c>
      <c r="C18" s="181" t="s">
        <v>39</v>
      </c>
      <c r="D18" s="120">
        <f>5000</f>
        <v>5000</v>
      </c>
    </row>
    <row r="19" spans="1:4" ht="20.100000000000001" customHeight="1">
      <c r="A19" s="73">
        <v>13</v>
      </c>
      <c r="B19" s="31" t="s">
        <v>196</v>
      </c>
      <c r="C19" s="181" t="s">
        <v>39</v>
      </c>
      <c r="D19" s="120">
        <f>5000</f>
        <v>5000</v>
      </c>
    </row>
    <row r="20" spans="1:4" ht="20.100000000000001" customHeight="1">
      <c r="A20" s="73">
        <v>14</v>
      </c>
      <c r="B20" s="181" t="s">
        <v>518</v>
      </c>
      <c r="C20" s="181" t="s">
        <v>39</v>
      </c>
      <c r="D20" s="120">
        <f>5000</f>
        <v>5000</v>
      </c>
    </row>
    <row r="21" spans="1:4" ht="20.100000000000001" customHeight="1">
      <c r="A21" s="73">
        <v>15</v>
      </c>
      <c r="B21" s="181" t="s">
        <v>205</v>
      </c>
      <c r="C21" s="181" t="s">
        <v>39</v>
      </c>
      <c r="D21" s="120">
        <f>5000</f>
        <v>5000</v>
      </c>
    </row>
    <row r="22" spans="1:4" ht="20.100000000000001" customHeight="1">
      <c r="A22" s="73">
        <v>16</v>
      </c>
      <c r="B22" s="181" t="s">
        <v>495</v>
      </c>
      <c r="C22" s="181" t="s">
        <v>39</v>
      </c>
      <c r="D22" s="120">
        <f>5000</f>
        <v>5000</v>
      </c>
    </row>
    <row r="23" spans="1:4" ht="20.100000000000001" customHeight="1">
      <c r="A23" s="73">
        <v>17</v>
      </c>
      <c r="B23" s="181" t="s">
        <v>519</v>
      </c>
      <c r="C23" s="181" t="s">
        <v>479</v>
      </c>
      <c r="D23" s="120">
        <f>20000</f>
        <v>20000</v>
      </c>
    </row>
    <row r="24" spans="1:4" ht="20.100000000000001" customHeight="1">
      <c r="A24" s="73">
        <v>18</v>
      </c>
      <c r="B24" s="181" t="s">
        <v>520</v>
      </c>
      <c r="C24" s="181" t="s">
        <v>479</v>
      </c>
      <c r="D24" s="120">
        <f>20000</f>
        <v>20000</v>
      </c>
    </row>
    <row r="25" spans="1:4" ht="20.100000000000001" customHeight="1">
      <c r="A25" s="73">
        <v>19</v>
      </c>
      <c r="B25" s="181" t="s">
        <v>521</v>
      </c>
      <c r="C25" s="181" t="s">
        <v>522</v>
      </c>
      <c r="D25" s="120">
        <f>30000</f>
        <v>30000</v>
      </c>
    </row>
    <row r="26" spans="1:4" ht="20.100000000000001" customHeight="1">
      <c r="A26" s="31"/>
      <c r="B26" s="169"/>
      <c r="C26" s="186"/>
      <c r="D26" s="127">
        <f>SUM(D7:D25)</f>
        <v>150000</v>
      </c>
    </row>
    <row r="28" spans="1:4" ht="20.100000000000001" customHeight="1">
      <c r="D28" s="116"/>
    </row>
  </sheetData>
  <mergeCells count="1">
    <mergeCell ref="B3:C4"/>
  </mergeCells>
  <pageMargins left="0.51181102362204722" right="0" top="0" bottom="7.874015748031496E-2" header="0.11811023622047245" footer="0"/>
  <pageSetup paperSize="9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18"/>
  <sheetViews>
    <sheetView workbookViewId="0"/>
  </sheetViews>
  <sheetFormatPr defaultRowHeight="12.75"/>
  <cols>
    <col min="1" max="1" width="8.140625" customWidth="1"/>
    <col min="3" max="3" width="28.85546875" customWidth="1"/>
    <col min="4" max="4" width="35.140625" customWidth="1"/>
    <col min="5" max="5" width="9.85546875" customWidth="1"/>
  </cols>
  <sheetData>
    <row r="1" spans="1:5" ht="18">
      <c r="A1" s="33" t="s">
        <v>1</v>
      </c>
      <c r="B1" s="346" t="s">
        <v>523</v>
      </c>
      <c r="C1" s="347"/>
      <c r="D1" s="29" t="s">
        <v>3</v>
      </c>
      <c r="E1" s="29" t="s">
        <v>524</v>
      </c>
    </row>
    <row r="2" spans="1:5" ht="18">
      <c r="A2" s="33"/>
      <c r="B2" s="360" t="s">
        <v>525</v>
      </c>
      <c r="C2" s="360"/>
      <c r="D2" s="29"/>
      <c r="E2" s="29"/>
    </row>
    <row r="3" spans="1:5" ht="18">
      <c r="A3" s="73">
        <v>1</v>
      </c>
      <c r="B3" s="348" t="s">
        <v>526</v>
      </c>
      <c r="C3" s="348"/>
      <c r="D3" s="30" t="s">
        <v>527</v>
      </c>
      <c r="E3" s="30" t="s">
        <v>528</v>
      </c>
    </row>
    <row r="4" spans="1:5" ht="18">
      <c r="A4" s="73">
        <v>2</v>
      </c>
      <c r="B4" s="349" t="s">
        <v>529</v>
      </c>
      <c r="C4" s="350"/>
      <c r="D4" s="30" t="s">
        <v>530</v>
      </c>
      <c r="E4" s="121" t="s">
        <v>531</v>
      </c>
    </row>
    <row r="5" spans="1:5" ht="18">
      <c r="A5" s="73">
        <v>3</v>
      </c>
      <c r="B5" s="361" t="s">
        <v>532</v>
      </c>
      <c r="C5" s="362"/>
      <c r="D5" s="30" t="s">
        <v>533</v>
      </c>
      <c r="E5" s="121"/>
    </row>
    <row r="6" spans="1:5" ht="18">
      <c r="A6" s="73">
        <v>4</v>
      </c>
      <c r="B6" s="462" t="s">
        <v>534</v>
      </c>
      <c r="C6" s="462"/>
      <c r="D6" s="30" t="s">
        <v>535</v>
      </c>
      <c r="E6" s="123" t="s">
        <v>536</v>
      </c>
    </row>
    <row r="7" spans="1:5" ht="18">
      <c r="A7" s="73">
        <v>5</v>
      </c>
      <c r="B7" s="349" t="s">
        <v>537</v>
      </c>
      <c r="C7" s="350"/>
      <c r="D7" s="30" t="s">
        <v>538</v>
      </c>
      <c r="E7" s="123" t="s">
        <v>539</v>
      </c>
    </row>
    <row r="8" spans="1:5" ht="18">
      <c r="A8" s="73">
        <v>6</v>
      </c>
      <c r="B8" s="351" t="s">
        <v>540</v>
      </c>
      <c r="C8" s="351"/>
      <c r="D8" s="31" t="s">
        <v>541</v>
      </c>
      <c r="E8" s="123" t="s">
        <v>542</v>
      </c>
    </row>
    <row r="9" spans="1:5" ht="18">
      <c r="A9" s="73">
        <v>7</v>
      </c>
      <c r="B9" s="353" t="s">
        <v>543</v>
      </c>
      <c r="C9" s="354"/>
      <c r="D9" s="31" t="s">
        <v>544</v>
      </c>
      <c r="E9" s="123" t="s">
        <v>542</v>
      </c>
    </row>
    <row r="10" spans="1:5" ht="18">
      <c r="A10" s="73">
        <v>8</v>
      </c>
      <c r="B10" s="353" t="s">
        <v>545</v>
      </c>
      <c r="C10" s="354"/>
      <c r="D10" s="31" t="s">
        <v>546</v>
      </c>
      <c r="E10" s="123" t="s">
        <v>547</v>
      </c>
    </row>
    <row r="11" spans="1:5" ht="18">
      <c r="A11" s="73">
        <v>9</v>
      </c>
      <c r="B11" s="353" t="s">
        <v>548</v>
      </c>
      <c r="C11" s="354"/>
      <c r="D11" s="31" t="s">
        <v>549</v>
      </c>
      <c r="E11" s="123" t="s">
        <v>550</v>
      </c>
    </row>
    <row r="12" spans="1:5" ht="18">
      <c r="A12" s="73">
        <v>10</v>
      </c>
      <c r="B12" s="353" t="s">
        <v>551</v>
      </c>
      <c r="C12" s="354"/>
      <c r="D12" s="31" t="s">
        <v>552</v>
      </c>
      <c r="E12" s="73" t="s">
        <v>550</v>
      </c>
    </row>
    <row r="13" spans="1:5" ht="18">
      <c r="A13" s="73">
        <v>11</v>
      </c>
      <c r="B13" s="353" t="s">
        <v>553</v>
      </c>
      <c r="C13" s="354"/>
      <c r="D13" s="31" t="s">
        <v>554</v>
      </c>
      <c r="E13" s="73" t="s">
        <v>555</v>
      </c>
    </row>
    <row r="14" spans="1:5" ht="18">
      <c r="A14" s="73">
        <v>12</v>
      </c>
      <c r="B14" s="353" t="s">
        <v>556</v>
      </c>
      <c r="C14" s="354"/>
      <c r="D14" s="31" t="s">
        <v>557</v>
      </c>
      <c r="E14" s="73" t="s">
        <v>558</v>
      </c>
    </row>
    <row r="15" spans="1:5" ht="18">
      <c r="A15" s="73">
        <v>13</v>
      </c>
      <c r="B15" s="353" t="s">
        <v>559</v>
      </c>
      <c r="C15" s="354"/>
      <c r="D15" s="31" t="s">
        <v>560</v>
      </c>
      <c r="E15" s="73" t="s">
        <v>561</v>
      </c>
    </row>
    <row r="16" spans="1:5" ht="18">
      <c r="A16" s="73">
        <v>14</v>
      </c>
      <c r="B16" s="348" t="s">
        <v>562</v>
      </c>
      <c r="C16" s="348"/>
      <c r="D16" s="30" t="s">
        <v>563</v>
      </c>
      <c r="E16" s="121" t="s">
        <v>550</v>
      </c>
    </row>
    <row r="17" spans="1:5" ht="18">
      <c r="A17" s="73">
        <v>15</v>
      </c>
      <c r="B17" s="462" t="s">
        <v>564</v>
      </c>
      <c r="C17" s="462"/>
      <c r="D17" s="30" t="s">
        <v>565</v>
      </c>
      <c r="E17" s="121" t="s">
        <v>566</v>
      </c>
    </row>
    <row r="18" spans="1:5" ht="18">
      <c r="A18" s="73">
        <v>16</v>
      </c>
      <c r="B18" s="348" t="s">
        <v>567</v>
      </c>
      <c r="C18" s="348"/>
      <c r="D18" s="30" t="s">
        <v>568</v>
      </c>
      <c r="E18" s="121" t="s">
        <v>561</v>
      </c>
    </row>
    <row r="19" spans="1:5" ht="18">
      <c r="A19" s="73">
        <v>17</v>
      </c>
      <c r="B19" s="348" t="s">
        <v>569</v>
      </c>
      <c r="C19" s="348"/>
      <c r="D19" s="30" t="s">
        <v>570</v>
      </c>
      <c r="E19" s="121" t="s">
        <v>566</v>
      </c>
    </row>
    <row r="20" spans="1:5" ht="18">
      <c r="A20" s="73">
        <v>18</v>
      </c>
      <c r="B20" s="348" t="s">
        <v>571</v>
      </c>
      <c r="C20" s="348"/>
      <c r="D20" s="30" t="s">
        <v>572</v>
      </c>
      <c r="E20" s="121" t="s">
        <v>566</v>
      </c>
    </row>
    <row r="21" spans="1:5" ht="18">
      <c r="A21" s="73">
        <v>19</v>
      </c>
      <c r="B21" s="353" t="s">
        <v>485</v>
      </c>
      <c r="C21" s="354"/>
      <c r="D21" s="31" t="s">
        <v>15</v>
      </c>
      <c r="E21" s="73"/>
    </row>
    <row r="22" spans="1:5" ht="18">
      <c r="A22" s="73">
        <v>20</v>
      </c>
      <c r="B22" s="353" t="s">
        <v>573</v>
      </c>
      <c r="C22" s="354"/>
      <c r="D22" s="31" t="s">
        <v>15</v>
      </c>
      <c r="E22" s="73"/>
    </row>
    <row r="23" spans="1:5" ht="18">
      <c r="A23" s="73">
        <v>21</v>
      </c>
      <c r="B23" s="353" t="s">
        <v>486</v>
      </c>
      <c r="C23" s="354"/>
      <c r="D23" s="31" t="s">
        <v>15</v>
      </c>
      <c r="E23" s="73"/>
    </row>
    <row r="24" spans="1:5" ht="18">
      <c r="A24" s="73">
        <v>22</v>
      </c>
      <c r="B24" s="353" t="s">
        <v>487</v>
      </c>
      <c r="C24" s="354"/>
      <c r="D24" s="31" t="s">
        <v>15</v>
      </c>
      <c r="E24" s="73"/>
    </row>
    <row r="25" spans="1:5" ht="18">
      <c r="A25" s="73">
        <v>23</v>
      </c>
      <c r="B25" s="353" t="s">
        <v>14</v>
      </c>
      <c r="C25" s="354"/>
      <c r="D25" s="31" t="s">
        <v>15</v>
      </c>
      <c r="E25" s="73"/>
    </row>
    <row r="26" spans="1:5" ht="18">
      <c r="A26" s="73"/>
      <c r="B26" s="31"/>
      <c r="C26" s="33" t="s">
        <v>84</v>
      </c>
      <c r="D26" s="28">
        <v>23</v>
      </c>
      <c r="E26" s="73"/>
    </row>
    <row r="27" spans="1:5" ht="18">
      <c r="A27" s="31"/>
      <c r="B27" s="358"/>
      <c r="C27" s="358"/>
      <c r="D27" s="31"/>
      <c r="E27" s="73"/>
    </row>
    <row r="28" spans="1:5" ht="18">
      <c r="A28" s="31"/>
      <c r="B28" s="359" t="s">
        <v>574</v>
      </c>
      <c r="C28" s="359"/>
      <c r="D28" s="34"/>
      <c r="E28" s="118"/>
    </row>
    <row r="29" spans="1:5" ht="18">
      <c r="A29" s="73">
        <v>1</v>
      </c>
      <c r="B29" s="348" t="s">
        <v>575</v>
      </c>
      <c r="C29" s="348"/>
      <c r="D29" s="30" t="s">
        <v>576</v>
      </c>
      <c r="E29" s="121" t="s">
        <v>577</v>
      </c>
    </row>
    <row r="30" spans="1:5" ht="18">
      <c r="A30" s="73">
        <v>2</v>
      </c>
      <c r="B30" s="348" t="s">
        <v>578</v>
      </c>
      <c r="C30" s="348"/>
      <c r="D30" s="31" t="s">
        <v>579</v>
      </c>
      <c r="E30" s="73" t="s">
        <v>580</v>
      </c>
    </row>
    <row r="31" spans="1:5" ht="18">
      <c r="A31" s="73">
        <v>3</v>
      </c>
      <c r="B31" s="348" t="s">
        <v>581</v>
      </c>
      <c r="C31" s="348"/>
      <c r="D31" s="31" t="s">
        <v>582</v>
      </c>
      <c r="E31" s="73" t="s">
        <v>555</v>
      </c>
    </row>
    <row r="32" spans="1:5" ht="18">
      <c r="A32" s="73">
        <v>4</v>
      </c>
      <c r="B32" s="349" t="s">
        <v>583</v>
      </c>
      <c r="C32" s="350"/>
      <c r="D32" s="31" t="s">
        <v>582</v>
      </c>
      <c r="E32" s="73" t="s">
        <v>555</v>
      </c>
    </row>
    <row r="33" spans="1:5" ht="18">
      <c r="A33" s="73">
        <v>5</v>
      </c>
      <c r="B33" s="348" t="s">
        <v>584</v>
      </c>
      <c r="C33" s="348"/>
      <c r="D33" s="31" t="s">
        <v>582</v>
      </c>
      <c r="E33" s="73" t="s">
        <v>561</v>
      </c>
    </row>
    <row r="34" spans="1:5" ht="18">
      <c r="A34" s="73">
        <v>6</v>
      </c>
      <c r="B34" s="353" t="s">
        <v>585</v>
      </c>
      <c r="C34" s="354"/>
      <c r="D34" s="31" t="s">
        <v>15</v>
      </c>
      <c r="E34" s="73"/>
    </row>
    <row r="35" spans="1:5" ht="18">
      <c r="A35" s="31"/>
      <c r="B35" s="352" t="s">
        <v>84</v>
      </c>
      <c r="C35" s="352"/>
      <c r="D35" s="28">
        <v>6</v>
      </c>
      <c r="E35" s="28"/>
    </row>
    <row r="36" spans="1:5" ht="18">
      <c r="A36" s="31"/>
      <c r="B36" s="355"/>
      <c r="C36" s="355"/>
      <c r="D36" s="28"/>
      <c r="E36" s="28"/>
    </row>
    <row r="37" spans="1:5" ht="18">
      <c r="A37" s="31"/>
      <c r="B37" s="356" t="s">
        <v>586</v>
      </c>
      <c r="C37" s="357"/>
      <c r="D37" s="36"/>
      <c r="E37" s="28"/>
    </row>
    <row r="38" spans="1:5" ht="18">
      <c r="A38" s="73">
        <v>1</v>
      </c>
      <c r="B38" s="348" t="s">
        <v>587</v>
      </c>
      <c r="C38" s="348"/>
      <c r="D38" s="30" t="s">
        <v>588</v>
      </c>
      <c r="E38" s="121" t="s">
        <v>589</v>
      </c>
    </row>
    <row r="39" spans="1:5" ht="18">
      <c r="A39" s="73">
        <v>2</v>
      </c>
      <c r="B39" s="348" t="s">
        <v>590</v>
      </c>
      <c r="C39" s="348"/>
      <c r="D39" s="31" t="s">
        <v>591</v>
      </c>
      <c r="E39" s="73" t="s">
        <v>577</v>
      </c>
    </row>
    <row r="40" spans="1:5" ht="18">
      <c r="A40" s="73">
        <v>3</v>
      </c>
      <c r="B40" s="348" t="s">
        <v>592</v>
      </c>
      <c r="C40" s="348"/>
      <c r="D40" s="31" t="s">
        <v>593</v>
      </c>
      <c r="E40" s="73" t="s">
        <v>536</v>
      </c>
    </row>
    <row r="41" spans="1:5" ht="18">
      <c r="A41" s="73">
        <v>4</v>
      </c>
      <c r="B41" s="349" t="s">
        <v>594</v>
      </c>
      <c r="C41" s="350"/>
      <c r="D41" s="31" t="s">
        <v>595</v>
      </c>
      <c r="E41" s="73"/>
    </row>
    <row r="42" spans="1:5" ht="18">
      <c r="A42" s="73">
        <v>5</v>
      </c>
      <c r="B42" s="349" t="s">
        <v>596</v>
      </c>
      <c r="C42" s="350"/>
      <c r="D42" s="31" t="s">
        <v>595</v>
      </c>
      <c r="E42" s="73"/>
    </row>
    <row r="43" spans="1:5" ht="18">
      <c r="A43" s="73">
        <v>6</v>
      </c>
      <c r="B43" s="353" t="s">
        <v>597</v>
      </c>
      <c r="C43" s="354"/>
      <c r="D43" s="31" t="s">
        <v>15</v>
      </c>
      <c r="E43" s="126">
        <v>0</v>
      </c>
    </row>
    <row r="44" spans="1:5" ht="18">
      <c r="A44" s="73">
        <v>7</v>
      </c>
      <c r="B44" s="462" t="s">
        <v>598</v>
      </c>
      <c r="C44" s="462"/>
      <c r="D44" s="31" t="s">
        <v>599</v>
      </c>
      <c r="E44" s="73" t="s">
        <v>600</v>
      </c>
    </row>
    <row r="45" spans="1:5" ht="18">
      <c r="A45" s="73">
        <v>8</v>
      </c>
      <c r="B45" s="349" t="s">
        <v>601</v>
      </c>
      <c r="C45" s="350"/>
      <c r="D45" s="31" t="s">
        <v>602</v>
      </c>
      <c r="E45" s="73" t="s">
        <v>603</v>
      </c>
    </row>
    <row r="46" spans="1:5" ht="18">
      <c r="A46" s="73">
        <v>9</v>
      </c>
      <c r="B46" s="349" t="s">
        <v>604</v>
      </c>
      <c r="C46" s="350"/>
      <c r="D46" s="31" t="s">
        <v>605</v>
      </c>
      <c r="E46" s="73" t="s">
        <v>603</v>
      </c>
    </row>
    <row r="47" spans="1:5" ht="18">
      <c r="A47" s="73">
        <v>10</v>
      </c>
      <c r="B47" s="349" t="s">
        <v>606</v>
      </c>
      <c r="C47" s="350"/>
      <c r="D47" s="31" t="s">
        <v>602</v>
      </c>
      <c r="E47" s="73" t="s">
        <v>603</v>
      </c>
    </row>
    <row r="48" spans="1:5" ht="18">
      <c r="A48" s="73">
        <v>11</v>
      </c>
      <c r="B48" s="348" t="s">
        <v>607</v>
      </c>
      <c r="C48" s="348"/>
      <c r="D48" s="31" t="s">
        <v>579</v>
      </c>
      <c r="E48" s="73" t="s">
        <v>608</v>
      </c>
    </row>
    <row r="49" spans="1:5" ht="18">
      <c r="A49" s="73">
        <v>12</v>
      </c>
      <c r="B49" s="349" t="s">
        <v>609</v>
      </c>
      <c r="C49" s="350"/>
      <c r="D49" s="31" t="s">
        <v>579</v>
      </c>
      <c r="E49" s="73" t="s">
        <v>558</v>
      </c>
    </row>
    <row r="50" spans="1:5" ht="18">
      <c r="A50" s="73">
        <v>13</v>
      </c>
      <c r="B50" s="348" t="s">
        <v>610</v>
      </c>
      <c r="C50" s="348"/>
      <c r="D50" s="31" t="s">
        <v>611</v>
      </c>
      <c r="E50" s="73" t="s">
        <v>603</v>
      </c>
    </row>
    <row r="51" spans="1:5" ht="18">
      <c r="A51" s="73">
        <v>14</v>
      </c>
      <c r="B51" s="349" t="s">
        <v>612</v>
      </c>
      <c r="C51" s="350"/>
      <c r="D51" s="31" t="s">
        <v>579</v>
      </c>
      <c r="E51" s="73" t="s">
        <v>558</v>
      </c>
    </row>
    <row r="52" spans="1:5" ht="18">
      <c r="A52" s="73">
        <v>15</v>
      </c>
      <c r="B52" s="349" t="s">
        <v>613</v>
      </c>
      <c r="C52" s="350"/>
      <c r="D52" s="31" t="s">
        <v>602</v>
      </c>
      <c r="E52" s="73" t="s">
        <v>603</v>
      </c>
    </row>
    <row r="53" spans="1:5" ht="18">
      <c r="A53" s="73">
        <v>16</v>
      </c>
      <c r="B53" s="349" t="s">
        <v>614</v>
      </c>
      <c r="C53" s="350"/>
      <c r="D53" s="31" t="s">
        <v>579</v>
      </c>
      <c r="E53" s="73" t="s">
        <v>558</v>
      </c>
    </row>
    <row r="54" spans="1:5" ht="18">
      <c r="A54" s="73">
        <v>17</v>
      </c>
      <c r="B54" s="351" t="s">
        <v>615</v>
      </c>
      <c r="C54" s="351"/>
      <c r="D54" s="31" t="s">
        <v>616</v>
      </c>
      <c r="E54" s="73" t="s">
        <v>580</v>
      </c>
    </row>
    <row r="55" spans="1:5" ht="18">
      <c r="A55" s="73">
        <v>18</v>
      </c>
      <c r="B55" s="349" t="s">
        <v>617</v>
      </c>
      <c r="C55" s="350"/>
      <c r="D55" s="31" t="s">
        <v>618</v>
      </c>
      <c r="E55" s="73" t="s">
        <v>550</v>
      </c>
    </row>
    <row r="56" spans="1:5" ht="18">
      <c r="A56" s="73">
        <v>19</v>
      </c>
      <c r="B56" s="348" t="s">
        <v>619</v>
      </c>
      <c r="C56" s="348"/>
      <c r="D56" s="31" t="s">
        <v>582</v>
      </c>
      <c r="E56" s="73" t="s">
        <v>550</v>
      </c>
    </row>
    <row r="57" spans="1:5" ht="18">
      <c r="A57" s="73">
        <v>20</v>
      </c>
      <c r="B57" s="349" t="s">
        <v>620</v>
      </c>
      <c r="C57" s="350"/>
      <c r="D57" s="31" t="s">
        <v>621</v>
      </c>
      <c r="E57" s="73" t="s">
        <v>555</v>
      </c>
    </row>
    <row r="58" spans="1:5" ht="18">
      <c r="A58" s="73">
        <v>21</v>
      </c>
      <c r="B58" s="348" t="s">
        <v>622</v>
      </c>
      <c r="C58" s="348"/>
      <c r="D58" s="31" t="s">
        <v>582</v>
      </c>
      <c r="E58" s="73" t="s">
        <v>561</v>
      </c>
    </row>
    <row r="59" spans="1:5" ht="18">
      <c r="A59" s="73">
        <v>22</v>
      </c>
      <c r="B59" s="348" t="s">
        <v>623</v>
      </c>
      <c r="C59" s="348"/>
      <c r="D59" s="31" t="s">
        <v>624</v>
      </c>
      <c r="E59" s="121" t="s">
        <v>625</v>
      </c>
    </row>
    <row r="60" spans="1:5" ht="18.75">
      <c r="A60" s="3">
        <v>23</v>
      </c>
      <c r="B60" s="348" t="s">
        <v>626</v>
      </c>
      <c r="C60" s="348"/>
      <c r="D60" s="31" t="s">
        <v>624</v>
      </c>
      <c r="E60" s="121" t="s">
        <v>625</v>
      </c>
    </row>
    <row r="61" spans="1:5" ht="18.75">
      <c r="A61" s="3">
        <v>24</v>
      </c>
      <c r="B61" s="348" t="s">
        <v>627</v>
      </c>
      <c r="C61" s="348"/>
      <c r="D61" s="31" t="s">
        <v>628</v>
      </c>
      <c r="E61" s="121" t="s">
        <v>561</v>
      </c>
    </row>
    <row r="62" spans="1:5" ht="18">
      <c r="A62" s="31"/>
      <c r="B62" s="352" t="s">
        <v>84</v>
      </c>
      <c r="C62" s="352"/>
      <c r="D62" s="28">
        <v>24</v>
      </c>
      <c r="E62" s="28"/>
    </row>
    <row r="63" spans="1:5" ht="18">
      <c r="A63" s="31"/>
      <c r="B63" s="31"/>
      <c r="C63" s="31"/>
      <c r="D63" s="31"/>
      <c r="E63" s="31"/>
    </row>
    <row r="64" spans="1:5" ht="18">
      <c r="A64" s="31"/>
      <c r="B64" s="352" t="s">
        <v>629</v>
      </c>
      <c r="C64" s="352"/>
      <c r="D64" s="28"/>
      <c r="E64" s="28"/>
    </row>
    <row r="65" spans="1:5" ht="18">
      <c r="A65" s="73">
        <v>1</v>
      </c>
      <c r="B65" s="348" t="s">
        <v>630</v>
      </c>
      <c r="C65" s="348"/>
      <c r="D65" s="30" t="s">
        <v>631</v>
      </c>
      <c r="E65" s="121" t="s">
        <v>632</v>
      </c>
    </row>
    <row r="66" spans="1:5" ht="18">
      <c r="A66" s="73">
        <v>2</v>
      </c>
      <c r="B66" s="348" t="s">
        <v>633</v>
      </c>
      <c r="C66" s="348"/>
      <c r="D66" s="30" t="s">
        <v>634</v>
      </c>
      <c r="E66" s="121" t="s">
        <v>577</v>
      </c>
    </row>
    <row r="67" spans="1:5" ht="18">
      <c r="A67" s="73">
        <v>3</v>
      </c>
      <c r="B67" s="348" t="s">
        <v>635</v>
      </c>
      <c r="C67" s="348"/>
      <c r="D67" s="30" t="s">
        <v>636</v>
      </c>
      <c r="E67" s="121" t="s">
        <v>577</v>
      </c>
    </row>
    <row r="68" spans="1:5" ht="18">
      <c r="A68" s="73">
        <v>4</v>
      </c>
      <c r="B68" s="348" t="s">
        <v>637</v>
      </c>
      <c r="C68" s="348"/>
      <c r="D68" s="30" t="s">
        <v>638</v>
      </c>
      <c r="E68" s="121" t="s">
        <v>536</v>
      </c>
    </row>
    <row r="69" spans="1:5" ht="18">
      <c r="A69" s="73">
        <v>5</v>
      </c>
      <c r="B69" s="462" t="s">
        <v>639</v>
      </c>
      <c r="C69" s="462"/>
      <c r="D69" s="30" t="s">
        <v>640</v>
      </c>
      <c r="E69" s="121" t="s">
        <v>536</v>
      </c>
    </row>
    <row r="70" spans="1:5" ht="18">
      <c r="A70" s="73">
        <v>6</v>
      </c>
      <c r="B70" s="348" t="s">
        <v>641</v>
      </c>
      <c r="C70" s="348"/>
      <c r="D70" s="30" t="s">
        <v>642</v>
      </c>
      <c r="E70" s="121" t="s">
        <v>580</v>
      </c>
    </row>
    <row r="71" spans="1:5" ht="18">
      <c r="A71" s="73">
        <v>7</v>
      </c>
      <c r="B71" s="348" t="s">
        <v>643</v>
      </c>
      <c r="C71" s="348"/>
      <c r="D71" s="30" t="s">
        <v>644</v>
      </c>
      <c r="E71" s="121" t="s">
        <v>550</v>
      </c>
    </row>
    <row r="72" spans="1:5" ht="18">
      <c r="A72" s="73">
        <v>8</v>
      </c>
      <c r="B72" s="348" t="s">
        <v>645</v>
      </c>
      <c r="C72" s="348"/>
      <c r="D72" s="30" t="s">
        <v>646</v>
      </c>
      <c r="E72" s="121" t="s">
        <v>550</v>
      </c>
    </row>
    <row r="73" spans="1:5" ht="18">
      <c r="A73" s="73">
        <v>9</v>
      </c>
      <c r="B73" s="348" t="s">
        <v>647</v>
      </c>
      <c r="C73" s="348"/>
      <c r="D73" s="30" t="s">
        <v>648</v>
      </c>
      <c r="E73" s="121" t="s">
        <v>550</v>
      </c>
    </row>
    <row r="74" spans="1:5" ht="18">
      <c r="A74" s="73">
        <v>10</v>
      </c>
      <c r="B74" s="351" t="s">
        <v>649</v>
      </c>
      <c r="C74" s="351"/>
      <c r="D74" s="31" t="s">
        <v>650</v>
      </c>
      <c r="E74" s="121" t="s">
        <v>550</v>
      </c>
    </row>
    <row r="75" spans="1:5" ht="18">
      <c r="A75" s="73">
        <v>11</v>
      </c>
      <c r="B75" s="348" t="s">
        <v>651</v>
      </c>
      <c r="C75" s="348"/>
      <c r="D75" s="30" t="s">
        <v>652</v>
      </c>
      <c r="E75" s="121" t="s">
        <v>566</v>
      </c>
    </row>
    <row r="76" spans="1:5" ht="18">
      <c r="A76" s="73">
        <v>12</v>
      </c>
      <c r="B76" s="349" t="s">
        <v>653</v>
      </c>
      <c r="C76" s="350"/>
      <c r="D76" s="30" t="s">
        <v>652</v>
      </c>
      <c r="E76" s="121" t="s">
        <v>566</v>
      </c>
    </row>
    <row r="77" spans="1:5" ht="18">
      <c r="A77" s="73">
        <v>13</v>
      </c>
      <c r="B77" s="462" t="s">
        <v>654</v>
      </c>
      <c r="C77" s="462"/>
      <c r="D77" s="30" t="s">
        <v>655</v>
      </c>
      <c r="E77" s="121" t="s">
        <v>566</v>
      </c>
    </row>
    <row r="78" spans="1:5" ht="18">
      <c r="A78" s="73">
        <v>14</v>
      </c>
      <c r="B78" s="348" t="s">
        <v>656</v>
      </c>
      <c r="C78" s="348"/>
      <c r="D78" s="30" t="s">
        <v>655</v>
      </c>
      <c r="E78" s="121" t="s">
        <v>566</v>
      </c>
    </row>
    <row r="79" spans="1:5" ht="18">
      <c r="A79" s="73">
        <v>15</v>
      </c>
      <c r="B79" s="348" t="s">
        <v>657</v>
      </c>
      <c r="C79" s="348"/>
      <c r="D79" s="30" t="s">
        <v>655</v>
      </c>
      <c r="E79" s="121" t="s">
        <v>566</v>
      </c>
    </row>
    <row r="80" spans="1:5" ht="18">
      <c r="A80" s="73">
        <v>16</v>
      </c>
      <c r="B80" s="348" t="s">
        <v>658</v>
      </c>
      <c r="C80" s="348"/>
      <c r="D80" s="30" t="s">
        <v>659</v>
      </c>
      <c r="E80" s="121" t="s">
        <v>561</v>
      </c>
    </row>
    <row r="81" spans="1:5" ht="18">
      <c r="A81" s="73">
        <v>17</v>
      </c>
      <c r="B81" s="349" t="s">
        <v>660</v>
      </c>
      <c r="C81" s="350"/>
      <c r="D81" s="30" t="s">
        <v>661</v>
      </c>
      <c r="E81" s="121" t="s">
        <v>561</v>
      </c>
    </row>
    <row r="82" spans="1:5" ht="18">
      <c r="A82" s="73">
        <v>18</v>
      </c>
      <c r="B82" s="348" t="s">
        <v>662</v>
      </c>
      <c r="C82" s="348"/>
      <c r="D82" s="30" t="s">
        <v>663</v>
      </c>
      <c r="E82" s="121" t="s">
        <v>561</v>
      </c>
    </row>
    <row r="83" spans="1:5" ht="18">
      <c r="A83" s="73">
        <v>19</v>
      </c>
      <c r="B83" s="348" t="s">
        <v>664</v>
      </c>
      <c r="C83" s="348"/>
      <c r="D83" s="31" t="s">
        <v>663</v>
      </c>
      <c r="E83" s="121" t="s">
        <v>561</v>
      </c>
    </row>
    <row r="84" spans="1:5" ht="18">
      <c r="A84" s="73">
        <v>20</v>
      </c>
      <c r="B84" s="348" t="s">
        <v>665</v>
      </c>
      <c r="C84" s="348"/>
      <c r="D84" s="30" t="s">
        <v>666</v>
      </c>
      <c r="E84" s="121" t="s">
        <v>667</v>
      </c>
    </row>
    <row r="85" spans="1:5" ht="18">
      <c r="A85" s="73">
        <v>21</v>
      </c>
      <c r="B85" s="349" t="s">
        <v>668</v>
      </c>
      <c r="C85" s="350"/>
      <c r="D85" s="30" t="s">
        <v>666</v>
      </c>
      <c r="E85" s="121" t="s">
        <v>667</v>
      </c>
    </row>
    <row r="86" spans="1:5" ht="18">
      <c r="A86" s="73">
        <v>22</v>
      </c>
      <c r="B86" s="348" t="s">
        <v>669</v>
      </c>
      <c r="C86" s="348"/>
      <c r="D86" s="30" t="s">
        <v>666</v>
      </c>
      <c r="E86" s="121" t="s">
        <v>566</v>
      </c>
    </row>
    <row r="87" spans="1:5" ht="18">
      <c r="A87" s="73">
        <v>23</v>
      </c>
      <c r="B87" s="349" t="s">
        <v>670</v>
      </c>
      <c r="C87" s="350"/>
      <c r="D87" s="30" t="s">
        <v>671</v>
      </c>
      <c r="E87" s="121" t="s">
        <v>672</v>
      </c>
    </row>
    <row r="88" spans="1:5" ht="18">
      <c r="A88" s="73">
        <v>24</v>
      </c>
      <c r="B88" s="349" t="s">
        <v>673</v>
      </c>
      <c r="C88" s="350"/>
      <c r="D88" s="30" t="s">
        <v>666</v>
      </c>
      <c r="E88" s="121" t="s">
        <v>674</v>
      </c>
    </row>
    <row r="89" spans="1:5" ht="18">
      <c r="A89" s="73">
        <v>25</v>
      </c>
      <c r="B89" s="349" t="s">
        <v>675</v>
      </c>
      <c r="C89" s="350"/>
      <c r="D89" s="30" t="s">
        <v>288</v>
      </c>
      <c r="E89" s="121"/>
    </row>
    <row r="90" spans="1:5" ht="18">
      <c r="A90" s="73">
        <v>26</v>
      </c>
      <c r="B90" s="348" t="s">
        <v>676</v>
      </c>
      <c r="C90" s="348"/>
      <c r="D90" s="30" t="s">
        <v>677</v>
      </c>
      <c r="E90" s="121" t="s">
        <v>678</v>
      </c>
    </row>
    <row r="91" spans="1:5" ht="18">
      <c r="A91" s="73">
        <v>27</v>
      </c>
      <c r="B91" s="348" t="s">
        <v>679</v>
      </c>
      <c r="C91" s="348"/>
      <c r="D91" s="30" t="s">
        <v>677</v>
      </c>
      <c r="E91" s="121" t="s">
        <v>678</v>
      </c>
    </row>
    <row r="92" spans="1:5" ht="18">
      <c r="A92" s="73">
        <v>28</v>
      </c>
      <c r="B92" s="348" t="s">
        <v>680</v>
      </c>
      <c r="C92" s="348"/>
      <c r="D92" s="30" t="s">
        <v>677</v>
      </c>
      <c r="E92" s="121" t="s">
        <v>678</v>
      </c>
    </row>
    <row r="93" spans="1:5" ht="18">
      <c r="A93" s="73">
        <v>29</v>
      </c>
      <c r="B93" s="348" t="s">
        <v>681</v>
      </c>
      <c r="C93" s="348"/>
      <c r="D93" s="30" t="s">
        <v>677</v>
      </c>
      <c r="E93" s="121" t="s">
        <v>678</v>
      </c>
    </row>
    <row r="94" spans="1:5" ht="18">
      <c r="A94" s="73">
        <v>30</v>
      </c>
      <c r="B94" s="348" t="s">
        <v>682</v>
      </c>
      <c r="C94" s="348"/>
      <c r="D94" s="30" t="s">
        <v>677</v>
      </c>
      <c r="E94" s="121" t="s">
        <v>678</v>
      </c>
    </row>
    <row r="95" spans="1:5" ht="18">
      <c r="A95" s="73">
        <v>31</v>
      </c>
      <c r="B95" s="348" t="s">
        <v>683</v>
      </c>
      <c r="C95" s="348"/>
      <c r="D95" s="30" t="s">
        <v>677</v>
      </c>
      <c r="E95" s="121" t="s">
        <v>678</v>
      </c>
    </row>
    <row r="96" spans="1:5" ht="18">
      <c r="A96" s="73">
        <v>32</v>
      </c>
      <c r="B96" s="348" t="s">
        <v>684</v>
      </c>
      <c r="C96" s="348"/>
      <c r="D96" s="30" t="s">
        <v>677</v>
      </c>
      <c r="E96" s="121" t="s">
        <v>678</v>
      </c>
    </row>
    <row r="97" spans="1:5" ht="18">
      <c r="A97" s="73">
        <v>33</v>
      </c>
      <c r="B97" s="348" t="s">
        <v>685</v>
      </c>
      <c r="C97" s="348"/>
      <c r="D97" s="30" t="s">
        <v>677</v>
      </c>
      <c r="E97" s="121" t="s">
        <v>678</v>
      </c>
    </row>
    <row r="98" spans="1:5" ht="18">
      <c r="A98" s="73">
        <v>35</v>
      </c>
      <c r="B98" s="348" t="s">
        <v>686</v>
      </c>
      <c r="C98" s="348"/>
      <c r="D98" s="30" t="s">
        <v>687</v>
      </c>
      <c r="E98" s="121" t="s">
        <v>688</v>
      </c>
    </row>
    <row r="99" spans="1:5" ht="18">
      <c r="A99" s="73">
        <v>36</v>
      </c>
      <c r="B99" s="348" t="s">
        <v>689</v>
      </c>
      <c r="C99" s="348"/>
      <c r="D99" s="30" t="s">
        <v>687</v>
      </c>
      <c r="E99" s="121" t="s">
        <v>688</v>
      </c>
    </row>
    <row r="100" spans="1:5" ht="18">
      <c r="A100" s="73">
        <v>37</v>
      </c>
      <c r="B100" s="348" t="s">
        <v>690</v>
      </c>
      <c r="C100" s="348"/>
      <c r="D100" s="30" t="s">
        <v>687</v>
      </c>
      <c r="E100" s="121" t="s">
        <v>688</v>
      </c>
    </row>
    <row r="101" spans="1:5" ht="18">
      <c r="A101" s="73">
        <v>38</v>
      </c>
      <c r="B101" s="31" t="s">
        <v>691</v>
      </c>
      <c r="C101" s="31"/>
      <c r="D101" s="30" t="s">
        <v>687</v>
      </c>
      <c r="E101" s="121" t="s">
        <v>688</v>
      </c>
    </row>
    <row r="102" spans="1:5" ht="18">
      <c r="A102" s="73">
        <v>39</v>
      </c>
      <c r="B102" s="349" t="s">
        <v>692</v>
      </c>
      <c r="C102" s="350"/>
      <c r="D102" s="30" t="s">
        <v>687</v>
      </c>
      <c r="E102" s="121" t="s">
        <v>688</v>
      </c>
    </row>
    <row r="103" spans="1:5" ht="18.75">
      <c r="A103" s="73">
        <v>40</v>
      </c>
      <c r="B103" s="30" t="s">
        <v>693</v>
      </c>
      <c r="C103" s="102"/>
      <c r="D103" s="30" t="s">
        <v>687</v>
      </c>
      <c r="E103" s="121" t="s">
        <v>694</v>
      </c>
    </row>
    <row r="104" spans="1:5" ht="18.75">
      <c r="A104" s="73">
        <v>41</v>
      </c>
      <c r="B104" s="30" t="s">
        <v>695</v>
      </c>
      <c r="C104" s="102"/>
      <c r="D104" s="30" t="s">
        <v>687</v>
      </c>
      <c r="E104" s="121" t="s">
        <v>688</v>
      </c>
    </row>
    <row r="105" spans="1:5" ht="18.75">
      <c r="A105" s="73">
        <v>42</v>
      </c>
      <c r="B105" s="30" t="s">
        <v>696</v>
      </c>
      <c r="C105" s="102"/>
      <c r="D105" s="30" t="s">
        <v>687</v>
      </c>
      <c r="E105" s="121" t="s">
        <v>694</v>
      </c>
    </row>
    <row r="106" spans="1:5" ht="18.75">
      <c r="A106" s="73">
        <v>43</v>
      </c>
      <c r="B106" s="30" t="s">
        <v>697</v>
      </c>
      <c r="C106" s="102"/>
      <c r="D106" s="30" t="s">
        <v>698</v>
      </c>
      <c r="E106" s="121"/>
    </row>
    <row r="107" spans="1:5" ht="18.75">
      <c r="A107" s="73">
        <v>44</v>
      </c>
      <c r="B107" s="30" t="s">
        <v>699</v>
      </c>
      <c r="C107" s="102"/>
      <c r="D107" s="30" t="s">
        <v>698</v>
      </c>
      <c r="E107" s="121"/>
    </row>
    <row r="108" spans="1:5" ht="18.75">
      <c r="A108" s="73">
        <v>45</v>
      </c>
      <c r="B108" s="30" t="s">
        <v>700</v>
      </c>
      <c r="C108" s="102"/>
      <c r="D108" s="30" t="s">
        <v>701</v>
      </c>
      <c r="E108" s="121"/>
    </row>
    <row r="109" spans="1:5" ht="18.75">
      <c r="A109" s="73">
        <v>46</v>
      </c>
      <c r="B109" s="30" t="s">
        <v>16</v>
      </c>
      <c r="C109" s="102"/>
      <c r="D109" s="30" t="s">
        <v>17</v>
      </c>
      <c r="E109" s="121"/>
    </row>
    <row r="110" spans="1:5" ht="18">
      <c r="A110" s="73">
        <v>47</v>
      </c>
      <c r="B110" s="349" t="s">
        <v>702</v>
      </c>
      <c r="C110" s="350"/>
      <c r="D110" s="30" t="s">
        <v>703</v>
      </c>
      <c r="E110" s="121"/>
    </row>
    <row r="111" spans="1:5" ht="18.75">
      <c r="A111" s="73">
        <v>48</v>
      </c>
      <c r="B111" s="30" t="s">
        <v>18</v>
      </c>
      <c r="C111" s="102"/>
      <c r="D111" s="30" t="s">
        <v>177</v>
      </c>
      <c r="E111" s="121"/>
    </row>
    <row r="112" spans="1:5" ht="18">
      <c r="A112" s="73">
        <v>49</v>
      </c>
      <c r="B112" s="349" t="s">
        <v>704</v>
      </c>
      <c r="C112" s="350"/>
      <c r="D112" s="30" t="s">
        <v>177</v>
      </c>
      <c r="E112" s="121"/>
    </row>
    <row r="113" spans="1:5" ht="18.75">
      <c r="A113" s="73">
        <v>50</v>
      </c>
      <c r="B113" s="30" t="s">
        <v>20</v>
      </c>
      <c r="C113" s="102"/>
      <c r="D113" s="30" t="s">
        <v>21</v>
      </c>
      <c r="E113" s="121"/>
    </row>
    <row r="114" spans="1:5" ht="18.75">
      <c r="A114" s="73">
        <v>51</v>
      </c>
      <c r="B114" s="30" t="s">
        <v>705</v>
      </c>
      <c r="C114" s="102"/>
      <c r="D114" s="30" t="s">
        <v>177</v>
      </c>
      <c r="E114" s="121"/>
    </row>
    <row r="115" spans="1:5" ht="18">
      <c r="A115" s="73">
        <v>52</v>
      </c>
      <c r="B115" s="349" t="s">
        <v>706</v>
      </c>
      <c r="C115" s="350"/>
      <c r="D115" s="30" t="s">
        <v>707</v>
      </c>
      <c r="E115" s="121"/>
    </row>
    <row r="116" spans="1:5" ht="18">
      <c r="A116" s="73">
        <v>53</v>
      </c>
      <c r="B116" s="349" t="s">
        <v>708</v>
      </c>
      <c r="C116" s="350"/>
      <c r="D116" s="30" t="s">
        <v>687</v>
      </c>
      <c r="E116" s="121"/>
    </row>
    <row r="117" spans="1:5" ht="18.75">
      <c r="A117" s="73">
        <v>54</v>
      </c>
      <c r="B117" s="30" t="s">
        <v>412</v>
      </c>
      <c r="C117" s="102"/>
      <c r="D117" s="30" t="s">
        <v>23</v>
      </c>
      <c r="E117" s="121"/>
    </row>
    <row r="118" spans="1:5" ht="18.75">
      <c r="A118" s="31"/>
      <c r="B118" s="29" t="s">
        <v>84</v>
      </c>
      <c r="C118" s="1"/>
      <c r="D118" s="131" t="s">
        <v>709</v>
      </c>
      <c r="E118" s="121"/>
    </row>
  </sheetData>
  <mergeCells count="103">
    <mergeCell ref="B2:C2"/>
    <mergeCell ref="B3:C3"/>
    <mergeCell ref="B4:C4"/>
    <mergeCell ref="B5:C5"/>
    <mergeCell ref="B6:C6"/>
    <mergeCell ref="B7:C7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27:C27"/>
    <mergeCell ref="B28:C28"/>
    <mergeCell ref="B29:C29"/>
    <mergeCell ref="B30:C30"/>
    <mergeCell ref="B31:C31"/>
    <mergeCell ref="B32:C32"/>
    <mergeCell ref="B20:C20"/>
    <mergeCell ref="B21:C21"/>
    <mergeCell ref="B22:C22"/>
    <mergeCell ref="B23:C23"/>
    <mergeCell ref="B24:C24"/>
    <mergeCell ref="B25:C25"/>
    <mergeCell ref="B39:C39"/>
    <mergeCell ref="B40:C40"/>
    <mergeCell ref="B41:C41"/>
    <mergeCell ref="B42:C42"/>
    <mergeCell ref="B43:C43"/>
    <mergeCell ref="B44:C44"/>
    <mergeCell ref="B33:C33"/>
    <mergeCell ref="B34:C34"/>
    <mergeCell ref="B35:C35"/>
    <mergeCell ref="B36:C36"/>
    <mergeCell ref="B37:C37"/>
    <mergeCell ref="B38:C38"/>
    <mergeCell ref="B51:C51"/>
    <mergeCell ref="B52:C52"/>
    <mergeCell ref="B53:C53"/>
    <mergeCell ref="B54:C54"/>
    <mergeCell ref="B55:C55"/>
    <mergeCell ref="B56:C56"/>
    <mergeCell ref="B45:C45"/>
    <mergeCell ref="B46:C46"/>
    <mergeCell ref="B47:C47"/>
    <mergeCell ref="B48:C48"/>
    <mergeCell ref="B49:C49"/>
    <mergeCell ref="B50:C50"/>
    <mergeCell ref="B64:C64"/>
    <mergeCell ref="B65:C65"/>
    <mergeCell ref="B66:C66"/>
    <mergeCell ref="B67:C67"/>
    <mergeCell ref="B68:C68"/>
    <mergeCell ref="B69:C69"/>
    <mergeCell ref="B57:C57"/>
    <mergeCell ref="B58:C58"/>
    <mergeCell ref="B59:C59"/>
    <mergeCell ref="B60:C60"/>
    <mergeCell ref="B61:C61"/>
    <mergeCell ref="B62:C62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1:C1"/>
    <mergeCell ref="B100:C100"/>
    <mergeCell ref="B102:C102"/>
    <mergeCell ref="B110:C110"/>
    <mergeCell ref="B112:C112"/>
    <mergeCell ref="B115:C115"/>
    <mergeCell ref="B116:C116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115"/>
  <sheetViews>
    <sheetView topLeftCell="A34" workbookViewId="0"/>
  </sheetViews>
  <sheetFormatPr defaultRowHeight="12.75"/>
  <cols>
    <col min="2" max="2" width="30.140625" customWidth="1"/>
    <col min="3" max="3" width="26.140625" customWidth="1"/>
    <col min="4" max="4" width="13.85546875" customWidth="1"/>
  </cols>
  <sheetData>
    <row r="1" spans="1:4">
      <c r="A1" s="115">
        <v>1</v>
      </c>
      <c r="B1" t="s">
        <v>526</v>
      </c>
      <c r="C1" t="s">
        <v>527</v>
      </c>
      <c r="D1" t="s">
        <v>528</v>
      </c>
    </row>
    <row r="2" spans="1:4">
      <c r="A2" s="115">
        <v>2</v>
      </c>
      <c r="B2" t="s">
        <v>710</v>
      </c>
      <c r="C2" t="s">
        <v>533</v>
      </c>
      <c r="D2" s="115" t="s">
        <v>577</v>
      </c>
    </row>
    <row r="3" spans="1:4">
      <c r="A3" s="115">
        <v>3</v>
      </c>
      <c r="B3" t="s">
        <v>529</v>
      </c>
      <c r="C3" t="s">
        <v>530</v>
      </c>
      <c r="D3" s="115" t="s">
        <v>531</v>
      </c>
    </row>
    <row r="4" spans="1:4">
      <c r="A4" s="115">
        <v>4</v>
      </c>
      <c r="B4" t="s">
        <v>534</v>
      </c>
      <c r="C4" t="s">
        <v>535</v>
      </c>
      <c r="D4" s="115" t="s">
        <v>536</v>
      </c>
    </row>
    <row r="5" spans="1:4">
      <c r="A5" s="115">
        <v>5</v>
      </c>
      <c r="B5" t="s">
        <v>711</v>
      </c>
      <c r="C5" t="s">
        <v>579</v>
      </c>
      <c r="D5" s="115" t="s">
        <v>539</v>
      </c>
    </row>
    <row r="6" spans="1:4">
      <c r="A6" s="115">
        <v>6</v>
      </c>
      <c r="B6" t="s">
        <v>540</v>
      </c>
      <c r="C6" t="s">
        <v>541</v>
      </c>
      <c r="D6" s="115" t="s">
        <v>712</v>
      </c>
    </row>
    <row r="7" spans="1:4">
      <c r="A7" s="115">
        <v>7</v>
      </c>
      <c r="B7" t="s">
        <v>713</v>
      </c>
      <c r="C7" t="s">
        <v>714</v>
      </c>
      <c r="D7" s="115" t="s">
        <v>561</v>
      </c>
    </row>
    <row r="8" spans="1:4">
      <c r="A8" s="115">
        <v>8</v>
      </c>
      <c r="B8" t="s">
        <v>551</v>
      </c>
      <c r="C8" t="s">
        <v>552</v>
      </c>
      <c r="D8" s="115" t="s">
        <v>561</v>
      </c>
    </row>
    <row r="9" spans="1:4">
      <c r="A9" s="115">
        <v>9</v>
      </c>
      <c r="B9" t="s">
        <v>553</v>
      </c>
      <c r="C9" t="s">
        <v>554</v>
      </c>
      <c r="D9" s="115" t="s">
        <v>561</v>
      </c>
    </row>
    <row r="10" spans="1:4">
      <c r="A10" s="115">
        <v>10</v>
      </c>
      <c r="B10" t="s">
        <v>556</v>
      </c>
      <c r="C10" t="s">
        <v>715</v>
      </c>
      <c r="D10" s="115" t="s">
        <v>561</v>
      </c>
    </row>
    <row r="11" spans="1:4">
      <c r="A11" s="115"/>
      <c r="B11" t="s">
        <v>716</v>
      </c>
      <c r="C11" t="s">
        <v>560</v>
      </c>
      <c r="D11" s="115" t="s">
        <v>566</v>
      </c>
    </row>
    <row r="12" spans="1:4">
      <c r="A12" s="115">
        <v>11</v>
      </c>
      <c r="B12" t="s">
        <v>562</v>
      </c>
      <c r="C12" t="s">
        <v>563</v>
      </c>
      <c r="D12" s="115" t="s">
        <v>561</v>
      </c>
    </row>
    <row r="13" spans="1:4">
      <c r="A13" s="115">
        <v>12</v>
      </c>
      <c r="B13" t="s">
        <v>564</v>
      </c>
      <c r="C13" t="s">
        <v>565</v>
      </c>
      <c r="D13" s="115" t="s">
        <v>717</v>
      </c>
    </row>
    <row r="14" spans="1:4">
      <c r="A14" s="115">
        <v>13</v>
      </c>
      <c r="B14" t="s">
        <v>567</v>
      </c>
      <c r="C14" t="s">
        <v>568</v>
      </c>
      <c r="D14" s="115" t="s">
        <v>566</v>
      </c>
    </row>
    <row r="15" spans="1:4">
      <c r="A15" s="115">
        <v>14</v>
      </c>
      <c r="B15" t="s">
        <v>569</v>
      </c>
      <c r="C15" t="s">
        <v>570</v>
      </c>
      <c r="D15" s="115" t="s">
        <v>717</v>
      </c>
    </row>
    <row r="16" spans="1:4">
      <c r="A16" s="115">
        <v>15</v>
      </c>
      <c r="B16" t="s">
        <v>571</v>
      </c>
      <c r="C16" t="s">
        <v>572</v>
      </c>
      <c r="D16" s="115" t="s">
        <v>717</v>
      </c>
    </row>
    <row r="17" spans="1:4">
      <c r="A17" s="115"/>
      <c r="B17" t="s">
        <v>84</v>
      </c>
      <c r="C17">
        <v>15</v>
      </c>
      <c r="D17" s="115"/>
    </row>
    <row r="18" spans="1:4">
      <c r="A18" s="115"/>
      <c r="D18" s="115"/>
    </row>
    <row r="19" spans="1:4">
      <c r="A19" s="115"/>
      <c r="D19" s="115"/>
    </row>
    <row r="20" spans="1:4">
      <c r="A20" s="115"/>
      <c r="B20" t="s">
        <v>574</v>
      </c>
      <c r="D20" s="115"/>
    </row>
    <row r="21" spans="1:4">
      <c r="A21" s="115">
        <v>1</v>
      </c>
      <c r="B21" t="s">
        <v>718</v>
      </c>
      <c r="C21" t="s">
        <v>719</v>
      </c>
      <c r="D21" s="115" t="s">
        <v>632</v>
      </c>
    </row>
    <row r="22" spans="1:4">
      <c r="A22" s="115">
        <v>2</v>
      </c>
      <c r="B22" t="s">
        <v>575</v>
      </c>
      <c r="C22" t="s">
        <v>576</v>
      </c>
      <c r="D22" s="115" t="s">
        <v>577</v>
      </c>
    </row>
    <row r="23" spans="1:4">
      <c r="A23" s="115">
        <v>3</v>
      </c>
      <c r="B23" t="s">
        <v>578</v>
      </c>
      <c r="C23" t="s">
        <v>579</v>
      </c>
      <c r="D23" s="115" t="s">
        <v>712</v>
      </c>
    </row>
    <row r="24" spans="1:4">
      <c r="A24" s="115">
        <v>4</v>
      </c>
      <c r="B24" t="s">
        <v>581</v>
      </c>
      <c r="C24" t="s">
        <v>582</v>
      </c>
      <c r="D24" s="115" t="s">
        <v>561</v>
      </c>
    </row>
    <row r="25" spans="1:4">
      <c r="A25" s="115">
        <v>5</v>
      </c>
      <c r="B25" t="s">
        <v>583</v>
      </c>
      <c r="C25" t="s">
        <v>582</v>
      </c>
      <c r="D25" s="115" t="s">
        <v>561</v>
      </c>
    </row>
    <row r="26" spans="1:4">
      <c r="A26" s="115">
        <v>6</v>
      </c>
      <c r="B26" t="s">
        <v>584</v>
      </c>
      <c r="C26" t="s">
        <v>582</v>
      </c>
      <c r="D26" s="115" t="s">
        <v>566</v>
      </c>
    </row>
    <row r="27" spans="1:4">
      <c r="A27" s="115"/>
      <c r="B27" t="s">
        <v>84</v>
      </c>
      <c r="C27">
        <v>6</v>
      </c>
      <c r="D27" s="115"/>
    </row>
    <row r="28" spans="1:4">
      <c r="A28" s="115"/>
      <c r="D28" s="115"/>
    </row>
    <row r="29" spans="1:4">
      <c r="A29" s="115"/>
      <c r="B29" t="s">
        <v>586</v>
      </c>
      <c r="D29" s="115"/>
    </row>
    <row r="30" spans="1:4">
      <c r="A30" s="115">
        <v>1</v>
      </c>
      <c r="B30" t="s">
        <v>587</v>
      </c>
      <c r="C30" t="s">
        <v>588</v>
      </c>
      <c r="D30" s="115" t="s">
        <v>589</v>
      </c>
    </row>
    <row r="31" spans="1:4">
      <c r="A31" s="115">
        <v>2</v>
      </c>
      <c r="B31" t="s">
        <v>590</v>
      </c>
      <c r="C31" t="s">
        <v>591</v>
      </c>
      <c r="D31" s="115" t="s">
        <v>577</v>
      </c>
    </row>
    <row r="32" spans="1:4">
      <c r="A32" s="115">
        <v>3</v>
      </c>
      <c r="B32" t="s">
        <v>592</v>
      </c>
      <c r="C32" t="s">
        <v>593</v>
      </c>
      <c r="D32" s="115" t="s">
        <v>536</v>
      </c>
    </row>
    <row r="33" spans="1:4">
      <c r="A33" s="115">
        <v>4</v>
      </c>
      <c r="B33" t="s">
        <v>720</v>
      </c>
      <c r="C33" t="s">
        <v>721</v>
      </c>
      <c r="D33" s="115" t="s">
        <v>542</v>
      </c>
    </row>
    <row r="34" spans="1:4">
      <c r="A34" s="115">
        <v>5</v>
      </c>
      <c r="B34" t="s">
        <v>722</v>
      </c>
      <c r="C34" t="s">
        <v>723</v>
      </c>
      <c r="D34" s="115" t="s">
        <v>603</v>
      </c>
    </row>
    <row r="35" spans="1:4">
      <c r="A35" s="115">
        <v>6</v>
      </c>
      <c r="B35" t="s">
        <v>598</v>
      </c>
      <c r="C35" t="s">
        <v>599</v>
      </c>
      <c r="D35" s="115" t="s">
        <v>603</v>
      </c>
    </row>
    <row r="36" spans="1:4">
      <c r="A36" s="115">
        <v>7</v>
      </c>
      <c r="C36" t="s">
        <v>602</v>
      </c>
      <c r="D36" s="115" t="s">
        <v>724</v>
      </c>
    </row>
    <row r="37" spans="1:4">
      <c r="A37" s="115">
        <v>8</v>
      </c>
      <c r="B37" t="s">
        <v>725</v>
      </c>
      <c r="C37" t="s">
        <v>605</v>
      </c>
      <c r="D37" s="115" t="s">
        <v>724</v>
      </c>
    </row>
    <row r="38" spans="1:4">
      <c r="A38" s="115">
        <v>9</v>
      </c>
      <c r="B38" t="s">
        <v>606</v>
      </c>
      <c r="C38" t="s">
        <v>602</v>
      </c>
      <c r="D38" s="115" t="s">
        <v>724</v>
      </c>
    </row>
    <row r="39" spans="1:4">
      <c r="A39" s="115">
        <v>10</v>
      </c>
      <c r="B39" t="s">
        <v>607</v>
      </c>
      <c r="C39" t="s">
        <v>579</v>
      </c>
      <c r="D39" s="115" t="s">
        <v>712</v>
      </c>
    </row>
    <row r="40" spans="1:4">
      <c r="A40" s="115">
        <v>11</v>
      </c>
      <c r="C40" t="s">
        <v>579</v>
      </c>
      <c r="D40" s="115" t="s">
        <v>547</v>
      </c>
    </row>
    <row r="41" spans="1:4">
      <c r="A41" s="115">
        <v>12</v>
      </c>
      <c r="B41" t="s">
        <v>610</v>
      </c>
      <c r="C41" t="s">
        <v>611</v>
      </c>
      <c r="D41" s="115" t="s">
        <v>724</v>
      </c>
    </row>
    <row r="42" spans="1:4">
      <c r="A42" s="115">
        <v>13</v>
      </c>
      <c r="B42" t="s">
        <v>612</v>
      </c>
      <c r="C42" t="s">
        <v>579</v>
      </c>
      <c r="D42" s="115" t="s">
        <v>550</v>
      </c>
    </row>
    <row r="43" spans="1:4">
      <c r="A43" s="115">
        <v>14</v>
      </c>
      <c r="B43" t="s">
        <v>726</v>
      </c>
      <c r="C43" t="s">
        <v>579</v>
      </c>
      <c r="D43" s="115" t="s">
        <v>550</v>
      </c>
    </row>
    <row r="44" spans="1:4">
      <c r="A44" s="115">
        <v>15</v>
      </c>
      <c r="C44" t="s">
        <v>579</v>
      </c>
      <c r="D44" s="115" t="s">
        <v>550</v>
      </c>
    </row>
    <row r="45" spans="1:4">
      <c r="A45" s="115">
        <v>16</v>
      </c>
      <c r="C45" t="s">
        <v>579</v>
      </c>
      <c r="D45" s="115" t="s">
        <v>550</v>
      </c>
    </row>
    <row r="46" spans="1:4">
      <c r="A46" s="115">
        <v>17</v>
      </c>
      <c r="B46" t="s">
        <v>615</v>
      </c>
      <c r="C46" t="s">
        <v>616</v>
      </c>
      <c r="D46" s="115" t="s">
        <v>550</v>
      </c>
    </row>
    <row r="47" spans="1:4">
      <c r="A47" s="115">
        <v>18</v>
      </c>
      <c r="B47" t="s">
        <v>617</v>
      </c>
      <c r="C47" t="s">
        <v>618</v>
      </c>
      <c r="D47" s="115" t="s">
        <v>561</v>
      </c>
    </row>
    <row r="48" spans="1:4">
      <c r="A48" s="115">
        <v>19</v>
      </c>
      <c r="B48" t="s">
        <v>619</v>
      </c>
      <c r="C48" t="s">
        <v>582</v>
      </c>
      <c r="D48" s="115" t="s">
        <v>561</v>
      </c>
    </row>
    <row r="49" spans="1:4">
      <c r="A49" s="115">
        <v>20</v>
      </c>
      <c r="B49" t="s">
        <v>620</v>
      </c>
      <c r="C49" t="s">
        <v>621</v>
      </c>
      <c r="D49" s="115" t="s">
        <v>561</v>
      </c>
    </row>
    <row r="50" spans="1:4">
      <c r="A50" s="115">
        <v>21</v>
      </c>
      <c r="B50" t="s">
        <v>622</v>
      </c>
      <c r="C50" t="s">
        <v>582</v>
      </c>
      <c r="D50" s="115" t="s">
        <v>566</v>
      </c>
    </row>
    <row r="51" spans="1:4">
      <c r="A51" s="115">
        <v>22</v>
      </c>
      <c r="B51" t="s">
        <v>727</v>
      </c>
      <c r="C51" t="s">
        <v>624</v>
      </c>
      <c r="D51" s="115" t="s">
        <v>728</v>
      </c>
    </row>
    <row r="52" spans="1:4">
      <c r="A52" s="115">
        <v>23</v>
      </c>
      <c r="B52" t="s">
        <v>623</v>
      </c>
      <c r="C52" t="s">
        <v>624</v>
      </c>
      <c r="D52" s="115" t="s">
        <v>729</v>
      </c>
    </row>
    <row r="53" spans="1:4">
      <c r="A53" s="115">
        <v>24</v>
      </c>
      <c r="B53" t="s">
        <v>626</v>
      </c>
      <c r="C53" t="s">
        <v>624</v>
      </c>
      <c r="D53" s="115" t="s">
        <v>729</v>
      </c>
    </row>
    <row r="54" spans="1:4">
      <c r="A54" s="115">
        <v>25</v>
      </c>
      <c r="B54" t="s">
        <v>627</v>
      </c>
      <c r="C54" t="s">
        <v>628</v>
      </c>
      <c r="D54" s="115" t="s">
        <v>566</v>
      </c>
    </row>
    <row r="55" spans="1:4">
      <c r="A55" s="115"/>
      <c r="B55" t="s">
        <v>84</v>
      </c>
      <c r="C55">
        <v>25</v>
      </c>
      <c r="D55" s="115"/>
    </row>
    <row r="56" spans="1:4">
      <c r="A56" s="115"/>
      <c r="D56" s="115"/>
    </row>
    <row r="57" spans="1:4">
      <c r="A57" s="115"/>
      <c r="B57" t="s">
        <v>629</v>
      </c>
      <c r="D57" s="115"/>
    </row>
    <row r="58" spans="1:4">
      <c r="A58" s="115">
        <v>1</v>
      </c>
      <c r="B58" t="s">
        <v>630</v>
      </c>
      <c r="C58" t="s">
        <v>631</v>
      </c>
      <c r="D58" s="115" t="s">
        <v>632</v>
      </c>
    </row>
    <row r="59" spans="1:4">
      <c r="A59" s="115">
        <v>2</v>
      </c>
      <c r="B59" t="s">
        <v>633</v>
      </c>
      <c r="C59" t="s">
        <v>634</v>
      </c>
      <c r="D59" s="115" t="s">
        <v>577</v>
      </c>
    </row>
    <row r="60" spans="1:4">
      <c r="A60" s="115">
        <v>3</v>
      </c>
      <c r="B60" t="s">
        <v>635</v>
      </c>
      <c r="C60" t="s">
        <v>636</v>
      </c>
      <c r="D60" s="115" t="s">
        <v>577</v>
      </c>
    </row>
    <row r="61" spans="1:4">
      <c r="A61" s="115">
        <v>4</v>
      </c>
      <c r="B61" t="s">
        <v>637</v>
      </c>
      <c r="C61" t="s">
        <v>638</v>
      </c>
      <c r="D61" s="115" t="s">
        <v>536</v>
      </c>
    </row>
    <row r="62" spans="1:4">
      <c r="A62" s="115">
        <v>5</v>
      </c>
      <c r="B62" t="s">
        <v>730</v>
      </c>
      <c r="C62" t="s">
        <v>731</v>
      </c>
      <c r="D62" s="115" t="s">
        <v>536</v>
      </c>
    </row>
    <row r="63" spans="1:4">
      <c r="A63" s="115">
        <v>6</v>
      </c>
      <c r="B63" t="s">
        <v>639</v>
      </c>
      <c r="C63" t="s">
        <v>640</v>
      </c>
      <c r="D63" s="115" t="s">
        <v>536</v>
      </c>
    </row>
    <row r="64" spans="1:4">
      <c r="A64" s="115">
        <v>7</v>
      </c>
      <c r="B64" t="s">
        <v>641</v>
      </c>
      <c r="C64" t="s">
        <v>642</v>
      </c>
      <c r="D64" s="115" t="s">
        <v>712</v>
      </c>
    </row>
    <row r="65" spans="1:4">
      <c r="A65" s="115">
        <v>8</v>
      </c>
      <c r="B65" t="s">
        <v>643</v>
      </c>
      <c r="C65" t="s">
        <v>644</v>
      </c>
      <c r="D65" s="115" t="s">
        <v>561</v>
      </c>
    </row>
    <row r="66" spans="1:4">
      <c r="A66" s="115">
        <v>9</v>
      </c>
      <c r="B66" t="s">
        <v>645</v>
      </c>
      <c r="C66" t="s">
        <v>646</v>
      </c>
      <c r="D66" s="115" t="s">
        <v>561</v>
      </c>
    </row>
    <row r="67" spans="1:4">
      <c r="A67" s="115">
        <v>10</v>
      </c>
      <c r="B67" t="s">
        <v>647</v>
      </c>
      <c r="C67" t="s">
        <v>648</v>
      </c>
      <c r="D67" s="115" t="s">
        <v>561</v>
      </c>
    </row>
    <row r="68" spans="1:4">
      <c r="A68" s="115">
        <v>11</v>
      </c>
      <c r="B68" t="s">
        <v>649</v>
      </c>
      <c r="C68" t="s">
        <v>650</v>
      </c>
      <c r="D68" s="115" t="s">
        <v>561</v>
      </c>
    </row>
    <row r="69" spans="1:4">
      <c r="A69" s="115">
        <v>12</v>
      </c>
      <c r="B69" t="s">
        <v>732</v>
      </c>
      <c r="C69" t="s">
        <v>652</v>
      </c>
      <c r="D69" s="115" t="s">
        <v>717</v>
      </c>
    </row>
    <row r="70" spans="1:4">
      <c r="A70" s="115">
        <v>13</v>
      </c>
      <c r="C70" t="s">
        <v>652</v>
      </c>
      <c r="D70" s="115" t="s">
        <v>717</v>
      </c>
    </row>
    <row r="71" spans="1:4">
      <c r="A71" s="115">
        <v>14</v>
      </c>
      <c r="B71" t="s">
        <v>654</v>
      </c>
      <c r="C71" t="s">
        <v>655</v>
      </c>
      <c r="D71" s="115" t="s">
        <v>717</v>
      </c>
    </row>
    <row r="72" spans="1:4">
      <c r="A72" s="115">
        <v>15</v>
      </c>
      <c r="B72" t="s">
        <v>733</v>
      </c>
      <c r="C72" t="s">
        <v>655</v>
      </c>
      <c r="D72" s="115" t="s">
        <v>717</v>
      </c>
    </row>
    <row r="73" spans="1:4">
      <c r="A73" s="115">
        <v>16</v>
      </c>
      <c r="B73" t="s">
        <v>657</v>
      </c>
      <c r="C73" t="s">
        <v>655</v>
      </c>
      <c r="D73" s="115" t="s">
        <v>717</v>
      </c>
    </row>
    <row r="74" spans="1:4">
      <c r="A74" s="115">
        <v>17</v>
      </c>
      <c r="B74" t="s">
        <v>658</v>
      </c>
      <c r="C74" t="s">
        <v>659</v>
      </c>
      <c r="D74" s="115" t="s">
        <v>566</v>
      </c>
    </row>
    <row r="75" spans="1:4">
      <c r="A75" s="115">
        <v>18</v>
      </c>
      <c r="B75" t="s">
        <v>734</v>
      </c>
      <c r="C75" t="s">
        <v>661</v>
      </c>
      <c r="D75" s="115" t="s">
        <v>566</v>
      </c>
    </row>
    <row r="76" spans="1:4">
      <c r="A76" s="115">
        <v>19</v>
      </c>
      <c r="B76" t="s">
        <v>735</v>
      </c>
      <c r="C76" t="s">
        <v>661</v>
      </c>
      <c r="D76" s="115" t="s">
        <v>566</v>
      </c>
    </row>
    <row r="77" spans="1:4">
      <c r="A77" s="115">
        <v>20</v>
      </c>
      <c r="B77" t="s">
        <v>662</v>
      </c>
      <c r="C77" t="s">
        <v>663</v>
      </c>
      <c r="D77" s="115" t="s">
        <v>566</v>
      </c>
    </row>
    <row r="78" spans="1:4">
      <c r="A78" s="115">
        <v>21</v>
      </c>
      <c r="B78" t="s">
        <v>664</v>
      </c>
      <c r="C78" t="s">
        <v>663</v>
      </c>
      <c r="D78" s="115" t="s">
        <v>566</v>
      </c>
    </row>
    <row r="79" spans="1:4">
      <c r="A79" s="115">
        <v>22</v>
      </c>
      <c r="B79" t="s">
        <v>736</v>
      </c>
      <c r="C79" t="s">
        <v>666</v>
      </c>
      <c r="D79" s="115" t="s">
        <v>729</v>
      </c>
    </row>
    <row r="80" spans="1:4">
      <c r="A80" s="115">
        <v>23</v>
      </c>
      <c r="B80" t="s">
        <v>669</v>
      </c>
      <c r="C80" t="s">
        <v>666</v>
      </c>
      <c r="D80" s="115" t="s">
        <v>737</v>
      </c>
    </row>
    <row r="81" spans="1:4">
      <c r="A81" s="115">
        <v>24</v>
      </c>
      <c r="C81" t="s">
        <v>666</v>
      </c>
      <c r="D81" s="115" t="s">
        <v>738</v>
      </c>
    </row>
    <row r="82" spans="1:4">
      <c r="A82" s="115">
        <v>25</v>
      </c>
      <c r="B82" t="s">
        <v>676</v>
      </c>
      <c r="C82" t="s">
        <v>677</v>
      </c>
      <c r="D82" s="115" t="s">
        <v>739</v>
      </c>
    </row>
    <row r="83" spans="1:4">
      <c r="A83" s="115">
        <v>26</v>
      </c>
      <c r="B83" t="s">
        <v>679</v>
      </c>
      <c r="C83" t="s">
        <v>677</v>
      </c>
      <c r="D83" s="115" t="s">
        <v>739</v>
      </c>
    </row>
    <row r="84" spans="1:4">
      <c r="A84" s="115">
        <v>27</v>
      </c>
      <c r="B84" t="s">
        <v>680</v>
      </c>
      <c r="C84" t="s">
        <v>677</v>
      </c>
      <c r="D84" s="115" t="s">
        <v>739</v>
      </c>
    </row>
    <row r="85" spans="1:4">
      <c r="A85" s="115">
        <v>28</v>
      </c>
      <c r="B85" t="s">
        <v>681</v>
      </c>
      <c r="C85" t="s">
        <v>677</v>
      </c>
      <c r="D85" s="115" t="s">
        <v>739</v>
      </c>
    </row>
    <row r="86" spans="1:4">
      <c r="A86" s="115">
        <v>29</v>
      </c>
      <c r="B86" t="s">
        <v>682</v>
      </c>
      <c r="C86" t="s">
        <v>677</v>
      </c>
      <c r="D86" s="115" t="s">
        <v>739</v>
      </c>
    </row>
    <row r="87" spans="1:4">
      <c r="A87" s="115">
        <v>30</v>
      </c>
      <c r="B87" t="s">
        <v>683</v>
      </c>
      <c r="C87" t="s">
        <v>677</v>
      </c>
      <c r="D87" s="115" t="s">
        <v>739</v>
      </c>
    </row>
    <row r="88" spans="1:4">
      <c r="A88" s="115">
        <v>31</v>
      </c>
      <c r="B88" t="s">
        <v>740</v>
      </c>
      <c r="C88" t="s">
        <v>677</v>
      </c>
      <c r="D88" s="115" t="s">
        <v>739</v>
      </c>
    </row>
    <row r="89" spans="1:4">
      <c r="A89" s="115">
        <v>32</v>
      </c>
      <c r="B89" t="s">
        <v>684</v>
      </c>
      <c r="C89" t="s">
        <v>677</v>
      </c>
      <c r="D89" s="115" t="s">
        <v>739</v>
      </c>
    </row>
    <row r="90" spans="1:4">
      <c r="A90" s="115">
        <v>33</v>
      </c>
      <c r="B90" t="s">
        <v>685</v>
      </c>
      <c r="C90" t="s">
        <v>677</v>
      </c>
      <c r="D90" s="115" t="s">
        <v>739</v>
      </c>
    </row>
    <row r="91" spans="1:4">
      <c r="A91" s="115">
        <v>34</v>
      </c>
      <c r="B91" t="s">
        <v>741</v>
      </c>
      <c r="C91" t="s">
        <v>687</v>
      </c>
      <c r="D91" s="115" t="s">
        <v>742</v>
      </c>
    </row>
    <row r="92" spans="1:4">
      <c r="A92" s="115">
        <v>35</v>
      </c>
      <c r="B92" t="s">
        <v>686</v>
      </c>
      <c r="C92" t="s">
        <v>687</v>
      </c>
      <c r="D92" s="115" t="s">
        <v>742</v>
      </c>
    </row>
    <row r="93" spans="1:4">
      <c r="A93" s="115">
        <v>36</v>
      </c>
      <c r="B93" t="s">
        <v>689</v>
      </c>
      <c r="C93" t="s">
        <v>687</v>
      </c>
      <c r="D93" s="115" t="s">
        <v>742</v>
      </c>
    </row>
    <row r="94" spans="1:4">
      <c r="A94" s="115">
        <v>37</v>
      </c>
      <c r="B94" t="s">
        <v>690</v>
      </c>
      <c r="C94" t="s">
        <v>687</v>
      </c>
      <c r="D94" s="115" t="s">
        <v>742</v>
      </c>
    </row>
    <row r="95" spans="1:4">
      <c r="A95" s="115">
        <v>38</v>
      </c>
      <c r="B95" t="s">
        <v>691</v>
      </c>
      <c r="C95" t="s">
        <v>687</v>
      </c>
      <c r="D95" s="115" t="s">
        <v>742</v>
      </c>
    </row>
    <row r="96" spans="1:4">
      <c r="A96" s="115">
        <v>39</v>
      </c>
      <c r="B96" t="s">
        <v>692</v>
      </c>
      <c r="C96" t="s">
        <v>687</v>
      </c>
      <c r="D96" s="115" t="s">
        <v>742</v>
      </c>
    </row>
    <row r="97" spans="1:4">
      <c r="A97" s="115">
        <v>40</v>
      </c>
      <c r="B97" t="s">
        <v>693</v>
      </c>
      <c r="C97" t="s">
        <v>687</v>
      </c>
      <c r="D97" s="115" t="s">
        <v>743</v>
      </c>
    </row>
    <row r="98" spans="1:4">
      <c r="A98" s="115">
        <v>41</v>
      </c>
      <c r="B98" t="s">
        <v>695</v>
      </c>
      <c r="C98" t="s">
        <v>687</v>
      </c>
      <c r="D98" s="115" t="s">
        <v>743</v>
      </c>
    </row>
    <row r="99" spans="1:4">
      <c r="A99" s="115">
        <v>42</v>
      </c>
      <c r="B99" t="s">
        <v>696</v>
      </c>
      <c r="C99" t="s">
        <v>687</v>
      </c>
      <c r="D99" s="115" t="s">
        <v>743</v>
      </c>
    </row>
    <row r="100" spans="1:4">
      <c r="A100" s="115"/>
      <c r="C100" t="s">
        <v>744</v>
      </c>
      <c r="D100" s="115"/>
    </row>
    <row r="101" spans="1:4">
      <c r="A101" s="115"/>
      <c r="D101" s="115"/>
    </row>
    <row r="102" spans="1:4">
      <c r="A102" s="115"/>
      <c r="B102" t="s">
        <v>745</v>
      </c>
      <c r="D102" s="115"/>
    </row>
    <row r="103" spans="1:4">
      <c r="A103" s="115">
        <v>1</v>
      </c>
      <c r="B103" t="s">
        <v>746</v>
      </c>
      <c r="C103" t="s">
        <v>747</v>
      </c>
      <c r="D103" s="115"/>
    </row>
    <row r="104" spans="1:4">
      <c r="A104" s="115">
        <v>2</v>
      </c>
      <c r="B104" t="s">
        <v>748</v>
      </c>
      <c r="C104" t="s">
        <v>747</v>
      </c>
      <c r="D104" s="115"/>
    </row>
    <row r="105" spans="1:4">
      <c r="A105" s="115">
        <v>3</v>
      </c>
      <c r="B105" t="s">
        <v>749</v>
      </c>
      <c r="C105" t="s">
        <v>747</v>
      </c>
      <c r="D105" s="115"/>
    </row>
    <row r="106" spans="1:4">
      <c r="A106" s="115">
        <v>4</v>
      </c>
      <c r="B106" t="s">
        <v>750</v>
      </c>
      <c r="C106" t="s">
        <v>751</v>
      </c>
      <c r="D106" s="115"/>
    </row>
    <row r="107" spans="1:4">
      <c r="A107" s="115">
        <v>5</v>
      </c>
      <c r="B107" t="s">
        <v>670</v>
      </c>
      <c r="C107" t="s">
        <v>752</v>
      </c>
      <c r="D107" s="115"/>
    </row>
    <row r="108" spans="1:4">
      <c r="A108" s="115">
        <v>6</v>
      </c>
      <c r="B108" t="s">
        <v>753</v>
      </c>
      <c r="C108" t="s">
        <v>752</v>
      </c>
      <c r="D108" s="115"/>
    </row>
    <row r="109" spans="1:4">
      <c r="A109" s="115">
        <v>7</v>
      </c>
      <c r="B109" t="s">
        <v>754</v>
      </c>
      <c r="C109" t="s">
        <v>752</v>
      </c>
      <c r="D109" s="115"/>
    </row>
    <row r="110" spans="1:4">
      <c r="A110" s="115">
        <v>8</v>
      </c>
      <c r="B110" t="s">
        <v>755</v>
      </c>
      <c r="C110" t="s">
        <v>756</v>
      </c>
      <c r="D110" s="115"/>
    </row>
    <row r="111" spans="1:4">
      <c r="A111" s="115">
        <v>9</v>
      </c>
      <c r="B111" t="s">
        <v>757</v>
      </c>
      <c r="C111" t="s">
        <v>628</v>
      </c>
      <c r="D111" s="115"/>
    </row>
    <row r="112" spans="1:4">
      <c r="A112" s="115">
        <v>10</v>
      </c>
      <c r="B112" t="s">
        <v>758</v>
      </c>
      <c r="C112" t="s">
        <v>707</v>
      </c>
      <c r="D112" s="115"/>
    </row>
    <row r="113" spans="2:4">
      <c r="D113" s="115"/>
    </row>
    <row r="114" spans="2:4">
      <c r="D114" s="115"/>
    </row>
    <row r="115" spans="2:4">
      <c r="B115" t="s">
        <v>448</v>
      </c>
      <c r="D115" s="115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114"/>
  <sheetViews>
    <sheetView topLeftCell="A52" workbookViewId="0"/>
  </sheetViews>
  <sheetFormatPr defaultRowHeight="12.75"/>
  <cols>
    <col min="1" max="1" width="5.5703125" customWidth="1"/>
    <col min="2" max="2" width="32.85546875" customWidth="1"/>
    <col min="3" max="3" width="30.85546875" customWidth="1"/>
    <col min="4" max="4" width="10.85546875" customWidth="1"/>
    <col min="5" max="5" width="15.5703125" customWidth="1"/>
  </cols>
  <sheetData>
    <row r="1" spans="1:5" ht="25.5">
      <c r="A1" s="104" t="s">
        <v>1</v>
      </c>
      <c r="B1" s="104" t="s">
        <v>525</v>
      </c>
      <c r="C1" s="105" t="s">
        <v>759</v>
      </c>
      <c r="D1" s="106" t="s">
        <v>760</v>
      </c>
      <c r="E1" s="105" t="s">
        <v>117</v>
      </c>
    </row>
    <row r="2" spans="1:5">
      <c r="A2" s="95">
        <v>1</v>
      </c>
      <c r="B2" s="61" t="s">
        <v>526</v>
      </c>
      <c r="C2" s="61" t="s">
        <v>527</v>
      </c>
      <c r="D2" s="61" t="s">
        <v>528</v>
      </c>
      <c r="E2" s="107">
        <v>250000</v>
      </c>
    </row>
    <row r="3" spans="1:5">
      <c r="A3" s="95">
        <v>2</v>
      </c>
      <c r="B3" s="61" t="s">
        <v>710</v>
      </c>
      <c r="C3" s="61" t="s">
        <v>533</v>
      </c>
      <c r="D3" s="61" t="s">
        <v>577</v>
      </c>
      <c r="E3" s="107">
        <v>100000</v>
      </c>
    </row>
    <row r="4" spans="1:5">
      <c r="A4" s="95">
        <v>3</v>
      </c>
      <c r="B4" s="61" t="s">
        <v>529</v>
      </c>
      <c r="C4" s="61" t="s">
        <v>530</v>
      </c>
      <c r="D4" s="61" t="s">
        <v>531</v>
      </c>
      <c r="E4" s="107">
        <v>100000</v>
      </c>
    </row>
    <row r="5" spans="1:5">
      <c r="A5" s="95">
        <v>4</v>
      </c>
      <c r="B5" s="61" t="s">
        <v>534</v>
      </c>
      <c r="C5" s="61" t="s">
        <v>535</v>
      </c>
      <c r="D5" s="61" t="s">
        <v>536</v>
      </c>
      <c r="E5" s="107">
        <v>75000</v>
      </c>
    </row>
    <row r="6" spans="1:5">
      <c r="A6" s="95">
        <v>5</v>
      </c>
      <c r="B6" s="61" t="s">
        <v>711</v>
      </c>
      <c r="C6" s="61" t="s">
        <v>579</v>
      </c>
      <c r="D6" s="61" t="s">
        <v>539</v>
      </c>
      <c r="E6" s="107">
        <v>75000</v>
      </c>
    </row>
    <row r="7" spans="1:5">
      <c r="A7" s="95">
        <v>6</v>
      </c>
      <c r="B7" s="61" t="s">
        <v>540</v>
      </c>
      <c r="C7" s="61" t="s">
        <v>541</v>
      </c>
      <c r="D7" s="61" t="s">
        <v>712</v>
      </c>
      <c r="E7" s="107">
        <v>50000</v>
      </c>
    </row>
    <row r="8" spans="1:5">
      <c r="A8" s="95">
        <v>7</v>
      </c>
      <c r="B8" s="61" t="s">
        <v>713</v>
      </c>
      <c r="C8" s="61" t="s">
        <v>714</v>
      </c>
      <c r="D8" s="61" t="s">
        <v>561</v>
      </c>
      <c r="E8" s="107">
        <v>30000</v>
      </c>
    </row>
    <row r="9" spans="1:5">
      <c r="A9" s="95">
        <v>8</v>
      </c>
      <c r="B9" s="61" t="s">
        <v>551</v>
      </c>
      <c r="C9" s="61" t="s">
        <v>552</v>
      </c>
      <c r="D9" s="61" t="s">
        <v>561</v>
      </c>
      <c r="E9" s="107">
        <v>30000</v>
      </c>
    </row>
    <row r="10" spans="1:5">
      <c r="A10" s="95">
        <v>9</v>
      </c>
      <c r="B10" s="61" t="s">
        <v>553</v>
      </c>
      <c r="C10" s="61" t="s">
        <v>554</v>
      </c>
      <c r="D10" s="61" t="s">
        <v>561</v>
      </c>
      <c r="E10" s="107">
        <v>30000</v>
      </c>
    </row>
    <row r="11" spans="1:5">
      <c r="A11" s="95">
        <v>10</v>
      </c>
      <c r="B11" s="61" t="s">
        <v>556</v>
      </c>
      <c r="C11" s="61" t="s">
        <v>715</v>
      </c>
      <c r="D11" s="61" t="s">
        <v>561</v>
      </c>
      <c r="E11" s="107">
        <v>30000</v>
      </c>
    </row>
    <row r="12" spans="1:5">
      <c r="A12" s="95">
        <v>11</v>
      </c>
      <c r="B12" s="61" t="s">
        <v>562</v>
      </c>
      <c r="C12" s="61" t="s">
        <v>563</v>
      </c>
      <c r="D12" s="61" t="s">
        <v>561</v>
      </c>
      <c r="E12" s="107">
        <v>30000</v>
      </c>
    </row>
    <row r="13" spans="1:5">
      <c r="A13" s="95">
        <v>12</v>
      </c>
      <c r="B13" s="61" t="s">
        <v>564</v>
      </c>
      <c r="C13" s="61" t="s">
        <v>565</v>
      </c>
      <c r="D13" s="61" t="s">
        <v>717</v>
      </c>
      <c r="E13" s="107">
        <v>30000</v>
      </c>
    </row>
    <row r="14" spans="1:5">
      <c r="A14" s="95">
        <v>13</v>
      </c>
      <c r="B14" s="61" t="s">
        <v>567</v>
      </c>
      <c r="C14" s="61" t="s">
        <v>568</v>
      </c>
      <c r="D14" s="61" t="s">
        <v>566</v>
      </c>
      <c r="E14" s="107">
        <v>30000</v>
      </c>
    </row>
    <row r="15" spans="1:5">
      <c r="A15" s="95">
        <v>14</v>
      </c>
      <c r="B15" s="61" t="s">
        <v>569</v>
      </c>
      <c r="C15" s="61" t="s">
        <v>570</v>
      </c>
      <c r="D15" s="61" t="s">
        <v>717</v>
      </c>
      <c r="E15" s="107">
        <v>30000</v>
      </c>
    </row>
    <row r="16" spans="1:5">
      <c r="A16" s="95">
        <v>15</v>
      </c>
      <c r="B16" s="61" t="s">
        <v>571</v>
      </c>
      <c r="C16" s="61" t="s">
        <v>572</v>
      </c>
      <c r="D16" s="61" t="s">
        <v>717</v>
      </c>
      <c r="E16" s="107">
        <v>30000</v>
      </c>
    </row>
    <row r="17" spans="1:5">
      <c r="A17" s="95"/>
      <c r="B17" s="104" t="s">
        <v>84</v>
      </c>
      <c r="C17" s="104"/>
      <c r="D17" s="104"/>
      <c r="E17" s="108">
        <f>SUM(E2:E16)</f>
        <v>920000</v>
      </c>
    </row>
    <row r="18" spans="1:5">
      <c r="A18" s="95"/>
      <c r="B18" s="61"/>
      <c r="C18" s="61"/>
      <c r="D18" s="61"/>
      <c r="E18" s="107"/>
    </row>
    <row r="19" spans="1:5">
      <c r="A19" s="95"/>
      <c r="B19" s="61"/>
      <c r="C19" s="61"/>
      <c r="D19" s="61"/>
      <c r="E19" s="107"/>
    </row>
    <row r="20" spans="1:5">
      <c r="A20" s="95"/>
      <c r="B20" s="104" t="s">
        <v>574</v>
      </c>
      <c r="C20" s="61"/>
      <c r="D20" s="61"/>
      <c r="E20" s="107"/>
    </row>
    <row r="21" spans="1:5">
      <c r="A21" s="95">
        <v>1</v>
      </c>
      <c r="B21" s="61" t="s">
        <v>718</v>
      </c>
      <c r="C21" s="61" t="s">
        <v>719</v>
      </c>
      <c r="D21" s="61" t="s">
        <v>632</v>
      </c>
      <c r="E21" s="107">
        <v>200000</v>
      </c>
    </row>
    <row r="22" spans="1:5">
      <c r="A22" s="95">
        <v>2</v>
      </c>
      <c r="B22" s="61" t="s">
        <v>575</v>
      </c>
      <c r="C22" s="61" t="s">
        <v>576</v>
      </c>
      <c r="D22" s="61" t="s">
        <v>577</v>
      </c>
      <c r="E22" s="107">
        <v>100000</v>
      </c>
    </row>
    <row r="23" spans="1:5">
      <c r="A23" s="95">
        <v>3</v>
      </c>
      <c r="B23" s="61" t="s">
        <v>578</v>
      </c>
      <c r="C23" s="61" t="s">
        <v>579</v>
      </c>
      <c r="D23" s="61" t="s">
        <v>712</v>
      </c>
      <c r="E23" s="107">
        <v>50000</v>
      </c>
    </row>
    <row r="24" spans="1:5">
      <c r="A24" s="95">
        <v>4</v>
      </c>
      <c r="B24" s="61" t="s">
        <v>581</v>
      </c>
      <c r="C24" s="61" t="s">
        <v>582</v>
      </c>
      <c r="D24" s="61" t="s">
        <v>561</v>
      </c>
      <c r="E24" s="107">
        <v>30000</v>
      </c>
    </row>
    <row r="25" spans="1:5">
      <c r="A25" s="95">
        <v>5</v>
      </c>
      <c r="B25" s="61" t="s">
        <v>583</v>
      </c>
      <c r="C25" s="61" t="s">
        <v>582</v>
      </c>
      <c r="D25" s="61" t="s">
        <v>561</v>
      </c>
      <c r="E25" s="107">
        <v>30000</v>
      </c>
    </row>
    <row r="26" spans="1:5">
      <c r="A26" s="95">
        <v>6</v>
      </c>
      <c r="B26" s="61" t="s">
        <v>584</v>
      </c>
      <c r="C26" s="61" t="s">
        <v>582</v>
      </c>
      <c r="D26" s="61" t="s">
        <v>566</v>
      </c>
      <c r="E26" s="107">
        <v>30000</v>
      </c>
    </row>
    <row r="27" spans="1:5">
      <c r="A27" s="95"/>
      <c r="B27" s="104" t="s">
        <v>84</v>
      </c>
      <c r="C27" s="104"/>
      <c r="D27" s="104"/>
      <c r="E27" s="108">
        <f>SUM(E21:E26)</f>
        <v>440000</v>
      </c>
    </row>
    <row r="28" spans="1:5">
      <c r="A28" s="95"/>
      <c r="B28" s="61"/>
      <c r="C28" s="61"/>
      <c r="D28" s="61"/>
      <c r="E28" s="107"/>
    </row>
    <row r="29" spans="1:5">
      <c r="A29" s="95"/>
      <c r="B29" s="104" t="s">
        <v>586</v>
      </c>
      <c r="C29" s="61"/>
      <c r="D29" s="61"/>
      <c r="E29" s="107"/>
    </row>
    <row r="30" spans="1:5">
      <c r="A30" s="95">
        <v>1</v>
      </c>
      <c r="B30" s="61" t="s">
        <v>587</v>
      </c>
      <c r="C30" s="61" t="s">
        <v>588</v>
      </c>
      <c r="D30" s="61" t="s">
        <v>589</v>
      </c>
      <c r="E30" s="107">
        <v>200000</v>
      </c>
    </row>
    <row r="31" spans="1:5">
      <c r="A31" s="95">
        <v>2</v>
      </c>
      <c r="B31" s="61" t="s">
        <v>590</v>
      </c>
      <c r="C31" s="61" t="s">
        <v>591</v>
      </c>
      <c r="D31" s="61" t="s">
        <v>577</v>
      </c>
      <c r="E31" s="107">
        <v>100000</v>
      </c>
    </row>
    <row r="32" spans="1:5">
      <c r="A32" s="95">
        <v>3</v>
      </c>
      <c r="B32" s="61" t="s">
        <v>592</v>
      </c>
      <c r="C32" s="61" t="s">
        <v>593</v>
      </c>
      <c r="D32" s="61" t="s">
        <v>536</v>
      </c>
      <c r="E32" s="107">
        <v>75000</v>
      </c>
    </row>
    <row r="33" spans="1:5">
      <c r="A33" s="95">
        <v>4</v>
      </c>
      <c r="B33" s="61" t="s">
        <v>720</v>
      </c>
      <c r="C33" s="61" t="s">
        <v>721</v>
      </c>
      <c r="D33" s="61" t="s">
        <v>542</v>
      </c>
      <c r="E33" s="107">
        <v>75000</v>
      </c>
    </row>
    <row r="34" spans="1:5">
      <c r="A34" s="95">
        <v>5</v>
      </c>
      <c r="B34" s="61" t="s">
        <v>722</v>
      </c>
      <c r="C34" s="61" t="s">
        <v>723</v>
      </c>
      <c r="D34" s="61" t="s">
        <v>603</v>
      </c>
      <c r="E34" s="107">
        <v>50000</v>
      </c>
    </row>
    <row r="35" spans="1:5">
      <c r="A35" s="95">
        <v>6</v>
      </c>
      <c r="B35" s="61" t="s">
        <v>598</v>
      </c>
      <c r="C35" s="61" t="s">
        <v>599</v>
      </c>
      <c r="D35" s="61" t="s">
        <v>603</v>
      </c>
      <c r="E35" s="107">
        <v>50000</v>
      </c>
    </row>
    <row r="36" spans="1:5">
      <c r="A36" s="95">
        <v>7</v>
      </c>
      <c r="B36" s="61" t="s">
        <v>601</v>
      </c>
      <c r="C36" s="61" t="s">
        <v>602</v>
      </c>
      <c r="D36" s="61" t="s">
        <v>724</v>
      </c>
      <c r="E36" s="107">
        <v>50000</v>
      </c>
    </row>
    <row r="37" spans="1:5">
      <c r="A37" s="95">
        <v>8</v>
      </c>
      <c r="B37" s="61" t="s">
        <v>604</v>
      </c>
      <c r="C37" s="61" t="s">
        <v>605</v>
      </c>
      <c r="D37" s="61" t="s">
        <v>724</v>
      </c>
      <c r="E37" s="107">
        <v>50000</v>
      </c>
    </row>
    <row r="38" spans="1:5">
      <c r="A38" s="95">
        <v>9</v>
      </c>
      <c r="B38" s="61" t="s">
        <v>606</v>
      </c>
      <c r="C38" s="61" t="s">
        <v>602</v>
      </c>
      <c r="D38" s="61" t="s">
        <v>724</v>
      </c>
      <c r="E38" s="107">
        <v>50000</v>
      </c>
    </row>
    <row r="39" spans="1:5">
      <c r="A39" s="95">
        <v>10</v>
      </c>
      <c r="B39" s="61" t="s">
        <v>607</v>
      </c>
      <c r="C39" s="61" t="s">
        <v>579</v>
      </c>
      <c r="D39" s="61" t="s">
        <v>712</v>
      </c>
      <c r="E39" s="107">
        <v>50000</v>
      </c>
    </row>
    <row r="40" spans="1:5">
      <c r="A40" s="95">
        <v>11</v>
      </c>
      <c r="B40" s="61" t="s">
        <v>609</v>
      </c>
      <c r="C40" s="61" t="s">
        <v>579</v>
      </c>
      <c r="D40" s="61" t="s">
        <v>547</v>
      </c>
      <c r="E40" s="107">
        <v>50000</v>
      </c>
    </row>
    <row r="41" spans="1:5">
      <c r="A41" s="95">
        <v>12</v>
      </c>
      <c r="B41" s="61" t="s">
        <v>610</v>
      </c>
      <c r="C41" s="61" t="s">
        <v>611</v>
      </c>
      <c r="D41" s="61" t="s">
        <v>724</v>
      </c>
      <c r="E41" s="107">
        <v>50000</v>
      </c>
    </row>
    <row r="42" spans="1:5">
      <c r="A42" s="95">
        <v>13</v>
      </c>
      <c r="B42" s="61" t="s">
        <v>612</v>
      </c>
      <c r="C42" s="61" t="s">
        <v>579</v>
      </c>
      <c r="D42" s="61" t="s">
        <v>550</v>
      </c>
      <c r="E42" s="107">
        <v>50000</v>
      </c>
    </row>
    <row r="43" spans="1:5">
      <c r="A43" s="95">
        <v>14</v>
      </c>
      <c r="B43" s="61" t="s">
        <v>613</v>
      </c>
      <c r="C43" s="61" t="s">
        <v>579</v>
      </c>
      <c r="D43" s="61" t="s">
        <v>550</v>
      </c>
      <c r="E43" s="107">
        <v>50000</v>
      </c>
    </row>
    <row r="44" spans="1:5">
      <c r="A44" s="95">
        <v>15</v>
      </c>
      <c r="B44" s="61" t="s">
        <v>761</v>
      </c>
      <c r="C44" s="61" t="s">
        <v>579</v>
      </c>
      <c r="D44" s="61" t="s">
        <v>550</v>
      </c>
      <c r="E44" s="107">
        <v>50000</v>
      </c>
    </row>
    <row r="45" spans="1:5">
      <c r="A45" s="95">
        <v>16</v>
      </c>
      <c r="B45" s="61" t="s">
        <v>614</v>
      </c>
      <c r="C45" s="61" t="s">
        <v>579</v>
      </c>
      <c r="D45" s="61" t="s">
        <v>550</v>
      </c>
      <c r="E45" s="107">
        <v>50000</v>
      </c>
    </row>
    <row r="46" spans="1:5">
      <c r="A46" s="95">
        <v>17</v>
      </c>
      <c r="B46" s="61" t="s">
        <v>615</v>
      </c>
      <c r="C46" s="61" t="s">
        <v>616</v>
      </c>
      <c r="D46" s="61" t="s">
        <v>550</v>
      </c>
      <c r="E46" s="107">
        <v>50000</v>
      </c>
    </row>
    <row r="47" spans="1:5">
      <c r="A47" s="95">
        <v>18</v>
      </c>
      <c r="B47" s="61" t="s">
        <v>617</v>
      </c>
      <c r="C47" s="61" t="s">
        <v>618</v>
      </c>
      <c r="D47" s="61" t="s">
        <v>561</v>
      </c>
      <c r="E47" s="107">
        <v>30000</v>
      </c>
    </row>
    <row r="48" spans="1:5">
      <c r="A48" s="95">
        <v>19</v>
      </c>
      <c r="B48" s="61" t="s">
        <v>619</v>
      </c>
      <c r="C48" s="61" t="s">
        <v>582</v>
      </c>
      <c r="D48" s="61" t="s">
        <v>561</v>
      </c>
      <c r="E48" s="107">
        <v>30000</v>
      </c>
    </row>
    <row r="49" spans="1:5">
      <c r="A49" s="95">
        <v>20</v>
      </c>
      <c r="B49" s="61" t="s">
        <v>620</v>
      </c>
      <c r="C49" s="61" t="s">
        <v>621</v>
      </c>
      <c r="D49" s="61" t="s">
        <v>561</v>
      </c>
      <c r="E49" s="107">
        <v>30000</v>
      </c>
    </row>
    <row r="50" spans="1:5">
      <c r="A50" s="95">
        <v>21</v>
      </c>
      <c r="B50" s="61" t="s">
        <v>622</v>
      </c>
      <c r="C50" s="61" t="s">
        <v>582</v>
      </c>
      <c r="D50" s="61" t="s">
        <v>566</v>
      </c>
      <c r="E50" s="107">
        <v>30000</v>
      </c>
    </row>
    <row r="51" spans="1:5">
      <c r="A51" s="95">
        <v>22</v>
      </c>
      <c r="B51" s="61" t="s">
        <v>727</v>
      </c>
      <c r="C51" s="61" t="s">
        <v>624</v>
      </c>
      <c r="D51" s="61" t="s">
        <v>728</v>
      </c>
      <c r="E51" s="107">
        <v>30000</v>
      </c>
    </row>
    <row r="52" spans="1:5">
      <c r="A52" s="95">
        <v>23</v>
      </c>
      <c r="B52" s="61" t="s">
        <v>623</v>
      </c>
      <c r="C52" s="61" t="s">
        <v>624</v>
      </c>
      <c r="D52" s="61" t="s">
        <v>729</v>
      </c>
      <c r="E52" s="107">
        <v>30000</v>
      </c>
    </row>
    <row r="53" spans="1:5">
      <c r="A53" s="95">
        <v>24</v>
      </c>
      <c r="B53" s="61" t="s">
        <v>626</v>
      </c>
      <c r="C53" s="61" t="s">
        <v>624</v>
      </c>
      <c r="D53" s="61" t="s">
        <v>729</v>
      </c>
      <c r="E53" s="107">
        <v>30000</v>
      </c>
    </row>
    <row r="54" spans="1:5">
      <c r="A54" s="95">
        <v>25</v>
      </c>
      <c r="B54" s="61" t="s">
        <v>627</v>
      </c>
      <c r="C54" s="61" t="s">
        <v>628</v>
      </c>
      <c r="D54" s="61" t="s">
        <v>566</v>
      </c>
      <c r="E54" s="107">
        <v>30000</v>
      </c>
    </row>
    <row r="55" spans="1:5">
      <c r="A55" s="95"/>
      <c r="B55" s="104" t="s">
        <v>84</v>
      </c>
      <c r="C55" s="104"/>
      <c r="D55" s="104"/>
      <c r="E55" s="108">
        <f>SUM(E30:E54)</f>
        <v>1340000</v>
      </c>
    </row>
    <row r="56" spans="1:5">
      <c r="A56" s="109"/>
      <c r="B56" s="110"/>
      <c r="C56" s="110"/>
      <c r="D56" s="110"/>
      <c r="E56" s="111"/>
    </row>
    <row r="57" spans="1:5">
      <c r="A57" s="109"/>
      <c r="B57" s="110"/>
      <c r="C57" s="110"/>
      <c r="D57" s="110"/>
      <c r="E57" s="111"/>
    </row>
    <row r="58" spans="1:5">
      <c r="A58" s="109"/>
      <c r="E58" s="112"/>
    </row>
    <row r="59" spans="1:5">
      <c r="A59" s="95"/>
      <c r="B59" s="104" t="s">
        <v>629</v>
      </c>
      <c r="C59" s="61"/>
      <c r="D59" s="61"/>
      <c r="E59" s="107"/>
    </row>
    <row r="60" spans="1:5">
      <c r="A60" s="95">
        <v>1</v>
      </c>
      <c r="B60" s="61" t="s">
        <v>630</v>
      </c>
      <c r="C60" s="61" t="s">
        <v>631</v>
      </c>
      <c r="D60" s="61" t="s">
        <v>632</v>
      </c>
      <c r="E60" s="107">
        <v>200000</v>
      </c>
    </row>
    <row r="61" spans="1:5">
      <c r="A61" s="95">
        <v>2</v>
      </c>
      <c r="B61" s="61" t="s">
        <v>633</v>
      </c>
      <c r="C61" s="61" t="s">
        <v>634</v>
      </c>
      <c r="D61" s="61" t="s">
        <v>577</v>
      </c>
      <c r="E61" s="107">
        <v>100000</v>
      </c>
    </row>
    <row r="62" spans="1:5">
      <c r="A62" s="95">
        <v>3</v>
      </c>
      <c r="B62" s="61" t="s">
        <v>635</v>
      </c>
      <c r="C62" s="61" t="s">
        <v>636</v>
      </c>
      <c r="D62" s="61" t="s">
        <v>577</v>
      </c>
      <c r="E62" s="107">
        <v>100000</v>
      </c>
    </row>
    <row r="63" spans="1:5">
      <c r="A63" s="95">
        <v>4</v>
      </c>
      <c r="B63" s="61" t="s">
        <v>637</v>
      </c>
      <c r="C63" s="61" t="s">
        <v>638</v>
      </c>
      <c r="D63" s="61" t="s">
        <v>536</v>
      </c>
      <c r="E63" s="107">
        <v>75000</v>
      </c>
    </row>
    <row r="64" spans="1:5">
      <c r="A64" s="95">
        <v>5</v>
      </c>
      <c r="B64" s="61" t="s">
        <v>730</v>
      </c>
      <c r="C64" s="61" t="s">
        <v>731</v>
      </c>
      <c r="D64" s="61" t="s">
        <v>536</v>
      </c>
      <c r="E64" s="107">
        <v>75000</v>
      </c>
    </row>
    <row r="65" spans="1:5">
      <c r="A65" s="95">
        <v>6</v>
      </c>
      <c r="B65" s="61" t="s">
        <v>639</v>
      </c>
      <c r="C65" s="61" t="s">
        <v>640</v>
      </c>
      <c r="D65" s="61" t="s">
        <v>536</v>
      </c>
      <c r="E65" s="107">
        <v>75000</v>
      </c>
    </row>
    <row r="66" spans="1:5">
      <c r="A66" s="95">
        <v>7</v>
      </c>
      <c r="B66" s="61" t="s">
        <v>641</v>
      </c>
      <c r="C66" s="61" t="s">
        <v>642</v>
      </c>
      <c r="D66" s="61" t="s">
        <v>712</v>
      </c>
      <c r="E66" s="107">
        <v>50000</v>
      </c>
    </row>
    <row r="67" spans="1:5">
      <c r="A67" s="95">
        <v>8</v>
      </c>
      <c r="B67" s="61" t="s">
        <v>643</v>
      </c>
      <c r="C67" s="61" t="s">
        <v>644</v>
      </c>
      <c r="D67" s="61" t="s">
        <v>561</v>
      </c>
      <c r="E67" s="107">
        <v>30000</v>
      </c>
    </row>
    <row r="68" spans="1:5">
      <c r="A68" s="95">
        <v>9</v>
      </c>
      <c r="B68" s="61" t="s">
        <v>645</v>
      </c>
      <c r="C68" s="61" t="s">
        <v>646</v>
      </c>
      <c r="D68" s="61" t="s">
        <v>561</v>
      </c>
      <c r="E68" s="107">
        <v>30000</v>
      </c>
    </row>
    <row r="69" spans="1:5">
      <c r="A69" s="95">
        <v>10</v>
      </c>
      <c r="B69" s="61" t="s">
        <v>647</v>
      </c>
      <c r="C69" s="61" t="s">
        <v>648</v>
      </c>
      <c r="D69" s="61" t="s">
        <v>561</v>
      </c>
      <c r="E69" s="107">
        <v>30000</v>
      </c>
    </row>
    <row r="70" spans="1:5">
      <c r="A70" s="95">
        <v>11</v>
      </c>
      <c r="B70" s="61" t="s">
        <v>649</v>
      </c>
      <c r="C70" s="61" t="s">
        <v>650</v>
      </c>
      <c r="D70" s="61" t="s">
        <v>561</v>
      </c>
      <c r="E70" s="107">
        <v>30000</v>
      </c>
    </row>
    <row r="71" spans="1:5">
      <c r="A71" s="95">
        <v>12</v>
      </c>
      <c r="B71" s="61" t="s">
        <v>732</v>
      </c>
      <c r="C71" s="61" t="s">
        <v>652</v>
      </c>
      <c r="D71" s="61" t="s">
        <v>717</v>
      </c>
      <c r="E71" s="107">
        <v>30000</v>
      </c>
    </row>
    <row r="72" spans="1:5">
      <c r="A72" s="95">
        <v>13</v>
      </c>
      <c r="B72" s="61" t="s">
        <v>653</v>
      </c>
      <c r="C72" s="61" t="s">
        <v>652</v>
      </c>
      <c r="D72" s="61" t="s">
        <v>717</v>
      </c>
      <c r="E72" s="107">
        <v>30000</v>
      </c>
    </row>
    <row r="73" spans="1:5">
      <c r="A73" s="95">
        <v>14</v>
      </c>
      <c r="B73" s="61" t="s">
        <v>654</v>
      </c>
      <c r="C73" s="61" t="s">
        <v>655</v>
      </c>
      <c r="D73" s="61" t="s">
        <v>717</v>
      </c>
      <c r="E73" s="107">
        <v>30000</v>
      </c>
    </row>
    <row r="74" spans="1:5">
      <c r="A74" s="95">
        <v>15</v>
      </c>
      <c r="B74" s="61" t="s">
        <v>733</v>
      </c>
      <c r="C74" s="61" t="s">
        <v>655</v>
      </c>
      <c r="D74" s="61" t="s">
        <v>717</v>
      </c>
      <c r="E74" s="107">
        <v>30000</v>
      </c>
    </row>
    <row r="75" spans="1:5">
      <c r="A75" s="95">
        <v>16</v>
      </c>
      <c r="B75" s="61" t="s">
        <v>657</v>
      </c>
      <c r="C75" s="61" t="s">
        <v>655</v>
      </c>
      <c r="D75" s="61" t="s">
        <v>717</v>
      </c>
      <c r="E75" s="107">
        <v>30000</v>
      </c>
    </row>
    <row r="76" spans="1:5">
      <c r="A76" s="95">
        <v>17</v>
      </c>
      <c r="B76" s="61" t="s">
        <v>658</v>
      </c>
      <c r="C76" s="61" t="s">
        <v>659</v>
      </c>
      <c r="D76" s="61" t="s">
        <v>566</v>
      </c>
      <c r="E76" s="107">
        <v>30000</v>
      </c>
    </row>
    <row r="77" spans="1:5">
      <c r="A77" s="95">
        <v>18</v>
      </c>
      <c r="B77" s="61" t="s">
        <v>734</v>
      </c>
      <c r="C77" s="61" t="s">
        <v>661</v>
      </c>
      <c r="D77" s="61" t="s">
        <v>566</v>
      </c>
      <c r="E77" s="107">
        <v>30000</v>
      </c>
    </row>
    <row r="78" spans="1:5">
      <c r="A78" s="95">
        <v>19</v>
      </c>
      <c r="B78" s="61" t="s">
        <v>660</v>
      </c>
      <c r="C78" s="61" t="s">
        <v>661</v>
      </c>
      <c r="D78" s="61" t="s">
        <v>566</v>
      </c>
      <c r="E78" s="107">
        <v>30000</v>
      </c>
    </row>
    <row r="79" spans="1:5">
      <c r="A79" s="95">
        <v>20</v>
      </c>
      <c r="B79" s="61" t="s">
        <v>662</v>
      </c>
      <c r="C79" s="61" t="s">
        <v>663</v>
      </c>
      <c r="D79" s="61" t="s">
        <v>566</v>
      </c>
      <c r="E79" s="107">
        <v>30000</v>
      </c>
    </row>
    <row r="80" spans="1:5">
      <c r="A80" s="95">
        <v>21</v>
      </c>
      <c r="B80" s="61" t="s">
        <v>664</v>
      </c>
      <c r="C80" s="61" t="s">
        <v>663</v>
      </c>
      <c r="D80" s="61" t="s">
        <v>566</v>
      </c>
      <c r="E80" s="107">
        <v>30000</v>
      </c>
    </row>
    <row r="81" spans="1:5">
      <c r="A81" s="95">
        <v>22</v>
      </c>
      <c r="B81" s="61" t="s">
        <v>736</v>
      </c>
      <c r="C81" s="61" t="s">
        <v>666</v>
      </c>
      <c r="D81" s="61" t="s">
        <v>729</v>
      </c>
      <c r="E81" s="107">
        <v>30000</v>
      </c>
    </row>
    <row r="82" spans="1:5">
      <c r="A82" s="95">
        <v>23</v>
      </c>
      <c r="B82" s="61" t="s">
        <v>669</v>
      </c>
      <c r="C82" s="61" t="s">
        <v>666</v>
      </c>
      <c r="D82" s="61" t="s">
        <v>737</v>
      </c>
      <c r="E82" s="107">
        <v>30000</v>
      </c>
    </row>
    <row r="83" spans="1:5">
      <c r="A83" s="95">
        <v>24</v>
      </c>
      <c r="B83" s="61" t="s">
        <v>673</v>
      </c>
      <c r="C83" s="61" t="s">
        <v>666</v>
      </c>
      <c r="D83" s="61" t="s">
        <v>738</v>
      </c>
      <c r="E83" s="107">
        <v>30000</v>
      </c>
    </row>
    <row r="84" spans="1:5">
      <c r="A84" s="95">
        <v>25</v>
      </c>
      <c r="B84" s="61" t="s">
        <v>676</v>
      </c>
      <c r="C84" s="61" t="s">
        <v>677</v>
      </c>
      <c r="D84" s="61" t="s">
        <v>739</v>
      </c>
      <c r="E84" s="107">
        <v>20000</v>
      </c>
    </row>
    <row r="85" spans="1:5">
      <c r="A85" s="95">
        <v>26</v>
      </c>
      <c r="B85" s="61" t="s">
        <v>679</v>
      </c>
      <c r="C85" s="61" t="s">
        <v>677</v>
      </c>
      <c r="D85" s="61" t="s">
        <v>739</v>
      </c>
      <c r="E85" s="107">
        <v>20000</v>
      </c>
    </row>
    <row r="86" spans="1:5">
      <c r="A86" s="95">
        <v>27</v>
      </c>
      <c r="B86" s="61" t="s">
        <v>680</v>
      </c>
      <c r="C86" s="61" t="s">
        <v>677</v>
      </c>
      <c r="D86" s="61" t="s">
        <v>739</v>
      </c>
      <c r="E86" s="107">
        <v>20000</v>
      </c>
    </row>
    <row r="87" spans="1:5">
      <c r="A87" s="95">
        <v>28</v>
      </c>
      <c r="B87" s="61" t="s">
        <v>681</v>
      </c>
      <c r="C87" s="61" t="s">
        <v>677</v>
      </c>
      <c r="D87" s="61" t="s">
        <v>739</v>
      </c>
      <c r="E87" s="107">
        <v>20000</v>
      </c>
    </row>
    <row r="88" spans="1:5">
      <c r="A88" s="95">
        <v>29</v>
      </c>
      <c r="B88" s="61" t="s">
        <v>682</v>
      </c>
      <c r="C88" s="61" t="s">
        <v>677</v>
      </c>
      <c r="D88" s="61" t="s">
        <v>739</v>
      </c>
      <c r="E88" s="107">
        <v>20000</v>
      </c>
    </row>
    <row r="89" spans="1:5">
      <c r="A89" s="95">
        <v>30</v>
      </c>
      <c r="B89" s="61" t="s">
        <v>683</v>
      </c>
      <c r="C89" s="61" t="s">
        <v>677</v>
      </c>
      <c r="D89" s="61" t="s">
        <v>739</v>
      </c>
      <c r="E89" s="107">
        <v>20000</v>
      </c>
    </row>
    <row r="90" spans="1:5">
      <c r="A90" s="95">
        <v>31</v>
      </c>
      <c r="B90" s="61" t="s">
        <v>740</v>
      </c>
      <c r="C90" s="61" t="s">
        <v>677</v>
      </c>
      <c r="D90" s="61" t="s">
        <v>739</v>
      </c>
      <c r="E90" s="107">
        <v>20000</v>
      </c>
    </row>
    <row r="91" spans="1:5">
      <c r="A91" s="95">
        <v>32</v>
      </c>
      <c r="B91" s="61" t="s">
        <v>684</v>
      </c>
      <c r="C91" s="61" t="s">
        <v>677</v>
      </c>
      <c r="D91" s="61" t="s">
        <v>739</v>
      </c>
      <c r="E91" s="107">
        <v>20000</v>
      </c>
    </row>
    <row r="92" spans="1:5">
      <c r="A92" s="95">
        <v>33</v>
      </c>
      <c r="B92" s="61" t="s">
        <v>685</v>
      </c>
      <c r="C92" s="61" t="s">
        <v>677</v>
      </c>
      <c r="D92" s="61" t="s">
        <v>739</v>
      </c>
      <c r="E92" s="107">
        <v>20000</v>
      </c>
    </row>
    <row r="93" spans="1:5">
      <c r="A93" s="95">
        <v>34</v>
      </c>
      <c r="B93" s="61" t="s">
        <v>741</v>
      </c>
      <c r="C93" s="61" t="s">
        <v>687</v>
      </c>
      <c r="D93" s="61" t="s">
        <v>742</v>
      </c>
      <c r="E93" s="107">
        <v>20000</v>
      </c>
    </row>
    <row r="94" spans="1:5">
      <c r="A94" s="95">
        <v>35</v>
      </c>
      <c r="B94" s="61" t="s">
        <v>686</v>
      </c>
      <c r="C94" s="61" t="s">
        <v>687</v>
      </c>
      <c r="D94" s="61" t="s">
        <v>742</v>
      </c>
      <c r="E94" s="107">
        <v>20000</v>
      </c>
    </row>
    <row r="95" spans="1:5">
      <c r="A95" s="95">
        <v>36</v>
      </c>
      <c r="B95" s="61" t="s">
        <v>689</v>
      </c>
      <c r="C95" s="61" t="s">
        <v>687</v>
      </c>
      <c r="D95" s="61" t="s">
        <v>742</v>
      </c>
      <c r="E95" s="107">
        <v>20000</v>
      </c>
    </row>
    <row r="96" spans="1:5">
      <c r="A96" s="95">
        <v>37</v>
      </c>
      <c r="B96" s="61" t="s">
        <v>690</v>
      </c>
      <c r="C96" s="61" t="s">
        <v>687</v>
      </c>
      <c r="D96" s="61" t="s">
        <v>742</v>
      </c>
      <c r="E96" s="107">
        <v>20000</v>
      </c>
    </row>
    <row r="97" spans="1:5">
      <c r="A97" s="95">
        <v>38</v>
      </c>
      <c r="B97" s="61" t="s">
        <v>691</v>
      </c>
      <c r="C97" s="61" t="s">
        <v>687</v>
      </c>
      <c r="D97" s="61" t="s">
        <v>742</v>
      </c>
      <c r="E97" s="107">
        <v>20000</v>
      </c>
    </row>
    <row r="98" spans="1:5">
      <c r="A98" s="95">
        <v>39</v>
      </c>
      <c r="B98" s="61" t="s">
        <v>692</v>
      </c>
      <c r="C98" s="61" t="s">
        <v>687</v>
      </c>
      <c r="D98" s="61" t="s">
        <v>742</v>
      </c>
      <c r="E98" s="107">
        <v>20000</v>
      </c>
    </row>
    <row r="99" spans="1:5">
      <c r="A99" s="95">
        <v>40</v>
      </c>
      <c r="B99" s="61" t="s">
        <v>693</v>
      </c>
      <c r="C99" s="61" t="s">
        <v>687</v>
      </c>
      <c r="D99" s="61" t="s">
        <v>743</v>
      </c>
      <c r="E99" s="107">
        <v>20000</v>
      </c>
    </row>
    <row r="100" spans="1:5">
      <c r="A100" s="95">
        <v>41</v>
      </c>
      <c r="B100" s="61" t="s">
        <v>695</v>
      </c>
      <c r="C100" s="61" t="s">
        <v>687</v>
      </c>
      <c r="D100" s="61" t="s">
        <v>743</v>
      </c>
      <c r="E100" s="107">
        <v>20000</v>
      </c>
    </row>
    <row r="101" spans="1:5">
      <c r="A101" s="95">
        <v>42</v>
      </c>
      <c r="B101" s="61" t="s">
        <v>696</v>
      </c>
      <c r="C101" s="61" t="s">
        <v>687</v>
      </c>
      <c r="D101" s="61" t="s">
        <v>743</v>
      </c>
      <c r="E101" s="107">
        <v>20000</v>
      </c>
    </row>
    <row r="102" spans="1:5">
      <c r="A102" s="95"/>
      <c r="B102" s="104" t="s">
        <v>84</v>
      </c>
      <c r="C102" s="104"/>
      <c r="D102" s="104"/>
      <c r="E102" s="108">
        <f>SUM(E60:E101)</f>
        <v>1545000</v>
      </c>
    </row>
    <row r="103" spans="1:5">
      <c r="A103" s="95"/>
      <c r="B103" s="61"/>
      <c r="C103" s="61"/>
      <c r="D103" s="61"/>
      <c r="E103" s="107"/>
    </row>
    <row r="104" spans="1:5">
      <c r="A104" s="95"/>
      <c r="B104" s="104" t="s">
        <v>745</v>
      </c>
      <c r="C104" s="61"/>
      <c r="D104" s="61"/>
      <c r="E104" s="107"/>
    </row>
    <row r="105" spans="1:5">
      <c r="A105" s="95">
        <v>1</v>
      </c>
      <c r="B105" s="61" t="s">
        <v>746</v>
      </c>
      <c r="C105" s="61" t="s">
        <v>747</v>
      </c>
      <c r="D105" s="61"/>
      <c r="E105" s="107">
        <v>75000</v>
      </c>
    </row>
    <row r="106" spans="1:5">
      <c r="A106" s="95">
        <v>2</v>
      </c>
      <c r="B106" s="61" t="s">
        <v>750</v>
      </c>
      <c r="C106" s="61" t="s">
        <v>751</v>
      </c>
      <c r="D106" s="61"/>
      <c r="E106" s="107">
        <v>50000</v>
      </c>
    </row>
    <row r="107" spans="1:5">
      <c r="A107" s="95">
        <v>3</v>
      </c>
      <c r="B107" s="61" t="s">
        <v>670</v>
      </c>
      <c r="C107" s="61" t="s">
        <v>752</v>
      </c>
      <c r="D107" s="61"/>
      <c r="E107" s="107">
        <v>30000</v>
      </c>
    </row>
    <row r="108" spans="1:5">
      <c r="A108" s="95">
        <v>4</v>
      </c>
      <c r="B108" s="61" t="s">
        <v>753</v>
      </c>
      <c r="C108" s="61" t="s">
        <v>752</v>
      </c>
      <c r="D108" s="61"/>
      <c r="E108" s="107">
        <v>30000</v>
      </c>
    </row>
    <row r="109" spans="1:5">
      <c r="A109" s="95">
        <v>5</v>
      </c>
      <c r="B109" s="61" t="s">
        <v>754</v>
      </c>
      <c r="C109" s="61" t="s">
        <v>752</v>
      </c>
      <c r="D109" s="61"/>
      <c r="E109" s="107">
        <v>30000</v>
      </c>
    </row>
    <row r="110" spans="1:5">
      <c r="A110" s="95">
        <v>6</v>
      </c>
      <c r="B110" s="61" t="s">
        <v>755</v>
      </c>
      <c r="C110" s="61" t="s">
        <v>756</v>
      </c>
      <c r="D110" s="61"/>
      <c r="E110" s="107">
        <v>30000</v>
      </c>
    </row>
    <row r="111" spans="1:5">
      <c r="A111" s="95">
        <v>7</v>
      </c>
      <c r="B111" s="61" t="s">
        <v>757</v>
      </c>
      <c r="C111" s="61" t="s">
        <v>628</v>
      </c>
      <c r="D111" s="61"/>
      <c r="E111" s="107">
        <v>30000</v>
      </c>
    </row>
    <row r="112" spans="1:5">
      <c r="A112" s="95">
        <v>8</v>
      </c>
      <c r="B112" s="61" t="s">
        <v>758</v>
      </c>
      <c r="C112" s="61" t="s">
        <v>707</v>
      </c>
      <c r="D112" s="61"/>
      <c r="E112" s="107">
        <v>20000</v>
      </c>
    </row>
    <row r="113" spans="1:5">
      <c r="A113" s="95"/>
      <c r="B113" s="104" t="s">
        <v>84</v>
      </c>
      <c r="C113" s="104"/>
      <c r="D113" s="104"/>
      <c r="E113" s="108">
        <f>SUM(E105:E112)</f>
        <v>295000</v>
      </c>
    </row>
    <row r="114" spans="1:5" ht="23.1" customHeight="1">
      <c r="A114" s="61"/>
      <c r="B114" s="113" t="s">
        <v>448</v>
      </c>
      <c r="C114" s="113"/>
      <c r="D114" s="113"/>
      <c r="E114" s="114">
        <f>E17+E27+E55+E102+E113</f>
        <v>4540000</v>
      </c>
    </row>
  </sheetData>
  <pageMargins left="0.7" right="0.7" top="0.75" bottom="0.75" header="0.3" footer="0.3"/>
  <pageSetup scale="95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U114"/>
  <sheetViews>
    <sheetView workbookViewId="0"/>
  </sheetViews>
  <sheetFormatPr defaultRowHeight="12.75"/>
  <cols>
    <col min="2" max="2" width="33.42578125" customWidth="1"/>
    <col min="3" max="3" width="28.140625" customWidth="1"/>
    <col min="4" max="4" width="12.85546875" customWidth="1"/>
    <col min="5" max="5" width="16.140625" customWidth="1"/>
    <col min="18" max="18" width="12.7109375" customWidth="1"/>
    <col min="19" max="19" width="14" customWidth="1"/>
    <col min="20" max="20" width="13.85546875" customWidth="1"/>
    <col min="21" max="21" width="13.28515625" customWidth="1"/>
  </cols>
  <sheetData>
    <row r="1" spans="1:21" ht="25.5">
      <c r="A1" s="104" t="s">
        <v>1</v>
      </c>
      <c r="B1" s="104" t="s">
        <v>525</v>
      </c>
      <c r="C1" s="105" t="s">
        <v>759</v>
      </c>
      <c r="D1" s="106" t="s">
        <v>760</v>
      </c>
      <c r="E1" s="105" t="s">
        <v>117</v>
      </c>
    </row>
    <row r="2" spans="1:21">
      <c r="A2" s="95">
        <v>1</v>
      </c>
      <c r="B2" s="61" t="s">
        <v>526</v>
      </c>
      <c r="C2" s="61" t="s">
        <v>527</v>
      </c>
      <c r="D2" s="61" t="s">
        <v>528</v>
      </c>
      <c r="E2" s="107">
        <v>250000</v>
      </c>
    </row>
    <row r="3" spans="1:21">
      <c r="A3" s="95">
        <v>2</v>
      </c>
      <c r="B3" s="61" t="s">
        <v>710</v>
      </c>
      <c r="C3" s="61" t="s">
        <v>533</v>
      </c>
      <c r="D3" s="61" t="s">
        <v>577</v>
      </c>
      <c r="E3" s="107">
        <v>100000</v>
      </c>
    </row>
    <row r="4" spans="1:21">
      <c r="A4" s="95">
        <v>3</v>
      </c>
      <c r="B4" s="61" t="s">
        <v>529</v>
      </c>
      <c r="C4" s="61" t="s">
        <v>530</v>
      </c>
      <c r="D4" s="61" t="s">
        <v>531</v>
      </c>
      <c r="E4" s="107">
        <v>100000</v>
      </c>
    </row>
    <row r="5" spans="1:21">
      <c r="A5" s="95">
        <v>4</v>
      </c>
      <c r="B5" s="61" t="s">
        <v>534</v>
      </c>
      <c r="C5" s="61" t="s">
        <v>535</v>
      </c>
      <c r="D5" s="61" t="s">
        <v>536</v>
      </c>
      <c r="E5" s="107">
        <v>75000</v>
      </c>
    </row>
    <row r="6" spans="1:21">
      <c r="A6" s="95">
        <v>5</v>
      </c>
      <c r="B6" s="61" t="s">
        <v>711</v>
      </c>
      <c r="C6" s="61" t="s">
        <v>579</v>
      </c>
      <c r="D6" s="61" t="s">
        <v>539</v>
      </c>
      <c r="E6" s="107">
        <v>75000</v>
      </c>
      <c r="R6" s="209"/>
      <c r="S6" s="209"/>
      <c r="T6" s="209"/>
      <c r="U6" s="210"/>
    </row>
    <row r="7" spans="1:21">
      <c r="A7" s="95">
        <v>6</v>
      </c>
      <c r="B7" s="61" t="s">
        <v>540</v>
      </c>
      <c r="C7" s="61" t="s">
        <v>541</v>
      </c>
      <c r="D7" s="61" t="s">
        <v>712</v>
      </c>
      <c r="E7" s="107">
        <v>50000</v>
      </c>
      <c r="R7" s="209"/>
      <c r="S7" s="209"/>
      <c r="T7" s="209"/>
      <c r="U7" s="210"/>
    </row>
    <row r="8" spans="1:21">
      <c r="A8" s="95">
        <v>7</v>
      </c>
      <c r="B8" s="61" t="s">
        <v>713</v>
      </c>
      <c r="C8" s="61" t="s">
        <v>714</v>
      </c>
      <c r="D8" s="61" t="s">
        <v>561</v>
      </c>
      <c r="E8" s="107">
        <v>30000</v>
      </c>
      <c r="U8" s="210"/>
    </row>
    <row r="9" spans="1:21">
      <c r="A9" s="95">
        <v>8</v>
      </c>
      <c r="B9" s="61" t="s">
        <v>551</v>
      </c>
      <c r="C9" s="61" t="s">
        <v>552</v>
      </c>
      <c r="D9" s="61" t="s">
        <v>561</v>
      </c>
      <c r="E9" s="107">
        <v>30000</v>
      </c>
      <c r="U9" s="210"/>
    </row>
    <row r="10" spans="1:21">
      <c r="A10" s="95">
        <v>9</v>
      </c>
      <c r="B10" s="61" t="s">
        <v>553</v>
      </c>
      <c r="C10" s="61" t="s">
        <v>554</v>
      </c>
      <c r="D10" s="61" t="s">
        <v>561</v>
      </c>
      <c r="E10" s="107">
        <v>30000</v>
      </c>
    </row>
    <row r="11" spans="1:21">
      <c r="A11" s="95">
        <v>10</v>
      </c>
      <c r="B11" s="61" t="s">
        <v>556</v>
      </c>
      <c r="C11" s="61" t="s">
        <v>715</v>
      </c>
      <c r="D11" s="61" t="s">
        <v>561</v>
      </c>
      <c r="E11" s="107">
        <v>30000</v>
      </c>
    </row>
    <row r="12" spans="1:21">
      <c r="A12" s="95">
        <v>11</v>
      </c>
      <c r="B12" s="61" t="s">
        <v>562</v>
      </c>
      <c r="C12" s="61" t="s">
        <v>563</v>
      </c>
      <c r="D12" s="61" t="s">
        <v>561</v>
      </c>
      <c r="E12" s="107">
        <v>30000</v>
      </c>
    </row>
    <row r="13" spans="1:21">
      <c r="A13" s="95">
        <v>12</v>
      </c>
      <c r="B13" s="61" t="s">
        <v>564</v>
      </c>
      <c r="C13" s="61" t="s">
        <v>565</v>
      </c>
      <c r="D13" s="61" t="s">
        <v>717</v>
      </c>
      <c r="E13" s="107">
        <v>30000</v>
      </c>
    </row>
    <row r="14" spans="1:21">
      <c r="A14" s="95">
        <v>13</v>
      </c>
      <c r="B14" s="61" t="s">
        <v>567</v>
      </c>
      <c r="C14" s="61" t="s">
        <v>568</v>
      </c>
      <c r="D14" s="61" t="s">
        <v>566</v>
      </c>
      <c r="E14" s="107">
        <v>30000</v>
      </c>
    </row>
    <row r="15" spans="1:21">
      <c r="A15" s="95">
        <v>14</v>
      </c>
      <c r="B15" s="61" t="s">
        <v>569</v>
      </c>
      <c r="C15" s="61" t="s">
        <v>570</v>
      </c>
      <c r="D15" s="61" t="s">
        <v>717</v>
      </c>
      <c r="E15" s="107">
        <v>30000</v>
      </c>
    </row>
    <row r="16" spans="1:21">
      <c r="A16" s="95">
        <v>15</v>
      </c>
      <c r="B16" s="61" t="s">
        <v>571</v>
      </c>
      <c r="C16" s="61" t="s">
        <v>572</v>
      </c>
      <c r="D16" s="61" t="s">
        <v>717</v>
      </c>
      <c r="E16" s="107">
        <v>30000</v>
      </c>
    </row>
    <row r="17" spans="1:5">
      <c r="A17" s="95"/>
      <c r="B17" s="104" t="s">
        <v>84</v>
      </c>
      <c r="C17" s="104"/>
      <c r="D17" s="104"/>
      <c r="E17" s="108">
        <f>SUM(E2:E16)</f>
        <v>920000</v>
      </c>
    </row>
    <row r="18" spans="1:5">
      <c r="A18" s="95"/>
      <c r="B18" s="61"/>
      <c r="C18" s="61"/>
      <c r="D18" s="61"/>
      <c r="E18" s="107"/>
    </row>
    <row r="19" spans="1:5">
      <c r="A19" s="95"/>
      <c r="B19" s="61"/>
      <c r="C19" s="61"/>
      <c r="D19" s="61"/>
      <c r="E19" s="107"/>
    </row>
    <row r="20" spans="1:5">
      <c r="A20" s="95"/>
      <c r="B20" s="104" t="s">
        <v>574</v>
      </c>
      <c r="C20" s="61"/>
      <c r="D20" s="61"/>
      <c r="E20" s="107"/>
    </row>
    <row r="21" spans="1:5">
      <c r="A21" s="95">
        <v>1</v>
      </c>
      <c r="B21" s="61" t="s">
        <v>718</v>
      </c>
      <c r="C21" s="61" t="s">
        <v>719</v>
      </c>
      <c r="D21" s="61" t="s">
        <v>632</v>
      </c>
      <c r="E21" s="107">
        <v>200000</v>
      </c>
    </row>
    <row r="22" spans="1:5">
      <c r="A22" s="95">
        <v>2</v>
      </c>
      <c r="B22" s="61" t="s">
        <v>575</v>
      </c>
      <c r="C22" s="61" t="s">
        <v>576</v>
      </c>
      <c r="D22" s="61" t="s">
        <v>577</v>
      </c>
      <c r="E22" s="107">
        <v>100000</v>
      </c>
    </row>
    <row r="23" spans="1:5">
      <c r="A23" s="95">
        <v>3</v>
      </c>
      <c r="B23" s="61" t="s">
        <v>578</v>
      </c>
      <c r="C23" s="61" t="s">
        <v>579</v>
      </c>
      <c r="D23" s="61" t="s">
        <v>712</v>
      </c>
      <c r="E23" s="107">
        <v>50000</v>
      </c>
    </row>
    <row r="24" spans="1:5">
      <c r="A24" s="95">
        <v>4</v>
      </c>
      <c r="B24" s="61" t="s">
        <v>581</v>
      </c>
      <c r="C24" s="61" t="s">
        <v>582</v>
      </c>
      <c r="D24" s="61" t="s">
        <v>561</v>
      </c>
      <c r="E24" s="107">
        <v>30000</v>
      </c>
    </row>
    <row r="25" spans="1:5">
      <c r="A25" s="95">
        <v>5</v>
      </c>
      <c r="B25" s="61" t="s">
        <v>583</v>
      </c>
      <c r="C25" s="61" t="s">
        <v>582</v>
      </c>
      <c r="D25" s="61" t="s">
        <v>561</v>
      </c>
      <c r="E25" s="107">
        <v>30000</v>
      </c>
    </row>
    <row r="26" spans="1:5">
      <c r="A26" s="95">
        <v>6</v>
      </c>
      <c r="B26" s="61" t="s">
        <v>584</v>
      </c>
      <c r="C26" s="61" t="s">
        <v>582</v>
      </c>
      <c r="D26" s="61" t="s">
        <v>566</v>
      </c>
      <c r="E26" s="107">
        <v>30000</v>
      </c>
    </row>
    <row r="27" spans="1:5">
      <c r="A27" s="95"/>
      <c r="B27" s="104" t="s">
        <v>84</v>
      </c>
      <c r="C27" s="104"/>
      <c r="D27" s="104"/>
      <c r="E27" s="108">
        <f>SUM(E21:E26)</f>
        <v>440000</v>
      </c>
    </row>
    <row r="28" spans="1:5">
      <c r="A28" s="95"/>
      <c r="B28" s="61"/>
      <c r="C28" s="61"/>
      <c r="D28" s="61"/>
      <c r="E28" s="107"/>
    </row>
    <row r="29" spans="1:5">
      <c r="A29" s="95"/>
      <c r="B29" s="104" t="s">
        <v>586</v>
      </c>
      <c r="C29" s="61"/>
      <c r="D29" s="61"/>
      <c r="E29" s="107"/>
    </row>
    <row r="30" spans="1:5">
      <c r="A30" s="95">
        <v>1</v>
      </c>
      <c r="B30" s="61" t="s">
        <v>587</v>
      </c>
      <c r="C30" s="61" t="s">
        <v>588</v>
      </c>
      <c r="D30" s="61" t="s">
        <v>589</v>
      </c>
      <c r="E30" s="107">
        <v>200000</v>
      </c>
    </row>
    <row r="31" spans="1:5">
      <c r="A31" s="95">
        <v>2</v>
      </c>
      <c r="B31" s="61" t="s">
        <v>590</v>
      </c>
      <c r="C31" s="61" t="s">
        <v>591</v>
      </c>
      <c r="D31" s="61" t="s">
        <v>577</v>
      </c>
      <c r="E31" s="107">
        <v>100000</v>
      </c>
    </row>
    <row r="32" spans="1:5">
      <c r="A32" s="95">
        <v>3</v>
      </c>
      <c r="B32" s="61" t="s">
        <v>592</v>
      </c>
      <c r="C32" s="61" t="s">
        <v>593</v>
      </c>
      <c r="D32" s="61" t="s">
        <v>536</v>
      </c>
      <c r="E32" s="107">
        <v>75000</v>
      </c>
    </row>
    <row r="33" spans="1:5">
      <c r="A33" s="95">
        <v>4</v>
      </c>
      <c r="B33" s="61" t="s">
        <v>720</v>
      </c>
      <c r="C33" s="61" t="s">
        <v>721</v>
      </c>
      <c r="D33" s="61" t="s">
        <v>542</v>
      </c>
      <c r="E33" s="107">
        <v>75000</v>
      </c>
    </row>
    <row r="34" spans="1:5">
      <c r="A34" s="95">
        <v>5</v>
      </c>
      <c r="B34" s="61" t="s">
        <v>722</v>
      </c>
      <c r="C34" s="61" t="s">
        <v>723</v>
      </c>
      <c r="D34" s="61" t="s">
        <v>603</v>
      </c>
      <c r="E34" s="107">
        <v>50000</v>
      </c>
    </row>
    <row r="35" spans="1:5">
      <c r="A35" s="95">
        <v>6</v>
      </c>
      <c r="B35" s="61" t="s">
        <v>598</v>
      </c>
      <c r="C35" s="61" t="s">
        <v>599</v>
      </c>
      <c r="D35" s="61" t="s">
        <v>603</v>
      </c>
      <c r="E35" s="107">
        <v>50000</v>
      </c>
    </row>
    <row r="36" spans="1:5">
      <c r="A36" s="95">
        <v>7</v>
      </c>
      <c r="B36" s="61" t="s">
        <v>601</v>
      </c>
      <c r="C36" s="61" t="s">
        <v>602</v>
      </c>
      <c r="D36" s="61" t="s">
        <v>724</v>
      </c>
      <c r="E36" s="107">
        <v>50000</v>
      </c>
    </row>
    <row r="37" spans="1:5">
      <c r="A37" s="95">
        <v>8</v>
      </c>
      <c r="B37" s="61" t="s">
        <v>604</v>
      </c>
      <c r="C37" s="61" t="s">
        <v>605</v>
      </c>
      <c r="D37" s="61" t="s">
        <v>724</v>
      </c>
      <c r="E37" s="107">
        <v>50000</v>
      </c>
    </row>
    <row r="38" spans="1:5">
      <c r="A38" s="95">
        <v>9</v>
      </c>
      <c r="B38" s="61" t="s">
        <v>606</v>
      </c>
      <c r="C38" s="61" t="s">
        <v>602</v>
      </c>
      <c r="D38" s="61" t="s">
        <v>724</v>
      </c>
      <c r="E38" s="107">
        <v>50000</v>
      </c>
    </row>
    <row r="39" spans="1:5">
      <c r="A39" s="95">
        <v>10</v>
      </c>
      <c r="B39" s="61" t="s">
        <v>607</v>
      </c>
      <c r="C39" s="61" t="s">
        <v>579</v>
      </c>
      <c r="D39" s="61" t="s">
        <v>712</v>
      </c>
      <c r="E39" s="107">
        <v>50000</v>
      </c>
    </row>
    <row r="40" spans="1:5">
      <c r="A40" s="95">
        <v>11</v>
      </c>
      <c r="B40" s="61" t="s">
        <v>609</v>
      </c>
      <c r="C40" s="61" t="s">
        <v>579</v>
      </c>
      <c r="D40" s="61" t="s">
        <v>547</v>
      </c>
      <c r="E40" s="107">
        <v>50000</v>
      </c>
    </row>
    <row r="41" spans="1:5">
      <c r="A41" s="95">
        <v>12</v>
      </c>
      <c r="B41" s="61" t="s">
        <v>610</v>
      </c>
      <c r="C41" s="61" t="s">
        <v>611</v>
      </c>
      <c r="D41" s="61" t="s">
        <v>724</v>
      </c>
      <c r="E41" s="107">
        <v>50000</v>
      </c>
    </row>
    <row r="42" spans="1:5">
      <c r="A42" s="95">
        <v>13</v>
      </c>
      <c r="B42" s="61" t="s">
        <v>612</v>
      </c>
      <c r="C42" s="61" t="s">
        <v>579</v>
      </c>
      <c r="D42" s="61" t="s">
        <v>550</v>
      </c>
      <c r="E42" s="107">
        <v>50000</v>
      </c>
    </row>
    <row r="43" spans="1:5">
      <c r="A43" s="95">
        <v>14</v>
      </c>
      <c r="B43" s="61" t="s">
        <v>613</v>
      </c>
      <c r="C43" s="61" t="s">
        <v>579</v>
      </c>
      <c r="D43" s="61" t="s">
        <v>550</v>
      </c>
      <c r="E43" s="107">
        <v>50000</v>
      </c>
    </row>
    <row r="44" spans="1:5">
      <c r="A44" s="95">
        <v>15</v>
      </c>
      <c r="B44" s="61" t="s">
        <v>761</v>
      </c>
      <c r="C44" s="61" t="s">
        <v>579</v>
      </c>
      <c r="D44" s="61" t="s">
        <v>550</v>
      </c>
      <c r="E44" s="107">
        <v>50000</v>
      </c>
    </row>
    <row r="45" spans="1:5">
      <c r="A45" s="95">
        <v>16</v>
      </c>
      <c r="B45" s="61" t="s">
        <v>614</v>
      </c>
      <c r="C45" s="61" t="s">
        <v>579</v>
      </c>
      <c r="D45" s="61" t="s">
        <v>550</v>
      </c>
      <c r="E45" s="107">
        <v>50000</v>
      </c>
    </row>
    <row r="46" spans="1:5">
      <c r="A46" s="95">
        <v>17</v>
      </c>
      <c r="B46" s="61" t="s">
        <v>615</v>
      </c>
      <c r="C46" s="61" t="s">
        <v>616</v>
      </c>
      <c r="D46" s="61" t="s">
        <v>550</v>
      </c>
      <c r="E46" s="107">
        <v>50000</v>
      </c>
    </row>
    <row r="47" spans="1:5">
      <c r="A47" s="95">
        <v>18</v>
      </c>
      <c r="B47" s="61" t="s">
        <v>617</v>
      </c>
      <c r="C47" s="61" t="s">
        <v>618</v>
      </c>
      <c r="D47" s="61" t="s">
        <v>561</v>
      </c>
      <c r="E47" s="107">
        <v>30000</v>
      </c>
    </row>
    <row r="48" spans="1:5">
      <c r="A48" s="95">
        <v>19</v>
      </c>
      <c r="B48" s="61" t="s">
        <v>619</v>
      </c>
      <c r="C48" s="61" t="s">
        <v>582</v>
      </c>
      <c r="D48" s="61" t="s">
        <v>561</v>
      </c>
      <c r="E48" s="107">
        <v>30000</v>
      </c>
    </row>
    <row r="49" spans="1:5">
      <c r="A49" s="95">
        <v>20</v>
      </c>
      <c r="B49" s="61" t="s">
        <v>620</v>
      </c>
      <c r="C49" s="61" t="s">
        <v>621</v>
      </c>
      <c r="D49" s="61" t="s">
        <v>561</v>
      </c>
      <c r="E49" s="107">
        <v>30000</v>
      </c>
    </row>
    <row r="50" spans="1:5">
      <c r="A50" s="95">
        <v>21</v>
      </c>
      <c r="B50" s="61" t="s">
        <v>622</v>
      </c>
      <c r="C50" s="61" t="s">
        <v>582</v>
      </c>
      <c r="D50" s="61" t="s">
        <v>566</v>
      </c>
      <c r="E50" s="107">
        <v>30000</v>
      </c>
    </row>
    <row r="51" spans="1:5">
      <c r="A51" s="95">
        <v>22</v>
      </c>
      <c r="B51" s="61" t="s">
        <v>727</v>
      </c>
      <c r="C51" s="61" t="s">
        <v>624</v>
      </c>
      <c r="D51" s="61" t="s">
        <v>728</v>
      </c>
      <c r="E51" s="107">
        <v>30000</v>
      </c>
    </row>
    <row r="52" spans="1:5">
      <c r="A52" s="95">
        <v>23</v>
      </c>
      <c r="B52" s="61" t="s">
        <v>623</v>
      </c>
      <c r="C52" s="61" t="s">
        <v>624</v>
      </c>
      <c r="D52" s="61" t="s">
        <v>729</v>
      </c>
      <c r="E52" s="107">
        <v>30000</v>
      </c>
    </row>
    <row r="53" spans="1:5">
      <c r="A53" s="95">
        <v>24</v>
      </c>
      <c r="B53" s="61" t="s">
        <v>626</v>
      </c>
      <c r="C53" s="61" t="s">
        <v>624</v>
      </c>
      <c r="D53" s="61" t="s">
        <v>729</v>
      </c>
      <c r="E53" s="107">
        <v>30000</v>
      </c>
    </row>
    <row r="54" spans="1:5">
      <c r="A54" s="95">
        <v>25</v>
      </c>
      <c r="B54" s="61" t="s">
        <v>627</v>
      </c>
      <c r="C54" s="61" t="s">
        <v>628</v>
      </c>
      <c r="D54" s="61" t="s">
        <v>566</v>
      </c>
      <c r="E54" s="107">
        <v>30000</v>
      </c>
    </row>
    <row r="55" spans="1:5">
      <c r="A55" s="95"/>
      <c r="B55" s="104" t="s">
        <v>84</v>
      </c>
      <c r="C55" s="104"/>
      <c r="D55" s="104"/>
      <c r="E55" s="108">
        <f>SUM(E30:E54)</f>
        <v>1340000</v>
      </c>
    </row>
    <row r="56" spans="1:5">
      <c r="A56" s="109"/>
      <c r="B56" s="110"/>
      <c r="C56" s="110"/>
      <c r="D56" s="110"/>
      <c r="E56" s="111"/>
    </row>
    <row r="57" spans="1:5">
      <c r="A57" s="109"/>
      <c r="B57" s="110"/>
      <c r="C57" s="110"/>
      <c r="D57" s="110"/>
      <c r="E57" s="111"/>
    </row>
    <row r="58" spans="1:5">
      <c r="A58" s="109"/>
      <c r="E58" s="112"/>
    </row>
    <row r="59" spans="1:5">
      <c r="A59" s="95"/>
      <c r="B59" s="104" t="s">
        <v>629</v>
      </c>
      <c r="C59" s="61"/>
      <c r="D59" s="61"/>
      <c r="E59" s="107"/>
    </row>
    <row r="60" spans="1:5">
      <c r="A60" s="95">
        <v>1</v>
      </c>
      <c r="B60" s="61" t="s">
        <v>630</v>
      </c>
      <c r="C60" s="61" t="s">
        <v>631</v>
      </c>
      <c r="D60" s="61" t="s">
        <v>632</v>
      </c>
      <c r="E60" s="107">
        <v>200000</v>
      </c>
    </row>
    <row r="61" spans="1:5">
      <c r="A61" s="95">
        <v>2</v>
      </c>
      <c r="B61" s="61" t="s">
        <v>633</v>
      </c>
      <c r="C61" s="61" t="s">
        <v>634</v>
      </c>
      <c r="D61" s="61" t="s">
        <v>577</v>
      </c>
      <c r="E61" s="107">
        <v>100000</v>
      </c>
    </row>
    <row r="62" spans="1:5">
      <c r="A62" s="95">
        <v>3</v>
      </c>
      <c r="B62" s="61" t="s">
        <v>635</v>
      </c>
      <c r="C62" s="61" t="s">
        <v>636</v>
      </c>
      <c r="D62" s="61" t="s">
        <v>577</v>
      </c>
      <c r="E62" s="107">
        <v>100000</v>
      </c>
    </row>
    <row r="63" spans="1:5">
      <c r="A63" s="95">
        <v>4</v>
      </c>
      <c r="B63" s="61" t="s">
        <v>637</v>
      </c>
      <c r="C63" s="61" t="s">
        <v>638</v>
      </c>
      <c r="D63" s="61" t="s">
        <v>536</v>
      </c>
      <c r="E63" s="107">
        <v>75000</v>
      </c>
    </row>
    <row r="64" spans="1:5">
      <c r="A64" s="95">
        <v>5</v>
      </c>
      <c r="B64" s="61" t="s">
        <v>730</v>
      </c>
      <c r="C64" s="61" t="s">
        <v>731</v>
      </c>
      <c r="D64" s="61" t="s">
        <v>536</v>
      </c>
      <c r="E64" s="107">
        <v>75000</v>
      </c>
    </row>
    <row r="65" spans="1:5">
      <c r="A65" s="95">
        <v>6</v>
      </c>
      <c r="B65" s="61" t="s">
        <v>639</v>
      </c>
      <c r="C65" s="61" t="s">
        <v>640</v>
      </c>
      <c r="D65" s="61" t="s">
        <v>536</v>
      </c>
      <c r="E65" s="107">
        <v>75000</v>
      </c>
    </row>
    <row r="66" spans="1:5">
      <c r="A66" s="95">
        <v>7</v>
      </c>
      <c r="B66" s="61" t="s">
        <v>641</v>
      </c>
      <c r="C66" s="61" t="s">
        <v>642</v>
      </c>
      <c r="D66" s="61" t="s">
        <v>712</v>
      </c>
      <c r="E66" s="107">
        <v>50000</v>
      </c>
    </row>
    <row r="67" spans="1:5">
      <c r="A67" s="95">
        <v>8</v>
      </c>
      <c r="B67" s="61" t="s">
        <v>643</v>
      </c>
      <c r="C67" s="61" t="s">
        <v>644</v>
      </c>
      <c r="D67" s="61" t="s">
        <v>561</v>
      </c>
      <c r="E67" s="107">
        <v>30000</v>
      </c>
    </row>
    <row r="68" spans="1:5">
      <c r="A68" s="95">
        <v>9</v>
      </c>
      <c r="B68" s="61" t="s">
        <v>645</v>
      </c>
      <c r="C68" s="61" t="s">
        <v>646</v>
      </c>
      <c r="D68" s="61" t="s">
        <v>561</v>
      </c>
      <c r="E68" s="107">
        <v>30000</v>
      </c>
    </row>
    <row r="69" spans="1:5">
      <c r="A69" s="95">
        <v>10</v>
      </c>
      <c r="B69" s="61" t="s">
        <v>647</v>
      </c>
      <c r="C69" s="61" t="s">
        <v>648</v>
      </c>
      <c r="D69" s="61" t="s">
        <v>561</v>
      </c>
      <c r="E69" s="107">
        <v>30000</v>
      </c>
    </row>
    <row r="70" spans="1:5">
      <c r="A70" s="95">
        <v>11</v>
      </c>
      <c r="B70" s="61" t="s">
        <v>649</v>
      </c>
      <c r="C70" s="61" t="s">
        <v>650</v>
      </c>
      <c r="D70" s="61" t="s">
        <v>561</v>
      </c>
      <c r="E70" s="107">
        <v>30000</v>
      </c>
    </row>
    <row r="71" spans="1:5">
      <c r="A71" s="95">
        <v>12</v>
      </c>
      <c r="B71" s="61" t="s">
        <v>732</v>
      </c>
      <c r="C71" s="61" t="s">
        <v>652</v>
      </c>
      <c r="D71" s="61" t="s">
        <v>717</v>
      </c>
      <c r="E71" s="107">
        <v>30000</v>
      </c>
    </row>
    <row r="72" spans="1:5">
      <c r="A72" s="95">
        <v>13</v>
      </c>
      <c r="B72" s="61" t="s">
        <v>653</v>
      </c>
      <c r="C72" s="61" t="s">
        <v>652</v>
      </c>
      <c r="D72" s="61" t="s">
        <v>717</v>
      </c>
      <c r="E72" s="107">
        <v>30000</v>
      </c>
    </row>
    <row r="73" spans="1:5">
      <c r="A73" s="95">
        <v>14</v>
      </c>
      <c r="B73" s="61" t="s">
        <v>654</v>
      </c>
      <c r="C73" s="61" t="s">
        <v>655</v>
      </c>
      <c r="D73" s="61" t="s">
        <v>717</v>
      </c>
      <c r="E73" s="107">
        <v>30000</v>
      </c>
    </row>
    <row r="74" spans="1:5">
      <c r="A74" s="95">
        <v>15</v>
      </c>
      <c r="B74" s="61" t="s">
        <v>733</v>
      </c>
      <c r="C74" s="61" t="s">
        <v>655</v>
      </c>
      <c r="D74" s="61" t="s">
        <v>717</v>
      </c>
      <c r="E74" s="107">
        <v>30000</v>
      </c>
    </row>
    <row r="75" spans="1:5">
      <c r="A75" s="95">
        <v>16</v>
      </c>
      <c r="B75" s="61" t="s">
        <v>657</v>
      </c>
      <c r="C75" s="61" t="s">
        <v>655</v>
      </c>
      <c r="D75" s="61" t="s">
        <v>717</v>
      </c>
      <c r="E75" s="107">
        <v>30000</v>
      </c>
    </row>
    <row r="76" spans="1:5">
      <c r="A76" s="95">
        <v>17</v>
      </c>
      <c r="B76" s="61" t="s">
        <v>658</v>
      </c>
      <c r="C76" s="61" t="s">
        <v>659</v>
      </c>
      <c r="D76" s="61" t="s">
        <v>566</v>
      </c>
      <c r="E76" s="107">
        <v>30000</v>
      </c>
    </row>
    <row r="77" spans="1:5">
      <c r="A77" s="95">
        <v>18</v>
      </c>
      <c r="B77" s="61" t="s">
        <v>734</v>
      </c>
      <c r="C77" s="61" t="s">
        <v>661</v>
      </c>
      <c r="D77" s="61" t="s">
        <v>566</v>
      </c>
      <c r="E77" s="107">
        <v>30000</v>
      </c>
    </row>
    <row r="78" spans="1:5">
      <c r="A78" s="95">
        <v>19</v>
      </c>
      <c r="B78" s="61" t="s">
        <v>660</v>
      </c>
      <c r="C78" s="61" t="s">
        <v>661</v>
      </c>
      <c r="D78" s="61" t="s">
        <v>566</v>
      </c>
      <c r="E78" s="107">
        <v>30000</v>
      </c>
    </row>
    <row r="79" spans="1:5">
      <c r="A79" s="95">
        <v>20</v>
      </c>
      <c r="B79" s="61" t="s">
        <v>662</v>
      </c>
      <c r="C79" s="61" t="s">
        <v>663</v>
      </c>
      <c r="D79" s="61" t="s">
        <v>566</v>
      </c>
      <c r="E79" s="107">
        <v>30000</v>
      </c>
    </row>
    <row r="80" spans="1:5">
      <c r="A80" s="95">
        <v>21</v>
      </c>
      <c r="B80" s="61" t="s">
        <v>664</v>
      </c>
      <c r="C80" s="61" t="s">
        <v>663</v>
      </c>
      <c r="D80" s="61" t="s">
        <v>566</v>
      </c>
      <c r="E80" s="107">
        <v>30000</v>
      </c>
    </row>
    <row r="81" spans="1:5">
      <c r="A81" s="95">
        <v>22</v>
      </c>
      <c r="B81" s="61" t="s">
        <v>736</v>
      </c>
      <c r="C81" s="61" t="s">
        <v>666</v>
      </c>
      <c r="D81" s="61" t="s">
        <v>729</v>
      </c>
      <c r="E81" s="107">
        <v>30000</v>
      </c>
    </row>
    <row r="82" spans="1:5">
      <c r="A82" s="95">
        <v>23</v>
      </c>
      <c r="B82" s="61" t="s">
        <v>669</v>
      </c>
      <c r="C82" s="61" t="s">
        <v>666</v>
      </c>
      <c r="D82" s="61" t="s">
        <v>737</v>
      </c>
      <c r="E82" s="107">
        <v>30000</v>
      </c>
    </row>
    <row r="83" spans="1:5">
      <c r="A83" s="95">
        <v>24</v>
      </c>
      <c r="B83" s="61" t="s">
        <v>673</v>
      </c>
      <c r="C83" s="61" t="s">
        <v>666</v>
      </c>
      <c r="D83" s="61" t="s">
        <v>738</v>
      </c>
      <c r="E83" s="107">
        <v>30000</v>
      </c>
    </row>
    <row r="84" spans="1:5">
      <c r="A84" s="95">
        <v>25</v>
      </c>
      <c r="B84" s="61" t="s">
        <v>676</v>
      </c>
      <c r="C84" s="61" t="s">
        <v>677</v>
      </c>
      <c r="D84" s="61" t="s">
        <v>739</v>
      </c>
      <c r="E84" s="107">
        <v>20000</v>
      </c>
    </row>
    <row r="85" spans="1:5">
      <c r="A85" s="95">
        <v>26</v>
      </c>
      <c r="B85" s="61" t="s">
        <v>679</v>
      </c>
      <c r="C85" s="61" t="s">
        <v>677</v>
      </c>
      <c r="D85" s="61" t="s">
        <v>739</v>
      </c>
      <c r="E85" s="107">
        <v>20000</v>
      </c>
    </row>
    <row r="86" spans="1:5">
      <c r="A86" s="95">
        <v>27</v>
      </c>
      <c r="B86" s="61" t="s">
        <v>680</v>
      </c>
      <c r="C86" s="61" t="s">
        <v>677</v>
      </c>
      <c r="D86" s="61" t="s">
        <v>739</v>
      </c>
      <c r="E86" s="107">
        <v>20000</v>
      </c>
    </row>
    <row r="87" spans="1:5">
      <c r="A87" s="95">
        <v>28</v>
      </c>
      <c r="B87" s="61" t="s">
        <v>681</v>
      </c>
      <c r="C87" s="61" t="s">
        <v>677</v>
      </c>
      <c r="D87" s="61" t="s">
        <v>739</v>
      </c>
      <c r="E87" s="107">
        <v>20000</v>
      </c>
    </row>
    <row r="88" spans="1:5">
      <c r="A88" s="95">
        <v>29</v>
      </c>
      <c r="B88" s="61" t="s">
        <v>682</v>
      </c>
      <c r="C88" s="61" t="s">
        <v>677</v>
      </c>
      <c r="D88" s="61" t="s">
        <v>739</v>
      </c>
      <c r="E88" s="107">
        <v>20000</v>
      </c>
    </row>
    <row r="89" spans="1:5">
      <c r="A89" s="95">
        <v>30</v>
      </c>
      <c r="B89" s="61" t="s">
        <v>683</v>
      </c>
      <c r="C89" s="61" t="s">
        <v>677</v>
      </c>
      <c r="D89" s="61" t="s">
        <v>739</v>
      </c>
      <c r="E89" s="107">
        <v>20000</v>
      </c>
    </row>
    <row r="90" spans="1:5">
      <c r="A90" s="95">
        <v>31</v>
      </c>
      <c r="B90" s="61" t="s">
        <v>740</v>
      </c>
      <c r="C90" s="61" t="s">
        <v>677</v>
      </c>
      <c r="D90" s="61" t="s">
        <v>739</v>
      </c>
      <c r="E90" s="107">
        <v>20000</v>
      </c>
    </row>
    <row r="91" spans="1:5">
      <c r="A91" s="95">
        <v>32</v>
      </c>
      <c r="B91" s="61" t="s">
        <v>684</v>
      </c>
      <c r="C91" s="61" t="s">
        <v>677</v>
      </c>
      <c r="D91" s="61" t="s">
        <v>739</v>
      </c>
      <c r="E91" s="107">
        <v>20000</v>
      </c>
    </row>
    <row r="92" spans="1:5">
      <c r="A92" s="95">
        <v>33</v>
      </c>
      <c r="B92" s="61" t="s">
        <v>685</v>
      </c>
      <c r="C92" s="61" t="s">
        <v>677</v>
      </c>
      <c r="D92" s="61" t="s">
        <v>739</v>
      </c>
      <c r="E92" s="107">
        <v>20000</v>
      </c>
    </row>
    <row r="93" spans="1:5">
      <c r="A93" s="95">
        <v>34</v>
      </c>
      <c r="B93" s="61" t="s">
        <v>741</v>
      </c>
      <c r="C93" s="61" t="s">
        <v>687</v>
      </c>
      <c r="D93" s="61" t="s">
        <v>742</v>
      </c>
      <c r="E93" s="107">
        <v>20000</v>
      </c>
    </row>
    <row r="94" spans="1:5">
      <c r="A94" s="95">
        <v>35</v>
      </c>
      <c r="B94" s="61" t="s">
        <v>686</v>
      </c>
      <c r="C94" s="61" t="s">
        <v>687</v>
      </c>
      <c r="D94" s="61" t="s">
        <v>742</v>
      </c>
      <c r="E94" s="107">
        <v>20000</v>
      </c>
    </row>
    <row r="95" spans="1:5">
      <c r="A95" s="95">
        <v>36</v>
      </c>
      <c r="B95" s="61" t="s">
        <v>689</v>
      </c>
      <c r="C95" s="61" t="s">
        <v>687</v>
      </c>
      <c r="D95" s="61" t="s">
        <v>742</v>
      </c>
      <c r="E95" s="107">
        <v>20000</v>
      </c>
    </row>
    <row r="96" spans="1:5">
      <c r="A96" s="95">
        <v>37</v>
      </c>
      <c r="B96" s="61" t="s">
        <v>690</v>
      </c>
      <c r="C96" s="61" t="s">
        <v>687</v>
      </c>
      <c r="D96" s="61" t="s">
        <v>742</v>
      </c>
      <c r="E96" s="107">
        <v>20000</v>
      </c>
    </row>
    <row r="97" spans="1:5">
      <c r="A97" s="95">
        <v>38</v>
      </c>
      <c r="B97" s="61" t="s">
        <v>691</v>
      </c>
      <c r="C97" s="61" t="s">
        <v>687</v>
      </c>
      <c r="D97" s="61" t="s">
        <v>742</v>
      </c>
      <c r="E97" s="107">
        <v>20000</v>
      </c>
    </row>
    <row r="98" spans="1:5">
      <c r="A98" s="95">
        <v>39</v>
      </c>
      <c r="B98" s="61" t="s">
        <v>692</v>
      </c>
      <c r="C98" s="61" t="s">
        <v>687</v>
      </c>
      <c r="D98" s="61" t="s">
        <v>742</v>
      </c>
      <c r="E98" s="107">
        <v>20000</v>
      </c>
    </row>
    <row r="99" spans="1:5">
      <c r="A99" s="95">
        <v>40</v>
      </c>
      <c r="B99" s="61" t="s">
        <v>693</v>
      </c>
      <c r="C99" s="61" t="s">
        <v>687</v>
      </c>
      <c r="D99" s="61" t="s">
        <v>743</v>
      </c>
      <c r="E99" s="107">
        <v>20000</v>
      </c>
    </row>
    <row r="100" spans="1:5">
      <c r="A100" s="95">
        <v>41</v>
      </c>
      <c r="B100" s="61" t="s">
        <v>695</v>
      </c>
      <c r="C100" s="61" t="s">
        <v>687</v>
      </c>
      <c r="D100" s="61" t="s">
        <v>743</v>
      </c>
      <c r="E100" s="107">
        <v>20000</v>
      </c>
    </row>
    <row r="101" spans="1:5">
      <c r="A101" s="95">
        <v>42</v>
      </c>
      <c r="B101" s="61" t="s">
        <v>696</v>
      </c>
      <c r="C101" s="61" t="s">
        <v>687</v>
      </c>
      <c r="D101" s="61" t="s">
        <v>743</v>
      </c>
      <c r="E101" s="107">
        <v>20000</v>
      </c>
    </row>
    <row r="102" spans="1:5">
      <c r="A102" s="95"/>
      <c r="B102" s="104" t="s">
        <v>84</v>
      </c>
      <c r="C102" s="104"/>
      <c r="D102" s="104"/>
      <c r="E102" s="108">
        <f>SUM(E60:E101)</f>
        <v>1545000</v>
      </c>
    </row>
    <row r="103" spans="1:5">
      <c r="A103" s="95"/>
      <c r="B103" s="61"/>
      <c r="C103" s="61"/>
      <c r="D103" s="61"/>
      <c r="E103" s="107"/>
    </row>
    <row r="104" spans="1:5">
      <c r="A104" s="95"/>
      <c r="B104" s="104" t="s">
        <v>745</v>
      </c>
      <c r="C104" s="61"/>
      <c r="D104" s="61"/>
      <c r="E104" s="107"/>
    </row>
    <row r="105" spans="1:5">
      <c r="A105" s="95">
        <v>1</v>
      </c>
      <c r="B105" s="61" t="s">
        <v>746</v>
      </c>
      <c r="C105" s="61" t="s">
        <v>747</v>
      </c>
      <c r="D105" s="61"/>
      <c r="E105" s="107">
        <v>75000</v>
      </c>
    </row>
    <row r="106" spans="1:5">
      <c r="A106" s="95">
        <v>2</v>
      </c>
      <c r="B106" s="61" t="s">
        <v>750</v>
      </c>
      <c r="C106" s="61" t="s">
        <v>751</v>
      </c>
      <c r="D106" s="61"/>
      <c r="E106" s="107">
        <v>50000</v>
      </c>
    </row>
    <row r="107" spans="1:5">
      <c r="A107" s="95">
        <v>3</v>
      </c>
      <c r="B107" s="61" t="s">
        <v>670</v>
      </c>
      <c r="C107" s="61" t="s">
        <v>752</v>
      </c>
      <c r="D107" s="61"/>
      <c r="E107" s="107">
        <v>30000</v>
      </c>
    </row>
    <row r="108" spans="1:5">
      <c r="A108" s="95">
        <v>4</v>
      </c>
      <c r="B108" s="61" t="s">
        <v>753</v>
      </c>
      <c r="C108" s="61" t="s">
        <v>752</v>
      </c>
      <c r="D108" s="61"/>
      <c r="E108" s="107">
        <v>30000</v>
      </c>
    </row>
    <row r="109" spans="1:5">
      <c r="A109" s="95">
        <v>5</v>
      </c>
      <c r="B109" s="61" t="s">
        <v>754</v>
      </c>
      <c r="C109" s="61" t="s">
        <v>752</v>
      </c>
      <c r="D109" s="61"/>
      <c r="E109" s="107">
        <v>30000</v>
      </c>
    </row>
    <row r="110" spans="1:5">
      <c r="A110" s="95">
        <v>6</v>
      </c>
      <c r="B110" s="61" t="s">
        <v>755</v>
      </c>
      <c r="C110" s="61" t="s">
        <v>756</v>
      </c>
      <c r="D110" s="61"/>
      <c r="E110" s="107">
        <v>30000</v>
      </c>
    </row>
    <row r="111" spans="1:5">
      <c r="A111" s="95">
        <v>7</v>
      </c>
      <c r="B111" s="61" t="s">
        <v>757</v>
      </c>
      <c r="C111" s="61" t="s">
        <v>628</v>
      </c>
      <c r="D111" s="61"/>
      <c r="E111" s="107">
        <v>30000</v>
      </c>
    </row>
    <row r="112" spans="1:5">
      <c r="A112" s="95">
        <v>8</v>
      </c>
      <c r="B112" s="61" t="s">
        <v>758</v>
      </c>
      <c r="C112" s="61" t="s">
        <v>707</v>
      </c>
      <c r="D112" s="61"/>
      <c r="E112" s="107">
        <v>20000</v>
      </c>
    </row>
    <row r="113" spans="1:5">
      <c r="A113" s="95"/>
      <c r="B113" s="104" t="s">
        <v>84</v>
      </c>
      <c r="C113" s="104"/>
      <c r="D113" s="104"/>
      <c r="E113" s="108">
        <f>SUM(E105:E112)</f>
        <v>295000</v>
      </c>
    </row>
    <row r="114" spans="1:5" ht="15.75">
      <c r="A114" s="61"/>
      <c r="B114" s="113" t="s">
        <v>448</v>
      </c>
      <c r="C114" s="113"/>
      <c r="D114" s="113"/>
      <c r="E114" s="114">
        <f>E17+E27+E55+E102+E113</f>
        <v>4540000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108"/>
  <sheetViews>
    <sheetView workbookViewId="0"/>
  </sheetViews>
  <sheetFormatPr defaultRowHeight="12.75"/>
  <cols>
    <col min="1" max="1" width="6.85546875" customWidth="1"/>
    <col min="3" max="3" width="30.85546875" customWidth="1"/>
    <col min="4" max="4" width="37.85546875" customWidth="1"/>
    <col min="5" max="5" width="14.140625" customWidth="1"/>
    <col min="6" max="6" width="23.140625" customWidth="1"/>
  </cols>
  <sheetData>
    <row r="1" spans="1:6" ht="18">
      <c r="A1" s="33" t="s">
        <v>1</v>
      </c>
      <c r="B1" s="33" t="s">
        <v>523</v>
      </c>
      <c r="C1" s="33"/>
      <c r="D1" s="33" t="s">
        <v>3</v>
      </c>
      <c r="E1" s="33" t="s">
        <v>524</v>
      </c>
      <c r="F1" s="33" t="s">
        <v>117</v>
      </c>
    </row>
    <row r="2" spans="1:6" ht="18">
      <c r="A2" s="31"/>
      <c r="B2" s="363" t="s">
        <v>762</v>
      </c>
      <c r="C2" s="363"/>
      <c r="D2" s="31"/>
      <c r="E2" s="31"/>
      <c r="F2" s="31"/>
    </row>
    <row r="3" spans="1:6" ht="18">
      <c r="A3" s="73">
        <v>1</v>
      </c>
      <c r="B3" s="348" t="s">
        <v>526</v>
      </c>
      <c r="C3" s="348"/>
      <c r="D3" s="30" t="s">
        <v>527</v>
      </c>
      <c r="E3" s="30" t="s">
        <v>528</v>
      </c>
      <c r="F3" s="60">
        <v>150000</v>
      </c>
    </row>
    <row r="4" spans="1:6" ht="18">
      <c r="A4" s="73">
        <v>2</v>
      </c>
      <c r="B4" s="348" t="s">
        <v>529</v>
      </c>
      <c r="C4" s="348"/>
      <c r="D4" s="30" t="s">
        <v>530</v>
      </c>
      <c r="E4" s="121" t="s">
        <v>531</v>
      </c>
      <c r="F4" s="60">
        <v>50000</v>
      </c>
    </row>
    <row r="5" spans="1:6" ht="18">
      <c r="A5" s="73">
        <v>3</v>
      </c>
      <c r="B5" s="462" t="s">
        <v>534</v>
      </c>
      <c r="C5" s="462"/>
      <c r="D5" s="30" t="s">
        <v>535</v>
      </c>
      <c r="E5" s="123" t="s">
        <v>536</v>
      </c>
      <c r="F5" s="60">
        <v>50000</v>
      </c>
    </row>
    <row r="6" spans="1:6" ht="18">
      <c r="A6" s="73">
        <v>4</v>
      </c>
      <c r="B6" s="133" t="s">
        <v>540</v>
      </c>
      <c r="C6" s="133"/>
      <c r="D6" s="31" t="s">
        <v>541</v>
      </c>
      <c r="E6" s="123" t="s">
        <v>542</v>
      </c>
      <c r="F6" s="60">
        <v>50000</v>
      </c>
    </row>
    <row r="7" spans="1:6" ht="18">
      <c r="A7" s="73">
        <v>5</v>
      </c>
      <c r="B7" s="133" t="s">
        <v>543</v>
      </c>
      <c r="C7" s="133"/>
      <c r="D7" s="31" t="s">
        <v>544</v>
      </c>
      <c r="E7" s="123" t="s">
        <v>542</v>
      </c>
      <c r="F7" s="60">
        <v>50000</v>
      </c>
    </row>
    <row r="8" spans="1:6" ht="18">
      <c r="A8" s="73">
        <v>6</v>
      </c>
      <c r="B8" s="133" t="s">
        <v>545</v>
      </c>
      <c r="C8" s="133"/>
      <c r="D8" s="31" t="s">
        <v>546</v>
      </c>
      <c r="E8" s="123" t="s">
        <v>547</v>
      </c>
      <c r="F8" s="60">
        <v>30000</v>
      </c>
    </row>
    <row r="9" spans="1:6" ht="18">
      <c r="A9" s="73">
        <v>7</v>
      </c>
      <c r="B9" s="133" t="s">
        <v>548</v>
      </c>
      <c r="C9" s="133"/>
      <c r="D9" s="31" t="s">
        <v>549</v>
      </c>
      <c r="E9" s="123" t="s">
        <v>550</v>
      </c>
      <c r="F9" s="60">
        <v>30000</v>
      </c>
    </row>
    <row r="10" spans="1:6" ht="18">
      <c r="A10" s="73">
        <v>8</v>
      </c>
      <c r="B10" s="133" t="s">
        <v>551</v>
      </c>
      <c r="C10" s="133"/>
      <c r="D10" s="31" t="s">
        <v>552</v>
      </c>
      <c r="E10" s="73" t="s">
        <v>550</v>
      </c>
      <c r="F10" s="60">
        <v>30000</v>
      </c>
    </row>
    <row r="11" spans="1:6" ht="18">
      <c r="A11" s="73">
        <v>9</v>
      </c>
      <c r="B11" s="133" t="s">
        <v>556</v>
      </c>
      <c r="C11" s="133"/>
      <c r="D11" s="31" t="s">
        <v>557</v>
      </c>
      <c r="E11" s="73" t="s">
        <v>558</v>
      </c>
      <c r="F11" s="60">
        <v>30000</v>
      </c>
    </row>
    <row r="12" spans="1:6" ht="18">
      <c r="A12" s="73">
        <v>10</v>
      </c>
      <c r="B12" s="133" t="s">
        <v>553</v>
      </c>
      <c r="C12" s="133"/>
      <c r="D12" s="31" t="s">
        <v>554</v>
      </c>
      <c r="E12" s="73" t="s">
        <v>555</v>
      </c>
      <c r="F12" s="60">
        <v>20000</v>
      </c>
    </row>
    <row r="13" spans="1:6" ht="18">
      <c r="A13" s="73">
        <v>11</v>
      </c>
      <c r="B13" s="133" t="s">
        <v>559</v>
      </c>
      <c r="C13" s="133"/>
      <c r="D13" s="31" t="s">
        <v>560</v>
      </c>
      <c r="E13" s="73" t="s">
        <v>561</v>
      </c>
      <c r="F13" s="60">
        <v>20000</v>
      </c>
    </row>
    <row r="14" spans="1:6" ht="18">
      <c r="A14" s="73">
        <v>12</v>
      </c>
      <c r="B14" s="35" t="s">
        <v>564</v>
      </c>
      <c r="C14" s="35"/>
      <c r="D14" s="30" t="s">
        <v>565</v>
      </c>
      <c r="E14" s="121" t="s">
        <v>566</v>
      </c>
      <c r="F14" s="60">
        <v>20000</v>
      </c>
    </row>
    <row r="15" spans="1:6" ht="18">
      <c r="A15" s="73">
        <v>13</v>
      </c>
      <c r="B15" s="30" t="s">
        <v>567</v>
      </c>
      <c r="C15" s="30"/>
      <c r="D15" s="30" t="s">
        <v>568</v>
      </c>
      <c r="E15" s="121" t="s">
        <v>561</v>
      </c>
      <c r="F15" s="60">
        <v>20000</v>
      </c>
    </row>
    <row r="16" spans="1:6" ht="18">
      <c r="A16" s="73">
        <v>14</v>
      </c>
      <c r="B16" s="30" t="s">
        <v>569</v>
      </c>
      <c r="C16" s="30"/>
      <c r="D16" s="30" t="s">
        <v>570</v>
      </c>
      <c r="E16" s="121" t="s">
        <v>566</v>
      </c>
      <c r="F16" s="60">
        <v>20000</v>
      </c>
    </row>
    <row r="17" spans="1:6" ht="18">
      <c r="A17" s="73">
        <v>15</v>
      </c>
      <c r="B17" s="348" t="s">
        <v>571</v>
      </c>
      <c r="C17" s="348"/>
      <c r="D17" s="30" t="s">
        <v>572</v>
      </c>
      <c r="E17" s="121" t="s">
        <v>566</v>
      </c>
      <c r="F17" s="60">
        <v>20000</v>
      </c>
    </row>
    <row r="18" spans="1:6" ht="18">
      <c r="A18" s="73"/>
      <c r="B18" s="31"/>
      <c r="C18" s="33" t="s">
        <v>84</v>
      </c>
      <c r="D18" s="28"/>
      <c r="E18" s="73"/>
      <c r="F18" s="63">
        <f>SUM(F3:F17)</f>
        <v>590000</v>
      </c>
    </row>
    <row r="19" spans="1:6" ht="18">
      <c r="A19" s="31"/>
      <c r="B19" s="358"/>
      <c r="C19" s="358"/>
      <c r="D19" s="31"/>
      <c r="E19" s="73"/>
      <c r="F19" s="60"/>
    </row>
    <row r="20" spans="1:6" ht="18">
      <c r="A20" s="31"/>
      <c r="B20" s="359" t="s">
        <v>574</v>
      </c>
      <c r="C20" s="359"/>
      <c r="D20" s="34"/>
      <c r="E20" s="118"/>
      <c r="F20" s="60"/>
    </row>
    <row r="21" spans="1:6" ht="18">
      <c r="A21" s="73">
        <v>1</v>
      </c>
      <c r="B21" s="348" t="s">
        <v>575</v>
      </c>
      <c r="C21" s="348"/>
      <c r="D21" s="30" t="s">
        <v>576</v>
      </c>
      <c r="E21" s="121" t="s">
        <v>577</v>
      </c>
      <c r="F21" s="60">
        <v>50000</v>
      </c>
    </row>
    <row r="22" spans="1:6" ht="18">
      <c r="A22" s="73">
        <v>2</v>
      </c>
      <c r="B22" s="348" t="s">
        <v>578</v>
      </c>
      <c r="C22" s="348"/>
      <c r="D22" s="31" t="s">
        <v>579</v>
      </c>
      <c r="E22" s="73" t="s">
        <v>580</v>
      </c>
      <c r="F22" s="60">
        <v>30000</v>
      </c>
    </row>
    <row r="23" spans="1:6" ht="18">
      <c r="A23" s="73">
        <v>3</v>
      </c>
      <c r="B23" s="348" t="s">
        <v>581</v>
      </c>
      <c r="C23" s="348"/>
      <c r="D23" s="31" t="s">
        <v>582</v>
      </c>
      <c r="E23" s="73" t="s">
        <v>555</v>
      </c>
      <c r="F23" s="60">
        <v>20000</v>
      </c>
    </row>
    <row r="24" spans="1:6" ht="18">
      <c r="A24" s="73">
        <v>4</v>
      </c>
      <c r="B24" s="348" t="s">
        <v>583</v>
      </c>
      <c r="C24" s="348"/>
      <c r="D24" s="31" t="s">
        <v>582</v>
      </c>
      <c r="E24" s="73" t="s">
        <v>555</v>
      </c>
      <c r="F24" s="60">
        <v>20000</v>
      </c>
    </row>
    <row r="25" spans="1:6" ht="18">
      <c r="A25" s="73">
        <v>5</v>
      </c>
      <c r="B25" s="348" t="s">
        <v>584</v>
      </c>
      <c r="C25" s="348"/>
      <c r="D25" s="31" t="s">
        <v>582</v>
      </c>
      <c r="E25" s="73" t="s">
        <v>561</v>
      </c>
      <c r="F25" s="60">
        <v>20000</v>
      </c>
    </row>
    <row r="26" spans="1:6" ht="18">
      <c r="A26" s="73">
        <v>6</v>
      </c>
      <c r="B26" s="348" t="s">
        <v>763</v>
      </c>
      <c r="C26" s="348"/>
      <c r="D26" s="31" t="s">
        <v>582</v>
      </c>
      <c r="E26" s="73" t="s">
        <v>566</v>
      </c>
      <c r="F26" s="60">
        <v>20000</v>
      </c>
    </row>
    <row r="27" spans="1:6" ht="18">
      <c r="A27" s="31"/>
      <c r="B27" s="352" t="s">
        <v>84</v>
      </c>
      <c r="C27" s="352"/>
      <c r="D27" s="28"/>
      <c r="E27" s="28"/>
      <c r="F27" s="63">
        <f>SUM(F21:F26)</f>
        <v>160000</v>
      </c>
    </row>
    <row r="28" spans="1:6" ht="18">
      <c r="A28" s="31"/>
      <c r="B28" s="29"/>
      <c r="C28" s="29"/>
      <c r="D28" s="28"/>
      <c r="E28" s="28"/>
      <c r="F28" s="60"/>
    </row>
    <row r="29" spans="1:6" ht="18">
      <c r="A29" s="31"/>
      <c r="B29" s="352" t="s">
        <v>764</v>
      </c>
      <c r="C29" s="352"/>
      <c r="D29" s="28"/>
      <c r="E29" s="28"/>
      <c r="F29" s="60"/>
    </row>
    <row r="30" spans="1:6" ht="18">
      <c r="A30" s="73">
        <v>1</v>
      </c>
      <c r="B30" s="348" t="s">
        <v>765</v>
      </c>
      <c r="C30" s="348"/>
      <c r="D30" s="133" t="s">
        <v>766</v>
      </c>
      <c r="E30" s="73" t="s">
        <v>542</v>
      </c>
      <c r="F30" s="60">
        <v>50000</v>
      </c>
    </row>
    <row r="31" spans="1:6" ht="18">
      <c r="A31" s="73">
        <v>2</v>
      </c>
      <c r="B31" s="348" t="s">
        <v>767</v>
      </c>
      <c r="C31" s="348"/>
      <c r="D31" s="133" t="s">
        <v>582</v>
      </c>
      <c r="E31" s="73" t="s">
        <v>566</v>
      </c>
      <c r="F31" s="60">
        <v>20000</v>
      </c>
    </row>
    <row r="32" spans="1:6" ht="18">
      <c r="A32" s="31"/>
      <c r="B32" s="352" t="s">
        <v>84</v>
      </c>
      <c r="C32" s="352"/>
      <c r="D32" s="28"/>
      <c r="E32" s="28"/>
      <c r="F32" s="63">
        <f>SUM(F30:F31)</f>
        <v>70000</v>
      </c>
    </row>
    <row r="33" spans="1:6" ht="18">
      <c r="A33" s="31"/>
      <c r="B33" s="355"/>
      <c r="C33" s="355"/>
      <c r="D33" s="28"/>
      <c r="E33" s="28"/>
      <c r="F33" s="60"/>
    </row>
    <row r="34" spans="1:6" ht="18">
      <c r="A34" s="31"/>
      <c r="B34" s="352" t="s">
        <v>586</v>
      </c>
      <c r="C34" s="352"/>
      <c r="D34" s="36"/>
      <c r="E34" s="28"/>
      <c r="F34" s="60"/>
    </row>
    <row r="35" spans="1:6" ht="18">
      <c r="A35" s="73">
        <v>1</v>
      </c>
      <c r="B35" s="348" t="s">
        <v>587</v>
      </c>
      <c r="C35" s="348"/>
      <c r="D35" s="30" t="s">
        <v>588</v>
      </c>
      <c r="E35" s="121" t="s">
        <v>589</v>
      </c>
      <c r="F35" s="60">
        <v>100000</v>
      </c>
    </row>
    <row r="36" spans="1:6" ht="18">
      <c r="A36" s="73">
        <v>2</v>
      </c>
      <c r="B36" s="348" t="s">
        <v>590</v>
      </c>
      <c r="C36" s="348"/>
      <c r="D36" s="31" t="s">
        <v>591</v>
      </c>
      <c r="E36" s="73" t="s">
        <v>577</v>
      </c>
      <c r="F36" s="60">
        <v>50000</v>
      </c>
    </row>
    <row r="37" spans="1:6" ht="18">
      <c r="A37" s="73">
        <v>3</v>
      </c>
      <c r="B37" s="462" t="s">
        <v>598</v>
      </c>
      <c r="C37" s="462"/>
      <c r="D37" s="31" t="s">
        <v>599</v>
      </c>
      <c r="E37" s="73" t="s">
        <v>600</v>
      </c>
      <c r="F37" s="60">
        <v>30000</v>
      </c>
    </row>
    <row r="38" spans="1:6" ht="18">
      <c r="A38" s="73">
        <v>4</v>
      </c>
      <c r="B38" s="348" t="s">
        <v>601</v>
      </c>
      <c r="C38" s="348"/>
      <c r="D38" s="31" t="s">
        <v>602</v>
      </c>
      <c r="E38" s="73" t="s">
        <v>603</v>
      </c>
      <c r="F38" s="60">
        <v>30000</v>
      </c>
    </row>
    <row r="39" spans="1:6" ht="18">
      <c r="A39" s="73">
        <v>5</v>
      </c>
      <c r="B39" s="348" t="s">
        <v>604</v>
      </c>
      <c r="C39" s="348"/>
      <c r="D39" s="31" t="s">
        <v>605</v>
      </c>
      <c r="E39" s="73" t="s">
        <v>603</v>
      </c>
      <c r="F39" s="60">
        <v>30000</v>
      </c>
    </row>
    <row r="40" spans="1:6" ht="18">
      <c r="A40" s="73">
        <v>6</v>
      </c>
      <c r="B40" s="348" t="s">
        <v>606</v>
      </c>
      <c r="C40" s="348"/>
      <c r="D40" s="31" t="s">
        <v>602</v>
      </c>
      <c r="E40" s="73" t="s">
        <v>603</v>
      </c>
      <c r="F40" s="60">
        <v>30000</v>
      </c>
    </row>
    <row r="41" spans="1:6" ht="18">
      <c r="A41" s="73">
        <v>7</v>
      </c>
      <c r="B41" s="348" t="s">
        <v>607</v>
      </c>
      <c r="C41" s="348"/>
      <c r="D41" s="31" t="s">
        <v>579</v>
      </c>
      <c r="E41" s="73" t="s">
        <v>608</v>
      </c>
      <c r="F41" s="60">
        <v>30000</v>
      </c>
    </row>
    <row r="42" spans="1:6" ht="18">
      <c r="A42" s="73">
        <v>8</v>
      </c>
      <c r="B42" s="348" t="s">
        <v>609</v>
      </c>
      <c r="C42" s="348"/>
      <c r="D42" s="31" t="s">
        <v>579</v>
      </c>
      <c r="E42" s="73" t="s">
        <v>558</v>
      </c>
      <c r="F42" s="60">
        <v>30000</v>
      </c>
    </row>
    <row r="43" spans="1:6" ht="18">
      <c r="A43" s="73">
        <v>9</v>
      </c>
      <c r="B43" s="348" t="s">
        <v>610</v>
      </c>
      <c r="C43" s="348"/>
      <c r="D43" s="31" t="s">
        <v>611</v>
      </c>
      <c r="E43" s="73" t="s">
        <v>603</v>
      </c>
      <c r="F43" s="60">
        <v>30000</v>
      </c>
    </row>
    <row r="44" spans="1:6" ht="18">
      <c r="A44" s="73">
        <v>10</v>
      </c>
      <c r="B44" s="348" t="s">
        <v>613</v>
      </c>
      <c r="C44" s="348"/>
      <c r="D44" s="31" t="s">
        <v>602</v>
      </c>
      <c r="E44" s="73" t="s">
        <v>603</v>
      </c>
      <c r="F44" s="60">
        <v>30000</v>
      </c>
    </row>
    <row r="45" spans="1:6" ht="18">
      <c r="A45" s="73">
        <v>11</v>
      </c>
      <c r="B45" s="348" t="s">
        <v>614</v>
      </c>
      <c r="C45" s="348"/>
      <c r="D45" s="31" t="s">
        <v>579</v>
      </c>
      <c r="E45" s="73" t="s">
        <v>558</v>
      </c>
      <c r="F45" s="60">
        <v>30000</v>
      </c>
    </row>
    <row r="46" spans="1:6" ht="18">
      <c r="A46" s="73">
        <v>12</v>
      </c>
      <c r="B46" s="351" t="s">
        <v>615</v>
      </c>
      <c r="C46" s="351"/>
      <c r="D46" s="31" t="s">
        <v>616</v>
      </c>
      <c r="E46" s="73" t="s">
        <v>580</v>
      </c>
      <c r="F46" s="60">
        <v>30000</v>
      </c>
    </row>
    <row r="47" spans="1:6" ht="18">
      <c r="A47" s="73">
        <v>13</v>
      </c>
      <c r="B47" s="348" t="s">
        <v>617</v>
      </c>
      <c r="C47" s="348"/>
      <c r="D47" s="31" t="s">
        <v>618</v>
      </c>
      <c r="E47" s="73" t="s">
        <v>550</v>
      </c>
      <c r="F47" s="60">
        <v>30000</v>
      </c>
    </row>
    <row r="48" spans="1:6" ht="18">
      <c r="A48" s="73">
        <v>14</v>
      </c>
      <c r="B48" s="348" t="s">
        <v>619</v>
      </c>
      <c r="C48" s="348"/>
      <c r="D48" s="31" t="s">
        <v>579</v>
      </c>
      <c r="E48" s="73" t="s">
        <v>550</v>
      </c>
      <c r="F48" s="60">
        <v>30000</v>
      </c>
    </row>
    <row r="49" spans="1:6" ht="18">
      <c r="A49" s="73">
        <v>15</v>
      </c>
      <c r="B49" s="348" t="s">
        <v>768</v>
      </c>
      <c r="C49" s="348"/>
      <c r="D49" s="31" t="s">
        <v>579</v>
      </c>
      <c r="E49" s="73" t="s">
        <v>550</v>
      </c>
      <c r="F49" s="60">
        <v>30000</v>
      </c>
    </row>
    <row r="50" spans="1:6" ht="18">
      <c r="A50" s="73">
        <v>16</v>
      </c>
      <c r="B50" s="348" t="s">
        <v>769</v>
      </c>
      <c r="C50" s="348"/>
      <c r="D50" s="31" t="s">
        <v>616</v>
      </c>
      <c r="E50" s="73" t="s">
        <v>550</v>
      </c>
      <c r="F50" s="60">
        <v>30000</v>
      </c>
    </row>
    <row r="51" spans="1:6" ht="18">
      <c r="A51" s="73">
        <v>17</v>
      </c>
      <c r="B51" s="348" t="s">
        <v>620</v>
      </c>
      <c r="C51" s="348"/>
      <c r="D51" s="31" t="s">
        <v>621</v>
      </c>
      <c r="E51" s="73" t="s">
        <v>555</v>
      </c>
      <c r="F51" s="60">
        <v>20000</v>
      </c>
    </row>
    <row r="52" spans="1:6" ht="18">
      <c r="A52" s="73">
        <v>18</v>
      </c>
      <c r="B52" s="348" t="s">
        <v>622</v>
      </c>
      <c r="C52" s="348"/>
      <c r="D52" s="31" t="s">
        <v>582</v>
      </c>
      <c r="E52" s="73" t="s">
        <v>561</v>
      </c>
      <c r="F52" s="60">
        <v>20000</v>
      </c>
    </row>
    <row r="53" spans="1:6" ht="18">
      <c r="A53" s="73">
        <v>19</v>
      </c>
      <c r="B53" s="348" t="s">
        <v>770</v>
      </c>
      <c r="C53" s="348"/>
      <c r="D53" s="31" t="s">
        <v>582</v>
      </c>
      <c r="E53" s="73" t="s">
        <v>566</v>
      </c>
      <c r="F53" s="60">
        <v>20000</v>
      </c>
    </row>
    <row r="54" spans="1:6" ht="18">
      <c r="A54" s="73">
        <v>20</v>
      </c>
      <c r="B54" s="348" t="s">
        <v>623</v>
      </c>
      <c r="C54" s="348"/>
      <c r="D54" s="31" t="s">
        <v>624</v>
      </c>
      <c r="E54" s="121" t="s">
        <v>625</v>
      </c>
      <c r="F54" s="60">
        <v>20000</v>
      </c>
    </row>
    <row r="55" spans="1:6" ht="18">
      <c r="A55" s="73">
        <v>21</v>
      </c>
      <c r="B55" s="348" t="s">
        <v>626</v>
      </c>
      <c r="C55" s="348"/>
      <c r="D55" s="31" t="s">
        <v>624</v>
      </c>
      <c r="E55" s="121" t="s">
        <v>625</v>
      </c>
      <c r="F55" s="60">
        <v>20000</v>
      </c>
    </row>
    <row r="56" spans="1:6" ht="18">
      <c r="A56" s="73">
        <v>22</v>
      </c>
      <c r="B56" s="348" t="s">
        <v>627</v>
      </c>
      <c r="C56" s="348"/>
      <c r="D56" s="31" t="s">
        <v>628</v>
      </c>
      <c r="E56" s="121" t="s">
        <v>561</v>
      </c>
      <c r="F56" s="60">
        <v>20000</v>
      </c>
    </row>
    <row r="57" spans="1:6" ht="18">
      <c r="A57" s="31"/>
      <c r="B57" s="352" t="s">
        <v>84</v>
      </c>
      <c r="C57" s="352"/>
      <c r="D57" s="28"/>
      <c r="E57" s="28"/>
      <c r="F57" s="63">
        <f>SUM(F35:F56)</f>
        <v>690000</v>
      </c>
    </row>
    <row r="58" spans="1:6" ht="18">
      <c r="A58" s="31"/>
      <c r="B58" s="366"/>
      <c r="C58" s="367"/>
      <c r="D58" s="31"/>
      <c r="E58" s="31"/>
      <c r="F58" s="60"/>
    </row>
    <row r="59" spans="1:6" ht="18">
      <c r="A59" s="31"/>
      <c r="B59" s="352" t="s">
        <v>629</v>
      </c>
      <c r="C59" s="352"/>
      <c r="D59" s="28"/>
      <c r="E59" s="28"/>
      <c r="F59" s="60"/>
    </row>
    <row r="60" spans="1:6" ht="18">
      <c r="A60" s="73">
        <v>1</v>
      </c>
      <c r="B60" s="348" t="s">
        <v>630</v>
      </c>
      <c r="C60" s="348"/>
      <c r="D60" s="30" t="s">
        <v>631</v>
      </c>
      <c r="E60" s="121" t="s">
        <v>632</v>
      </c>
      <c r="F60" s="60">
        <v>100000</v>
      </c>
    </row>
    <row r="61" spans="1:6" ht="18">
      <c r="A61" s="73">
        <v>2</v>
      </c>
      <c r="B61" s="348" t="s">
        <v>633</v>
      </c>
      <c r="C61" s="348"/>
      <c r="D61" s="30" t="s">
        <v>634</v>
      </c>
      <c r="E61" s="121" t="s">
        <v>577</v>
      </c>
      <c r="F61" s="60">
        <v>50000</v>
      </c>
    </row>
    <row r="62" spans="1:6" ht="18">
      <c r="A62" s="73">
        <v>3</v>
      </c>
      <c r="B62" s="348" t="s">
        <v>635</v>
      </c>
      <c r="C62" s="348"/>
      <c r="D62" s="30" t="s">
        <v>636</v>
      </c>
      <c r="E62" s="121" t="s">
        <v>577</v>
      </c>
      <c r="F62" s="60">
        <v>50000</v>
      </c>
    </row>
    <row r="63" spans="1:6" ht="18">
      <c r="A63" s="73">
        <v>4</v>
      </c>
      <c r="B63" s="348" t="s">
        <v>637</v>
      </c>
      <c r="C63" s="348"/>
      <c r="D63" s="30" t="s">
        <v>638</v>
      </c>
      <c r="E63" s="121" t="s">
        <v>536</v>
      </c>
      <c r="F63" s="60">
        <v>50000</v>
      </c>
    </row>
    <row r="64" spans="1:6" ht="18">
      <c r="A64" s="73">
        <v>5</v>
      </c>
      <c r="B64" s="462" t="s">
        <v>639</v>
      </c>
      <c r="C64" s="462"/>
      <c r="D64" s="30" t="s">
        <v>640</v>
      </c>
      <c r="E64" s="121" t="s">
        <v>536</v>
      </c>
      <c r="F64" s="60">
        <v>50000</v>
      </c>
    </row>
    <row r="65" spans="1:6" ht="18">
      <c r="A65" s="73">
        <v>6</v>
      </c>
      <c r="B65" s="348" t="s">
        <v>641</v>
      </c>
      <c r="C65" s="348"/>
      <c r="D65" s="30" t="s">
        <v>642</v>
      </c>
      <c r="E65" s="121" t="s">
        <v>580</v>
      </c>
      <c r="F65" s="60">
        <v>30000</v>
      </c>
    </row>
    <row r="66" spans="1:6" ht="18">
      <c r="A66" s="73">
        <v>7</v>
      </c>
      <c r="B66" s="348" t="s">
        <v>645</v>
      </c>
      <c r="C66" s="348"/>
      <c r="D66" s="30" t="s">
        <v>646</v>
      </c>
      <c r="E66" s="121" t="s">
        <v>550</v>
      </c>
      <c r="F66" s="60">
        <v>30000</v>
      </c>
    </row>
    <row r="67" spans="1:6" ht="18">
      <c r="A67" s="73">
        <v>8</v>
      </c>
      <c r="B67" s="348" t="s">
        <v>647</v>
      </c>
      <c r="C67" s="348"/>
      <c r="D67" s="30" t="s">
        <v>648</v>
      </c>
      <c r="E67" s="121" t="s">
        <v>550</v>
      </c>
      <c r="F67" s="60">
        <v>30000</v>
      </c>
    </row>
    <row r="68" spans="1:6" ht="18">
      <c r="A68" s="73">
        <v>9</v>
      </c>
      <c r="B68" s="349" t="s">
        <v>771</v>
      </c>
      <c r="C68" s="350"/>
      <c r="D68" s="30" t="s">
        <v>772</v>
      </c>
      <c r="E68" s="121" t="s">
        <v>550</v>
      </c>
      <c r="F68" s="60">
        <v>30000</v>
      </c>
    </row>
    <row r="69" spans="1:6" ht="18">
      <c r="A69" s="73">
        <v>10</v>
      </c>
      <c r="B69" s="351" t="s">
        <v>649</v>
      </c>
      <c r="C69" s="351"/>
      <c r="D69" s="31" t="s">
        <v>650</v>
      </c>
      <c r="E69" s="121" t="s">
        <v>550</v>
      </c>
      <c r="F69" s="60">
        <v>30000</v>
      </c>
    </row>
    <row r="70" spans="1:6" ht="18">
      <c r="A70" s="73">
        <v>11</v>
      </c>
      <c r="B70" s="348" t="s">
        <v>651</v>
      </c>
      <c r="C70" s="348"/>
      <c r="D70" s="30" t="s">
        <v>652</v>
      </c>
      <c r="E70" s="121" t="s">
        <v>566</v>
      </c>
      <c r="F70" s="60">
        <v>20000</v>
      </c>
    </row>
    <row r="71" spans="1:6" ht="18">
      <c r="A71" s="73">
        <v>12</v>
      </c>
      <c r="B71" s="348" t="s">
        <v>653</v>
      </c>
      <c r="C71" s="348"/>
      <c r="D71" s="30" t="s">
        <v>652</v>
      </c>
      <c r="E71" s="121" t="s">
        <v>566</v>
      </c>
      <c r="F71" s="60">
        <v>20000</v>
      </c>
    </row>
    <row r="72" spans="1:6" ht="18">
      <c r="A72" s="73">
        <v>13</v>
      </c>
      <c r="B72" s="462" t="s">
        <v>654</v>
      </c>
      <c r="C72" s="462"/>
      <c r="D72" s="30" t="s">
        <v>655</v>
      </c>
      <c r="E72" s="121" t="s">
        <v>566</v>
      </c>
      <c r="F72" s="60">
        <v>20000</v>
      </c>
    </row>
    <row r="73" spans="1:6" ht="18">
      <c r="A73" s="73">
        <v>14</v>
      </c>
      <c r="B73" s="348" t="s">
        <v>656</v>
      </c>
      <c r="C73" s="348"/>
      <c r="D73" s="30" t="s">
        <v>655</v>
      </c>
      <c r="E73" s="121" t="s">
        <v>566</v>
      </c>
      <c r="F73" s="60">
        <v>20000</v>
      </c>
    </row>
    <row r="74" spans="1:6" ht="18">
      <c r="A74" s="73">
        <v>15</v>
      </c>
      <c r="B74" s="348" t="s">
        <v>657</v>
      </c>
      <c r="C74" s="348"/>
      <c r="D74" s="30" t="s">
        <v>655</v>
      </c>
      <c r="E74" s="121" t="s">
        <v>566</v>
      </c>
      <c r="F74" s="60">
        <v>20000</v>
      </c>
    </row>
    <row r="75" spans="1:6" ht="18">
      <c r="A75" s="73">
        <v>16</v>
      </c>
      <c r="B75" s="348" t="s">
        <v>658</v>
      </c>
      <c r="C75" s="348"/>
      <c r="D75" s="30" t="s">
        <v>659</v>
      </c>
      <c r="E75" s="121" t="s">
        <v>561</v>
      </c>
      <c r="F75" s="60">
        <v>20000</v>
      </c>
    </row>
    <row r="76" spans="1:6" ht="18">
      <c r="A76" s="73">
        <v>17</v>
      </c>
      <c r="B76" s="348" t="s">
        <v>660</v>
      </c>
      <c r="C76" s="348"/>
      <c r="D76" s="30" t="s">
        <v>661</v>
      </c>
      <c r="E76" s="121" t="s">
        <v>561</v>
      </c>
      <c r="F76" s="60">
        <v>20000</v>
      </c>
    </row>
    <row r="77" spans="1:6" ht="18">
      <c r="A77" s="73">
        <v>18</v>
      </c>
      <c r="B77" s="348" t="s">
        <v>662</v>
      </c>
      <c r="C77" s="348"/>
      <c r="D77" s="30" t="s">
        <v>663</v>
      </c>
      <c r="E77" s="121" t="s">
        <v>561</v>
      </c>
      <c r="F77" s="60">
        <v>20000</v>
      </c>
    </row>
    <row r="78" spans="1:6" ht="18">
      <c r="A78" s="73">
        <v>19</v>
      </c>
      <c r="B78" s="348" t="s">
        <v>664</v>
      </c>
      <c r="C78" s="348"/>
      <c r="D78" s="31" t="s">
        <v>663</v>
      </c>
      <c r="E78" s="121" t="s">
        <v>561</v>
      </c>
      <c r="F78" s="60">
        <v>20000</v>
      </c>
    </row>
    <row r="79" spans="1:6" ht="18">
      <c r="A79" s="73">
        <v>20</v>
      </c>
      <c r="B79" s="348" t="s">
        <v>665</v>
      </c>
      <c r="C79" s="348"/>
      <c r="D79" s="30" t="s">
        <v>666</v>
      </c>
      <c r="E79" s="121" t="s">
        <v>667</v>
      </c>
      <c r="F79" s="60">
        <v>20000</v>
      </c>
    </row>
    <row r="80" spans="1:6" ht="18">
      <c r="A80" s="73">
        <v>21</v>
      </c>
      <c r="B80" s="348" t="s">
        <v>668</v>
      </c>
      <c r="C80" s="348"/>
      <c r="D80" s="30" t="s">
        <v>666</v>
      </c>
      <c r="E80" s="121" t="s">
        <v>667</v>
      </c>
      <c r="F80" s="60">
        <v>20000</v>
      </c>
    </row>
    <row r="81" spans="1:6" ht="18">
      <c r="A81" s="73">
        <v>22</v>
      </c>
      <c r="B81" s="348" t="s">
        <v>669</v>
      </c>
      <c r="C81" s="348"/>
      <c r="D81" s="30" t="s">
        <v>666</v>
      </c>
      <c r="E81" s="121" t="s">
        <v>566</v>
      </c>
      <c r="F81" s="60">
        <v>20000</v>
      </c>
    </row>
    <row r="82" spans="1:6" ht="18">
      <c r="A82" s="73">
        <v>23</v>
      </c>
      <c r="B82" s="348" t="s">
        <v>670</v>
      </c>
      <c r="C82" s="348"/>
      <c r="D82" s="30" t="s">
        <v>671</v>
      </c>
      <c r="E82" s="121" t="s">
        <v>672</v>
      </c>
      <c r="F82" s="60">
        <v>20000</v>
      </c>
    </row>
    <row r="83" spans="1:6" ht="18">
      <c r="A83" s="73">
        <v>24</v>
      </c>
      <c r="B83" s="348" t="s">
        <v>673</v>
      </c>
      <c r="C83" s="348"/>
      <c r="D83" s="30" t="s">
        <v>666</v>
      </c>
      <c r="E83" s="121" t="s">
        <v>674</v>
      </c>
      <c r="F83" s="60">
        <v>20000</v>
      </c>
    </row>
    <row r="84" spans="1:6" ht="18">
      <c r="A84" s="73">
        <v>25</v>
      </c>
      <c r="B84" s="348" t="s">
        <v>675</v>
      </c>
      <c r="C84" s="348"/>
      <c r="D84" s="30" t="s">
        <v>288</v>
      </c>
      <c r="E84" s="121"/>
      <c r="F84" s="60">
        <v>20000</v>
      </c>
    </row>
    <row r="85" spans="1:6" ht="18">
      <c r="A85" s="73">
        <v>26</v>
      </c>
      <c r="B85" s="348" t="s">
        <v>676</v>
      </c>
      <c r="C85" s="348"/>
      <c r="D85" s="30" t="s">
        <v>677</v>
      </c>
      <c r="E85" s="121" t="s">
        <v>678</v>
      </c>
      <c r="F85" s="60">
        <v>10000</v>
      </c>
    </row>
    <row r="86" spans="1:6" ht="18">
      <c r="A86" s="73">
        <v>27</v>
      </c>
      <c r="B86" s="348" t="s">
        <v>679</v>
      </c>
      <c r="C86" s="348"/>
      <c r="D86" s="30" t="s">
        <v>677</v>
      </c>
      <c r="E86" s="121" t="s">
        <v>678</v>
      </c>
      <c r="F86" s="60">
        <v>10000</v>
      </c>
    </row>
    <row r="87" spans="1:6" ht="18">
      <c r="A87" s="73">
        <v>28</v>
      </c>
      <c r="B87" s="348" t="s">
        <v>680</v>
      </c>
      <c r="C87" s="348"/>
      <c r="D87" s="30" t="s">
        <v>677</v>
      </c>
      <c r="E87" s="121" t="s">
        <v>678</v>
      </c>
      <c r="F87" s="60">
        <v>10000</v>
      </c>
    </row>
    <row r="88" spans="1:6" ht="18">
      <c r="A88" s="73">
        <v>29</v>
      </c>
      <c r="B88" s="348" t="s">
        <v>681</v>
      </c>
      <c r="C88" s="348"/>
      <c r="D88" s="30" t="s">
        <v>677</v>
      </c>
      <c r="E88" s="121" t="s">
        <v>678</v>
      </c>
      <c r="F88" s="60">
        <v>10000</v>
      </c>
    </row>
    <row r="89" spans="1:6" ht="18">
      <c r="A89" s="73">
        <v>30</v>
      </c>
      <c r="B89" s="348" t="s">
        <v>682</v>
      </c>
      <c r="C89" s="348"/>
      <c r="D89" s="30" t="s">
        <v>677</v>
      </c>
      <c r="E89" s="121" t="s">
        <v>678</v>
      </c>
      <c r="F89" s="60">
        <v>10000</v>
      </c>
    </row>
    <row r="90" spans="1:6" ht="18">
      <c r="A90" s="73">
        <v>31</v>
      </c>
      <c r="B90" s="348" t="s">
        <v>683</v>
      </c>
      <c r="C90" s="348"/>
      <c r="D90" s="30" t="s">
        <v>677</v>
      </c>
      <c r="E90" s="121" t="s">
        <v>678</v>
      </c>
      <c r="F90" s="60">
        <v>10000</v>
      </c>
    </row>
    <row r="91" spans="1:6" ht="18">
      <c r="A91" s="73">
        <v>32</v>
      </c>
      <c r="B91" s="348" t="s">
        <v>684</v>
      </c>
      <c r="C91" s="348"/>
      <c r="D91" s="30" t="s">
        <v>677</v>
      </c>
      <c r="E91" s="121" t="s">
        <v>678</v>
      </c>
      <c r="F91" s="60">
        <v>10000</v>
      </c>
    </row>
    <row r="92" spans="1:6" ht="18">
      <c r="A92" s="73">
        <v>33</v>
      </c>
      <c r="B92" s="348" t="s">
        <v>685</v>
      </c>
      <c r="C92" s="348"/>
      <c r="D92" s="30" t="s">
        <v>677</v>
      </c>
      <c r="E92" s="121" t="s">
        <v>678</v>
      </c>
      <c r="F92" s="60">
        <v>10000</v>
      </c>
    </row>
    <row r="93" spans="1:6" ht="18">
      <c r="A93" s="73">
        <v>34</v>
      </c>
      <c r="B93" s="348" t="s">
        <v>686</v>
      </c>
      <c r="C93" s="348"/>
      <c r="D93" s="30" t="s">
        <v>687</v>
      </c>
      <c r="E93" s="121" t="s">
        <v>688</v>
      </c>
      <c r="F93" s="60">
        <v>10000</v>
      </c>
    </row>
    <row r="94" spans="1:6" ht="18">
      <c r="A94" s="73">
        <v>35</v>
      </c>
      <c r="B94" s="348" t="s">
        <v>689</v>
      </c>
      <c r="C94" s="348"/>
      <c r="D94" s="30" t="s">
        <v>687</v>
      </c>
      <c r="E94" s="121" t="s">
        <v>688</v>
      </c>
      <c r="F94" s="60">
        <v>10000</v>
      </c>
    </row>
    <row r="95" spans="1:6" ht="18">
      <c r="A95" s="73">
        <v>36</v>
      </c>
      <c r="B95" s="348" t="s">
        <v>690</v>
      </c>
      <c r="C95" s="348"/>
      <c r="D95" s="30" t="s">
        <v>687</v>
      </c>
      <c r="E95" s="121" t="s">
        <v>688</v>
      </c>
      <c r="F95" s="60">
        <v>10000</v>
      </c>
    </row>
    <row r="96" spans="1:6" ht="18">
      <c r="A96" s="73">
        <v>37</v>
      </c>
      <c r="B96" s="31" t="s">
        <v>691</v>
      </c>
      <c r="C96" s="31"/>
      <c r="D96" s="30" t="s">
        <v>687</v>
      </c>
      <c r="E96" s="121" t="s">
        <v>688</v>
      </c>
      <c r="F96" s="60">
        <v>10000</v>
      </c>
    </row>
    <row r="97" spans="1:6" ht="18">
      <c r="A97" s="73">
        <v>38</v>
      </c>
      <c r="B97" s="348" t="s">
        <v>692</v>
      </c>
      <c r="C97" s="348"/>
      <c r="D97" s="30" t="s">
        <v>687</v>
      </c>
      <c r="E97" s="121" t="s">
        <v>688</v>
      </c>
      <c r="F97" s="60">
        <v>10000</v>
      </c>
    </row>
    <row r="98" spans="1:6" ht="18">
      <c r="A98" s="73">
        <v>39</v>
      </c>
      <c r="B98" s="30" t="s">
        <v>693</v>
      </c>
      <c r="C98" s="31"/>
      <c r="D98" s="30" t="s">
        <v>687</v>
      </c>
      <c r="E98" s="121" t="s">
        <v>694</v>
      </c>
      <c r="F98" s="60">
        <v>10000</v>
      </c>
    </row>
    <row r="99" spans="1:6" ht="18">
      <c r="A99" s="73">
        <v>40</v>
      </c>
      <c r="B99" s="30" t="s">
        <v>695</v>
      </c>
      <c r="C99" s="31"/>
      <c r="D99" s="30" t="s">
        <v>687</v>
      </c>
      <c r="E99" s="121" t="s">
        <v>688</v>
      </c>
      <c r="F99" s="60">
        <v>10000</v>
      </c>
    </row>
    <row r="100" spans="1:6" ht="18">
      <c r="A100" s="73">
        <v>41</v>
      </c>
      <c r="B100" s="30" t="s">
        <v>696</v>
      </c>
      <c r="C100" s="31"/>
      <c r="D100" s="30" t="s">
        <v>687</v>
      </c>
      <c r="E100" s="121" t="s">
        <v>694</v>
      </c>
      <c r="F100" s="60">
        <v>10000</v>
      </c>
    </row>
    <row r="101" spans="1:6" ht="18">
      <c r="A101" s="73">
        <v>42</v>
      </c>
      <c r="B101" s="30" t="s">
        <v>697</v>
      </c>
      <c r="C101" s="31"/>
      <c r="D101" s="30" t="s">
        <v>698</v>
      </c>
      <c r="E101" s="121"/>
      <c r="F101" s="60">
        <v>10000</v>
      </c>
    </row>
    <row r="102" spans="1:6" ht="18">
      <c r="A102" s="73">
        <v>43</v>
      </c>
      <c r="B102" s="30" t="s">
        <v>699</v>
      </c>
      <c r="C102" s="31"/>
      <c r="D102" s="30" t="s">
        <v>698</v>
      </c>
      <c r="E102" s="121"/>
      <c r="F102" s="60">
        <v>10000</v>
      </c>
    </row>
    <row r="103" spans="1:6" ht="18">
      <c r="A103" s="73">
        <v>44</v>
      </c>
      <c r="B103" s="30" t="s">
        <v>16</v>
      </c>
      <c r="C103" s="31"/>
      <c r="D103" s="30" t="s">
        <v>17</v>
      </c>
      <c r="E103" s="121"/>
      <c r="F103" s="60">
        <v>10000</v>
      </c>
    </row>
    <row r="104" spans="1:6" ht="18">
      <c r="A104" s="73">
        <v>45</v>
      </c>
      <c r="B104" s="348" t="s">
        <v>702</v>
      </c>
      <c r="C104" s="348"/>
      <c r="D104" s="30" t="s">
        <v>703</v>
      </c>
      <c r="E104" s="121"/>
      <c r="F104" s="60">
        <v>10000</v>
      </c>
    </row>
    <row r="105" spans="1:6" ht="18">
      <c r="A105" s="73">
        <v>46</v>
      </c>
      <c r="B105" s="348" t="s">
        <v>773</v>
      </c>
      <c r="C105" s="348"/>
      <c r="D105" s="30" t="s">
        <v>774</v>
      </c>
      <c r="E105" s="121"/>
      <c r="F105" s="60">
        <v>10000</v>
      </c>
    </row>
    <row r="106" spans="1:6" ht="18">
      <c r="A106" s="130">
        <v>47</v>
      </c>
      <c r="B106" s="30" t="s">
        <v>412</v>
      </c>
      <c r="C106" s="31"/>
      <c r="D106" s="30" t="s">
        <v>23</v>
      </c>
      <c r="E106" s="121"/>
      <c r="F106" s="60">
        <v>10000</v>
      </c>
    </row>
    <row r="107" spans="1:6" ht="18">
      <c r="A107" s="31"/>
      <c r="B107" s="356" t="s">
        <v>84</v>
      </c>
      <c r="C107" s="357"/>
      <c r="D107" s="131"/>
      <c r="E107" s="121"/>
      <c r="F107" s="66">
        <f>SUM(F60:F106)</f>
        <v>970000</v>
      </c>
    </row>
    <row r="108" spans="1:6" ht="29.45" customHeight="1">
      <c r="A108" s="33"/>
      <c r="B108" s="364" t="s">
        <v>448</v>
      </c>
      <c r="C108" s="365"/>
      <c r="D108" s="33"/>
      <c r="E108" s="33"/>
      <c r="F108" s="66">
        <f>F18+F27+F32+F57+F107</f>
        <v>2480000</v>
      </c>
    </row>
  </sheetData>
  <mergeCells count="86">
    <mergeCell ref="B108:C108"/>
    <mergeCell ref="B58:C58"/>
    <mergeCell ref="B68:C68"/>
    <mergeCell ref="B97:C97"/>
    <mergeCell ref="B104:C104"/>
    <mergeCell ref="B105:C105"/>
    <mergeCell ref="B91:C91"/>
    <mergeCell ref="B92:C92"/>
    <mergeCell ref="B93:C93"/>
    <mergeCell ref="B94:C94"/>
    <mergeCell ref="B95:C95"/>
    <mergeCell ref="B89:C89"/>
    <mergeCell ref="B73:C73"/>
    <mergeCell ref="B87:C87"/>
    <mergeCell ref="B78:C78"/>
    <mergeCell ref="B65:C65"/>
    <mergeCell ref="B37:C37"/>
    <mergeCell ref="B38:C38"/>
    <mergeCell ref="B39:C39"/>
    <mergeCell ref="B32:C32"/>
    <mergeCell ref="B33:C33"/>
    <mergeCell ref="B34:C34"/>
    <mergeCell ref="B35:C35"/>
    <mergeCell ref="B27:C27"/>
    <mergeCell ref="B29:C29"/>
    <mergeCell ref="B30:C30"/>
    <mergeCell ref="B31:C31"/>
    <mergeCell ref="B36:C36"/>
    <mergeCell ref="B71:C71"/>
    <mergeCell ref="B90:C90"/>
    <mergeCell ref="B81:C81"/>
    <mergeCell ref="B88:C88"/>
    <mergeCell ref="B25:C25"/>
    <mergeCell ref="B85:C85"/>
    <mergeCell ref="B82:C82"/>
    <mergeCell ref="B84:C84"/>
    <mergeCell ref="B79:C79"/>
    <mergeCell ref="B80:C80"/>
    <mergeCell ref="B69:C69"/>
    <mergeCell ref="B54:C54"/>
    <mergeCell ref="B42:C42"/>
    <mergeCell ref="B43:C43"/>
    <mergeCell ref="B44:C44"/>
    <mergeCell ref="B45:C45"/>
    <mergeCell ref="B5:C5"/>
    <mergeCell ref="B17:C17"/>
    <mergeCell ref="B107:C107"/>
    <mergeCell ref="B72:C72"/>
    <mergeCell ref="B74:C74"/>
    <mergeCell ref="B41:C41"/>
    <mergeCell ref="B40:C40"/>
    <mergeCell ref="B57:C57"/>
    <mergeCell ref="B70:C70"/>
    <mergeCell ref="B50:C50"/>
    <mergeCell ref="B59:C59"/>
    <mergeCell ref="B60:C60"/>
    <mergeCell ref="B62:C62"/>
    <mergeCell ref="B63:C63"/>
    <mergeCell ref="B55:C55"/>
    <mergeCell ref="B86:C86"/>
    <mergeCell ref="B2:C2"/>
    <mergeCell ref="B3:C3"/>
    <mergeCell ref="B66:C66"/>
    <mergeCell ref="B67:C67"/>
    <mergeCell ref="B83:C83"/>
    <mergeCell ref="B75:C75"/>
    <mergeCell ref="B76:C76"/>
    <mergeCell ref="B77:C77"/>
    <mergeCell ref="B4:C4"/>
    <mergeCell ref="B26:C26"/>
    <mergeCell ref="B19:C19"/>
    <mergeCell ref="B22:C22"/>
    <mergeCell ref="B21:C21"/>
    <mergeCell ref="B20:C20"/>
    <mergeCell ref="B23:C23"/>
    <mergeCell ref="B24:C24"/>
    <mergeCell ref="B46:C46"/>
    <mergeCell ref="B47:C47"/>
    <mergeCell ref="B48:C48"/>
    <mergeCell ref="B49:C49"/>
    <mergeCell ref="B51:C51"/>
    <mergeCell ref="B52:C52"/>
    <mergeCell ref="B64:C64"/>
    <mergeCell ref="B56:C56"/>
    <mergeCell ref="B61:C61"/>
    <mergeCell ref="B53:C53"/>
  </mergeCells>
  <pageMargins left="0.45" right="0.45" top="0.5" bottom="0.5" header="0.3" footer="0.3"/>
  <pageSetup scale="8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63"/>
  <sheetViews>
    <sheetView topLeftCell="A36" zoomScale="91" workbookViewId="0"/>
  </sheetViews>
  <sheetFormatPr defaultRowHeight="12.75"/>
  <cols>
    <col min="1" max="1" width="4.5703125" customWidth="1"/>
    <col min="4" max="4" width="9.5703125" customWidth="1"/>
    <col min="5" max="5" width="17.5703125" customWidth="1"/>
    <col min="6" max="6" width="29.140625" customWidth="1"/>
    <col min="7" max="7" width="25.42578125" customWidth="1"/>
    <col min="8" max="8" width="21.140625" customWidth="1"/>
    <col min="9" max="9" width="16.85546875" customWidth="1"/>
    <col min="10" max="10" width="17" customWidth="1"/>
    <col min="11" max="11" width="17" bestFit="1" customWidth="1"/>
  </cols>
  <sheetData>
    <row r="1" spans="1:8" ht="20.25">
      <c r="A1" s="374" t="s">
        <v>775</v>
      </c>
      <c r="B1" s="374"/>
      <c r="C1" s="374"/>
      <c r="D1" s="374"/>
      <c r="E1" s="374"/>
      <c r="F1" s="374"/>
      <c r="G1" s="374"/>
      <c r="H1" s="374"/>
    </row>
    <row r="2" spans="1:8" ht="11.1" customHeight="1">
      <c r="A2" s="101"/>
      <c r="B2" s="101"/>
      <c r="C2" s="101"/>
      <c r="D2" s="101"/>
      <c r="E2" s="101"/>
      <c r="F2" s="101"/>
      <c r="G2" s="101"/>
      <c r="H2" s="101"/>
    </row>
    <row r="3" spans="1:8" ht="15.6" customHeight="1">
      <c r="A3" s="375" t="s">
        <v>776</v>
      </c>
      <c r="B3" s="375"/>
      <c r="C3" s="375"/>
      <c r="D3" s="375"/>
      <c r="E3" s="375"/>
      <c r="F3" s="375"/>
      <c r="G3" s="375"/>
      <c r="H3" s="375"/>
    </row>
    <row r="4" spans="1:8" ht="9.6" customHeight="1">
      <c r="A4" s="1"/>
      <c r="B4" s="1"/>
      <c r="C4" s="1"/>
      <c r="D4" s="1"/>
      <c r="E4" s="1"/>
      <c r="F4" s="1"/>
      <c r="G4" s="1"/>
      <c r="H4" s="1"/>
    </row>
    <row r="5" spans="1:8" ht="15" customHeight="1">
      <c r="A5" s="176" t="s">
        <v>777</v>
      </c>
      <c r="B5" s="176"/>
      <c r="C5" s="176"/>
      <c r="D5" s="176"/>
      <c r="E5" s="176"/>
      <c r="F5" s="176"/>
      <c r="G5" s="1"/>
      <c r="H5" s="1"/>
    </row>
    <row r="6" spans="1:8" ht="16.350000000000001" customHeight="1">
      <c r="A6" s="369" t="s">
        <v>778</v>
      </c>
      <c r="B6" s="369"/>
      <c r="C6" s="369"/>
      <c r="D6" s="369"/>
      <c r="E6" s="369"/>
      <c r="F6" s="369"/>
      <c r="G6" s="1"/>
      <c r="H6" s="1"/>
    </row>
    <row r="7" spans="1:8" ht="15" customHeight="1">
      <c r="A7" s="369" t="s">
        <v>779</v>
      </c>
      <c r="B7" s="369"/>
      <c r="C7" s="369"/>
      <c r="D7" s="369"/>
      <c r="E7" s="369"/>
      <c r="F7" s="369"/>
      <c r="G7" s="1"/>
      <c r="H7" s="1"/>
    </row>
    <row r="8" spans="1:8" ht="14.45" customHeight="1">
      <c r="A8" s="369" t="s">
        <v>780</v>
      </c>
      <c r="B8" s="369"/>
      <c r="C8" s="369"/>
      <c r="D8" s="369"/>
      <c r="E8" s="369"/>
      <c r="F8" s="1"/>
      <c r="G8" s="1"/>
      <c r="H8" s="1"/>
    </row>
    <row r="9" spans="1:8" ht="11.1" customHeight="1">
      <c r="A9" s="1"/>
      <c r="B9" s="1"/>
      <c r="C9" s="1"/>
      <c r="D9" s="1"/>
      <c r="E9" s="1"/>
      <c r="F9" s="1"/>
      <c r="G9" s="1"/>
      <c r="H9" s="1"/>
    </row>
    <row r="10" spans="1:8" ht="18.600000000000001" customHeight="1">
      <c r="A10" s="370" t="s">
        <v>781</v>
      </c>
      <c r="B10" s="370"/>
      <c r="C10" s="370"/>
      <c r="D10" s="370"/>
      <c r="E10" s="370"/>
      <c r="F10" s="370"/>
      <c r="G10" s="1"/>
      <c r="H10" s="1"/>
    </row>
    <row r="11" spans="1:8" ht="19.350000000000001" customHeight="1">
      <c r="A11" s="369" t="s">
        <v>782</v>
      </c>
      <c r="B11" s="369"/>
      <c r="C11" s="369"/>
      <c r="D11" s="369"/>
      <c r="E11" s="369"/>
      <c r="F11" s="369"/>
      <c r="G11" s="369"/>
      <c r="H11" s="369"/>
    </row>
    <row r="12" spans="1:8" ht="13.35" customHeight="1">
      <c r="A12" s="1"/>
      <c r="B12" s="1"/>
      <c r="C12" s="1"/>
      <c r="D12" s="1"/>
      <c r="E12" s="1"/>
      <c r="F12" s="1"/>
      <c r="G12" s="1"/>
      <c r="H12" s="1"/>
    </row>
    <row r="13" spans="1:8" ht="18.75">
      <c r="A13" s="1"/>
      <c r="B13" s="1"/>
      <c r="C13" s="1"/>
      <c r="D13" s="1"/>
      <c r="E13" s="376" t="s">
        <v>783</v>
      </c>
      <c r="F13" s="377"/>
      <c r="G13" s="376" t="s">
        <v>784</v>
      </c>
      <c r="H13" s="377"/>
    </row>
    <row r="14" spans="1:8" ht="14.1" customHeight="1">
      <c r="A14" s="1"/>
      <c r="B14" s="1"/>
      <c r="C14" s="1"/>
      <c r="D14" s="1"/>
      <c r="E14" s="9" t="s">
        <v>785</v>
      </c>
      <c r="F14" s="45" t="s">
        <v>117</v>
      </c>
      <c r="G14" s="9" t="s">
        <v>785</v>
      </c>
      <c r="H14" s="45" t="s">
        <v>117</v>
      </c>
    </row>
    <row r="15" spans="1:8" ht="15" customHeight="1">
      <c r="A15" s="1"/>
      <c r="B15" s="1"/>
      <c r="C15" s="1"/>
      <c r="D15" s="1"/>
      <c r="E15" s="9" t="s">
        <v>786</v>
      </c>
      <c r="F15" s="56" t="s">
        <v>13</v>
      </c>
      <c r="G15" s="9" t="s">
        <v>786</v>
      </c>
      <c r="H15" s="56" t="s">
        <v>13</v>
      </c>
    </row>
    <row r="16" spans="1:8" ht="18.75">
      <c r="A16" s="13">
        <v>1</v>
      </c>
      <c r="B16" s="378" t="s">
        <v>787</v>
      </c>
      <c r="C16" s="369"/>
      <c r="D16" s="369"/>
      <c r="E16" s="3">
        <v>20</v>
      </c>
      <c r="F16" s="14" t="e">
        <f>#REF!</f>
        <v>#REF!</v>
      </c>
      <c r="G16" s="3">
        <v>20</v>
      </c>
      <c r="H16" s="14" t="e">
        <f>#REF!</f>
        <v>#REF!</v>
      </c>
    </row>
    <row r="17" spans="1:9" ht="18.75">
      <c r="A17" s="13">
        <v>2</v>
      </c>
      <c r="B17" s="369" t="s">
        <v>788</v>
      </c>
      <c r="C17" s="369"/>
      <c r="D17" s="369"/>
      <c r="E17" s="3">
        <v>12</v>
      </c>
      <c r="F17" s="14" t="e">
        <f>#REF!</f>
        <v>#REF!</v>
      </c>
      <c r="G17" s="3">
        <v>12</v>
      </c>
      <c r="H17" s="14" t="e">
        <f>#REF!</f>
        <v>#REF!</v>
      </c>
    </row>
    <row r="18" spans="1:9" ht="18.75">
      <c r="A18" s="13">
        <v>3</v>
      </c>
      <c r="B18" s="369" t="s">
        <v>789</v>
      </c>
      <c r="C18" s="369"/>
      <c r="D18" s="371"/>
      <c r="E18" s="3">
        <v>2</v>
      </c>
      <c r="F18" s="14" t="e">
        <f>#REF!</f>
        <v>#REF!</v>
      </c>
      <c r="G18" s="3">
        <v>2</v>
      </c>
      <c r="H18" s="14" t="e">
        <f>#REF!</f>
        <v>#REF!</v>
      </c>
    </row>
    <row r="19" spans="1:9" ht="18.75">
      <c r="A19" s="13">
        <v>4</v>
      </c>
      <c r="B19" s="369" t="s">
        <v>790</v>
      </c>
      <c r="C19" s="369"/>
      <c r="D19" s="371"/>
      <c r="E19" s="3">
        <v>3</v>
      </c>
      <c r="F19" s="14" t="e">
        <f>#REF!</f>
        <v>#REF!</v>
      </c>
      <c r="G19" s="3">
        <v>3</v>
      </c>
      <c r="H19" s="14" t="e">
        <f>#REF!</f>
        <v>#REF!</v>
      </c>
    </row>
    <row r="20" spans="1:9" ht="18.75">
      <c r="A20" s="13">
        <v>5</v>
      </c>
      <c r="B20" s="369" t="s">
        <v>791</v>
      </c>
      <c r="C20" s="369"/>
      <c r="D20" s="371"/>
      <c r="E20" s="3">
        <v>3</v>
      </c>
      <c r="F20" s="14" t="e">
        <f>#REF!</f>
        <v>#REF!</v>
      </c>
      <c r="G20" s="3">
        <v>3</v>
      </c>
      <c r="H20" s="14" t="e">
        <f>#REF!</f>
        <v>#REF!</v>
      </c>
    </row>
    <row r="21" spans="1:9" ht="18.75">
      <c r="A21" s="13">
        <v>6</v>
      </c>
      <c r="B21" s="369" t="s">
        <v>792</v>
      </c>
      <c r="C21" s="369"/>
      <c r="D21" s="369"/>
      <c r="E21" s="3">
        <v>27</v>
      </c>
      <c r="F21" s="14" t="e">
        <f>#REF!</f>
        <v>#REF!</v>
      </c>
      <c r="G21" s="3">
        <v>27</v>
      </c>
      <c r="H21" s="14" t="e">
        <f>#REF!</f>
        <v>#REF!</v>
      </c>
    </row>
    <row r="22" spans="1:9" ht="18.75">
      <c r="A22" s="13">
        <v>7</v>
      </c>
      <c r="B22" s="369" t="s">
        <v>793</v>
      </c>
      <c r="C22" s="369"/>
      <c r="D22" s="369"/>
      <c r="E22" s="3">
        <v>63</v>
      </c>
      <c r="F22" s="14" t="e">
        <f>#REF!</f>
        <v>#REF!</v>
      </c>
      <c r="G22" s="3">
        <v>63</v>
      </c>
      <c r="H22" s="14" t="e">
        <f>#REF!</f>
        <v>#REF!</v>
      </c>
    </row>
    <row r="23" spans="1:9" ht="18.75">
      <c r="A23" s="1"/>
      <c r="B23" s="1"/>
      <c r="C23" s="1"/>
      <c r="D23" s="1"/>
      <c r="E23" s="9">
        <f>SUM(E16:E22)</f>
        <v>130</v>
      </c>
      <c r="F23" s="15" t="e">
        <f>SUM(F16:F22)</f>
        <v>#REF!</v>
      </c>
      <c r="G23" s="9">
        <f>SUM(G16:G22)</f>
        <v>130</v>
      </c>
      <c r="H23" s="15" t="e">
        <f>SUM(H16:H22)</f>
        <v>#REF!</v>
      </c>
    </row>
    <row r="24" spans="1:9" ht="12" customHeight="1">
      <c r="A24" s="1"/>
      <c r="B24" s="1"/>
      <c r="C24" s="1"/>
      <c r="D24" s="1"/>
      <c r="E24" s="1"/>
      <c r="F24" s="1"/>
      <c r="G24" s="1"/>
      <c r="H24" s="1"/>
    </row>
    <row r="25" spans="1:9" ht="18.75">
      <c r="A25" s="373" t="s">
        <v>794</v>
      </c>
      <c r="B25" s="373"/>
      <c r="C25" s="373"/>
      <c r="D25" s="373"/>
      <c r="E25" s="373"/>
      <c r="F25" s="373"/>
      <c r="G25" s="373"/>
      <c r="H25" s="373"/>
    </row>
    <row r="26" spans="1:9" ht="12.6" customHeight="1">
      <c r="A26" s="4"/>
      <c r="B26" s="1"/>
      <c r="C26" s="1"/>
      <c r="D26" s="1"/>
      <c r="E26" s="1"/>
      <c r="F26" s="1"/>
      <c r="G26" s="1"/>
      <c r="H26" s="1"/>
    </row>
    <row r="27" spans="1:9" ht="18" customHeight="1">
      <c r="A27" s="369" t="s">
        <v>795</v>
      </c>
      <c r="B27" s="369"/>
      <c r="C27" s="369"/>
      <c r="D27" s="369"/>
      <c r="E27" s="369"/>
      <c r="F27" s="369"/>
      <c r="G27" s="369"/>
      <c r="H27" s="116" t="e">
        <f>#REF!</f>
        <v>#REF!</v>
      </c>
    </row>
    <row r="28" spans="1:9" ht="16.350000000000001" customHeight="1">
      <c r="A28" s="373" t="s">
        <v>7</v>
      </c>
      <c r="B28" s="373"/>
      <c r="C28" s="373"/>
      <c r="D28" s="373"/>
      <c r="E28" s="373"/>
      <c r="F28" s="373"/>
      <c r="G28" s="4"/>
      <c r="H28" s="1"/>
    </row>
    <row r="29" spans="1:9" ht="18.75" customHeight="1">
      <c r="A29" s="369" t="s">
        <v>796</v>
      </c>
      <c r="B29" s="369"/>
      <c r="C29" s="369"/>
      <c r="D29" s="369"/>
      <c r="E29" s="369"/>
      <c r="F29" s="369"/>
      <c r="G29" s="116" t="e">
        <f>#REF!</f>
        <v>#REF!</v>
      </c>
      <c r="H29" s="1"/>
    </row>
    <row r="30" spans="1:9" ht="19.5" customHeight="1">
      <c r="A30" s="369" t="s">
        <v>797</v>
      </c>
      <c r="B30" s="369"/>
      <c r="C30" s="369"/>
      <c r="D30" s="369"/>
      <c r="E30" s="369"/>
      <c r="F30" s="369"/>
      <c r="G30" s="116" t="e">
        <f>#REF!</f>
        <v>#REF!</v>
      </c>
      <c r="H30" s="1"/>
    </row>
    <row r="31" spans="1:9" ht="20.25" customHeight="1">
      <c r="A31" s="369" t="s">
        <v>798</v>
      </c>
      <c r="B31" s="369"/>
      <c r="C31" s="369"/>
      <c r="D31" s="369"/>
      <c r="E31" s="369"/>
      <c r="F31" s="369"/>
      <c r="G31" s="128" t="e">
        <f>#REF!</f>
        <v>#REF!</v>
      </c>
      <c r="H31" s="1"/>
    </row>
    <row r="32" spans="1:9" ht="16.350000000000001" customHeight="1">
      <c r="A32" s="369" t="s">
        <v>799</v>
      </c>
      <c r="B32" s="369"/>
      <c r="C32" s="369"/>
      <c r="D32" s="369"/>
      <c r="E32" s="369"/>
      <c r="F32" s="369"/>
      <c r="G32" s="116"/>
      <c r="H32" s="116" t="e">
        <f>SUM(G29:G31)</f>
        <v>#REF!</v>
      </c>
      <c r="I32" s="100"/>
    </row>
    <row r="33" spans="1:9" ht="17.100000000000001" customHeight="1">
      <c r="A33" s="369" t="s">
        <v>800</v>
      </c>
      <c r="B33" s="369"/>
      <c r="C33" s="369"/>
      <c r="D33" s="369"/>
      <c r="E33" s="369"/>
      <c r="F33" s="369"/>
      <c r="G33" s="1"/>
      <c r="H33" s="8" t="e">
        <f>H27-H32+1.1</f>
        <v>#REF!</v>
      </c>
      <c r="I33" s="129"/>
    </row>
    <row r="34" spans="1:9" ht="16.350000000000001" customHeight="1">
      <c r="A34" s="369" t="s">
        <v>801</v>
      </c>
      <c r="B34" s="369"/>
      <c r="C34" s="369"/>
      <c r="D34" s="369"/>
      <c r="E34" s="369"/>
      <c r="F34" s="369"/>
      <c r="G34" s="1"/>
      <c r="H34" s="140" t="e">
        <f>F23</f>
        <v>#REF!</v>
      </c>
    </row>
    <row r="35" spans="1:9" ht="18" customHeight="1">
      <c r="A35" s="370" t="s">
        <v>802</v>
      </c>
      <c r="B35" s="370"/>
      <c r="C35" s="370"/>
      <c r="D35" s="370"/>
      <c r="E35" s="370"/>
      <c r="F35" s="370"/>
      <c r="G35" s="135"/>
      <c r="H35" s="139" t="e">
        <f>H33-H34-1.08</f>
        <v>#REF!</v>
      </c>
    </row>
    <row r="36" spans="1:9" ht="12.6" customHeight="1">
      <c r="A36" s="1"/>
      <c r="B36" s="1"/>
      <c r="C36" s="1"/>
      <c r="D36" s="1"/>
      <c r="E36" s="1"/>
      <c r="F36" s="1"/>
      <c r="G36" s="1"/>
      <c r="H36" s="1"/>
    </row>
    <row r="37" spans="1:9" ht="16.350000000000001" customHeight="1">
      <c r="A37" s="368" t="s">
        <v>803</v>
      </c>
      <c r="B37" s="368"/>
      <c r="C37" s="368"/>
      <c r="D37" s="368"/>
      <c r="E37" s="368"/>
      <c r="F37" s="368"/>
      <c r="G37" s="368"/>
      <c r="H37" s="136">
        <v>-50000</v>
      </c>
    </row>
    <row r="38" spans="1:9" ht="19.350000000000001" customHeight="1">
      <c r="A38" s="463" t="s">
        <v>804</v>
      </c>
      <c r="B38" s="463"/>
      <c r="C38" s="463"/>
      <c r="D38" s="463"/>
      <c r="E38" s="463"/>
      <c r="F38" s="463"/>
      <c r="G38" s="463"/>
      <c r="H38" s="174">
        <v>-117100.52</v>
      </c>
    </row>
    <row r="39" spans="1:9" ht="19.350000000000001" customHeight="1">
      <c r="A39" s="368" t="s">
        <v>805</v>
      </c>
      <c r="B39" s="368"/>
      <c r="C39" s="368"/>
      <c r="D39" s="368"/>
      <c r="E39" s="368"/>
      <c r="F39" s="368"/>
      <c r="G39" s="368"/>
      <c r="H39" s="136">
        <v>-756000</v>
      </c>
    </row>
    <row r="40" spans="1:9" ht="19.350000000000001" customHeight="1">
      <c r="A40" s="368" t="s">
        <v>806</v>
      </c>
      <c r="B40" s="368"/>
      <c r="C40" s="368"/>
      <c r="D40" s="368"/>
      <c r="E40" s="368"/>
      <c r="F40" s="368"/>
      <c r="G40" s="368"/>
      <c r="H40" s="136">
        <v>-5000</v>
      </c>
    </row>
    <row r="41" spans="1:9" ht="18" customHeight="1">
      <c r="A41" s="368" t="s">
        <v>807</v>
      </c>
      <c r="B41" s="368"/>
      <c r="C41" s="368"/>
      <c r="D41" s="368"/>
      <c r="E41" s="368"/>
      <c r="F41" s="368"/>
      <c r="G41" s="368"/>
      <c r="H41" s="136">
        <f>-1484.37-236.04-52776.63+7709</f>
        <v>-46788.039999999994</v>
      </c>
    </row>
    <row r="42" spans="1:9" ht="18" customHeight="1">
      <c r="A42" s="369" t="s">
        <v>808</v>
      </c>
      <c r="B42" s="369"/>
      <c r="C42" s="369"/>
      <c r="D42" s="369"/>
      <c r="E42" s="369"/>
      <c r="F42" s="369"/>
      <c r="G42" s="369"/>
      <c r="H42" s="168">
        <v>123329</v>
      </c>
    </row>
    <row r="43" spans="1:9" ht="17.45" customHeight="1">
      <c r="A43" s="368" t="s">
        <v>809</v>
      </c>
      <c r="B43" s="368"/>
      <c r="C43" s="368"/>
      <c r="D43" s="368"/>
      <c r="E43" s="368"/>
      <c r="F43" s="368"/>
      <c r="G43" s="368"/>
      <c r="H43" s="136">
        <v>90000</v>
      </c>
    </row>
    <row r="44" spans="1:9" ht="15.6" customHeight="1">
      <c r="A44" s="369" t="s">
        <v>810</v>
      </c>
      <c r="B44" s="369"/>
      <c r="C44" s="369"/>
      <c r="D44" s="369"/>
      <c r="E44" s="369"/>
      <c r="F44" s="369"/>
      <c r="G44" s="369"/>
      <c r="H44" s="174">
        <v>90000</v>
      </c>
    </row>
    <row r="45" spans="1:9" ht="18" customHeight="1">
      <c r="A45" s="369" t="s">
        <v>811</v>
      </c>
      <c r="B45" s="369"/>
      <c r="C45" s="369"/>
      <c r="D45" s="369"/>
      <c r="E45" s="369"/>
      <c r="F45" s="369"/>
      <c r="G45" s="369"/>
      <c r="H45" s="174">
        <f>252000+84000</f>
        <v>336000</v>
      </c>
    </row>
    <row r="46" spans="1:9" ht="18" customHeight="1">
      <c r="A46" s="368" t="s">
        <v>812</v>
      </c>
      <c r="B46" s="368"/>
      <c r="C46" s="368"/>
      <c r="D46" s="368"/>
      <c r="E46" s="368"/>
      <c r="F46" s="368"/>
      <c r="G46" s="368"/>
      <c r="H46" s="136">
        <v>42632</v>
      </c>
    </row>
    <row r="47" spans="1:9" ht="18" customHeight="1">
      <c r="A47" s="368" t="s">
        <v>813</v>
      </c>
      <c r="B47" s="368"/>
      <c r="C47" s="368"/>
      <c r="D47" s="368"/>
      <c r="E47" s="368"/>
      <c r="F47" s="368"/>
      <c r="G47" s="368"/>
      <c r="H47" s="136">
        <v>386459.1</v>
      </c>
    </row>
    <row r="48" spans="1:9" ht="15.6" customHeight="1">
      <c r="A48" s="369" t="s">
        <v>814</v>
      </c>
      <c r="B48" s="369"/>
      <c r="C48" s="369"/>
      <c r="D48" s="369"/>
      <c r="E48" s="369"/>
      <c r="F48" s="369"/>
      <c r="G48" s="369"/>
      <c r="H48" s="174">
        <v>-334201.03000000003</v>
      </c>
    </row>
    <row r="49" spans="1:14" ht="17.100000000000001" customHeight="1">
      <c r="A49" s="369" t="s">
        <v>815</v>
      </c>
      <c r="B49" s="369"/>
      <c r="C49" s="369"/>
      <c r="D49" s="369"/>
      <c r="E49" s="369"/>
      <c r="F49" s="369"/>
      <c r="G49" s="369"/>
      <c r="H49" s="174">
        <v>900657.46</v>
      </c>
    </row>
    <row r="50" spans="1:14" ht="18" customHeight="1">
      <c r="A50" s="369" t="s">
        <v>816</v>
      </c>
      <c r="B50" s="369"/>
      <c r="C50" s="369"/>
      <c r="D50" s="369"/>
      <c r="E50" s="369"/>
      <c r="F50" s="369"/>
      <c r="G50" s="369"/>
      <c r="H50" s="136">
        <f>-340798.04</f>
        <v>-340798.04</v>
      </c>
      <c r="I50" s="100"/>
    </row>
    <row r="51" spans="1:14" ht="18.600000000000001" customHeight="1">
      <c r="A51" s="369"/>
      <c r="B51" s="369"/>
      <c r="C51" s="369"/>
      <c r="D51" s="369"/>
      <c r="E51" s="369"/>
      <c r="F51" s="369"/>
      <c r="G51" s="1"/>
      <c r="H51" s="138">
        <f>SUM(H37:H50)</f>
        <v>319189.92999999988</v>
      </c>
      <c r="I51" s="100"/>
      <c r="J51" s="100"/>
    </row>
    <row r="52" spans="1:14" ht="13.35" customHeight="1">
      <c r="A52" s="176"/>
      <c r="B52" s="176"/>
      <c r="C52" s="176"/>
      <c r="D52" s="176"/>
      <c r="E52" s="176"/>
      <c r="F52" s="176"/>
      <c r="G52" s="1"/>
      <c r="H52" s="137"/>
      <c r="I52" s="100"/>
      <c r="J52" s="100"/>
    </row>
    <row r="53" spans="1:14" ht="54" customHeight="1">
      <c r="A53" s="368" t="s">
        <v>817</v>
      </c>
      <c r="B53" s="368"/>
      <c r="C53" s="368"/>
      <c r="D53" s="368"/>
      <c r="E53" s="368"/>
      <c r="F53" s="368"/>
      <c r="G53" s="368"/>
      <c r="H53" s="368"/>
      <c r="I53" s="1"/>
      <c r="J53" s="116"/>
      <c r="K53" s="116"/>
      <c r="L53" s="1"/>
      <c r="M53" s="1"/>
      <c r="N53" s="1"/>
    </row>
    <row r="54" spans="1:14" ht="11.45" customHeight="1">
      <c r="A54" s="132"/>
      <c r="B54" s="132"/>
      <c r="C54" s="132"/>
      <c r="D54" s="132"/>
      <c r="E54" s="132"/>
      <c r="F54" s="132"/>
      <c r="G54" s="132"/>
      <c r="H54" s="132"/>
      <c r="I54" s="1"/>
      <c r="J54" s="1"/>
      <c r="K54" s="1"/>
      <c r="L54" s="1"/>
      <c r="M54" s="1"/>
      <c r="N54" s="1"/>
    </row>
    <row r="55" spans="1:14" ht="14.1" customHeight="1">
      <c r="A55" s="132"/>
      <c r="B55" s="132"/>
      <c r="C55" s="132"/>
      <c r="D55" s="132"/>
      <c r="E55" s="132"/>
      <c r="F55" s="132"/>
      <c r="G55" s="132"/>
      <c r="H55" s="132"/>
      <c r="I55" s="1"/>
      <c r="J55" s="1"/>
      <c r="K55" s="1"/>
      <c r="L55" s="1"/>
      <c r="M55" s="1"/>
      <c r="N55" s="1"/>
    </row>
    <row r="56" spans="1:14" ht="24.6" customHeight="1">
      <c r="A56" s="370" t="s">
        <v>818</v>
      </c>
      <c r="B56" s="370"/>
      <c r="C56" s="370"/>
      <c r="D56" s="370"/>
      <c r="E56" s="370"/>
      <c r="F56" s="1"/>
      <c r="G56" s="1"/>
      <c r="H56" s="1"/>
    </row>
    <row r="57" spans="1:14">
      <c r="A57" s="372" t="s">
        <v>819</v>
      </c>
      <c r="B57" s="372"/>
      <c r="C57" s="372"/>
      <c r="D57" s="372"/>
      <c r="E57" s="372"/>
      <c r="F57" s="11"/>
      <c r="G57" s="11"/>
      <c r="H57" s="11"/>
    </row>
    <row r="58" spans="1:14">
      <c r="A58" s="11"/>
      <c r="B58" s="11"/>
      <c r="C58" s="11"/>
      <c r="D58" s="11" t="s">
        <v>820</v>
      </c>
      <c r="E58" s="11"/>
      <c r="F58" s="11"/>
      <c r="G58" s="11"/>
      <c r="H58" s="11"/>
    </row>
    <row r="63" spans="1:14">
      <c r="C63" t="s">
        <v>821</v>
      </c>
    </row>
  </sheetData>
  <mergeCells count="44">
    <mergeCell ref="A46:G46"/>
    <mergeCell ref="A44:G44"/>
    <mergeCell ref="A49:G49"/>
    <mergeCell ref="A47:G47"/>
    <mergeCell ref="A48:G48"/>
    <mergeCell ref="B18:D18"/>
    <mergeCell ref="A1:H1"/>
    <mergeCell ref="A3:H3"/>
    <mergeCell ref="A7:F7"/>
    <mergeCell ref="A25:H25"/>
    <mergeCell ref="A6:F6"/>
    <mergeCell ref="A8:E8"/>
    <mergeCell ref="A11:H11"/>
    <mergeCell ref="E13:F13"/>
    <mergeCell ref="A10:F10"/>
    <mergeCell ref="G13:H13"/>
    <mergeCell ref="B22:D22"/>
    <mergeCell ref="B16:D16"/>
    <mergeCell ref="B17:D17"/>
    <mergeCell ref="B21:D21"/>
    <mergeCell ref="B19:D19"/>
    <mergeCell ref="B20:D20"/>
    <mergeCell ref="A57:E57"/>
    <mergeCell ref="A56:E56"/>
    <mergeCell ref="A53:H53"/>
    <mergeCell ref="A41:G41"/>
    <mergeCell ref="A51:F51"/>
    <mergeCell ref="A27:G27"/>
    <mergeCell ref="A28:F28"/>
    <mergeCell ref="A29:F29"/>
    <mergeCell ref="A31:F31"/>
    <mergeCell ref="A32:F32"/>
    <mergeCell ref="A42:G42"/>
    <mergeCell ref="A30:F30"/>
    <mergeCell ref="A50:G50"/>
    <mergeCell ref="A40:G40"/>
    <mergeCell ref="A45:G45"/>
    <mergeCell ref="A39:G39"/>
    <mergeCell ref="A43:G43"/>
    <mergeCell ref="A33:F33"/>
    <mergeCell ref="A34:F34"/>
    <mergeCell ref="A35:F35"/>
    <mergeCell ref="A37:G37"/>
    <mergeCell ref="A38:G38"/>
  </mergeCells>
  <phoneticPr fontId="13" type="noConversion"/>
  <pageMargins left="0.45" right="0.2" top="0" bottom="0" header="0" footer="0"/>
  <pageSetup paperSize="9" scale="70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14"/>
  <sheetViews>
    <sheetView workbookViewId="0"/>
  </sheetViews>
  <sheetFormatPr defaultRowHeight="12.75"/>
  <cols>
    <col min="3" max="3" width="11.85546875" customWidth="1"/>
    <col min="4" max="5" width="28.140625" customWidth="1"/>
  </cols>
  <sheetData>
    <row r="1" spans="1:6" ht="18.75">
      <c r="A1" s="384" t="s">
        <v>822</v>
      </c>
      <c r="B1" s="384"/>
      <c r="C1" s="384"/>
      <c r="D1" s="384"/>
      <c r="E1" s="384"/>
      <c r="F1" s="384"/>
    </row>
    <row r="2" spans="1:6" ht="18.75">
      <c r="A2" s="385" t="s">
        <v>823</v>
      </c>
      <c r="B2" s="385"/>
      <c r="C2" s="385"/>
      <c r="D2" s="385"/>
      <c r="E2" s="385"/>
      <c r="F2" s="385"/>
    </row>
    <row r="3" spans="1:6" ht="18.75">
      <c r="A3" s="379"/>
      <c r="B3" s="379"/>
      <c r="C3" s="379"/>
      <c r="D3" s="3" t="s">
        <v>824</v>
      </c>
      <c r="E3" s="3" t="s">
        <v>825</v>
      </c>
      <c r="F3" s="13"/>
    </row>
    <row r="4" spans="1:6" ht="18.75">
      <c r="A4" s="379" t="s">
        <v>826</v>
      </c>
      <c r="B4" s="379"/>
      <c r="C4" s="379"/>
      <c r="D4" s="14">
        <f>E4*12</f>
        <v>948475.67999999993</v>
      </c>
      <c r="E4" s="14">
        <f>sUMMARY!F3</f>
        <v>79039.64</v>
      </c>
      <c r="F4" s="1"/>
    </row>
    <row r="5" spans="1:6" ht="18.75">
      <c r="A5" s="379" t="s">
        <v>827</v>
      </c>
      <c r="B5" s="379"/>
      <c r="C5" s="379"/>
      <c r="D5" s="14">
        <f t="shared" ref="D5:D14" si="0">E5*12</f>
        <v>2845427.04</v>
      </c>
      <c r="E5" s="14">
        <f>sUMMARY!H3</f>
        <v>237118.91999999998</v>
      </c>
      <c r="F5" s="1"/>
    </row>
    <row r="6" spans="1:6" ht="18.75">
      <c r="A6" s="379" t="s">
        <v>828</v>
      </c>
      <c r="B6" s="379"/>
      <c r="C6" s="379"/>
      <c r="D6" s="14">
        <f t="shared" si="0"/>
        <v>71135.676000000007</v>
      </c>
      <c r="E6" s="14">
        <f>sUMMARY!I3</f>
        <v>5927.973</v>
      </c>
      <c r="F6" s="1"/>
    </row>
    <row r="7" spans="1:6" ht="18.75">
      <c r="A7" s="379" t="s">
        <v>829</v>
      </c>
      <c r="B7" s="379"/>
      <c r="C7" s="379"/>
      <c r="D7" s="14">
        <f t="shared" si="0"/>
        <v>962932.56</v>
      </c>
      <c r="E7" s="14">
        <f>sUMMARY!J3</f>
        <v>80244.38</v>
      </c>
      <c r="F7" s="1"/>
    </row>
    <row r="8" spans="1:6" ht="18.75">
      <c r="A8" s="379" t="s">
        <v>830</v>
      </c>
      <c r="B8" s="379"/>
      <c r="C8" s="379"/>
      <c r="D8" s="14">
        <f t="shared" si="0"/>
        <v>474237.83999999997</v>
      </c>
      <c r="E8" s="14">
        <f>sUMMARY!K3</f>
        <v>39519.82</v>
      </c>
      <c r="F8" s="1"/>
    </row>
    <row r="9" spans="1:6" ht="18.75">
      <c r="A9" s="379" t="s">
        <v>831</v>
      </c>
      <c r="B9" s="379"/>
      <c r="C9" s="379"/>
      <c r="D9" s="14">
        <f t="shared" si="0"/>
        <v>3319664.88</v>
      </c>
      <c r="E9" s="14">
        <f>sUMMARY!L3</f>
        <v>276638.74</v>
      </c>
      <c r="F9" s="1"/>
    </row>
    <row r="10" spans="1:6" ht="18.75">
      <c r="A10" s="381" t="s">
        <v>404</v>
      </c>
      <c r="B10" s="382"/>
      <c r="C10" s="383"/>
      <c r="D10" s="14">
        <f>E10*12</f>
        <v>0</v>
      </c>
      <c r="E10" s="14"/>
      <c r="F10" s="1"/>
    </row>
    <row r="11" spans="1:6" ht="18.75">
      <c r="A11" s="379" t="s">
        <v>832</v>
      </c>
      <c r="B11" s="379"/>
      <c r="C11" s="379"/>
      <c r="D11" s="14">
        <f t="shared" si="0"/>
        <v>948475.67999999993</v>
      </c>
      <c r="E11" s="14">
        <f>sUMMARY!N3</f>
        <v>79039.64</v>
      </c>
      <c r="F11" s="1"/>
    </row>
    <row r="12" spans="1:6" ht="18.75">
      <c r="A12" s="379" t="s">
        <v>833</v>
      </c>
      <c r="B12" s="379"/>
      <c r="C12" s="379"/>
      <c r="D12" s="14">
        <f t="shared" si="0"/>
        <v>94847.567999999999</v>
      </c>
      <c r="E12" s="14">
        <f>sUMMARY!O3</f>
        <v>7903.9639999999999</v>
      </c>
      <c r="F12" s="1"/>
    </row>
    <row r="13" spans="1:6" ht="18.75">
      <c r="A13" s="379" t="s">
        <v>834</v>
      </c>
      <c r="B13" s="379"/>
      <c r="C13" s="379"/>
      <c r="D13" s="14">
        <f t="shared" si="0"/>
        <v>240000</v>
      </c>
      <c r="E13" s="14">
        <f>sUMMARY!P3</f>
        <v>20000</v>
      </c>
      <c r="F13" s="1"/>
    </row>
    <row r="14" spans="1:6" ht="18.75">
      <c r="A14" s="380" t="s">
        <v>835</v>
      </c>
      <c r="B14" s="380"/>
      <c r="C14" s="380"/>
      <c r="D14" s="15">
        <f t="shared" si="0"/>
        <v>9905196.9240000006</v>
      </c>
      <c r="E14" s="15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4"/>
  <sheetViews>
    <sheetView workbookViewId="0"/>
  </sheetViews>
  <sheetFormatPr defaultRowHeight="12.75"/>
  <cols>
    <col min="3" max="3" width="11.5703125" customWidth="1"/>
    <col min="4" max="4" width="19.85546875" customWidth="1"/>
    <col min="5" max="5" width="19.140625" customWidth="1"/>
  </cols>
  <sheetData>
    <row r="1" spans="1:6" ht="18.75">
      <c r="A1" s="386" t="s">
        <v>836</v>
      </c>
      <c r="B1" s="386"/>
      <c r="C1" s="386"/>
      <c r="D1" s="386"/>
      <c r="E1" s="386"/>
      <c r="F1" s="386"/>
    </row>
    <row r="2" spans="1:6" ht="18.75">
      <c r="A2" s="385" t="s">
        <v>837</v>
      </c>
      <c r="B2" s="385"/>
      <c r="C2" s="385"/>
      <c r="D2" s="385"/>
      <c r="E2" s="385"/>
      <c r="F2" s="385"/>
    </row>
    <row r="3" spans="1:6" ht="18.75">
      <c r="A3" s="379"/>
      <c r="B3" s="379"/>
      <c r="C3" s="379"/>
      <c r="D3" s="3" t="s">
        <v>824</v>
      </c>
      <c r="E3" s="3" t="s">
        <v>825</v>
      </c>
      <c r="F3" s="13"/>
    </row>
    <row r="4" spans="1:6" ht="18.75">
      <c r="A4" s="379" t="s">
        <v>826</v>
      </c>
      <c r="B4" s="379"/>
      <c r="C4" s="379"/>
      <c r="D4" s="14" t="e">
        <f>E4*12</f>
        <v>#REF!</v>
      </c>
      <c r="E4" s="14" t="e">
        <f>#REF!</f>
        <v>#REF!</v>
      </c>
      <c r="F4" s="1"/>
    </row>
    <row r="5" spans="1:6" ht="18.75">
      <c r="A5" s="379" t="s">
        <v>827</v>
      </c>
      <c r="B5" s="379"/>
      <c r="C5" s="379"/>
      <c r="D5" s="14" t="e">
        <f t="shared" ref="D5:D13" si="0">E5*12</f>
        <v>#REF!</v>
      </c>
      <c r="E5" s="14" t="e">
        <f>#REF!</f>
        <v>#REF!</v>
      </c>
      <c r="F5" s="1"/>
    </row>
    <row r="6" spans="1:6" ht="18.75">
      <c r="A6" s="379" t="s">
        <v>828</v>
      </c>
      <c r="B6" s="379"/>
      <c r="C6" s="379"/>
      <c r="D6" s="14" t="e">
        <f t="shared" si="0"/>
        <v>#REF!</v>
      </c>
      <c r="E6" s="14" t="e">
        <f>#REF!</f>
        <v>#REF!</v>
      </c>
      <c r="F6" s="1"/>
    </row>
    <row r="7" spans="1:6" ht="18.75">
      <c r="A7" s="379" t="s">
        <v>829</v>
      </c>
      <c r="B7" s="379"/>
      <c r="C7" s="379"/>
      <c r="D7" s="14" t="e">
        <f t="shared" si="0"/>
        <v>#REF!</v>
      </c>
      <c r="E7" s="14" t="e">
        <f>#REF!</f>
        <v>#REF!</v>
      </c>
      <c r="F7" s="1"/>
    </row>
    <row r="8" spans="1:6" ht="18.75">
      <c r="A8" s="379" t="s">
        <v>830</v>
      </c>
      <c r="B8" s="379"/>
      <c r="C8" s="379"/>
      <c r="D8" s="14" t="e">
        <f t="shared" si="0"/>
        <v>#REF!</v>
      </c>
      <c r="E8" s="14" t="e">
        <f>#REF!</f>
        <v>#REF!</v>
      </c>
      <c r="F8" s="1"/>
    </row>
    <row r="9" spans="1:6" ht="18.75">
      <c r="A9" s="379" t="s">
        <v>831</v>
      </c>
      <c r="B9" s="379"/>
      <c r="C9" s="379"/>
      <c r="D9" s="14" t="e">
        <f t="shared" si="0"/>
        <v>#REF!</v>
      </c>
      <c r="E9" s="14" t="e">
        <f>#REF!</f>
        <v>#REF!</v>
      </c>
      <c r="F9" s="1"/>
    </row>
    <row r="10" spans="1:6" ht="18.75">
      <c r="A10" s="379" t="s">
        <v>832</v>
      </c>
      <c r="B10" s="379"/>
      <c r="C10" s="379"/>
      <c r="D10" s="14" t="e">
        <f t="shared" si="0"/>
        <v>#REF!</v>
      </c>
      <c r="E10" s="14" t="e">
        <f>#REF!</f>
        <v>#REF!</v>
      </c>
      <c r="F10" s="1"/>
    </row>
    <row r="11" spans="1:6" ht="18.75">
      <c r="A11" s="381" t="s">
        <v>838</v>
      </c>
      <c r="B11" s="382"/>
      <c r="C11" s="383"/>
      <c r="D11" s="14">
        <f t="shared" si="0"/>
        <v>1200000</v>
      </c>
      <c r="E11" s="14">
        <v>100000</v>
      </c>
      <c r="F11" s="1"/>
    </row>
    <row r="12" spans="1:6" ht="18.75">
      <c r="A12" s="379" t="s">
        <v>833</v>
      </c>
      <c r="B12" s="379"/>
      <c r="C12" s="379"/>
      <c r="D12" s="14" t="e">
        <f t="shared" si="0"/>
        <v>#REF!</v>
      </c>
      <c r="E12" s="14" t="e">
        <f>#REF!</f>
        <v>#REF!</v>
      </c>
      <c r="F12" s="1"/>
    </row>
    <row r="13" spans="1:6" ht="18.75">
      <c r="A13" s="379" t="s">
        <v>834</v>
      </c>
      <c r="B13" s="379"/>
      <c r="C13" s="379"/>
      <c r="D13" s="14" t="e">
        <f t="shared" si="0"/>
        <v>#REF!</v>
      </c>
      <c r="E13" s="14" t="e">
        <f>#REF!</f>
        <v>#REF!</v>
      </c>
      <c r="F13" s="1"/>
    </row>
    <row r="14" spans="1:6" ht="18.75">
      <c r="A14" s="380" t="s">
        <v>835</v>
      </c>
      <c r="B14" s="380"/>
      <c r="C14" s="380"/>
      <c r="D14" s="15" t="e">
        <f>SUM(D4:D13)</f>
        <v>#REF!</v>
      </c>
      <c r="E14" s="15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43"/>
  <sheetViews>
    <sheetView topLeftCell="A7" workbookViewId="0"/>
  </sheetViews>
  <sheetFormatPr defaultRowHeight="12.75"/>
  <cols>
    <col min="1" max="1" width="5.140625" customWidth="1"/>
    <col min="3" max="3" width="29.85546875" customWidth="1"/>
    <col min="4" max="4" width="34" customWidth="1"/>
    <col min="5" max="5" width="13.85546875" customWidth="1"/>
    <col min="6" max="6" width="21.140625" customWidth="1"/>
  </cols>
  <sheetData>
    <row r="1" spans="1:6" ht="23.1" customHeight="1">
      <c r="A1" s="146"/>
      <c r="B1" s="396" t="s">
        <v>839</v>
      </c>
      <c r="C1" s="396"/>
      <c r="D1" s="396"/>
      <c r="E1" s="396"/>
    </row>
    <row r="2" spans="1:6" ht="43.35" customHeight="1">
      <c r="A2" s="154" t="s">
        <v>1</v>
      </c>
      <c r="B2" s="397" t="s">
        <v>523</v>
      </c>
      <c r="C2" s="397"/>
      <c r="D2" s="153" t="s">
        <v>759</v>
      </c>
      <c r="E2" s="155" t="s">
        <v>840</v>
      </c>
      <c r="F2" s="102" t="s">
        <v>117</v>
      </c>
    </row>
    <row r="3" spans="1:6" ht="18.75">
      <c r="A3" s="3">
        <v>1</v>
      </c>
      <c r="B3" s="388" t="s">
        <v>526</v>
      </c>
      <c r="C3" s="388"/>
      <c r="D3" s="148" t="s">
        <v>527</v>
      </c>
      <c r="E3" s="148" t="s">
        <v>528</v>
      </c>
      <c r="F3" s="156">
        <v>150000</v>
      </c>
    </row>
    <row r="4" spans="1:6" ht="18.75">
      <c r="A4" s="3">
        <v>2</v>
      </c>
      <c r="B4" s="388" t="s">
        <v>529</v>
      </c>
      <c r="C4" s="388"/>
      <c r="D4" s="148" t="s">
        <v>530</v>
      </c>
      <c r="E4" s="142" t="s">
        <v>531</v>
      </c>
      <c r="F4" s="157">
        <v>50000</v>
      </c>
    </row>
    <row r="5" spans="1:6" ht="18.75">
      <c r="A5" s="3">
        <v>3</v>
      </c>
      <c r="B5" s="464" t="s">
        <v>534</v>
      </c>
      <c r="C5" s="464"/>
      <c r="D5" s="148" t="s">
        <v>535</v>
      </c>
      <c r="E5" s="143" t="s">
        <v>536</v>
      </c>
      <c r="F5" s="157">
        <v>50000</v>
      </c>
    </row>
    <row r="6" spans="1:6" ht="18.75">
      <c r="A6" s="3">
        <v>4</v>
      </c>
      <c r="B6" s="379" t="s">
        <v>540</v>
      </c>
      <c r="C6" s="379"/>
      <c r="D6" s="102" t="s">
        <v>541</v>
      </c>
      <c r="E6" s="143" t="s">
        <v>542</v>
      </c>
      <c r="F6" s="157">
        <v>50000</v>
      </c>
    </row>
    <row r="7" spans="1:6" ht="18.75">
      <c r="A7" s="3">
        <v>5</v>
      </c>
      <c r="B7" s="379" t="s">
        <v>841</v>
      </c>
      <c r="C7" s="379"/>
      <c r="D7" s="102" t="s">
        <v>842</v>
      </c>
      <c r="E7" s="3" t="s">
        <v>542</v>
      </c>
      <c r="F7" s="157">
        <v>50000</v>
      </c>
    </row>
    <row r="8" spans="1:6" ht="18.75">
      <c r="A8" s="3">
        <v>6</v>
      </c>
      <c r="B8" s="379" t="s">
        <v>843</v>
      </c>
      <c r="C8" s="379"/>
      <c r="D8" s="102" t="s">
        <v>844</v>
      </c>
      <c r="E8" s="143" t="s">
        <v>550</v>
      </c>
      <c r="F8" s="157">
        <v>30000</v>
      </c>
    </row>
    <row r="9" spans="1:6" ht="18.75">
      <c r="A9" s="3">
        <v>7</v>
      </c>
      <c r="B9" s="379" t="s">
        <v>548</v>
      </c>
      <c r="C9" s="379"/>
      <c r="D9" s="102" t="s">
        <v>549</v>
      </c>
      <c r="E9" s="143" t="s">
        <v>550</v>
      </c>
      <c r="F9" s="157">
        <v>30000</v>
      </c>
    </row>
    <row r="10" spans="1:6" ht="18.75">
      <c r="A10" s="3">
        <v>8</v>
      </c>
      <c r="B10" s="379" t="s">
        <v>553</v>
      </c>
      <c r="C10" s="379"/>
      <c r="D10" s="102" t="s">
        <v>554</v>
      </c>
      <c r="E10" s="3" t="s">
        <v>555</v>
      </c>
      <c r="F10" s="157">
        <v>20000</v>
      </c>
    </row>
    <row r="11" spans="1:6" ht="18.75">
      <c r="A11" s="3">
        <v>9</v>
      </c>
      <c r="B11" s="379" t="s">
        <v>556</v>
      </c>
      <c r="C11" s="379"/>
      <c r="D11" s="102" t="s">
        <v>557</v>
      </c>
      <c r="E11" s="3" t="s">
        <v>558</v>
      </c>
      <c r="F11" s="157">
        <v>30000</v>
      </c>
    </row>
    <row r="12" spans="1:6" ht="18.75">
      <c r="A12" s="3">
        <v>10</v>
      </c>
      <c r="B12" s="379" t="s">
        <v>559</v>
      </c>
      <c r="C12" s="379"/>
      <c r="D12" s="102" t="s">
        <v>560</v>
      </c>
      <c r="E12" s="3" t="s">
        <v>561</v>
      </c>
      <c r="F12" s="157">
        <v>20000</v>
      </c>
    </row>
    <row r="13" spans="1:6" ht="18.75">
      <c r="A13" s="3">
        <v>11</v>
      </c>
      <c r="B13" s="464" t="s">
        <v>564</v>
      </c>
      <c r="C13" s="464"/>
      <c r="D13" s="148" t="s">
        <v>565</v>
      </c>
      <c r="E13" s="142" t="s">
        <v>566</v>
      </c>
      <c r="F13" s="157">
        <v>20000</v>
      </c>
    </row>
    <row r="14" spans="1:6" ht="18.75">
      <c r="A14" s="3">
        <v>12</v>
      </c>
      <c r="B14" s="388" t="s">
        <v>567</v>
      </c>
      <c r="C14" s="388"/>
      <c r="D14" s="148" t="s">
        <v>568</v>
      </c>
      <c r="E14" s="142" t="s">
        <v>561</v>
      </c>
      <c r="F14" s="157">
        <v>20000</v>
      </c>
    </row>
    <row r="15" spans="1:6" ht="18.75">
      <c r="A15" s="3">
        <v>13</v>
      </c>
      <c r="B15" s="388" t="s">
        <v>569</v>
      </c>
      <c r="C15" s="388"/>
      <c r="D15" s="148" t="s">
        <v>570</v>
      </c>
      <c r="E15" s="142" t="s">
        <v>566</v>
      </c>
      <c r="F15" s="157">
        <v>20000</v>
      </c>
    </row>
    <row r="16" spans="1:6" ht="18.75">
      <c r="A16" s="3">
        <v>14</v>
      </c>
      <c r="B16" s="388" t="s">
        <v>571</v>
      </c>
      <c r="C16" s="388"/>
      <c r="D16" s="148" t="s">
        <v>560</v>
      </c>
      <c r="E16" s="142" t="s">
        <v>566</v>
      </c>
      <c r="F16" s="157">
        <v>20000</v>
      </c>
    </row>
    <row r="17" spans="1:6" ht="18.75">
      <c r="A17" s="3">
        <v>15</v>
      </c>
      <c r="B17" s="388" t="s">
        <v>845</v>
      </c>
      <c r="C17" s="388"/>
      <c r="D17" s="148" t="s">
        <v>15</v>
      </c>
      <c r="E17" s="142"/>
      <c r="F17" s="157">
        <v>20000</v>
      </c>
    </row>
    <row r="18" spans="1:6" ht="18.75">
      <c r="A18" s="3">
        <v>16</v>
      </c>
      <c r="B18" s="379" t="s">
        <v>485</v>
      </c>
      <c r="C18" s="379"/>
      <c r="D18" s="102" t="s">
        <v>15</v>
      </c>
      <c r="E18" s="3"/>
      <c r="F18" s="157">
        <v>20000</v>
      </c>
    </row>
    <row r="19" spans="1:6" ht="18.75">
      <c r="A19" s="3">
        <v>17</v>
      </c>
      <c r="B19" s="379" t="s">
        <v>846</v>
      </c>
      <c r="C19" s="379"/>
      <c r="D19" s="102" t="s">
        <v>15</v>
      </c>
      <c r="E19" s="3"/>
      <c r="F19" s="157">
        <v>20000</v>
      </c>
    </row>
    <row r="20" spans="1:6" ht="18.75">
      <c r="A20" s="3">
        <v>18</v>
      </c>
      <c r="B20" s="379" t="s">
        <v>847</v>
      </c>
      <c r="C20" s="379"/>
      <c r="D20" s="102" t="s">
        <v>15</v>
      </c>
      <c r="E20" s="3"/>
      <c r="F20" s="157">
        <v>20000</v>
      </c>
    </row>
    <row r="21" spans="1:6" ht="18.75">
      <c r="A21" s="3">
        <v>19</v>
      </c>
      <c r="B21" s="379" t="s">
        <v>486</v>
      </c>
      <c r="C21" s="379"/>
      <c r="D21" s="102" t="s">
        <v>15</v>
      </c>
      <c r="E21" s="3"/>
      <c r="F21" s="157">
        <v>20000</v>
      </c>
    </row>
    <row r="22" spans="1:6" ht="18.75">
      <c r="A22" s="147">
        <v>20</v>
      </c>
      <c r="B22" s="379" t="s">
        <v>487</v>
      </c>
      <c r="C22" s="379"/>
      <c r="D22" s="102" t="s">
        <v>15</v>
      </c>
      <c r="E22" s="3"/>
      <c r="F22" s="157">
        <v>20000</v>
      </c>
    </row>
    <row r="23" spans="1:6" ht="18.75">
      <c r="A23" s="3"/>
      <c r="B23" s="102"/>
      <c r="C23" s="47" t="s">
        <v>84</v>
      </c>
      <c r="D23" s="9">
        <v>20</v>
      </c>
      <c r="E23" s="3"/>
      <c r="F23" s="158">
        <f t="shared" ref="F23" si="0">SUM(F3:F22)</f>
        <v>680000</v>
      </c>
    </row>
    <row r="24" spans="1:6" ht="18.75">
      <c r="A24" s="102"/>
      <c r="B24" s="394"/>
      <c r="C24" s="394"/>
      <c r="D24" s="102"/>
      <c r="E24" s="3"/>
      <c r="F24" s="158"/>
    </row>
    <row r="25" spans="1:6" ht="18.75">
      <c r="A25" s="102"/>
      <c r="B25" s="395" t="s">
        <v>574</v>
      </c>
      <c r="C25" s="395"/>
      <c r="D25" s="149"/>
      <c r="E25" s="2"/>
      <c r="F25" s="158"/>
    </row>
    <row r="26" spans="1:6" ht="18.75">
      <c r="A26" s="3">
        <v>1</v>
      </c>
      <c r="B26" s="388" t="s">
        <v>613</v>
      </c>
      <c r="C26" s="388"/>
      <c r="D26" s="102" t="s">
        <v>602</v>
      </c>
      <c r="E26" s="3" t="s">
        <v>603</v>
      </c>
      <c r="F26" s="157">
        <v>30000</v>
      </c>
    </row>
    <row r="27" spans="1:6" ht="18.75">
      <c r="A27" s="3">
        <v>2</v>
      </c>
      <c r="B27" s="388" t="s">
        <v>578</v>
      </c>
      <c r="C27" s="388"/>
      <c r="D27" s="102" t="s">
        <v>579</v>
      </c>
      <c r="E27" s="3" t="s">
        <v>580</v>
      </c>
      <c r="F27" s="157">
        <v>30000</v>
      </c>
    </row>
    <row r="28" spans="1:6" ht="18.75">
      <c r="A28" s="3">
        <v>4</v>
      </c>
      <c r="B28" s="388" t="s">
        <v>581</v>
      </c>
      <c r="C28" s="388"/>
      <c r="D28" s="102" t="s">
        <v>582</v>
      </c>
      <c r="E28" s="3" t="s">
        <v>555</v>
      </c>
      <c r="F28" s="157">
        <v>20000</v>
      </c>
    </row>
    <row r="29" spans="1:6" ht="18.75">
      <c r="A29" s="3">
        <v>5</v>
      </c>
      <c r="B29" s="388" t="s">
        <v>583</v>
      </c>
      <c r="C29" s="388"/>
      <c r="D29" s="102" t="s">
        <v>582</v>
      </c>
      <c r="E29" s="3" t="s">
        <v>555</v>
      </c>
      <c r="F29" s="157">
        <v>20000</v>
      </c>
    </row>
    <row r="30" spans="1:6" ht="18.75">
      <c r="A30" s="3">
        <v>6</v>
      </c>
      <c r="B30" s="388" t="s">
        <v>584</v>
      </c>
      <c r="C30" s="388"/>
      <c r="D30" s="102" t="s">
        <v>582</v>
      </c>
      <c r="E30" s="3" t="s">
        <v>561</v>
      </c>
      <c r="F30" s="157">
        <v>20000</v>
      </c>
    </row>
    <row r="31" spans="1:6" ht="18.75">
      <c r="A31" s="55">
        <v>7</v>
      </c>
      <c r="B31" s="391" t="s">
        <v>763</v>
      </c>
      <c r="C31" s="391"/>
      <c r="D31" s="46" t="s">
        <v>582</v>
      </c>
      <c r="E31" s="55" t="s">
        <v>566</v>
      </c>
      <c r="F31" s="157">
        <v>20000</v>
      </c>
    </row>
    <row r="32" spans="1:6" ht="18.75">
      <c r="A32" s="55">
        <v>8</v>
      </c>
      <c r="B32" s="391" t="s">
        <v>848</v>
      </c>
      <c r="C32" s="391"/>
      <c r="D32" s="46" t="s">
        <v>582</v>
      </c>
      <c r="E32" s="55" t="s">
        <v>566</v>
      </c>
      <c r="F32" s="159">
        <v>20000</v>
      </c>
    </row>
    <row r="33" spans="1:6" ht="18.75">
      <c r="A33" s="55">
        <v>9</v>
      </c>
      <c r="B33" s="389" t="s">
        <v>585</v>
      </c>
      <c r="C33" s="389"/>
      <c r="D33" s="46" t="s">
        <v>15</v>
      </c>
      <c r="E33" s="55"/>
      <c r="F33" s="159">
        <v>20000</v>
      </c>
    </row>
    <row r="34" spans="1:6" ht="18.75">
      <c r="A34" s="46"/>
      <c r="B34" s="392" t="s">
        <v>84</v>
      </c>
      <c r="C34" s="392"/>
      <c r="D34" s="84">
        <v>9</v>
      </c>
      <c r="E34" s="84"/>
      <c r="F34" s="160">
        <f>SUM(F26:F33)</f>
        <v>180000</v>
      </c>
    </row>
    <row r="35" spans="1:6" ht="18.75">
      <c r="A35" s="46"/>
      <c r="B35" s="151"/>
      <c r="C35" s="151"/>
      <c r="D35" s="84"/>
      <c r="E35" s="84"/>
      <c r="F35" s="160"/>
    </row>
    <row r="36" spans="1:6" ht="18.75">
      <c r="A36" s="46"/>
      <c r="B36" s="392" t="s">
        <v>849</v>
      </c>
      <c r="C36" s="392"/>
      <c r="D36" s="84"/>
      <c r="E36" s="84"/>
      <c r="F36" s="160"/>
    </row>
    <row r="37" spans="1:6" ht="18.75">
      <c r="A37" s="55">
        <v>1</v>
      </c>
      <c r="B37" s="388" t="s">
        <v>575</v>
      </c>
      <c r="C37" s="388"/>
      <c r="D37" s="148" t="s">
        <v>850</v>
      </c>
      <c r="E37" s="142" t="s">
        <v>589</v>
      </c>
      <c r="F37" s="157">
        <v>100000</v>
      </c>
    </row>
    <row r="38" spans="1:6" ht="18.75">
      <c r="A38" s="55">
        <v>2</v>
      </c>
      <c r="B38" s="389" t="s">
        <v>545</v>
      </c>
      <c r="C38" s="389"/>
      <c r="D38" s="46" t="s">
        <v>546</v>
      </c>
      <c r="E38" s="51" t="s">
        <v>547</v>
      </c>
      <c r="F38" s="159">
        <v>30000</v>
      </c>
    </row>
    <row r="39" spans="1:6" ht="18.75">
      <c r="A39" s="46"/>
      <c r="B39" s="392" t="s">
        <v>84</v>
      </c>
      <c r="C39" s="392"/>
      <c r="D39" s="84"/>
      <c r="E39" s="84"/>
      <c r="F39" s="160">
        <f t="shared" ref="F39" si="1">SUM(F37:F38)</f>
        <v>130000</v>
      </c>
    </row>
    <row r="40" spans="1:6" ht="18.75">
      <c r="A40" s="46"/>
      <c r="B40" s="151"/>
      <c r="C40" s="151"/>
      <c r="D40" s="84"/>
      <c r="E40" s="84"/>
      <c r="F40" s="160"/>
    </row>
    <row r="41" spans="1:6" ht="18.75">
      <c r="A41" s="46"/>
      <c r="B41" s="392" t="s">
        <v>764</v>
      </c>
      <c r="C41" s="392"/>
      <c r="D41" s="84"/>
      <c r="E41" s="84"/>
      <c r="F41" s="160"/>
    </row>
    <row r="42" spans="1:6" ht="18.75">
      <c r="A42" s="55">
        <v>1</v>
      </c>
      <c r="B42" s="391" t="s">
        <v>765</v>
      </c>
      <c r="C42" s="391"/>
      <c r="D42" s="150" t="s">
        <v>766</v>
      </c>
      <c r="E42" s="55" t="s">
        <v>542</v>
      </c>
      <c r="F42" s="159">
        <v>50000</v>
      </c>
    </row>
    <row r="43" spans="1:6" ht="18.75">
      <c r="A43" s="55">
        <v>3</v>
      </c>
      <c r="B43" s="391" t="s">
        <v>767</v>
      </c>
      <c r="C43" s="391"/>
      <c r="D43" s="150" t="s">
        <v>582</v>
      </c>
      <c r="E43" s="55" t="s">
        <v>566</v>
      </c>
      <c r="F43" s="159">
        <v>20000</v>
      </c>
    </row>
    <row r="44" spans="1:6" ht="18.75">
      <c r="A44" s="46"/>
      <c r="B44" s="392" t="s">
        <v>84</v>
      </c>
      <c r="C44" s="392"/>
      <c r="D44" s="84">
        <v>2</v>
      </c>
      <c r="E44" s="84"/>
      <c r="F44" s="160">
        <f>SUM(F42:F43)</f>
        <v>70000</v>
      </c>
    </row>
    <row r="45" spans="1:6" ht="18.75">
      <c r="A45" s="46"/>
      <c r="B45" s="151"/>
      <c r="C45" s="151"/>
      <c r="D45" s="84"/>
      <c r="E45" s="84"/>
      <c r="F45" s="160"/>
    </row>
    <row r="46" spans="1:6" ht="18.75">
      <c r="A46" s="46"/>
      <c r="B46" s="392" t="s">
        <v>851</v>
      </c>
      <c r="C46" s="392"/>
      <c r="D46" s="84"/>
      <c r="E46" s="84"/>
      <c r="F46" s="160"/>
    </row>
    <row r="47" spans="1:6" ht="18.75">
      <c r="A47" s="55">
        <v>1</v>
      </c>
      <c r="B47" s="388" t="s">
        <v>590</v>
      </c>
      <c r="C47" s="388"/>
      <c r="D47" s="102" t="s">
        <v>852</v>
      </c>
      <c r="E47" s="3" t="s">
        <v>589</v>
      </c>
      <c r="F47" s="157">
        <v>100000</v>
      </c>
    </row>
    <row r="48" spans="1:6" ht="18.75">
      <c r="A48" s="55">
        <v>2</v>
      </c>
      <c r="B48" s="389" t="s">
        <v>853</v>
      </c>
      <c r="C48" s="389"/>
      <c r="D48" s="46" t="s">
        <v>854</v>
      </c>
      <c r="E48" s="55" t="s">
        <v>550</v>
      </c>
      <c r="F48" s="161">
        <v>30000</v>
      </c>
    </row>
    <row r="49" spans="1:6" ht="18.75">
      <c r="A49" s="55">
        <v>3</v>
      </c>
      <c r="B49" s="389" t="s">
        <v>14</v>
      </c>
      <c r="C49" s="389"/>
      <c r="D49" s="46" t="s">
        <v>15</v>
      </c>
      <c r="E49" s="55"/>
      <c r="F49" s="162">
        <v>20000</v>
      </c>
    </row>
    <row r="50" spans="1:6" ht="18.75">
      <c r="A50" s="55"/>
      <c r="B50" s="392" t="s">
        <v>84</v>
      </c>
      <c r="C50" s="392"/>
      <c r="D50" s="84"/>
      <c r="E50" s="84"/>
      <c r="F50" s="160">
        <f t="shared" ref="F50" si="2">SUM(F47:F49)</f>
        <v>150000</v>
      </c>
    </row>
    <row r="51" spans="1:6" ht="18.75">
      <c r="A51" s="102"/>
      <c r="B51" s="393"/>
      <c r="C51" s="393"/>
      <c r="D51" s="9"/>
      <c r="E51" s="9"/>
      <c r="F51" s="163"/>
    </row>
    <row r="52" spans="1:6" ht="18.75">
      <c r="A52" s="102"/>
      <c r="B52" s="390" t="s">
        <v>586</v>
      </c>
      <c r="C52" s="390"/>
      <c r="D52" s="145"/>
      <c r="E52" s="9"/>
      <c r="F52" s="163"/>
    </row>
    <row r="53" spans="1:6" ht="18.75">
      <c r="A53" s="3">
        <v>1</v>
      </c>
      <c r="B53" s="388" t="s">
        <v>587</v>
      </c>
      <c r="C53" s="388"/>
      <c r="D53" s="148" t="s">
        <v>588</v>
      </c>
      <c r="E53" s="142" t="s">
        <v>589</v>
      </c>
      <c r="F53" s="157">
        <v>100000</v>
      </c>
    </row>
    <row r="54" spans="1:6" ht="18.75">
      <c r="A54" s="3">
        <v>3</v>
      </c>
      <c r="B54" s="388" t="s">
        <v>594</v>
      </c>
      <c r="C54" s="388"/>
      <c r="D54" s="102" t="s">
        <v>595</v>
      </c>
      <c r="E54" s="3" t="s">
        <v>542</v>
      </c>
      <c r="F54" s="157">
        <v>50000</v>
      </c>
    </row>
    <row r="55" spans="1:6" ht="18.75">
      <c r="A55" s="3">
        <v>4</v>
      </c>
      <c r="B55" s="464" t="s">
        <v>598</v>
      </c>
      <c r="C55" s="464"/>
      <c r="D55" s="102" t="s">
        <v>599</v>
      </c>
      <c r="E55" s="3" t="s">
        <v>542</v>
      </c>
      <c r="F55" s="157">
        <v>50000</v>
      </c>
    </row>
    <row r="56" spans="1:6" ht="18.75">
      <c r="A56" s="3">
        <v>5</v>
      </c>
      <c r="B56" s="388" t="s">
        <v>601</v>
      </c>
      <c r="C56" s="388"/>
      <c r="D56" s="102" t="s">
        <v>855</v>
      </c>
      <c r="E56" s="3" t="s">
        <v>542</v>
      </c>
      <c r="F56" s="157">
        <v>50000</v>
      </c>
    </row>
    <row r="57" spans="1:6" ht="18.75">
      <c r="A57" s="3">
        <v>6</v>
      </c>
      <c r="B57" s="388" t="s">
        <v>606</v>
      </c>
      <c r="C57" s="388"/>
      <c r="D57" s="102" t="s">
        <v>602</v>
      </c>
      <c r="E57" s="3" t="s">
        <v>542</v>
      </c>
      <c r="F57" s="157">
        <v>50000</v>
      </c>
    </row>
    <row r="58" spans="1:6" ht="18.75">
      <c r="A58" s="3">
        <v>7</v>
      </c>
      <c r="B58" s="388" t="s">
        <v>607</v>
      </c>
      <c r="C58" s="388"/>
      <c r="D58" s="102" t="s">
        <v>602</v>
      </c>
      <c r="E58" s="3" t="s">
        <v>608</v>
      </c>
      <c r="F58" s="157">
        <v>30000</v>
      </c>
    </row>
    <row r="59" spans="1:6" ht="18.75">
      <c r="A59" s="3">
        <v>8</v>
      </c>
      <c r="B59" s="388" t="s">
        <v>856</v>
      </c>
      <c r="C59" s="388"/>
      <c r="D59" s="102" t="s">
        <v>602</v>
      </c>
      <c r="E59" s="3" t="s">
        <v>724</v>
      </c>
      <c r="F59" s="157">
        <v>30000</v>
      </c>
    </row>
    <row r="60" spans="1:6" ht="18.75">
      <c r="A60" s="3">
        <v>9</v>
      </c>
      <c r="B60" s="388" t="s">
        <v>857</v>
      </c>
      <c r="C60" s="388"/>
      <c r="D60" s="102" t="s">
        <v>602</v>
      </c>
      <c r="E60" s="3" t="s">
        <v>724</v>
      </c>
      <c r="F60" s="157">
        <v>30000</v>
      </c>
    </row>
    <row r="61" spans="1:6" ht="18.75">
      <c r="A61" s="3">
        <v>10</v>
      </c>
      <c r="B61" s="388" t="s">
        <v>858</v>
      </c>
      <c r="C61" s="388"/>
      <c r="D61" s="102" t="s">
        <v>602</v>
      </c>
      <c r="E61" s="3" t="s">
        <v>724</v>
      </c>
      <c r="F61" s="157">
        <v>30000</v>
      </c>
    </row>
    <row r="62" spans="1:6" ht="18.75">
      <c r="A62" s="3">
        <v>11</v>
      </c>
      <c r="B62" s="388" t="s">
        <v>609</v>
      </c>
      <c r="C62" s="388"/>
      <c r="D62" s="102" t="s">
        <v>579</v>
      </c>
      <c r="E62" s="3" t="s">
        <v>558</v>
      </c>
      <c r="F62" s="157">
        <v>30000</v>
      </c>
    </row>
    <row r="63" spans="1:6" ht="18.75">
      <c r="A63" s="3">
        <v>12</v>
      </c>
      <c r="B63" s="388" t="s">
        <v>610</v>
      </c>
      <c r="C63" s="388"/>
      <c r="D63" s="102" t="s">
        <v>859</v>
      </c>
      <c r="E63" s="3" t="s">
        <v>542</v>
      </c>
      <c r="F63" s="157">
        <v>50000</v>
      </c>
    </row>
    <row r="64" spans="1:6" ht="18.75">
      <c r="A64" s="3">
        <v>13</v>
      </c>
      <c r="B64" s="388" t="s">
        <v>614</v>
      </c>
      <c r="C64" s="388"/>
      <c r="D64" s="102" t="s">
        <v>602</v>
      </c>
      <c r="E64" s="3" t="s">
        <v>608</v>
      </c>
      <c r="F64" s="157">
        <v>30000</v>
      </c>
    </row>
    <row r="65" spans="1:6" ht="18.75">
      <c r="A65" s="3">
        <v>14</v>
      </c>
      <c r="B65" s="388" t="s">
        <v>617</v>
      </c>
      <c r="C65" s="388"/>
      <c r="D65" s="102" t="s">
        <v>618</v>
      </c>
      <c r="E65" s="3" t="s">
        <v>550</v>
      </c>
      <c r="F65" s="157">
        <v>30000</v>
      </c>
    </row>
    <row r="66" spans="1:6" ht="18.75">
      <c r="A66" s="3">
        <v>15</v>
      </c>
      <c r="B66" s="388" t="s">
        <v>619</v>
      </c>
      <c r="C66" s="388"/>
      <c r="D66" s="102" t="s">
        <v>579</v>
      </c>
      <c r="E66" s="3" t="s">
        <v>550</v>
      </c>
      <c r="F66" s="157">
        <v>30000</v>
      </c>
    </row>
    <row r="67" spans="1:6" ht="18.75">
      <c r="A67" s="3">
        <v>16</v>
      </c>
      <c r="B67" s="379" t="s">
        <v>551</v>
      </c>
      <c r="C67" s="379"/>
      <c r="D67" s="102" t="s">
        <v>552</v>
      </c>
      <c r="E67" s="3" t="s">
        <v>550</v>
      </c>
      <c r="F67" s="157">
        <v>30000</v>
      </c>
    </row>
    <row r="68" spans="1:6" ht="18.75">
      <c r="A68" s="55">
        <v>17</v>
      </c>
      <c r="B68" s="391" t="s">
        <v>768</v>
      </c>
      <c r="C68" s="391"/>
      <c r="D68" s="46" t="s">
        <v>579</v>
      </c>
      <c r="E68" s="55" t="s">
        <v>550</v>
      </c>
      <c r="F68" s="157">
        <v>30000</v>
      </c>
    </row>
    <row r="69" spans="1:6" ht="18.75">
      <c r="A69" s="55">
        <v>18</v>
      </c>
      <c r="B69" s="391" t="s">
        <v>769</v>
      </c>
      <c r="C69" s="391"/>
      <c r="D69" s="46" t="s">
        <v>616</v>
      </c>
      <c r="E69" s="55" t="s">
        <v>550</v>
      </c>
      <c r="F69" s="157">
        <v>30000</v>
      </c>
    </row>
    <row r="70" spans="1:6" ht="18.75">
      <c r="A70" s="55">
        <v>19</v>
      </c>
      <c r="B70" s="391" t="s">
        <v>860</v>
      </c>
      <c r="C70" s="391"/>
      <c r="D70" s="46" t="s">
        <v>579</v>
      </c>
      <c r="E70" s="55" t="s">
        <v>550</v>
      </c>
      <c r="F70" s="157">
        <v>30000</v>
      </c>
    </row>
    <row r="71" spans="1:6" ht="18.75">
      <c r="A71" s="55">
        <v>20</v>
      </c>
      <c r="B71" s="391" t="s">
        <v>620</v>
      </c>
      <c r="C71" s="391"/>
      <c r="D71" s="46" t="s">
        <v>621</v>
      </c>
      <c r="E71" s="55" t="s">
        <v>555</v>
      </c>
      <c r="F71" s="159">
        <v>20000</v>
      </c>
    </row>
    <row r="72" spans="1:6" ht="18.75">
      <c r="A72" s="55">
        <v>21</v>
      </c>
      <c r="B72" s="391" t="s">
        <v>622</v>
      </c>
      <c r="C72" s="391"/>
      <c r="D72" s="46" t="s">
        <v>582</v>
      </c>
      <c r="E72" s="55" t="s">
        <v>561</v>
      </c>
      <c r="F72" s="159">
        <v>20000</v>
      </c>
    </row>
    <row r="73" spans="1:6" ht="18.75">
      <c r="A73" s="55">
        <v>22</v>
      </c>
      <c r="B73" s="391" t="s">
        <v>770</v>
      </c>
      <c r="C73" s="391"/>
      <c r="D73" s="46" t="s">
        <v>582</v>
      </c>
      <c r="E73" s="55" t="s">
        <v>566</v>
      </c>
      <c r="F73" s="159">
        <v>20000</v>
      </c>
    </row>
    <row r="74" spans="1:6" ht="18.75">
      <c r="A74" s="55">
        <v>23</v>
      </c>
      <c r="B74" s="391" t="s">
        <v>861</v>
      </c>
      <c r="C74" s="391"/>
      <c r="D74" s="46" t="s">
        <v>582</v>
      </c>
      <c r="E74" s="55" t="s">
        <v>566</v>
      </c>
      <c r="F74" s="159">
        <v>20000</v>
      </c>
    </row>
    <row r="75" spans="1:6" ht="18.75">
      <c r="A75" s="3">
        <v>24</v>
      </c>
      <c r="B75" s="388" t="s">
        <v>623</v>
      </c>
      <c r="C75" s="388"/>
      <c r="D75" s="102" t="s">
        <v>624</v>
      </c>
      <c r="E75" s="142" t="s">
        <v>625</v>
      </c>
      <c r="F75" s="157">
        <v>20000</v>
      </c>
    </row>
    <row r="76" spans="1:6" ht="18.75">
      <c r="A76" s="3">
        <v>25</v>
      </c>
      <c r="B76" s="388" t="s">
        <v>626</v>
      </c>
      <c r="C76" s="388"/>
      <c r="D76" s="102" t="s">
        <v>624</v>
      </c>
      <c r="E76" s="142" t="s">
        <v>625</v>
      </c>
      <c r="F76" s="157">
        <v>20000</v>
      </c>
    </row>
    <row r="77" spans="1:6" ht="18.75">
      <c r="A77" s="3">
        <v>26</v>
      </c>
      <c r="B77" s="388" t="s">
        <v>627</v>
      </c>
      <c r="C77" s="388"/>
      <c r="D77" s="102" t="s">
        <v>628</v>
      </c>
      <c r="E77" s="142" t="s">
        <v>561</v>
      </c>
      <c r="F77" s="157">
        <v>20000</v>
      </c>
    </row>
    <row r="78" spans="1:6" ht="18.75">
      <c r="A78" s="102"/>
      <c r="B78" s="390" t="s">
        <v>84</v>
      </c>
      <c r="C78" s="390"/>
      <c r="D78" s="9">
        <v>26</v>
      </c>
      <c r="E78" s="9"/>
      <c r="F78" s="163">
        <f>SUM(F53:F77)</f>
        <v>850000</v>
      </c>
    </row>
    <row r="79" spans="1:6" ht="18.75">
      <c r="A79" s="102"/>
      <c r="B79" s="102"/>
      <c r="C79" s="102"/>
      <c r="D79" s="102"/>
      <c r="E79" s="102"/>
      <c r="F79" s="164"/>
    </row>
    <row r="80" spans="1:6" ht="18.75">
      <c r="A80" s="102"/>
      <c r="B80" s="390" t="s">
        <v>629</v>
      </c>
      <c r="C80" s="390"/>
      <c r="D80" s="9"/>
      <c r="E80" s="9"/>
      <c r="F80" s="163"/>
    </row>
    <row r="81" spans="1:6" ht="18.75">
      <c r="A81" s="3">
        <v>1</v>
      </c>
      <c r="B81" s="388" t="s">
        <v>630</v>
      </c>
      <c r="C81" s="388"/>
      <c r="D81" s="148" t="s">
        <v>631</v>
      </c>
      <c r="E81" s="142" t="s">
        <v>632</v>
      </c>
      <c r="F81" s="157">
        <v>100000</v>
      </c>
    </row>
    <row r="82" spans="1:6" ht="18.75">
      <c r="A82" s="3">
        <v>2</v>
      </c>
      <c r="B82" s="388" t="s">
        <v>633</v>
      </c>
      <c r="C82" s="388"/>
      <c r="D82" s="148" t="s">
        <v>634</v>
      </c>
      <c r="E82" s="142" t="s">
        <v>577</v>
      </c>
      <c r="F82" s="157">
        <v>50000</v>
      </c>
    </row>
    <row r="83" spans="1:6" ht="18.75">
      <c r="A83" s="3">
        <v>3</v>
      </c>
      <c r="B83" s="388" t="s">
        <v>635</v>
      </c>
      <c r="C83" s="388"/>
      <c r="D83" s="148" t="s">
        <v>636</v>
      </c>
      <c r="E83" s="142" t="s">
        <v>577</v>
      </c>
      <c r="F83" s="157">
        <v>50000</v>
      </c>
    </row>
    <row r="84" spans="1:6" ht="18.75">
      <c r="A84" s="3">
        <v>4</v>
      </c>
      <c r="B84" s="388" t="s">
        <v>637</v>
      </c>
      <c r="C84" s="388"/>
      <c r="D84" s="148" t="s">
        <v>638</v>
      </c>
      <c r="E84" s="142" t="s">
        <v>536</v>
      </c>
      <c r="F84" s="157">
        <v>50000</v>
      </c>
    </row>
    <row r="85" spans="1:6" ht="18.75">
      <c r="A85" s="3">
        <v>5</v>
      </c>
      <c r="B85" s="464" t="s">
        <v>639</v>
      </c>
      <c r="C85" s="464"/>
      <c r="D85" s="148" t="s">
        <v>640</v>
      </c>
      <c r="E85" s="142" t="s">
        <v>536</v>
      </c>
      <c r="F85" s="157">
        <v>50000</v>
      </c>
    </row>
    <row r="86" spans="1:6" ht="18.75">
      <c r="A86" s="3">
        <v>6</v>
      </c>
      <c r="B86" s="389" t="s">
        <v>543</v>
      </c>
      <c r="C86" s="389"/>
      <c r="D86" s="46" t="s">
        <v>544</v>
      </c>
      <c r="E86" s="51" t="s">
        <v>542</v>
      </c>
      <c r="F86" s="159">
        <v>50000</v>
      </c>
    </row>
    <row r="87" spans="1:6" ht="18.75">
      <c r="A87" s="3">
        <v>7</v>
      </c>
      <c r="B87" s="388" t="s">
        <v>641</v>
      </c>
      <c r="C87" s="388"/>
      <c r="D87" s="148" t="s">
        <v>642</v>
      </c>
      <c r="E87" s="142" t="s">
        <v>580</v>
      </c>
      <c r="F87" s="157">
        <v>30000</v>
      </c>
    </row>
    <row r="88" spans="1:6" ht="18.75">
      <c r="A88" s="3">
        <v>8</v>
      </c>
      <c r="B88" s="388" t="s">
        <v>643</v>
      </c>
      <c r="C88" s="388"/>
      <c r="D88" s="148" t="s">
        <v>644</v>
      </c>
      <c r="E88" s="142" t="s">
        <v>550</v>
      </c>
      <c r="F88" s="157">
        <v>30000</v>
      </c>
    </row>
    <row r="89" spans="1:6" ht="18.75">
      <c r="A89" s="3">
        <v>9</v>
      </c>
      <c r="B89" s="388" t="s">
        <v>645</v>
      </c>
      <c r="C89" s="388"/>
      <c r="D89" s="148" t="s">
        <v>646</v>
      </c>
      <c r="E89" s="142" t="s">
        <v>550</v>
      </c>
      <c r="F89" s="157">
        <v>30000</v>
      </c>
    </row>
    <row r="90" spans="1:6" ht="18.75">
      <c r="A90" s="3">
        <v>10</v>
      </c>
      <c r="B90" s="388" t="s">
        <v>647</v>
      </c>
      <c r="C90" s="388"/>
      <c r="D90" s="148" t="s">
        <v>648</v>
      </c>
      <c r="E90" s="142" t="s">
        <v>550</v>
      </c>
      <c r="F90" s="157">
        <v>30000</v>
      </c>
    </row>
    <row r="91" spans="1:6" ht="18.75">
      <c r="A91" s="3">
        <v>11</v>
      </c>
      <c r="B91" s="379" t="s">
        <v>649</v>
      </c>
      <c r="C91" s="379"/>
      <c r="D91" s="102" t="s">
        <v>650</v>
      </c>
      <c r="E91" s="142" t="s">
        <v>550</v>
      </c>
      <c r="F91" s="157">
        <v>30000</v>
      </c>
    </row>
    <row r="92" spans="1:6" ht="18.75">
      <c r="A92" s="3">
        <v>12</v>
      </c>
      <c r="B92" s="388" t="s">
        <v>651</v>
      </c>
      <c r="C92" s="388"/>
      <c r="D92" s="148" t="s">
        <v>652</v>
      </c>
      <c r="E92" s="142" t="s">
        <v>566</v>
      </c>
      <c r="F92" s="157">
        <v>20000</v>
      </c>
    </row>
    <row r="93" spans="1:6" ht="18.75">
      <c r="A93" s="3">
        <v>13</v>
      </c>
      <c r="B93" s="388" t="s">
        <v>653</v>
      </c>
      <c r="C93" s="388"/>
      <c r="D93" s="148" t="s">
        <v>652</v>
      </c>
      <c r="E93" s="142" t="s">
        <v>566</v>
      </c>
      <c r="F93" s="157">
        <v>20000</v>
      </c>
    </row>
    <row r="94" spans="1:6" ht="18.75">
      <c r="A94" s="3">
        <v>14</v>
      </c>
      <c r="B94" s="464" t="s">
        <v>654</v>
      </c>
      <c r="C94" s="464"/>
      <c r="D94" s="148" t="s">
        <v>655</v>
      </c>
      <c r="E94" s="142" t="s">
        <v>566</v>
      </c>
      <c r="F94" s="157">
        <v>20000</v>
      </c>
    </row>
    <row r="95" spans="1:6" ht="18.75">
      <c r="A95" s="3">
        <v>15</v>
      </c>
      <c r="B95" s="388" t="s">
        <v>656</v>
      </c>
      <c r="C95" s="388"/>
      <c r="D95" s="148" t="s">
        <v>655</v>
      </c>
      <c r="E95" s="142" t="s">
        <v>566</v>
      </c>
      <c r="F95" s="157">
        <v>20000</v>
      </c>
    </row>
    <row r="96" spans="1:6" ht="18.75">
      <c r="A96" s="3">
        <v>16</v>
      </c>
      <c r="B96" s="388" t="s">
        <v>657</v>
      </c>
      <c r="C96" s="388"/>
      <c r="D96" s="148" t="s">
        <v>655</v>
      </c>
      <c r="E96" s="142" t="s">
        <v>566</v>
      </c>
      <c r="F96" s="157">
        <v>20000</v>
      </c>
    </row>
    <row r="97" spans="1:6" ht="18.75">
      <c r="A97" s="3">
        <v>17</v>
      </c>
      <c r="B97" s="388" t="s">
        <v>658</v>
      </c>
      <c r="C97" s="388"/>
      <c r="D97" s="148" t="s">
        <v>659</v>
      </c>
      <c r="E97" s="142" t="s">
        <v>561</v>
      </c>
      <c r="F97" s="157">
        <v>20000</v>
      </c>
    </row>
    <row r="98" spans="1:6" ht="18.75">
      <c r="A98" s="3">
        <v>18</v>
      </c>
      <c r="B98" s="388" t="s">
        <v>660</v>
      </c>
      <c r="C98" s="388"/>
      <c r="D98" s="148" t="s">
        <v>661</v>
      </c>
      <c r="E98" s="142" t="s">
        <v>561</v>
      </c>
      <c r="F98" s="157">
        <v>20000</v>
      </c>
    </row>
    <row r="99" spans="1:6" ht="18.75">
      <c r="A99" s="3">
        <v>19</v>
      </c>
      <c r="B99" s="388" t="s">
        <v>662</v>
      </c>
      <c r="C99" s="388"/>
      <c r="D99" s="148" t="s">
        <v>663</v>
      </c>
      <c r="E99" s="142" t="s">
        <v>561</v>
      </c>
      <c r="F99" s="157">
        <v>20000</v>
      </c>
    </row>
    <row r="100" spans="1:6" ht="18.75">
      <c r="A100" s="3">
        <v>20</v>
      </c>
      <c r="B100" s="388" t="s">
        <v>664</v>
      </c>
      <c r="C100" s="388"/>
      <c r="D100" s="102" t="s">
        <v>663</v>
      </c>
      <c r="E100" s="142" t="s">
        <v>561</v>
      </c>
      <c r="F100" s="157">
        <v>20000</v>
      </c>
    </row>
    <row r="101" spans="1:6" ht="18.75">
      <c r="A101" s="3">
        <v>21</v>
      </c>
      <c r="B101" s="388" t="s">
        <v>665</v>
      </c>
      <c r="C101" s="388"/>
      <c r="D101" s="148" t="s">
        <v>666</v>
      </c>
      <c r="E101" s="142" t="s">
        <v>667</v>
      </c>
      <c r="F101" s="157">
        <v>20000</v>
      </c>
    </row>
    <row r="102" spans="1:6" ht="18.75">
      <c r="A102" s="3">
        <v>22</v>
      </c>
      <c r="B102" s="388" t="s">
        <v>668</v>
      </c>
      <c r="C102" s="388"/>
      <c r="D102" s="148" t="s">
        <v>666</v>
      </c>
      <c r="E102" s="142" t="s">
        <v>667</v>
      </c>
      <c r="F102" s="157">
        <v>20000</v>
      </c>
    </row>
    <row r="103" spans="1:6" ht="18.75">
      <c r="A103" s="3">
        <v>23</v>
      </c>
      <c r="B103" s="388" t="s">
        <v>669</v>
      </c>
      <c r="C103" s="388"/>
      <c r="D103" s="148" t="s">
        <v>666</v>
      </c>
      <c r="E103" s="142" t="s">
        <v>566</v>
      </c>
      <c r="F103" s="157">
        <v>20000</v>
      </c>
    </row>
    <row r="104" spans="1:6" ht="18.75">
      <c r="A104" s="3">
        <v>24</v>
      </c>
      <c r="B104" s="388" t="s">
        <v>670</v>
      </c>
      <c r="C104" s="388"/>
      <c r="D104" s="148" t="s">
        <v>671</v>
      </c>
      <c r="E104" s="142" t="s">
        <v>672</v>
      </c>
      <c r="F104" s="157">
        <v>20000</v>
      </c>
    </row>
    <row r="105" spans="1:6" ht="18.75">
      <c r="A105" s="3">
        <v>25</v>
      </c>
      <c r="B105" s="388" t="s">
        <v>673</v>
      </c>
      <c r="C105" s="388"/>
      <c r="D105" s="148" t="s">
        <v>666</v>
      </c>
      <c r="E105" s="142" t="s">
        <v>566</v>
      </c>
      <c r="F105" s="157">
        <v>20000</v>
      </c>
    </row>
    <row r="106" spans="1:6" ht="18.75">
      <c r="A106" s="3">
        <v>26</v>
      </c>
      <c r="B106" s="388" t="s">
        <v>862</v>
      </c>
      <c r="C106" s="388"/>
      <c r="D106" s="148" t="s">
        <v>842</v>
      </c>
      <c r="E106" s="142" t="s">
        <v>566</v>
      </c>
      <c r="F106" s="157">
        <v>20000</v>
      </c>
    </row>
    <row r="107" spans="1:6" ht="18.75">
      <c r="A107" s="3">
        <v>27</v>
      </c>
      <c r="B107" s="388" t="s">
        <v>863</v>
      </c>
      <c r="C107" s="388"/>
      <c r="D107" s="148" t="s">
        <v>842</v>
      </c>
      <c r="E107" s="142" t="s">
        <v>566</v>
      </c>
      <c r="F107" s="157">
        <v>20000</v>
      </c>
    </row>
    <row r="108" spans="1:6" ht="18.75">
      <c r="A108" s="3">
        <v>28</v>
      </c>
      <c r="B108" s="388" t="s">
        <v>675</v>
      </c>
      <c r="C108" s="388"/>
      <c r="D108" s="148" t="s">
        <v>288</v>
      </c>
      <c r="E108" s="142" t="s">
        <v>667</v>
      </c>
      <c r="F108" s="157">
        <v>20000</v>
      </c>
    </row>
    <row r="109" spans="1:6" ht="18.75">
      <c r="A109" s="3">
        <v>29</v>
      </c>
      <c r="B109" s="388" t="s">
        <v>676</v>
      </c>
      <c r="C109" s="388"/>
      <c r="D109" s="148" t="s">
        <v>677</v>
      </c>
      <c r="E109" s="142" t="s">
        <v>678</v>
      </c>
      <c r="F109" s="156">
        <v>10000</v>
      </c>
    </row>
    <row r="110" spans="1:6" ht="18.75">
      <c r="A110" s="3">
        <v>30</v>
      </c>
      <c r="B110" s="388" t="s">
        <v>679</v>
      </c>
      <c r="C110" s="388"/>
      <c r="D110" s="148" t="s">
        <v>677</v>
      </c>
      <c r="E110" s="142" t="s">
        <v>678</v>
      </c>
      <c r="F110" s="156">
        <v>10000</v>
      </c>
    </row>
    <row r="111" spans="1:6" ht="18.75">
      <c r="A111" s="3">
        <v>31</v>
      </c>
      <c r="B111" s="388" t="s">
        <v>680</v>
      </c>
      <c r="C111" s="388"/>
      <c r="D111" s="148" t="s">
        <v>677</v>
      </c>
      <c r="E111" s="142" t="s">
        <v>678</v>
      </c>
      <c r="F111" s="156">
        <v>10000</v>
      </c>
    </row>
    <row r="112" spans="1:6" ht="18.75">
      <c r="A112" s="3">
        <v>32</v>
      </c>
      <c r="B112" s="388" t="s">
        <v>681</v>
      </c>
      <c r="C112" s="388"/>
      <c r="D112" s="148" t="s">
        <v>677</v>
      </c>
      <c r="E112" s="142" t="s">
        <v>678</v>
      </c>
      <c r="F112" s="156">
        <v>10000</v>
      </c>
    </row>
    <row r="113" spans="1:6" ht="18.75">
      <c r="A113" s="3">
        <v>33</v>
      </c>
      <c r="B113" s="388" t="s">
        <v>682</v>
      </c>
      <c r="C113" s="388"/>
      <c r="D113" s="148" t="s">
        <v>677</v>
      </c>
      <c r="E113" s="142" t="s">
        <v>678</v>
      </c>
      <c r="F113" s="156">
        <v>10000</v>
      </c>
    </row>
    <row r="114" spans="1:6" ht="18.75">
      <c r="A114" s="3">
        <v>34</v>
      </c>
      <c r="B114" s="388" t="s">
        <v>683</v>
      </c>
      <c r="C114" s="388"/>
      <c r="D114" s="148" t="s">
        <v>677</v>
      </c>
      <c r="E114" s="142" t="s">
        <v>678</v>
      </c>
      <c r="F114" s="156">
        <v>10000</v>
      </c>
    </row>
    <row r="115" spans="1:6" ht="18.75">
      <c r="A115" s="3">
        <v>35</v>
      </c>
      <c r="B115" s="388" t="s">
        <v>684</v>
      </c>
      <c r="C115" s="388"/>
      <c r="D115" s="148" t="s">
        <v>677</v>
      </c>
      <c r="E115" s="142" t="s">
        <v>678</v>
      </c>
      <c r="F115" s="156">
        <v>10000</v>
      </c>
    </row>
    <row r="116" spans="1:6" ht="18.75">
      <c r="A116" s="3">
        <v>36</v>
      </c>
      <c r="B116" s="388" t="s">
        <v>685</v>
      </c>
      <c r="C116" s="388"/>
      <c r="D116" s="148" t="s">
        <v>677</v>
      </c>
      <c r="E116" s="142" t="s">
        <v>678</v>
      </c>
      <c r="F116" s="156">
        <v>10000</v>
      </c>
    </row>
    <row r="117" spans="1:6" ht="18.75">
      <c r="A117" s="3">
        <v>37</v>
      </c>
      <c r="B117" s="388" t="s">
        <v>686</v>
      </c>
      <c r="C117" s="388"/>
      <c r="D117" s="148" t="s">
        <v>687</v>
      </c>
      <c r="E117" s="142" t="s">
        <v>739</v>
      </c>
      <c r="F117" s="156">
        <v>10000</v>
      </c>
    </row>
    <row r="118" spans="1:6" ht="18.75">
      <c r="A118" s="3">
        <v>38</v>
      </c>
      <c r="B118" s="388" t="s">
        <v>689</v>
      </c>
      <c r="C118" s="388"/>
      <c r="D118" s="148" t="s">
        <v>687</v>
      </c>
      <c r="E118" s="142" t="s">
        <v>739</v>
      </c>
      <c r="F118" s="156">
        <v>10000</v>
      </c>
    </row>
    <row r="119" spans="1:6" ht="18.75">
      <c r="A119" s="3">
        <v>39</v>
      </c>
      <c r="B119" s="388" t="s">
        <v>690</v>
      </c>
      <c r="C119" s="388"/>
      <c r="D119" s="148" t="s">
        <v>687</v>
      </c>
      <c r="E119" s="142" t="s">
        <v>739</v>
      </c>
      <c r="F119" s="156">
        <v>10000</v>
      </c>
    </row>
    <row r="120" spans="1:6" ht="18.75">
      <c r="A120" s="3">
        <v>40</v>
      </c>
      <c r="B120" s="102" t="s">
        <v>691</v>
      </c>
      <c r="C120" s="102"/>
      <c r="D120" s="148" t="s">
        <v>687</v>
      </c>
      <c r="E120" s="142" t="s">
        <v>739</v>
      </c>
      <c r="F120" s="156">
        <v>10000</v>
      </c>
    </row>
    <row r="121" spans="1:6" ht="18.75">
      <c r="A121" s="3">
        <v>41</v>
      </c>
      <c r="B121" s="388" t="s">
        <v>692</v>
      </c>
      <c r="C121" s="388"/>
      <c r="D121" s="148" t="s">
        <v>687</v>
      </c>
      <c r="E121" s="142" t="s">
        <v>739</v>
      </c>
      <c r="F121" s="156">
        <v>10000</v>
      </c>
    </row>
    <row r="122" spans="1:6" ht="18.75">
      <c r="A122" s="3">
        <v>42</v>
      </c>
      <c r="B122" s="148" t="s">
        <v>693</v>
      </c>
      <c r="C122" s="102"/>
      <c r="D122" s="148" t="s">
        <v>687</v>
      </c>
      <c r="E122" s="142" t="s">
        <v>739</v>
      </c>
      <c r="F122" s="156">
        <v>10000</v>
      </c>
    </row>
    <row r="123" spans="1:6" ht="18.75">
      <c r="A123" s="3">
        <v>43</v>
      </c>
      <c r="B123" s="148" t="s">
        <v>695</v>
      </c>
      <c r="C123" s="102"/>
      <c r="D123" s="148" t="s">
        <v>687</v>
      </c>
      <c r="E123" s="142" t="s">
        <v>739</v>
      </c>
      <c r="F123" s="156">
        <v>10000</v>
      </c>
    </row>
    <row r="124" spans="1:6" ht="18.75">
      <c r="A124" s="3">
        <v>44</v>
      </c>
      <c r="B124" s="148" t="s">
        <v>696</v>
      </c>
      <c r="C124" s="102"/>
      <c r="D124" s="148" t="s">
        <v>687</v>
      </c>
      <c r="E124" s="142" t="s">
        <v>694</v>
      </c>
      <c r="F124" s="156">
        <v>10000</v>
      </c>
    </row>
    <row r="125" spans="1:6" ht="18.75">
      <c r="A125" s="3">
        <v>45</v>
      </c>
      <c r="B125" s="148" t="s">
        <v>697</v>
      </c>
      <c r="C125" s="102"/>
      <c r="D125" s="148" t="s">
        <v>698</v>
      </c>
      <c r="E125" s="142"/>
      <c r="F125" s="156">
        <v>10000</v>
      </c>
    </row>
    <row r="126" spans="1:6" ht="18.75">
      <c r="A126" s="55">
        <v>46</v>
      </c>
      <c r="B126" s="148" t="s">
        <v>699</v>
      </c>
      <c r="C126" s="102"/>
      <c r="D126" s="148" t="s">
        <v>698</v>
      </c>
      <c r="E126" s="142"/>
      <c r="F126" s="156">
        <v>10000</v>
      </c>
    </row>
    <row r="127" spans="1:6" ht="18.75">
      <c r="A127" s="3">
        <v>47</v>
      </c>
      <c r="B127" s="148" t="s">
        <v>16</v>
      </c>
      <c r="C127" s="102"/>
      <c r="D127" s="148" t="s">
        <v>17</v>
      </c>
      <c r="E127" s="142"/>
      <c r="F127" s="156">
        <v>10000</v>
      </c>
    </row>
    <row r="128" spans="1:6" ht="18.75">
      <c r="A128" s="3">
        <v>48</v>
      </c>
      <c r="B128" s="388" t="s">
        <v>702</v>
      </c>
      <c r="C128" s="388"/>
      <c r="D128" s="148" t="s">
        <v>703</v>
      </c>
      <c r="E128" s="142"/>
      <c r="F128" s="156">
        <v>10000</v>
      </c>
    </row>
    <row r="129" spans="1:6" ht="18.75">
      <c r="A129" s="3">
        <v>49</v>
      </c>
      <c r="B129" s="388" t="s">
        <v>773</v>
      </c>
      <c r="C129" s="388"/>
      <c r="D129" s="148" t="s">
        <v>774</v>
      </c>
      <c r="E129" s="142"/>
      <c r="F129" s="156">
        <v>10000</v>
      </c>
    </row>
    <row r="130" spans="1:6" ht="18.75">
      <c r="A130" s="3">
        <v>50</v>
      </c>
      <c r="B130" s="148" t="s">
        <v>18</v>
      </c>
      <c r="C130" s="102"/>
      <c r="D130" s="148" t="s">
        <v>177</v>
      </c>
      <c r="E130" s="142"/>
      <c r="F130" s="156">
        <v>10000</v>
      </c>
    </row>
    <row r="131" spans="1:6" ht="18.75">
      <c r="A131" s="3">
        <v>51</v>
      </c>
      <c r="B131" s="388" t="s">
        <v>704</v>
      </c>
      <c r="C131" s="388"/>
      <c r="D131" s="148" t="s">
        <v>177</v>
      </c>
      <c r="E131" s="142"/>
      <c r="F131" s="156">
        <v>10000</v>
      </c>
    </row>
    <row r="132" spans="1:6" ht="18.75">
      <c r="A132" s="3">
        <v>52</v>
      </c>
      <c r="B132" s="148" t="s">
        <v>20</v>
      </c>
      <c r="C132" s="102"/>
      <c r="D132" s="148" t="s">
        <v>21</v>
      </c>
      <c r="E132" s="142"/>
      <c r="F132" s="156">
        <v>10000</v>
      </c>
    </row>
    <row r="133" spans="1:6" ht="18.75">
      <c r="A133" s="3">
        <v>53</v>
      </c>
      <c r="B133" s="148" t="s">
        <v>705</v>
      </c>
      <c r="C133" s="102"/>
      <c r="D133" s="148" t="s">
        <v>177</v>
      </c>
      <c r="E133" s="142"/>
      <c r="F133" s="156">
        <v>10000</v>
      </c>
    </row>
    <row r="134" spans="1:6" ht="18.75">
      <c r="A134" s="3">
        <v>54</v>
      </c>
      <c r="B134" s="388" t="s">
        <v>706</v>
      </c>
      <c r="C134" s="388"/>
      <c r="D134" s="148" t="s">
        <v>707</v>
      </c>
      <c r="E134" s="142"/>
      <c r="F134" s="156">
        <v>10000</v>
      </c>
    </row>
    <row r="135" spans="1:6" ht="18.75">
      <c r="A135" s="3">
        <v>55</v>
      </c>
      <c r="B135" s="388" t="s">
        <v>708</v>
      </c>
      <c r="C135" s="388"/>
      <c r="D135" s="148" t="s">
        <v>687</v>
      </c>
      <c r="E135" s="142"/>
      <c r="F135" s="156">
        <v>10000</v>
      </c>
    </row>
    <row r="136" spans="1:6" ht="18.75">
      <c r="A136" s="3">
        <v>56</v>
      </c>
      <c r="B136" s="388" t="s">
        <v>864</v>
      </c>
      <c r="C136" s="388"/>
      <c r="D136" s="148" t="s">
        <v>177</v>
      </c>
      <c r="E136" s="142"/>
      <c r="F136" s="156">
        <v>10000</v>
      </c>
    </row>
    <row r="137" spans="1:6" ht="18.75">
      <c r="A137" s="3">
        <v>57</v>
      </c>
      <c r="B137" s="388" t="s">
        <v>865</v>
      </c>
      <c r="C137" s="388"/>
      <c r="D137" s="148" t="s">
        <v>177</v>
      </c>
      <c r="E137" s="142"/>
      <c r="F137" s="156">
        <v>10000</v>
      </c>
    </row>
    <row r="138" spans="1:6" ht="18.75">
      <c r="A138" s="3">
        <v>58</v>
      </c>
      <c r="B138" s="388" t="s">
        <v>866</v>
      </c>
      <c r="C138" s="388"/>
      <c r="D138" s="148" t="s">
        <v>177</v>
      </c>
      <c r="E138" s="142"/>
      <c r="F138" s="156">
        <v>10000</v>
      </c>
    </row>
    <row r="139" spans="1:6" ht="18.75">
      <c r="A139" s="3">
        <v>59</v>
      </c>
      <c r="B139" s="388" t="s">
        <v>867</v>
      </c>
      <c r="C139" s="388"/>
      <c r="D139" s="148" t="s">
        <v>868</v>
      </c>
      <c r="E139" s="142"/>
      <c r="F139" s="156">
        <v>10000</v>
      </c>
    </row>
    <row r="140" spans="1:6" ht="18.75">
      <c r="A140" s="3">
        <v>60</v>
      </c>
      <c r="B140" s="388" t="s">
        <v>869</v>
      </c>
      <c r="C140" s="388"/>
      <c r="D140" s="148" t="s">
        <v>868</v>
      </c>
      <c r="E140" s="142"/>
      <c r="F140" s="156">
        <v>10000</v>
      </c>
    </row>
    <row r="141" spans="1:6" ht="18.75">
      <c r="A141" s="3">
        <v>63</v>
      </c>
      <c r="B141" s="148" t="s">
        <v>412</v>
      </c>
      <c r="C141" s="102"/>
      <c r="D141" s="148" t="s">
        <v>23</v>
      </c>
      <c r="E141" s="142"/>
      <c r="F141" s="141">
        <v>10000</v>
      </c>
    </row>
    <row r="142" spans="1:6" ht="18.75">
      <c r="A142" s="102"/>
      <c r="B142" s="77" t="s">
        <v>84</v>
      </c>
      <c r="C142" s="102"/>
      <c r="D142" s="152" t="s">
        <v>870</v>
      </c>
      <c r="E142" s="142"/>
      <c r="F142" s="144">
        <f>SUM(F81:F141)</f>
        <v>1170000</v>
      </c>
    </row>
    <row r="143" spans="1:6" ht="18.75">
      <c r="A143" s="102"/>
      <c r="B143" s="387" t="s">
        <v>448</v>
      </c>
      <c r="C143" s="387"/>
      <c r="D143" s="165"/>
      <c r="E143" s="166"/>
      <c r="F143" s="167">
        <f>F23+F34+F39+F44+F50+F78+F142</f>
        <v>3230000</v>
      </c>
    </row>
  </sheetData>
  <mergeCells count="126">
    <mergeCell ref="B15:C15"/>
    <mergeCell ref="B16:C16"/>
    <mergeCell ref="B17:C17"/>
    <mergeCell ref="B18:C18"/>
    <mergeCell ref="B19:C19"/>
    <mergeCell ref="B20:C20"/>
    <mergeCell ref="B1:E1"/>
    <mergeCell ref="B2:C2"/>
    <mergeCell ref="B9:C9"/>
    <mergeCell ref="B10:C10"/>
    <mergeCell ref="B11:C11"/>
    <mergeCell ref="B12:C12"/>
    <mergeCell ref="B13:C13"/>
    <mergeCell ref="B14:C14"/>
    <mergeCell ref="B3:C3"/>
    <mergeCell ref="B4:C4"/>
    <mergeCell ref="B5:C5"/>
    <mergeCell ref="B6:C6"/>
    <mergeCell ref="B7:C7"/>
    <mergeCell ref="B8:C8"/>
    <mergeCell ref="B28:C28"/>
    <mergeCell ref="B29:C29"/>
    <mergeCell ref="B30:C30"/>
    <mergeCell ref="B31:C31"/>
    <mergeCell ref="B32:C32"/>
    <mergeCell ref="B21:C21"/>
    <mergeCell ref="B22:C22"/>
    <mergeCell ref="B24:C24"/>
    <mergeCell ref="B25:C25"/>
    <mergeCell ref="B26:C26"/>
    <mergeCell ref="B27:C27"/>
    <mergeCell ref="B41:C41"/>
    <mergeCell ref="B42:C42"/>
    <mergeCell ref="B43:C43"/>
    <mergeCell ref="B44:C44"/>
    <mergeCell ref="B46:C46"/>
    <mergeCell ref="B33:C33"/>
    <mergeCell ref="B34:C34"/>
    <mergeCell ref="B36:C36"/>
    <mergeCell ref="B37:C37"/>
    <mergeCell ref="B38:C38"/>
    <mergeCell ref="B39:C39"/>
    <mergeCell ref="B53:C53"/>
    <mergeCell ref="B54:C54"/>
    <mergeCell ref="B55:C55"/>
    <mergeCell ref="B56:C56"/>
    <mergeCell ref="B57:C57"/>
    <mergeCell ref="B47:C47"/>
    <mergeCell ref="B48:C48"/>
    <mergeCell ref="B49:C49"/>
    <mergeCell ref="B50:C50"/>
    <mergeCell ref="B51:C51"/>
    <mergeCell ref="B52:C52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76:C76"/>
    <mergeCell ref="B77:C77"/>
    <mergeCell ref="B78:C78"/>
    <mergeCell ref="B80:C80"/>
    <mergeCell ref="B81:C81"/>
    <mergeCell ref="B82:C82"/>
    <mergeCell ref="B70:C70"/>
    <mergeCell ref="B71:C71"/>
    <mergeCell ref="B72:C72"/>
    <mergeCell ref="B73:C73"/>
    <mergeCell ref="B74:C74"/>
    <mergeCell ref="B75:C75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143:C143"/>
    <mergeCell ref="B135:C135"/>
    <mergeCell ref="B136:C136"/>
    <mergeCell ref="B137:C137"/>
    <mergeCell ref="B138:C138"/>
    <mergeCell ref="B139:C139"/>
    <mergeCell ref="B140:C140"/>
    <mergeCell ref="B119:C119"/>
    <mergeCell ref="B121:C121"/>
    <mergeCell ref="B128:C128"/>
    <mergeCell ref="B129:C129"/>
    <mergeCell ref="B131:C131"/>
    <mergeCell ref="B134:C134"/>
  </mergeCells>
  <pageMargins left="0.7" right="0.7" top="0.75" bottom="0.75" header="0.3" footer="0.3"/>
  <pageSetup scale="8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55"/>
  <sheetViews>
    <sheetView topLeftCell="A31" workbookViewId="0"/>
  </sheetViews>
  <sheetFormatPr defaultRowHeight="12.75"/>
  <cols>
    <col min="3" max="3" width="34.140625" customWidth="1"/>
    <col min="4" max="4" width="33.140625" customWidth="1"/>
    <col min="5" max="5" width="20" customWidth="1"/>
    <col min="6" max="6" width="19.5703125" customWidth="1"/>
  </cols>
  <sheetData>
    <row r="1" spans="1:6" ht="18.75">
      <c r="B1" s="380" t="s">
        <v>762</v>
      </c>
      <c r="C1" s="380"/>
      <c r="D1" s="47"/>
      <c r="E1" s="47"/>
      <c r="F1" s="47"/>
    </row>
    <row r="2" spans="1:6" ht="18.75">
      <c r="B2" s="380" t="s">
        <v>523</v>
      </c>
      <c r="C2" s="380"/>
      <c r="D2" s="47" t="s">
        <v>759</v>
      </c>
      <c r="E2" s="47" t="s">
        <v>840</v>
      </c>
      <c r="F2" s="47" t="s">
        <v>117</v>
      </c>
    </row>
    <row r="3" spans="1:6" ht="18.75">
      <c r="A3" s="3">
        <v>1</v>
      </c>
      <c r="B3" s="415" t="s">
        <v>526</v>
      </c>
      <c r="C3" s="416"/>
      <c r="D3" s="175" t="s">
        <v>527</v>
      </c>
      <c r="E3" s="175" t="s">
        <v>528</v>
      </c>
      <c r="F3" s="168">
        <v>2000000</v>
      </c>
    </row>
    <row r="4" spans="1:6" ht="18.75">
      <c r="A4" s="3">
        <v>2</v>
      </c>
      <c r="B4" s="401" t="s">
        <v>529</v>
      </c>
      <c r="C4" s="402"/>
      <c r="D4" s="148" t="s">
        <v>530</v>
      </c>
      <c r="E4" s="142" t="s">
        <v>531</v>
      </c>
      <c r="F4" s="53">
        <v>700000</v>
      </c>
    </row>
    <row r="5" spans="1:6" ht="18.75">
      <c r="A5" s="3">
        <v>3</v>
      </c>
      <c r="B5" s="465" t="s">
        <v>534</v>
      </c>
      <c r="C5" s="466"/>
      <c r="D5" s="148" t="s">
        <v>535</v>
      </c>
      <c r="E5" s="143" t="s">
        <v>536</v>
      </c>
      <c r="F5" s="53">
        <v>350000</v>
      </c>
    </row>
    <row r="6" spans="1:6" ht="18.75">
      <c r="A6" s="3">
        <v>4</v>
      </c>
      <c r="B6" s="381" t="s">
        <v>540</v>
      </c>
      <c r="C6" s="383"/>
      <c r="D6" s="102" t="s">
        <v>541</v>
      </c>
      <c r="E6" s="143" t="s">
        <v>542</v>
      </c>
      <c r="F6" s="53">
        <v>700000</v>
      </c>
    </row>
    <row r="7" spans="1:6" ht="18.75">
      <c r="A7" s="171">
        <v>5</v>
      </c>
      <c r="B7" s="381" t="s">
        <v>841</v>
      </c>
      <c r="C7" s="383"/>
      <c r="D7" s="102" t="s">
        <v>842</v>
      </c>
      <c r="E7" s="3" t="s">
        <v>542</v>
      </c>
      <c r="F7" s="53">
        <v>700000</v>
      </c>
    </row>
    <row r="8" spans="1:6" ht="18.75">
      <c r="A8" s="3">
        <v>7</v>
      </c>
      <c r="B8" s="381" t="s">
        <v>548</v>
      </c>
      <c r="C8" s="383"/>
      <c r="D8" s="172" t="s">
        <v>549</v>
      </c>
      <c r="E8" s="173" t="s">
        <v>550</v>
      </c>
      <c r="F8" s="53">
        <v>500000</v>
      </c>
    </row>
    <row r="9" spans="1:6" ht="18.75">
      <c r="A9" s="3"/>
      <c r="B9" s="102"/>
      <c r="C9" s="47" t="s">
        <v>84</v>
      </c>
      <c r="D9" s="9">
        <v>20</v>
      </c>
      <c r="E9" s="3"/>
      <c r="F9" s="54">
        <f>SUM(F3:F8)</f>
        <v>4950000</v>
      </c>
    </row>
    <row r="10" spans="1:6" ht="18.75">
      <c r="A10" s="102"/>
      <c r="B10" s="411"/>
      <c r="C10" s="412"/>
      <c r="D10" s="102"/>
      <c r="E10" s="3"/>
      <c r="F10" s="53"/>
    </row>
    <row r="11" spans="1:6" ht="18.75">
      <c r="A11" s="102"/>
      <c r="B11" s="413" t="s">
        <v>574</v>
      </c>
      <c r="C11" s="414"/>
      <c r="D11" s="149"/>
      <c r="E11" s="2"/>
      <c r="F11" s="53"/>
    </row>
    <row r="12" spans="1:6" ht="18.75">
      <c r="A12" s="3">
        <v>1</v>
      </c>
      <c r="B12" s="401" t="s">
        <v>613</v>
      </c>
      <c r="C12" s="402"/>
      <c r="D12" s="102" t="s">
        <v>602</v>
      </c>
      <c r="E12" s="3" t="s">
        <v>603</v>
      </c>
      <c r="F12" s="53">
        <v>500000</v>
      </c>
    </row>
    <row r="13" spans="1:6" ht="18.75">
      <c r="A13" s="3">
        <v>2</v>
      </c>
      <c r="B13" s="401" t="s">
        <v>871</v>
      </c>
      <c r="C13" s="402"/>
      <c r="D13" s="102" t="s">
        <v>872</v>
      </c>
      <c r="E13" s="3" t="s">
        <v>589</v>
      </c>
      <c r="F13" s="53">
        <v>500000</v>
      </c>
    </row>
    <row r="14" spans="1:6" ht="18.75">
      <c r="A14" s="46"/>
      <c r="B14" s="403" t="s">
        <v>84</v>
      </c>
      <c r="C14" s="404"/>
      <c r="D14" s="84">
        <v>9</v>
      </c>
      <c r="E14" s="84"/>
      <c r="F14" s="54">
        <f>SUM(F12:F13)</f>
        <v>1000000</v>
      </c>
    </row>
    <row r="15" spans="1:6" ht="18.75">
      <c r="A15" s="46"/>
      <c r="B15" s="151"/>
      <c r="C15" s="151"/>
      <c r="D15" s="84"/>
      <c r="E15" s="84"/>
      <c r="F15" s="53"/>
    </row>
    <row r="16" spans="1:6" ht="18.75">
      <c r="A16" s="46"/>
      <c r="B16" s="403" t="s">
        <v>849</v>
      </c>
      <c r="C16" s="404"/>
      <c r="D16" s="84"/>
      <c r="E16" s="84"/>
      <c r="F16" s="53"/>
    </row>
    <row r="17" spans="1:6" ht="18.75">
      <c r="A17" s="55">
        <v>1</v>
      </c>
      <c r="B17" s="401" t="s">
        <v>575</v>
      </c>
      <c r="C17" s="402"/>
      <c r="D17" s="148" t="s">
        <v>850</v>
      </c>
      <c r="E17" s="142" t="s">
        <v>589</v>
      </c>
      <c r="F17" s="53">
        <v>500000</v>
      </c>
    </row>
    <row r="18" spans="1:6" ht="18.75">
      <c r="A18" s="55">
        <v>2</v>
      </c>
      <c r="B18" s="398" t="s">
        <v>545</v>
      </c>
      <c r="C18" s="399"/>
      <c r="D18" s="46" t="s">
        <v>546</v>
      </c>
      <c r="E18" s="51" t="s">
        <v>547</v>
      </c>
      <c r="F18" s="53">
        <v>500000</v>
      </c>
    </row>
    <row r="19" spans="1:6" ht="18.75">
      <c r="A19" s="46"/>
      <c r="B19" s="403" t="s">
        <v>84</v>
      </c>
      <c r="C19" s="404"/>
      <c r="D19" s="84">
        <v>2</v>
      </c>
      <c r="E19" s="84"/>
      <c r="F19" s="54">
        <f>SUM(F17:F18)</f>
        <v>1000000</v>
      </c>
    </row>
    <row r="20" spans="1:6" ht="18.75">
      <c r="A20" s="46"/>
      <c r="B20" s="151"/>
      <c r="C20" s="151"/>
      <c r="D20" s="84"/>
      <c r="E20" s="84"/>
      <c r="F20" s="53"/>
    </row>
    <row r="21" spans="1:6" ht="18.75">
      <c r="A21" s="46"/>
      <c r="B21" s="403" t="s">
        <v>764</v>
      </c>
      <c r="C21" s="404"/>
      <c r="D21" s="84"/>
      <c r="E21" s="84"/>
      <c r="F21" s="53"/>
    </row>
    <row r="22" spans="1:6" ht="18.75">
      <c r="A22" s="55">
        <v>1</v>
      </c>
      <c r="B22" s="409" t="s">
        <v>765</v>
      </c>
      <c r="C22" s="410"/>
      <c r="D22" s="150" t="s">
        <v>766</v>
      </c>
      <c r="E22" s="55" t="s">
        <v>542</v>
      </c>
      <c r="F22" s="53">
        <v>700000</v>
      </c>
    </row>
    <row r="23" spans="1:6" ht="18.75">
      <c r="A23" s="46"/>
      <c r="B23" s="403" t="s">
        <v>84</v>
      </c>
      <c r="C23" s="404"/>
      <c r="D23" s="84">
        <v>2</v>
      </c>
      <c r="E23" s="84"/>
      <c r="F23" s="54">
        <f>SUM(F22:F22)</f>
        <v>700000</v>
      </c>
    </row>
    <row r="24" spans="1:6" ht="18.75">
      <c r="A24" s="46"/>
      <c r="B24" s="97"/>
      <c r="C24" s="91"/>
      <c r="D24" s="84"/>
      <c r="E24" s="84"/>
      <c r="F24" s="53"/>
    </row>
    <row r="25" spans="1:6" ht="18.75">
      <c r="A25" s="46"/>
      <c r="B25" s="403" t="s">
        <v>851</v>
      </c>
      <c r="C25" s="404"/>
      <c r="D25" s="84"/>
      <c r="E25" s="84"/>
      <c r="F25" s="53"/>
    </row>
    <row r="26" spans="1:6" ht="18.75">
      <c r="A26" s="55">
        <v>1</v>
      </c>
      <c r="B26" s="401" t="s">
        <v>590</v>
      </c>
      <c r="C26" s="402"/>
      <c r="D26" s="102" t="s">
        <v>852</v>
      </c>
      <c r="E26" s="3" t="s">
        <v>589</v>
      </c>
      <c r="F26" s="53">
        <v>1000000</v>
      </c>
    </row>
    <row r="27" spans="1:6" ht="18.75">
      <c r="A27" s="55">
        <v>2</v>
      </c>
      <c r="B27" s="398" t="s">
        <v>853</v>
      </c>
      <c r="C27" s="399"/>
      <c r="D27" s="46" t="s">
        <v>854</v>
      </c>
      <c r="E27" s="55" t="s">
        <v>550</v>
      </c>
      <c r="F27" s="53">
        <v>500000</v>
      </c>
    </row>
    <row r="28" spans="1:6" ht="18.75">
      <c r="A28" s="55"/>
      <c r="B28" s="403" t="s">
        <v>84</v>
      </c>
      <c r="C28" s="404"/>
      <c r="D28" s="84">
        <v>3</v>
      </c>
      <c r="E28" s="84"/>
      <c r="F28" s="54">
        <f>SUM(F26:F27)</f>
        <v>1500000</v>
      </c>
    </row>
    <row r="29" spans="1:6" ht="18.75">
      <c r="A29" s="102"/>
      <c r="B29" s="405"/>
      <c r="C29" s="406"/>
      <c r="D29" s="9"/>
      <c r="E29" s="9"/>
      <c r="F29" s="53"/>
    </row>
    <row r="30" spans="1:6" ht="18.75">
      <c r="A30" s="102"/>
      <c r="B30" s="407" t="s">
        <v>586</v>
      </c>
      <c r="C30" s="408"/>
      <c r="D30" s="145"/>
      <c r="E30" s="9"/>
      <c r="F30" s="53"/>
    </row>
    <row r="31" spans="1:6" ht="18.75">
      <c r="A31" s="3">
        <v>1</v>
      </c>
      <c r="B31" s="401" t="s">
        <v>587</v>
      </c>
      <c r="C31" s="402"/>
      <c r="D31" s="148" t="s">
        <v>588</v>
      </c>
      <c r="E31" s="142" t="s">
        <v>589</v>
      </c>
      <c r="F31" s="53">
        <v>500000</v>
      </c>
    </row>
    <row r="32" spans="1:6" ht="18.75">
      <c r="A32" s="3">
        <v>4</v>
      </c>
      <c r="B32" s="401" t="s">
        <v>594</v>
      </c>
      <c r="C32" s="402"/>
      <c r="D32" s="102" t="s">
        <v>595</v>
      </c>
      <c r="E32" s="3" t="s">
        <v>542</v>
      </c>
      <c r="F32" s="53">
        <v>700000</v>
      </c>
    </row>
    <row r="33" spans="1:6" ht="18.75">
      <c r="A33" s="3">
        <v>5</v>
      </c>
      <c r="B33" s="465" t="s">
        <v>598</v>
      </c>
      <c r="C33" s="466"/>
      <c r="D33" s="102" t="s">
        <v>599</v>
      </c>
      <c r="E33" s="3" t="s">
        <v>542</v>
      </c>
      <c r="F33" s="53">
        <v>700000</v>
      </c>
    </row>
    <row r="34" spans="1:6" ht="18.75">
      <c r="A34" s="3">
        <v>6</v>
      </c>
      <c r="B34" s="401" t="s">
        <v>601</v>
      </c>
      <c r="C34" s="402"/>
      <c r="D34" s="102" t="s">
        <v>855</v>
      </c>
      <c r="E34" s="3" t="s">
        <v>542</v>
      </c>
      <c r="F34" s="53">
        <v>700000</v>
      </c>
    </row>
    <row r="35" spans="1:6" ht="18.75">
      <c r="A35" s="3">
        <v>7</v>
      </c>
      <c r="B35" s="401" t="s">
        <v>606</v>
      </c>
      <c r="C35" s="402"/>
      <c r="D35" s="102" t="s">
        <v>602</v>
      </c>
      <c r="E35" s="3" t="s">
        <v>542</v>
      </c>
      <c r="F35" s="53">
        <v>700000</v>
      </c>
    </row>
    <row r="36" spans="1:6" ht="18.75">
      <c r="A36" s="3">
        <v>9</v>
      </c>
      <c r="B36" s="401" t="s">
        <v>856</v>
      </c>
      <c r="C36" s="402"/>
      <c r="D36" s="102" t="s">
        <v>602</v>
      </c>
      <c r="E36" s="3" t="s">
        <v>724</v>
      </c>
      <c r="F36" s="53">
        <v>500000</v>
      </c>
    </row>
    <row r="37" spans="1:6" ht="18.75">
      <c r="A37" s="3">
        <v>10</v>
      </c>
      <c r="B37" s="401" t="s">
        <v>857</v>
      </c>
      <c r="C37" s="402"/>
      <c r="D37" s="102" t="s">
        <v>602</v>
      </c>
      <c r="E37" s="3" t="s">
        <v>724</v>
      </c>
      <c r="F37" s="53">
        <v>500000</v>
      </c>
    </row>
    <row r="38" spans="1:6" ht="18.75">
      <c r="A38" s="3">
        <v>11</v>
      </c>
      <c r="B38" s="401" t="s">
        <v>858</v>
      </c>
      <c r="C38" s="402"/>
      <c r="D38" s="102" t="s">
        <v>602</v>
      </c>
      <c r="E38" s="3" t="s">
        <v>724</v>
      </c>
      <c r="F38" s="53">
        <v>500000</v>
      </c>
    </row>
    <row r="39" spans="1:6" ht="18.75">
      <c r="A39" s="3">
        <v>13</v>
      </c>
      <c r="B39" s="401" t="s">
        <v>610</v>
      </c>
      <c r="C39" s="402"/>
      <c r="D39" s="102" t="s">
        <v>859</v>
      </c>
      <c r="E39" s="3" t="s">
        <v>542</v>
      </c>
      <c r="F39" s="53">
        <v>700000</v>
      </c>
    </row>
    <row r="40" spans="1:6" ht="18.75">
      <c r="A40" s="3">
        <v>14</v>
      </c>
      <c r="B40" s="401" t="s">
        <v>614</v>
      </c>
      <c r="C40" s="402"/>
      <c r="D40" s="102" t="s">
        <v>602</v>
      </c>
      <c r="E40" s="3" t="s">
        <v>608</v>
      </c>
      <c r="F40" s="53">
        <v>500000</v>
      </c>
    </row>
    <row r="41" spans="1:6" ht="18.75">
      <c r="A41" s="102"/>
      <c r="B41" s="390" t="s">
        <v>84</v>
      </c>
      <c r="C41" s="390"/>
      <c r="D41" s="9">
        <v>26</v>
      </c>
      <c r="E41" s="9"/>
      <c r="F41" s="54">
        <f>SUM(F31:F40)</f>
        <v>6000000</v>
      </c>
    </row>
    <row r="42" spans="1:6" ht="18.75">
      <c r="A42" s="102"/>
      <c r="B42" s="102"/>
      <c r="C42" s="102"/>
      <c r="D42" s="102"/>
      <c r="E42" s="102"/>
      <c r="F42" s="53"/>
    </row>
    <row r="43" spans="1:6" ht="18.75">
      <c r="A43" s="102"/>
      <c r="B43" s="390" t="s">
        <v>629</v>
      </c>
      <c r="C43" s="390"/>
      <c r="D43" s="9"/>
      <c r="E43" s="9"/>
      <c r="F43" s="53"/>
    </row>
    <row r="44" spans="1:6" ht="18.75">
      <c r="A44" s="3">
        <v>1</v>
      </c>
      <c r="B44" s="388" t="s">
        <v>630</v>
      </c>
      <c r="C44" s="388"/>
      <c r="D44" s="148" t="s">
        <v>631</v>
      </c>
      <c r="E44" s="142" t="s">
        <v>632</v>
      </c>
      <c r="F44" s="53">
        <v>1000000</v>
      </c>
    </row>
    <row r="45" spans="1:6" ht="18.75">
      <c r="A45" s="3">
        <v>2</v>
      </c>
      <c r="B45" s="388" t="s">
        <v>633</v>
      </c>
      <c r="C45" s="388"/>
      <c r="D45" s="148" t="s">
        <v>634</v>
      </c>
      <c r="E45" s="142" t="s">
        <v>577</v>
      </c>
      <c r="F45" s="53">
        <v>350000</v>
      </c>
    </row>
    <row r="46" spans="1:6" ht="18.75">
      <c r="A46" s="3">
        <v>3</v>
      </c>
      <c r="B46" s="388" t="s">
        <v>635</v>
      </c>
      <c r="C46" s="388"/>
      <c r="D46" s="148" t="s">
        <v>636</v>
      </c>
      <c r="E46" s="142" t="s">
        <v>577</v>
      </c>
      <c r="F46" s="53">
        <v>350000</v>
      </c>
    </row>
    <row r="47" spans="1:6" ht="18.75">
      <c r="A47" s="3">
        <v>4</v>
      </c>
      <c r="B47" s="388" t="s">
        <v>637</v>
      </c>
      <c r="C47" s="388"/>
      <c r="D47" s="148" t="s">
        <v>638</v>
      </c>
      <c r="E47" s="142" t="s">
        <v>536</v>
      </c>
      <c r="F47" s="53">
        <v>700000</v>
      </c>
    </row>
    <row r="48" spans="1:6" ht="18.75">
      <c r="A48" s="3">
        <v>5</v>
      </c>
      <c r="B48" s="464" t="s">
        <v>639</v>
      </c>
      <c r="C48" s="464"/>
      <c r="D48" s="148" t="s">
        <v>640</v>
      </c>
      <c r="E48" s="142" t="s">
        <v>536</v>
      </c>
      <c r="F48" s="53">
        <v>350000</v>
      </c>
    </row>
    <row r="49" spans="1:6" ht="18.75">
      <c r="A49" s="3">
        <v>6</v>
      </c>
      <c r="B49" s="398" t="s">
        <v>543</v>
      </c>
      <c r="C49" s="399"/>
      <c r="D49" s="46" t="s">
        <v>544</v>
      </c>
      <c r="E49" s="51" t="s">
        <v>542</v>
      </c>
      <c r="F49" s="53">
        <v>700000</v>
      </c>
    </row>
    <row r="50" spans="1:6" ht="18.75">
      <c r="A50" s="3">
        <v>7</v>
      </c>
      <c r="B50" s="388" t="s">
        <v>641</v>
      </c>
      <c r="C50" s="388"/>
      <c r="D50" s="148" t="s">
        <v>642</v>
      </c>
      <c r="E50" s="142" t="s">
        <v>580</v>
      </c>
      <c r="F50" s="53">
        <v>500000</v>
      </c>
    </row>
    <row r="51" spans="1:6" ht="18.75">
      <c r="A51" s="3">
        <v>9</v>
      </c>
      <c r="B51" s="388" t="s">
        <v>645</v>
      </c>
      <c r="C51" s="388"/>
      <c r="D51" s="148" t="s">
        <v>646</v>
      </c>
      <c r="E51" s="142" t="s">
        <v>550</v>
      </c>
      <c r="F51" s="53">
        <v>500000</v>
      </c>
    </row>
    <row r="52" spans="1:6" ht="18.75">
      <c r="A52" s="3">
        <v>10</v>
      </c>
      <c r="B52" s="388" t="s">
        <v>647</v>
      </c>
      <c r="C52" s="388"/>
      <c r="D52" s="148" t="s">
        <v>648</v>
      </c>
      <c r="E52" s="142" t="s">
        <v>550</v>
      </c>
      <c r="F52" s="53">
        <v>500000</v>
      </c>
    </row>
    <row r="53" spans="1:6" ht="18.75">
      <c r="B53" s="77" t="s">
        <v>84</v>
      </c>
      <c r="C53" s="1"/>
      <c r="D53" s="152" t="s">
        <v>870</v>
      </c>
      <c r="E53" s="142"/>
      <c r="F53" s="54">
        <f>SUM(F44:F52)</f>
        <v>4950000</v>
      </c>
    </row>
    <row r="54" spans="1:6" ht="18.75">
      <c r="A54" s="102"/>
      <c r="B54" s="387" t="s">
        <v>448</v>
      </c>
      <c r="C54" s="387"/>
      <c r="D54" s="165"/>
      <c r="E54" s="166"/>
      <c r="F54" s="54">
        <f>F9+F14+F19+F23+F28+F41+F53</f>
        <v>20100000</v>
      </c>
    </row>
    <row r="55" spans="1:6" ht="18">
      <c r="A55" s="31"/>
      <c r="B55" s="400"/>
      <c r="C55" s="400"/>
      <c r="D55" s="170"/>
      <c r="E55" s="169"/>
      <c r="F55" s="107"/>
    </row>
  </sheetData>
  <mergeCells count="49">
    <mergeCell ref="B1:C1"/>
    <mergeCell ref="B2:C2"/>
    <mergeCell ref="B8:C8"/>
    <mergeCell ref="B3:C3"/>
    <mergeCell ref="B4:C4"/>
    <mergeCell ref="B5:C5"/>
    <mergeCell ref="B6:C6"/>
    <mergeCell ref="B7:C7"/>
    <mergeCell ref="B10:C10"/>
    <mergeCell ref="B11:C11"/>
    <mergeCell ref="B12:C12"/>
    <mergeCell ref="B13:C13"/>
    <mergeCell ref="B14:C14"/>
    <mergeCell ref="B16:C16"/>
    <mergeCell ref="B23:C23"/>
    <mergeCell ref="B25:C25"/>
    <mergeCell ref="B26:C26"/>
    <mergeCell ref="B27:C27"/>
    <mergeCell ref="B17:C17"/>
    <mergeCell ref="B18:C18"/>
    <mergeCell ref="B19:C19"/>
    <mergeCell ref="B21:C21"/>
    <mergeCell ref="B22:C22"/>
    <mergeCell ref="B28:C28"/>
    <mergeCell ref="B29:C29"/>
    <mergeCell ref="B30:C30"/>
    <mergeCell ref="B31:C31"/>
    <mergeCell ref="B37:C37"/>
    <mergeCell ref="B32:C32"/>
    <mergeCell ref="B33:C33"/>
    <mergeCell ref="B34:C34"/>
    <mergeCell ref="B35:C35"/>
    <mergeCell ref="B36:C36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5:C55"/>
    <mergeCell ref="B54:C54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14"/>
  <sheetViews>
    <sheetView workbookViewId="0"/>
  </sheetViews>
  <sheetFormatPr defaultRowHeight="12.75"/>
  <cols>
    <col min="3" max="3" width="11.140625" customWidth="1"/>
    <col min="4" max="4" width="19" customWidth="1"/>
    <col min="5" max="5" width="19.140625" customWidth="1"/>
  </cols>
  <sheetData>
    <row r="1" spans="1:6" ht="18.75">
      <c r="A1" s="386" t="s">
        <v>873</v>
      </c>
      <c r="B1" s="386"/>
      <c r="C1" s="386"/>
      <c r="D1" s="386"/>
      <c r="E1" s="386"/>
      <c r="F1" s="386"/>
    </row>
    <row r="2" spans="1:6" ht="18.75">
      <c r="A2" s="385" t="s">
        <v>874</v>
      </c>
      <c r="B2" s="385"/>
      <c r="C2" s="385"/>
      <c r="D2" s="385"/>
      <c r="E2" s="385"/>
      <c r="F2" s="385"/>
    </row>
    <row r="3" spans="1:6" ht="18.75">
      <c r="A3" s="379"/>
      <c r="B3" s="379"/>
      <c r="C3" s="379"/>
      <c r="D3" s="3" t="s">
        <v>824</v>
      </c>
      <c r="E3" s="3" t="s">
        <v>825</v>
      </c>
      <c r="F3" s="13"/>
    </row>
    <row r="4" spans="1:6" ht="18.75">
      <c r="A4" s="379" t="s">
        <v>826</v>
      </c>
      <c r="B4" s="379"/>
      <c r="C4" s="379"/>
      <c r="D4" s="14" t="e">
        <f>E4*12</f>
        <v>#REF!</v>
      </c>
      <c r="E4" s="14" t="e">
        <f>#REF!</f>
        <v>#REF!</v>
      </c>
      <c r="F4" s="1"/>
    </row>
    <row r="5" spans="1:6" ht="18.75">
      <c r="A5" s="379" t="s">
        <v>827</v>
      </c>
      <c r="B5" s="379"/>
      <c r="C5" s="379"/>
      <c r="D5" s="14" t="e">
        <f t="shared" ref="D5:D14" si="0">E5*12</f>
        <v>#REF!</v>
      </c>
      <c r="E5" s="14" t="e">
        <f>#REF!</f>
        <v>#REF!</v>
      </c>
      <c r="F5" s="1"/>
    </row>
    <row r="6" spans="1:6" ht="18.75">
      <c r="A6" s="379" t="s">
        <v>828</v>
      </c>
      <c r="B6" s="379"/>
      <c r="C6" s="379"/>
      <c r="D6" s="14" t="e">
        <f t="shared" si="0"/>
        <v>#REF!</v>
      </c>
      <c r="E6" s="14" t="e">
        <f>#REF!</f>
        <v>#REF!</v>
      </c>
      <c r="F6" s="1"/>
    </row>
    <row r="7" spans="1:6" ht="18.75">
      <c r="A7" s="379" t="s">
        <v>829</v>
      </c>
      <c r="B7" s="379"/>
      <c r="C7" s="379"/>
      <c r="D7" s="14" t="e">
        <f t="shared" si="0"/>
        <v>#REF!</v>
      </c>
      <c r="E7" s="14" t="e">
        <f>#REF!</f>
        <v>#REF!</v>
      </c>
      <c r="F7" s="1"/>
    </row>
    <row r="8" spans="1:6" ht="18.75">
      <c r="A8" s="379" t="s">
        <v>830</v>
      </c>
      <c r="B8" s="379"/>
      <c r="C8" s="379"/>
      <c r="D8" s="14" t="e">
        <f t="shared" si="0"/>
        <v>#REF!</v>
      </c>
      <c r="E8" s="14" t="e">
        <f>#REF!</f>
        <v>#REF!</v>
      </c>
      <c r="F8" s="1"/>
    </row>
    <row r="9" spans="1:6" ht="18.75">
      <c r="A9" s="379" t="s">
        <v>831</v>
      </c>
      <c r="B9" s="379"/>
      <c r="C9" s="379"/>
      <c r="D9" s="14" t="e">
        <f t="shared" si="0"/>
        <v>#REF!</v>
      </c>
      <c r="E9" s="14" t="e">
        <f>#REF!</f>
        <v>#REF!</v>
      </c>
      <c r="F9" s="1"/>
    </row>
    <row r="10" spans="1:6" ht="18.75">
      <c r="A10" s="379" t="s">
        <v>832</v>
      </c>
      <c r="B10" s="379"/>
      <c r="C10" s="379"/>
      <c r="D10" s="14" t="e">
        <f t="shared" si="0"/>
        <v>#REF!</v>
      </c>
      <c r="E10" s="14" t="e">
        <f>#REF!</f>
        <v>#REF!</v>
      </c>
      <c r="F10" s="1"/>
    </row>
    <row r="11" spans="1:6" ht="18.75">
      <c r="A11" s="381" t="s">
        <v>404</v>
      </c>
      <c r="B11" s="382"/>
      <c r="C11" s="383"/>
      <c r="D11" s="14">
        <f t="shared" si="0"/>
        <v>0</v>
      </c>
      <c r="E11" s="14">
        <v>0</v>
      </c>
      <c r="F11" s="1"/>
    </row>
    <row r="12" spans="1:6" ht="18.75">
      <c r="A12" s="379" t="s">
        <v>833</v>
      </c>
      <c r="B12" s="379"/>
      <c r="C12" s="379"/>
      <c r="D12" s="14" t="e">
        <f t="shared" si="0"/>
        <v>#REF!</v>
      </c>
      <c r="E12" s="14" t="e">
        <f>#REF!</f>
        <v>#REF!</v>
      </c>
      <c r="F12" s="1"/>
    </row>
    <row r="13" spans="1:6" ht="18.75">
      <c r="A13" s="379" t="s">
        <v>834</v>
      </c>
      <c r="B13" s="379"/>
      <c r="C13" s="379"/>
      <c r="D13" s="14">
        <f t="shared" si="0"/>
        <v>240000</v>
      </c>
      <c r="E13" s="14">
        <v>20000</v>
      </c>
      <c r="F13" s="1"/>
    </row>
    <row r="14" spans="1:6" ht="18.75">
      <c r="A14" s="380" t="s">
        <v>835</v>
      </c>
      <c r="B14" s="380"/>
      <c r="C14" s="380"/>
      <c r="D14" s="15" t="e">
        <f t="shared" si="0"/>
        <v>#REF!</v>
      </c>
      <c r="E14" s="15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14"/>
  <sheetViews>
    <sheetView workbookViewId="0"/>
  </sheetViews>
  <sheetFormatPr defaultRowHeight="12.75"/>
  <cols>
    <col min="3" max="3" width="11.140625" customWidth="1"/>
    <col min="4" max="5" width="19.140625" customWidth="1"/>
  </cols>
  <sheetData>
    <row r="1" spans="1:6" ht="18.75">
      <c r="A1" s="386" t="s">
        <v>875</v>
      </c>
      <c r="B1" s="386"/>
      <c r="C1" s="386"/>
      <c r="D1" s="386"/>
      <c r="E1" s="386"/>
      <c r="F1" s="386"/>
    </row>
    <row r="2" spans="1:6" ht="18.75">
      <c r="A2" s="385" t="s">
        <v>876</v>
      </c>
      <c r="B2" s="385"/>
      <c r="C2" s="385"/>
      <c r="D2" s="385"/>
      <c r="E2" s="385"/>
      <c r="F2" s="385"/>
    </row>
    <row r="3" spans="1:6" ht="18.75">
      <c r="A3" s="379"/>
      <c r="B3" s="379"/>
      <c r="C3" s="379"/>
      <c r="D3" s="3" t="s">
        <v>824</v>
      </c>
      <c r="E3" s="3" t="s">
        <v>825</v>
      </c>
      <c r="F3" s="13"/>
    </row>
    <row r="4" spans="1:6" ht="18.75">
      <c r="A4" s="379" t="s">
        <v>826</v>
      </c>
      <c r="B4" s="379"/>
      <c r="C4" s="379"/>
      <c r="D4" s="14" t="e">
        <f>E4*12</f>
        <v>#REF!</v>
      </c>
      <c r="E4" s="14" t="e">
        <f>#REF!</f>
        <v>#REF!</v>
      </c>
      <c r="F4" s="1"/>
    </row>
    <row r="5" spans="1:6" ht="18.75">
      <c r="A5" s="379" t="s">
        <v>827</v>
      </c>
      <c r="B5" s="379"/>
      <c r="C5" s="379"/>
      <c r="D5" s="14" t="e">
        <f t="shared" ref="D5:D14" si="0">E5*12</f>
        <v>#REF!</v>
      </c>
      <c r="E5" s="14" t="e">
        <f>#REF!</f>
        <v>#REF!</v>
      </c>
      <c r="F5" s="1"/>
    </row>
    <row r="6" spans="1:6" ht="18.75">
      <c r="A6" s="379" t="s">
        <v>828</v>
      </c>
      <c r="B6" s="379"/>
      <c r="C6" s="379"/>
      <c r="D6" s="14" t="e">
        <f t="shared" si="0"/>
        <v>#REF!</v>
      </c>
      <c r="E6" s="14" t="e">
        <f>#REF!</f>
        <v>#REF!</v>
      </c>
      <c r="F6" s="1"/>
    </row>
    <row r="7" spans="1:6" ht="18.75">
      <c r="A7" s="379" t="s">
        <v>829</v>
      </c>
      <c r="B7" s="379"/>
      <c r="C7" s="379"/>
      <c r="D7" s="14">
        <f t="shared" si="0"/>
        <v>0</v>
      </c>
      <c r="E7" s="14">
        <f>sUMMARY!J6</f>
        <v>0</v>
      </c>
      <c r="F7" s="1"/>
    </row>
    <row r="8" spans="1:6" ht="18.75">
      <c r="A8" s="379" t="s">
        <v>830</v>
      </c>
      <c r="B8" s="379"/>
      <c r="C8" s="379"/>
      <c r="D8" s="14" t="e">
        <f t="shared" si="0"/>
        <v>#REF!</v>
      </c>
      <c r="E8" s="14" t="e">
        <f>#REF!</f>
        <v>#REF!</v>
      </c>
      <c r="F8" s="1"/>
    </row>
    <row r="9" spans="1:6" ht="18.75">
      <c r="A9" s="379" t="s">
        <v>831</v>
      </c>
      <c r="B9" s="379"/>
      <c r="C9" s="379"/>
      <c r="D9" s="14" t="e">
        <f t="shared" si="0"/>
        <v>#REF!</v>
      </c>
      <c r="E9" s="14" t="e">
        <f>#REF!</f>
        <v>#REF!</v>
      </c>
      <c r="F9" s="1"/>
    </row>
    <row r="10" spans="1:6" ht="18.75">
      <c r="A10" s="379" t="s">
        <v>832</v>
      </c>
      <c r="B10" s="379"/>
      <c r="C10" s="379"/>
      <c r="D10" s="14" t="e">
        <f t="shared" si="0"/>
        <v>#REF!</v>
      </c>
      <c r="E10" s="14" t="e">
        <f>#REF!</f>
        <v>#REF!</v>
      </c>
      <c r="F10" s="1"/>
    </row>
    <row r="11" spans="1:6" ht="18.75">
      <c r="A11" s="381" t="s">
        <v>404</v>
      </c>
      <c r="B11" s="382"/>
      <c r="C11" s="383"/>
      <c r="D11" s="14">
        <f t="shared" si="0"/>
        <v>0</v>
      </c>
      <c r="E11" s="14">
        <v>0</v>
      </c>
      <c r="F11" s="1"/>
    </row>
    <row r="12" spans="1:6" ht="18.75">
      <c r="A12" s="379" t="s">
        <v>833</v>
      </c>
      <c r="B12" s="379"/>
      <c r="C12" s="379"/>
      <c r="D12" s="14" t="e">
        <f t="shared" si="0"/>
        <v>#REF!</v>
      </c>
      <c r="E12" s="14" t="e">
        <f>#REF!</f>
        <v>#REF!</v>
      </c>
      <c r="F12" s="1"/>
    </row>
    <row r="13" spans="1:6" ht="18.75">
      <c r="A13" s="379" t="s">
        <v>834</v>
      </c>
      <c r="B13" s="379"/>
      <c r="C13" s="379"/>
      <c r="D13" s="14" t="e">
        <f t="shared" si="0"/>
        <v>#REF!</v>
      </c>
      <c r="E13" s="14" t="e">
        <f>#REF!</f>
        <v>#REF!</v>
      </c>
      <c r="F13" s="1"/>
    </row>
    <row r="14" spans="1:6" ht="18.75">
      <c r="A14" s="380" t="s">
        <v>835</v>
      </c>
      <c r="B14" s="380"/>
      <c r="C14" s="380"/>
      <c r="D14" s="15" t="e">
        <f t="shared" si="0"/>
        <v>#REF!</v>
      </c>
      <c r="E14" s="15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3"/>
  <sheetViews>
    <sheetView workbookViewId="0"/>
  </sheetViews>
  <sheetFormatPr defaultRowHeight="12.75"/>
  <cols>
    <col min="3" max="3" width="11.140625" customWidth="1"/>
    <col min="4" max="4" width="19.140625" customWidth="1"/>
    <col min="5" max="5" width="18.85546875" customWidth="1"/>
  </cols>
  <sheetData>
    <row r="1" spans="1:6" ht="18.75">
      <c r="A1" s="386"/>
      <c r="B1" s="386"/>
      <c r="C1" s="386"/>
      <c r="D1" s="386"/>
      <c r="E1" s="386"/>
      <c r="F1" s="386"/>
    </row>
    <row r="2" spans="1:6" ht="18.75">
      <c r="A2" s="385"/>
      <c r="B2" s="385"/>
      <c r="C2" s="385"/>
      <c r="D2" s="385"/>
      <c r="E2" s="385"/>
      <c r="F2" s="385"/>
    </row>
    <row r="3" spans="1:6" ht="18.75">
      <c r="A3" s="379"/>
      <c r="B3" s="379"/>
      <c r="C3" s="379"/>
      <c r="D3" s="3" t="s">
        <v>824</v>
      </c>
      <c r="E3" s="3" t="s">
        <v>825</v>
      </c>
      <c r="F3" s="13"/>
    </row>
    <row r="4" spans="1:6" ht="18.75">
      <c r="A4" s="379" t="s">
        <v>826</v>
      </c>
      <c r="B4" s="379"/>
      <c r="C4" s="379"/>
      <c r="D4" s="14">
        <f>E4*12</f>
        <v>255527.52</v>
      </c>
      <c r="E4" s="14">
        <f>sUMMARY!F7</f>
        <v>21293.96</v>
      </c>
      <c r="F4" s="1"/>
    </row>
    <row r="5" spans="1:6" ht="18.75">
      <c r="A5" s="379" t="s">
        <v>827</v>
      </c>
      <c r="B5" s="379"/>
      <c r="C5" s="379"/>
      <c r="D5" s="14">
        <f t="shared" ref="D5:D13" si="0">E5*12</f>
        <v>766582.55999999994</v>
      </c>
      <c r="E5" s="14">
        <f>sUMMARY!H7</f>
        <v>63881.88</v>
      </c>
      <c r="F5" s="1"/>
    </row>
    <row r="6" spans="1:6" ht="18.75">
      <c r="A6" s="379" t="s">
        <v>828</v>
      </c>
      <c r="B6" s="379"/>
      <c r="C6" s="379"/>
      <c r="D6" s="14">
        <f t="shared" si="0"/>
        <v>19164.563999999998</v>
      </c>
      <c r="E6" s="14">
        <f>sUMMARY!I7</f>
        <v>1597.0469999999998</v>
      </c>
      <c r="F6" s="1"/>
    </row>
    <row r="7" spans="1:6" ht="18.75">
      <c r="A7" s="379" t="s">
        <v>829</v>
      </c>
      <c r="B7" s="379"/>
      <c r="C7" s="379"/>
      <c r="D7" s="14">
        <f t="shared" si="0"/>
        <v>0</v>
      </c>
      <c r="E7" s="14">
        <f>sUMMARY!J6</f>
        <v>0</v>
      </c>
      <c r="F7" s="1"/>
    </row>
    <row r="8" spans="1:6" ht="18.75">
      <c r="A8" s="379" t="s">
        <v>830</v>
      </c>
      <c r="B8" s="379"/>
      <c r="C8" s="379"/>
      <c r="D8" s="14">
        <f t="shared" si="0"/>
        <v>127763.76</v>
      </c>
      <c r="E8" s="14">
        <f>sUMMARY!K7</f>
        <v>10646.98</v>
      </c>
      <c r="F8" s="1"/>
    </row>
    <row r="9" spans="1:6" ht="18.75">
      <c r="A9" s="379" t="s">
        <v>831</v>
      </c>
      <c r="B9" s="379"/>
      <c r="C9" s="379"/>
      <c r="D9" s="14">
        <f t="shared" si="0"/>
        <v>894346.32000000007</v>
      </c>
      <c r="E9" s="14">
        <f>sUMMARY!L7</f>
        <v>74528.86</v>
      </c>
      <c r="F9" s="1"/>
    </row>
    <row r="10" spans="1:6" ht="18.75">
      <c r="A10" s="379" t="s">
        <v>832</v>
      </c>
      <c r="B10" s="379"/>
      <c r="C10" s="379"/>
      <c r="D10" s="14">
        <f t="shared" si="0"/>
        <v>255527.52</v>
      </c>
      <c r="E10" s="14">
        <f>sUMMARY!N7</f>
        <v>21293.96</v>
      </c>
      <c r="F10" s="1"/>
    </row>
    <row r="11" spans="1:6" ht="18.75">
      <c r="A11" s="379" t="s">
        <v>833</v>
      </c>
      <c r="B11" s="379"/>
      <c r="C11" s="379"/>
      <c r="D11" s="14">
        <f t="shared" si="0"/>
        <v>25552.752</v>
      </c>
      <c r="E11" s="14">
        <f>sUMMARY!O7</f>
        <v>2129.3960000000002</v>
      </c>
      <c r="F11" s="1"/>
    </row>
    <row r="12" spans="1:6" ht="18.75">
      <c r="A12" s="379" t="s">
        <v>834</v>
      </c>
      <c r="B12" s="379"/>
      <c r="C12" s="379"/>
      <c r="D12" s="14">
        <f t="shared" si="0"/>
        <v>120000</v>
      </c>
      <c r="E12" s="14">
        <f>sUMMARY!P7</f>
        <v>10000</v>
      </c>
      <c r="F12" s="1"/>
    </row>
    <row r="13" spans="1:6" ht="18.75">
      <c r="A13" s="380" t="s">
        <v>835</v>
      </c>
      <c r="B13" s="380"/>
      <c r="C13" s="380"/>
      <c r="D13" s="15">
        <f t="shared" si="0"/>
        <v>2464464.9960000003</v>
      </c>
      <c r="E13" s="15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14"/>
  <sheetViews>
    <sheetView workbookViewId="0"/>
  </sheetViews>
  <sheetFormatPr defaultRowHeight="12.75"/>
  <cols>
    <col min="3" max="3" width="11.85546875" customWidth="1"/>
    <col min="4" max="4" width="19.42578125" customWidth="1"/>
    <col min="5" max="5" width="18.85546875" customWidth="1"/>
  </cols>
  <sheetData>
    <row r="1" spans="1:6" ht="18.75">
      <c r="A1" s="386" t="s">
        <v>877</v>
      </c>
      <c r="B1" s="386"/>
      <c r="C1" s="386"/>
      <c r="D1" s="386"/>
      <c r="E1" s="386"/>
      <c r="F1" s="386"/>
    </row>
    <row r="2" spans="1:6" ht="18.75">
      <c r="A2" s="385" t="s">
        <v>878</v>
      </c>
      <c r="B2" s="385"/>
      <c r="C2" s="385"/>
      <c r="D2" s="385"/>
      <c r="E2" s="385"/>
      <c r="F2" s="385"/>
    </row>
    <row r="3" spans="1:6" ht="18.75">
      <c r="A3" s="379"/>
      <c r="B3" s="379"/>
      <c r="C3" s="379"/>
      <c r="D3" s="3" t="s">
        <v>824</v>
      </c>
      <c r="E3" s="3" t="s">
        <v>825</v>
      </c>
      <c r="F3" s="13"/>
    </row>
    <row r="4" spans="1:6" ht="18.75">
      <c r="A4" s="379" t="s">
        <v>826</v>
      </c>
      <c r="B4" s="379"/>
      <c r="C4" s="379"/>
      <c r="D4" s="14">
        <f>E4*12</f>
        <v>207435.96000000002</v>
      </c>
      <c r="E4" s="14">
        <f>sUMMARY!F8</f>
        <v>17286.330000000002</v>
      </c>
      <c r="F4" s="1"/>
    </row>
    <row r="5" spans="1:6" ht="18.75">
      <c r="A5" s="379" t="s">
        <v>827</v>
      </c>
      <c r="B5" s="379"/>
      <c r="C5" s="379"/>
      <c r="D5" s="14">
        <f t="shared" ref="D5:D14" si="0">E5*12</f>
        <v>622307.88000000012</v>
      </c>
      <c r="E5" s="14">
        <f>sUMMARY!H8</f>
        <v>51858.990000000005</v>
      </c>
      <c r="F5" s="1"/>
    </row>
    <row r="6" spans="1:6" ht="18.75">
      <c r="A6" s="379" t="s">
        <v>828</v>
      </c>
      <c r="B6" s="379"/>
      <c r="C6" s="379"/>
      <c r="D6" s="14">
        <f t="shared" si="0"/>
        <v>15557.697</v>
      </c>
      <c r="E6" s="14">
        <f>sUMMARY!I8</f>
        <v>1296.4747500000001</v>
      </c>
      <c r="F6" s="1"/>
    </row>
    <row r="7" spans="1:6" ht="18.75">
      <c r="A7" s="379" t="s">
        <v>829</v>
      </c>
      <c r="B7" s="379"/>
      <c r="C7" s="379"/>
      <c r="D7" s="14">
        <f t="shared" si="0"/>
        <v>0</v>
      </c>
      <c r="E7" s="14">
        <f>sUMMARY!J6</f>
        <v>0</v>
      </c>
      <c r="F7" s="1"/>
    </row>
    <row r="8" spans="1:6" ht="18.75">
      <c r="A8" s="379" t="s">
        <v>830</v>
      </c>
      <c r="B8" s="379"/>
      <c r="C8" s="379"/>
      <c r="D8" s="14">
        <f t="shared" si="0"/>
        <v>103717.98000000001</v>
      </c>
      <c r="E8" s="14">
        <f>sUMMARY!K8</f>
        <v>8643.1650000000009</v>
      </c>
      <c r="F8" s="1"/>
    </row>
    <row r="9" spans="1:6" ht="18.75">
      <c r="A9" s="379" t="s">
        <v>831</v>
      </c>
      <c r="B9" s="379"/>
      <c r="C9" s="379"/>
      <c r="D9" s="14">
        <f t="shared" si="0"/>
        <v>726025.8600000001</v>
      </c>
      <c r="E9" s="14">
        <f>sUMMARY!L8</f>
        <v>60502.155000000006</v>
      </c>
      <c r="F9" s="1"/>
    </row>
    <row r="10" spans="1:6" ht="18.75">
      <c r="A10" s="379" t="s">
        <v>832</v>
      </c>
      <c r="B10" s="379"/>
      <c r="C10" s="379"/>
      <c r="D10" s="14">
        <f t="shared" si="0"/>
        <v>207435.96000000002</v>
      </c>
      <c r="E10" s="14">
        <f>sUMMARY!N8</f>
        <v>17286.330000000002</v>
      </c>
      <c r="F10" s="1"/>
    </row>
    <row r="11" spans="1:6" ht="18.75">
      <c r="A11" s="381" t="s">
        <v>404</v>
      </c>
      <c r="B11" s="382"/>
      <c r="C11" s="383"/>
      <c r="D11" s="14">
        <f t="shared" si="0"/>
        <v>480000</v>
      </c>
      <c r="E11" s="14">
        <v>40000</v>
      </c>
      <c r="F11" s="1"/>
    </row>
    <row r="12" spans="1:6" ht="18.75">
      <c r="A12" s="379" t="s">
        <v>833</v>
      </c>
      <c r="B12" s="379"/>
      <c r="C12" s="379"/>
      <c r="D12" s="14">
        <f t="shared" si="0"/>
        <v>20743.596000000005</v>
      </c>
      <c r="E12" s="14">
        <f>sUMMARY!O8</f>
        <v>1728.6330000000003</v>
      </c>
      <c r="F12" s="1"/>
    </row>
    <row r="13" spans="1:6" ht="18.75">
      <c r="A13" s="379" t="s">
        <v>834</v>
      </c>
      <c r="B13" s="379"/>
      <c r="C13" s="379"/>
      <c r="D13" s="14">
        <f t="shared" si="0"/>
        <v>120000</v>
      </c>
      <c r="E13" s="14">
        <f>sUMMARY!P7</f>
        <v>10000</v>
      </c>
      <c r="F13" s="1"/>
    </row>
    <row r="14" spans="1:6" ht="18.75">
      <c r="A14" s="380" t="s">
        <v>835</v>
      </c>
      <c r="B14" s="380"/>
      <c r="C14" s="380"/>
      <c r="D14" s="15">
        <f t="shared" si="0"/>
        <v>2503224.9330000002</v>
      </c>
      <c r="E14" s="15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14"/>
  <sheetViews>
    <sheetView workbookViewId="0"/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386" t="s">
        <v>879</v>
      </c>
      <c r="B1" s="386"/>
      <c r="C1" s="386"/>
      <c r="D1" s="386"/>
      <c r="E1" s="386"/>
      <c r="F1" s="386"/>
    </row>
    <row r="2" spans="1:6" ht="18.75">
      <c r="A2" s="385" t="s">
        <v>880</v>
      </c>
      <c r="B2" s="385"/>
      <c r="C2" s="385"/>
      <c r="D2" s="385"/>
      <c r="E2" s="385"/>
      <c r="F2" s="385"/>
    </row>
    <row r="3" spans="1:6" ht="18.75">
      <c r="A3" s="379"/>
      <c r="B3" s="379"/>
      <c r="C3" s="379"/>
      <c r="D3" s="3" t="s">
        <v>824</v>
      </c>
      <c r="E3" s="3" t="s">
        <v>825</v>
      </c>
      <c r="F3" s="13"/>
    </row>
    <row r="4" spans="1:6" ht="18.75">
      <c r="A4" s="379" t="s">
        <v>826</v>
      </c>
      <c r="B4" s="379"/>
      <c r="C4" s="379"/>
      <c r="D4" s="14">
        <f>E4*12</f>
        <v>176833.68</v>
      </c>
      <c r="E4" s="14">
        <f>sUMMARY!F9</f>
        <v>14736.14</v>
      </c>
      <c r="F4" s="1"/>
    </row>
    <row r="5" spans="1:6" ht="18.75">
      <c r="A5" s="379" t="s">
        <v>827</v>
      </c>
      <c r="B5" s="379"/>
      <c r="C5" s="379"/>
      <c r="D5" s="14">
        <f t="shared" ref="D5:D14" si="0">E5*12</f>
        <v>530501.04</v>
      </c>
      <c r="E5" s="14">
        <f>sUMMARY!H9</f>
        <v>44208.42</v>
      </c>
      <c r="F5" s="1"/>
    </row>
    <row r="6" spans="1:6" ht="18.75">
      <c r="A6" s="379" t="s">
        <v>828</v>
      </c>
      <c r="B6" s="379"/>
      <c r="C6" s="379"/>
      <c r="D6" s="14">
        <f t="shared" si="0"/>
        <v>13262.525999999998</v>
      </c>
      <c r="E6" s="14">
        <f>sUMMARY!I9</f>
        <v>1105.2104999999999</v>
      </c>
      <c r="F6" s="1"/>
    </row>
    <row r="7" spans="1:6" ht="18.75">
      <c r="A7" s="379" t="s">
        <v>829</v>
      </c>
      <c r="B7" s="379"/>
      <c r="C7" s="379"/>
      <c r="D7" s="14">
        <f t="shared" si="0"/>
        <v>0</v>
      </c>
      <c r="E7" s="14">
        <f>sUMMARY!J6</f>
        <v>0</v>
      </c>
      <c r="F7" s="1"/>
    </row>
    <row r="8" spans="1:6" ht="18.75">
      <c r="A8" s="379" t="s">
        <v>830</v>
      </c>
      <c r="B8" s="379"/>
      <c r="C8" s="379"/>
      <c r="D8" s="14">
        <f t="shared" si="0"/>
        <v>88416.84</v>
      </c>
      <c r="E8" s="14">
        <f>sUMMARY!K9</f>
        <v>7368.07</v>
      </c>
      <c r="F8" s="1"/>
    </row>
    <row r="9" spans="1:6" ht="18.75">
      <c r="A9" s="379" t="s">
        <v>831</v>
      </c>
      <c r="B9" s="379"/>
      <c r="C9" s="379"/>
      <c r="D9" s="14">
        <f t="shared" si="0"/>
        <v>618917.88</v>
      </c>
      <c r="E9" s="14">
        <f>sUMMARY!L9</f>
        <v>51576.49</v>
      </c>
      <c r="F9" s="1"/>
    </row>
    <row r="10" spans="1:6" ht="18.75">
      <c r="A10" s="379" t="s">
        <v>832</v>
      </c>
      <c r="B10" s="379"/>
      <c r="C10" s="379"/>
      <c r="D10" s="14">
        <f t="shared" si="0"/>
        <v>176833.68</v>
      </c>
      <c r="E10" s="14">
        <f>sUMMARY!N9</f>
        <v>14736.14</v>
      </c>
      <c r="F10" s="1"/>
    </row>
    <row r="11" spans="1:6" ht="18.75">
      <c r="A11" s="381" t="s">
        <v>881</v>
      </c>
      <c r="B11" s="382"/>
      <c r="C11" s="383"/>
      <c r="D11" s="14">
        <f t="shared" si="0"/>
        <v>480000</v>
      </c>
      <c r="E11" s="14">
        <v>40000</v>
      </c>
      <c r="F11" s="1"/>
    </row>
    <row r="12" spans="1:6" ht="18.75">
      <c r="A12" s="379" t="s">
        <v>833</v>
      </c>
      <c r="B12" s="379"/>
      <c r="C12" s="379"/>
      <c r="D12" s="14">
        <f t="shared" si="0"/>
        <v>17683.368000000002</v>
      </c>
      <c r="E12" s="14">
        <f>sUMMARY!O9</f>
        <v>1473.614</v>
      </c>
      <c r="F12" s="1"/>
    </row>
    <row r="13" spans="1:6" ht="18.75">
      <c r="A13" s="379" t="s">
        <v>834</v>
      </c>
      <c r="B13" s="379"/>
      <c r="C13" s="379"/>
      <c r="D13" s="14">
        <f t="shared" si="0"/>
        <v>120000</v>
      </c>
      <c r="E13" s="14">
        <f>sUMMARY!P7</f>
        <v>10000</v>
      </c>
      <c r="F13" s="1"/>
    </row>
    <row r="14" spans="1:6" ht="18.75">
      <c r="A14" s="380" t="s">
        <v>835</v>
      </c>
      <c r="B14" s="380"/>
      <c r="C14" s="380"/>
      <c r="D14" s="15">
        <f t="shared" si="0"/>
        <v>2222449.014</v>
      </c>
      <c r="E14" s="15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12"/>
  <sheetViews>
    <sheetView workbookViewId="0"/>
  </sheetViews>
  <sheetFormatPr defaultRowHeight="12.75"/>
  <cols>
    <col min="3" max="3" width="11.42578125" customWidth="1"/>
    <col min="4" max="5" width="22.140625" customWidth="1"/>
  </cols>
  <sheetData>
    <row r="1" spans="1:6" ht="18.75">
      <c r="A1" s="386" t="s">
        <v>882</v>
      </c>
      <c r="B1" s="386"/>
      <c r="C1" s="386"/>
      <c r="D1" s="386"/>
      <c r="E1" s="386"/>
      <c r="F1" s="386"/>
    </row>
    <row r="2" spans="1:6" ht="18.75">
      <c r="A2" s="385"/>
      <c r="B2" s="385"/>
      <c r="C2" s="385"/>
      <c r="D2" s="385"/>
      <c r="E2" s="385"/>
      <c r="F2" s="385"/>
    </row>
    <row r="3" spans="1:6" ht="18.75">
      <c r="A3" s="379"/>
      <c r="B3" s="379"/>
      <c r="C3" s="379"/>
      <c r="D3" s="3" t="s">
        <v>824</v>
      </c>
      <c r="E3" s="3" t="s">
        <v>825</v>
      </c>
      <c r="F3" s="13"/>
    </row>
    <row r="4" spans="1:6" ht="18.75">
      <c r="A4" s="379" t="s">
        <v>826</v>
      </c>
      <c r="B4" s="379"/>
      <c r="C4" s="379"/>
      <c r="D4" s="14" t="e">
        <f>E4*12</f>
        <v>#REF!</v>
      </c>
      <c r="E4" s="14" t="e">
        <f>#REF!</f>
        <v>#REF!</v>
      </c>
      <c r="F4" s="1"/>
    </row>
    <row r="5" spans="1:6" ht="18.75">
      <c r="A5" s="379" t="s">
        <v>827</v>
      </c>
      <c r="B5" s="379"/>
      <c r="C5" s="379"/>
      <c r="D5" s="14" t="e">
        <f t="shared" ref="D5:D12" si="0">E5*12</f>
        <v>#REF!</v>
      </c>
      <c r="E5" s="14" t="e">
        <f>#REF!</f>
        <v>#REF!</v>
      </c>
      <c r="F5" s="1"/>
    </row>
    <row r="6" spans="1:6" ht="18.75">
      <c r="A6" s="379" t="s">
        <v>828</v>
      </c>
      <c r="B6" s="379"/>
      <c r="C6" s="379"/>
      <c r="D6" s="14" t="e">
        <f t="shared" si="0"/>
        <v>#REF!</v>
      </c>
      <c r="E6" s="14" t="e">
        <f>#REF!</f>
        <v>#REF!</v>
      </c>
      <c r="F6" s="1"/>
    </row>
    <row r="7" spans="1:6" ht="18.75">
      <c r="A7" s="379" t="s">
        <v>830</v>
      </c>
      <c r="B7" s="379"/>
      <c r="C7" s="379"/>
      <c r="D7" s="14" t="e">
        <f t="shared" si="0"/>
        <v>#REF!</v>
      </c>
      <c r="E7" s="14" t="e">
        <f>#REF!</f>
        <v>#REF!</v>
      </c>
      <c r="F7" s="1"/>
    </row>
    <row r="8" spans="1:6" ht="18.75">
      <c r="A8" s="379" t="s">
        <v>831</v>
      </c>
      <c r="B8" s="379"/>
      <c r="C8" s="379"/>
      <c r="D8" s="14" t="e">
        <f t="shared" si="0"/>
        <v>#REF!</v>
      </c>
      <c r="E8" s="14" t="e">
        <f>#REF!</f>
        <v>#REF!</v>
      </c>
      <c r="F8" s="1"/>
    </row>
    <row r="9" spans="1:6" ht="18.75">
      <c r="A9" s="379" t="s">
        <v>832</v>
      </c>
      <c r="B9" s="379"/>
      <c r="C9" s="379"/>
      <c r="D9" s="14" t="e">
        <f t="shared" si="0"/>
        <v>#REF!</v>
      </c>
      <c r="E9" s="14" t="e">
        <f>#REF!</f>
        <v>#REF!</v>
      </c>
      <c r="F9" s="1"/>
    </row>
    <row r="10" spans="1:6" ht="18.75">
      <c r="A10" s="379" t="s">
        <v>833</v>
      </c>
      <c r="B10" s="379"/>
      <c r="C10" s="379"/>
      <c r="D10" s="14" t="e">
        <f t="shared" si="0"/>
        <v>#REF!</v>
      </c>
      <c r="E10" s="14" t="e">
        <f>#REF!</f>
        <v>#REF!</v>
      </c>
      <c r="F10" s="1"/>
    </row>
    <row r="11" spans="1:6" ht="18.75">
      <c r="A11" s="379" t="s">
        <v>834</v>
      </c>
      <c r="B11" s="379"/>
      <c r="C11" s="379"/>
      <c r="D11" s="14" t="e">
        <f t="shared" si="0"/>
        <v>#REF!</v>
      </c>
      <c r="E11" s="14" t="e">
        <f>#REF!</f>
        <v>#REF!</v>
      </c>
      <c r="F11" s="1"/>
    </row>
    <row r="12" spans="1:6" ht="18.75">
      <c r="A12" s="380" t="s">
        <v>835</v>
      </c>
      <c r="B12" s="380"/>
      <c r="C12" s="380"/>
      <c r="D12" s="15" t="e">
        <f t="shared" si="0"/>
        <v>#REF!</v>
      </c>
      <c r="E12" s="15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V10"/>
  <sheetViews>
    <sheetView topLeftCell="D1" workbookViewId="0"/>
  </sheetViews>
  <sheetFormatPr defaultRowHeight="12.75"/>
  <cols>
    <col min="3" max="3" width="11.855468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140625" customWidth="1"/>
    <col min="21" max="21" width="17.140625" customWidth="1"/>
  </cols>
  <sheetData>
    <row r="1" spans="1:22" ht="18.75">
      <c r="F1" s="2" t="s">
        <v>883</v>
      </c>
      <c r="G1" s="2" t="s">
        <v>884</v>
      </c>
      <c r="H1" s="2"/>
      <c r="I1" s="2"/>
      <c r="J1" s="2"/>
      <c r="K1" s="2"/>
      <c r="L1" s="2"/>
      <c r="M1" s="2" t="s">
        <v>885</v>
      </c>
      <c r="N1" s="2" t="s">
        <v>886</v>
      </c>
      <c r="O1" s="2" t="s">
        <v>887</v>
      </c>
      <c r="P1" s="2" t="s">
        <v>888</v>
      </c>
      <c r="Q1" s="2" t="s">
        <v>889</v>
      </c>
      <c r="R1" s="2" t="s">
        <v>409</v>
      </c>
      <c r="S1" s="2" t="s">
        <v>6</v>
      </c>
      <c r="T1" s="9"/>
      <c r="U1" s="7" t="s">
        <v>890</v>
      </c>
      <c r="V1" s="6" t="s">
        <v>891</v>
      </c>
    </row>
    <row r="2" spans="1:22" ht="18.75">
      <c r="F2" s="2" t="s">
        <v>892</v>
      </c>
      <c r="G2" s="2" t="s">
        <v>893</v>
      </c>
      <c r="H2" s="2" t="s">
        <v>894</v>
      </c>
      <c r="I2" s="2" t="s">
        <v>895</v>
      </c>
      <c r="J2" s="2" t="s">
        <v>896</v>
      </c>
      <c r="K2" s="2" t="s">
        <v>897</v>
      </c>
      <c r="L2" s="2" t="s">
        <v>898</v>
      </c>
      <c r="M2" s="2" t="s">
        <v>899</v>
      </c>
      <c r="N2" s="2" t="s">
        <v>900</v>
      </c>
      <c r="O2" s="2" t="s">
        <v>901</v>
      </c>
      <c r="P2" s="2" t="s">
        <v>902</v>
      </c>
      <c r="Q2" s="2" t="s">
        <v>902</v>
      </c>
      <c r="R2" s="2" t="s">
        <v>903</v>
      </c>
      <c r="S2" s="2" t="s">
        <v>892</v>
      </c>
      <c r="T2" s="2" t="s">
        <v>904</v>
      </c>
      <c r="U2" s="7"/>
      <c r="V2" s="6"/>
    </row>
    <row r="3" spans="1:22" ht="18.75">
      <c r="A3" s="417" t="s">
        <v>905</v>
      </c>
      <c r="B3" s="418"/>
      <c r="C3" s="419"/>
      <c r="D3" s="16"/>
      <c r="E3" s="16" t="s">
        <v>906</v>
      </c>
      <c r="F3" s="17">
        <v>79039.64</v>
      </c>
      <c r="G3" s="17"/>
      <c r="H3" s="17">
        <f t="shared" ref="H3:H10" si="0">F3*300%</f>
        <v>237118.91999999998</v>
      </c>
      <c r="I3" s="17">
        <f t="shared" ref="I3:I10" si="1">F3*7.5%</f>
        <v>5927.973</v>
      </c>
      <c r="J3" s="17">
        <v>80244.38</v>
      </c>
      <c r="K3" s="17">
        <f t="shared" ref="K3:K10" si="2">F3*50%</f>
        <v>39519.82</v>
      </c>
      <c r="L3" s="17">
        <f t="shared" ref="L3:L10" si="3">F3*350%</f>
        <v>276638.74</v>
      </c>
      <c r="M3" s="17">
        <v>0</v>
      </c>
      <c r="N3" s="17">
        <f t="shared" ref="N3:N10" si="4">F3*100%</f>
        <v>79039.64</v>
      </c>
      <c r="O3" s="17">
        <f t="shared" ref="O3:O10" si="5">F3*10%</f>
        <v>7903.9639999999999</v>
      </c>
      <c r="P3" s="17">
        <v>20000</v>
      </c>
      <c r="Q3" s="17">
        <v>0</v>
      </c>
      <c r="R3" s="17">
        <f t="shared" ref="R3:R10" si="6">SUM(F3:Q3)</f>
        <v>825433.07700000005</v>
      </c>
      <c r="S3" s="17"/>
      <c r="T3" s="10"/>
      <c r="U3" s="12"/>
    </row>
    <row r="4" spans="1:22" ht="18.75">
      <c r="A4" s="417" t="s">
        <v>907</v>
      </c>
      <c r="B4" s="418"/>
      <c r="C4" s="419"/>
      <c r="D4" s="16"/>
      <c r="E4" s="16" t="s">
        <v>908</v>
      </c>
      <c r="F4" s="17">
        <v>36784.71</v>
      </c>
      <c r="G4" s="17"/>
      <c r="H4" s="17">
        <f t="shared" si="0"/>
        <v>110354.13</v>
      </c>
      <c r="I4" s="17">
        <f t="shared" si="1"/>
        <v>2758.8532499999997</v>
      </c>
      <c r="J4" s="17">
        <v>80244.38</v>
      </c>
      <c r="K4" s="17">
        <f t="shared" si="2"/>
        <v>18392.355</v>
      </c>
      <c r="L4" s="17">
        <f t="shared" si="3"/>
        <v>128746.485</v>
      </c>
      <c r="M4" s="17"/>
      <c r="N4" s="17">
        <f t="shared" si="4"/>
        <v>36784.71</v>
      </c>
      <c r="O4" s="17">
        <f t="shared" si="5"/>
        <v>3678.471</v>
      </c>
      <c r="P4" s="17">
        <v>20000</v>
      </c>
      <c r="Q4" s="17">
        <v>0</v>
      </c>
      <c r="R4" s="17">
        <f t="shared" si="6"/>
        <v>437744.09425000002</v>
      </c>
      <c r="S4" s="17"/>
      <c r="T4" s="10"/>
      <c r="U4" s="12"/>
    </row>
    <row r="5" spans="1:22" ht="18.75">
      <c r="A5" s="420" t="s">
        <v>602</v>
      </c>
      <c r="B5" s="421"/>
      <c r="C5" s="422"/>
      <c r="D5" s="18"/>
      <c r="E5" s="21" t="s">
        <v>724</v>
      </c>
      <c r="F5" s="19">
        <v>24975.81</v>
      </c>
      <c r="G5" s="17">
        <v>0</v>
      </c>
      <c r="H5" s="19">
        <f>F5*300%</f>
        <v>74927.430000000008</v>
      </c>
      <c r="I5" s="19">
        <f>F5*7.5%</f>
        <v>1873.1857500000001</v>
      </c>
      <c r="J5" s="19">
        <v>0</v>
      </c>
      <c r="K5" s="19">
        <f>F5*50%</f>
        <v>12487.905000000001</v>
      </c>
      <c r="L5" s="19">
        <f>F5*350%</f>
        <v>87415.335000000006</v>
      </c>
      <c r="M5" s="19">
        <v>0</v>
      </c>
      <c r="N5" s="19">
        <f>F5*100%</f>
        <v>24975.81</v>
      </c>
      <c r="O5" s="19">
        <v>100000</v>
      </c>
      <c r="P5" s="19">
        <f>F5*10%</f>
        <v>2497.5810000000001</v>
      </c>
      <c r="Q5" s="19">
        <v>20000</v>
      </c>
      <c r="R5" s="19">
        <v>0</v>
      </c>
      <c r="S5" s="17">
        <f>SUM(F5:R5)</f>
        <v>349153.05674999999</v>
      </c>
      <c r="T5" s="17">
        <v>0</v>
      </c>
      <c r="U5" s="20">
        <f>S5-T5</f>
        <v>349153.05674999999</v>
      </c>
      <c r="V5" s="17">
        <v>344720.6</v>
      </c>
    </row>
    <row r="6" spans="1:22" ht="18.75">
      <c r="A6" s="417" t="s">
        <v>579</v>
      </c>
      <c r="B6" s="418"/>
      <c r="C6" s="419"/>
      <c r="D6" s="16"/>
      <c r="E6" s="16" t="s">
        <v>909</v>
      </c>
      <c r="F6" s="17">
        <v>23891.119999999999</v>
      </c>
      <c r="G6" s="17"/>
      <c r="H6" s="17">
        <f t="shared" si="0"/>
        <v>71673.36</v>
      </c>
      <c r="I6" s="17">
        <f t="shared" si="1"/>
        <v>1791.8339999999998</v>
      </c>
      <c r="J6" s="17">
        <v>0</v>
      </c>
      <c r="K6" s="17">
        <f t="shared" si="2"/>
        <v>11945.56</v>
      </c>
      <c r="L6" s="17">
        <f t="shared" si="3"/>
        <v>83618.92</v>
      </c>
      <c r="M6" s="17">
        <v>0</v>
      </c>
      <c r="N6" s="17">
        <f t="shared" si="4"/>
        <v>23891.119999999999</v>
      </c>
      <c r="O6" s="17">
        <f t="shared" si="5"/>
        <v>2389.1120000000001</v>
      </c>
      <c r="P6" s="17">
        <v>15000</v>
      </c>
      <c r="Q6" s="17">
        <v>0</v>
      </c>
      <c r="R6" s="17">
        <f t="shared" si="6"/>
        <v>234201.02599999998</v>
      </c>
      <c r="S6" s="17"/>
      <c r="T6" s="10"/>
      <c r="U6" s="12"/>
    </row>
    <row r="7" spans="1:22" ht="18.75">
      <c r="A7" s="417" t="s">
        <v>910</v>
      </c>
      <c r="B7" s="418"/>
      <c r="C7" s="419"/>
      <c r="D7" s="16"/>
      <c r="E7" s="16" t="s">
        <v>911</v>
      </c>
      <c r="F7" s="17">
        <v>21293.96</v>
      </c>
      <c r="G7" s="17"/>
      <c r="H7" s="17">
        <f t="shared" si="0"/>
        <v>63881.88</v>
      </c>
      <c r="I7" s="17">
        <f t="shared" si="1"/>
        <v>1597.0469999999998</v>
      </c>
      <c r="J7" s="17">
        <v>0</v>
      </c>
      <c r="K7" s="17">
        <f t="shared" si="2"/>
        <v>10646.98</v>
      </c>
      <c r="L7" s="17">
        <f t="shared" si="3"/>
        <v>74528.86</v>
      </c>
      <c r="M7" s="17">
        <v>0</v>
      </c>
      <c r="N7" s="17">
        <f t="shared" si="4"/>
        <v>21293.96</v>
      </c>
      <c r="O7" s="17">
        <f t="shared" si="5"/>
        <v>2129.3960000000002</v>
      </c>
      <c r="P7" s="17">
        <v>10000</v>
      </c>
      <c r="Q7" s="17">
        <v>0</v>
      </c>
      <c r="R7" s="17">
        <f t="shared" si="6"/>
        <v>205372.08300000001</v>
      </c>
      <c r="S7" s="17"/>
      <c r="T7" s="10"/>
      <c r="U7" s="12"/>
    </row>
    <row r="8" spans="1:22" ht="18.75">
      <c r="A8" s="417" t="s">
        <v>582</v>
      </c>
      <c r="B8" s="418"/>
      <c r="C8" s="419"/>
      <c r="D8" s="16"/>
      <c r="E8" s="16" t="s">
        <v>912</v>
      </c>
      <c r="F8" s="17">
        <v>17286.330000000002</v>
      </c>
      <c r="G8" s="17"/>
      <c r="H8" s="17">
        <f t="shared" si="0"/>
        <v>51858.990000000005</v>
      </c>
      <c r="I8" s="17">
        <f t="shared" si="1"/>
        <v>1296.4747500000001</v>
      </c>
      <c r="J8" s="17">
        <v>0</v>
      </c>
      <c r="K8" s="17">
        <f t="shared" si="2"/>
        <v>8643.1650000000009</v>
      </c>
      <c r="L8" s="17">
        <f t="shared" si="3"/>
        <v>60502.155000000006</v>
      </c>
      <c r="M8" s="17">
        <v>0</v>
      </c>
      <c r="N8" s="17">
        <f t="shared" si="4"/>
        <v>17286.330000000002</v>
      </c>
      <c r="O8" s="17">
        <f t="shared" si="5"/>
        <v>1728.6330000000003</v>
      </c>
      <c r="P8" s="17">
        <v>10000</v>
      </c>
      <c r="Q8" s="17">
        <v>0</v>
      </c>
      <c r="R8" s="17">
        <f t="shared" si="6"/>
        <v>168602.07775000003</v>
      </c>
      <c r="S8" s="17"/>
      <c r="T8" s="10"/>
      <c r="U8" s="12"/>
    </row>
    <row r="9" spans="1:22" ht="18.75">
      <c r="A9" s="417" t="s">
        <v>913</v>
      </c>
      <c r="B9" s="418"/>
      <c r="C9" s="419"/>
      <c r="D9" s="16"/>
      <c r="E9" s="16" t="s">
        <v>914</v>
      </c>
      <c r="F9" s="17">
        <v>14736.14</v>
      </c>
      <c r="G9" s="17"/>
      <c r="H9" s="17">
        <f t="shared" si="0"/>
        <v>44208.42</v>
      </c>
      <c r="I9" s="17">
        <f t="shared" si="1"/>
        <v>1105.2104999999999</v>
      </c>
      <c r="J9" s="17">
        <v>0</v>
      </c>
      <c r="K9" s="17">
        <f t="shared" si="2"/>
        <v>7368.07</v>
      </c>
      <c r="L9" s="17">
        <f t="shared" si="3"/>
        <v>51576.49</v>
      </c>
      <c r="M9" s="17">
        <v>0</v>
      </c>
      <c r="N9" s="17">
        <f t="shared" si="4"/>
        <v>14736.14</v>
      </c>
      <c r="O9" s="17">
        <f t="shared" si="5"/>
        <v>1473.614</v>
      </c>
      <c r="P9" s="17">
        <v>10000</v>
      </c>
      <c r="Q9" s="17">
        <v>0</v>
      </c>
      <c r="R9" s="17">
        <f t="shared" si="6"/>
        <v>145204.0845</v>
      </c>
      <c r="S9" s="17"/>
      <c r="T9" s="10"/>
      <c r="U9" s="12"/>
    </row>
    <row r="10" spans="1:22" ht="18.75">
      <c r="A10" s="417"/>
      <c r="B10" s="418"/>
      <c r="C10" s="419"/>
      <c r="D10" s="16"/>
      <c r="E10" s="16" t="s">
        <v>915</v>
      </c>
      <c r="F10" s="17">
        <v>12351.94</v>
      </c>
      <c r="G10" s="17"/>
      <c r="H10" s="17">
        <f t="shared" si="0"/>
        <v>37055.82</v>
      </c>
      <c r="I10" s="17">
        <f t="shared" si="1"/>
        <v>926.39549999999997</v>
      </c>
      <c r="J10" s="17">
        <v>0</v>
      </c>
      <c r="K10" s="17">
        <f t="shared" si="2"/>
        <v>6175.97</v>
      </c>
      <c r="L10" s="17">
        <f t="shared" si="3"/>
        <v>43231.79</v>
      </c>
      <c r="M10" s="17">
        <v>0</v>
      </c>
      <c r="N10" s="17">
        <f t="shared" si="4"/>
        <v>12351.94</v>
      </c>
      <c r="O10" s="17">
        <f t="shared" si="5"/>
        <v>1235.1940000000002</v>
      </c>
      <c r="P10" s="17">
        <v>10000</v>
      </c>
      <c r="Q10" s="17">
        <v>0</v>
      </c>
      <c r="R10" s="17">
        <f t="shared" si="6"/>
        <v>123329.04950000001</v>
      </c>
      <c r="S10" s="17"/>
      <c r="T10" s="10"/>
      <c r="U10" s="12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14"/>
  <sheetViews>
    <sheetView workbookViewId="0"/>
  </sheetViews>
  <sheetFormatPr defaultRowHeight="12.75"/>
  <cols>
    <col min="3" max="3" width="15.140625" customWidth="1"/>
    <col min="4" max="5" width="18.85546875" customWidth="1"/>
  </cols>
  <sheetData>
    <row r="1" spans="1:6" ht="18.75">
      <c r="A1" s="386" t="s">
        <v>916</v>
      </c>
      <c r="B1" s="386"/>
      <c r="C1" s="386"/>
      <c r="D1" s="386"/>
      <c r="E1" s="386"/>
      <c r="F1" s="386"/>
    </row>
    <row r="2" spans="1:6" ht="18.75">
      <c r="A2" s="385" t="s">
        <v>917</v>
      </c>
      <c r="B2" s="385"/>
      <c r="C2" s="385"/>
      <c r="D2" s="385"/>
      <c r="E2" s="385"/>
      <c r="F2" s="385"/>
    </row>
    <row r="3" spans="1:6" ht="18.75">
      <c r="A3" s="379"/>
      <c r="B3" s="379"/>
      <c r="C3" s="379"/>
      <c r="D3" s="3" t="s">
        <v>824</v>
      </c>
      <c r="E3" s="3" t="s">
        <v>825</v>
      </c>
      <c r="F3" s="13"/>
    </row>
    <row r="4" spans="1:6" ht="18.75">
      <c r="A4" s="379" t="s">
        <v>826</v>
      </c>
      <c r="B4" s="379"/>
      <c r="C4" s="379"/>
      <c r="D4" s="14">
        <f>E4*12</f>
        <v>299709.72000000003</v>
      </c>
      <c r="E4" s="14">
        <f>sUMMARY!F5</f>
        <v>24975.81</v>
      </c>
      <c r="F4" s="1"/>
    </row>
    <row r="5" spans="1:6" ht="18.75">
      <c r="A5" s="379" t="s">
        <v>827</v>
      </c>
      <c r="B5" s="379"/>
      <c r="C5" s="379"/>
      <c r="D5" s="14">
        <f t="shared" ref="D5:D14" si="0">E5*12</f>
        <v>899129.16000000015</v>
      </c>
      <c r="E5" s="14">
        <f>sUMMARY!H5</f>
        <v>74927.430000000008</v>
      </c>
      <c r="F5" s="1"/>
    </row>
    <row r="6" spans="1:6" ht="18.75">
      <c r="A6" s="379" t="s">
        <v>828</v>
      </c>
      <c r="B6" s="379"/>
      <c r="C6" s="379"/>
      <c r="D6" s="14">
        <f t="shared" si="0"/>
        <v>22478.228999999999</v>
      </c>
      <c r="E6" s="14">
        <f>sUMMARY!I5</f>
        <v>1873.1857500000001</v>
      </c>
      <c r="F6" s="1"/>
    </row>
    <row r="7" spans="1:6" ht="18.75">
      <c r="A7" s="379" t="s">
        <v>829</v>
      </c>
      <c r="B7" s="379"/>
      <c r="C7" s="379"/>
      <c r="D7" s="14">
        <f t="shared" si="0"/>
        <v>0</v>
      </c>
      <c r="E7" s="14">
        <f>sUMMARY!J6</f>
        <v>0</v>
      </c>
      <c r="F7" s="1"/>
    </row>
    <row r="8" spans="1:6" ht="18.75">
      <c r="A8" s="379" t="s">
        <v>830</v>
      </c>
      <c r="B8" s="379"/>
      <c r="C8" s="379"/>
      <c r="D8" s="14">
        <f t="shared" si="0"/>
        <v>149854.86000000002</v>
      </c>
      <c r="E8" s="14">
        <f>sUMMARY!K5</f>
        <v>12487.905000000001</v>
      </c>
      <c r="F8" s="1"/>
    </row>
    <row r="9" spans="1:6" ht="18.75">
      <c r="A9" s="379" t="s">
        <v>831</v>
      </c>
      <c r="B9" s="379"/>
      <c r="C9" s="379"/>
      <c r="D9" s="14">
        <f t="shared" si="0"/>
        <v>1048984.02</v>
      </c>
      <c r="E9" s="14">
        <f>sUMMARY!L5</f>
        <v>87415.335000000006</v>
      </c>
      <c r="F9" s="1"/>
    </row>
    <row r="10" spans="1:6" ht="18.75">
      <c r="A10" s="379" t="s">
        <v>832</v>
      </c>
      <c r="B10" s="379"/>
      <c r="C10" s="379"/>
      <c r="D10" s="14">
        <f t="shared" si="0"/>
        <v>299709.72000000003</v>
      </c>
      <c r="E10" s="14">
        <f>sUMMARY!N5</f>
        <v>24975.81</v>
      </c>
      <c r="F10" s="1"/>
    </row>
    <row r="11" spans="1:6" ht="18.75">
      <c r="A11" s="381" t="s">
        <v>404</v>
      </c>
      <c r="B11" s="382"/>
      <c r="C11" s="383"/>
      <c r="D11" s="14">
        <f t="shared" si="0"/>
        <v>0</v>
      </c>
      <c r="E11" s="14">
        <v>0</v>
      </c>
      <c r="F11" s="1"/>
    </row>
    <row r="12" spans="1:6" ht="18.75">
      <c r="A12" s="379" t="s">
        <v>833</v>
      </c>
      <c r="B12" s="379"/>
      <c r="C12" s="379"/>
      <c r="D12" s="14">
        <f t="shared" si="0"/>
        <v>29970.972000000002</v>
      </c>
      <c r="E12" s="14">
        <f>sUMMARY!P5</f>
        <v>2497.5810000000001</v>
      </c>
      <c r="F12" s="1"/>
    </row>
    <row r="13" spans="1:6" ht="18.75">
      <c r="A13" s="379" t="s">
        <v>834</v>
      </c>
      <c r="B13" s="379"/>
      <c r="C13" s="379"/>
      <c r="D13" s="14">
        <f t="shared" si="0"/>
        <v>240000</v>
      </c>
      <c r="E13" s="14">
        <f>sUMMARY!Q5</f>
        <v>20000</v>
      </c>
      <c r="F13" s="1"/>
    </row>
    <row r="14" spans="1:6" ht="18.75">
      <c r="A14" s="380" t="s">
        <v>835</v>
      </c>
      <c r="B14" s="380"/>
      <c r="C14" s="380"/>
      <c r="D14" s="15">
        <f t="shared" si="0"/>
        <v>2989836.6810000003</v>
      </c>
      <c r="E14" s="15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46"/>
  <sheetViews>
    <sheetView view="pageBreakPreview" zoomScale="60" workbookViewId="0"/>
  </sheetViews>
  <sheetFormatPr defaultRowHeight="12.75"/>
  <cols>
    <col min="3" max="3" width="25.42578125" customWidth="1"/>
    <col min="4" max="4" width="36.85546875" customWidth="1"/>
    <col min="5" max="5" width="21.42578125" customWidth="1"/>
  </cols>
  <sheetData>
    <row r="1" spans="1:5" ht="20.25" customHeight="1">
      <c r="A1" s="396" t="s">
        <v>918</v>
      </c>
      <c r="B1" s="396"/>
      <c r="C1" s="396"/>
      <c r="D1" s="396"/>
      <c r="E1" s="396"/>
    </row>
    <row r="2" spans="1:5" ht="18">
      <c r="A2" s="428" t="s">
        <v>2</v>
      </c>
      <c r="B2" s="429"/>
      <c r="C2" s="429"/>
      <c r="D2" s="26"/>
      <c r="E2" s="26"/>
    </row>
    <row r="3" spans="1:5" ht="18">
      <c r="A3" s="363"/>
      <c r="B3" s="363"/>
      <c r="C3" s="363"/>
      <c r="D3" s="27" t="s">
        <v>3</v>
      </c>
      <c r="E3" s="27" t="s">
        <v>919</v>
      </c>
    </row>
    <row r="4" spans="1:5" ht="18">
      <c r="A4" s="430"/>
      <c r="B4" s="430"/>
      <c r="C4" s="430"/>
      <c r="D4" s="27"/>
      <c r="E4" s="27" t="s">
        <v>920</v>
      </c>
    </row>
    <row r="5" spans="1:5" ht="18">
      <c r="A5" s="360" t="s">
        <v>525</v>
      </c>
      <c r="B5" s="360"/>
      <c r="C5" s="360"/>
      <c r="D5" s="29"/>
      <c r="E5" s="29"/>
    </row>
    <row r="6" spans="1:5" ht="18">
      <c r="A6" s="348" t="s">
        <v>526</v>
      </c>
      <c r="B6" s="348"/>
      <c r="C6" s="348"/>
      <c r="D6" s="30" t="s">
        <v>921</v>
      </c>
      <c r="E6" s="30" t="s">
        <v>528</v>
      </c>
    </row>
    <row r="7" spans="1:5" ht="18">
      <c r="A7" s="348" t="s">
        <v>710</v>
      </c>
      <c r="B7" s="348"/>
      <c r="C7" s="348"/>
      <c r="D7" s="30" t="s">
        <v>533</v>
      </c>
      <c r="E7" s="30" t="s">
        <v>531</v>
      </c>
    </row>
    <row r="8" spans="1:5" ht="18">
      <c r="A8" s="348" t="s">
        <v>922</v>
      </c>
      <c r="B8" s="348"/>
      <c r="C8" s="348"/>
      <c r="D8" s="30" t="s">
        <v>923</v>
      </c>
      <c r="E8" s="30" t="s">
        <v>531</v>
      </c>
    </row>
    <row r="9" spans="1:5" ht="18">
      <c r="A9" s="351" t="s">
        <v>924</v>
      </c>
      <c r="B9" s="351"/>
      <c r="C9" s="351"/>
      <c r="D9" s="31" t="s">
        <v>925</v>
      </c>
      <c r="E9" s="32" t="s">
        <v>542</v>
      </c>
    </row>
    <row r="10" spans="1:5" ht="18">
      <c r="A10" s="351" t="s">
        <v>615</v>
      </c>
      <c r="B10" s="351"/>
      <c r="C10" s="351"/>
      <c r="D10" s="31" t="s">
        <v>560</v>
      </c>
      <c r="E10" s="31" t="s">
        <v>926</v>
      </c>
    </row>
    <row r="11" spans="1:5" ht="18">
      <c r="A11" s="348" t="s">
        <v>567</v>
      </c>
      <c r="B11" s="348"/>
      <c r="C11" s="348"/>
      <c r="D11" s="30" t="s">
        <v>927</v>
      </c>
      <c r="E11" s="30" t="s">
        <v>928</v>
      </c>
    </row>
    <row r="12" spans="1:5" ht="18">
      <c r="A12" s="467"/>
      <c r="B12" s="467"/>
      <c r="C12" s="467"/>
      <c r="D12" s="31"/>
      <c r="E12" s="31"/>
    </row>
    <row r="13" spans="1:5" ht="18">
      <c r="A13" s="359" t="s">
        <v>574</v>
      </c>
      <c r="B13" s="359"/>
      <c r="C13" s="359"/>
      <c r="D13" s="34"/>
      <c r="E13" s="34"/>
    </row>
    <row r="14" spans="1:5" ht="18">
      <c r="A14" s="35" t="s">
        <v>575</v>
      </c>
      <c r="B14" s="35"/>
      <c r="C14" s="35"/>
      <c r="D14" s="30" t="s">
        <v>929</v>
      </c>
      <c r="E14" s="30" t="s">
        <v>531</v>
      </c>
    </row>
    <row r="15" spans="1:5" ht="18">
      <c r="A15" s="425"/>
      <c r="B15" s="426"/>
      <c r="C15" s="427"/>
      <c r="D15" s="28"/>
      <c r="E15" s="33"/>
    </row>
    <row r="16" spans="1:5" ht="18">
      <c r="A16" s="36" t="s">
        <v>586</v>
      </c>
      <c r="B16" s="36"/>
      <c r="C16" s="36"/>
      <c r="D16" s="36"/>
      <c r="E16" s="33"/>
    </row>
    <row r="17" spans="1:5" ht="18">
      <c r="A17" s="348" t="s">
        <v>590</v>
      </c>
      <c r="B17" s="348"/>
      <c r="C17" s="348"/>
      <c r="D17" s="31" t="s">
        <v>591</v>
      </c>
      <c r="E17" s="31" t="s">
        <v>531</v>
      </c>
    </row>
    <row r="18" spans="1:5" ht="18">
      <c r="A18" s="349" t="s">
        <v>930</v>
      </c>
      <c r="B18" s="424"/>
      <c r="C18" s="350"/>
      <c r="D18" s="31" t="s">
        <v>931</v>
      </c>
      <c r="E18" s="37" t="s">
        <v>531</v>
      </c>
    </row>
    <row r="19" spans="1:5" ht="18">
      <c r="A19" s="348" t="s">
        <v>932</v>
      </c>
      <c r="B19" s="348"/>
      <c r="C19" s="348"/>
      <c r="D19" s="31" t="s">
        <v>933</v>
      </c>
      <c r="E19" s="31" t="s">
        <v>536</v>
      </c>
    </row>
    <row r="20" spans="1:5" ht="18">
      <c r="A20" s="38"/>
      <c r="B20" s="39"/>
      <c r="C20" s="40"/>
      <c r="D20" s="28"/>
      <c r="E20" s="33"/>
    </row>
    <row r="21" spans="1:5" ht="18">
      <c r="A21" s="356" t="s">
        <v>629</v>
      </c>
      <c r="B21" s="423"/>
      <c r="C21" s="357"/>
      <c r="D21" s="28"/>
      <c r="E21" s="33"/>
    </row>
    <row r="22" spans="1:5" ht="18">
      <c r="A22" s="356" t="s">
        <v>630</v>
      </c>
      <c r="B22" s="423"/>
      <c r="C22" s="357"/>
      <c r="D22" s="30" t="s">
        <v>934</v>
      </c>
      <c r="E22" s="30" t="s">
        <v>589</v>
      </c>
    </row>
    <row r="23" spans="1:5" ht="18">
      <c r="A23" s="348" t="s">
        <v>633</v>
      </c>
      <c r="B23" s="348"/>
      <c r="C23" s="348"/>
      <c r="D23" s="30" t="s">
        <v>634</v>
      </c>
      <c r="E23" s="30" t="s">
        <v>531</v>
      </c>
    </row>
    <row r="24" spans="1:5" ht="18">
      <c r="A24" s="348" t="s">
        <v>635</v>
      </c>
      <c r="B24" s="348"/>
      <c r="C24" s="348"/>
      <c r="D24" s="30" t="s">
        <v>636</v>
      </c>
      <c r="E24" s="30" t="s">
        <v>531</v>
      </c>
    </row>
    <row r="25" spans="1:5" ht="18">
      <c r="A25" s="348" t="s">
        <v>935</v>
      </c>
      <c r="B25" s="348"/>
      <c r="C25" s="348"/>
      <c r="D25" s="30" t="s">
        <v>936</v>
      </c>
      <c r="E25" s="30" t="s">
        <v>555</v>
      </c>
    </row>
    <row r="26" spans="1:5" ht="18">
      <c r="A26" s="356" t="s">
        <v>562</v>
      </c>
      <c r="B26" s="423"/>
      <c r="C26" s="357"/>
      <c r="D26" s="30" t="s">
        <v>563</v>
      </c>
      <c r="E26" s="30" t="s">
        <v>937</v>
      </c>
    </row>
    <row r="27" spans="1:5" ht="18">
      <c r="A27" s="348" t="s">
        <v>662</v>
      </c>
      <c r="B27" s="348"/>
      <c r="C27" s="348"/>
      <c r="D27" s="30" t="s">
        <v>938</v>
      </c>
      <c r="E27" s="30" t="s">
        <v>717</v>
      </c>
    </row>
    <row r="28" spans="1:5" ht="18">
      <c r="A28" s="35" t="s">
        <v>664</v>
      </c>
      <c r="B28" s="35"/>
      <c r="C28" s="35"/>
      <c r="D28" s="31" t="s">
        <v>666</v>
      </c>
      <c r="E28" s="31" t="s">
        <v>717</v>
      </c>
    </row>
    <row r="29" spans="1:5" ht="18">
      <c r="A29" s="348" t="s">
        <v>736</v>
      </c>
      <c r="B29" s="348"/>
      <c r="C29" s="348"/>
      <c r="D29" s="30" t="s">
        <v>666</v>
      </c>
      <c r="E29" s="30" t="s">
        <v>939</v>
      </c>
    </row>
    <row r="30" spans="1:5" ht="18">
      <c r="A30" s="348" t="s">
        <v>940</v>
      </c>
      <c r="B30" s="348"/>
      <c r="C30" s="348"/>
      <c r="D30" s="30" t="s">
        <v>666</v>
      </c>
      <c r="E30" s="30" t="s">
        <v>717</v>
      </c>
    </row>
    <row r="31" spans="1:5" ht="18">
      <c r="A31" s="348" t="s">
        <v>627</v>
      </c>
      <c r="B31" s="348"/>
      <c r="C31" s="348"/>
      <c r="D31" s="30" t="s">
        <v>941</v>
      </c>
      <c r="E31" s="30" t="s">
        <v>928</v>
      </c>
    </row>
    <row r="32" spans="1:5" ht="18">
      <c r="A32" s="35" t="s">
        <v>676</v>
      </c>
      <c r="B32" s="35"/>
      <c r="C32" s="35"/>
      <c r="D32" s="30" t="s">
        <v>687</v>
      </c>
      <c r="E32" s="30" t="s">
        <v>694</v>
      </c>
    </row>
    <row r="33" spans="1:5" ht="18">
      <c r="A33" s="348" t="s">
        <v>679</v>
      </c>
      <c r="B33" s="348"/>
      <c r="C33" s="348"/>
      <c r="D33" s="30" t="s">
        <v>687</v>
      </c>
      <c r="E33" s="30" t="s">
        <v>694</v>
      </c>
    </row>
    <row r="34" spans="1:5" ht="18">
      <c r="A34" s="348" t="s">
        <v>942</v>
      </c>
      <c r="B34" s="348"/>
      <c r="C34" s="348"/>
      <c r="D34" s="30" t="s">
        <v>687</v>
      </c>
      <c r="E34" s="30" t="s">
        <v>694</v>
      </c>
    </row>
    <row r="35" spans="1:5" ht="18">
      <c r="A35" s="348" t="s">
        <v>680</v>
      </c>
      <c r="B35" s="348"/>
      <c r="C35" s="348"/>
      <c r="D35" s="30" t="s">
        <v>687</v>
      </c>
      <c r="E35" s="30" t="s">
        <v>694</v>
      </c>
    </row>
    <row r="36" spans="1:5" ht="18">
      <c r="A36" s="348" t="s">
        <v>681</v>
      </c>
      <c r="B36" s="348"/>
      <c r="C36" s="348"/>
      <c r="D36" s="30" t="s">
        <v>687</v>
      </c>
      <c r="E36" s="30" t="s">
        <v>694</v>
      </c>
    </row>
    <row r="37" spans="1:5" ht="18">
      <c r="A37" s="348" t="s">
        <v>682</v>
      </c>
      <c r="B37" s="348"/>
      <c r="C37" s="348"/>
      <c r="D37" s="30" t="s">
        <v>687</v>
      </c>
      <c r="E37" s="30" t="s">
        <v>694</v>
      </c>
    </row>
    <row r="38" spans="1:5" ht="18">
      <c r="A38" s="348" t="s">
        <v>683</v>
      </c>
      <c r="B38" s="348"/>
      <c r="C38" s="348"/>
      <c r="D38" s="30" t="s">
        <v>687</v>
      </c>
      <c r="E38" s="30" t="s">
        <v>694</v>
      </c>
    </row>
    <row r="39" spans="1:5" ht="18">
      <c r="A39" s="30" t="s">
        <v>740</v>
      </c>
      <c r="B39" s="30"/>
      <c r="C39" s="30"/>
      <c r="D39" s="31" t="s">
        <v>687</v>
      </c>
      <c r="E39" s="31" t="s">
        <v>694</v>
      </c>
    </row>
    <row r="40" spans="1:5" ht="18">
      <c r="A40" s="348" t="s">
        <v>684</v>
      </c>
      <c r="B40" s="348"/>
      <c r="C40" s="348"/>
      <c r="D40" s="30" t="s">
        <v>687</v>
      </c>
      <c r="E40" s="30" t="s">
        <v>943</v>
      </c>
    </row>
    <row r="41" spans="1:5" ht="18">
      <c r="A41" s="348" t="s">
        <v>685</v>
      </c>
      <c r="B41" s="348"/>
      <c r="C41" s="348"/>
      <c r="D41" s="30" t="s">
        <v>687</v>
      </c>
      <c r="E41" s="30" t="s">
        <v>943</v>
      </c>
    </row>
    <row r="42" spans="1:5" ht="18">
      <c r="A42" s="351" t="s">
        <v>670</v>
      </c>
      <c r="B42" s="351"/>
      <c r="C42" s="351"/>
      <c r="D42" s="30" t="s">
        <v>752</v>
      </c>
      <c r="E42" s="30"/>
    </row>
    <row r="43" spans="1:5" ht="18">
      <c r="A43" s="351" t="s">
        <v>753</v>
      </c>
      <c r="B43" s="351"/>
      <c r="C43" s="351"/>
      <c r="D43" s="30" t="s">
        <v>752</v>
      </c>
      <c r="E43" s="30"/>
    </row>
    <row r="44" spans="1:5" ht="18">
      <c r="A44" s="351" t="s">
        <v>944</v>
      </c>
      <c r="B44" s="351"/>
      <c r="C44" s="351"/>
      <c r="D44" s="30" t="s">
        <v>945</v>
      </c>
      <c r="E44" s="30"/>
    </row>
    <row r="45" spans="1:5" ht="18">
      <c r="A45" s="351" t="s">
        <v>758</v>
      </c>
      <c r="B45" s="351"/>
      <c r="C45" s="351"/>
      <c r="D45" s="30" t="s">
        <v>945</v>
      </c>
      <c r="E45" s="30"/>
    </row>
    <row r="46" spans="1:5" ht="18">
      <c r="A46" s="351" t="s">
        <v>754</v>
      </c>
      <c r="B46" s="351"/>
      <c r="C46" s="351"/>
      <c r="D46" s="30" t="s">
        <v>945</v>
      </c>
      <c r="E46" s="30"/>
    </row>
  </sheetData>
  <mergeCells count="40"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8:C18"/>
    <mergeCell ref="A13:C13"/>
    <mergeCell ref="A15:C15"/>
    <mergeCell ref="A17:C17"/>
    <mergeCell ref="A11:C11"/>
    <mergeCell ref="A12:C12"/>
    <mergeCell ref="A19:C19"/>
    <mergeCell ref="A30:C30"/>
    <mergeCell ref="A31:C31"/>
    <mergeCell ref="A33:C33"/>
    <mergeCell ref="A23:C23"/>
    <mergeCell ref="A24:C24"/>
    <mergeCell ref="A25:C25"/>
    <mergeCell ref="A22:C22"/>
    <mergeCell ref="A21:C21"/>
    <mergeCell ref="A46:C46"/>
    <mergeCell ref="A34:C34"/>
    <mergeCell ref="A35:C35"/>
    <mergeCell ref="A1:E1"/>
    <mergeCell ref="A41:C41"/>
    <mergeCell ref="A42:C42"/>
    <mergeCell ref="A43:C43"/>
    <mergeCell ref="A44:C44"/>
    <mergeCell ref="A45:C45"/>
    <mergeCell ref="A36:C36"/>
    <mergeCell ref="A37:C37"/>
    <mergeCell ref="A38:C38"/>
    <mergeCell ref="A40:C40"/>
    <mergeCell ref="A26:C26"/>
    <mergeCell ref="A27:C27"/>
    <mergeCell ref="A29:C29"/>
  </mergeCells>
  <pageMargins left="0.7" right="0.7" top="0.75" bottom="0.75" header="0.3" footer="0.3"/>
  <pageSetup scale="85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15"/>
  <sheetViews>
    <sheetView workbookViewId="0"/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385" t="s">
        <v>946</v>
      </c>
      <c r="B1" s="385"/>
      <c r="C1" s="385"/>
    </row>
    <row r="2" spans="1:3" ht="18.75">
      <c r="A2" s="385" t="s">
        <v>874</v>
      </c>
      <c r="B2" s="385"/>
      <c r="C2" s="385"/>
    </row>
    <row r="3" spans="1:3" ht="18.75">
      <c r="A3" s="47"/>
      <c r="B3" s="47" t="s">
        <v>824</v>
      </c>
      <c r="C3" s="47" t="s">
        <v>825</v>
      </c>
    </row>
    <row r="4" spans="1:3" ht="18.75">
      <c r="A4" s="102" t="s">
        <v>826</v>
      </c>
      <c r="B4" s="53">
        <f>C4*12</f>
        <v>475947</v>
      </c>
      <c r="C4" s="53">
        <v>39662.25</v>
      </c>
    </row>
    <row r="5" spans="1:3" ht="18.75">
      <c r="A5" s="102" t="s">
        <v>827</v>
      </c>
      <c r="B5" s="53">
        <f t="shared" ref="B5:B13" si="0">C5*12</f>
        <v>1427841</v>
      </c>
      <c r="C5" s="53">
        <v>118986.75</v>
      </c>
    </row>
    <row r="6" spans="1:3" ht="18.75">
      <c r="A6" s="102" t="s">
        <v>828</v>
      </c>
      <c r="B6" s="53">
        <f t="shared" si="0"/>
        <v>35696.04</v>
      </c>
      <c r="C6" s="53">
        <v>2974.67</v>
      </c>
    </row>
    <row r="7" spans="1:3" ht="18.75">
      <c r="A7" s="102" t="s">
        <v>829</v>
      </c>
      <c r="B7" s="53" t="e">
        <f t="shared" si="0"/>
        <v>#REF!</v>
      </c>
      <c r="C7" s="53" t="e">
        <f>#REF!</f>
        <v>#REF!</v>
      </c>
    </row>
    <row r="8" spans="1:3" ht="18.75">
      <c r="A8" s="102" t="s">
        <v>830</v>
      </c>
      <c r="B8" s="53">
        <f t="shared" si="0"/>
        <v>237973.56</v>
      </c>
      <c r="C8" s="53">
        <v>19831.13</v>
      </c>
    </row>
    <row r="9" spans="1:3" ht="18.75">
      <c r="A9" s="102" t="s">
        <v>831</v>
      </c>
      <c r="B9" s="53">
        <f t="shared" si="0"/>
        <v>1665814.56</v>
      </c>
      <c r="C9" s="53">
        <v>138817.88</v>
      </c>
    </row>
    <row r="10" spans="1:3" ht="18.75">
      <c r="A10" s="102" t="s">
        <v>832</v>
      </c>
      <c r="B10" s="53">
        <f t="shared" si="0"/>
        <v>475947</v>
      </c>
      <c r="C10" s="53">
        <v>39662.25</v>
      </c>
    </row>
    <row r="11" spans="1:3" ht="18.75">
      <c r="A11" s="102" t="s">
        <v>404</v>
      </c>
      <c r="B11" s="53">
        <f t="shared" si="0"/>
        <v>0</v>
      </c>
      <c r="C11" s="53">
        <v>0</v>
      </c>
    </row>
    <row r="12" spans="1:3" ht="18.75">
      <c r="A12" s="102" t="s">
        <v>833</v>
      </c>
      <c r="B12" s="53">
        <f t="shared" si="0"/>
        <v>47594.76</v>
      </c>
      <c r="C12" s="53">
        <v>3966.23</v>
      </c>
    </row>
    <row r="13" spans="1:3" ht="18.75">
      <c r="A13" s="102" t="s">
        <v>834</v>
      </c>
      <c r="B13" s="53" t="e">
        <f t="shared" si="0"/>
        <v>#REF!</v>
      </c>
      <c r="C13" s="53" t="e">
        <f>#REF!</f>
        <v>#REF!</v>
      </c>
    </row>
    <row r="14" spans="1:3" ht="18.75">
      <c r="A14" s="47" t="s">
        <v>835</v>
      </c>
      <c r="B14" s="54" t="e">
        <f>SUM(B4:B13)</f>
        <v>#REF!</v>
      </c>
      <c r="C14" s="54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14"/>
  <sheetViews>
    <sheetView workbookViewId="0"/>
  </sheetViews>
  <sheetFormatPr defaultRowHeight="12.75"/>
  <cols>
    <col min="3" max="3" width="19" customWidth="1"/>
    <col min="4" max="4" width="22" customWidth="1"/>
    <col min="5" max="5" width="20.85546875" customWidth="1"/>
    <col min="6" max="6" width="15.5703125" customWidth="1"/>
  </cols>
  <sheetData>
    <row r="1" spans="1:6" ht="18.75">
      <c r="A1" s="386" t="s">
        <v>947</v>
      </c>
      <c r="B1" s="386"/>
      <c r="C1" s="386"/>
      <c r="D1" s="386"/>
      <c r="E1" s="386"/>
      <c r="F1" s="386"/>
    </row>
    <row r="2" spans="1:6" ht="18.75">
      <c r="A2" s="385" t="s">
        <v>948</v>
      </c>
      <c r="B2" s="385"/>
      <c r="C2" s="385"/>
      <c r="D2" s="385"/>
      <c r="E2" s="385"/>
      <c r="F2" s="385"/>
    </row>
    <row r="3" spans="1:6" ht="18.75">
      <c r="A3" s="379"/>
      <c r="B3" s="379"/>
      <c r="C3" s="379"/>
      <c r="D3" s="3" t="s">
        <v>824</v>
      </c>
      <c r="E3" s="3" t="s">
        <v>825</v>
      </c>
      <c r="F3" s="13"/>
    </row>
    <row r="4" spans="1:6" ht="18.75">
      <c r="A4" s="379" t="s">
        <v>826</v>
      </c>
      <c r="B4" s="379"/>
      <c r="C4" s="379"/>
      <c r="D4" s="14" t="e">
        <f>E4*12</f>
        <v>#REF!</v>
      </c>
      <c r="E4" s="14" t="e">
        <f>#REF!</f>
        <v>#REF!</v>
      </c>
      <c r="F4" s="1"/>
    </row>
    <row r="5" spans="1:6" ht="18.75">
      <c r="A5" s="379" t="s">
        <v>827</v>
      </c>
      <c r="B5" s="379"/>
      <c r="C5" s="379"/>
      <c r="D5" s="14" t="e">
        <f t="shared" ref="D5:D14" si="0">E5*12</f>
        <v>#REF!</v>
      </c>
      <c r="E5" s="14" t="e">
        <f>#REF!</f>
        <v>#REF!</v>
      </c>
      <c r="F5" s="1"/>
    </row>
    <row r="6" spans="1:6" ht="18.75">
      <c r="A6" s="379" t="s">
        <v>828</v>
      </c>
      <c r="B6" s="379"/>
      <c r="C6" s="379"/>
      <c r="D6" s="14" t="e">
        <f t="shared" si="0"/>
        <v>#REF!</v>
      </c>
      <c r="E6" s="14" t="e">
        <f>#REF!</f>
        <v>#REF!</v>
      </c>
      <c r="F6" s="1"/>
    </row>
    <row r="7" spans="1:6" ht="18.75">
      <c r="A7" s="379" t="s">
        <v>829</v>
      </c>
      <c r="B7" s="379"/>
      <c r="C7" s="379"/>
      <c r="D7" s="14">
        <f t="shared" si="0"/>
        <v>0</v>
      </c>
      <c r="E7" s="14">
        <f>sUMMARY!J6</f>
        <v>0</v>
      </c>
      <c r="F7" s="1"/>
    </row>
    <row r="8" spans="1:6" ht="18.75">
      <c r="A8" s="379" t="s">
        <v>830</v>
      </c>
      <c r="B8" s="379"/>
      <c r="C8" s="379"/>
      <c r="D8" s="14" t="e">
        <f t="shared" si="0"/>
        <v>#REF!</v>
      </c>
      <c r="E8" s="14" t="e">
        <f>#REF!</f>
        <v>#REF!</v>
      </c>
      <c r="F8" s="1"/>
    </row>
    <row r="9" spans="1:6" ht="18.75">
      <c r="A9" s="379" t="s">
        <v>831</v>
      </c>
      <c r="B9" s="379"/>
      <c r="C9" s="379"/>
      <c r="D9" s="14" t="e">
        <f t="shared" si="0"/>
        <v>#REF!</v>
      </c>
      <c r="E9" s="14" t="e">
        <f>#REF!</f>
        <v>#REF!</v>
      </c>
      <c r="F9" s="1"/>
    </row>
    <row r="10" spans="1:6" ht="18.75">
      <c r="A10" s="379" t="s">
        <v>832</v>
      </c>
      <c r="B10" s="379"/>
      <c r="C10" s="379"/>
      <c r="D10" s="14" t="e">
        <f t="shared" si="0"/>
        <v>#REF!</v>
      </c>
      <c r="E10" s="14" t="e">
        <f>#REF!</f>
        <v>#REF!</v>
      </c>
      <c r="F10" s="1"/>
    </row>
    <row r="11" spans="1:6" ht="18.75">
      <c r="A11" s="381" t="s">
        <v>404</v>
      </c>
      <c r="B11" s="382"/>
      <c r="C11" s="383"/>
      <c r="D11" s="14">
        <f t="shared" si="0"/>
        <v>0</v>
      </c>
      <c r="E11" s="14">
        <v>0</v>
      </c>
      <c r="F11" s="1"/>
    </row>
    <row r="12" spans="1:6" ht="18.75">
      <c r="A12" s="379" t="s">
        <v>833</v>
      </c>
      <c r="B12" s="379"/>
      <c r="C12" s="379"/>
      <c r="D12" s="14" t="e">
        <f t="shared" si="0"/>
        <v>#REF!</v>
      </c>
      <c r="E12" s="14" t="e">
        <f>#REF!</f>
        <v>#REF!</v>
      </c>
      <c r="F12" s="1"/>
    </row>
    <row r="13" spans="1:6" ht="18.75">
      <c r="A13" s="379" t="s">
        <v>834</v>
      </c>
      <c r="B13" s="379"/>
      <c r="C13" s="379"/>
      <c r="D13" s="14" t="e">
        <f t="shared" si="0"/>
        <v>#REF!</v>
      </c>
      <c r="E13" s="14" t="e">
        <f>#REF!</f>
        <v>#REF!</v>
      </c>
      <c r="F13" s="1"/>
    </row>
    <row r="14" spans="1:6" ht="18.75">
      <c r="A14" s="380" t="s">
        <v>835</v>
      </c>
      <c r="B14" s="380"/>
      <c r="C14" s="380"/>
      <c r="D14" s="15" t="e">
        <f t="shared" si="0"/>
        <v>#REF!</v>
      </c>
      <c r="E14" s="15" t="e">
        <f>SUM(E4:E13)</f>
        <v>#REF!</v>
      </c>
      <c r="F14" s="1"/>
    </row>
  </sheetData>
  <mergeCells count="14">
    <mergeCell ref="A13:C13"/>
    <mergeCell ref="A14:C14"/>
    <mergeCell ref="A7:C7"/>
    <mergeCell ref="A8:C8"/>
    <mergeCell ref="A9:C9"/>
    <mergeCell ref="A10:C10"/>
    <mergeCell ref="A11:C11"/>
    <mergeCell ref="A12:C12"/>
    <mergeCell ref="A6:C6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18"/>
  <sheetViews>
    <sheetView workbookViewId="0"/>
  </sheetViews>
  <sheetFormatPr defaultRowHeight="12.75"/>
  <cols>
    <col min="1" max="1" width="9.85546875" customWidth="1"/>
    <col min="2" max="2" width="38.85546875" customWidth="1"/>
    <col min="3" max="3" width="16.140625" customWidth="1"/>
    <col min="4" max="4" width="18.85546875" customWidth="1"/>
    <col min="5" max="5" width="24.85546875" customWidth="1"/>
    <col min="6" max="6" width="26" customWidth="1"/>
  </cols>
  <sheetData>
    <row r="1" spans="1:6" ht="18.75">
      <c r="A1" s="435" t="s">
        <v>407</v>
      </c>
      <c r="B1" s="435"/>
      <c r="C1" s="435"/>
      <c r="D1" s="435"/>
      <c r="E1" s="435"/>
    </row>
    <row r="2" spans="1:6" ht="18.75">
      <c r="A2" s="385" t="s">
        <v>949</v>
      </c>
      <c r="B2" s="385"/>
      <c r="C2" s="385"/>
      <c r="D2" s="385"/>
      <c r="E2" s="385"/>
    </row>
    <row r="3" spans="1:6" ht="18.75" customHeight="1">
      <c r="A3" s="434" t="s">
        <v>950</v>
      </c>
      <c r="B3" s="436" t="s">
        <v>3</v>
      </c>
      <c r="C3" s="432" t="s">
        <v>760</v>
      </c>
      <c r="D3" s="432" t="s">
        <v>951</v>
      </c>
      <c r="E3" s="432" t="s">
        <v>952</v>
      </c>
      <c r="F3" s="431" t="s">
        <v>84</v>
      </c>
    </row>
    <row r="4" spans="1:6" ht="16.5" customHeight="1">
      <c r="A4" s="434"/>
      <c r="B4" s="437"/>
      <c r="C4" s="433"/>
      <c r="D4" s="433"/>
      <c r="E4" s="433"/>
      <c r="F4" s="431"/>
    </row>
    <row r="5" spans="1:6" ht="18.75">
      <c r="A5" s="3">
        <v>1</v>
      </c>
      <c r="B5" s="48" t="s">
        <v>527</v>
      </c>
      <c r="C5" s="49" t="s">
        <v>953</v>
      </c>
      <c r="D5" s="49" t="s">
        <v>954</v>
      </c>
      <c r="E5" s="53">
        <f>1580439.5*12</f>
        <v>18965274</v>
      </c>
      <c r="F5" s="53">
        <f>E5*D5</f>
        <v>18965274</v>
      </c>
    </row>
    <row r="6" spans="1:6" ht="18.75">
      <c r="A6" s="3">
        <v>2</v>
      </c>
      <c r="B6" s="48" t="s">
        <v>955</v>
      </c>
      <c r="C6" s="49" t="s">
        <v>589</v>
      </c>
      <c r="D6" s="49" t="s">
        <v>956</v>
      </c>
      <c r="E6" s="53">
        <v>9607889.5199999996</v>
      </c>
      <c r="F6" s="53">
        <f t="shared" ref="F6:F17" si="0">E6*D6</f>
        <v>38431558.079999998</v>
      </c>
    </row>
    <row r="7" spans="1:6" ht="18.75">
      <c r="A7" s="3">
        <v>3</v>
      </c>
      <c r="B7" s="48" t="s">
        <v>533</v>
      </c>
      <c r="C7" s="49" t="s">
        <v>531</v>
      </c>
      <c r="D7" s="49" t="s">
        <v>954</v>
      </c>
      <c r="E7" s="50">
        <f>424023.33*12</f>
        <v>5088279.96</v>
      </c>
      <c r="F7" s="53">
        <f t="shared" si="0"/>
        <v>5088279.96</v>
      </c>
    </row>
    <row r="8" spans="1:6" ht="18.75">
      <c r="A8" s="3">
        <v>4</v>
      </c>
      <c r="B8" s="48" t="s">
        <v>923</v>
      </c>
      <c r="C8" s="49" t="s">
        <v>531</v>
      </c>
      <c r="D8" s="49" t="s">
        <v>957</v>
      </c>
      <c r="E8" s="50">
        <f>424023.33*12</f>
        <v>5088279.96</v>
      </c>
      <c r="F8" s="53">
        <f t="shared" si="0"/>
        <v>10176559.92</v>
      </c>
    </row>
    <row r="9" spans="1:6" ht="18.75">
      <c r="A9" s="3">
        <v>5</v>
      </c>
      <c r="B9" s="46" t="s">
        <v>958</v>
      </c>
      <c r="C9" s="51" t="s">
        <v>531</v>
      </c>
      <c r="D9" s="55">
        <v>10</v>
      </c>
      <c r="E9" s="52">
        <v>5088279.96</v>
      </c>
      <c r="F9" s="53">
        <f t="shared" si="0"/>
        <v>50882799.600000001</v>
      </c>
    </row>
    <row r="10" spans="1:6" ht="18.75">
      <c r="A10" s="3">
        <v>6</v>
      </c>
      <c r="B10" s="46" t="s">
        <v>959</v>
      </c>
      <c r="C10" s="51" t="s">
        <v>531</v>
      </c>
      <c r="D10" s="55">
        <v>10</v>
      </c>
      <c r="E10" s="52">
        <v>4136647.2</v>
      </c>
      <c r="F10" s="53">
        <f t="shared" si="0"/>
        <v>41366472</v>
      </c>
    </row>
    <row r="11" spans="1:6" ht="18.75">
      <c r="A11" s="3">
        <v>7</v>
      </c>
      <c r="B11" s="46" t="s">
        <v>960</v>
      </c>
      <c r="C11" s="51" t="s">
        <v>542</v>
      </c>
      <c r="D11" s="55">
        <v>12</v>
      </c>
      <c r="E11" s="52">
        <f>344720.6*12</f>
        <v>4136647.1999999997</v>
      </c>
      <c r="F11" s="53">
        <f t="shared" si="0"/>
        <v>49639766.399999999</v>
      </c>
    </row>
    <row r="12" spans="1:6" ht="18.75">
      <c r="A12" s="3">
        <v>8</v>
      </c>
      <c r="B12" s="46" t="s">
        <v>602</v>
      </c>
      <c r="C12" s="51" t="s">
        <v>724</v>
      </c>
      <c r="D12" s="55">
        <v>10</v>
      </c>
      <c r="E12" s="52">
        <f>249153.06*12</f>
        <v>2989836.7199999997</v>
      </c>
      <c r="F12" s="53">
        <f t="shared" si="0"/>
        <v>29898367.199999996</v>
      </c>
    </row>
    <row r="13" spans="1:6" ht="18.75">
      <c r="A13" s="3">
        <v>9</v>
      </c>
      <c r="B13" s="46" t="s">
        <v>961</v>
      </c>
      <c r="C13" s="51" t="s">
        <v>550</v>
      </c>
      <c r="D13" s="55">
        <v>8</v>
      </c>
      <c r="E13" s="52">
        <v>2810412.36</v>
      </c>
      <c r="F13" s="53">
        <f t="shared" si="0"/>
        <v>22483298.879999999</v>
      </c>
    </row>
    <row r="14" spans="1:6" ht="18.75">
      <c r="A14" s="3">
        <v>10</v>
      </c>
      <c r="B14" s="46" t="s">
        <v>962</v>
      </c>
      <c r="C14" s="51" t="s">
        <v>566</v>
      </c>
      <c r="D14" s="55">
        <v>15</v>
      </c>
      <c r="E14" s="52">
        <f>168602.08*12</f>
        <v>2023224.96</v>
      </c>
      <c r="F14" s="53">
        <f t="shared" si="0"/>
        <v>30348374.399999999</v>
      </c>
    </row>
    <row r="15" spans="1:6" ht="18.75">
      <c r="A15" s="3">
        <v>11</v>
      </c>
      <c r="B15" s="48" t="s">
        <v>963</v>
      </c>
      <c r="C15" s="49" t="s">
        <v>672</v>
      </c>
      <c r="D15" s="49" t="s">
        <v>964</v>
      </c>
      <c r="E15" s="52">
        <f>123329.05*12</f>
        <v>1479948.6</v>
      </c>
      <c r="F15" s="53">
        <f t="shared" si="0"/>
        <v>29598972</v>
      </c>
    </row>
    <row r="16" spans="1:6" ht="18.75">
      <c r="A16" s="3">
        <v>12</v>
      </c>
      <c r="B16" s="46" t="s">
        <v>965</v>
      </c>
      <c r="C16" s="51" t="s">
        <v>717</v>
      </c>
      <c r="D16" s="55">
        <v>15</v>
      </c>
      <c r="E16" s="52">
        <f>130304.44*12</f>
        <v>1563653.28</v>
      </c>
      <c r="F16" s="53">
        <f t="shared" si="0"/>
        <v>23454799.199999999</v>
      </c>
    </row>
    <row r="17" spans="1:6" ht="18.75">
      <c r="A17" s="3">
        <v>13</v>
      </c>
      <c r="B17" s="46" t="s">
        <v>966</v>
      </c>
      <c r="C17" s="51" t="s">
        <v>694</v>
      </c>
      <c r="D17" s="55">
        <v>20</v>
      </c>
      <c r="E17" s="52">
        <f>46676.06*12</f>
        <v>560112.72</v>
      </c>
      <c r="F17" s="53">
        <f t="shared" si="0"/>
        <v>11202254.399999999</v>
      </c>
    </row>
    <row r="18" spans="1:6" ht="18.75">
      <c r="A18" s="47"/>
      <c r="B18" s="47"/>
      <c r="C18" s="9"/>
      <c r="D18" s="9">
        <f>SUM(D9:D17)</f>
        <v>100</v>
      </c>
      <c r="E18" s="54"/>
      <c r="F18" s="15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N23"/>
  <sheetViews>
    <sheetView workbookViewId="0"/>
  </sheetViews>
  <sheetFormatPr defaultRowHeight="12.75"/>
  <cols>
    <col min="3" max="3" width="22.42578125" customWidth="1"/>
    <col min="4" max="4" width="32.85546875" customWidth="1"/>
    <col min="5" max="5" width="11" customWidth="1"/>
    <col min="6" max="6" width="21.140625" customWidth="1"/>
    <col min="7" max="7" width="23.5703125" customWidth="1"/>
  </cols>
  <sheetData>
    <row r="1" spans="1:10" ht="18">
      <c r="D1" s="26"/>
    </row>
    <row r="2" spans="1:10" ht="18">
      <c r="A2" s="359" t="s">
        <v>2</v>
      </c>
      <c r="B2" s="359"/>
      <c r="C2" s="359"/>
      <c r="D2" s="29" t="s">
        <v>3</v>
      </c>
      <c r="E2" s="29" t="s">
        <v>967</v>
      </c>
      <c r="F2" s="63" t="s">
        <v>117</v>
      </c>
      <c r="G2" s="33" t="s">
        <v>968</v>
      </c>
    </row>
    <row r="3" spans="1:10" ht="18">
      <c r="A3" s="438"/>
      <c r="B3" s="438"/>
      <c r="C3" s="438"/>
      <c r="D3" s="58"/>
      <c r="E3" s="58"/>
      <c r="F3" s="60">
        <v>300000</v>
      </c>
      <c r="G3" s="61"/>
    </row>
    <row r="4" spans="1:10" ht="18">
      <c r="A4" s="438" t="s">
        <v>718</v>
      </c>
      <c r="B4" s="438"/>
      <c r="C4" s="438"/>
      <c r="D4" s="58" t="s">
        <v>719</v>
      </c>
      <c r="E4" s="42" t="s">
        <v>589</v>
      </c>
      <c r="F4" s="60">
        <v>150000</v>
      </c>
      <c r="G4" s="61"/>
    </row>
    <row r="5" spans="1:10" ht="18">
      <c r="A5" s="438" t="s">
        <v>969</v>
      </c>
      <c r="B5" s="438"/>
      <c r="C5" s="438"/>
      <c r="D5" s="58" t="s">
        <v>588</v>
      </c>
      <c r="E5" s="42" t="s">
        <v>589</v>
      </c>
      <c r="F5" s="60">
        <v>150000</v>
      </c>
      <c r="G5" s="61"/>
    </row>
    <row r="6" spans="1:10" ht="18">
      <c r="A6" s="438" t="s">
        <v>630</v>
      </c>
      <c r="B6" s="438"/>
      <c r="C6" s="438"/>
      <c r="D6" s="58" t="s">
        <v>631</v>
      </c>
      <c r="E6" s="42" t="s">
        <v>589</v>
      </c>
      <c r="F6" s="60">
        <v>150000</v>
      </c>
      <c r="G6" s="61"/>
    </row>
    <row r="7" spans="1:10" ht="21.75" customHeight="1">
      <c r="A7" s="438" t="s">
        <v>710</v>
      </c>
      <c r="B7" s="438"/>
      <c r="C7" s="438"/>
      <c r="D7" s="58" t="s">
        <v>533</v>
      </c>
      <c r="E7" s="42" t="s">
        <v>531</v>
      </c>
      <c r="F7" s="60">
        <v>100000</v>
      </c>
      <c r="G7" s="61"/>
    </row>
    <row r="8" spans="1:10" ht="22.5" customHeight="1">
      <c r="A8" s="438" t="s">
        <v>922</v>
      </c>
      <c r="B8" s="438"/>
      <c r="C8" s="438"/>
      <c r="D8" s="58" t="s">
        <v>970</v>
      </c>
      <c r="E8" s="42" t="s">
        <v>531</v>
      </c>
      <c r="F8" s="60">
        <v>100000</v>
      </c>
      <c r="G8" s="61"/>
    </row>
    <row r="9" spans="1:10" ht="22.5" customHeight="1">
      <c r="A9" s="438" t="s">
        <v>971</v>
      </c>
      <c r="B9" s="438"/>
      <c r="C9" s="438"/>
      <c r="D9" s="58" t="s">
        <v>923</v>
      </c>
      <c r="E9" s="42" t="s">
        <v>531</v>
      </c>
      <c r="F9" s="60">
        <v>100000</v>
      </c>
      <c r="G9" s="61"/>
    </row>
    <row r="10" spans="1:10" ht="19.5" customHeight="1">
      <c r="A10" s="438" t="s">
        <v>575</v>
      </c>
      <c r="B10" s="438"/>
      <c r="C10" s="438"/>
      <c r="D10" s="58" t="s">
        <v>576</v>
      </c>
      <c r="E10" s="42" t="s">
        <v>531</v>
      </c>
      <c r="F10" s="60">
        <v>100000</v>
      </c>
      <c r="G10" s="61"/>
    </row>
    <row r="11" spans="1:10" ht="18">
      <c r="A11" s="438" t="s">
        <v>590</v>
      </c>
      <c r="B11" s="438"/>
      <c r="C11" s="438"/>
      <c r="D11" s="59" t="s">
        <v>591</v>
      </c>
      <c r="E11" s="41" t="s">
        <v>531</v>
      </c>
      <c r="F11" s="60">
        <v>100000</v>
      </c>
      <c r="G11" s="61"/>
    </row>
    <row r="12" spans="1:10" ht="18">
      <c r="A12" s="438" t="s">
        <v>633</v>
      </c>
      <c r="B12" s="438"/>
      <c r="C12" s="438"/>
      <c r="D12" s="58" t="s">
        <v>634</v>
      </c>
      <c r="E12" s="42" t="s">
        <v>531</v>
      </c>
      <c r="F12" s="60">
        <v>100000</v>
      </c>
      <c r="G12" s="61"/>
    </row>
    <row r="13" spans="1:10" ht="18">
      <c r="A13" s="438" t="s">
        <v>635</v>
      </c>
      <c r="B13" s="438"/>
      <c r="C13" s="438"/>
      <c r="D13" s="58" t="s">
        <v>636</v>
      </c>
      <c r="E13" s="42" t="s">
        <v>531</v>
      </c>
      <c r="F13" s="60">
        <v>100000</v>
      </c>
      <c r="G13" s="61"/>
    </row>
    <row r="14" spans="1:10" ht="18">
      <c r="A14" s="445" t="s">
        <v>924</v>
      </c>
      <c r="B14" s="445"/>
      <c r="C14" s="445"/>
      <c r="D14" s="59" t="s">
        <v>972</v>
      </c>
      <c r="E14" s="43" t="s">
        <v>542</v>
      </c>
      <c r="F14" s="60">
        <v>80000</v>
      </c>
      <c r="G14" s="61"/>
    </row>
    <row r="15" spans="1:10" ht="18">
      <c r="A15" s="445" t="s">
        <v>973</v>
      </c>
      <c r="B15" s="445"/>
      <c r="C15" s="445"/>
      <c r="D15" s="59" t="s">
        <v>974</v>
      </c>
      <c r="E15" s="43" t="s">
        <v>542</v>
      </c>
      <c r="F15" s="60">
        <v>80000</v>
      </c>
      <c r="G15" s="61"/>
      <c r="J15" s="260"/>
    </row>
    <row r="16" spans="1:10" ht="18">
      <c r="A16" s="468" t="s">
        <v>534</v>
      </c>
      <c r="B16" s="468"/>
      <c r="C16" s="468"/>
      <c r="D16" s="58" t="s">
        <v>535</v>
      </c>
      <c r="E16" s="42" t="s">
        <v>542</v>
      </c>
      <c r="F16" s="60">
        <v>80000</v>
      </c>
      <c r="G16" s="61"/>
    </row>
    <row r="17" spans="1:14" ht="18">
      <c r="A17" s="442" t="s">
        <v>975</v>
      </c>
      <c r="B17" s="443"/>
      <c r="C17" s="444"/>
      <c r="D17" s="58" t="s">
        <v>976</v>
      </c>
      <c r="E17" s="42" t="s">
        <v>542</v>
      </c>
      <c r="F17" s="60">
        <v>80000</v>
      </c>
      <c r="G17" s="61"/>
      <c r="I17" t="s">
        <v>407</v>
      </c>
    </row>
    <row r="18" spans="1:14" ht="18">
      <c r="A18" s="442" t="s">
        <v>639</v>
      </c>
      <c r="B18" s="443"/>
      <c r="C18" s="444"/>
      <c r="D18" s="58" t="s">
        <v>977</v>
      </c>
      <c r="E18" s="42" t="s">
        <v>542</v>
      </c>
      <c r="F18" s="60">
        <v>80000</v>
      </c>
      <c r="G18" s="61"/>
    </row>
    <row r="19" spans="1:14" ht="18">
      <c r="A19" s="58" t="s">
        <v>730</v>
      </c>
      <c r="B19" s="58"/>
      <c r="C19" s="58"/>
      <c r="D19" s="58" t="s">
        <v>978</v>
      </c>
      <c r="E19" s="42" t="s">
        <v>542</v>
      </c>
      <c r="F19" s="60">
        <v>80000</v>
      </c>
      <c r="G19" s="61"/>
    </row>
    <row r="20" spans="1:14" ht="18">
      <c r="A20" s="58" t="s">
        <v>979</v>
      </c>
      <c r="B20" s="58"/>
      <c r="C20" s="58"/>
      <c r="D20" s="58" t="s">
        <v>933</v>
      </c>
      <c r="E20" s="42" t="s">
        <v>980</v>
      </c>
      <c r="F20" s="60">
        <v>80000</v>
      </c>
      <c r="G20" s="61"/>
    </row>
    <row r="21" spans="1:14" ht="18">
      <c r="A21" s="438" t="s">
        <v>592</v>
      </c>
      <c r="B21" s="438"/>
      <c r="C21" s="438"/>
      <c r="D21" s="59" t="s">
        <v>593</v>
      </c>
      <c r="E21" s="41" t="s">
        <v>536</v>
      </c>
      <c r="F21" s="60">
        <v>80000</v>
      </c>
      <c r="G21" s="61"/>
      <c r="N21" t="s">
        <v>981</v>
      </c>
    </row>
    <row r="22" spans="1:14" ht="18">
      <c r="A22" s="62" t="s">
        <v>982</v>
      </c>
      <c r="B22" s="62"/>
      <c r="C22" s="44"/>
      <c r="D22" s="58" t="s">
        <v>595</v>
      </c>
      <c r="E22" s="42" t="s">
        <v>983</v>
      </c>
      <c r="F22" s="60">
        <v>80000</v>
      </c>
      <c r="G22" s="61"/>
    </row>
    <row r="23" spans="1:14" ht="29.25" customHeight="1">
      <c r="A23" s="439" t="s">
        <v>84</v>
      </c>
      <c r="B23" s="440"/>
      <c r="C23" s="441"/>
      <c r="D23" s="61"/>
      <c r="E23" s="61"/>
      <c r="F23" s="64">
        <f>SUM(F3:F22)</f>
        <v>2170000</v>
      </c>
      <c r="G23" s="61"/>
    </row>
  </sheetData>
  <mergeCells count="19">
    <mergeCell ref="A23:C23"/>
    <mergeCell ref="A17:C17"/>
    <mergeCell ref="A18:C18"/>
    <mergeCell ref="A21:C21"/>
    <mergeCell ref="A6:C6"/>
    <mergeCell ref="A12:C12"/>
    <mergeCell ref="A13:C13"/>
    <mergeCell ref="A16:C16"/>
    <mergeCell ref="A14:C14"/>
    <mergeCell ref="A15:C15"/>
    <mergeCell ref="A2:C2"/>
    <mergeCell ref="A3:C3"/>
    <mergeCell ref="A7:C7"/>
    <mergeCell ref="A8:C8"/>
    <mergeCell ref="A11:C11"/>
    <mergeCell ref="A9:C9"/>
    <mergeCell ref="A5:C5"/>
    <mergeCell ref="A10:C10"/>
    <mergeCell ref="A4:C4"/>
  </mergeCells>
  <pageMargins left="0.33" right="0.16" top="0.75" bottom="0.75" header="0.3" footer="0.3"/>
  <pageSetup scale="80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86"/>
  <sheetViews>
    <sheetView workbookViewId="0"/>
  </sheetViews>
  <sheetFormatPr defaultRowHeight="12.75"/>
  <cols>
    <col min="1" max="1" width="5.85546875" customWidth="1"/>
    <col min="4" max="4" width="20.85546875" customWidth="1"/>
    <col min="5" max="5" width="31.5703125" customWidth="1"/>
    <col min="6" max="6" width="10.42578125" customWidth="1"/>
    <col min="7" max="7" width="21.85546875" customWidth="1"/>
    <col min="8" max="8" width="22" customWidth="1"/>
  </cols>
  <sheetData>
    <row r="1" spans="1:8" ht="18">
      <c r="A1" s="69" t="s">
        <v>1</v>
      </c>
      <c r="B1" s="363" t="s">
        <v>523</v>
      </c>
      <c r="C1" s="363"/>
      <c r="D1" s="363"/>
      <c r="E1" s="27" t="s">
        <v>3</v>
      </c>
      <c r="F1" s="27" t="s">
        <v>967</v>
      </c>
      <c r="G1" s="33" t="s">
        <v>117</v>
      </c>
      <c r="H1" s="33" t="s">
        <v>968</v>
      </c>
    </row>
    <row r="2" spans="1:8" ht="18">
      <c r="A2" s="70">
        <v>1</v>
      </c>
      <c r="B2" s="445" t="s">
        <v>540</v>
      </c>
      <c r="C2" s="445"/>
      <c r="D2" s="445"/>
      <c r="E2" s="59" t="s">
        <v>541</v>
      </c>
      <c r="F2" s="43" t="s">
        <v>550</v>
      </c>
      <c r="G2" s="60">
        <v>20000</v>
      </c>
      <c r="H2" s="65"/>
    </row>
    <row r="3" spans="1:8" ht="18">
      <c r="A3" s="70">
        <v>2</v>
      </c>
      <c r="B3" s="445" t="s">
        <v>984</v>
      </c>
      <c r="C3" s="445"/>
      <c r="D3" s="445"/>
      <c r="E3" s="59" t="s">
        <v>554</v>
      </c>
      <c r="F3" s="41" t="s">
        <v>550</v>
      </c>
      <c r="G3" s="60">
        <v>20000</v>
      </c>
      <c r="H3" s="65"/>
    </row>
    <row r="4" spans="1:8" ht="18">
      <c r="A4" s="70">
        <v>3</v>
      </c>
      <c r="B4" s="445" t="s">
        <v>985</v>
      </c>
      <c r="C4" s="445"/>
      <c r="D4" s="445"/>
      <c r="E4" s="59" t="s">
        <v>986</v>
      </c>
      <c r="F4" s="41" t="s">
        <v>566</v>
      </c>
      <c r="G4" s="60">
        <v>20000</v>
      </c>
      <c r="H4" s="65"/>
    </row>
    <row r="5" spans="1:8" ht="18">
      <c r="A5" s="70">
        <v>4</v>
      </c>
      <c r="B5" s="445" t="s">
        <v>649</v>
      </c>
      <c r="C5" s="445"/>
      <c r="D5" s="445"/>
      <c r="E5" s="59" t="s">
        <v>987</v>
      </c>
      <c r="F5" s="41" t="s">
        <v>566</v>
      </c>
      <c r="G5" s="60">
        <v>20000</v>
      </c>
      <c r="H5" s="65"/>
    </row>
    <row r="6" spans="1:8" ht="18">
      <c r="A6" s="70">
        <v>5</v>
      </c>
      <c r="B6" s="445" t="s">
        <v>713</v>
      </c>
      <c r="C6" s="445"/>
      <c r="D6" s="445"/>
      <c r="E6" s="59" t="s">
        <v>714</v>
      </c>
      <c r="F6" s="41" t="s">
        <v>566</v>
      </c>
      <c r="G6" s="60">
        <v>20000</v>
      </c>
      <c r="H6" s="65"/>
    </row>
    <row r="7" spans="1:8" ht="18">
      <c r="A7" s="70">
        <v>6</v>
      </c>
      <c r="B7" s="57" t="s">
        <v>551</v>
      </c>
      <c r="C7" s="57" t="s">
        <v>551</v>
      </c>
      <c r="D7" s="57"/>
      <c r="E7" s="59" t="s">
        <v>552</v>
      </c>
      <c r="F7" s="41" t="s">
        <v>566</v>
      </c>
      <c r="G7" s="60">
        <v>20000</v>
      </c>
      <c r="H7" s="65"/>
    </row>
    <row r="8" spans="1:8" ht="18">
      <c r="A8" s="70">
        <v>7</v>
      </c>
      <c r="B8" s="445" t="s">
        <v>553</v>
      </c>
      <c r="C8" s="445"/>
      <c r="D8" s="445"/>
      <c r="E8" s="59" t="s">
        <v>554</v>
      </c>
      <c r="F8" s="41" t="s">
        <v>566</v>
      </c>
      <c r="G8" s="60">
        <v>20000</v>
      </c>
      <c r="H8" s="65"/>
    </row>
    <row r="9" spans="1:8" ht="18">
      <c r="A9" s="70">
        <v>8</v>
      </c>
      <c r="B9" s="468" t="s">
        <v>564</v>
      </c>
      <c r="C9" s="468"/>
      <c r="D9" s="468"/>
      <c r="E9" s="58" t="s">
        <v>565</v>
      </c>
      <c r="F9" s="42" t="s">
        <v>672</v>
      </c>
      <c r="G9" s="60">
        <v>20000</v>
      </c>
      <c r="H9" s="65"/>
    </row>
    <row r="10" spans="1:8" ht="18">
      <c r="A10" s="70">
        <v>9</v>
      </c>
      <c r="B10" s="438" t="s">
        <v>567</v>
      </c>
      <c r="C10" s="438"/>
      <c r="D10" s="438"/>
      <c r="E10" s="58" t="s">
        <v>927</v>
      </c>
      <c r="F10" s="42" t="s">
        <v>672</v>
      </c>
      <c r="G10" s="60">
        <v>20000</v>
      </c>
      <c r="H10" s="65"/>
    </row>
    <row r="11" spans="1:8" ht="18">
      <c r="A11" s="70">
        <v>10</v>
      </c>
      <c r="B11" s="438" t="s">
        <v>569</v>
      </c>
      <c r="C11" s="438"/>
      <c r="D11" s="438"/>
      <c r="E11" s="58" t="s">
        <v>570</v>
      </c>
      <c r="F11" s="42" t="s">
        <v>672</v>
      </c>
      <c r="G11" s="60">
        <v>20000</v>
      </c>
      <c r="H11" s="65"/>
    </row>
    <row r="12" spans="1:8" ht="18">
      <c r="A12" s="70">
        <v>11</v>
      </c>
      <c r="B12" s="438" t="s">
        <v>988</v>
      </c>
      <c r="C12" s="438"/>
      <c r="D12" s="438"/>
      <c r="E12" s="58" t="s">
        <v>570</v>
      </c>
      <c r="F12" s="42" t="s">
        <v>672</v>
      </c>
      <c r="G12" s="60">
        <v>20000</v>
      </c>
      <c r="H12" s="65"/>
    </row>
    <row r="13" spans="1:8" ht="18">
      <c r="A13" s="70">
        <v>12</v>
      </c>
      <c r="B13" s="438" t="s">
        <v>989</v>
      </c>
      <c r="C13" s="438"/>
      <c r="D13" s="438"/>
      <c r="E13" s="58" t="s">
        <v>288</v>
      </c>
      <c r="F13" s="42" t="s">
        <v>672</v>
      </c>
      <c r="G13" s="60">
        <v>20000</v>
      </c>
      <c r="H13" s="65"/>
    </row>
    <row r="14" spans="1:8" ht="18">
      <c r="A14" s="70">
        <v>13</v>
      </c>
      <c r="B14" s="62" t="s">
        <v>571</v>
      </c>
      <c r="C14" s="62"/>
      <c r="D14" s="58"/>
      <c r="E14" s="58" t="s">
        <v>572</v>
      </c>
      <c r="F14" s="42" t="s">
        <v>672</v>
      </c>
      <c r="G14" s="60">
        <v>20000</v>
      </c>
      <c r="H14" s="65"/>
    </row>
    <row r="15" spans="1:8" ht="18">
      <c r="A15" s="70">
        <v>14</v>
      </c>
      <c r="B15" s="438" t="s">
        <v>578</v>
      </c>
      <c r="C15" s="438"/>
      <c r="D15" s="438"/>
      <c r="E15" s="59" t="s">
        <v>579</v>
      </c>
      <c r="F15" s="41" t="s">
        <v>550</v>
      </c>
      <c r="G15" s="60">
        <v>20000</v>
      </c>
      <c r="H15" s="65"/>
    </row>
    <row r="16" spans="1:8" ht="18">
      <c r="A16" s="70">
        <v>15</v>
      </c>
      <c r="B16" s="438" t="s">
        <v>581</v>
      </c>
      <c r="C16" s="438"/>
      <c r="D16" s="438"/>
      <c r="E16" s="59" t="s">
        <v>582</v>
      </c>
      <c r="F16" s="41" t="s">
        <v>566</v>
      </c>
      <c r="G16" s="60">
        <v>20000</v>
      </c>
      <c r="H16" s="65"/>
    </row>
    <row r="17" spans="1:8" ht="18">
      <c r="A17" s="70">
        <v>16</v>
      </c>
      <c r="B17" s="438" t="s">
        <v>583</v>
      </c>
      <c r="C17" s="438"/>
      <c r="D17" s="438"/>
      <c r="E17" s="59" t="s">
        <v>582</v>
      </c>
      <c r="F17" s="41" t="s">
        <v>566</v>
      </c>
      <c r="G17" s="60">
        <v>20000</v>
      </c>
      <c r="H17" s="65"/>
    </row>
    <row r="18" spans="1:8" ht="18">
      <c r="A18" s="70">
        <v>17</v>
      </c>
      <c r="B18" s="438" t="s">
        <v>584</v>
      </c>
      <c r="C18" s="438"/>
      <c r="D18" s="438"/>
      <c r="E18" s="59" t="s">
        <v>624</v>
      </c>
      <c r="F18" s="41" t="s">
        <v>990</v>
      </c>
      <c r="G18" s="60">
        <v>20000</v>
      </c>
      <c r="H18" s="65"/>
    </row>
    <row r="19" spans="1:8" ht="18">
      <c r="A19" s="70">
        <v>18</v>
      </c>
      <c r="B19" s="438" t="s">
        <v>722</v>
      </c>
      <c r="C19" s="438"/>
      <c r="D19" s="438"/>
      <c r="E19" s="59" t="s">
        <v>723</v>
      </c>
      <c r="F19" s="41" t="s">
        <v>724</v>
      </c>
      <c r="G19" s="60">
        <v>20000</v>
      </c>
      <c r="H19" s="65"/>
    </row>
    <row r="20" spans="1:8" ht="18">
      <c r="A20" s="70">
        <v>19</v>
      </c>
      <c r="B20" s="468" t="s">
        <v>598</v>
      </c>
      <c r="C20" s="468"/>
      <c r="D20" s="468"/>
      <c r="E20" s="59" t="s">
        <v>599</v>
      </c>
      <c r="F20" s="41" t="s">
        <v>724</v>
      </c>
      <c r="G20" s="60">
        <v>20000</v>
      </c>
      <c r="H20" s="65"/>
    </row>
    <row r="21" spans="1:8" ht="18">
      <c r="A21" s="70">
        <v>20</v>
      </c>
      <c r="B21" s="438" t="s">
        <v>991</v>
      </c>
      <c r="C21" s="438"/>
      <c r="D21" s="438"/>
      <c r="E21" s="59" t="s">
        <v>579</v>
      </c>
      <c r="F21" s="41" t="s">
        <v>550</v>
      </c>
      <c r="G21" s="60">
        <v>20000</v>
      </c>
      <c r="H21" s="65"/>
    </row>
    <row r="22" spans="1:8" ht="18">
      <c r="A22" s="70">
        <v>21</v>
      </c>
      <c r="B22" s="438" t="s">
        <v>711</v>
      </c>
      <c r="C22" s="438"/>
      <c r="D22" s="438"/>
      <c r="E22" s="59" t="s">
        <v>579</v>
      </c>
      <c r="F22" s="41" t="s">
        <v>550</v>
      </c>
      <c r="G22" s="60">
        <v>20000</v>
      </c>
      <c r="H22" s="65"/>
    </row>
    <row r="23" spans="1:8" ht="18">
      <c r="A23" s="70">
        <v>22</v>
      </c>
      <c r="B23" s="438" t="s">
        <v>607</v>
      </c>
      <c r="C23" s="438"/>
      <c r="D23" s="438"/>
      <c r="E23" s="59" t="s">
        <v>579</v>
      </c>
      <c r="F23" s="41" t="s">
        <v>550</v>
      </c>
      <c r="G23" s="60">
        <v>20000</v>
      </c>
      <c r="H23" s="65"/>
    </row>
    <row r="24" spans="1:8" ht="18">
      <c r="A24" s="70">
        <v>23</v>
      </c>
      <c r="B24" s="62" t="s">
        <v>610</v>
      </c>
      <c r="C24" s="62"/>
      <c r="D24" s="58"/>
      <c r="E24" s="59" t="s">
        <v>579</v>
      </c>
      <c r="F24" s="41" t="s">
        <v>550</v>
      </c>
      <c r="G24" s="60">
        <v>20000</v>
      </c>
      <c r="H24" s="65"/>
    </row>
    <row r="25" spans="1:8" ht="18">
      <c r="A25" s="70">
        <v>24</v>
      </c>
      <c r="B25" s="445" t="s">
        <v>615</v>
      </c>
      <c r="C25" s="445"/>
      <c r="D25" s="445"/>
      <c r="E25" s="59" t="s">
        <v>560</v>
      </c>
      <c r="F25" s="41" t="s">
        <v>926</v>
      </c>
      <c r="G25" s="60">
        <v>20000</v>
      </c>
      <c r="H25" s="65"/>
    </row>
    <row r="26" spans="1:8" ht="18">
      <c r="A26" s="70">
        <v>25</v>
      </c>
      <c r="B26" s="438" t="s">
        <v>617</v>
      </c>
      <c r="C26" s="438"/>
      <c r="D26" s="438"/>
      <c r="E26" s="59" t="s">
        <v>618</v>
      </c>
      <c r="F26" s="41" t="s">
        <v>566</v>
      </c>
      <c r="G26" s="60">
        <v>20000</v>
      </c>
      <c r="H26" s="65"/>
    </row>
    <row r="27" spans="1:8" ht="18">
      <c r="A27" s="70">
        <v>26</v>
      </c>
      <c r="B27" s="438" t="s">
        <v>619</v>
      </c>
      <c r="C27" s="438"/>
      <c r="D27" s="438"/>
      <c r="E27" s="59" t="s">
        <v>582</v>
      </c>
      <c r="F27" s="41" t="s">
        <v>566</v>
      </c>
      <c r="G27" s="60">
        <v>20000</v>
      </c>
      <c r="H27" s="65"/>
    </row>
    <row r="28" spans="1:8" ht="18">
      <c r="A28" s="70">
        <v>27</v>
      </c>
      <c r="B28" s="438" t="s">
        <v>992</v>
      </c>
      <c r="C28" s="438"/>
      <c r="D28" s="438"/>
      <c r="E28" s="59" t="s">
        <v>582</v>
      </c>
      <c r="F28" s="41" t="s">
        <v>566</v>
      </c>
      <c r="G28" s="60">
        <v>20000</v>
      </c>
      <c r="H28" s="65"/>
    </row>
    <row r="29" spans="1:8" ht="18">
      <c r="A29" s="70">
        <v>28</v>
      </c>
      <c r="B29" s="438" t="s">
        <v>620</v>
      </c>
      <c r="C29" s="438"/>
      <c r="D29" s="438"/>
      <c r="E29" s="59" t="s">
        <v>621</v>
      </c>
      <c r="F29" s="41" t="s">
        <v>566</v>
      </c>
      <c r="G29" s="60">
        <v>20000</v>
      </c>
      <c r="H29" s="65"/>
    </row>
    <row r="30" spans="1:8" ht="18">
      <c r="A30" s="70">
        <v>29</v>
      </c>
      <c r="B30" s="438" t="s">
        <v>993</v>
      </c>
      <c r="C30" s="438"/>
      <c r="D30" s="438"/>
      <c r="E30" s="59" t="s">
        <v>624</v>
      </c>
      <c r="F30" s="41" t="s">
        <v>990</v>
      </c>
      <c r="G30" s="60">
        <v>20000</v>
      </c>
      <c r="H30" s="65"/>
    </row>
    <row r="31" spans="1:8" ht="18">
      <c r="A31" s="70">
        <v>30</v>
      </c>
      <c r="B31" s="438" t="s">
        <v>622</v>
      </c>
      <c r="C31" s="438"/>
      <c r="D31" s="438"/>
      <c r="E31" s="59" t="s">
        <v>624</v>
      </c>
      <c r="F31" s="41" t="s">
        <v>990</v>
      </c>
      <c r="G31" s="60">
        <v>20000</v>
      </c>
      <c r="H31" s="65"/>
    </row>
    <row r="32" spans="1:8" ht="18">
      <c r="A32" s="70">
        <v>31</v>
      </c>
      <c r="B32" s="438" t="s">
        <v>994</v>
      </c>
      <c r="C32" s="438"/>
      <c r="D32" s="438"/>
      <c r="E32" s="59" t="s">
        <v>624</v>
      </c>
      <c r="F32" s="41" t="s">
        <v>990</v>
      </c>
      <c r="G32" s="60">
        <v>20000</v>
      </c>
      <c r="H32" s="65"/>
    </row>
    <row r="33" spans="1:8" ht="18">
      <c r="A33" s="70">
        <v>32</v>
      </c>
      <c r="B33" s="438" t="s">
        <v>727</v>
      </c>
      <c r="C33" s="438"/>
      <c r="D33" s="438"/>
      <c r="E33" s="59" t="s">
        <v>624</v>
      </c>
      <c r="F33" s="41" t="s">
        <v>990</v>
      </c>
      <c r="G33" s="60">
        <v>20000</v>
      </c>
      <c r="H33" s="65"/>
    </row>
    <row r="34" spans="1:8" ht="18">
      <c r="A34" s="70">
        <v>33</v>
      </c>
      <c r="B34" s="438" t="s">
        <v>935</v>
      </c>
      <c r="C34" s="438"/>
      <c r="D34" s="438"/>
      <c r="E34" s="58" t="s">
        <v>936</v>
      </c>
      <c r="F34" s="42" t="s">
        <v>555</v>
      </c>
      <c r="G34" s="60">
        <v>20000</v>
      </c>
      <c r="H34" s="65"/>
    </row>
    <row r="35" spans="1:8" ht="18">
      <c r="A35" s="70">
        <v>34</v>
      </c>
      <c r="B35" s="438" t="s">
        <v>562</v>
      </c>
      <c r="C35" s="438"/>
      <c r="D35" s="438"/>
      <c r="E35" s="58" t="s">
        <v>563</v>
      </c>
      <c r="F35" s="42" t="s">
        <v>566</v>
      </c>
      <c r="G35" s="60">
        <v>20000</v>
      </c>
      <c r="H35" s="65"/>
    </row>
    <row r="36" spans="1:8" ht="18">
      <c r="A36" s="70">
        <v>35</v>
      </c>
      <c r="B36" s="438" t="s">
        <v>643</v>
      </c>
      <c r="C36" s="438"/>
      <c r="D36" s="438"/>
      <c r="E36" s="58" t="s">
        <v>644</v>
      </c>
      <c r="F36" s="42" t="s">
        <v>566</v>
      </c>
      <c r="G36" s="60">
        <v>20000</v>
      </c>
      <c r="H36" s="65"/>
    </row>
    <row r="37" spans="1:8" ht="18">
      <c r="A37" s="70">
        <v>36</v>
      </c>
      <c r="B37" s="438" t="s">
        <v>995</v>
      </c>
      <c r="C37" s="438"/>
      <c r="D37" s="438"/>
      <c r="E37" s="58" t="s">
        <v>644</v>
      </c>
      <c r="F37" s="42" t="s">
        <v>566</v>
      </c>
      <c r="G37" s="60">
        <v>20000</v>
      </c>
      <c r="H37" s="65"/>
    </row>
    <row r="38" spans="1:8" ht="18">
      <c r="A38" s="70">
        <v>37</v>
      </c>
      <c r="B38" s="438" t="s">
        <v>645</v>
      </c>
      <c r="C38" s="438"/>
      <c r="D38" s="438"/>
      <c r="E38" s="58" t="s">
        <v>646</v>
      </c>
      <c r="F38" s="42" t="s">
        <v>566</v>
      </c>
      <c r="G38" s="60">
        <v>20000</v>
      </c>
      <c r="H38" s="65"/>
    </row>
    <row r="39" spans="1:8" ht="18">
      <c r="A39" s="70">
        <v>38</v>
      </c>
      <c r="B39" s="438" t="s">
        <v>996</v>
      </c>
      <c r="C39" s="438"/>
      <c r="D39" s="438"/>
      <c r="E39" s="58" t="s">
        <v>997</v>
      </c>
      <c r="F39" s="42" t="s">
        <v>566</v>
      </c>
      <c r="G39" s="60">
        <v>20000</v>
      </c>
      <c r="H39" s="65"/>
    </row>
    <row r="40" spans="1:8" ht="18">
      <c r="A40" s="70">
        <v>39</v>
      </c>
      <c r="B40" s="438" t="s">
        <v>647</v>
      </c>
      <c r="C40" s="438"/>
      <c r="D40" s="438"/>
      <c r="E40" s="58" t="s">
        <v>648</v>
      </c>
      <c r="F40" s="42" t="s">
        <v>566</v>
      </c>
      <c r="G40" s="60">
        <v>20000</v>
      </c>
      <c r="H40" s="65"/>
    </row>
    <row r="41" spans="1:8" ht="18">
      <c r="A41" s="70">
        <v>40</v>
      </c>
      <c r="B41" s="438" t="s">
        <v>626</v>
      </c>
      <c r="C41" s="438"/>
      <c r="D41" s="438"/>
      <c r="E41" s="58" t="s">
        <v>652</v>
      </c>
      <c r="F41" s="42" t="s">
        <v>672</v>
      </c>
      <c r="G41" s="60">
        <v>20000</v>
      </c>
      <c r="H41" s="65"/>
    </row>
    <row r="42" spans="1:8" ht="18">
      <c r="A42" s="70">
        <v>41</v>
      </c>
      <c r="B42" s="438" t="s">
        <v>732</v>
      </c>
      <c r="C42" s="438"/>
      <c r="D42" s="438"/>
      <c r="E42" s="58" t="s">
        <v>652</v>
      </c>
      <c r="F42" s="42" t="s">
        <v>672</v>
      </c>
      <c r="G42" s="60">
        <v>20000</v>
      </c>
      <c r="H42" s="65"/>
    </row>
    <row r="43" spans="1:8" ht="18">
      <c r="A43" s="70">
        <v>42</v>
      </c>
      <c r="B43" s="438" t="s">
        <v>653</v>
      </c>
      <c r="C43" s="438"/>
      <c r="D43" s="438"/>
      <c r="E43" s="58" t="s">
        <v>652</v>
      </c>
      <c r="F43" s="42" t="s">
        <v>672</v>
      </c>
      <c r="G43" s="60">
        <v>20000</v>
      </c>
      <c r="H43" s="65"/>
    </row>
    <row r="44" spans="1:8" ht="18">
      <c r="A44" s="70">
        <v>43</v>
      </c>
      <c r="B44" s="438" t="s">
        <v>623</v>
      </c>
      <c r="C44" s="438"/>
      <c r="D44" s="438"/>
      <c r="E44" s="58" t="s">
        <v>652</v>
      </c>
      <c r="F44" s="42" t="s">
        <v>672</v>
      </c>
      <c r="G44" s="60">
        <v>20000</v>
      </c>
      <c r="H44" s="65"/>
    </row>
    <row r="45" spans="1:8" ht="18">
      <c r="A45" s="70">
        <v>44</v>
      </c>
      <c r="B45" s="438" t="s">
        <v>998</v>
      </c>
      <c r="C45" s="438"/>
      <c r="D45" s="438"/>
      <c r="E45" s="58" t="s">
        <v>652</v>
      </c>
      <c r="F45" s="42" t="s">
        <v>672</v>
      </c>
      <c r="G45" s="60">
        <v>20000</v>
      </c>
      <c r="H45" s="65"/>
    </row>
    <row r="46" spans="1:8" ht="18">
      <c r="A46" s="70">
        <v>45</v>
      </c>
      <c r="B46" s="468" t="s">
        <v>654</v>
      </c>
      <c r="C46" s="468"/>
      <c r="D46" s="468"/>
      <c r="E46" s="58" t="s">
        <v>655</v>
      </c>
      <c r="F46" s="42" t="s">
        <v>672</v>
      </c>
      <c r="G46" s="60">
        <v>20000</v>
      </c>
      <c r="H46" s="65"/>
    </row>
    <row r="47" spans="1:8" ht="18">
      <c r="A47" s="70">
        <v>46</v>
      </c>
      <c r="B47" s="438" t="s">
        <v>733</v>
      </c>
      <c r="C47" s="438"/>
      <c r="D47" s="438"/>
      <c r="E47" s="58" t="s">
        <v>655</v>
      </c>
      <c r="F47" s="42" t="s">
        <v>672</v>
      </c>
      <c r="G47" s="60">
        <v>20000</v>
      </c>
      <c r="H47" s="65"/>
    </row>
    <row r="48" spans="1:8" ht="18">
      <c r="A48" s="70">
        <v>47</v>
      </c>
      <c r="B48" s="438" t="s">
        <v>657</v>
      </c>
      <c r="C48" s="438"/>
      <c r="D48" s="438"/>
      <c r="E48" s="58" t="s">
        <v>655</v>
      </c>
      <c r="F48" s="42" t="s">
        <v>672</v>
      </c>
      <c r="G48" s="60">
        <v>20000</v>
      </c>
      <c r="H48" s="65"/>
    </row>
    <row r="49" spans="1:8" ht="18">
      <c r="A49" s="70">
        <v>48</v>
      </c>
      <c r="B49" s="438" t="s">
        <v>658</v>
      </c>
      <c r="C49" s="438"/>
      <c r="D49" s="438"/>
      <c r="E49" s="58" t="s">
        <v>999</v>
      </c>
      <c r="F49" s="42" t="s">
        <v>672</v>
      </c>
      <c r="G49" s="60">
        <v>20000</v>
      </c>
      <c r="H49" s="65"/>
    </row>
    <row r="50" spans="1:8" ht="18">
      <c r="A50" s="70">
        <v>49</v>
      </c>
      <c r="B50" s="468" t="s">
        <v>1000</v>
      </c>
      <c r="C50" s="468"/>
      <c r="D50" s="468"/>
      <c r="E50" s="58" t="s">
        <v>1001</v>
      </c>
      <c r="F50" s="42" t="s">
        <v>672</v>
      </c>
      <c r="G50" s="60">
        <v>20000</v>
      </c>
      <c r="H50" s="65"/>
    </row>
    <row r="51" spans="1:8" ht="18">
      <c r="A51" s="70">
        <v>50</v>
      </c>
      <c r="B51" s="438" t="s">
        <v>662</v>
      </c>
      <c r="C51" s="438"/>
      <c r="D51" s="438"/>
      <c r="E51" s="58" t="s">
        <v>938</v>
      </c>
      <c r="F51" s="42" t="s">
        <v>717</v>
      </c>
      <c r="G51" s="60">
        <v>20000</v>
      </c>
      <c r="H51" s="65"/>
    </row>
    <row r="52" spans="1:8" ht="18">
      <c r="A52" s="70">
        <v>51</v>
      </c>
      <c r="B52" s="438" t="s">
        <v>664</v>
      </c>
      <c r="C52" s="438"/>
      <c r="D52" s="438"/>
      <c r="E52" s="59" t="s">
        <v>666</v>
      </c>
      <c r="F52" s="41" t="s">
        <v>717</v>
      </c>
      <c r="G52" s="60">
        <v>20000</v>
      </c>
      <c r="H52" s="65"/>
    </row>
    <row r="53" spans="1:8" ht="18">
      <c r="A53" s="70">
        <v>52</v>
      </c>
      <c r="B53" s="438" t="s">
        <v>736</v>
      </c>
      <c r="C53" s="438"/>
      <c r="D53" s="438"/>
      <c r="E53" s="58" t="s">
        <v>666</v>
      </c>
      <c r="F53" s="42" t="s">
        <v>939</v>
      </c>
      <c r="G53" s="60">
        <v>20000</v>
      </c>
      <c r="H53" s="65"/>
    </row>
    <row r="54" spans="1:8" ht="18">
      <c r="A54" s="70">
        <v>53</v>
      </c>
      <c r="B54" s="438" t="s">
        <v>940</v>
      </c>
      <c r="C54" s="438"/>
      <c r="D54" s="438"/>
      <c r="E54" s="58" t="s">
        <v>666</v>
      </c>
      <c r="F54" s="42" t="s">
        <v>717</v>
      </c>
      <c r="G54" s="60">
        <v>20000</v>
      </c>
      <c r="H54" s="65"/>
    </row>
    <row r="55" spans="1:8" ht="18">
      <c r="A55" s="70">
        <v>54</v>
      </c>
      <c r="B55" s="438" t="s">
        <v>669</v>
      </c>
      <c r="C55" s="438"/>
      <c r="D55" s="438"/>
      <c r="E55" s="58" t="s">
        <v>666</v>
      </c>
      <c r="F55" s="42" t="s">
        <v>717</v>
      </c>
      <c r="G55" s="60">
        <v>20000</v>
      </c>
      <c r="H55" s="65"/>
    </row>
    <row r="56" spans="1:8" ht="18">
      <c r="A56" s="70">
        <v>55</v>
      </c>
      <c r="B56" s="438" t="s">
        <v>627</v>
      </c>
      <c r="C56" s="438"/>
      <c r="D56" s="438"/>
      <c r="E56" s="58" t="s">
        <v>941</v>
      </c>
      <c r="F56" s="42" t="s">
        <v>672</v>
      </c>
      <c r="G56" s="60">
        <v>20000</v>
      </c>
      <c r="H56" s="65"/>
    </row>
    <row r="57" spans="1:8" ht="18">
      <c r="A57" s="70">
        <v>56</v>
      </c>
      <c r="B57" s="442" t="s">
        <v>1002</v>
      </c>
      <c r="C57" s="443"/>
      <c r="D57" s="444"/>
      <c r="E57" s="58" t="s">
        <v>715</v>
      </c>
      <c r="F57" s="42" t="s">
        <v>566</v>
      </c>
      <c r="G57" s="60">
        <v>20000</v>
      </c>
      <c r="H57" s="65"/>
    </row>
    <row r="58" spans="1:8" ht="18">
      <c r="A58" s="70">
        <v>57</v>
      </c>
      <c r="B58" s="438" t="s">
        <v>676</v>
      </c>
      <c r="C58" s="438"/>
      <c r="D58" s="438"/>
      <c r="E58" s="58" t="s">
        <v>687</v>
      </c>
      <c r="F58" s="42" t="s">
        <v>694</v>
      </c>
      <c r="G58" s="60">
        <v>10000</v>
      </c>
      <c r="H58" s="65"/>
    </row>
    <row r="59" spans="1:8" ht="18">
      <c r="A59" s="70">
        <v>58</v>
      </c>
      <c r="B59" s="438" t="s">
        <v>679</v>
      </c>
      <c r="C59" s="438"/>
      <c r="D59" s="438"/>
      <c r="E59" s="58" t="s">
        <v>687</v>
      </c>
      <c r="F59" s="42" t="s">
        <v>694</v>
      </c>
      <c r="G59" s="60">
        <v>10000</v>
      </c>
      <c r="H59" s="65"/>
    </row>
    <row r="60" spans="1:8" ht="18">
      <c r="A60" s="70">
        <v>59</v>
      </c>
      <c r="B60" s="438" t="s">
        <v>680</v>
      </c>
      <c r="C60" s="438"/>
      <c r="D60" s="438"/>
      <c r="E60" s="58" t="s">
        <v>687</v>
      </c>
      <c r="F60" s="42" t="s">
        <v>694</v>
      </c>
      <c r="G60" s="60">
        <v>10000</v>
      </c>
      <c r="H60" s="65"/>
    </row>
    <row r="61" spans="1:8" ht="18">
      <c r="A61" s="70">
        <v>60</v>
      </c>
      <c r="B61" s="438" t="s">
        <v>681</v>
      </c>
      <c r="C61" s="438"/>
      <c r="D61" s="438"/>
      <c r="E61" s="58" t="s">
        <v>687</v>
      </c>
      <c r="F61" s="42" t="s">
        <v>694</v>
      </c>
      <c r="G61" s="60">
        <v>10000</v>
      </c>
      <c r="H61" s="65"/>
    </row>
    <row r="62" spans="1:8" ht="18">
      <c r="A62" s="70">
        <v>61</v>
      </c>
      <c r="B62" s="438" t="s">
        <v>682</v>
      </c>
      <c r="C62" s="438"/>
      <c r="D62" s="438"/>
      <c r="E62" s="58" t="s">
        <v>687</v>
      </c>
      <c r="F62" s="42" t="s">
        <v>694</v>
      </c>
      <c r="G62" s="60">
        <v>10000</v>
      </c>
      <c r="H62" s="65"/>
    </row>
    <row r="63" spans="1:8" ht="18">
      <c r="A63" s="70">
        <v>62</v>
      </c>
      <c r="B63" s="438" t="s">
        <v>683</v>
      </c>
      <c r="C63" s="438"/>
      <c r="D63" s="438"/>
      <c r="E63" s="58" t="s">
        <v>687</v>
      </c>
      <c r="F63" s="42" t="s">
        <v>694</v>
      </c>
      <c r="G63" s="60">
        <v>10000</v>
      </c>
      <c r="H63" s="65"/>
    </row>
    <row r="64" spans="1:8" ht="18">
      <c r="A64" s="70">
        <v>63</v>
      </c>
      <c r="B64" s="438" t="s">
        <v>740</v>
      </c>
      <c r="C64" s="438"/>
      <c r="D64" s="438"/>
      <c r="E64" s="59" t="s">
        <v>687</v>
      </c>
      <c r="F64" s="41" t="s">
        <v>694</v>
      </c>
      <c r="G64" s="60">
        <v>10000</v>
      </c>
      <c r="H64" s="65"/>
    </row>
    <row r="65" spans="1:8" ht="18">
      <c r="A65" s="70">
        <v>64</v>
      </c>
      <c r="B65" s="438" t="s">
        <v>684</v>
      </c>
      <c r="C65" s="438"/>
      <c r="D65" s="438"/>
      <c r="E65" s="58" t="s">
        <v>687</v>
      </c>
      <c r="F65" s="42" t="s">
        <v>1003</v>
      </c>
      <c r="G65" s="60">
        <v>10000</v>
      </c>
      <c r="H65" s="65"/>
    </row>
    <row r="66" spans="1:8" ht="18">
      <c r="A66" s="70">
        <v>65</v>
      </c>
      <c r="B66" s="438" t="s">
        <v>685</v>
      </c>
      <c r="C66" s="438"/>
      <c r="D66" s="438"/>
      <c r="E66" s="58" t="s">
        <v>687</v>
      </c>
      <c r="F66" s="42" t="s">
        <v>1003</v>
      </c>
      <c r="G66" s="60">
        <v>10000</v>
      </c>
      <c r="H66" s="65"/>
    </row>
    <row r="67" spans="1:8" ht="18">
      <c r="A67" s="70">
        <v>66</v>
      </c>
      <c r="B67" s="438" t="s">
        <v>1004</v>
      </c>
      <c r="C67" s="438"/>
      <c r="D67" s="438"/>
      <c r="E67" s="58" t="s">
        <v>687</v>
      </c>
      <c r="F67" s="42" t="s">
        <v>1003</v>
      </c>
      <c r="G67" s="60">
        <v>10000</v>
      </c>
      <c r="H67" s="65"/>
    </row>
    <row r="68" spans="1:8" ht="18">
      <c r="A68" s="70">
        <v>67</v>
      </c>
      <c r="B68" s="438" t="s">
        <v>741</v>
      </c>
      <c r="C68" s="438"/>
      <c r="D68" s="438"/>
      <c r="E68" s="58" t="s">
        <v>687</v>
      </c>
      <c r="F68" s="42" t="s">
        <v>1003</v>
      </c>
      <c r="G68" s="60">
        <v>10000</v>
      </c>
      <c r="H68" s="65"/>
    </row>
    <row r="69" spans="1:8" ht="18">
      <c r="A69" s="70">
        <v>68</v>
      </c>
      <c r="B69" s="438" t="s">
        <v>686</v>
      </c>
      <c r="C69" s="438"/>
      <c r="D69" s="438"/>
      <c r="E69" s="58" t="s">
        <v>687</v>
      </c>
      <c r="F69" s="42" t="s">
        <v>1003</v>
      </c>
      <c r="G69" s="60">
        <v>10000</v>
      </c>
      <c r="H69" s="65"/>
    </row>
    <row r="70" spans="1:8" ht="18">
      <c r="A70" s="70">
        <v>69</v>
      </c>
      <c r="B70" s="438" t="s">
        <v>689</v>
      </c>
      <c r="C70" s="438"/>
      <c r="D70" s="438"/>
      <c r="E70" s="58" t="s">
        <v>687</v>
      </c>
      <c r="F70" s="42" t="s">
        <v>1003</v>
      </c>
      <c r="G70" s="60">
        <v>10000</v>
      </c>
      <c r="H70" s="65"/>
    </row>
    <row r="71" spans="1:8" ht="18">
      <c r="A71" s="70">
        <v>70</v>
      </c>
      <c r="B71" s="438" t="s">
        <v>695</v>
      </c>
      <c r="C71" s="438"/>
      <c r="D71" s="438"/>
      <c r="E71" s="58" t="s">
        <v>687</v>
      </c>
      <c r="F71" s="42" t="s">
        <v>1003</v>
      </c>
      <c r="G71" s="60">
        <v>10000</v>
      </c>
      <c r="H71" s="65"/>
    </row>
    <row r="72" spans="1:8" ht="18">
      <c r="A72" s="70">
        <v>71</v>
      </c>
      <c r="B72" s="438" t="s">
        <v>690</v>
      </c>
      <c r="C72" s="438"/>
      <c r="D72" s="438"/>
      <c r="E72" s="58" t="s">
        <v>687</v>
      </c>
      <c r="F72" s="42" t="s">
        <v>1003</v>
      </c>
      <c r="G72" s="60">
        <v>10000</v>
      </c>
      <c r="H72" s="65"/>
    </row>
    <row r="73" spans="1:8" ht="18">
      <c r="A73" s="70">
        <v>72</v>
      </c>
      <c r="B73" s="58" t="s">
        <v>692</v>
      </c>
      <c r="C73" s="58"/>
      <c r="D73" s="58"/>
      <c r="E73" s="58" t="s">
        <v>687</v>
      </c>
      <c r="F73" s="42" t="s">
        <v>1003</v>
      </c>
      <c r="G73" s="60">
        <v>10000</v>
      </c>
      <c r="H73" s="65"/>
    </row>
    <row r="74" spans="1:8" ht="18">
      <c r="A74" s="70">
        <v>73</v>
      </c>
      <c r="B74" s="445" t="s">
        <v>670</v>
      </c>
      <c r="C74" s="445"/>
      <c r="D74" s="445"/>
      <c r="E74" s="58" t="s">
        <v>752</v>
      </c>
      <c r="F74" s="42" t="s">
        <v>1005</v>
      </c>
      <c r="G74" s="60">
        <v>10000</v>
      </c>
      <c r="H74" s="65"/>
    </row>
    <row r="75" spans="1:8" ht="18">
      <c r="A75" s="70">
        <v>74</v>
      </c>
      <c r="B75" s="445" t="s">
        <v>753</v>
      </c>
      <c r="C75" s="445"/>
      <c r="D75" s="445"/>
      <c r="E75" s="58" t="s">
        <v>752</v>
      </c>
      <c r="F75" s="42" t="s">
        <v>1005</v>
      </c>
      <c r="G75" s="60">
        <v>10000</v>
      </c>
      <c r="H75" s="65"/>
    </row>
    <row r="76" spans="1:8" ht="18">
      <c r="A76" s="70">
        <v>75</v>
      </c>
      <c r="B76" s="445" t="s">
        <v>944</v>
      </c>
      <c r="C76" s="445"/>
      <c r="D76" s="445"/>
      <c r="E76" s="58" t="s">
        <v>945</v>
      </c>
      <c r="F76" s="42" t="s">
        <v>1005</v>
      </c>
      <c r="G76" s="60">
        <v>10000</v>
      </c>
      <c r="H76" s="65"/>
    </row>
    <row r="77" spans="1:8" ht="18">
      <c r="A77" s="70">
        <v>76</v>
      </c>
      <c r="B77" s="445" t="s">
        <v>758</v>
      </c>
      <c r="C77" s="445"/>
      <c r="D77" s="445"/>
      <c r="E77" s="58" t="s">
        <v>945</v>
      </c>
      <c r="F77" s="42" t="s">
        <v>1005</v>
      </c>
      <c r="G77" s="60">
        <v>10000</v>
      </c>
      <c r="H77" s="65"/>
    </row>
    <row r="78" spans="1:8" ht="18">
      <c r="A78" s="70">
        <v>77</v>
      </c>
      <c r="B78" s="445" t="s">
        <v>754</v>
      </c>
      <c r="C78" s="445"/>
      <c r="D78" s="445"/>
      <c r="E78" s="58" t="s">
        <v>752</v>
      </c>
      <c r="F78" s="60">
        <v>0</v>
      </c>
      <c r="G78" s="60">
        <v>10000</v>
      </c>
      <c r="H78" s="65"/>
    </row>
    <row r="79" spans="1:8" ht="18">
      <c r="A79" s="70">
        <v>78</v>
      </c>
      <c r="B79" s="445" t="s">
        <v>1006</v>
      </c>
      <c r="C79" s="445"/>
      <c r="D79" s="445"/>
      <c r="E79" s="58" t="s">
        <v>945</v>
      </c>
      <c r="F79" s="60">
        <v>0</v>
      </c>
      <c r="G79" s="60">
        <v>10000</v>
      </c>
      <c r="H79" s="65"/>
    </row>
    <row r="80" spans="1:8" ht="18">
      <c r="A80" s="70">
        <v>79</v>
      </c>
      <c r="B80" s="445" t="s">
        <v>755</v>
      </c>
      <c r="C80" s="445"/>
      <c r="D80" s="445"/>
      <c r="E80" s="58" t="s">
        <v>752</v>
      </c>
      <c r="F80" s="42" t="s">
        <v>1005</v>
      </c>
      <c r="G80" s="60">
        <v>10000</v>
      </c>
      <c r="H80" s="65"/>
    </row>
    <row r="81" spans="1:8" ht="18">
      <c r="A81" s="70">
        <v>80</v>
      </c>
      <c r="B81" s="67" t="s">
        <v>1007</v>
      </c>
      <c r="C81" s="68"/>
      <c r="D81" s="57"/>
      <c r="E81" s="58" t="s">
        <v>1008</v>
      </c>
      <c r="F81" s="42"/>
      <c r="G81" s="60">
        <v>10000</v>
      </c>
      <c r="H81" s="65"/>
    </row>
    <row r="82" spans="1:8" ht="18">
      <c r="A82" s="70">
        <v>81</v>
      </c>
      <c r="B82" s="67" t="s">
        <v>1009</v>
      </c>
      <c r="C82" s="68"/>
      <c r="D82" s="57"/>
      <c r="E82" s="58" t="s">
        <v>1008</v>
      </c>
      <c r="F82" s="42"/>
      <c r="G82" s="60">
        <v>10000</v>
      </c>
      <c r="H82" s="65"/>
    </row>
    <row r="83" spans="1:8" ht="18">
      <c r="A83" s="70">
        <v>82</v>
      </c>
      <c r="B83" s="67" t="s">
        <v>691</v>
      </c>
      <c r="C83" s="68"/>
      <c r="D83" s="57"/>
      <c r="E83" s="58" t="s">
        <v>687</v>
      </c>
      <c r="F83" s="42"/>
      <c r="G83" s="60">
        <v>10000</v>
      </c>
      <c r="H83" s="65"/>
    </row>
    <row r="84" spans="1:8" ht="18">
      <c r="A84" s="70">
        <v>83</v>
      </c>
      <c r="B84" s="446" t="s">
        <v>1010</v>
      </c>
      <c r="C84" s="447"/>
      <c r="D84" s="448"/>
      <c r="E84" s="58" t="s">
        <v>945</v>
      </c>
      <c r="F84" s="42"/>
      <c r="G84" s="60">
        <v>10000</v>
      </c>
      <c r="H84" s="65"/>
    </row>
    <row r="85" spans="1:8" ht="35.25" customHeight="1">
      <c r="A85" s="23"/>
      <c r="B85" s="449"/>
      <c r="C85" s="450"/>
      <c r="D85" s="451"/>
      <c r="E85" s="65"/>
      <c r="F85" s="65"/>
      <c r="G85" s="66">
        <f>SUM(G2:G84)</f>
        <v>1390000</v>
      </c>
      <c r="H85" s="65"/>
    </row>
    <row r="86" spans="1:8" ht="18">
      <c r="A86" s="70"/>
    </row>
  </sheetData>
  <mergeCells count="78">
    <mergeCell ref="B84:D84"/>
    <mergeCell ref="B57:D57"/>
    <mergeCell ref="B85:D85"/>
    <mergeCell ref="B1:D1"/>
    <mergeCell ref="B13:D13"/>
    <mergeCell ref="B2:D2"/>
    <mergeCell ref="B3:D3"/>
    <mergeCell ref="B4:D4"/>
    <mergeCell ref="B5:D5"/>
    <mergeCell ref="B6:D6"/>
    <mergeCell ref="B15:D15"/>
    <mergeCell ref="B16:D16"/>
    <mergeCell ref="B17:D17"/>
    <mergeCell ref="B22:D22"/>
    <mergeCell ref="B25:D25"/>
    <mergeCell ref="B8:D8"/>
    <mergeCell ref="B9:D9"/>
    <mergeCell ref="B10:D10"/>
    <mergeCell ref="B11:D11"/>
    <mergeCell ref="B12:D12"/>
    <mergeCell ref="B34:D34"/>
    <mergeCell ref="B18:D18"/>
    <mergeCell ref="B19:D19"/>
    <mergeCell ref="B35:D35"/>
    <mergeCell ref="B36:D36"/>
    <mergeCell ref="B32:D32"/>
    <mergeCell ref="B33:D33"/>
    <mergeCell ref="B20:D20"/>
    <mergeCell ref="B21:D21"/>
    <mergeCell ref="B23:D23"/>
    <mergeCell ref="B27:D27"/>
    <mergeCell ref="B30:D30"/>
    <mergeCell ref="B31:D31"/>
    <mergeCell ref="B26:D26"/>
    <mergeCell ref="B28:D28"/>
    <mergeCell ref="B29:D29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8:D58"/>
    <mergeCell ref="B59:D59"/>
    <mergeCell ref="B60:D60"/>
    <mergeCell ref="B61:D61"/>
    <mergeCell ref="B62:D62"/>
    <mergeCell ref="B63:D63"/>
    <mergeCell ref="B64:D64"/>
    <mergeCell ref="B74:D74"/>
    <mergeCell ref="B75:D75"/>
    <mergeCell ref="B76:D76"/>
    <mergeCell ref="B65:D65"/>
    <mergeCell ref="B66:D66"/>
    <mergeCell ref="B67:D67"/>
    <mergeCell ref="B68:D68"/>
    <mergeCell ref="B71:D71"/>
    <mergeCell ref="B72:D72"/>
    <mergeCell ref="B79:D79"/>
    <mergeCell ref="B80:D80"/>
    <mergeCell ref="B69:D69"/>
    <mergeCell ref="B70:D70"/>
    <mergeCell ref="B77:D77"/>
    <mergeCell ref="B78:D78"/>
  </mergeCells>
  <pageMargins left="0.18" right="0.16" top="0.75" bottom="0.75" header="0.3" footer="0.3"/>
  <pageSetup scale="80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12"/>
  <sheetViews>
    <sheetView workbookViewId="0"/>
  </sheetViews>
  <sheetFormatPr defaultRowHeight="12.75"/>
  <cols>
    <col min="1" max="1" width="6" customWidth="1"/>
    <col min="2" max="2" width="32.85546875" customWidth="1"/>
    <col min="3" max="3" width="37.85546875" customWidth="1"/>
    <col min="4" max="4" width="10.140625" customWidth="1"/>
    <col min="5" max="5" width="17.140625" customWidth="1"/>
    <col min="6" max="6" width="24.140625" customWidth="1"/>
  </cols>
  <sheetData>
    <row r="1" spans="1:6" ht="25.5" customHeight="1">
      <c r="A1" s="452" t="s">
        <v>1011</v>
      </c>
      <c r="B1" s="452"/>
      <c r="C1" s="452"/>
      <c r="D1" s="452"/>
      <c r="E1" s="452"/>
      <c r="F1" s="452"/>
    </row>
    <row r="2" spans="1:6" ht="18">
      <c r="A2" s="69" t="s">
        <v>1</v>
      </c>
      <c r="B2" s="71"/>
      <c r="C2" s="71" t="s">
        <v>3</v>
      </c>
      <c r="D2" s="71" t="s">
        <v>967</v>
      </c>
      <c r="E2" s="72" t="s">
        <v>117</v>
      </c>
      <c r="F2" s="33" t="s">
        <v>968</v>
      </c>
    </row>
    <row r="3" spans="1:6" ht="18">
      <c r="A3" s="73">
        <v>1</v>
      </c>
      <c r="B3" s="62" t="s">
        <v>1012</v>
      </c>
      <c r="C3" s="58" t="s">
        <v>1013</v>
      </c>
      <c r="D3" s="42" t="s">
        <v>531</v>
      </c>
      <c r="E3" s="60">
        <v>100000</v>
      </c>
      <c r="F3" s="65"/>
    </row>
    <row r="4" spans="1:6" ht="18">
      <c r="A4" s="73">
        <v>2</v>
      </c>
      <c r="B4" s="62" t="s">
        <v>597</v>
      </c>
      <c r="C4" s="58" t="s">
        <v>1014</v>
      </c>
      <c r="D4" s="42" t="s">
        <v>542</v>
      </c>
      <c r="E4" s="60">
        <v>80000</v>
      </c>
      <c r="F4" s="65"/>
    </row>
    <row r="5" spans="1:6" ht="18">
      <c r="A5" s="73">
        <v>3</v>
      </c>
      <c r="B5" s="62" t="s">
        <v>1015</v>
      </c>
      <c r="C5" s="58" t="s">
        <v>1016</v>
      </c>
      <c r="D5" s="42" t="s">
        <v>542</v>
      </c>
      <c r="E5" s="60">
        <v>80000</v>
      </c>
      <c r="F5" s="65"/>
    </row>
    <row r="6" spans="1:6" ht="18">
      <c r="A6" s="73">
        <v>4</v>
      </c>
      <c r="B6" s="62" t="s">
        <v>1017</v>
      </c>
      <c r="C6" s="58" t="s">
        <v>563</v>
      </c>
      <c r="D6" s="42" t="s">
        <v>566</v>
      </c>
      <c r="E6" s="60">
        <v>20000</v>
      </c>
      <c r="F6" s="65"/>
    </row>
    <row r="7" spans="1:6" ht="18">
      <c r="A7" s="73">
        <v>5</v>
      </c>
      <c r="B7" s="62" t="s">
        <v>1018</v>
      </c>
      <c r="C7" s="58" t="s">
        <v>661</v>
      </c>
      <c r="D7" s="42" t="s">
        <v>566</v>
      </c>
      <c r="E7" s="60">
        <v>20000</v>
      </c>
      <c r="F7" s="65"/>
    </row>
    <row r="8" spans="1:6" ht="18">
      <c r="A8" s="73">
        <v>6</v>
      </c>
      <c r="B8" s="62" t="s">
        <v>1019</v>
      </c>
      <c r="C8" s="58" t="s">
        <v>1020</v>
      </c>
      <c r="D8" s="42" t="s">
        <v>566</v>
      </c>
      <c r="E8" s="60">
        <v>20000</v>
      </c>
      <c r="F8" s="65"/>
    </row>
    <row r="9" spans="1:6" ht="18">
      <c r="A9" s="73">
        <v>7</v>
      </c>
      <c r="B9" s="62" t="s">
        <v>1021</v>
      </c>
      <c r="C9" s="58" t="s">
        <v>1022</v>
      </c>
      <c r="D9" s="42" t="s">
        <v>566</v>
      </c>
      <c r="E9" s="60">
        <v>20000</v>
      </c>
      <c r="F9" s="65"/>
    </row>
    <row r="10" spans="1:6" ht="18">
      <c r="A10" s="73">
        <v>8</v>
      </c>
      <c r="B10" s="62" t="s">
        <v>862</v>
      </c>
      <c r="C10" s="58" t="s">
        <v>1023</v>
      </c>
      <c r="D10" s="42" t="s">
        <v>550</v>
      </c>
      <c r="E10" s="60">
        <v>20000</v>
      </c>
      <c r="F10" s="65"/>
    </row>
    <row r="11" spans="1:6" ht="18" customHeight="1">
      <c r="A11" s="73">
        <v>9</v>
      </c>
      <c r="B11" s="62" t="s">
        <v>1024</v>
      </c>
      <c r="C11" s="58" t="s">
        <v>1025</v>
      </c>
      <c r="D11" s="42" t="s">
        <v>566</v>
      </c>
      <c r="E11" s="60">
        <v>20000</v>
      </c>
      <c r="F11" s="65"/>
    </row>
    <row r="12" spans="1:6" ht="21" customHeight="1">
      <c r="A12" s="74"/>
      <c r="B12" s="44" t="s">
        <v>84</v>
      </c>
      <c r="C12" s="74"/>
      <c r="D12" s="74"/>
      <c r="E12" s="75">
        <f>SUM(E3:E11)</f>
        <v>380000</v>
      </c>
      <c r="F12" s="74"/>
    </row>
  </sheetData>
  <mergeCells count="1">
    <mergeCell ref="A1:F1"/>
  </mergeCells>
  <pageMargins left="0.28999999999999998" right="0.25" top="0.75" bottom="0.75" header="0.3" footer="0.3"/>
  <pageSetup scale="80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134"/>
  <sheetViews>
    <sheetView topLeftCell="A122" workbookViewId="0"/>
  </sheetViews>
  <sheetFormatPr defaultRowHeight="12.75"/>
  <cols>
    <col min="1" max="1" width="12.42578125" bestFit="1" customWidth="1"/>
    <col min="4" max="4" width="34.140625" customWidth="1"/>
    <col min="5" max="5" width="36.42578125" customWidth="1"/>
    <col min="6" max="6" width="16.140625" customWidth="1"/>
    <col min="7" max="7" width="28.140625" customWidth="1"/>
    <col min="8" max="8" width="31.140625" customWidth="1"/>
  </cols>
  <sheetData>
    <row r="1" spans="1:7">
      <c r="B1" s="453" t="s">
        <v>1026</v>
      </c>
      <c r="C1" s="453"/>
      <c r="D1" s="453"/>
      <c r="E1" s="453"/>
      <c r="F1" s="453"/>
      <c r="G1" s="453"/>
    </row>
    <row r="2" spans="1:7">
      <c r="B2" s="454"/>
      <c r="C2" s="454"/>
      <c r="D2" s="454"/>
      <c r="E2" s="454"/>
      <c r="F2" s="454"/>
      <c r="G2" s="454"/>
    </row>
    <row r="3" spans="1:7" ht="18.75">
      <c r="A3" s="95"/>
      <c r="B3" s="380"/>
      <c r="C3" s="380"/>
      <c r="D3" s="380"/>
      <c r="E3" s="76" t="s">
        <v>3</v>
      </c>
      <c r="F3" s="76" t="s">
        <v>919</v>
      </c>
      <c r="G3" s="2" t="s">
        <v>883</v>
      </c>
    </row>
    <row r="4" spans="1:7" ht="18.75">
      <c r="A4" s="95"/>
      <c r="B4" s="458"/>
      <c r="C4" s="458"/>
      <c r="D4" s="458"/>
      <c r="E4" s="76"/>
      <c r="F4" s="76" t="s">
        <v>920</v>
      </c>
      <c r="G4" s="2" t="s">
        <v>892</v>
      </c>
    </row>
    <row r="5" spans="1:7" ht="18.75">
      <c r="A5" s="95"/>
      <c r="B5" s="459" t="s">
        <v>525</v>
      </c>
      <c r="C5" s="459"/>
      <c r="D5" s="459"/>
      <c r="E5" s="77"/>
      <c r="F5" s="77"/>
      <c r="G5" s="56" t="s">
        <v>13</v>
      </c>
    </row>
    <row r="6" spans="1:7" ht="18.75">
      <c r="A6" s="95">
        <v>1</v>
      </c>
      <c r="B6" s="391" t="s">
        <v>526</v>
      </c>
      <c r="C6" s="391"/>
      <c r="D6" s="391"/>
      <c r="E6" s="48" t="s">
        <v>527</v>
      </c>
      <c r="F6" s="48" t="s">
        <v>528</v>
      </c>
      <c r="G6" s="50">
        <v>400000</v>
      </c>
    </row>
    <row r="7" spans="1:7" ht="18.75">
      <c r="A7" s="95">
        <v>2</v>
      </c>
      <c r="B7" s="391" t="s">
        <v>710</v>
      </c>
      <c r="C7" s="391"/>
      <c r="D7" s="391"/>
      <c r="E7" s="48" t="s">
        <v>533</v>
      </c>
      <c r="F7" s="49" t="s">
        <v>531</v>
      </c>
      <c r="G7" s="52">
        <v>200000</v>
      </c>
    </row>
    <row r="8" spans="1:7" ht="18.75">
      <c r="A8" s="95">
        <v>3</v>
      </c>
      <c r="B8" s="391" t="s">
        <v>922</v>
      </c>
      <c r="C8" s="391"/>
      <c r="D8" s="391"/>
      <c r="E8" s="48" t="s">
        <v>970</v>
      </c>
      <c r="F8" s="49" t="s">
        <v>531</v>
      </c>
      <c r="G8" s="52">
        <v>200000</v>
      </c>
    </row>
    <row r="9" spans="1:7" ht="18.75">
      <c r="A9" s="95">
        <v>4</v>
      </c>
      <c r="B9" s="409" t="s">
        <v>971</v>
      </c>
      <c r="C9" s="410"/>
      <c r="D9" s="48"/>
      <c r="E9" s="48" t="s">
        <v>923</v>
      </c>
      <c r="F9" s="49" t="s">
        <v>1027</v>
      </c>
      <c r="G9" s="52">
        <v>200000</v>
      </c>
    </row>
    <row r="10" spans="1:7" ht="18.75">
      <c r="A10" s="95">
        <v>5</v>
      </c>
      <c r="B10" s="389" t="s">
        <v>924</v>
      </c>
      <c r="C10" s="389"/>
      <c r="D10" s="389"/>
      <c r="E10" s="46" t="s">
        <v>972</v>
      </c>
      <c r="F10" s="51" t="s">
        <v>542</v>
      </c>
      <c r="G10" s="52">
        <v>100000</v>
      </c>
    </row>
    <row r="11" spans="1:7" ht="18.75">
      <c r="A11" s="95">
        <v>6</v>
      </c>
      <c r="B11" s="398" t="s">
        <v>973</v>
      </c>
      <c r="C11" s="456"/>
      <c r="D11" s="399"/>
      <c r="E11" s="46" t="s">
        <v>974</v>
      </c>
      <c r="F11" s="51" t="s">
        <v>542</v>
      </c>
      <c r="G11" s="52">
        <v>100000</v>
      </c>
    </row>
    <row r="12" spans="1:7" ht="18.75">
      <c r="A12" s="95">
        <v>7</v>
      </c>
      <c r="B12" s="469" t="s">
        <v>534</v>
      </c>
      <c r="C12" s="470"/>
      <c r="D12" s="471"/>
      <c r="E12" s="48" t="s">
        <v>535</v>
      </c>
      <c r="F12" s="49" t="s">
        <v>542</v>
      </c>
      <c r="G12" s="52">
        <v>100000</v>
      </c>
    </row>
    <row r="13" spans="1:7" ht="18.75">
      <c r="A13" s="95">
        <v>8</v>
      </c>
      <c r="B13" s="409" t="s">
        <v>730</v>
      </c>
      <c r="C13" s="457"/>
      <c r="D13" s="410"/>
      <c r="E13" s="48" t="s">
        <v>978</v>
      </c>
      <c r="F13" s="49" t="s">
        <v>542</v>
      </c>
      <c r="G13" s="52">
        <v>100000</v>
      </c>
    </row>
    <row r="14" spans="1:7" ht="18.75">
      <c r="A14" s="95">
        <v>9</v>
      </c>
      <c r="B14" s="409" t="s">
        <v>979</v>
      </c>
      <c r="C14" s="457"/>
      <c r="D14" s="410"/>
      <c r="E14" s="48" t="s">
        <v>933</v>
      </c>
      <c r="F14" s="49" t="s">
        <v>980</v>
      </c>
      <c r="G14" s="52">
        <v>100000</v>
      </c>
    </row>
    <row r="15" spans="1:7" ht="18.75">
      <c r="A15" s="95">
        <v>10</v>
      </c>
      <c r="B15" s="398" t="s">
        <v>540</v>
      </c>
      <c r="C15" s="456"/>
      <c r="D15" s="399"/>
      <c r="E15" s="46" t="s">
        <v>541</v>
      </c>
      <c r="F15" s="51" t="s">
        <v>550</v>
      </c>
      <c r="G15" s="52">
        <v>80000</v>
      </c>
    </row>
    <row r="16" spans="1:7" ht="18.75">
      <c r="A16" s="95">
        <v>11</v>
      </c>
      <c r="B16" s="389" t="s">
        <v>984</v>
      </c>
      <c r="C16" s="389"/>
      <c r="D16" s="389"/>
      <c r="E16" s="46" t="s">
        <v>554</v>
      </c>
      <c r="F16" s="55" t="s">
        <v>550</v>
      </c>
      <c r="G16" s="52">
        <v>80000</v>
      </c>
    </row>
    <row r="17" spans="1:7" ht="18.75">
      <c r="A17" s="95">
        <v>12</v>
      </c>
      <c r="B17" s="398" t="s">
        <v>985</v>
      </c>
      <c r="C17" s="456"/>
      <c r="D17" s="399"/>
      <c r="E17" s="46" t="s">
        <v>986</v>
      </c>
      <c r="F17" s="55" t="s">
        <v>566</v>
      </c>
      <c r="G17" s="52">
        <v>50000</v>
      </c>
    </row>
    <row r="18" spans="1:7" ht="18.75">
      <c r="A18" s="95">
        <v>13</v>
      </c>
      <c r="B18" s="398" t="s">
        <v>1028</v>
      </c>
      <c r="C18" s="456"/>
      <c r="D18" s="399"/>
      <c r="E18" s="46" t="s">
        <v>987</v>
      </c>
      <c r="F18" s="55" t="s">
        <v>566</v>
      </c>
      <c r="G18" s="52">
        <v>50000</v>
      </c>
    </row>
    <row r="19" spans="1:7" ht="18.75">
      <c r="A19" s="95">
        <v>14</v>
      </c>
      <c r="B19" s="398" t="s">
        <v>713</v>
      </c>
      <c r="C19" s="456"/>
      <c r="D19" s="399"/>
      <c r="E19" s="46" t="s">
        <v>714</v>
      </c>
      <c r="F19" s="55" t="s">
        <v>566</v>
      </c>
      <c r="G19" s="52">
        <v>50000</v>
      </c>
    </row>
    <row r="20" spans="1:7" ht="18.75">
      <c r="A20" s="95">
        <v>15</v>
      </c>
      <c r="B20" s="78" t="s">
        <v>551</v>
      </c>
      <c r="C20" s="79" t="s">
        <v>551</v>
      </c>
      <c r="D20" s="80"/>
      <c r="E20" s="46" t="s">
        <v>552</v>
      </c>
      <c r="F20" s="55" t="s">
        <v>566</v>
      </c>
      <c r="G20" s="52">
        <v>50000</v>
      </c>
    </row>
    <row r="21" spans="1:7" ht="18.75">
      <c r="A21" s="95">
        <v>16</v>
      </c>
      <c r="B21" s="78" t="s">
        <v>553</v>
      </c>
      <c r="C21" s="79" t="s">
        <v>553</v>
      </c>
      <c r="D21" s="80"/>
      <c r="E21" s="46" t="s">
        <v>554</v>
      </c>
      <c r="F21" s="55" t="s">
        <v>566</v>
      </c>
      <c r="G21" s="52">
        <v>50000</v>
      </c>
    </row>
    <row r="22" spans="1:7" ht="18.75">
      <c r="A22" s="95">
        <v>17</v>
      </c>
      <c r="B22" s="398" t="s">
        <v>556</v>
      </c>
      <c r="C22" s="456"/>
      <c r="D22" s="399"/>
      <c r="E22" s="46" t="s">
        <v>715</v>
      </c>
      <c r="F22" s="55" t="s">
        <v>566</v>
      </c>
      <c r="G22" s="52">
        <v>50000</v>
      </c>
    </row>
    <row r="23" spans="1:7" ht="18.75">
      <c r="A23" s="95">
        <v>18</v>
      </c>
      <c r="B23" s="469" t="s">
        <v>564</v>
      </c>
      <c r="C23" s="470"/>
      <c r="D23" s="471"/>
      <c r="E23" s="48" t="s">
        <v>565</v>
      </c>
      <c r="F23" s="49" t="s">
        <v>672</v>
      </c>
      <c r="G23" s="52">
        <v>50000</v>
      </c>
    </row>
    <row r="24" spans="1:7" ht="18.75">
      <c r="A24" s="95">
        <v>19</v>
      </c>
      <c r="B24" s="391" t="s">
        <v>567</v>
      </c>
      <c r="C24" s="391"/>
      <c r="D24" s="391"/>
      <c r="E24" s="48" t="s">
        <v>927</v>
      </c>
      <c r="F24" s="49" t="s">
        <v>672</v>
      </c>
      <c r="G24" s="52">
        <v>50000</v>
      </c>
    </row>
    <row r="25" spans="1:7" ht="18.75">
      <c r="A25" s="95">
        <v>20</v>
      </c>
      <c r="B25" s="409" t="s">
        <v>569</v>
      </c>
      <c r="C25" s="457"/>
      <c r="D25" s="410"/>
      <c r="E25" s="48" t="s">
        <v>570</v>
      </c>
      <c r="F25" s="49" t="s">
        <v>672</v>
      </c>
      <c r="G25" s="52">
        <v>50000</v>
      </c>
    </row>
    <row r="26" spans="1:7" ht="18.75">
      <c r="A26" s="95">
        <v>21</v>
      </c>
      <c r="B26" s="409" t="s">
        <v>988</v>
      </c>
      <c r="C26" s="457"/>
      <c r="D26" s="410"/>
      <c r="E26" s="48" t="s">
        <v>570</v>
      </c>
      <c r="F26" s="49" t="s">
        <v>672</v>
      </c>
      <c r="G26" s="52">
        <v>50000</v>
      </c>
    </row>
    <row r="27" spans="1:7" ht="18.75">
      <c r="A27" s="95">
        <v>22</v>
      </c>
      <c r="B27" s="409" t="s">
        <v>989</v>
      </c>
      <c r="C27" s="457"/>
      <c r="D27" s="410"/>
      <c r="E27" s="48" t="s">
        <v>288</v>
      </c>
      <c r="F27" s="49" t="s">
        <v>672</v>
      </c>
      <c r="G27" s="52">
        <v>50000</v>
      </c>
    </row>
    <row r="28" spans="1:7" ht="18.75">
      <c r="A28" s="95">
        <v>23</v>
      </c>
      <c r="B28" s="81" t="s">
        <v>571</v>
      </c>
      <c r="C28" s="82"/>
      <c r="D28" s="83"/>
      <c r="E28" s="48" t="s">
        <v>572</v>
      </c>
      <c r="F28" s="49" t="s">
        <v>672</v>
      </c>
      <c r="G28" s="52">
        <v>50000</v>
      </c>
    </row>
    <row r="29" spans="1:7" ht="18.75">
      <c r="A29" s="95"/>
      <c r="B29" s="472" t="s">
        <v>84</v>
      </c>
      <c r="C29" s="472"/>
      <c r="D29" s="472"/>
      <c r="E29" s="84">
        <v>23</v>
      </c>
      <c r="F29" s="55"/>
      <c r="G29" s="99">
        <f>SUM(G6:G28)</f>
        <v>2260000</v>
      </c>
    </row>
    <row r="30" spans="1:7" ht="18.75">
      <c r="B30" s="460" t="s">
        <v>574</v>
      </c>
      <c r="C30" s="460"/>
      <c r="D30" s="460"/>
      <c r="E30" s="85"/>
      <c r="F30" s="86"/>
      <c r="G30" s="87"/>
    </row>
    <row r="31" spans="1:7" ht="18.75">
      <c r="A31" s="96">
        <v>1</v>
      </c>
      <c r="B31" s="409" t="s">
        <v>718</v>
      </c>
      <c r="C31" s="457"/>
      <c r="D31" s="410"/>
      <c r="E31" s="48" t="s">
        <v>719</v>
      </c>
      <c r="F31" s="49" t="s">
        <v>589</v>
      </c>
      <c r="G31" s="50">
        <v>300000</v>
      </c>
    </row>
    <row r="32" spans="1:7" ht="18.75">
      <c r="A32" s="96">
        <v>2</v>
      </c>
      <c r="B32" s="409" t="s">
        <v>575</v>
      </c>
      <c r="C32" s="457"/>
      <c r="D32" s="410"/>
      <c r="E32" s="48" t="s">
        <v>576</v>
      </c>
      <c r="F32" s="49" t="s">
        <v>531</v>
      </c>
      <c r="G32" s="52">
        <v>200000</v>
      </c>
    </row>
    <row r="33" spans="1:7" ht="18.75">
      <c r="A33" s="96">
        <v>3</v>
      </c>
      <c r="B33" s="409" t="s">
        <v>578</v>
      </c>
      <c r="C33" s="457"/>
      <c r="D33" s="410"/>
      <c r="E33" s="46" t="s">
        <v>579</v>
      </c>
      <c r="F33" s="55" t="s">
        <v>550</v>
      </c>
      <c r="G33" s="52">
        <v>80000</v>
      </c>
    </row>
    <row r="34" spans="1:7" ht="18.75">
      <c r="A34" s="96">
        <v>4</v>
      </c>
      <c r="B34" s="409" t="s">
        <v>581</v>
      </c>
      <c r="C34" s="457"/>
      <c r="D34" s="410"/>
      <c r="E34" s="46" t="s">
        <v>582</v>
      </c>
      <c r="F34" s="55" t="s">
        <v>566</v>
      </c>
      <c r="G34" s="52">
        <v>50000</v>
      </c>
    </row>
    <row r="35" spans="1:7" ht="18.75">
      <c r="A35" s="96">
        <v>5</v>
      </c>
      <c r="B35" s="88" t="s">
        <v>583</v>
      </c>
      <c r="C35" s="89" t="s">
        <v>583</v>
      </c>
      <c r="D35" s="83"/>
      <c r="E35" s="46" t="s">
        <v>582</v>
      </c>
      <c r="F35" s="55" t="s">
        <v>566</v>
      </c>
      <c r="G35" s="52">
        <v>50000</v>
      </c>
    </row>
    <row r="36" spans="1:7" ht="18.75">
      <c r="A36" s="96">
        <v>6</v>
      </c>
      <c r="B36" s="409" t="s">
        <v>584</v>
      </c>
      <c r="C36" s="457"/>
      <c r="D36" s="410"/>
      <c r="E36" s="46" t="s">
        <v>624</v>
      </c>
      <c r="F36" s="55" t="s">
        <v>990</v>
      </c>
      <c r="G36" s="52">
        <v>50000</v>
      </c>
    </row>
    <row r="37" spans="1:7" ht="18.75">
      <c r="A37" s="96"/>
      <c r="B37" s="392" t="s">
        <v>84</v>
      </c>
      <c r="C37" s="392"/>
      <c r="D37" s="392"/>
      <c r="E37" s="84">
        <v>6</v>
      </c>
      <c r="F37" s="84"/>
      <c r="G37" s="94">
        <f>SUM(G31:G36)</f>
        <v>730000</v>
      </c>
    </row>
    <row r="38" spans="1:7" ht="18.75">
      <c r="A38" s="96"/>
      <c r="B38" s="97"/>
      <c r="C38" s="98"/>
      <c r="D38" s="91"/>
      <c r="E38" s="84"/>
      <c r="F38" s="84"/>
      <c r="G38" s="94"/>
    </row>
    <row r="39" spans="1:7" ht="18.75">
      <c r="A39" s="96">
        <v>1</v>
      </c>
      <c r="B39" s="409" t="s">
        <v>969</v>
      </c>
      <c r="C39" s="457"/>
      <c r="D39" s="410"/>
      <c r="E39" s="48" t="s">
        <v>588</v>
      </c>
      <c r="F39" s="49" t="s">
        <v>589</v>
      </c>
      <c r="G39" s="52">
        <v>300000</v>
      </c>
    </row>
    <row r="40" spans="1:7" ht="18.75">
      <c r="A40" s="96">
        <v>2</v>
      </c>
      <c r="B40" s="391" t="s">
        <v>590</v>
      </c>
      <c r="C40" s="391"/>
      <c r="D40" s="391"/>
      <c r="E40" s="46" t="s">
        <v>591</v>
      </c>
      <c r="F40" s="55" t="s">
        <v>531</v>
      </c>
      <c r="G40" s="52">
        <v>200000</v>
      </c>
    </row>
    <row r="41" spans="1:7" ht="18.75">
      <c r="A41" s="96">
        <v>3</v>
      </c>
      <c r="B41" s="409" t="s">
        <v>592</v>
      </c>
      <c r="C41" s="457"/>
      <c r="D41" s="410"/>
      <c r="E41" s="46" t="s">
        <v>593</v>
      </c>
      <c r="F41" s="55" t="s">
        <v>536</v>
      </c>
      <c r="G41" s="52">
        <v>100000</v>
      </c>
    </row>
    <row r="42" spans="1:7" ht="18.75">
      <c r="A42" s="96">
        <v>4</v>
      </c>
      <c r="B42" s="409" t="s">
        <v>722</v>
      </c>
      <c r="C42" s="457"/>
      <c r="D42" s="410"/>
      <c r="E42" s="46" t="s">
        <v>723</v>
      </c>
      <c r="F42" s="55" t="s">
        <v>724</v>
      </c>
      <c r="G42" s="52">
        <v>80000</v>
      </c>
    </row>
    <row r="43" spans="1:7" ht="18.75">
      <c r="A43" s="96">
        <v>5</v>
      </c>
      <c r="B43" s="469" t="s">
        <v>598</v>
      </c>
      <c r="C43" s="470"/>
      <c r="D43" s="471"/>
      <c r="E43" s="46" t="s">
        <v>599</v>
      </c>
      <c r="F43" s="55" t="s">
        <v>724</v>
      </c>
      <c r="G43" s="52">
        <v>80000</v>
      </c>
    </row>
    <row r="44" spans="1:7" ht="18.75">
      <c r="A44" s="96">
        <v>6</v>
      </c>
      <c r="B44" s="409" t="s">
        <v>711</v>
      </c>
      <c r="C44" s="457"/>
      <c r="D44" s="410"/>
      <c r="E44" s="46" t="s">
        <v>579</v>
      </c>
      <c r="F44" s="55" t="s">
        <v>550</v>
      </c>
      <c r="G44" s="52">
        <v>80000</v>
      </c>
    </row>
    <row r="45" spans="1:7" ht="18.75">
      <c r="A45" s="96">
        <v>7</v>
      </c>
      <c r="B45" s="409" t="s">
        <v>607</v>
      </c>
      <c r="C45" s="457"/>
      <c r="D45" s="410"/>
      <c r="E45" s="46" t="s">
        <v>579</v>
      </c>
      <c r="F45" s="55" t="s">
        <v>550</v>
      </c>
      <c r="G45" s="52">
        <v>80000</v>
      </c>
    </row>
    <row r="46" spans="1:7" ht="18.75">
      <c r="A46" s="96">
        <v>8</v>
      </c>
      <c r="B46" s="409" t="s">
        <v>610</v>
      </c>
      <c r="C46" s="457"/>
      <c r="D46" s="83"/>
      <c r="E46" s="46" t="s">
        <v>579</v>
      </c>
      <c r="F46" s="55" t="s">
        <v>550</v>
      </c>
      <c r="G46" s="52">
        <v>80000</v>
      </c>
    </row>
    <row r="47" spans="1:7" ht="18.75">
      <c r="A47" s="96">
        <v>9</v>
      </c>
      <c r="B47" s="409" t="s">
        <v>992</v>
      </c>
      <c r="C47" s="457"/>
      <c r="D47" s="410"/>
      <c r="E47" s="46" t="s">
        <v>579</v>
      </c>
      <c r="F47" s="55" t="s">
        <v>550</v>
      </c>
      <c r="G47" s="52">
        <v>80000</v>
      </c>
    </row>
    <row r="48" spans="1:7" ht="18.75">
      <c r="A48" s="96">
        <v>10</v>
      </c>
      <c r="B48" s="389" t="s">
        <v>615</v>
      </c>
      <c r="C48" s="389"/>
      <c r="D48" s="389"/>
      <c r="E48" s="46" t="s">
        <v>560</v>
      </c>
      <c r="F48" s="55" t="s">
        <v>926</v>
      </c>
      <c r="G48" s="52">
        <v>50000</v>
      </c>
    </row>
    <row r="49" spans="1:7" ht="18.75">
      <c r="A49" s="96">
        <v>11</v>
      </c>
      <c r="B49" s="88" t="s">
        <v>617</v>
      </c>
      <c r="C49" s="89" t="s">
        <v>617</v>
      </c>
      <c r="D49" s="83"/>
      <c r="E49" s="46" t="s">
        <v>618</v>
      </c>
      <c r="F49" s="55" t="s">
        <v>566</v>
      </c>
      <c r="G49" s="52">
        <v>50000</v>
      </c>
    </row>
    <row r="50" spans="1:7" ht="18.75">
      <c r="A50" s="96">
        <v>12</v>
      </c>
      <c r="B50" s="409" t="s">
        <v>619</v>
      </c>
      <c r="C50" s="457"/>
      <c r="D50" s="410"/>
      <c r="E50" s="46" t="s">
        <v>582</v>
      </c>
      <c r="F50" s="55" t="s">
        <v>566</v>
      </c>
      <c r="G50" s="52">
        <v>50000</v>
      </c>
    </row>
    <row r="51" spans="1:7" ht="18.75">
      <c r="A51" s="96">
        <v>13</v>
      </c>
      <c r="B51" s="409" t="s">
        <v>620</v>
      </c>
      <c r="C51" s="457"/>
      <c r="D51" s="410"/>
      <c r="E51" s="46" t="s">
        <v>621</v>
      </c>
      <c r="F51" s="55" t="s">
        <v>566</v>
      </c>
      <c r="G51" s="52">
        <v>50000</v>
      </c>
    </row>
    <row r="52" spans="1:7" ht="18.75">
      <c r="A52" s="96">
        <v>14</v>
      </c>
      <c r="B52" s="409" t="s">
        <v>993</v>
      </c>
      <c r="C52" s="457"/>
      <c r="D52" s="410"/>
      <c r="E52" s="46" t="s">
        <v>624</v>
      </c>
      <c r="F52" s="55" t="s">
        <v>990</v>
      </c>
      <c r="G52" s="52">
        <v>50000</v>
      </c>
    </row>
    <row r="53" spans="1:7" ht="18.75">
      <c r="A53" s="96">
        <v>15</v>
      </c>
      <c r="B53" s="409" t="s">
        <v>622</v>
      </c>
      <c r="C53" s="457"/>
      <c r="D53" s="410"/>
      <c r="E53" s="46" t="s">
        <v>624</v>
      </c>
      <c r="F53" s="55" t="s">
        <v>990</v>
      </c>
      <c r="G53" s="52">
        <v>50000</v>
      </c>
    </row>
    <row r="54" spans="1:7" ht="18.75">
      <c r="A54" s="96">
        <v>16</v>
      </c>
      <c r="B54" s="409" t="s">
        <v>994</v>
      </c>
      <c r="C54" s="457"/>
      <c r="D54" s="410"/>
      <c r="E54" s="46" t="s">
        <v>624</v>
      </c>
      <c r="F54" s="55" t="s">
        <v>990</v>
      </c>
      <c r="G54" s="52">
        <v>50000</v>
      </c>
    </row>
    <row r="55" spans="1:7" ht="18.75">
      <c r="A55" s="96">
        <v>17</v>
      </c>
      <c r="B55" s="409" t="s">
        <v>727</v>
      </c>
      <c r="C55" s="457"/>
      <c r="D55" s="410"/>
      <c r="E55" s="46" t="s">
        <v>624</v>
      </c>
      <c r="F55" s="55" t="s">
        <v>990</v>
      </c>
      <c r="G55" s="52">
        <v>50000</v>
      </c>
    </row>
    <row r="56" spans="1:7" ht="18.75">
      <c r="A56" s="96"/>
      <c r="B56" s="392" t="s">
        <v>84</v>
      </c>
      <c r="C56" s="392"/>
      <c r="D56" s="392"/>
      <c r="E56" s="84">
        <v>17</v>
      </c>
      <c r="F56" s="84"/>
      <c r="G56" s="94">
        <f>SUM(G39:G55)</f>
        <v>1480000</v>
      </c>
    </row>
    <row r="57" spans="1:7" ht="18.75">
      <c r="A57" s="96"/>
      <c r="B57" s="97"/>
      <c r="C57" s="98"/>
      <c r="D57" s="91"/>
      <c r="E57" s="84"/>
      <c r="F57" s="84"/>
      <c r="G57" s="94"/>
    </row>
    <row r="58" spans="1:7" ht="18.75">
      <c r="A58" s="96">
        <v>1</v>
      </c>
      <c r="B58" s="409" t="s">
        <v>630</v>
      </c>
      <c r="C58" s="457"/>
      <c r="D58" s="410"/>
      <c r="E58" s="48" t="s">
        <v>631</v>
      </c>
      <c r="F58" s="49" t="s">
        <v>589</v>
      </c>
      <c r="G58" s="52">
        <v>300000</v>
      </c>
    </row>
    <row r="59" spans="1:7" ht="18.75">
      <c r="A59" s="96">
        <v>2</v>
      </c>
      <c r="B59" s="391" t="s">
        <v>633</v>
      </c>
      <c r="C59" s="391"/>
      <c r="D59" s="391"/>
      <c r="E59" s="48" t="s">
        <v>634</v>
      </c>
      <c r="F59" s="49" t="s">
        <v>531</v>
      </c>
      <c r="G59" s="52">
        <v>200000</v>
      </c>
    </row>
    <row r="60" spans="1:7" ht="18.75">
      <c r="A60" s="96">
        <v>3</v>
      </c>
      <c r="B60" s="391" t="s">
        <v>635</v>
      </c>
      <c r="C60" s="391"/>
      <c r="D60" s="391"/>
      <c r="E60" s="48" t="s">
        <v>636</v>
      </c>
      <c r="F60" s="49" t="s">
        <v>531</v>
      </c>
      <c r="G60" s="52">
        <v>200000</v>
      </c>
    </row>
    <row r="61" spans="1:7" ht="18.75">
      <c r="A61" s="96">
        <v>4</v>
      </c>
      <c r="B61" s="409" t="s">
        <v>637</v>
      </c>
      <c r="C61" s="457"/>
      <c r="D61" s="410"/>
      <c r="E61" s="48" t="s">
        <v>638</v>
      </c>
      <c r="F61" s="49" t="s">
        <v>542</v>
      </c>
      <c r="G61" s="52">
        <v>100000</v>
      </c>
    </row>
    <row r="62" spans="1:7" ht="18.75">
      <c r="A62" s="96">
        <v>5</v>
      </c>
      <c r="B62" s="469" t="s">
        <v>639</v>
      </c>
      <c r="C62" s="470"/>
      <c r="D62" s="471"/>
      <c r="E62" s="48" t="s">
        <v>640</v>
      </c>
      <c r="F62" s="49" t="s">
        <v>542</v>
      </c>
      <c r="G62" s="52">
        <v>100000</v>
      </c>
    </row>
    <row r="63" spans="1:7" ht="18.75">
      <c r="A63" s="96">
        <v>6</v>
      </c>
      <c r="B63" s="391" t="s">
        <v>935</v>
      </c>
      <c r="C63" s="391"/>
      <c r="D63" s="391"/>
      <c r="E63" s="48" t="s">
        <v>936</v>
      </c>
      <c r="F63" s="49" t="s">
        <v>555</v>
      </c>
      <c r="G63" s="52">
        <v>50000</v>
      </c>
    </row>
    <row r="64" spans="1:7" ht="18.75">
      <c r="A64" s="96">
        <v>7</v>
      </c>
      <c r="B64" s="409" t="s">
        <v>562</v>
      </c>
      <c r="C64" s="457"/>
      <c r="D64" s="410"/>
      <c r="E64" s="48" t="s">
        <v>563</v>
      </c>
      <c r="F64" s="49" t="s">
        <v>566</v>
      </c>
      <c r="G64" s="52">
        <v>50000</v>
      </c>
    </row>
    <row r="65" spans="1:7" ht="18.75">
      <c r="A65" s="96">
        <v>8</v>
      </c>
      <c r="B65" s="409" t="s">
        <v>643</v>
      </c>
      <c r="C65" s="457"/>
      <c r="D65" s="410"/>
      <c r="E65" s="48" t="s">
        <v>644</v>
      </c>
      <c r="F65" s="49" t="s">
        <v>566</v>
      </c>
      <c r="G65" s="52">
        <v>50000</v>
      </c>
    </row>
    <row r="66" spans="1:7" ht="18.75">
      <c r="A66" s="96">
        <v>9</v>
      </c>
      <c r="B66" s="409" t="s">
        <v>995</v>
      </c>
      <c r="C66" s="457"/>
      <c r="D66" s="410"/>
      <c r="E66" s="48" t="s">
        <v>644</v>
      </c>
      <c r="F66" s="49" t="s">
        <v>566</v>
      </c>
      <c r="G66" s="52">
        <v>50000</v>
      </c>
    </row>
    <row r="67" spans="1:7" ht="18.75">
      <c r="A67" s="96">
        <v>10</v>
      </c>
      <c r="B67" s="409" t="s">
        <v>645</v>
      </c>
      <c r="C67" s="457"/>
      <c r="D67" s="410"/>
      <c r="E67" s="48" t="s">
        <v>646</v>
      </c>
      <c r="F67" s="49" t="s">
        <v>566</v>
      </c>
      <c r="G67" s="52">
        <v>50000</v>
      </c>
    </row>
    <row r="68" spans="1:7" ht="18.75">
      <c r="A68" s="96">
        <v>11</v>
      </c>
      <c r="B68" s="409" t="s">
        <v>996</v>
      </c>
      <c r="C68" s="457"/>
      <c r="D68" s="410"/>
      <c r="E68" s="48" t="s">
        <v>997</v>
      </c>
      <c r="F68" s="49" t="s">
        <v>566</v>
      </c>
      <c r="G68" s="52">
        <v>50000</v>
      </c>
    </row>
    <row r="69" spans="1:7" ht="18.75">
      <c r="A69" s="96">
        <v>12</v>
      </c>
      <c r="B69" s="409" t="s">
        <v>647</v>
      </c>
      <c r="C69" s="457"/>
      <c r="D69" s="410"/>
      <c r="E69" s="48" t="s">
        <v>648</v>
      </c>
      <c r="F69" s="49" t="s">
        <v>566</v>
      </c>
      <c r="G69" s="52">
        <v>50000</v>
      </c>
    </row>
    <row r="70" spans="1:7" ht="18.75">
      <c r="A70" s="96">
        <v>13</v>
      </c>
      <c r="B70" s="409" t="s">
        <v>626</v>
      </c>
      <c r="C70" s="457"/>
      <c r="D70" s="410"/>
      <c r="E70" s="48" t="s">
        <v>652</v>
      </c>
      <c r="F70" s="49" t="s">
        <v>672</v>
      </c>
      <c r="G70" s="52">
        <v>50000</v>
      </c>
    </row>
    <row r="71" spans="1:7" ht="18.75">
      <c r="A71" s="96">
        <v>14</v>
      </c>
      <c r="B71" s="409" t="s">
        <v>732</v>
      </c>
      <c r="C71" s="457"/>
      <c r="D71" s="410"/>
      <c r="E71" s="48" t="s">
        <v>652</v>
      </c>
      <c r="F71" s="49" t="s">
        <v>672</v>
      </c>
      <c r="G71" s="52">
        <v>50000</v>
      </c>
    </row>
    <row r="72" spans="1:7" ht="18.75">
      <c r="A72" s="96">
        <v>15</v>
      </c>
      <c r="B72" s="409" t="s">
        <v>653</v>
      </c>
      <c r="C72" s="457"/>
      <c r="D72" s="410"/>
      <c r="E72" s="48" t="s">
        <v>652</v>
      </c>
      <c r="F72" s="49" t="s">
        <v>672</v>
      </c>
      <c r="G72" s="52">
        <v>50000</v>
      </c>
    </row>
    <row r="73" spans="1:7" ht="18.75">
      <c r="A73" s="96">
        <v>16</v>
      </c>
      <c r="B73" s="409" t="s">
        <v>623</v>
      </c>
      <c r="C73" s="457"/>
      <c r="D73" s="410"/>
      <c r="E73" s="48" t="s">
        <v>652</v>
      </c>
      <c r="F73" s="49" t="s">
        <v>672</v>
      </c>
      <c r="G73" s="52">
        <v>50000</v>
      </c>
    </row>
    <row r="74" spans="1:7" ht="18.75">
      <c r="A74" s="96">
        <v>17</v>
      </c>
      <c r="B74" s="409" t="s">
        <v>998</v>
      </c>
      <c r="C74" s="457"/>
      <c r="D74" s="410"/>
      <c r="E74" s="48" t="s">
        <v>652</v>
      </c>
      <c r="F74" s="49" t="s">
        <v>672</v>
      </c>
      <c r="G74" s="52">
        <v>50000</v>
      </c>
    </row>
    <row r="75" spans="1:7" ht="18.75">
      <c r="A75" s="96">
        <v>18</v>
      </c>
      <c r="B75" s="469" t="s">
        <v>654</v>
      </c>
      <c r="C75" s="470"/>
      <c r="D75" s="471"/>
      <c r="E75" s="48" t="s">
        <v>655</v>
      </c>
      <c r="F75" s="49" t="s">
        <v>672</v>
      </c>
      <c r="G75" s="52">
        <v>50000</v>
      </c>
    </row>
    <row r="76" spans="1:7" ht="18.75">
      <c r="A76" s="96">
        <v>19</v>
      </c>
      <c r="B76" s="409" t="s">
        <v>733</v>
      </c>
      <c r="C76" s="457"/>
      <c r="D76" s="410"/>
      <c r="E76" s="48" t="s">
        <v>655</v>
      </c>
      <c r="F76" s="49" t="s">
        <v>672</v>
      </c>
      <c r="G76" s="52">
        <v>50000</v>
      </c>
    </row>
    <row r="77" spans="1:7" ht="18.75">
      <c r="A77" s="96">
        <v>20</v>
      </c>
      <c r="B77" s="409" t="s">
        <v>657</v>
      </c>
      <c r="C77" s="457"/>
      <c r="D77" s="410"/>
      <c r="E77" s="48" t="s">
        <v>655</v>
      </c>
      <c r="F77" s="49" t="s">
        <v>672</v>
      </c>
      <c r="G77" s="52">
        <v>50000</v>
      </c>
    </row>
    <row r="78" spans="1:7" ht="18.75">
      <c r="A78" s="96">
        <v>21</v>
      </c>
      <c r="B78" s="409" t="s">
        <v>658</v>
      </c>
      <c r="C78" s="457"/>
      <c r="D78" s="410"/>
      <c r="E78" s="48" t="s">
        <v>999</v>
      </c>
      <c r="F78" s="49" t="s">
        <v>672</v>
      </c>
      <c r="G78" s="52">
        <v>50000</v>
      </c>
    </row>
    <row r="79" spans="1:7" ht="18.75">
      <c r="A79" s="96">
        <v>22</v>
      </c>
      <c r="B79" s="469" t="s">
        <v>1000</v>
      </c>
      <c r="C79" s="470"/>
      <c r="D79" s="471"/>
      <c r="E79" s="48" t="s">
        <v>1001</v>
      </c>
      <c r="F79" s="49" t="s">
        <v>672</v>
      </c>
      <c r="G79" s="52">
        <v>50000</v>
      </c>
    </row>
    <row r="80" spans="1:7" ht="18.75">
      <c r="A80" s="96">
        <v>23</v>
      </c>
      <c r="B80" s="391" t="s">
        <v>662</v>
      </c>
      <c r="C80" s="391"/>
      <c r="D80" s="391"/>
      <c r="E80" s="48" t="s">
        <v>938</v>
      </c>
      <c r="F80" s="49" t="s">
        <v>717</v>
      </c>
      <c r="G80" s="52">
        <v>50000</v>
      </c>
    </row>
    <row r="81" spans="1:7" ht="18.75">
      <c r="A81" s="96">
        <v>24</v>
      </c>
      <c r="B81" s="409" t="s">
        <v>664</v>
      </c>
      <c r="C81" s="457"/>
      <c r="D81" s="410"/>
      <c r="E81" s="46" t="s">
        <v>666</v>
      </c>
      <c r="F81" s="55" t="s">
        <v>717</v>
      </c>
      <c r="G81" s="52">
        <v>50000</v>
      </c>
    </row>
    <row r="82" spans="1:7" ht="18.75">
      <c r="A82" s="96">
        <v>25</v>
      </c>
      <c r="B82" s="391" t="s">
        <v>736</v>
      </c>
      <c r="C82" s="391"/>
      <c r="D82" s="391"/>
      <c r="E82" s="48" t="s">
        <v>666</v>
      </c>
      <c r="F82" s="49" t="s">
        <v>939</v>
      </c>
      <c r="G82" s="52">
        <v>50000</v>
      </c>
    </row>
    <row r="83" spans="1:7" ht="18.75">
      <c r="A83" s="96">
        <v>26</v>
      </c>
      <c r="B83" s="391" t="s">
        <v>940</v>
      </c>
      <c r="C83" s="391"/>
      <c r="D83" s="391"/>
      <c r="E83" s="48" t="s">
        <v>666</v>
      </c>
      <c r="F83" s="49" t="s">
        <v>717</v>
      </c>
      <c r="G83" s="52">
        <v>50000</v>
      </c>
    </row>
    <row r="84" spans="1:7" ht="18.75">
      <c r="A84" s="96">
        <v>27</v>
      </c>
      <c r="B84" s="409" t="s">
        <v>669</v>
      </c>
      <c r="C84" s="457"/>
      <c r="D84" s="410"/>
      <c r="E84" s="48" t="s">
        <v>666</v>
      </c>
      <c r="F84" s="49" t="s">
        <v>717</v>
      </c>
      <c r="G84" s="52">
        <v>50000</v>
      </c>
    </row>
    <row r="85" spans="1:7" ht="18.75">
      <c r="A85" s="96">
        <v>28</v>
      </c>
      <c r="B85" s="391" t="s">
        <v>627</v>
      </c>
      <c r="C85" s="391"/>
      <c r="D85" s="391"/>
      <c r="E85" s="48" t="s">
        <v>941</v>
      </c>
      <c r="F85" s="49" t="s">
        <v>672</v>
      </c>
      <c r="G85" s="52">
        <v>50000</v>
      </c>
    </row>
    <row r="86" spans="1:7" ht="18.75">
      <c r="A86" s="96">
        <v>29</v>
      </c>
      <c r="B86" s="409" t="s">
        <v>676</v>
      </c>
      <c r="C86" s="457"/>
      <c r="D86" s="410"/>
      <c r="E86" s="48" t="s">
        <v>687</v>
      </c>
      <c r="F86" s="49" t="s">
        <v>694</v>
      </c>
      <c r="G86" s="50">
        <v>20000</v>
      </c>
    </row>
    <row r="87" spans="1:7" ht="18.75">
      <c r="A87" s="96">
        <v>30</v>
      </c>
      <c r="B87" s="391" t="s">
        <v>679</v>
      </c>
      <c r="C87" s="391"/>
      <c r="D87" s="391"/>
      <c r="E87" s="48" t="s">
        <v>687</v>
      </c>
      <c r="F87" s="49" t="s">
        <v>694</v>
      </c>
      <c r="G87" s="50">
        <v>20000</v>
      </c>
    </row>
    <row r="88" spans="1:7" ht="18.75">
      <c r="A88" s="96">
        <v>31</v>
      </c>
      <c r="B88" s="391" t="s">
        <v>680</v>
      </c>
      <c r="C88" s="391"/>
      <c r="D88" s="391"/>
      <c r="E88" s="48" t="s">
        <v>687</v>
      </c>
      <c r="F88" s="49" t="s">
        <v>694</v>
      </c>
      <c r="G88" s="50">
        <v>20000</v>
      </c>
    </row>
    <row r="89" spans="1:7" ht="18.75">
      <c r="A89" s="96">
        <v>32</v>
      </c>
      <c r="B89" s="391" t="s">
        <v>681</v>
      </c>
      <c r="C89" s="391"/>
      <c r="D89" s="391"/>
      <c r="E89" s="48" t="s">
        <v>687</v>
      </c>
      <c r="F89" s="49" t="s">
        <v>694</v>
      </c>
      <c r="G89" s="50">
        <v>20000</v>
      </c>
    </row>
    <row r="90" spans="1:7" ht="18.75">
      <c r="A90" s="96">
        <v>33</v>
      </c>
      <c r="B90" s="391" t="s">
        <v>682</v>
      </c>
      <c r="C90" s="391"/>
      <c r="D90" s="391"/>
      <c r="E90" s="48" t="s">
        <v>687</v>
      </c>
      <c r="F90" s="49" t="s">
        <v>694</v>
      </c>
      <c r="G90" s="50">
        <v>20000</v>
      </c>
    </row>
    <row r="91" spans="1:7" ht="18.75">
      <c r="A91" s="96">
        <v>34</v>
      </c>
      <c r="B91" s="391" t="s">
        <v>683</v>
      </c>
      <c r="C91" s="391"/>
      <c r="D91" s="391"/>
      <c r="E91" s="48" t="s">
        <v>687</v>
      </c>
      <c r="F91" s="49" t="s">
        <v>694</v>
      </c>
      <c r="G91" s="50">
        <v>20000</v>
      </c>
    </row>
    <row r="92" spans="1:7" ht="18.75">
      <c r="A92" s="96">
        <v>35</v>
      </c>
      <c r="B92" s="409" t="s">
        <v>740</v>
      </c>
      <c r="C92" s="457"/>
      <c r="D92" s="410"/>
      <c r="E92" s="46" t="s">
        <v>687</v>
      </c>
      <c r="F92" s="55" t="s">
        <v>694</v>
      </c>
      <c r="G92" s="50">
        <v>20000</v>
      </c>
    </row>
    <row r="93" spans="1:7" ht="18.75">
      <c r="A93" s="96">
        <v>36</v>
      </c>
      <c r="B93" s="391" t="s">
        <v>684</v>
      </c>
      <c r="C93" s="391"/>
      <c r="D93" s="391"/>
      <c r="E93" s="48" t="s">
        <v>687</v>
      </c>
      <c r="F93" s="49" t="s">
        <v>1003</v>
      </c>
      <c r="G93" s="50">
        <v>20000</v>
      </c>
    </row>
    <row r="94" spans="1:7" ht="18.75">
      <c r="A94" s="96">
        <v>37</v>
      </c>
      <c r="B94" s="391" t="s">
        <v>685</v>
      </c>
      <c r="C94" s="391"/>
      <c r="D94" s="391"/>
      <c r="E94" s="48" t="s">
        <v>687</v>
      </c>
      <c r="F94" s="49" t="s">
        <v>1003</v>
      </c>
      <c r="G94" s="50">
        <v>20000</v>
      </c>
    </row>
    <row r="95" spans="1:7" ht="18.75">
      <c r="A95" s="96">
        <v>38</v>
      </c>
      <c r="B95" s="409" t="s">
        <v>1004</v>
      </c>
      <c r="C95" s="457"/>
      <c r="D95" s="410"/>
      <c r="E95" s="48" t="s">
        <v>687</v>
      </c>
      <c r="F95" s="49" t="s">
        <v>1003</v>
      </c>
      <c r="G95" s="50">
        <v>20000</v>
      </c>
    </row>
    <row r="96" spans="1:7" ht="18.75">
      <c r="A96" s="96">
        <v>39</v>
      </c>
      <c r="B96" s="409" t="s">
        <v>741</v>
      </c>
      <c r="C96" s="457"/>
      <c r="D96" s="410"/>
      <c r="E96" s="48" t="s">
        <v>687</v>
      </c>
      <c r="F96" s="49" t="s">
        <v>1003</v>
      </c>
      <c r="G96" s="50">
        <v>20000</v>
      </c>
    </row>
    <row r="97" spans="1:7" ht="18.75">
      <c r="A97" s="96">
        <v>40</v>
      </c>
      <c r="B97" s="409" t="s">
        <v>686</v>
      </c>
      <c r="C97" s="457"/>
      <c r="D97" s="410"/>
      <c r="E97" s="48" t="s">
        <v>687</v>
      </c>
      <c r="F97" s="49" t="s">
        <v>1003</v>
      </c>
      <c r="G97" s="50">
        <v>20000</v>
      </c>
    </row>
    <row r="98" spans="1:7" ht="18.75">
      <c r="A98" s="96">
        <v>41</v>
      </c>
      <c r="B98" s="409" t="s">
        <v>689</v>
      </c>
      <c r="C98" s="457"/>
      <c r="D98" s="410"/>
      <c r="E98" s="48" t="s">
        <v>687</v>
      </c>
      <c r="F98" s="49" t="s">
        <v>1003</v>
      </c>
      <c r="G98" s="50">
        <v>20000</v>
      </c>
    </row>
    <row r="99" spans="1:7" ht="18.75">
      <c r="A99" s="96">
        <v>42</v>
      </c>
      <c r="B99" s="409" t="s">
        <v>695</v>
      </c>
      <c r="C99" s="457"/>
      <c r="D99" s="410"/>
      <c r="E99" s="48" t="s">
        <v>687</v>
      </c>
      <c r="F99" s="49" t="s">
        <v>1003</v>
      </c>
      <c r="G99" s="50">
        <v>20000</v>
      </c>
    </row>
    <row r="100" spans="1:7" ht="18.75">
      <c r="A100" s="96">
        <v>43</v>
      </c>
      <c r="B100" s="409" t="s">
        <v>690</v>
      </c>
      <c r="C100" s="457"/>
      <c r="D100" s="410"/>
      <c r="E100" s="48" t="s">
        <v>687</v>
      </c>
      <c r="F100" s="49" t="s">
        <v>1003</v>
      </c>
      <c r="G100" s="50">
        <v>20000</v>
      </c>
    </row>
    <row r="101" spans="1:7" ht="18.75">
      <c r="A101" s="96">
        <v>44</v>
      </c>
      <c r="B101" s="88" t="s">
        <v>692</v>
      </c>
      <c r="C101" s="89" t="s">
        <v>692</v>
      </c>
      <c r="D101" s="83"/>
      <c r="E101" s="48" t="s">
        <v>687</v>
      </c>
      <c r="F101" s="49" t="s">
        <v>1003</v>
      </c>
      <c r="G101" s="50">
        <v>20000</v>
      </c>
    </row>
    <row r="102" spans="1:7" ht="18.75">
      <c r="A102" s="96"/>
      <c r="B102" s="403" t="s">
        <v>84</v>
      </c>
      <c r="C102" s="455"/>
      <c r="D102" s="404"/>
      <c r="E102" s="90" t="s">
        <v>1029</v>
      </c>
      <c r="F102" s="49"/>
      <c r="G102" s="94">
        <f>SUM(G58:G101)</f>
        <v>2370000</v>
      </c>
    </row>
    <row r="103" spans="1:7" ht="18.75">
      <c r="A103" s="96"/>
      <c r="B103" s="97"/>
      <c r="C103" s="98"/>
      <c r="D103" s="91"/>
      <c r="E103" s="90"/>
      <c r="F103" s="49"/>
      <c r="G103" s="94"/>
    </row>
    <row r="104" spans="1:7" ht="18.75">
      <c r="A104" s="96">
        <v>1</v>
      </c>
      <c r="B104" s="389" t="s">
        <v>670</v>
      </c>
      <c r="C104" s="389"/>
      <c r="D104" s="389"/>
      <c r="E104" s="48" t="s">
        <v>752</v>
      </c>
      <c r="F104" s="49" t="s">
        <v>1005</v>
      </c>
      <c r="G104" s="52">
        <v>20000</v>
      </c>
    </row>
    <row r="105" spans="1:7" ht="18.75">
      <c r="A105" s="96">
        <v>2</v>
      </c>
      <c r="B105" s="389" t="s">
        <v>753</v>
      </c>
      <c r="C105" s="389"/>
      <c r="D105" s="389"/>
      <c r="E105" s="48" t="s">
        <v>752</v>
      </c>
      <c r="F105" s="49" t="s">
        <v>1005</v>
      </c>
      <c r="G105" s="52">
        <v>20000</v>
      </c>
    </row>
    <row r="106" spans="1:7" ht="18.75">
      <c r="A106" s="96">
        <v>3</v>
      </c>
      <c r="B106" s="389" t="s">
        <v>944</v>
      </c>
      <c r="C106" s="389"/>
      <c r="D106" s="389"/>
      <c r="E106" s="48" t="s">
        <v>945</v>
      </c>
      <c r="F106" s="49" t="s">
        <v>1005</v>
      </c>
      <c r="G106" s="52">
        <v>20000</v>
      </c>
    </row>
    <row r="107" spans="1:7" ht="18.75">
      <c r="A107" s="96">
        <v>4</v>
      </c>
      <c r="B107" s="389" t="s">
        <v>758</v>
      </c>
      <c r="C107" s="389"/>
      <c r="D107" s="389"/>
      <c r="E107" s="48" t="s">
        <v>945</v>
      </c>
      <c r="F107" s="49" t="s">
        <v>1005</v>
      </c>
      <c r="G107" s="52">
        <v>20000</v>
      </c>
    </row>
    <row r="108" spans="1:7" ht="18.75">
      <c r="A108" s="96">
        <v>5</v>
      </c>
      <c r="B108" s="389" t="s">
        <v>754</v>
      </c>
      <c r="C108" s="389"/>
      <c r="D108" s="389"/>
      <c r="E108" s="48" t="s">
        <v>752</v>
      </c>
      <c r="F108" s="53">
        <v>0</v>
      </c>
      <c r="G108" s="52">
        <v>20000</v>
      </c>
    </row>
    <row r="109" spans="1:7" ht="18.75">
      <c r="A109" s="96">
        <v>6</v>
      </c>
      <c r="B109" s="398" t="s">
        <v>1006</v>
      </c>
      <c r="C109" s="456"/>
      <c r="D109" s="399"/>
      <c r="E109" s="48" t="s">
        <v>945</v>
      </c>
      <c r="F109" s="53">
        <v>0</v>
      </c>
      <c r="G109" s="52">
        <v>20000</v>
      </c>
    </row>
    <row r="110" spans="1:7" ht="18.75">
      <c r="A110" s="96">
        <v>7</v>
      </c>
      <c r="B110" s="398" t="s">
        <v>755</v>
      </c>
      <c r="C110" s="456"/>
      <c r="D110" s="399"/>
      <c r="E110" s="48" t="s">
        <v>752</v>
      </c>
      <c r="F110" s="49" t="s">
        <v>1005</v>
      </c>
      <c r="G110" s="52">
        <v>20000</v>
      </c>
    </row>
    <row r="111" spans="1:7" ht="18.75">
      <c r="A111" s="96">
        <v>8</v>
      </c>
      <c r="B111" s="398" t="s">
        <v>1007</v>
      </c>
      <c r="C111" s="456"/>
      <c r="D111" s="80"/>
      <c r="E111" s="48" t="s">
        <v>1008</v>
      </c>
      <c r="F111" s="49"/>
      <c r="G111" s="52">
        <v>20000</v>
      </c>
    </row>
    <row r="112" spans="1:7" ht="18.75">
      <c r="A112" s="96">
        <v>9</v>
      </c>
      <c r="B112" s="398" t="s">
        <v>1009</v>
      </c>
      <c r="C112" s="456"/>
      <c r="D112" s="80"/>
      <c r="E112" s="48" t="s">
        <v>1008</v>
      </c>
      <c r="F112" s="49"/>
      <c r="G112" s="52">
        <v>20000</v>
      </c>
    </row>
    <row r="113" spans="1:7" ht="18.75">
      <c r="A113" s="96">
        <v>10</v>
      </c>
      <c r="B113" s="398" t="s">
        <v>691</v>
      </c>
      <c r="C113" s="456"/>
      <c r="D113" s="80"/>
      <c r="E113" s="48" t="s">
        <v>687</v>
      </c>
      <c r="F113" s="49"/>
      <c r="G113" s="52">
        <v>20000</v>
      </c>
    </row>
    <row r="114" spans="1:7" ht="18.75">
      <c r="A114" s="96">
        <v>11</v>
      </c>
      <c r="B114" s="78" t="s">
        <v>1010</v>
      </c>
      <c r="C114" s="79" t="s">
        <v>1010</v>
      </c>
      <c r="D114" s="80"/>
      <c r="E114" s="48" t="s">
        <v>945</v>
      </c>
      <c r="F114" s="49"/>
      <c r="G114" s="52">
        <v>20000</v>
      </c>
    </row>
    <row r="115" spans="1:7" ht="18.75">
      <c r="A115" s="96">
        <v>12</v>
      </c>
      <c r="B115" s="78" t="s">
        <v>1030</v>
      </c>
      <c r="C115" s="79" t="s">
        <v>1030</v>
      </c>
      <c r="D115" s="80"/>
      <c r="E115" s="48" t="s">
        <v>39</v>
      </c>
      <c r="F115" s="49"/>
      <c r="G115" s="52">
        <v>20000</v>
      </c>
    </row>
    <row r="116" spans="1:7" ht="18.75">
      <c r="A116" s="96">
        <v>13</v>
      </c>
      <c r="B116" s="78" t="s">
        <v>1031</v>
      </c>
      <c r="C116" s="79" t="s">
        <v>1031</v>
      </c>
      <c r="D116" s="80"/>
      <c r="E116" s="48" t="s">
        <v>39</v>
      </c>
      <c r="F116" s="49"/>
      <c r="G116" s="52">
        <v>20000</v>
      </c>
    </row>
    <row r="117" spans="1:7" ht="18.75">
      <c r="A117" s="96">
        <v>14</v>
      </c>
      <c r="B117" s="398" t="s">
        <v>1032</v>
      </c>
      <c r="C117" s="456"/>
      <c r="D117" s="399"/>
      <c r="E117" s="48" t="s">
        <v>39</v>
      </c>
      <c r="F117" s="49"/>
      <c r="G117" s="52">
        <v>20000</v>
      </c>
    </row>
    <row r="118" spans="1:7" ht="18.75">
      <c r="A118" s="96"/>
      <c r="B118" s="403" t="s">
        <v>84</v>
      </c>
      <c r="C118" s="455"/>
      <c r="D118" s="404"/>
      <c r="E118" s="90" t="s">
        <v>1033</v>
      </c>
      <c r="F118" s="90"/>
      <c r="G118" s="94">
        <f>SUM(G104:G117)</f>
        <v>280000</v>
      </c>
    </row>
    <row r="119" spans="1:7" ht="18.75">
      <c r="A119" s="96"/>
      <c r="B119" s="97"/>
      <c r="C119" s="98"/>
      <c r="D119" s="91"/>
      <c r="E119" s="90"/>
      <c r="F119" s="90"/>
      <c r="G119" s="94"/>
    </row>
    <row r="120" spans="1:7" ht="18.75">
      <c r="A120" s="96">
        <v>1</v>
      </c>
      <c r="B120" s="88" t="s">
        <v>982</v>
      </c>
      <c r="C120" s="89" t="s">
        <v>1034</v>
      </c>
      <c r="D120" s="91"/>
      <c r="E120" s="48" t="s">
        <v>595</v>
      </c>
      <c r="F120" s="49"/>
      <c r="G120" s="52">
        <v>50000</v>
      </c>
    </row>
    <row r="121" spans="1:7" ht="18.75">
      <c r="A121" s="96">
        <v>2</v>
      </c>
      <c r="B121" s="409" t="s">
        <v>1035</v>
      </c>
      <c r="C121" s="457"/>
      <c r="D121" s="410"/>
      <c r="E121" s="48" t="s">
        <v>582</v>
      </c>
      <c r="F121" s="49" t="s">
        <v>566</v>
      </c>
      <c r="G121" s="52">
        <v>50000</v>
      </c>
    </row>
    <row r="122" spans="1:7" ht="18.75">
      <c r="A122" s="96">
        <v>3</v>
      </c>
      <c r="B122" s="409" t="s">
        <v>1017</v>
      </c>
      <c r="C122" s="457"/>
      <c r="D122" s="410"/>
      <c r="E122" s="48" t="s">
        <v>563</v>
      </c>
      <c r="F122" s="49" t="s">
        <v>566</v>
      </c>
      <c r="G122" s="52">
        <v>50000</v>
      </c>
    </row>
    <row r="123" spans="1:7" ht="18.75">
      <c r="A123" s="96">
        <v>4</v>
      </c>
      <c r="B123" s="409" t="s">
        <v>1018</v>
      </c>
      <c r="C123" s="457"/>
      <c r="D123" s="410"/>
      <c r="E123" s="48" t="s">
        <v>661</v>
      </c>
      <c r="F123" s="49" t="s">
        <v>566</v>
      </c>
      <c r="G123" s="52">
        <v>50000</v>
      </c>
    </row>
    <row r="124" spans="1:7" ht="18.75">
      <c r="A124" s="96">
        <v>5</v>
      </c>
      <c r="B124" s="409" t="s">
        <v>597</v>
      </c>
      <c r="C124" s="457"/>
      <c r="D124" s="410"/>
      <c r="E124" s="48" t="s">
        <v>1014</v>
      </c>
      <c r="F124" s="49" t="s">
        <v>542</v>
      </c>
      <c r="G124" s="52">
        <v>50000</v>
      </c>
    </row>
    <row r="125" spans="1:7" ht="18.75">
      <c r="A125" s="96">
        <v>6</v>
      </c>
      <c r="B125" s="409" t="s">
        <v>1015</v>
      </c>
      <c r="C125" s="457"/>
      <c r="D125" s="410"/>
      <c r="E125" s="48" t="s">
        <v>1016</v>
      </c>
      <c r="F125" s="49" t="s">
        <v>542</v>
      </c>
      <c r="G125" s="52">
        <v>50000</v>
      </c>
    </row>
    <row r="126" spans="1:7" ht="18.75">
      <c r="A126" s="96">
        <v>7</v>
      </c>
      <c r="B126" s="409" t="s">
        <v>1019</v>
      </c>
      <c r="C126" s="457"/>
      <c r="D126" s="410"/>
      <c r="E126" s="48" t="s">
        <v>1020</v>
      </c>
      <c r="F126" s="49" t="s">
        <v>566</v>
      </c>
      <c r="G126" s="52">
        <v>50000</v>
      </c>
    </row>
    <row r="127" spans="1:7" ht="18.75">
      <c r="A127" s="96">
        <v>8</v>
      </c>
      <c r="B127" s="409" t="s">
        <v>1021</v>
      </c>
      <c r="C127" s="457"/>
      <c r="D127" s="410"/>
      <c r="E127" s="48" t="s">
        <v>1022</v>
      </c>
      <c r="F127" s="49" t="s">
        <v>566</v>
      </c>
      <c r="G127" s="52">
        <v>50000</v>
      </c>
    </row>
    <row r="128" spans="1:7" ht="18.75">
      <c r="A128" s="96">
        <v>9</v>
      </c>
      <c r="B128" s="409" t="s">
        <v>1012</v>
      </c>
      <c r="C128" s="457"/>
      <c r="D128" s="83"/>
      <c r="E128" s="48" t="s">
        <v>1013</v>
      </c>
      <c r="F128" s="49" t="s">
        <v>531</v>
      </c>
      <c r="G128" s="52">
        <v>50000</v>
      </c>
    </row>
    <row r="129" spans="1:7" ht="18.75">
      <c r="A129" s="96">
        <v>10</v>
      </c>
      <c r="B129" s="88" t="s">
        <v>862</v>
      </c>
      <c r="C129" s="89"/>
      <c r="D129" s="83"/>
      <c r="E129" s="48" t="s">
        <v>1023</v>
      </c>
      <c r="F129" s="49" t="s">
        <v>550</v>
      </c>
      <c r="G129" s="52">
        <v>50000</v>
      </c>
    </row>
    <row r="130" spans="1:7" ht="18.75">
      <c r="A130" s="96">
        <v>11</v>
      </c>
      <c r="B130" s="409" t="s">
        <v>1036</v>
      </c>
      <c r="C130" s="457"/>
      <c r="D130" s="410"/>
      <c r="E130" s="48" t="s">
        <v>1037</v>
      </c>
      <c r="F130" s="49" t="s">
        <v>550</v>
      </c>
      <c r="G130" s="52">
        <v>50000</v>
      </c>
    </row>
    <row r="131" spans="1:7" ht="18.75">
      <c r="A131" s="96">
        <v>12</v>
      </c>
      <c r="B131" s="88" t="s">
        <v>1024</v>
      </c>
      <c r="C131" s="89"/>
      <c r="D131" s="83"/>
      <c r="E131" s="48" t="s">
        <v>1025</v>
      </c>
      <c r="F131" s="49" t="s">
        <v>566</v>
      </c>
      <c r="G131" s="52">
        <v>50000</v>
      </c>
    </row>
    <row r="132" spans="1:7" ht="18.75">
      <c r="B132" s="403" t="s">
        <v>84</v>
      </c>
      <c r="C132" s="455"/>
      <c r="D132" s="404"/>
      <c r="E132" s="90" t="s">
        <v>1038</v>
      </c>
      <c r="F132" s="49"/>
      <c r="G132" s="94">
        <f>SUM(G120:G131)</f>
        <v>600000</v>
      </c>
    </row>
    <row r="133" spans="1:7" ht="18.75">
      <c r="B133" s="461" t="s">
        <v>448</v>
      </c>
      <c r="C133" s="461"/>
      <c r="D133" s="461"/>
      <c r="E133" s="92"/>
      <c r="F133" s="93"/>
      <c r="G133" s="94">
        <f>G29+G37+G56+G102+G118</f>
        <v>7120000</v>
      </c>
    </row>
    <row r="134" spans="1:7">
      <c r="B134" s="11"/>
      <c r="C134" s="11"/>
      <c r="D134" s="11"/>
      <c r="E134" s="11"/>
      <c r="F134" s="11"/>
      <c r="G134" s="11"/>
    </row>
  </sheetData>
  <mergeCells count="116">
    <mergeCell ref="B133:D133"/>
    <mergeCell ref="B22:D22"/>
    <mergeCell ref="B51:D51"/>
    <mergeCell ref="B121:D121"/>
    <mergeCell ref="B130:D130"/>
    <mergeCell ref="B123:D123"/>
    <mergeCell ref="B124:D124"/>
    <mergeCell ref="B125:D125"/>
    <mergeCell ref="B126:D126"/>
    <mergeCell ref="B127:D127"/>
    <mergeCell ref="B128:C128"/>
    <mergeCell ref="B111:C111"/>
    <mergeCell ref="B112:C112"/>
    <mergeCell ref="B113:C113"/>
    <mergeCell ref="B118:D118"/>
    <mergeCell ref="B122:D122"/>
    <mergeCell ref="B105:D105"/>
    <mergeCell ref="B106:D106"/>
    <mergeCell ref="B107:D107"/>
    <mergeCell ref="B108:D108"/>
    <mergeCell ref="B109:D109"/>
    <mergeCell ref="B110:D110"/>
    <mergeCell ref="B97:D97"/>
    <mergeCell ref="B98:D98"/>
    <mergeCell ref="B99:D99"/>
    <mergeCell ref="B100:D100"/>
    <mergeCell ref="B104:D104"/>
    <mergeCell ref="B91:D91"/>
    <mergeCell ref="B92:D92"/>
    <mergeCell ref="B93:D93"/>
    <mergeCell ref="B94:D94"/>
    <mergeCell ref="B95:D95"/>
    <mergeCell ref="B96:D96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61:D61"/>
    <mergeCell ref="B62:D62"/>
    <mergeCell ref="B63:D63"/>
    <mergeCell ref="B64:D64"/>
    <mergeCell ref="B65:D65"/>
    <mergeCell ref="B66:D66"/>
    <mergeCell ref="B55:D55"/>
    <mergeCell ref="B56:D56"/>
    <mergeCell ref="B58:D58"/>
    <mergeCell ref="B59:D59"/>
    <mergeCell ref="B60:D60"/>
    <mergeCell ref="B47:D47"/>
    <mergeCell ref="B48:D48"/>
    <mergeCell ref="B50:D50"/>
    <mergeCell ref="B52:D52"/>
    <mergeCell ref="B53:D53"/>
    <mergeCell ref="B54:D54"/>
    <mergeCell ref="B41:D41"/>
    <mergeCell ref="B42:D42"/>
    <mergeCell ref="B43:D43"/>
    <mergeCell ref="B44:D44"/>
    <mergeCell ref="B45:D45"/>
    <mergeCell ref="B46:C46"/>
    <mergeCell ref="B18:D18"/>
    <mergeCell ref="B19:D19"/>
    <mergeCell ref="B23:D23"/>
    <mergeCell ref="B34:D34"/>
    <mergeCell ref="B36:D36"/>
    <mergeCell ref="B37:D37"/>
    <mergeCell ref="B39:D39"/>
    <mergeCell ref="B40:D40"/>
    <mergeCell ref="B30:D30"/>
    <mergeCell ref="B31:D31"/>
    <mergeCell ref="B32:D32"/>
    <mergeCell ref="B33:D33"/>
    <mergeCell ref="B1:G2"/>
    <mergeCell ref="B102:D102"/>
    <mergeCell ref="B132:D132"/>
    <mergeCell ref="B117:D117"/>
    <mergeCell ref="B9:C9"/>
    <mergeCell ref="B10:D10"/>
    <mergeCell ref="B11:D11"/>
    <mergeCell ref="B12:D12"/>
    <mergeCell ref="B13:D13"/>
    <mergeCell ref="B14:D14"/>
    <mergeCell ref="B3:D3"/>
    <mergeCell ref="B4:D4"/>
    <mergeCell ref="B5:D5"/>
    <mergeCell ref="B6:D6"/>
    <mergeCell ref="B7:D7"/>
    <mergeCell ref="B8:D8"/>
    <mergeCell ref="B24:D24"/>
    <mergeCell ref="B25:D25"/>
    <mergeCell ref="B26:D26"/>
    <mergeCell ref="B27:D27"/>
    <mergeCell ref="B29:D29"/>
    <mergeCell ref="B15:D15"/>
    <mergeCell ref="B16:D16"/>
    <mergeCell ref="B17:D17"/>
  </mergeCells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2:D25"/>
  <sheetViews>
    <sheetView workbookViewId="0"/>
  </sheetViews>
  <sheetFormatPr defaultRowHeight="12.75"/>
  <cols>
    <col min="1" max="1" width="37.5703125" customWidth="1"/>
    <col min="2" max="2" width="30.140625" customWidth="1"/>
  </cols>
  <sheetData>
    <row r="2" spans="1:4" ht="18.75">
      <c r="A2" s="135" t="s">
        <v>1039</v>
      </c>
      <c r="B2" s="1"/>
      <c r="C2" s="1"/>
      <c r="D2" s="1"/>
    </row>
    <row r="3" spans="1:4" ht="18">
      <c r="A3" s="182" t="s">
        <v>173</v>
      </c>
      <c r="B3" s="181" t="s">
        <v>174</v>
      </c>
      <c r="C3" s="183" t="s">
        <v>1040</v>
      </c>
      <c r="D3" s="5"/>
    </row>
    <row r="4" spans="1:4" ht="18">
      <c r="A4" s="182" t="s">
        <v>489</v>
      </c>
      <c r="B4" s="181" t="s">
        <v>490</v>
      </c>
      <c r="C4" s="183" t="s">
        <v>1041</v>
      </c>
      <c r="D4" s="5"/>
    </row>
    <row r="5" spans="1:4" ht="18">
      <c r="A5" s="182" t="s">
        <v>1042</v>
      </c>
      <c r="B5" s="181" t="s">
        <v>1043</v>
      </c>
      <c r="C5" s="183" t="s">
        <v>1044</v>
      </c>
      <c r="D5" s="5"/>
    </row>
    <row r="6" spans="1:4" ht="18.75">
      <c r="A6" s="182" t="s">
        <v>465</v>
      </c>
      <c r="B6" s="181" t="s">
        <v>466</v>
      </c>
      <c r="C6" s="102" t="s">
        <v>1044</v>
      </c>
      <c r="D6" s="1"/>
    </row>
    <row r="7" spans="1:4" ht="18">
      <c r="A7" s="182" t="s">
        <v>467</v>
      </c>
      <c r="B7" s="181" t="s">
        <v>468</v>
      </c>
      <c r="C7" s="183" t="s">
        <v>1045</v>
      </c>
      <c r="D7" s="5"/>
    </row>
    <row r="8" spans="1:4" ht="18">
      <c r="A8" s="182" t="s">
        <v>469</v>
      </c>
      <c r="B8" s="181" t="s">
        <v>468</v>
      </c>
      <c r="C8" s="183" t="s">
        <v>1046</v>
      </c>
      <c r="D8" s="5"/>
    </row>
    <row r="9" spans="1:4" ht="18">
      <c r="A9" s="182" t="s">
        <v>470</v>
      </c>
      <c r="B9" s="181" t="s">
        <v>468</v>
      </c>
      <c r="C9" s="183" t="s">
        <v>1044</v>
      </c>
      <c r="D9" s="5"/>
    </row>
    <row r="10" spans="1:4" ht="18">
      <c r="A10" s="31" t="s">
        <v>181</v>
      </c>
      <c r="B10" s="181" t="s">
        <v>39</v>
      </c>
      <c r="C10" s="183"/>
      <c r="D10" s="5"/>
    </row>
    <row r="11" spans="1:4" ht="18">
      <c r="A11" s="31" t="s">
        <v>513</v>
      </c>
      <c r="B11" s="181" t="s">
        <v>39</v>
      </c>
      <c r="C11" s="183"/>
      <c r="D11" s="5"/>
    </row>
    <row r="12" spans="1:4" ht="18">
      <c r="A12" s="31" t="s">
        <v>514</v>
      </c>
      <c r="B12" s="181" t="s">
        <v>39</v>
      </c>
      <c r="C12" s="183"/>
      <c r="D12" s="5"/>
    </row>
    <row r="13" spans="1:4" ht="18.75">
      <c r="A13" s="31" t="s">
        <v>436</v>
      </c>
      <c r="B13" s="181" t="s">
        <v>39</v>
      </c>
      <c r="C13" s="183"/>
      <c r="D13" s="1"/>
    </row>
    <row r="14" spans="1:4" ht="18.75">
      <c r="A14" s="31" t="s">
        <v>515</v>
      </c>
      <c r="B14" s="181" t="s">
        <v>39</v>
      </c>
      <c r="C14" s="183"/>
      <c r="D14" s="1"/>
    </row>
    <row r="15" spans="1:4" ht="18.75">
      <c r="A15" s="31" t="s">
        <v>516</v>
      </c>
      <c r="B15" s="181" t="s">
        <v>39</v>
      </c>
      <c r="C15" s="183"/>
      <c r="D15" s="1"/>
    </row>
    <row r="16" spans="1:4" ht="18.75">
      <c r="A16" s="31" t="s">
        <v>517</v>
      </c>
      <c r="B16" s="181" t="s">
        <v>39</v>
      </c>
      <c r="C16" s="183"/>
      <c r="D16" s="1"/>
    </row>
    <row r="17" spans="1:4" ht="18.75">
      <c r="A17" s="1"/>
      <c r="B17" s="1"/>
      <c r="C17" s="1"/>
      <c r="D17" s="1"/>
    </row>
    <row r="18" spans="1:4" ht="18.75">
      <c r="A18" s="135" t="s">
        <v>1047</v>
      </c>
      <c r="B18" s="1"/>
      <c r="C18" s="1"/>
      <c r="D18" s="1"/>
    </row>
    <row r="19" spans="1:4" ht="18.75">
      <c r="A19" s="102" t="s">
        <v>1048</v>
      </c>
      <c r="B19" s="102"/>
      <c r="C19" s="102"/>
      <c r="D19" s="1"/>
    </row>
    <row r="20" spans="1:4" ht="18.75">
      <c r="A20" s="102" t="s">
        <v>1049</v>
      </c>
      <c r="B20" s="102"/>
      <c r="C20" s="102"/>
      <c r="D20" s="1"/>
    </row>
    <row r="21" spans="1:4" ht="18.75">
      <c r="A21" s="102" t="s">
        <v>1050</v>
      </c>
      <c r="B21" s="102"/>
      <c r="C21" s="102"/>
      <c r="D21" s="1"/>
    </row>
    <row r="22" spans="1:4" ht="18.75">
      <c r="A22" s="102" t="s">
        <v>1051</v>
      </c>
      <c r="B22" s="102"/>
      <c r="C22" s="102"/>
      <c r="D22" s="1"/>
    </row>
    <row r="23" spans="1:4" ht="18.75">
      <c r="A23" s="102" t="s">
        <v>1052</v>
      </c>
      <c r="B23" s="102"/>
      <c r="C23" s="102"/>
      <c r="D23" s="1"/>
    </row>
    <row r="24" spans="1:4" ht="18.75">
      <c r="A24" s="102"/>
      <c r="B24" s="102"/>
      <c r="C24" s="102"/>
      <c r="D24" s="1"/>
    </row>
    <row r="25" spans="1:4" ht="18.75">
      <c r="A25" s="102"/>
      <c r="B25" s="102"/>
      <c r="C25" s="102"/>
      <c r="D25" s="1"/>
    </row>
  </sheetData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E4"/>
  <sheetViews>
    <sheetView workbookViewId="0"/>
  </sheetViews>
  <sheetFormatPr defaultRowHeight="12.75"/>
  <sheetData>
    <row r="4" spans="5:5" ht="27.75">
      <c r="E4" s="205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147"/>
  <sheetViews>
    <sheetView zoomScaleNormal="100" zoomScaleSheetLayoutView="78" workbookViewId="0">
      <pane xSplit="3" ySplit="3" topLeftCell="D4" activePane="bottomRight" state="frozen"/>
      <selection pane="bottomRight" activeCell="C3" sqref="C3"/>
      <selection pane="bottomLeft"/>
      <selection pane="topRight"/>
    </sheetView>
  </sheetViews>
  <sheetFormatPr defaultColWidth="9.140625" defaultRowHeight="20.100000000000001" customHeight="1"/>
  <cols>
    <col min="1" max="1" width="8.5703125" style="1" customWidth="1"/>
    <col min="2" max="2" width="40.28515625" style="1" customWidth="1"/>
    <col min="3" max="3" width="38.140625" style="1" customWidth="1"/>
    <col min="4" max="4" width="21.5703125" style="1" customWidth="1"/>
    <col min="5" max="5" width="18.7109375" style="1" customWidth="1"/>
    <col min="6" max="6" width="14.42578125" style="1" customWidth="1"/>
    <col min="7" max="16384" width="9.140625" style="1"/>
  </cols>
  <sheetData>
    <row r="1" spans="1:4" ht="42.75" customHeight="1">
      <c r="A1" s="330" t="s">
        <v>1053</v>
      </c>
      <c r="B1" s="331"/>
      <c r="C1" s="331"/>
    </row>
    <row r="2" spans="1:4" ht="2.25" customHeight="1">
      <c r="A2" s="23"/>
      <c r="B2" s="103"/>
      <c r="C2" s="103"/>
    </row>
    <row r="3" spans="1:4" ht="58.5" customHeight="1">
      <c r="A3" s="28" t="s">
        <v>1</v>
      </c>
      <c r="B3" s="118" t="s">
        <v>2</v>
      </c>
      <c r="C3" s="28" t="s">
        <v>3</v>
      </c>
    </row>
    <row r="4" spans="1:4" ht="22.5" customHeight="1">
      <c r="A4" s="33"/>
      <c r="B4" s="34"/>
      <c r="C4" s="27"/>
    </row>
    <row r="5" spans="1:4" ht="24.95" customHeight="1">
      <c r="A5" s="73">
        <v>1</v>
      </c>
      <c r="B5" s="181" t="s">
        <v>89</v>
      </c>
      <c r="C5" s="31" t="s">
        <v>90</v>
      </c>
    </row>
    <row r="6" spans="1:4" ht="24.95" customHeight="1">
      <c r="A6" s="73">
        <v>2</v>
      </c>
      <c r="B6" s="57" t="s">
        <v>14</v>
      </c>
      <c r="C6" s="59" t="s">
        <v>15</v>
      </c>
      <c r="D6" s="187"/>
    </row>
    <row r="7" spans="1:4" ht="24.95" customHeight="1">
      <c r="A7" s="73">
        <v>3</v>
      </c>
      <c r="B7" s="181" t="s">
        <v>16</v>
      </c>
      <c r="C7" s="181" t="s">
        <v>17</v>
      </c>
    </row>
    <row r="8" spans="1:4" ht="24.95" customHeight="1">
      <c r="A8" s="73">
        <v>4</v>
      </c>
      <c r="B8" s="181" t="s">
        <v>18</v>
      </c>
      <c r="C8" s="181" t="s">
        <v>19</v>
      </c>
    </row>
    <row r="9" spans="1:4" ht="24.95" customHeight="1">
      <c r="A9" s="73">
        <v>5</v>
      </c>
      <c r="B9" s="181" t="s">
        <v>20</v>
      </c>
      <c r="C9" s="181" t="s">
        <v>21</v>
      </c>
    </row>
    <row r="10" spans="1:4" ht="24.95" customHeight="1">
      <c r="A10" s="73">
        <v>6</v>
      </c>
      <c r="B10" s="181" t="s">
        <v>22</v>
      </c>
      <c r="C10" s="181" t="s">
        <v>23</v>
      </c>
    </row>
    <row r="11" spans="1:4" ht="24.95" customHeight="1">
      <c r="A11" s="73">
        <v>7</v>
      </c>
      <c r="B11" s="181" t="s">
        <v>24</v>
      </c>
      <c r="C11" s="181" t="s">
        <v>25</v>
      </c>
    </row>
    <row r="12" spans="1:4" ht="24.95" customHeight="1">
      <c r="A12" s="73">
        <v>8</v>
      </c>
      <c r="B12" s="181" t="s">
        <v>26</v>
      </c>
      <c r="C12" s="181" t="s">
        <v>25</v>
      </c>
    </row>
    <row r="13" spans="1:4" ht="24.95" customHeight="1">
      <c r="A13" s="73">
        <v>9</v>
      </c>
      <c r="B13" s="181" t="s">
        <v>27</v>
      </c>
      <c r="C13" s="181" t="s">
        <v>23</v>
      </c>
    </row>
    <row r="14" spans="1:4" ht="24.95" customHeight="1">
      <c r="A14" s="73">
        <v>10</v>
      </c>
      <c r="B14" s="249" t="s">
        <v>91</v>
      </c>
      <c r="C14" s="181" t="s">
        <v>34</v>
      </c>
    </row>
    <row r="15" spans="1:4" ht="24.95" customHeight="1">
      <c r="A15" s="73">
        <v>11</v>
      </c>
      <c r="B15" s="181" t="s">
        <v>93</v>
      </c>
      <c r="C15" s="181" t="s">
        <v>92</v>
      </c>
    </row>
    <row r="16" spans="1:4" ht="24.95" customHeight="1">
      <c r="A16" s="73">
        <v>12</v>
      </c>
      <c r="B16" s="31" t="s">
        <v>94</v>
      </c>
      <c r="C16" s="31" t="s">
        <v>90</v>
      </c>
    </row>
    <row r="17" spans="1:6" ht="24.95" customHeight="1">
      <c r="A17" s="73">
        <v>13</v>
      </c>
      <c r="B17" s="31" t="s">
        <v>28</v>
      </c>
      <c r="C17" s="31" t="s">
        <v>29</v>
      </c>
    </row>
    <row r="18" spans="1:6" ht="24.95" customHeight="1">
      <c r="A18" s="73">
        <v>14</v>
      </c>
      <c r="B18" s="31" t="s">
        <v>30</v>
      </c>
      <c r="C18" s="31" t="s">
        <v>19</v>
      </c>
    </row>
    <row r="19" spans="1:6" ht="24.95" customHeight="1">
      <c r="A19" s="73">
        <v>15</v>
      </c>
      <c r="B19" s="31" t="s">
        <v>31</v>
      </c>
      <c r="C19" s="31" t="s">
        <v>32</v>
      </c>
    </row>
    <row r="20" spans="1:6" ht="24.95" customHeight="1">
      <c r="A20" s="73">
        <v>16</v>
      </c>
      <c r="B20" s="59" t="s">
        <v>350</v>
      </c>
      <c r="C20" s="31" t="s">
        <v>373</v>
      </c>
    </row>
    <row r="21" spans="1:6" ht="24.95" customHeight="1">
      <c r="A21" s="73">
        <v>17</v>
      </c>
      <c r="B21" s="59" t="s">
        <v>126</v>
      </c>
      <c r="C21" s="31" t="s">
        <v>19</v>
      </c>
      <c r="D21" s="187"/>
    </row>
    <row r="22" spans="1:6" ht="24.95" customHeight="1">
      <c r="A22" s="73">
        <v>18</v>
      </c>
      <c r="B22" s="227" t="s">
        <v>356</v>
      </c>
      <c r="C22" s="31" t="s">
        <v>39</v>
      </c>
    </row>
    <row r="23" spans="1:6" ht="24.95" customHeight="1">
      <c r="A23" s="73">
        <v>19</v>
      </c>
      <c r="B23" s="227" t="s">
        <v>306</v>
      </c>
      <c r="C23" s="31" t="s">
        <v>39</v>
      </c>
    </row>
    <row r="24" spans="1:6" ht="24.95" customHeight="1">
      <c r="A24" s="73">
        <v>20</v>
      </c>
      <c r="B24" s="227" t="s">
        <v>283</v>
      </c>
      <c r="C24" s="31" t="s">
        <v>37</v>
      </c>
    </row>
    <row r="25" spans="1:6" ht="24.95" customHeight="1">
      <c r="A25" s="73">
        <v>21</v>
      </c>
      <c r="B25" s="227" t="s">
        <v>284</v>
      </c>
      <c r="C25" s="31" t="s">
        <v>37</v>
      </c>
    </row>
    <row r="26" spans="1:6" ht="24.95" customHeight="1">
      <c r="A26" s="73">
        <v>22</v>
      </c>
      <c r="B26" s="227" t="s">
        <v>285</v>
      </c>
      <c r="C26" s="31" t="s">
        <v>37</v>
      </c>
    </row>
    <row r="27" spans="1:6" ht="24.95" customHeight="1">
      <c r="A27" s="73">
        <v>23</v>
      </c>
      <c r="B27" s="227" t="s">
        <v>286</v>
      </c>
      <c r="C27" s="31" t="s">
        <v>37</v>
      </c>
      <c r="D27" s="212"/>
    </row>
    <row r="28" spans="1:6" ht="24.95" customHeight="1">
      <c r="A28" s="73">
        <v>24</v>
      </c>
      <c r="B28" s="227" t="s">
        <v>296</v>
      </c>
      <c r="C28" s="31" t="s">
        <v>37</v>
      </c>
    </row>
    <row r="29" spans="1:6" ht="24.95" customHeight="1">
      <c r="A29" s="73">
        <v>25</v>
      </c>
      <c r="B29" s="227" t="s">
        <v>119</v>
      </c>
      <c r="C29" s="31" t="s">
        <v>37</v>
      </c>
      <c r="D29" s="8"/>
      <c r="E29" s="8"/>
      <c r="F29" s="8"/>
    </row>
    <row r="30" spans="1:6" ht="30" customHeight="1">
      <c r="A30" s="73">
        <v>26</v>
      </c>
      <c r="B30" s="227" t="s">
        <v>374</v>
      </c>
      <c r="C30" s="31" t="s">
        <v>34</v>
      </c>
      <c r="D30" s="8"/>
      <c r="E30" s="8"/>
      <c r="F30" s="8"/>
    </row>
    <row r="31" spans="1:6" ht="33" customHeight="1">
      <c r="A31" s="73">
        <v>27</v>
      </c>
      <c r="B31" s="255" t="s">
        <v>358</v>
      </c>
      <c r="C31" s="31" t="s">
        <v>39</v>
      </c>
    </row>
    <row r="32" spans="1:6" ht="33" customHeight="1">
      <c r="A32" s="73">
        <v>28</v>
      </c>
      <c r="B32" s="255" t="s">
        <v>359</v>
      </c>
      <c r="C32" s="31" t="s">
        <v>39</v>
      </c>
    </row>
    <row r="33" spans="1:3" ht="33" customHeight="1">
      <c r="A33" s="73">
        <v>29</v>
      </c>
      <c r="B33" s="255" t="s">
        <v>360</v>
      </c>
      <c r="C33" s="31" t="s">
        <v>39</v>
      </c>
    </row>
    <row r="34" spans="1:3" ht="33" customHeight="1">
      <c r="A34" s="73">
        <v>30</v>
      </c>
      <c r="B34" s="255" t="s">
        <v>361</v>
      </c>
      <c r="C34" s="31" t="s">
        <v>39</v>
      </c>
    </row>
    <row r="35" spans="1:3" ht="33" customHeight="1">
      <c r="A35" s="73">
        <v>31</v>
      </c>
      <c r="B35" s="255" t="s">
        <v>362</v>
      </c>
      <c r="C35" s="31" t="s">
        <v>39</v>
      </c>
    </row>
    <row r="36" spans="1:3" ht="35.1" customHeight="1">
      <c r="A36" s="73">
        <v>32</v>
      </c>
      <c r="B36" s="255" t="s">
        <v>127</v>
      </c>
      <c r="C36" s="31" t="s">
        <v>34</v>
      </c>
    </row>
    <row r="37" spans="1:3" ht="35.1" customHeight="1">
      <c r="A37" s="73">
        <v>33</v>
      </c>
      <c r="B37" s="255" t="s">
        <v>33</v>
      </c>
      <c r="C37" s="277" t="s">
        <v>34</v>
      </c>
    </row>
    <row r="38" spans="1:3" ht="35.1" customHeight="1">
      <c r="A38" s="73">
        <v>34</v>
      </c>
      <c r="B38" s="255" t="s">
        <v>375</v>
      </c>
      <c r="C38" s="31" t="s">
        <v>39</v>
      </c>
    </row>
    <row r="39" spans="1:3" ht="35.1" customHeight="1">
      <c r="A39" s="73">
        <v>35</v>
      </c>
      <c r="B39" s="255" t="s">
        <v>376</v>
      </c>
      <c r="C39" s="31" t="s">
        <v>39</v>
      </c>
    </row>
    <row r="40" spans="1:3" ht="35.1" customHeight="1">
      <c r="A40" s="73">
        <v>36</v>
      </c>
      <c r="B40" s="255" t="s">
        <v>377</v>
      </c>
      <c r="C40" s="31" t="s">
        <v>39</v>
      </c>
    </row>
    <row r="41" spans="1:3" ht="35.1" customHeight="1">
      <c r="A41" s="73">
        <v>37</v>
      </c>
      <c r="B41" s="255" t="s">
        <v>378</v>
      </c>
      <c r="C41" s="31" t="s">
        <v>39</v>
      </c>
    </row>
    <row r="42" spans="1:3" ht="35.1" customHeight="1">
      <c r="A42" s="73">
        <v>38</v>
      </c>
      <c r="B42" s="255" t="s">
        <v>379</v>
      </c>
      <c r="C42" s="31" t="s">
        <v>39</v>
      </c>
    </row>
    <row r="43" spans="1:3" ht="35.1" customHeight="1">
      <c r="A43" s="73">
        <v>39</v>
      </c>
      <c r="B43" s="255" t="s">
        <v>380</v>
      </c>
      <c r="C43" s="31" t="s">
        <v>39</v>
      </c>
    </row>
    <row r="44" spans="1:3" ht="35.1" customHeight="1">
      <c r="A44" s="73">
        <v>40</v>
      </c>
      <c r="B44" s="255" t="s">
        <v>381</v>
      </c>
      <c r="C44" s="31" t="s">
        <v>39</v>
      </c>
    </row>
    <row r="45" spans="1:3" ht="35.1" customHeight="1">
      <c r="A45" s="73">
        <v>41</v>
      </c>
      <c r="B45" s="255" t="s">
        <v>382</v>
      </c>
      <c r="C45" s="31" t="s">
        <v>39</v>
      </c>
    </row>
    <row r="46" spans="1:3" ht="35.1" customHeight="1">
      <c r="A46" s="73">
        <v>42</v>
      </c>
      <c r="B46" s="255" t="s">
        <v>128</v>
      </c>
      <c r="C46" s="31" t="s">
        <v>39</v>
      </c>
    </row>
    <row r="47" spans="1:3" ht="35.1" customHeight="1">
      <c r="A47" s="73">
        <v>43</v>
      </c>
      <c r="B47" s="255" t="s">
        <v>383</v>
      </c>
      <c r="C47" s="31" t="s">
        <v>39</v>
      </c>
    </row>
    <row r="48" spans="1:3" ht="35.1" customHeight="1">
      <c r="A48" s="73">
        <v>44</v>
      </c>
      <c r="B48" s="255" t="s">
        <v>129</v>
      </c>
      <c r="C48" s="31" t="s">
        <v>39</v>
      </c>
    </row>
    <row r="49" spans="1:3" ht="35.1" customHeight="1">
      <c r="A49" s="73">
        <v>45</v>
      </c>
      <c r="B49" s="255" t="s">
        <v>130</v>
      </c>
      <c r="C49" s="31" t="s">
        <v>39</v>
      </c>
    </row>
    <row r="50" spans="1:3" ht="35.1" customHeight="1">
      <c r="A50" s="73">
        <v>46</v>
      </c>
      <c r="B50" s="255" t="s">
        <v>131</v>
      </c>
      <c r="C50" s="31" t="s">
        <v>39</v>
      </c>
    </row>
    <row r="51" spans="1:3" ht="35.1" customHeight="1">
      <c r="A51" s="73">
        <v>47</v>
      </c>
      <c r="B51" s="255" t="s">
        <v>132</v>
      </c>
      <c r="C51" s="31" t="s">
        <v>39</v>
      </c>
    </row>
    <row r="52" spans="1:3" ht="35.1" customHeight="1">
      <c r="A52" s="73">
        <v>48</v>
      </c>
      <c r="B52" s="255" t="s">
        <v>1054</v>
      </c>
      <c r="C52" s="31" t="s">
        <v>133</v>
      </c>
    </row>
    <row r="53" spans="1:3" ht="35.1" customHeight="1">
      <c r="A53" s="73">
        <v>49</v>
      </c>
      <c r="B53" s="255" t="s">
        <v>35</v>
      </c>
      <c r="C53" s="31" t="s">
        <v>34</v>
      </c>
    </row>
    <row r="54" spans="1:3" ht="43.5" customHeight="1">
      <c r="A54" s="73">
        <v>50</v>
      </c>
      <c r="B54" s="255" t="s">
        <v>36</v>
      </c>
      <c r="C54" s="31" t="s">
        <v>37</v>
      </c>
    </row>
    <row r="55" spans="1:3" ht="35.1" customHeight="1">
      <c r="A55" s="73">
        <v>51</v>
      </c>
      <c r="B55" s="255" t="s">
        <v>135</v>
      </c>
      <c r="C55" s="31" t="s">
        <v>39</v>
      </c>
    </row>
    <row r="56" spans="1:3" ht="39" customHeight="1">
      <c r="A56" s="73">
        <v>52</v>
      </c>
      <c r="B56" s="255" t="s">
        <v>136</v>
      </c>
      <c r="C56" s="31" t="s">
        <v>39</v>
      </c>
    </row>
    <row r="57" spans="1:3" ht="39" customHeight="1">
      <c r="A57" s="73">
        <v>53</v>
      </c>
      <c r="B57" s="255" t="s">
        <v>137</v>
      </c>
      <c r="C57" s="31" t="s">
        <v>39</v>
      </c>
    </row>
    <row r="58" spans="1:3" ht="39" customHeight="1">
      <c r="A58" s="73">
        <v>54</v>
      </c>
      <c r="B58" s="255" t="s">
        <v>138</v>
      </c>
      <c r="C58" s="31" t="s">
        <v>39</v>
      </c>
    </row>
    <row r="59" spans="1:3" ht="39" customHeight="1">
      <c r="A59" s="73">
        <v>55</v>
      </c>
      <c r="B59" s="255" t="s">
        <v>43</v>
      </c>
      <c r="C59" s="31" t="s">
        <v>44</v>
      </c>
    </row>
    <row r="60" spans="1:3" ht="39" customHeight="1">
      <c r="A60" s="73">
        <v>56</v>
      </c>
      <c r="B60" s="255" t="s">
        <v>45</v>
      </c>
      <c r="C60" s="31" t="s">
        <v>34</v>
      </c>
    </row>
    <row r="61" spans="1:3" ht="39" customHeight="1">
      <c r="A61" s="73">
        <v>57</v>
      </c>
      <c r="B61" s="255" t="s">
        <v>46</v>
      </c>
      <c r="C61" s="31" t="s">
        <v>39</v>
      </c>
    </row>
    <row r="62" spans="1:3" ht="39" customHeight="1">
      <c r="A62" s="73">
        <v>58</v>
      </c>
      <c r="B62" s="255" t="s">
        <v>48</v>
      </c>
      <c r="C62" s="31" t="s">
        <v>39</v>
      </c>
    </row>
    <row r="63" spans="1:3" ht="39" customHeight="1">
      <c r="A63" s="73">
        <v>59</v>
      </c>
      <c r="B63" s="255" t="s">
        <v>49</v>
      </c>
      <c r="C63" s="31" t="s">
        <v>50</v>
      </c>
    </row>
    <row r="64" spans="1:3" ht="39" customHeight="1">
      <c r="A64" s="73">
        <v>60</v>
      </c>
      <c r="B64" s="255" t="s">
        <v>51</v>
      </c>
      <c r="C64" s="31" t="s">
        <v>52</v>
      </c>
    </row>
    <row r="65" spans="1:3" ht="39" customHeight="1">
      <c r="A65" s="73">
        <v>61</v>
      </c>
      <c r="B65" s="255" t="s">
        <v>53</v>
      </c>
      <c r="C65" s="31" t="s">
        <v>39</v>
      </c>
    </row>
    <row r="66" spans="1:3" ht="20.100000000000001" customHeight="1">
      <c r="A66" s="70"/>
    </row>
    <row r="67" spans="1:3" ht="20.100000000000001" customHeight="1">
      <c r="A67" s="70"/>
    </row>
    <row r="68" spans="1:3" ht="20.100000000000001" customHeight="1">
      <c r="A68" s="70"/>
    </row>
    <row r="69" spans="1:3" ht="20.100000000000001" customHeight="1">
      <c r="A69" s="70"/>
      <c r="C69" s="168"/>
    </row>
    <row r="70" spans="1:3" ht="20.100000000000001" customHeight="1">
      <c r="A70" s="70"/>
      <c r="C70" s="168"/>
    </row>
    <row r="71" spans="1:3" ht="20.100000000000001" customHeight="1">
      <c r="A71" s="70"/>
      <c r="C71" s="168"/>
    </row>
    <row r="72" spans="1:3" ht="20.100000000000001" customHeight="1">
      <c r="A72" s="70"/>
      <c r="C72" s="168"/>
    </row>
    <row r="73" spans="1:3" ht="20.100000000000001" customHeight="1">
      <c r="A73" s="70"/>
    </row>
    <row r="74" spans="1:3" ht="20.100000000000001" customHeight="1">
      <c r="A74" s="70"/>
    </row>
    <row r="75" spans="1:3" ht="20.100000000000001" customHeight="1">
      <c r="A75" s="70"/>
    </row>
    <row r="76" spans="1:3" ht="20.100000000000001" customHeight="1">
      <c r="A76" s="70"/>
    </row>
    <row r="77" spans="1:3" ht="20.100000000000001" customHeight="1">
      <c r="A77" s="70"/>
    </row>
    <row r="78" spans="1:3" ht="20.100000000000001" customHeight="1">
      <c r="A78" s="70"/>
    </row>
    <row r="79" spans="1:3" ht="20.100000000000001" customHeight="1">
      <c r="A79" s="70"/>
    </row>
    <row r="80" spans="1:3" ht="20.100000000000001" customHeight="1">
      <c r="A80" s="70"/>
    </row>
    <row r="81" spans="1:1" ht="20.100000000000001" customHeight="1">
      <c r="A81" s="70"/>
    </row>
    <row r="82" spans="1:1" ht="20.100000000000001" customHeight="1">
      <c r="A82" s="70"/>
    </row>
    <row r="83" spans="1:1" ht="20.100000000000001" customHeight="1">
      <c r="A83" s="70"/>
    </row>
    <row r="84" spans="1:1" ht="20.100000000000001" customHeight="1">
      <c r="A84" s="70"/>
    </row>
    <row r="85" spans="1:1" ht="20.100000000000001" customHeight="1">
      <c r="A85" s="70"/>
    </row>
    <row r="86" spans="1:1" ht="20.100000000000001" customHeight="1">
      <c r="A86" s="70"/>
    </row>
    <row r="87" spans="1:1" ht="20.100000000000001" customHeight="1">
      <c r="A87" s="70"/>
    </row>
    <row r="88" spans="1:1" ht="20.100000000000001" customHeight="1">
      <c r="A88" s="70"/>
    </row>
    <row r="89" spans="1:1" ht="20.100000000000001" customHeight="1">
      <c r="A89" s="70"/>
    </row>
    <row r="90" spans="1:1" ht="20.100000000000001" customHeight="1">
      <c r="A90" s="70"/>
    </row>
    <row r="91" spans="1:1" ht="20.100000000000001" customHeight="1">
      <c r="A91" s="70"/>
    </row>
    <row r="92" spans="1:1" ht="20.100000000000001" customHeight="1">
      <c r="A92" s="70"/>
    </row>
    <row r="93" spans="1:1" ht="20.100000000000001" customHeight="1">
      <c r="A93" s="70"/>
    </row>
    <row r="94" spans="1:1" ht="20.100000000000001" customHeight="1">
      <c r="A94" s="70"/>
    </row>
    <row r="95" spans="1:1" ht="20.100000000000001" customHeight="1">
      <c r="A95" s="70"/>
    </row>
    <row r="96" spans="1:1" ht="20.100000000000001" customHeight="1">
      <c r="A96" s="70"/>
    </row>
    <row r="97" spans="1:1" ht="20.100000000000001" customHeight="1">
      <c r="A97" s="70"/>
    </row>
    <row r="98" spans="1:1" ht="20.100000000000001" customHeight="1">
      <c r="A98" s="70"/>
    </row>
    <row r="99" spans="1:1" ht="20.100000000000001" customHeight="1">
      <c r="A99" s="70"/>
    </row>
    <row r="100" spans="1:1" ht="20.100000000000001" customHeight="1">
      <c r="A100" s="70"/>
    </row>
    <row r="101" spans="1:1" ht="20.100000000000001" customHeight="1">
      <c r="A101" s="70"/>
    </row>
    <row r="102" spans="1:1" ht="20.100000000000001" customHeight="1">
      <c r="A102" s="70"/>
    </row>
    <row r="103" spans="1:1" ht="20.100000000000001" customHeight="1">
      <c r="A103" s="70"/>
    </row>
    <row r="104" spans="1:1" ht="20.100000000000001" customHeight="1">
      <c r="A104" s="70"/>
    </row>
    <row r="105" spans="1:1" ht="20.100000000000001" customHeight="1">
      <c r="A105" s="70"/>
    </row>
    <row r="106" spans="1:1" ht="20.100000000000001" customHeight="1">
      <c r="A106" s="23"/>
    </row>
    <row r="147" spans="5:5" ht="20.100000000000001" customHeight="1">
      <c r="E147" s="1">
        <f>60000</f>
        <v>60000</v>
      </c>
    </row>
  </sheetData>
  <mergeCells count="1">
    <mergeCell ref="A1:C1"/>
  </mergeCells>
  <pageMargins left="0.51181102362204722" right="0" top="0" bottom="7.874015748031496E-2" header="0.11811023622047245" footer="0"/>
  <pageSetup paperSize="9" scale="94" orientation="portrait" r:id="rId1"/>
  <headerFooter alignWithMargins="0"/>
  <rowBreaks count="2" manualBreakCount="2">
    <brk id="31" max="2" man="1"/>
    <brk id="54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2024-06-06T09:25:24Z</dcterms:modified>
  <cp:category/>
  <cp:contentStatus/>
</cp:coreProperties>
</file>