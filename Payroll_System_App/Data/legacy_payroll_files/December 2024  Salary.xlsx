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56E70BCCD1BAB5AD7B72A13EEDD2CE2A303C66DD" xr6:coauthVersionLast="47" xr6:coauthVersionMax="47" xr10:uidLastSave="{00000000-0000-0000-0000-000000000000}"/>
  <bookViews>
    <workbookView xWindow="0" yWindow="390" windowWidth="28800" windowHeight="11670" tabRatio="597" xr2:uid="{00000000-000D-0000-FFFF-FFFF00000000}"/>
  </bookViews>
  <sheets>
    <sheet name="DECEMBER 2024" sheetId="1" r:id="rId1"/>
    <sheet name="MEMO" sheetId="68" r:id="rId2"/>
    <sheet name="2024 Promotion Arrears" sheetId="176" r:id="rId3"/>
    <sheet name="Promotion in Sept" sheetId="172" r:id="rId4"/>
    <sheet name=" New Grade PAYE " sheetId="182" r:id="rId5"/>
    <sheet name="Tax on Arrears" sheetId="183" r:id="rId6"/>
    <sheet name="Stoppage of Salary" sheetId="184" r:id="rId7"/>
    <sheet name="New PAYE" sheetId="180" r:id="rId8"/>
    <sheet name="New Pensions Promotion" sheetId="181" r:id="rId9"/>
    <sheet name="Conversion in Nov" sheetId="179" r:id="rId10"/>
    <sheet name="Christmas Welfare 2024" sheetId="186" r:id="rId11"/>
    <sheet name="Sum of Welfare" sheetId="185" r:id="rId12"/>
    <sheet name="Staff Bonus" sheetId="188" r:id="rId13"/>
    <sheet name="Sum of Bonus" sheetId="187" r:id="rId14"/>
    <sheet name="Bonus PAYE" sheetId="190" r:id="rId15"/>
    <sheet name="Sheet5" sheetId="189" r:id="rId16"/>
    <sheet name="New Enrolmt" sheetId="170" r:id="rId17"/>
    <sheet name="1ST 28 DAYS" sheetId="163" r:id="rId18"/>
    <sheet name="Conversion in Sept" sheetId="174" r:id="rId19"/>
    <sheet name="Conversion &amp; Enrol Effect" sheetId="164" r:id="rId20"/>
    <sheet name="Converted Staff PAYE" sheetId="169" r:id="rId21"/>
    <sheet name="Movt to Contract" sheetId="167" r:id="rId22"/>
    <sheet name="Sheet10" sheetId="168" r:id="rId23"/>
    <sheet name="Sheet8" sheetId="166" r:id="rId24"/>
    <sheet name="Welfare June" sheetId="161" r:id="rId25"/>
    <sheet name="Welfare Summary" sheetId="162" r:id="rId26"/>
    <sheet name="Arrears of Res. Allow" sheetId="159" r:id="rId27"/>
    <sheet name="Additional Leg Duty Allowance" sheetId="153" r:id="rId28"/>
    <sheet name="March New PAYE " sheetId="154" r:id="rId29"/>
    <sheet name="Upgrade in March" sheetId="155" r:id="rId30"/>
    <sheet name="New NHF Deduction" sheetId="156" r:id="rId31"/>
    <sheet name="Regularisation" sheetId="152" r:id="rId32"/>
    <sheet name="Sallah Welfare, April 2024" sheetId="158" r:id="rId33"/>
    <sheet name="Sheet4" sheetId="157" r:id="rId34"/>
    <sheet name="January Arrears" sheetId="149" r:id="rId35"/>
    <sheet name="Tax Reg Sch. " sheetId="146" r:id="rId36"/>
    <sheet name=" Excess Ded Paid" sheetId="142" r:id="rId37"/>
    <sheet name="Changes in Gross &amp; PAYE " sheetId="143" r:id="rId38"/>
    <sheet name="May New PAYE " sheetId="147" r:id="rId39"/>
    <sheet name="Employee Pensions" sheetId="144" r:id="rId40"/>
    <sheet name="Upgrade in Feb." sheetId="150" r:id="rId41"/>
    <sheet name="Coop. Ded for Feb." sheetId="151" r:id="rId42"/>
    <sheet name="ENHANCED WELFARE 2024" sheetId="140" r:id="rId43"/>
    <sheet name="PROMOTIONS " sheetId="131" r:id="rId44"/>
    <sheet name="CHRISTMAS WELFARE" sheetId="135" r:id="rId45"/>
    <sheet name="CHRISTMAS WELFARE 1" sheetId="134" r:id="rId46"/>
    <sheet name="HALF 2023 (2)" sheetId="137" r:id="rId47"/>
    <sheet name="Sheet3" sheetId="136" r:id="rId48"/>
    <sheet name="NEW ENROLMENT IN NOVEMBER (2)" sheetId="132" r:id="rId49"/>
    <sheet name="Regularisation IN NOVEMBER (3)" sheetId="133" r:id="rId50"/>
    <sheet name="Sheet2" sheetId="130" r:id="rId51"/>
    <sheet name="PROMOTIONS" sheetId="129" r:id="rId52"/>
    <sheet name="SALARY STRUCTURE" sheetId="128" r:id="rId53"/>
    <sheet name="Wage Grant" sheetId="124" r:id="rId54"/>
    <sheet name="Wage Grant (2)" sheetId="126" r:id="rId55"/>
    <sheet name="1st 28 days in Nov" sheetId="123" r:id="rId56"/>
    <sheet name="Sallah Welfare April 2023" sheetId="119" r:id="rId57"/>
    <sheet name="Sallah Welfare June 2023" sheetId="120" r:id="rId58"/>
    <sheet name="Sallah Welfare June 2023 Latest" sheetId="121" r:id="rId59"/>
    <sheet name="Sheet1" sheetId="117" r:id="rId60"/>
    <sheet name="January 2023 PAYE" sheetId="115" r:id="rId61"/>
    <sheet name="January 2023 NHF)" sheetId="116" r:id="rId62"/>
    <sheet name="PAYE Computation" sheetId="114" r:id="rId63"/>
    <sheet name="Tax adj August, 2022" sheetId="87" r:id="rId64"/>
    <sheet name="Annual Increement" sheetId="78" r:id="rId65"/>
    <sheet name="Enhanced Welfare 2023 (2)" sheetId="110" r:id="rId66"/>
    <sheet name="Enhanced Welfare 2023 (3)" sheetId="113" r:id="rId67"/>
    <sheet name="17.9" sheetId="4" r:id="rId68"/>
    <sheet name="16.7" sheetId="5" r:id="rId69"/>
    <sheet name="15.7.1" sheetId="6" r:id="rId70"/>
    <sheet name="13.7" sheetId="7" r:id="rId71"/>
    <sheet name="12.7" sheetId="8" r:id="rId72"/>
    <sheet name="10.7" sheetId="9" r:id="rId73"/>
    <sheet name="9.7" sheetId="10" r:id="rId74"/>
    <sheet name="8.7" sheetId="11" r:id="rId75"/>
    <sheet name="SUMMARY" sheetId="12" r:id="rId76"/>
    <sheet name="14.7" sheetId="13" r:id="rId77"/>
    <sheet name="15.7" sheetId="23" r:id="rId78"/>
    <sheet name="Basic Salary" sheetId="61" r:id="rId79"/>
    <sheet name="JUNE 2023 (2)" sheetId="122" r:id="rId80"/>
  </sheets>
  <externalReferences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xlnm.Print_Area" localSheetId="27">'Additional Leg Duty Allowance'!$A$1:$U$19</definedName>
    <definedName name="_xlnm.Print_Area" localSheetId="64">'Annual Increement'!$A$1:$AB$191</definedName>
    <definedName name="_xlnm.Print_Area" localSheetId="44">'CHRISTMAS WELFARE'!$A$1:$E$196</definedName>
    <definedName name="_xlnm.Print_Area" localSheetId="10">'Christmas Welfare 2024'!$A$1:$E$207</definedName>
    <definedName name="_xlnm.Print_Area" localSheetId="0">'DECEMBER 2024'!$A$1:$S$205</definedName>
    <definedName name="_xlnm.Print_Area" localSheetId="65">'Enhanced Welfare 2023 (2)'!$A$1:$G$193</definedName>
    <definedName name="_xlnm.Print_Area" localSheetId="66">'Enhanced Welfare 2023 (3)'!$A$1:$G$193</definedName>
    <definedName name="_xlnm.Print_Area" localSheetId="42">'ENHANCED WELFARE 2024'!$A$1:$G$196</definedName>
    <definedName name="_xlnm.Print_Area" localSheetId="46">'HALF 2023 (2)'!$A$1:$F$195</definedName>
    <definedName name="_xlnm.Print_Area" localSheetId="61">'January 2023 NHF)'!$A$1:$H$191</definedName>
    <definedName name="_xlnm.Print_Area" localSheetId="60">'January 2023 PAYE'!$A$1:$H$191</definedName>
    <definedName name="_xlnm.Print_Area" localSheetId="79">'JUNE 2023 (2)'!$A$1:$D$190</definedName>
    <definedName name="_xlnm.Print_Area" localSheetId="1">MEMO!$A$1:$H$62</definedName>
    <definedName name="_xlnm.Print_Area" localSheetId="48">'NEW ENROLMENT IN NOVEMBER (2)'!$A$1:$X$14</definedName>
    <definedName name="_xlnm.Print_Area" localSheetId="3">'Promotion in Sept'!$A$1:$V$9</definedName>
    <definedName name="_xlnm.Print_Area" localSheetId="51">PROMOTIONS!$A$1:$AB$47</definedName>
    <definedName name="_xlnm.Print_Area" localSheetId="43">'PROMOTIONS '!$A$1:$AB$27</definedName>
    <definedName name="_xlnm.Print_Area" localSheetId="49">'Regularisation IN NOVEMBER (3)'!$A$1:$X$16</definedName>
    <definedName name="_xlnm.Print_Area" localSheetId="56">'Sallah Welfare April 2023'!$A$1:$E$190</definedName>
    <definedName name="_xlnm.Print_Area" localSheetId="57">'Sallah Welfare June 2023'!$A$1:$E$192</definedName>
    <definedName name="_xlnm.Print_Area" localSheetId="58">'Sallah Welfare June 2023 Latest'!$A$1:$E$189</definedName>
    <definedName name="_xlnm.Print_Area" localSheetId="32">'Sallah Welfare, April 2024'!$A$1:$E$194</definedName>
    <definedName name="_xlnm.Print_Area" localSheetId="12">'Staff Bonus'!$A$1:$F$207</definedName>
    <definedName name="_xlnm.Print_Area" localSheetId="63">'Tax adj August, 2022'!$A$1:$G$202</definedName>
    <definedName name="_xlnm.Print_Area" localSheetId="29">'Upgrade in March'!$A$1:$S$11</definedName>
    <definedName name="_xlnm.Print_Area" localSheetId="53">'Wage Grant'!$A$1:$I$192</definedName>
    <definedName name="_xlnm.Print_Area" localSheetId="54">'Wage Grant (2)'!$A$1:$H$62</definedName>
    <definedName name="_xlnm.Print_Area" localSheetId="24">'Welfare June'!$A$1:$E$194</definedName>
    <definedName name="_xlnm.Print_Titles" localSheetId="27">'Additional Leg Duty Allowance'!$4:$5</definedName>
    <definedName name="_xlnm.Print_Titles" localSheetId="44">'CHRISTMAS WELFARE'!$4:$5</definedName>
    <definedName name="_xlnm.Print_Titles" localSheetId="10">'Christmas Welfare 2024'!$4:$5</definedName>
    <definedName name="_xlnm.Print_Titles" localSheetId="0">'DECEMBER 2024'!$4:$5</definedName>
    <definedName name="_xlnm.Print_Titles" localSheetId="65">'Enhanced Welfare 2023 (2)'!$4:$5</definedName>
    <definedName name="_xlnm.Print_Titles" localSheetId="66">'Enhanced Welfare 2023 (3)'!$4:$5</definedName>
    <definedName name="_xlnm.Print_Titles" localSheetId="42">'ENHANCED WELFARE 2024'!$4:$5</definedName>
    <definedName name="_xlnm.Print_Titles" localSheetId="46">'HALF 2023 (2)'!$4:$5</definedName>
    <definedName name="_xlnm.Print_Titles" localSheetId="61">'January 2023 NHF)'!$4:$5</definedName>
    <definedName name="_xlnm.Print_Titles" localSheetId="60">'January 2023 PAYE'!$4:$5</definedName>
    <definedName name="_xlnm.Print_Titles" localSheetId="79">'JUNE 2023 (2)'!$4:$5</definedName>
    <definedName name="_xlnm.Print_Titles" localSheetId="48">'NEW ENROLMENT IN NOVEMBER (2)'!$4:$5</definedName>
    <definedName name="_xlnm.Print_Titles" localSheetId="3">'Promotion in Sept'!$4:$5</definedName>
    <definedName name="_xlnm.Print_Titles" localSheetId="51">PROMOTIONS!$4:$5</definedName>
    <definedName name="_xlnm.Print_Titles" localSheetId="43">'PROMOTIONS '!$4:$5</definedName>
    <definedName name="_xlnm.Print_Titles" localSheetId="49">'Regularisation IN NOVEMBER (3)'!$4:$5</definedName>
    <definedName name="_xlnm.Print_Titles" localSheetId="56">'Sallah Welfare April 2023'!$4:$5</definedName>
    <definedName name="_xlnm.Print_Titles" localSheetId="57">'Sallah Welfare June 2023'!$4:$5</definedName>
    <definedName name="_xlnm.Print_Titles" localSheetId="58">'Sallah Welfare June 2023 Latest'!$4:$5</definedName>
    <definedName name="_xlnm.Print_Titles" localSheetId="32">'Sallah Welfare, April 2024'!$4:$5</definedName>
    <definedName name="_xlnm.Print_Titles" localSheetId="12">'Staff Bonus'!$4:$5</definedName>
    <definedName name="_xlnm.Print_Titles" localSheetId="29">'Upgrade in March'!$4:$5</definedName>
    <definedName name="_xlnm.Print_Titles" localSheetId="53">'Wage Grant'!$5:$5</definedName>
    <definedName name="_xlnm.Print_Titles" localSheetId="54">'Wage Grant (2)'!$5:$5</definedName>
    <definedName name="_xlnm.Print_Titles" localSheetId="24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F189" i="116"/>
  <c r="C189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G164" i="116"/>
  <c r="H164" i="116" s="1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F152" i="116"/>
  <c r="H151" i="116"/>
  <c r="E151" i="116"/>
  <c r="H150" i="116"/>
  <c r="H149" i="116"/>
  <c r="E149" i="116"/>
  <c r="H148" i="116"/>
  <c r="E148" i="116"/>
  <c r="H147" i="116"/>
  <c r="G146" i="116"/>
  <c r="F146" i="116"/>
  <c r="H145" i="116"/>
  <c r="G144" i="116"/>
  <c r="H144" i="116" s="1"/>
  <c r="F144" i="116"/>
  <c r="G143" i="116"/>
  <c r="H143" i="116" s="1"/>
  <c r="F143" i="116"/>
  <c r="H142" i="116"/>
  <c r="H141" i="116"/>
  <c r="E141" i="116"/>
  <c r="H140" i="116"/>
  <c r="E140" i="116"/>
  <c r="G139" i="116"/>
  <c r="H139" i="116" s="1"/>
  <c r="F139" i="116"/>
  <c r="E139" i="116"/>
  <c r="H138" i="116"/>
  <c r="G137" i="116"/>
  <c r="H137" i="116" s="1"/>
  <c r="F137" i="116"/>
  <c r="G136" i="116"/>
  <c r="H136" i="116" s="1"/>
  <c r="F136" i="116"/>
  <c r="F135" i="116"/>
  <c r="H134" i="116"/>
  <c r="H133" i="116"/>
  <c r="H132" i="116"/>
  <c r="H131" i="116"/>
  <c r="F130" i="116"/>
  <c r="E130" i="116"/>
  <c r="H129" i="116"/>
  <c r="G129" i="116"/>
  <c r="F129" i="116"/>
  <c r="E129" i="116"/>
  <c r="H128" i="116"/>
  <c r="E128" i="116"/>
  <c r="H127" i="116"/>
  <c r="G126" i="116"/>
  <c r="H126" i="116" s="1"/>
  <c r="F126" i="116"/>
  <c r="G125" i="116"/>
  <c r="H125" i="116" s="1"/>
  <c r="F125" i="116"/>
  <c r="H124" i="116"/>
  <c r="H123" i="116"/>
  <c r="G122" i="116"/>
  <c r="H122" i="116" s="1"/>
  <c r="F122" i="116"/>
  <c r="G121" i="116"/>
  <c r="H121" i="116" s="1"/>
  <c r="F121" i="116"/>
  <c r="H120" i="116"/>
  <c r="G119" i="116"/>
  <c r="F119" i="116"/>
  <c r="H118" i="116"/>
  <c r="H117" i="116"/>
  <c r="F116" i="116"/>
  <c r="E116" i="116"/>
  <c r="H115" i="116"/>
  <c r="E115" i="116"/>
  <c r="H114" i="116"/>
  <c r="H113" i="116"/>
  <c r="E113" i="116"/>
  <c r="H112" i="116"/>
  <c r="G111" i="116"/>
  <c r="H111" i="116" s="1"/>
  <c r="F111" i="116"/>
  <c r="F110" i="116"/>
  <c r="H109" i="116"/>
  <c r="H108" i="116"/>
  <c r="H107" i="116"/>
  <c r="G106" i="116"/>
  <c r="H106" i="116" s="1"/>
  <c r="F106" i="116"/>
  <c r="E106" i="116"/>
  <c r="H105" i="116"/>
  <c r="H104" i="116"/>
  <c r="H103" i="116"/>
  <c r="G103" i="116"/>
  <c r="F103" i="116"/>
  <c r="H102" i="116"/>
  <c r="H101" i="116"/>
  <c r="H100" i="116"/>
  <c r="F99" i="116"/>
  <c r="E99" i="116"/>
  <c r="H98" i="116"/>
  <c r="E98" i="116"/>
  <c r="H97" i="116"/>
  <c r="H96" i="116"/>
  <c r="E96" i="116"/>
  <c r="H95" i="116"/>
  <c r="H94" i="116"/>
  <c r="H93" i="116"/>
  <c r="H92" i="116"/>
  <c r="G91" i="116"/>
  <c r="H91" i="116" s="1"/>
  <c r="F91" i="116"/>
  <c r="E91" i="116"/>
  <c r="G90" i="116"/>
  <c r="F90" i="116"/>
  <c r="H89" i="116"/>
  <c r="H88" i="116"/>
  <c r="H87" i="116"/>
  <c r="H86" i="116"/>
  <c r="F85" i="116"/>
  <c r="E85" i="116"/>
  <c r="H84" i="116"/>
  <c r="G83" i="116"/>
  <c r="F83" i="116"/>
  <c r="H82" i="116"/>
  <c r="H81" i="116"/>
  <c r="H80" i="116"/>
  <c r="H79" i="116"/>
  <c r="H78" i="116"/>
  <c r="F77" i="116"/>
  <c r="E77" i="116"/>
  <c r="H76" i="116"/>
  <c r="E76" i="116"/>
  <c r="H75" i="116"/>
  <c r="E75" i="116"/>
  <c r="H74" i="116"/>
  <c r="H73" i="116"/>
  <c r="H72" i="116"/>
  <c r="H71" i="116"/>
  <c r="G70" i="116"/>
  <c r="H70" i="116" s="1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F57" i="116"/>
  <c r="E57" i="116"/>
  <c r="H56" i="116"/>
  <c r="E56" i="116"/>
  <c r="H55" i="116"/>
  <c r="E55" i="116"/>
  <c r="H54" i="116"/>
  <c r="E54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G17" i="116"/>
  <c r="H17" i="116" s="1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G11" i="116"/>
  <c r="H11" i="116" s="1"/>
  <c r="F11" i="116"/>
  <c r="E11" i="116"/>
  <c r="H10" i="116"/>
  <c r="H9" i="116"/>
  <c r="E9" i="116"/>
  <c r="H8" i="116"/>
  <c r="E8" i="116"/>
  <c r="H7" i="116"/>
  <c r="G7" i="116"/>
  <c r="G110" i="116" s="1"/>
  <c r="G116" i="116" s="1"/>
  <c r="H116" i="116" s="1"/>
  <c r="F7" i="116"/>
  <c r="E7" i="116"/>
  <c r="E3" i="116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E77" i="115"/>
  <c r="G76" i="115"/>
  <c r="E76" i="115"/>
  <c r="G75" i="115"/>
  <c r="E75" i="115"/>
  <c r="G74" i="115"/>
  <c r="E74" i="115"/>
  <c r="F73" i="115"/>
  <c r="F77" i="115" s="1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F61" i="115"/>
  <c r="E61" i="115"/>
  <c r="F60" i="115"/>
  <c r="G60" i="115" s="1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A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A45" i="129"/>
  <c r="X45" i="129"/>
  <c r="Y45" i="129" s="1"/>
  <c r="Z45" i="129" s="1"/>
  <c r="AB45" i="129" s="1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X44" i="129"/>
  <c r="Y44" i="129" s="1"/>
  <c r="Z44" i="129" s="1"/>
  <c r="T44" i="129"/>
  <c r="Q44" i="129"/>
  <c r="P44" i="129"/>
  <c r="N44" i="129"/>
  <c r="M44" i="129"/>
  <c r="K44" i="129"/>
  <c r="J44" i="129"/>
  <c r="I44" i="129"/>
  <c r="G44" i="129"/>
  <c r="F44" i="129"/>
  <c r="E44" i="129"/>
  <c r="AA43" i="129"/>
  <c r="X43" i="129"/>
  <c r="Y43" i="129" s="1"/>
  <c r="Z43" i="129" s="1"/>
  <c r="AB43" i="129" s="1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X42" i="129"/>
  <c r="Y42" i="129" s="1"/>
  <c r="Z42" i="129" s="1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X41" i="129"/>
  <c r="Y41" i="129" s="1"/>
  <c r="Z41" i="129" s="1"/>
  <c r="T41" i="129"/>
  <c r="S41" i="129"/>
  <c r="Q41" i="129"/>
  <c r="N41" i="129"/>
  <c r="M41" i="129"/>
  <c r="K41" i="129"/>
  <c r="J41" i="129"/>
  <c r="I41" i="129"/>
  <c r="G41" i="129"/>
  <c r="F41" i="129"/>
  <c r="Y40" i="129"/>
  <c r="Z40" i="129" s="1"/>
  <c r="AB40" i="129" s="1"/>
  <c r="X40" i="129"/>
  <c r="T40" i="129"/>
  <c r="S40" i="129"/>
  <c r="Q40" i="129"/>
  <c r="N40" i="129"/>
  <c r="K40" i="129"/>
  <c r="J40" i="129"/>
  <c r="I40" i="129"/>
  <c r="G40" i="129"/>
  <c r="F40" i="129"/>
  <c r="E40" i="129"/>
  <c r="X39" i="129"/>
  <c r="Y39" i="129" s="1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A35" i="129"/>
  <c r="X35" i="129"/>
  <c r="Y35" i="129" s="1"/>
  <c r="Y36" i="129" s="1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X31" i="129"/>
  <c r="Y31" i="129" s="1"/>
  <c r="Z31" i="129" s="1"/>
  <c r="AB31" i="129" s="1"/>
  <c r="T31" i="129"/>
  <c r="S31" i="129"/>
  <c r="X30" i="129"/>
  <c r="Y30" i="129" s="1"/>
  <c r="Z30" i="129" s="1"/>
  <c r="AB30" i="129" s="1"/>
  <c r="T30" i="129"/>
  <c r="S30" i="129"/>
  <c r="Q30" i="129"/>
  <c r="N30" i="129"/>
  <c r="K30" i="129"/>
  <c r="J30" i="129"/>
  <c r="I30" i="129"/>
  <c r="G30" i="129"/>
  <c r="F30" i="129"/>
  <c r="AA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A25" i="129"/>
  <c r="X25" i="129"/>
  <c r="Y25" i="129" s="1"/>
  <c r="Z25" i="129" s="1"/>
  <c r="AB25" i="129" s="1"/>
  <c r="T25" i="129"/>
  <c r="S25" i="129"/>
  <c r="Q25" i="129"/>
  <c r="N25" i="129"/>
  <c r="L25" i="129"/>
  <c r="K25" i="129"/>
  <c r="J25" i="129"/>
  <c r="I25" i="129"/>
  <c r="G25" i="129"/>
  <c r="F25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A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X16" i="129"/>
  <c r="Y16" i="129" s="1"/>
  <c r="Z16" i="129" s="1"/>
  <c r="T16" i="129"/>
  <c r="S16" i="129"/>
  <c r="Q16" i="129"/>
  <c r="N16" i="129"/>
  <c r="L16" i="129"/>
  <c r="K16" i="129"/>
  <c r="J16" i="129"/>
  <c r="I16" i="129"/>
  <c r="G16" i="129"/>
  <c r="F16" i="129"/>
  <c r="AA15" i="129"/>
  <c r="X15" i="129"/>
  <c r="X17" i="129" s="1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A11" i="129"/>
  <c r="X11" i="129"/>
  <c r="Y11" i="129" s="1"/>
  <c r="V11" i="129"/>
  <c r="T11" i="129"/>
  <c r="S11" i="129"/>
  <c r="Q11" i="129"/>
  <c r="N11" i="129"/>
  <c r="L11" i="129"/>
  <c r="K11" i="129"/>
  <c r="J11" i="129"/>
  <c r="I11" i="129"/>
  <c r="G11" i="129"/>
  <c r="F11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A7" i="129"/>
  <c r="Y7" i="129"/>
  <c r="X7" i="129"/>
  <c r="X8" i="129" s="1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W15" i="133"/>
  <c r="X15" i="133" s="1"/>
  <c r="Z15" i="133" s="1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W14" i="133"/>
  <c r="X14" i="133" s="1"/>
  <c r="X16" i="133" s="1"/>
  <c r="R14" i="133"/>
  <c r="Q14" i="133"/>
  <c r="O14" i="133"/>
  <c r="L14" i="133"/>
  <c r="K14" i="133"/>
  <c r="J14" i="133"/>
  <c r="H14" i="133"/>
  <c r="G14" i="133"/>
  <c r="E14" i="133"/>
  <c r="Z13" i="133"/>
  <c r="W13" i="133"/>
  <c r="X13" i="133" s="1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X24" i="131"/>
  <c r="Y24" i="131" s="1"/>
  <c r="Z24" i="131" s="1"/>
  <c r="AB24" i="131" s="1"/>
  <c r="T24" i="131"/>
  <c r="Q24" i="131"/>
  <c r="P24" i="131"/>
  <c r="N24" i="131"/>
  <c r="M24" i="131"/>
  <c r="K24" i="131"/>
  <c r="J24" i="131"/>
  <c r="I24" i="131"/>
  <c r="G24" i="131"/>
  <c r="F24" i="131"/>
  <c r="E24" i="131"/>
  <c r="AA23" i="131"/>
  <c r="Z23" i="131"/>
  <c r="AB23" i="131" s="1"/>
  <c r="X23" i="131"/>
  <c r="Y23" i="131" s="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A22" i="131"/>
  <c r="Y22" i="131"/>
  <c r="Z22" i="131" s="1"/>
  <c r="AB22" i="131" s="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G189" i="147"/>
  <c r="G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F112" i="147"/>
  <c r="I112" i="147" s="1"/>
  <c r="L112" i="147" s="1"/>
  <c r="M112" i="147" s="1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M110" i="147"/>
  <c r="I110" i="147"/>
  <c r="L110" i="147" s="1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L102" i="147"/>
  <c r="M102" i="147" s="1"/>
  <c r="F102" i="147"/>
  <c r="I102" i="147" s="1"/>
  <c r="E102" i="147"/>
  <c r="F101" i="147"/>
  <c r="I101" i="147" s="1"/>
  <c r="L101" i="147" s="1"/>
  <c r="M101" i="147" s="1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M93" i="147"/>
  <c r="F93" i="147"/>
  <c r="I93" i="147" s="1"/>
  <c r="L93" i="147" s="1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M87" i="147"/>
  <c r="F87" i="147"/>
  <c r="I87" i="147" s="1"/>
  <c r="L87" i="147" s="1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I81" i="147"/>
  <c r="L81" i="147" s="1"/>
  <c r="M81" i="147" s="1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F73" i="147"/>
  <c r="I73" i="147" s="1"/>
  <c r="L73" i="147" s="1"/>
  <c r="M73" i="147" s="1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I44" i="147"/>
  <c r="L44" i="147" s="1"/>
  <c r="M44" i="147" s="1"/>
  <c r="F44" i="147"/>
  <c r="N44" i="147" s="1"/>
  <c r="O44" i="147" s="1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I13" i="147"/>
  <c r="L13" i="147" s="1"/>
  <c r="M13" i="147" s="1"/>
  <c r="F13" i="147"/>
  <c r="E13" i="147"/>
  <c r="L12" i="147"/>
  <c r="M12" i="147" s="1"/>
  <c r="I12" i="147"/>
  <c r="F12" i="147"/>
  <c r="N12" i="147" s="1"/>
  <c r="O12" i="147" s="1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M10" i="147"/>
  <c r="L10" i="147"/>
  <c r="I10" i="147"/>
  <c r="F10" i="147"/>
  <c r="N10" i="147" s="1"/>
  <c r="O10" i="147" s="1"/>
  <c r="E10" i="147"/>
  <c r="F9" i="147"/>
  <c r="F188" i="147" s="1"/>
  <c r="F189" i="147" s="1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3" i="146"/>
  <c r="AA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F112" i="146"/>
  <c r="I112" i="146" s="1"/>
  <c r="L112" i="146" s="1"/>
  <c r="M112" i="146" s="1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F110" i="146"/>
  <c r="I110" i="146" s="1"/>
  <c r="L110" i="146" s="1"/>
  <c r="M110" i="146" s="1"/>
  <c r="E110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F102" i="146"/>
  <c r="I102" i="146" s="1"/>
  <c r="L102" i="146" s="1"/>
  <c r="M102" i="146" s="1"/>
  <c r="E102" i="146"/>
  <c r="I101" i="146"/>
  <c r="L101" i="146" s="1"/>
  <c r="M101" i="146" s="1"/>
  <c r="F101" i="146"/>
  <c r="N101" i="146" s="1"/>
  <c r="O101" i="146" s="1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F93" i="146"/>
  <c r="I93" i="146" s="1"/>
  <c r="L93" i="146" s="1"/>
  <c r="M93" i="146" s="1"/>
  <c r="E93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I87" i="146"/>
  <c r="L87" i="146" s="1"/>
  <c r="M87" i="146" s="1"/>
  <c r="F87" i="146"/>
  <c r="N87" i="146" s="1"/>
  <c r="O87" i="146" s="1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I81" i="146"/>
  <c r="L81" i="146" s="1"/>
  <c r="M81" i="146" s="1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F73" i="146"/>
  <c r="I73" i="146" s="1"/>
  <c r="L73" i="146" s="1"/>
  <c r="M73" i="146" s="1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F44" i="146"/>
  <c r="I44" i="146" s="1"/>
  <c r="L44" i="146" s="1"/>
  <c r="M44" i="146" s="1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F13" i="146"/>
  <c r="I13" i="146" s="1"/>
  <c r="L13" i="146" s="1"/>
  <c r="M13" i="146" s="1"/>
  <c r="E13" i="146"/>
  <c r="I12" i="146"/>
  <c r="L12" i="146" s="1"/>
  <c r="M12" i="146" s="1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F10" i="146"/>
  <c r="I10" i="146" s="1"/>
  <c r="L10" i="146" s="1"/>
  <c r="M10" i="146" s="1"/>
  <c r="E10" i="146"/>
  <c r="I9" i="146"/>
  <c r="L9" i="146" s="1"/>
  <c r="M9" i="146" s="1"/>
  <c r="F9" i="146"/>
  <c r="N9" i="146" s="1"/>
  <c r="O9" i="146" s="1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E3" i="152"/>
  <c r="D3" i="152"/>
  <c r="D4" i="152" s="1"/>
  <c r="E2" i="152"/>
  <c r="E4" i="152" s="1"/>
  <c r="D2" i="152"/>
  <c r="H195" i="156"/>
  <c r="C195" i="156"/>
  <c r="H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G166" i="156"/>
  <c r="I166" i="156" s="1"/>
  <c r="F166" i="156"/>
  <c r="E166" i="156"/>
  <c r="I165" i="156"/>
  <c r="G165" i="156"/>
  <c r="I164" i="156"/>
  <c r="G164" i="156"/>
  <c r="G163" i="156"/>
  <c r="I163" i="156" s="1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E155" i="156"/>
  <c r="F155" i="156" s="1"/>
  <c r="G155" i="156" s="1"/>
  <c r="I155" i="156" s="1"/>
  <c r="I154" i="156"/>
  <c r="G154" i="156"/>
  <c r="I153" i="156"/>
  <c r="G153" i="156"/>
  <c r="I152" i="156"/>
  <c r="G152" i="156"/>
  <c r="I151" i="156"/>
  <c r="G151" i="156"/>
  <c r="I150" i="156"/>
  <c r="G150" i="156"/>
  <c r="G149" i="156"/>
  <c r="I149" i="156" s="1"/>
  <c r="F149" i="156"/>
  <c r="E149" i="156"/>
  <c r="I148" i="156"/>
  <c r="G148" i="156"/>
  <c r="F148" i="156"/>
  <c r="I147" i="156"/>
  <c r="G147" i="156"/>
  <c r="F147" i="156"/>
  <c r="E146" i="156"/>
  <c r="F146" i="156" s="1"/>
  <c r="G146" i="156" s="1"/>
  <c r="I146" i="156" s="1"/>
  <c r="E145" i="156"/>
  <c r="F145" i="156" s="1"/>
  <c r="G145" i="156" s="1"/>
  <c r="I145" i="156" s="1"/>
  <c r="I144" i="156"/>
  <c r="G144" i="156"/>
  <c r="I143" i="156"/>
  <c r="G143" i="156"/>
  <c r="I142" i="156"/>
  <c r="G142" i="156"/>
  <c r="G141" i="156"/>
  <c r="I141" i="156" s="1"/>
  <c r="F141" i="156"/>
  <c r="E141" i="156"/>
  <c r="G140" i="156"/>
  <c r="I140" i="156" s="1"/>
  <c r="F140" i="156"/>
  <c r="E140" i="156"/>
  <c r="G139" i="156"/>
  <c r="I139" i="156" s="1"/>
  <c r="F139" i="156"/>
  <c r="E139" i="156"/>
  <c r="G138" i="156"/>
  <c r="I138" i="156" s="1"/>
  <c r="F138" i="156"/>
  <c r="E138" i="156"/>
  <c r="E137" i="156"/>
  <c r="E194" i="156" s="1"/>
  <c r="I135" i="156"/>
  <c r="H135" i="156"/>
  <c r="G135" i="156"/>
  <c r="H132" i="156"/>
  <c r="I131" i="156"/>
  <c r="G131" i="156"/>
  <c r="I130" i="156"/>
  <c r="G130" i="156"/>
  <c r="I129" i="156"/>
  <c r="G129" i="156"/>
  <c r="E128" i="156"/>
  <c r="F128" i="156" s="1"/>
  <c r="G128" i="156" s="1"/>
  <c r="I128" i="156" s="1"/>
  <c r="E127" i="156"/>
  <c r="F127" i="156" s="1"/>
  <c r="G127" i="156" s="1"/>
  <c r="I127" i="156" s="1"/>
  <c r="I126" i="156"/>
  <c r="G126" i="156"/>
  <c r="F126" i="156"/>
  <c r="I125" i="156"/>
  <c r="G125" i="156"/>
  <c r="F125" i="156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H119" i="156"/>
  <c r="F118" i="156"/>
  <c r="G118" i="156" s="1"/>
  <c r="I118" i="156" s="1"/>
  <c r="E118" i="156"/>
  <c r="I117" i="156"/>
  <c r="G117" i="156"/>
  <c r="F116" i="156"/>
  <c r="F119" i="156" s="1"/>
  <c r="E116" i="156"/>
  <c r="E119" i="156" s="1"/>
  <c r="H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E108" i="156"/>
  <c r="F108" i="156" s="1"/>
  <c r="G108" i="156" s="1"/>
  <c r="I108" i="156" s="1"/>
  <c r="E107" i="156"/>
  <c r="F107" i="156" s="1"/>
  <c r="I106" i="156"/>
  <c r="H106" i="156"/>
  <c r="G106" i="156"/>
  <c r="H103" i="156"/>
  <c r="E103" i="156"/>
  <c r="I102" i="156"/>
  <c r="H102" i="156"/>
  <c r="G102" i="156"/>
  <c r="I101" i="156"/>
  <c r="H101" i="156"/>
  <c r="G101" i="156"/>
  <c r="I100" i="156"/>
  <c r="H100" i="156"/>
  <c r="G100" i="156"/>
  <c r="H99" i="156"/>
  <c r="E99" i="156"/>
  <c r="F99" i="156" s="1"/>
  <c r="H96" i="156"/>
  <c r="I95" i="156"/>
  <c r="G95" i="156"/>
  <c r="I94" i="156"/>
  <c r="G94" i="156"/>
  <c r="F93" i="156"/>
  <c r="G93" i="156" s="1"/>
  <c r="E93" i="156"/>
  <c r="E96" i="156" s="1"/>
  <c r="I92" i="156"/>
  <c r="G92" i="156"/>
  <c r="I91" i="156"/>
  <c r="G91" i="156"/>
  <c r="I90" i="156"/>
  <c r="G90" i="156"/>
  <c r="I89" i="156"/>
  <c r="G89" i="156"/>
  <c r="I88" i="156"/>
  <c r="G88" i="156"/>
  <c r="F87" i="156"/>
  <c r="G87" i="156" s="1"/>
  <c r="E87" i="156"/>
  <c r="I86" i="156"/>
  <c r="G86" i="156"/>
  <c r="H83" i="156"/>
  <c r="E83" i="156"/>
  <c r="I82" i="156"/>
  <c r="H82" i="156"/>
  <c r="G82" i="156"/>
  <c r="I81" i="156"/>
  <c r="H81" i="156"/>
  <c r="G81" i="156"/>
  <c r="I80" i="156"/>
  <c r="H80" i="156"/>
  <c r="G80" i="156"/>
  <c r="F79" i="156"/>
  <c r="F83" i="156" s="1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H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E48" i="156"/>
  <c r="E55" i="156" s="1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H35" i="156"/>
  <c r="I34" i="156"/>
  <c r="G34" i="156"/>
  <c r="F34" i="156"/>
  <c r="I33" i="156"/>
  <c r="G33" i="156"/>
  <c r="F33" i="156"/>
  <c r="E32" i="156"/>
  <c r="F32" i="156" s="1"/>
  <c r="G32" i="156" s="1"/>
  <c r="I32" i="156" s="1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G21" i="156"/>
  <c r="I21" i="156" s="1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F15" i="156"/>
  <c r="G15" i="156" s="1"/>
  <c r="I15" i="156" s="1"/>
  <c r="E15" i="156"/>
  <c r="F14" i="156"/>
  <c r="G14" i="156" s="1"/>
  <c r="I14" i="156" s="1"/>
  <c r="E14" i="156"/>
  <c r="I13" i="156"/>
  <c r="G13" i="156"/>
  <c r="F13" i="156"/>
  <c r="E12" i="156"/>
  <c r="F12" i="156" s="1"/>
  <c r="G12" i="156" s="1"/>
  <c r="I12" i="156" s="1"/>
  <c r="E11" i="156"/>
  <c r="E35" i="156" s="1"/>
  <c r="I10" i="156"/>
  <c r="G10" i="156"/>
  <c r="F10" i="156"/>
  <c r="I9" i="156"/>
  <c r="G9" i="156"/>
  <c r="F9" i="156"/>
  <c r="I8" i="156"/>
  <c r="G8" i="156"/>
  <c r="F8" i="156"/>
  <c r="R9" i="155"/>
  <c r="P9" i="155"/>
  <c r="N9" i="155"/>
  <c r="M9" i="155"/>
  <c r="L9" i="155"/>
  <c r="K9" i="155"/>
  <c r="I9" i="155"/>
  <c r="H9" i="155"/>
  <c r="G9" i="155"/>
  <c r="F9" i="155"/>
  <c r="C9" i="155"/>
  <c r="H8" i="155"/>
  <c r="E8" i="155"/>
  <c r="E9" i="155" s="1"/>
  <c r="S7" i="155"/>
  <c r="Q7" i="155"/>
  <c r="L7" i="155"/>
  <c r="J7" i="155"/>
  <c r="H7" i="155"/>
  <c r="E3" i="155"/>
  <c r="G189" i="154"/>
  <c r="G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F112" i="154"/>
  <c r="I112" i="154" s="1"/>
  <c r="L112" i="154" s="1"/>
  <c r="M112" i="154" s="1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F102" i="154"/>
  <c r="I102" i="154" s="1"/>
  <c r="L102" i="154" s="1"/>
  <c r="M102" i="154" s="1"/>
  <c r="E102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F87" i="154"/>
  <c r="I87" i="154" s="1"/>
  <c r="L87" i="154" s="1"/>
  <c r="M87" i="154" s="1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F81" i="154"/>
  <c r="I81" i="154" s="1"/>
  <c r="L81" i="154" s="1"/>
  <c r="M81" i="154" s="1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F73" i="154"/>
  <c r="I73" i="154" s="1"/>
  <c r="L73" i="154" s="1"/>
  <c r="M73" i="154" s="1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F44" i="154"/>
  <c r="I44" i="154" s="1"/>
  <c r="L44" i="154" s="1"/>
  <c r="M44" i="154" s="1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F13" i="154"/>
  <c r="E13" i="154"/>
  <c r="C13" i="154"/>
  <c r="I12" i="154"/>
  <c r="L12" i="154" s="1"/>
  <c r="M12" i="154" s="1"/>
  <c r="F12" i="154"/>
  <c r="N12" i="154" s="1"/>
  <c r="O12" i="154" s="1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I10" i="154"/>
  <c r="L10" i="154" s="1"/>
  <c r="M10" i="154" s="1"/>
  <c r="F10" i="154"/>
  <c r="N10" i="154" s="1"/>
  <c r="O10" i="154" s="1"/>
  <c r="E10" i="154"/>
  <c r="C10" i="154"/>
  <c r="I9" i="154"/>
  <c r="L9" i="154" s="1"/>
  <c r="M9" i="154" s="1"/>
  <c r="F9" i="154"/>
  <c r="F188" i="154" s="1"/>
  <c r="F189" i="154" s="1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M9" i="153"/>
  <c r="S9" i="153" s="1"/>
  <c r="U9" i="153" s="1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6" i="162"/>
  <c r="C5" i="162"/>
  <c r="C4" i="162"/>
  <c r="C3" i="162"/>
  <c r="C7" i="162" s="1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M10" i="164"/>
  <c r="L10" i="164"/>
  <c r="K10" i="164"/>
  <c r="J10" i="164"/>
  <c r="I10" i="164"/>
  <c r="G10" i="164"/>
  <c r="F10" i="164"/>
  <c r="N9" i="164"/>
  <c r="M9" i="164"/>
  <c r="H9" i="164"/>
  <c r="M8" i="164"/>
  <c r="L8" i="164"/>
  <c r="H8" i="164"/>
  <c r="N8" i="164" s="1"/>
  <c r="E8" i="164"/>
  <c r="M7" i="164"/>
  <c r="L7" i="164"/>
  <c r="H7" i="164"/>
  <c r="N7" i="164" s="1"/>
  <c r="E7" i="164"/>
  <c r="M6" i="164"/>
  <c r="L6" i="164"/>
  <c r="E6" i="164"/>
  <c r="H6" i="164" s="1"/>
  <c r="N6" i="164" s="1"/>
  <c r="M5" i="164"/>
  <c r="E5" i="164"/>
  <c r="E10" i="164" s="1"/>
  <c r="M9" i="174"/>
  <c r="L9" i="174"/>
  <c r="K9" i="174"/>
  <c r="J9" i="174"/>
  <c r="I9" i="174"/>
  <c r="G9" i="174"/>
  <c r="F9" i="174"/>
  <c r="N8" i="174"/>
  <c r="M8" i="174"/>
  <c r="H8" i="174"/>
  <c r="M7" i="174"/>
  <c r="L7" i="174"/>
  <c r="E7" i="174"/>
  <c r="H7" i="174" s="1"/>
  <c r="N7" i="174" s="1"/>
  <c r="M6" i="174"/>
  <c r="L6" i="174"/>
  <c r="H6" i="174"/>
  <c r="N6" i="174" s="1"/>
  <c r="E6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G194" i="190"/>
  <c r="G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I117" i="190"/>
  <c r="L117" i="190" s="1"/>
  <c r="M117" i="190" s="1"/>
  <c r="F117" i="190"/>
  <c r="N117" i="190" s="1"/>
  <c r="O117" i="190" s="1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L115" i="190"/>
  <c r="M115" i="190" s="1"/>
  <c r="I115" i="190"/>
  <c r="F115" i="190"/>
  <c r="N115" i="190" s="1"/>
  <c r="O115" i="190" s="1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I107" i="190"/>
  <c r="L107" i="190" s="1"/>
  <c r="M107" i="190" s="1"/>
  <c r="F107" i="190"/>
  <c r="E107" i="190"/>
  <c r="L106" i="190"/>
  <c r="M106" i="190" s="1"/>
  <c r="I106" i="190"/>
  <c r="F106" i="190"/>
  <c r="N106" i="190" s="1"/>
  <c r="O106" i="190" s="1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L98" i="190"/>
  <c r="M98" i="190" s="1"/>
  <c r="N98" i="190" s="1"/>
  <c r="O98" i="190" s="1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M92" i="190"/>
  <c r="L92" i="190"/>
  <c r="I92" i="190"/>
  <c r="F92" i="190"/>
  <c r="N92" i="190" s="1"/>
  <c r="O92" i="190" s="1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I86" i="190"/>
  <c r="L86" i="190" s="1"/>
  <c r="M86" i="190" s="1"/>
  <c r="F86" i="190"/>
  <c r="N86" i="190" s="1"/>
  <c r="O86" i="190" s="1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I78" i="190"/>
  <c r="L78" i="190" s="1"/>
  <c r="M78" i="190" s="1"/>
  <c r="F78" i="190"/>
  <c r="N78" i="190" s="1"/>
  <c r="O78" i="190" s="1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L49" i="190"/>
  <c r="M49" i="190" s="1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F13" i="190"/>
  <c r="I13" i="190" s="1"/>
  <c r="L13" i="190" s="1"/>
  <c r="M13" i="190" s="1"/>
  <c r="E13" i="190"/>
  <c r="I12" i="190"/>
  <c r="L12" i="190" s="1"/>
  <c r="M12" i="190" s="1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F10" i="190"/>
  <c r="I10" i="190" s="1"/>
  <c r="L10" i="190" s="1"/>
  <c r="M10" i="190" s="1"/>
  <c r="E10" i="190"/>
  <c r="F9" i="190"/>
  <c r="I9" i="190" s="1"/>
  <c r="L9" i="190" s="1"/>
  <c r="M9" i="190" s="1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24" i="182"/>
  <c r="G24" i="182"/>
  <c r="F24" i="182"/>
  <c r="Z23" i="182"/>
  <c r="X23" i="182"/>
  <c r="V23" i="182"/>
  <c r="G23" i="182"/>
  <c r="F23" i="182"/>
  <c r="C23" i="182"/>
  <c r="AB22" i="182"/>
  <c r="Z22" i="182"/>
  <c r="X22" i="182"/>
  <c r="V22" i="182"/>
  <c r="U22" i="182"/>
  <c r="T22" i="182"/>
  <c r="S22" i="182"/>
  <c r="R22" i="182"/>
  <c r="Q22" i="182"/>
  <c r="P22" i="182"/>
  <c r="O22" i="182"/>
  <c r="N22" i="182"/>
  <c r="M22" i="182"/>
  <c r="L22" i="182"/>
  <c r="I22" i="182"/>
  <c r="F22" i="182"/>
  <c r="E22" i="182"/>
  <c r="AB21" i="182"/>
  <c r="Z21" i="182"/>
  <c r="X21" i="182"/>
  <c r="V21" i="182"/>
  <c r="T21" i="182"/>
  <c r="S21" i="182"/>
  <c r="R21" i="182"/>
  <c r="Q21" i="182"/>
  <c r="P21" i="182"/>
  <c r="O21" i="182"/>
  <c r="N21" i="182"/>
  <c r="M21" i="182"/>
  <c r="L21" i="182"/>
  <c r="I21" i="182"/>
  <c r="E21" i="182"/>
  <c r="AB20" i="182"/>
  <c r="Z20" i="182"/>
  <c r="X20" i="182"/>
  <c r="V20" i="182"/>
  <c r="U20" i="182"/>
  <c r="T20" i="182"/>
  <c r="S20" i="182"/>
  <c r="R20" i="182"/>
  <c r="Q20" i="182"/>
  <c r="P20" i="182"/>
  <c r="O20" i="182"/>
  <c r="N20" i="182"/>
  <c r="M20" i="182"/>
  <c r="L20" i="182"/>
  <c r="I20" i="182"/>
  <c r="E20" i="182"/>
  <c r="C20" i="182"/>
  <c r="AB19" i="182"/>
  <c r="Z19" i="182"/>
  <c r="X19" i="182"/>
  <c r="V19" i="182"/>
  <c r="U19" i="182"/>
  <c r="T19" i="182"/>
  <c r="S19" i="182"/>
  <c r="R19" i="182"/>
  <c r="Q19" i="182"/>
  <c r="P19" i="182"/>
  <c r="O19" i="182"/>
  <c r="N19" i="182"/>
  <c r="M19" i="182"/>
  <c r="L19" i="182"/>
  <c r="I19" i="182"/>
  <c r="E19" i="182"/>
  <c r="AB18" i="182"/>
  <c r="Z18" i="182"/>
  <c r="X18" i="182"/>
  <c r="V18" i="182"/>
  <c r="U18" i="182"/>
  <c r="T18" i="182"/>
  <c r="S18" i="182"/>
  <c r="R18" i="182"/>
  <c r="Q18" i="182"/>
  <c r="P18" i="182"/>
  <c r="O18" i="182"/>
  <c r="N18" i="182"/>
  <c r="M18" i="182"/>
  <c r="L18" i="182"/>
  <c r="I18" i="182"/>
  <c r="E18" i="182"/>
  <c r="AB17" i="182"/>
  <c r="Z17" i="182"/>
  <c r="X17" i="182"/>
  <c r="V17" i="182"/>
  <c r="U17" i="182"/>
  <c r="T17" i="182"/>
  <c r="S17" i="182"/>
  <c r="R17" i="182"/>
  <c r="Q17" i="182"/>
  <c r="P17" i="182"/>
  <c r="O17" i="182"/>
  <c r="N17" i="182"/>
  <c r="M17" i="182"/>
  <c r="L17" i="182"/>
  <c r="I17" i="182"/>
  <c r="E17" i="182"/>
  <c r="AB16" i="182"/>
  <c r="Z16" i="182"/>
  <c r="X16" i="182"/>
  <c r="V16" i="182"/>
  <c r="U16" i="182"/>
  <c r="T16" i="182"/>
  <c r="S16" i="182"/>
  <c r="R16" i="182"/>
  <c r="Q16" i="182"/>
  <c r="P16" i="182"/>
  <c r="O16" i="182"/>
  <c r="N16" i="182"/>
  <c r="M16" i="182"/>
  <c r="L16" i="182"/>
  <c r="I16" i="182"/>
  <c r="F16" i="182"/>
  <c r="E16" i="182"/>
  <c r="AB15" i="182"/>
  <c r="Z15" i="182"/>
  <c r="X15" i="182"/>
  <c r="V15" i="182"/>
  <c r="U15" i="182"/>
  <c r="T15" i="182"/>
  <c r="S15" i="182"/>
  <c r="R15" i="182"/>
  <c r="Q15" i="182"/>
  <c r="P15" i="182"/>
  <c r="O15" i="182"/>
  <c r="N15" i="182"/>
  <c r="M15" i="182"/>
  <c r="L15" i="182"/>
  <c r="I15" i="182"/>
  <c r="E15" i="182"/>
  <c r="AB14" i="182"/>
  <c r="Z14" i="182"/>
  <c r="X14" i="182"/>
  <c r="V14" i="182"/>
  <c r="U14" i="182"/>
  <c r="T14" i="182"/>
  <c r="S14" i="182"/>
  <c r="R14" i="182"/>
  <c r="Q14" i="182"/>
  <c r="P14" i="182"/>
  <c r="O14" i="182"/>
  <c r="N14" i="182"/>
  <c r="M14" i="182"/>
  <c r="L14" i="182"/>
  <c r="I14" i="182"/>
  <c r="E14" i="182"/>
  <c r="AB13" i="182"/>
  <c r="Z13" i="182"/>
  <c r="X13" i="182"/>
  <c r="V13" i="182"/>
  <c r="U13" i="182"/>
  <c r="T13" i="182"/>
  <c r="S13" i="182"/>
  <c r="R13" i="182"/>
  <c r="Q13" i="182"/>
  <c r="P13" i="182"/>
  <c r="O13" i="182"/>
  <c r="N13" i="182"/>
  <c r="M13" i="182"/>
  <c r="L13" i="182"/>
  <c r="I13" i="182"/>
  <c r="F13" i="182"/>
  <c r="E13" i="182"/>
  <c r="AB12" i="182"/>
  <c r="Z12" i="182"/>
  <c r="X12" i="182"/>
  <c r="V12" i="182"/>
  <c r="U12" i="182"/>
  <c r="T12" i="182"/>
  <c r="S12" i="182"/>
  <c r="R12" i="182"/>
  <c r="Q12" i="182"/>
  <c r="P12" i="182"/>
  <c r="O12" i="182"/>
  <c r="N12" i="182"/>
  <c r="M12" i="182"/>
  <c r="L12" i="182"/>
  <c r="I12" i="182"/>
  <c r="E12" i="182"/>
  <c r="AB11" i="182"/>
  <c r="Z11" i="182"/>
  <c r="X11" i="182"/>
  <c r="V11" i="182"/>
  <c r="U11" i="182"/>
  <c r="T11" i="182"/>
  <c r="S11" i="182"/>
  <c r="R11" i="182"/>
  <c r="Q11" i="182"/>
  <c r="P11" i="182"/>
  <c r="O11" i="182"/>
  <c r="N11" i="182"/>
  <c r="M11" i="182"/>
  <c r="L11" i="182"/>
  <c r="I11" i="182"/>
  <c r="E11" i="182"/>
  <c r="AB10" i="182"/>
  <c r="Z10" i="182"/>
  <c r="X10" i="182"/>
  <c r="V10" i="182"/>
  <c r="T10" i="182"/>
  <c r="S10" i="182"/>
  <c r="R10" i="182"/>
  <c r="Q10" i="182"/>
  <c r="P10" i="182"/>
  <c r="O10" i="182"/>
  <c r="N10" i="182"/>
  <c r="M10" i="182"/>
  <c r="L10" i="182"/>
  <c r="I10" i="182"/>
  <c r="E10" i="182"/>
  <c r="C10" i="182"/>
  <c r="AB9" i="182"/>
  <c r="Z9" i="182"/>
  <c r="X9" i="182"/>
  <c r="V9" i="182"/>
  <c r="T9" i="182"/>
  <c r="S9" i="182"/>
  <c r="R9" i="182"/>
  <c r="Q9" i="182"/>
  <c r="P9" i="182"/>
  <c r="O9" i="182"/>
  <c r="N9" i="182"/>
  <c r="M9" i="182"/>
  <c r="L9" i="182"/>
  <c r="I9" i="182"/>
  <c r="E9" i="182"/>
  <c r="AB8" i="182"/>
  <c r="Z8" i="182"/>
  <c r="X8" i="182"/>
  <c r="V8" i="182"/>
  <c r="U8" i="182"/>
  <c r="T8" i="182"/>
  <c r="S8" i="182"/>
  <c r="R8" i="182"/>
  <c r="Q8" i="182"/>
  <c r="P8" i="182"/>
  <c r="O8" i="182"/>
  <c r="N8" i="182"/>
  <c r="M8" i="182"/>
  <c r="L8" i="182"/>
  <c r="I8" i="182"/>
  <c r="F8" i="182"/>
  <c r="E8" i="182"/>
  <c r="C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F7" i="182"/>
  <c r="E7" i="182"/>
  <c r="C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C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E5" i="182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P203" i="1"/>
  <c r="L203" i="1"/>
  <c r="K203" i="1"/>
  <c r="I203" i="1"/>
  <c r="H203" i="1"/>
  <c r="G203" i="1"/>
  <c r="F203" i="1"/>
  <c r="C203" i="1"/>
  <c r="S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S201" i="1"/>
  <c r="Q201" i="1"/>
  <c r="J201" i="1"/>
  <c r="H201" i="1"/>
  <c r="S200" i="1"/>
  <c r="Q200" i="1"/>
  <c r="J200" i="1"/>
  <c r="H200" i="1"/>
  <c r="S199" i="1"/>
  <c r="Q199" i="1"/>
  <c r="J199" i="1"/>
  <c r="S198" i="1"/>
  <c r="Q198" i="1"/>
  <c r="J198" i="1"/>
  <c r="S197" i="1"/>
  <c r="Q197" i="1"/>
  <c r="J197" i="1"/>
  <c r="S196" i="1"/>
  <c r="Q196" i="1"/>
  <c r="P196" i="1"/>
  <c r="J196" i="1"/>
  <c r="I196" i="1"/>
  <c r="H196" i="1"/>
  <c r="S195" i="1"/>
  <c r="Q195" i="1"/>
  <c r="O195" i="1"/>
  <c r="J195" i="1"/>
  <c r="S194" i="1"/>
  <c r="Q194" i="1"/>
  <c r="M194" i="1"/>
  <c r="J194" i="1"/>
  <c r="I194" i="1"/>
  <c r="H194" i="1"/>
  <c r="S193" i="1"/>
  <c r="Q193" i="1"/>
  <c r="M193" i="1"/>
  <c r="J193" i="1"/>
  <c r="I193" i="1"/>
  <c r="S192" i="1"/>
  <c r="Q192" i="1"/>
  <c r="J192" i="1"/>
  <c r="S191" i="1"/>
  <c r="Q191" i="1"/>
  <c r="M191" i="1"/>
  <c r="J191" i="1"/>
  <c r="I191" i="1"/>
  <c r="H191" i="1"/>
  <c r="S190" i="1"/>
  <c r="Q190" i="1"/>
  <c r="J190" i="1"/>
  <c r="I190" i="1"/>
  <c r="H190" i="1"/>
  <c r="S189" i="1"/>
  <c r="Q189" i="1"/>
  <c r="M189" i="1"/>
  <c r="J189" i="1"/>
  <c r="I189" i="1"/>
  <c r="H189" i="1"/>
  <c r="S188" i="1"/>
  <c r="Q188" i="1"/>
  <c r="M188" i="1"/>
  <c r="J188" i="1"/>
  <c r="I188" i="1"/>
  <c r="H188" i="1"/>
  <c r="S187" i="1"/>
  <c r="Q187" i="1"/>
  <c r="M187" i="1"/>
  <c r="J187" i="1"/>
  <c r="I187" i="1"/>
  <c r="H187" i="1"/>
  <c r="S186" i="1"/>
  <c r="Q186" i="1"/>
  <c r="M186" i="1"/>
  <c r="J186" i="1"/>
  <c r="I186" i="1"/>
  <c r="H186" i="1"/>
  <c r="S185" i="1"/>
  <c r="Q185" i="1"/>
  <c r="J185" i="1"/>
  <c r="I185" i="1"/>
  <c r="H185" i="1"/>
  <c r="S184" i="1"/>
  <c r="Q184" i="1"/>
  <c r="M184" i="1"/>
  <c r="L184" i="1"/>
  <c r="J184" i="1"/>
  <c r="I184" i="1"/>
  <c r="H184" i="1"/>
  <c r="S183" i="1"/>
  <c r="Q183" i="1"/>
  <c r="M183" i="1"/>
  <c r="J183" i="1"/>
  <c r="I183" i="1"/>
  <c r="H183" i="1"/>
  <c r="S182" i="1"/>
  <c r="Q182" i="1"/>
  <c r="J182" i="1"/>
  <c r="I182" i="1"/>
  <c r="H182" i="1"/>
  <c r="S181" i="1"/>
  <c r="Q181" i="1"/>
  <c r="L181" i="1"/>
  <c r="J181" i="1"/>
  <c r="I181" i="1"/>
  <c r="H181" i="1"/>
  <c r="S180" i="1"/>
  <c r="Q180" i="1"/>
  <c r="M180" i="1"/>
  <c r="J180" i="1"/>
  <c r="I180" i="1"/>
  <c r="H180" i="1"/>
  <c r="S179" i="1"/>
  <c r="Q179" i="1"/>
  <c r="M179" i="1"/>
  <c r="J179" i="1"/>
  <c r="I179" i="1"/>
  <c r="H179" i="1"/>
  <c r="S178" i="1"/>
  <c r="Q178" i="1"/>
  <c r="M178" i="1"/>
  <c r="J178" i="1"/>
  <c r="I178" i="1"/>
  <c r="H178" i="1"/>
  <c r="S177" i="1"/>
  <c r="Q177" i="1"/>
  <c r="M177" i="1"/>
  <c r="J177" i="1"/>
  <c r="I177" i="1"/>
  <c r="H177" i="1"/>
  <c r="S176" i="1"/>
  <c r="Q176" i="1"/>
  <c r="M176" i="1"/>
  <c r="J176" i="1"/>
  <c r="I176" i="1"/>
  <c r="H176" i="1"/>
  <c r="S175" i="1"/>
  <c r="Q175" i="1"/>
  <c r="M175" i="1"/>
  <c r="J175" i="1"/>
  <c r="I175" i="1"/>
  <c r="H175" i="1"/>
  <c r="S174" i="1"/>
  <c r="Q174" i="1"/>
  <c r="M174" i="1"/>
  <c r="J174" i="1"/>
  <c r="I174" i="1"/>
  <c r="H174" i="1"/>
  <c r="S173" i="1"/>
  <c r="Q173" i="1"/>
  <c r="M173" i="1"/>
  <c r="J173" i="1"/>
  <c r="I173" i="1"/>
  <c r="H173" i="1"/>
  <c r="S172" i="1"/>
  <c r="Q172" i="1"/>
  <c r="J172" i="1"/>
  <c r="I172" i="1"/>
  <c r="H172" i="1"/>
  <c r="S171" i="1"/>
  <c r="Q171" i="1"/>
  <c r="M171" i="1"/>
  <c r="J171" i="1"/>
  <c r="I171" i="1"/>
  <c r="H171" i="1"/>
  <c r="S170" i="1"/>
  <c r="Q170" i="1"/>
  <c r="M170" i="1"/>
  <c r="J170" i="1"/>
  <c r="I170" i="1"/>
  <c r="H170" i="1"/>
  <c r="S169" i="1"/>
  <c r="Q169" i="1"/>
  <c r="P169" i="1"/>
  <c r="O169" i="1"/>
  <c r="J169" i="1"/>
  <c r="H169" i="1"/>
  <c r="E169" i="1"/>
  <c r="S168" i="1"/>
  <c r="Q168" i="1"/>
  <c r="P168" i="1"/>
  <c r="O168" i="1"/>
  <c r="J168" i="1"/>
  <c r="H168" i="1"/>
  <c r="E168" i="1"/>
  <c r="S167" i="1"/>
  <c r="Q167" i="1"/>
  <c r="J167" i="1"/>
  <c r="H167" i="1"/>
  <c r="S166" i="1"/>
  <c r="Q166" i="1"/>
  <c r="M166" i="1"/>
  <c r="J166" i="1"/>
  <c r="H166" i="1"/>
  <c r="S165" i="1"/>
  <c r="Q165" i="1"/>
  <c r="J165" i="1"/>
  <c r="H165" i="1"/>
  <c r="S164" i="1"/>
  <c r="Q164" i="1"/>
  <c r="L164" i="1"/>
  <c r="J164" i="1"/>
  <c r="H164" i="1"/>
  <c r="S163" i="1"/>
  <c r="Q163" i="1"/>
  <c r="L163" i="1"/>
  <c r="J163" i="1"/>
  <c r="H163" i="1"/>
  <c r="S162" i="1"/>
  <c r="Q162" i="1"/>
  <c r="J162" i="1"/>
  <c r="H162" i="1"/>
  <c r="S161" i="1"/>
  <c r="Q161" i="1"/>
  <c r="M161" i="1"/>
  <c r="J161" i="1"/>
  <c r="H161" i="1"/>
  <c r="S160" i="1"/>
  <c r="Q160" i="1"/>
  <c r="J160" i="1"/>
  <c r="H160" i="1"/>
  <c r="S159" i="1"/>
  <c r="Q159" i="1"/>
  <c r="M159" i="1"/>
  <c r="L159" i="1"/>
  <c r="J159" i="1"/>
  <c r="H159" i="1"/>
  <c r="S158" i="1"/>
  <c r="Q158" i="1"/>
  <c r="M158" i="1"/>
  <c r="J158" i="1"/>
  <c r="H158" i="1"/>
  <c r="S157" i="1"/>
  <c r="Q157" i="1"/>
  <c r="J157" i="1"/>
  <c r="H157" i="1"/>
  <c r="S156" i="1"/>
  <c r="Q156" i="1"/>
  <c r="L156" i="1"/>
  <c r="J156" i="1"/>
  <c r="H156" i="1"/>
  <c r="S155" i="1"/>
  <c r="Q155" i="1"/>
  <c r="L155" i="1"/>
  <c r="J155" i="1"/>
  <c r="H155" i="1"/>
  <c r="S154" i="1"/>
  <c r="Q154" i="1"/>
  <c r="L154" i="1"/>
  <c r="J154" i="1"/>
  <c r="H154" i="1"/>
  <c r="S153" i="1"/>
  <c r="Q153" i="1"/>
  <c r="L153" i="1"/>
  <c r="J153" i="1"/>
  <c r="H153" i="1"/>
  <c r="S152" i="1"/>
  <c r="Q152" i="1"/>
  <c r="M152" i="1"/>
  <c r="L152" i="1"/>
  <c r="J152" i="1"/>
  <c r="H152" i="1"/>
  <c r="S151" i="1"/>
  <c r="Q151" i="1"/>
  <c r="L151" i="1"/>
  <c r="J151" i="1"/>
  <c r="S150" i="1"/>
  <c r="Q150" i="1"/>
  <c r="M150" i="1"/>
  <c r="J150" i="1"/>
  <c r="H150" i="1"/>
  <c r="S149" i="1"/>
  <c r="Q149" i="1"/>
  <c r="L149" i="1"/>
  <c r="J149" i="1"/>
  <c r="H149" i="1"/>
  <c r="S148" i="1"/>
  <c r="Q148" i="1"/>
  <c r="J148" i="1"/>
  <c r="H148" i="1"/>
  <c r="S147" i="1"/>
  <c r="Q147" i="1"/>
  <c r="P147" i="1"/>
  <c r="L147" i="1"/>
  <c r="J147" i="1"/>
  <c r="H147" i="1"/>
  <c r="S146" i="1"/>
  <c r="Q146" i="1"/>
  <c r="P146" i="1"/>
  <c r="M146" i="1"/>
  <c r="J146" i="1"/>
  <c r="H146" i="1"/>
  <c r="S145" i="1"/>
  <c r="Q145" i="1"/>
  <c r="P145" i="1"/>
  <c r="L145" i="1"/>
  <c r="J145" i="1"/>
  <c r="S144" i="1"/>
  <c r="Q144" i="1"/>
  <c r="P144" i="1"/>
  <c r="M144" i="1"/>
  <c r="L144" i="1"/>
  <c r="J144" i="1"/>
  <c r="S143" i="1"/>
  <c r="Q143" i="1"/>
  <c r="P143" i="1"/>
  <c r="M143" i="1"/>
  <c r="L143" i="1"/>
  <c r="J143" i="1"/>
  <c r="S142" i="1"/>
  <c r="Q142" i="1"/>
  <c r="L142" i="1"/>
  <c r="J142" i="1"/>
  <c r="H142" i="1"/>
  <c r="S141" i="1"/>
  <c r="Q141" i="1"/>
  <c r="M141" i="1"/>
  <c r="L141" i="1"/>
  <c r="J141" i="1"/>
  <c r="H141" i="1"/>
  <c r="S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S137" i="1"/>
  <c r="Q137" i="1"/>
  <c r="P137" i="1"/>
  <c r="O137" i="1"/>
  <c r="L137" i="1"/>
  <c r="J137" i="1"/>
  <c r="S136" i="1"/>
  <c r="Q136" i="1"/>
  <c r="L136" i="1"/>
  <c r="J136" i="1"/>
  <c r="S135" i="1"/>
  <c r="Q135" i="1"/>
  <c r="M135" i="1"/>
  <c r="L135" i="1"/>
  <c r="J135" i="1"/>
  <c r="H135" i="1"/>
  <c r="S134" i="1"/>
  <c r="Q134" i="1"/>
  <c r="J134" i="1"/>
  <c r="H134" i="1"/>
  <c r="S133" i="1"/>
  <c r="Q133" i="1"/>
  <c r="M133" i="1"/>
  <c r="L133" i="1"/>
  <c r="J133" i="1"/>
  <c r="H133" i="1"/>
  <c r="S132" i="1"/>
  <c r="Q132" i="1"/>
  <c r="L132" i="1"/>
  <c r="J132" i="1"/>
  <c r="H132" i="1"/>
  <c r="S131" i="1"/>
  <c r="Q131" i="1"/>
  <c r="J131" i="1"/>
  <c r="H131" i="1"/>
  <c r="S130" i="1"/>
  <c r="Q130" i="1"/>
  <c r="L130" i="1"/>
  <c r="J130" i="1"/>
  <c r="I130" i="1"/>
  <c r="H130" i="1"/>
  <c r="S129" i="1"/>
  <c r="Q129" i="1"/>
  <c r="M129" i="1"/>
  <c r="J129" i="1"/>
  <c r="H129" i="1"/>
  <c r="S128" i="1"/>
  <c r="Q128" i="1"/>
  <c r="M128" i="1"/>
  <c r="L128" i="1"/>
  <c r="J128" i="1"/>
  <c r="H128" i="1"/>
  <c r="S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S124" i="1"/>
  <c r="Q124" i="1"/>
  <c r="J124" i="1"/>
  <c r="S123" i="1"/>
  <c r="Q123" i="1"/>
  <c r="J123" i="1"/>
  <c r="S122" i="1"/>
  <c r="Q122" i="1"/>
  <c r="J122" i="1"/>
  <c r="S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S118" i="1"/>
  <c r="Q118" i="1"/>
  <c r="P118" i="1"/>
  <c r="J118" i="1"/>
  <c r="H118" i="1"/>
  <c r="S117" i="1"/>
  <c r="Q117" i="1"/>
  <c r="M117" i="1"/>
  <c r="L117" i="1"/>
  <c r="J117" i="1"/>
  <c r="S116" i="1"/>
  <c r="Q116" i="1"/>
  <c r="M116" i="1"/>
  <c r="L116" i="1"/>
  <c r="J116" i="1"/>
  <c r="S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S112" i="1"/>
  <c r="Q112" i="1"/>
  <c r="L112" i="1"/>
  <c r="J112" i="1"/>
  <c r="G112" i="1"/>
  <c r="S111" i="1"/>
  <c r="Q111" i="1"/>
  <c r="L111" i="1"/>
  <c r="J111" i="1"/>
  <c r="G111" i="1"/>
  <c r="S110" i="1"/>
  <c r="Q110" i="1"/>
  <c r="M110" i="1"/>
  <c r="J110" i="1"/>
  <c r="G110" i="1"/>
  <c r="S109" i="1"/>
  <c r="Q109" i="1"/>
  <c r="L109" i="1"/>
  <c r="J109" i="1"/>
  <c r="G109" i="1"/>
  <c r="S108" i="1"/>
  <c r="Q108" i="1"/>
  <c r="M108" i="1"/>
  <c r="J108" i="1"/>
  <c r="G108" i="1"/>
  <c r="S107" i="1"/>
  <c r="Q107" i="1"/>
  <c r="J107" i="1"/>
  <c r="G107" i="1"/>
  <c r="S106" i="1"/>
  <c r="Q106" i="1"/>
  <c r="L106" i="1"/>
  <c r="J106" i="1"/>
  <c r="G106" i="1"/>
  <c r="P103" i="1"/>
  <c r="M103" i="1"/>
  <c r="L103" i="1"/>
  <c r="K103" i="1"/>
  <c r="I103" i="1"/>
  <c r="H103" i="1"/>
  <c r="G103" i="1"/>
  <c r="F103" i="1"/>
  <c r="S102" i="1"/>
  <c r="Q102" i="1"/>
  <c r="M102" i="1"/>
  <c r="L102" i="1"/>
  <c r="J102" i="1"/>
  <c r="H102" i="1"/>
  <c r="S101" i="1"/>
  <c r="Q101" i="1"/>
  <c r="L101" i="1"/>
  <c r="J101" i="1"/>
  <c r="H101" i="1"/>
  <c r="S100" i="1"/>
  <c r="Q100" i="1"/>
  <c r="P100" i="1"/>
  <c r="J100" i="1"/>
  <c r="H100" i="1"/>
  <c r="S99" i="1"/>
  <c r="Q99" i="1"/>
  <c r="L99" i="1"/>
  <c r="J99" i="1"/>
  <c r="P98" i="1"/>
  <c r="H98" i="1"/>
  <c r="E98" i="1"/>
  <c r="E4" i="6" s="1"/>
  <c r="P95" i="1"/>
  <c r="O95" i="1"/>
  <c r="M95" i="1"/>
  <c r="L95" i="1"/>
  <c r="K95" i="1"/>
  <c r="J95" i="1"/>
  <c r="I95" i="1"/>
  <c r="H95" i="1"/>
  <c r="G95" i="1"/>
  <c r="F95" i="1"/>
  <c r="E95" i="1"/>
  <c r="S94" i="1"/>
  <c r="Q94" i="1"/>
  <c r="J94" i="1"/>
  <c r="G94" i="1"/>
  <c r="S93" i="1"/>
  <c r="Q93" i="1"/>
  <c r="J93" i="1"/>
  <c r="N92" i="1"/>
  <c r="Q92" i="1" s="1"/>
  <c r="S92" i="1" s="1"/>
  <c r="J92" i="1"/>
  <c r="S91" i="1"/>
  <c r="Q91" i="1"/>
  <c r="L91" i="1"/>
  <c r="J91" i="1"/>
  <c r="G91" i="1"/>
  <c r="S90" i="1"/>
  <c r="Q90" i="1"/>
  <c r="L90" i="1"/>
  <c r="J90" i="1"/>
  <c r="G90" i="1"/>
  <c r="S89" i="1"/>
  <c r="Q89" i="1"/>
  <c r="P89" i="1"/>
  <c r="J89" i="1"/>
  <c r="G89" i="1"/>
  <c r="S88" i="1"/>
  <c r="Q88" i="1"/>
  <c r="M88" i="1"/>
  <c r="L88" i="1"/>
  <c r="J88" i="1"/>
  <c r="G88" i="1"/>
  <c r="S87" i="1"/>
  <c r="Q87" i="1"/>
  <c r="M87" i="1"/>
  <c r="L87" i="1"/>
  <c r="J87" i="1"/>
  <c r="N86" i="1"/>
  <c r="N95" i="1" s="1"/>
  <c r="L86" i="1"/>
  <c r="J86" i="1"/>
  <c r="G86" i="1"/>
  <c r="S85" i="1"/>
  <c r="Q85" i="1"/>
  <c r="O85" i="1"/>
  <c r="J85" i="1"/>
  <c r="I85" i="1"/>
  <c r="G85" i="1"/>
  <c r="P82" i="1"/>
  <c r="O82" i="1"/>
  <c r="M82" i="1"/>
  <c r="L82" i="1"/>
  <c r="K82" i="1"/>
  <c r="J82" i="1"/>
  <c r="I82" i="1"/>
  <c r="H82" i="1"/>
  <c r="G82" i="1"/>
  <c r="F82" i="1"/>
  <c r="E82" i="1"/>
  <c r="S81" i="1"/>
  <c r="Q81" i="1"/>
  <c r="J81" i="1"/>
  <c r="S80" i="1"/>
  <c r="Q80" i="1"/>
  <c r="J80" i="1"/>
  <c r="S79" i="1"/>
  <c r="Q79" i="1"/>
  <c r="P79" i="1"/>
  <c r="O79" i="1"/>
  <c r="M79" i="1"/>
  <c r="L79" i="1"/>
  <c r="J79" i="1"/>
  <c r="G79" i="1"/>
  <c r="F79" i="1"/>
  <c r="J78" i="1"/>
  <c r="G78" i="1"/>
  <c r="S77" i="1"/>
  <c r="Q77" i="1"/>
  <c r="J77" i="1"/>
  <c r="S76" i="1"/>
  <c r="Q76" i="1"/>
  <c r="M76" i="1"/>
  <c r="J76" i="1"/>
  <c r="G76" i="1"/>
  <c r="S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S72" i="1"/>
  <c r="Q72" i="1"/>
  <c r="J72" i="1"/>
  <c r="S71" i="1"/>
  <c r="Q71" i="1"/>
  <c r="L71" i="1"/>
  <c r="J71" i="1"/>
  <c r="G71" i="1"/>
  <c r="S70" i="1"/>
  <c r="Q70" i="1"/>
  <c r="L70" i="1"/>
  <c r="J70" i="1"/>
  <c r="G70" i="1"/>
  <c r="S69" i="1"/>
  <c r="Q69" i="1"/>
  <c r="L69" i="1"/>
  <c r="J69" i="1"/>
  <c r="G69" i="1"/>
  <c r="S68" i="1"/>
  <c r="Q68" i="1"/>
  <c r="M68" i="1"/>
  <c r="J68" i="1"/>
  <c r="G68" i="1"/>
  <c r="S67" i="1"/>
  <c r="Q67" i="1"/>
  <c r="L67" i="1"/>
  <c r="J67" i="1"/>
  <c r="S66" i="1"/>
  <c r="Q66" i="1"/>
  <c r="M66" i="1"/>
  <c r="L66" i="1"/>
  <c r="J66" i="1"/>
  <c r="G66" i="1"/>
  <c r="S65" i="1"/>
  <c r="Q65" i="1"/>
  <c r="J65" i="1"/>
  <c r="G65" i="1"/>
  <c r="S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S61" i="1"/>
  <c r="Q61" i="1"/>
  <c r="J61" i="1"/>
  <c r="S60" i="1"/>
  <c r="Q60" i="1"/>
  <c r="J60" i="1"/>
  <c r="G60" i="1"/>
  <c r="P57" i="1"/>
  <c r="O57" i="1"/>
  <c r="M57" i="1"/>
  <c r="L57" i="1"/>
  <c r="K57" i="1"/>
  <c r="J57" i="1"/>
  <c r="I57" i="1"/>
  <c r="H57" i="1"/>
  <c r="G57" i="1"/>
  <c r="F57" i="1"/>
  <c r="E57" i="1"/>
  <c r="S56" i="1"/>
  <c r="Q56" i="1"/>
  <c r="J56" i="1"/>
  <c r="G56" i="1"/>
  <c r="S55" i="1"/>
  <c r="Q55" i="1"/>
  <c r="J55" i="1"/>
  <c r="G55" i="1"/>
  <c r="S54" i="1"/>
  <c r="Q54" i="1"/>
  <c r="J54" i="1"/>
  <c r="S53" i="1"/>
  <c r="Q53" i="1"/>
  <c r="P53" i="1"/>
  <c r="J53" i="1"/>
  <c r="G53" i="1"/>
  <c r="S52" i="1"/>
  <c r="Q52" i="1"/>
  <c r="L52" i="1"/>
  <c r="J52" i="1"/>
  <c r="G52" i="1"/>
  <c r="J51" i="1"/>
  <c r="G51" i="1"/>
  <c r="S50" i="1"/>
  <c r="Q50" i="1"/>
  <c r="L50" i="1"/>
  <c r="J50" i="1"/>
  <c r="G50" i="1"/>
  <c r="S49" i="1"/>
  <c r="Q49" i="1"/>
  <c r="M49" i="1"/>
  <c r="L49" i="1"/>
  <c r="J49" i="1"/>
  <c r="G49" i="1"/>
  <c r="S48" i="1"/>
  <c r="Q48" i="1"/>
  <c r="L48" i="1"/>
  <c r="J48" i="1"/>
  <c r="G48" i="1"/>
  <c r="Q45" i="1"/>
  <c r="P45" i="1"/>
  <c r="O45" i="1"/>
  <c r="N45" i="1"/>
  <c r="M45" i="1"/>
  <c r="L45" i="1"/>
  <c r="K45" i="1"/>
  <c r="I45" i="1"/>
  <c r="H45" i="1"/>
  <c r="G45" i="1"/>
  <c r="F45" i="1"/>
  <c r="Q44" i="1"/>
  <c r="P44" i="1"/>
  <c r="O44" i="1"/>
  <c r="J44" i="1"/>
  <c r="J45" i="1" s="1"/>
  <c r="E44" i="1"/>
  <c r="E45" i="1" s="1"/>
  <c r="S43" i="1"/>
  <c r="Q43" i="1"/>
  <c r="L43" i="1"/>
  <c r="J43" i="1"/>
  <c r="H43" i="1"/>
  <c r="S42" i="1"/>
  <c r="Q42" i="1"/>
  <c r="L42" i="1"/>
  <c r="J42" i="1"/>
  <c r="H42" i="1"/>
  <c r="S41" i="1"/>
  <c r="Q41" i="1"/>
  <c r="L41" i="1"/>
  <c r="K41" i="1"/>
  <c r="J41" i="1"/>
  <c r="H41" i="1"/>
  <c r="P38" i="1"/>
  <c r="N38" i="1"/>
  <c r="L38" i="1"/>
  <c r="K38" i="1"/>
  <c r="I38" i="1"/>
  <c r="H38" i="1"/>
  <c r="G38" i="1"/>
  <c r="F38" i="1"/>
  <c r="S37" i="1"/>
  <c r="Q37" i="1"/>
  <c r="P37" i="1"/>
  <c r="O37" i="1"/>
  <c r="J37" i="1"/>
  <c r="S36" i="1"/>
  <c r="Q36" i="1"/>
  <c r="J36" i="1"/>
  <c r="S35" i="1"/>
  <c r="Q35" i="1"/>
  <c r="L35" i="1"/>
  <c r="J35" i="1"/>
  <c r="H35" i="1"/>
  <c r="S34" i="1"/>
  <c r="Q34" i="1"/>
  <c r="O34" i="1"/>
  <c r="J34" i="1"/>
  <c r="H34" i="1"/>
  <c r="S33" i="1"/>
  <c r="Q33" i="1"/>
  <c r="N33" i="1"/>
  <c r="L33" i="1"/>
  <c r="J33" i="1"/>
  <c r="H33" i="1"/>
  <c r="S32" i="1"/>
  <c r="Q32" i="1"/>
  <c r="J32" i="1"/>
  <c r="H32" i="1"/>
  <c r="S31" i="1"/>
  <c r="Q31" i="1"/>
  <c r="L31" i="1"/>
  <c r="J31" i="1"/>
  <c r="H31" i="1"/>
  <c r="S30" i="1"/>
  <c r="Q30" i="1"/>
  <c r="M30" i="1"/>
  <c r="L30" i="1"/>
  <c r="J30" i="1"/>
  <c r="H30" i="1"/>
  <c r="S29" i="1"/>
  <c r="Q29" i="1"/>
  <c r="M29" i="1"/>
  <c r="L29" i="1"/>
  <c r="J29" i="1"/>
  <c r="G29" i="1"/>
  <c r="S28" i="1"/>
  <c r="Q28" i="1"/>
  <c r="J28" i="1"/>
  <c r="H28" i="1"/>
  <c r="S27" i="1"/>
  <c r="Q27" i="1"/>
  <c r="J27" i="1"/>
  <c r="H27" i="1"/>
  <c r="S26" i="1"/>
  <c r="Q26" i="1"/>
  <c r="O26" i="1"/>
  <c r="J26" i="1"/>
  <c r="S25" i="1"/>
  <c r="Q25" i="1"/>
  <c r="O25" i="1"/>
  <c r="J25" i="1"/>
  <c r="I25" i="1"/>
  <c r="H25" i="1"/>
  <c r="S24" i="1"/>
  <c r="Q24" i="1"/>
  <c r="J24" i="1"/>
  <c r="S23" i="1"/>
  <c r="Q23" i="1"/>
  <c r="O23" i="1"/>
  <c r="L23" i="1"/>
  <c r="J23" i="1"/>
  <c r="I23" i="1"/>
  <c r="G23" i="1"/>
  <c r="S22" i="1"/>
  <c r="Q22" i="1"/>
  <c r="M22" i="1"/>
  <c r="L22" i="1"/>
  <c r="J22" i="1"/>
  <c r="I22" i="1"/>
  <c r="H22" i="1"/>
  <c r="S21" i="1"/>
  <c r="Q21" i="1"/>
  <c r="O21" i="1"/>
  <c r="J21" i="1"/>
  <c r="Q20" i="1"/>
  <c r="P20" i="1"/>
  <c r="O20" i="1"/>
  <c r="J20" i="1"/>
  <c r="J38" i="1" s="1"/>
  <c r="E20" i="1"/>
  <c r="E38" i="1" s="1"/>
  <c r="S19" i="1"/>
  <c r="Q19" i="1"/>
  <c r="O19" i="1"/>
  <c r="M19" i="1"/>
  <c r="L19" i="1"/>
  <c r="J19" i="1"/>
  <c r="I19" i="1"/>
  <c r="G19" i="1"/>
  <c r="S18" i="1"/>
  <c r="Q18" i="1"/>
  <c r="L18" i="1"/>
  <c r="J18" i="1"/>
  <c r="G18" i="1"/>
  <c r="S17" i="1"/>
  <c r="Q17" i="1"/>
  <c r="P17" i="1"/>
  <c r="J17" i="1"/>
  <c r="S16" i="1"/>
  <c r="Q16" i="1"/>
  <c r="O16" i="1"/>
  <c r="J16" i="1"/>
  <c r="I16" i="1"/>
  <c r="G16" i="1"/>
  <c r="S15" i="1"/>
  <c r="Q15" i="1"/>
  <c r="P15" i="1"/>
  <c r="L15" i="1"/>
  <c r="J15" i="1"/>
  <c r="I15" i="1"/>
  <c r="S14" i="1"/>
  <c r="Q14" i="1"/>
  <c r="J14" i="1"/>
  <c r="I14" i="1"/>
  <c r="H14" i="1"/>
  <c r="J13" i="1"/>
  <c r="I13" i="1"/>
  <c r="S12" i="1"/>
  <c r="Q12" i="1"/>
  <c r="M12" i="1"/>
  <c r="L12" i="1"/>
  <c r="J12" i="1"/>
  <c r="H12" i="1"/>
  <c r="M11" i="1"/>
  <c r="M38" i="1" s="1"/>
  <c r="M203" i="1" s="1"/>
  <c r="G24" i="68" s="1"/>
  <c r="L11" i="1"/>
  <c r="J11" i="1"/>
  <c r="I11" i="1"/>
  <c r="H11" i="1"/>
  <c r="S10" i="1"/>
  <c r="Q10" i="1"/>
  <c r="L10" i="1"/>
  <c r="J10" i="1"/>
  <c r="S9" i="1"/>
  <c r="Q9" i="1"/>
  <c r="O9" i="1"/>
  <c r="J9" i="1"/>
  <c r="I9" i="1"/>
  <c r="H9" i="1"/>
  <c r="S8" i="1"/>
  <c r="Q8" i="1"/>
  <c r="O8" i="1"/>
  <c r="L8" i="1"/>
  <c r="J8" i="1"/>
  <c r="I8" i="1"/>
  <c r="H8" i="1"/>
  <c r="S7" i="1"/>
  <c r="Q7" i="1"/>
  <c r="J7" i="1"/>
  <c r="G7" i="1"/>
  <c r="E3" i="1"/>
  <c r="C166" i="68"/>
  <c r="F56" i="68"/>
  <c r="E56" i="68"/>
  <c r="H55" i="68"/>
  <c r="G55" i="68"/>
  <c r="F55" i="68"/>
  <c r="H54" i="68"/>
  <c r="G54" i="68"/>
  <c r="F54" i="68"/>
  <c r="H53" i="68"/>
  <c r="F53" i="68"/>
  <c r="H52" i="68"/>
  <c r="G52" i="68"/>
  <c r="F52" i="68"/>
  <c r="H51" i="68"/>
  <c r="G51" i="68"/>
  <c r="F51" i="68"/>
  <c r="G50" i="68"/>
  <c r="F50" i="68"/>
  <c r="G49" i="68"/>
  <c r="F49" i="68"/>
  <c r="G48" i="68"/>
  <c r="F48" i="68"/>
  <c r="H47" i="68"/>
  <c r="G47" i="68"/>
  <c r="F47" i="68"/>
  <c r="H46" i="68"/>
  <c r="G46" i="68"/>
  <c r="F46" i="68"/>
  <c r="G45" i="68"/>
  <c r="F45" i="68"/>
  <c r="G44" i="68"/>
  <c r="F44" i="68"/>
  <c r="G43" i="68"/>
  <c r="F43" i="68"/>
  <c r="H38" i="68"/>
  <c r="H34" i="68"/>
  <c r="H30" i="68"/>
  <c r="G27" i="68"/>
  <c r="G23" i="68"/>
  <c r="N49" i="190" l="1"/>
  <c r="O49" i="190" s="1"/>
  <c r="R78" i="190"/>
  <c r="U78" i="190"/>
  <c r="Q78" i="190"/>
  <c r="T78" i="190"/>
  <c r="P78" i="190"/>
  <c r="S78" i="190"/>
  <c r="H9" i="174"/>
  <c r="N12" i="190"/>
  <c r="O12" i="190" s="1"/>
  <c r="S98" i="190"/>
  <c r="R98" i="190"/>
  <c r="U98" i="190"/>
  <c r="Q98" i="190"/>
  <c r="T98" i="190"/>
  <c r="P98" i="190"/>
  <c r="V98" i="190" s="1"/>
  <c r="X98" i="190" s="1"/>
  <c r="Z98" i="190" s="1"/>
  <c r="AB98" i="190" s="1"/>
  <c r="R86" i="190"/>
  <c r="U86" i="190"/>
  <c r="Q86" i="190"/>
  <c r="T86" i="190"/>
  <c r="P86" i="190"/>
  <c r="S86" i="190"/>
  <c r="T92" i="190"/>
  <c r="P92" i="190"/>
  <c r="S92" i="190"/>
  <c r="R92" i="190"/>
  <c r="U92" i="190"/>
  <c r="Q92" i="190"/>
  <c r="S106" i="190"/>
  <c r="R106" i="190"/>
  <c r="U106" i="190"/>
  <c r="Q106" i="190"/>
  <c r="T106" i="190"/>
  <c r="P106" i="190"/>
  <c r="N107" i="190"/>
  <c r="O107" i="190" s="1"/>
  <c r="S115" i="190"/>
  <c r="R115" i="190"/>
  <c r="U115" i="190"/>
  <c r="Q115" i="190"/>
  <c r="T115" i="190"/>
  <c r="P115" i="190"/>
  <c r="R117" i="190"/>
  <c r="U117" i="190"/>
  <c r="Q117" i="190"/>
  <c r="T117" i="190"/>
  <c r="P117" i="190"/>
  <c r="S117" i="190"/>
  <c r="Q86" i="1"/>
  <c r="N13" i="190"/>
  <c r="O13" i="190" s="1"/>
  <c r="F193" i="190"/>
  <c r="F194" i="190" s="1"/>
  <c r="E9" i="174"/>
  <c r="R10" i="154"/>
  <c r="U10" i="154"/>
  <c r="Q10" i="154"/>
  <c r="T10" i="154"/>
  <c r="P10" i="154"/>
  <c r="V10" i="154" s="1"/>
  <c r="X10" i="154" s="1"/>
  <c r="Z10" i="154" s="1"/>
  <c r="S10" i="154"/>
  <c r="T12" i="154"/>
  <c r="P12" i="154"/>
  <c r="S12" i="154"/>
  <c r="R12" i="154"/>
  <c r="U12" i="154"/>
  <c r="Q12" i="154"/>
  <c r="N13" i="154"/>
  <c r="O13" i="154" s="1"/>
  <c r="S20" i="1"/>
  <c r="S44" i="1"/>
  <c r="S45" i="1" s="1"/>
  <c r="H44" i="68" s="1"/>
  <c r="D4" i="6"/>
  <c r="E14" i="6"/>
  <c r="D14" i="6" s="1"/>
  <c r="E103" i="1"/>
  <c r="E203" i="1" s="1"/>
  <c r="N9" i="190"/>
  <c r="O9" i="190" s="1"/>
  <c r="F103" i="156"/>
  <c r="G99" i="156"/>
  <c r="F113" i="156"/>
  <c r="G107" i="156"/>
  <c r="N10" i="190"/>
  <c r="O10" i="190" s="1"/>
  <c r="N5" i="174"/>
  <c r="N9" i="174" s="1"/>
  <c r="J98" i="1"/>
  <c r="H5" i="164"/>
  <c r="G96" i="156"/>
  <c r="I87" i="156"/>
  <c r="I96" i="156" s="1"/>
  <c r="I93" i="156"/>
  <c r="F132" i="156"/>
  <c r="G122" i="156"/>
  <c r="F4" i="152"/>
  <c r="I13" i="154"/>
  <c r="L13" i="154" s="1"/>
  <c r="M13" i="154" s="1"/>
  <c r="N44" i="154"/>
  <c r="O44" i="154" s="1"/>
  <c r="N73" i="154"/>
  <c r="O73" i="154" s="1"/>
  <c r="N81" i="154"/>
  <c r="O81" i="154" s="1"/>
  <c r="I93" i="154"/>
  <c r="L93" i="154" s="1"/>
  <c r="M93" i="154" s="1"/>
  <c r="N93" i="154" s="1"/>
  <c r="O93" i="154" s="1"/>
  <c r="I101" i="154"/>
  <c r="L101" i="154" s="1"/>
  <c r="M101" i="154" s="1"/>
  <c r="N101" i="154" s="1"/>
  <c r="O101" i="154" s="1"/>
  <c r="N102" i="154"/>
  <c r="O102" i="154" s="1"/>
  <c r="I110" i="154"/>
  <c r="L110" i="154" s="1"/>
  <c r="M110" i="154" s="1"/>
  <c r="N110" i="154" s="1"/>
  <c r="O110" i="154" s="1"/>
  <c r="N112" i="154"/>
  <c r="O112" i="154" s="1"/>
  <c r="F11" i="156"/>
  <c r="F48" i="156"/>
  <c r="F96" i="156"/>
  <c r="R9" i="146"/>
  <c r="U9" i="146"/>
  <c r="Q9" i="146"/>
  <c r="T9" i="146"/>
  <c r="P9" i="146"/>
  <c r="S9" i="146"/>
  <c r="R87" i="146"/>
  <c r="Q87" i="146"/>
  <c r="T87" i="146"/>
  <c r="P87" i="146"/>
  <c r="S87" i="146"/>
  <c r="T101" i="146"/>
  <c r="P101" i="146"/>
  <c r="S101" i="146"/>
  <c r="R101" i="146"/>
  <c r="U101" i="146"/>
  <c r="Q101" i="146"/>
  <c r="N9" i="154"/>
  <c r="O9" i="154" s="1"/>
  <c r="J8" i="155"/>
  <c r="G116" i="156"/>
  <c r="N12" i="146"/>
  <c r="O12" i="146" s="1"/>
  <c r="U44" i="147"/>
  <c r="Q44" i="147"/>
  <c r="T44" i="147"/>
  <c r="P44" i="147"/>
  <c r="S44" i="147"/>
  <c r="R44" i="147"/>
  <c r="N87" i="154"/>
  <c r="O87" i="154" s="1"/>
  <c r="E113" i="156"/>
  <c r="E132" i="156"/>
  <c r="E195" i="156" s="1"/>
  <c r="N81" i="146"/>
  <c r="O81" i="146" s="1"/>
  <c r="T10" i="147"/>
  <c r="P10" i="147"/>
  <c r="S10" i="147"/>
  <c r="R10" i="147"/>
  <c r="U10" i="147"/>
  <c r="Q10" i="147"/>
  <c r="G79" i="156"/>
  <c r="F137" i="156"/>
  <c r="S12" i="147"/>
  <c r="R12" i="147"/>
  <c r="U12" i="147"/>
  <c r="Q12" i="147"/>
  <c r="T12" i="147"/>
  <c r="P12" i="147"/>
  <c r="N13" i="147"/>
  <c r="O13" i="147" s="1"/>
  <c r="N10" i="146"/>
  <c r="O10" i="146" s="1"/>
  <c r="N73" i="146"/>
  <c r="O73" i="146" s="1"/>
  <c r="Y8" i="129"/>
  <c r="Z7" i="129"/>
  <c r="Z11" i="129"/>
  <c r="Y12" i="129"/>
  <c r="Y26" i="129"/>
  <c r="Z24" i="129"/>
  <c r="X32" i="129"/>
  <c r="Y29" i="129"/>
  <c r="H110" i="116"/>
  <c r="N44" i="146"/>
  <c r="O44" i="146" s="1"/>
  <c r="N110" i="146"/>
  <c r="O110" i="146" s="1"/>
  <c r="N112" i="146"/>
  <c r="O112" i="146" s="1"/>
  <c r="I9" i="147"/>
  <c r="L9" i="147" s="1"/>
  <c r="M9" i="147" s="1"/>
  <c r="N9" i="147" s="1"/>
  <c r="O9" i="147" s="1"/>
  <c r="N73" i="147"/>
  <c r="O73" i="147" s="1"/>
  <c r="Y21" i="129"/>
  <c r="Z20" i="129"/>
  <c r="Z35" i="129"/>
  <c r="G85" i="116"/>
  <c r="H85" i="116" s="1"/>
  <c r="H83" i="116"/>
  <c r="G152" i="116"/>
  <c r="H152" i="116" s="1"/>
  <c r="H146" i="116"/>
  <c r="N13" i="146"/>
  <c r="O13" i="146" s="1"/>
  <c r="N93" i="146"/>
  <c r="O93" i="146" s="1"/>
  <c r="N102" i="146"/>
  <c r="O102" i="146" s="1"/>
  <c r="N110" i="147"/>
  <c r="O110" i="147" s="1"/>
  <c r="Z39" i="129"/>
  <c r="Y46" i="129"/>
  <c r="G57" i="116"/>
  <c r="H57" i="116" s="1"/>
  <c r="H53" i="116"/>
  <c r="G77" i="116"/>
  <c r="H77" i="116" s="1"/>
  <c r="G99" i="116"/>
  <c r="H99" i="116" s="1"/>
  <c r="H90" i="116"/>
  <c r="N81" i="147"/>
  <c r="O81" i="147" s="1"/>
  <c r="F189" i="115"/>
  <c r="G61" i="115"/>
  <c r="G130" i="116"/>
  <c r="H130" i="116" s="1"/>
  <c r="N87" i="147"/>
  <c r="O87" i="147" s="1"/>
  <c r="N93" i="147"/>
  <c r="O93" i="147" s="1"/>
  <c r="N101" i="147"/>
  <c r="O101" i="147" s="1"/>
  <c r="X36" i="129"/>
  <c r="X47" i="129" s="1"/>
  <c r="N102" i="147"/>
  <c r="O102" i="147" s="1"/>
  <c r="N112" i="147"/>
  <c r="O112" i="147" s="1"/>
  <c r="Y15" i="129"/>
  <c r="G73" i="115"/>
  <c r="G77" i="115" s="1"/>
  <c r="H119" i="116"/>
  <c r="G135" i="116"/>
  <c r="G37" i="116"/>
  <c r="U9" i="147" l="1"/>
  <c r="Q9" i="147"/>
  <c r="T9" i="147"/>
  <c r="P9" i="147"/>
  <c r="V9" i="147" s="1"/>
  <c r="S9" i="147"/>
  <c r="R9" i="147"/>
  <c r="R93" i="154"/>
  <c r="U93" i="154"/>
  <c r="Q93" i="154"/>
  <c r="T93" i="154"/>
  <c r="P93" i="154"/>
  <c r="S93" i="154"/>
  <c r="R110" i="154"/>
  <c r="U110" i="154"/>
  <c r="Q110" i="154"/>
  <c r="T110" i="154"/>
  <c r="P110" i="154"/>
  <c r="S110" i="154"/>
  <c r="R101" i="154"/>
  <c r="U101" i="154"/>
  <c r="Q101" i="154"/>
  <c r="T101" i="154"/>
  <c r="P101" i="154"/>
  <c r="S101" i="154"/>
  <c r="H37" i="116"/>
  <c r="Z15" i="129"/>
  <c r="Y17" i="129"/>
  <c r="T87" i="147"/>
  <c r="P87" i="147"/>
  <c r="S87" i="147"/>
  <c r="R87" i="147"/>
  <c r="U87" i="147"/>
  <c r="Q87" i="147"/>
  <c r="Z46" i="129"/>
  <c r="AB39" i="129"/>
  <c r="AB46" i="129" s="1"/>
  <c r="S13" i="146"/>
  <c r="R13" i="146"/>
  <c r="U13" i="146"/>
  <c r="Q13" i="146"/>
  <c r="T13" i="146"/>
  <c r="P13" i="146"/>
  <c r="U73" i="147"/>
  <c r="Q73" i="147"/>
  <c r="T73" i="147"/>
  <c r="P73" i="147"/>
  <c r="S73" i="147"/>
  <c r="R73" i="147"/>
  <c r="T44" i="146"/>
  <c r="P44" i="146"/>
  <c r="S44" i="146"/>
  <c r="R44" i="146"/>
  <c r="U44" i="146"/>
  <c r="Q44" i="146"/>
  <c r="Z26" i="129"/>
  <c r="AB24" i="129"/>
  <c r="AB26" i="129" s="1"/>
  <c r="AB7" i="129"/>
  <c r="AB8" i="129" s="1"/>
  <c r="Z8" i="129"/>
  <c r="U10" i="146"/>
  <c r="Q10" i="146"/>
  <c r="T10" i="146"/>
  <c r="P10" i="146"/>
  <c r="V10" i="146" s="1"/>
  <c r="X10" i="146" s="1"/>
  <c r="Z10" i="146" s="1"/>
  <c r="AB10" i="146" s="1"/>
  <c r="S10" i="146"/>
  <c r="R10" i="146"/>
  <c r="F194" i="156"/>
  <c r="G137" i="156"/>
  <c r="R81" i="146"/>
  <c r="U81" i="146"/>
  <c r="Q81" i="146"/>
  <c r="T81" i="146"/>
  <c r="P81" i="146"/>
  <c r="S81" i="146"/>
  <c r="J9" i="155"/>
  <c r="U81" i="154"/>
  <c r="Q81" i="154"/>
  <c r="T81" i="154"/>
  <c r="P81" i="154"/>
  <c r="V81" i="154" s="1"/>
  <c r="X81" i="154" s="1"/>
  <c r="Z81" i="154" s="1"/>
  <c r="AB81" i="154" s="1"/>
  <c r="S81" i="154"/>
  <c r="R81" i="154"/>
  <c r="H10" i="164"/>
  <c r="N5" i="164"/>
  <c r="N10" i="164" s="1"/>
  <c r="R13" i="154"/>
  <c r="U13" i="154"/>
  <c r="Q13" i="154"/>
  <c r="T13" i="154"/>
  <c r="P13" i="154"/>
  <c r="S13" i="154"/>
  <c r="P9" i="153"/>
  <c r="AB10" i="154"/>
  <c r="Q95" i="1"/>
  <c r="S86" i="1"/>
  <c r="S95" i="1" s="1"/>
  <c r="H49" i="68" s="1"/>
  <c r="V92" i="190"/>
  <c r="X92" i="190" s="1"/>
  <c r="Z92" i="190" s="1"/>
  <c r="AB92" i="190" s="1"/>
  <c r="H135" i="116"/>
  <c r="G188" i="116"/>
  <c r="H188" i="116" s="1"/>
  <c r="S112" i="147"/>
  <c r="R112" i="147"/>
  <c r="U112" i="147"/>
  <c r="Q112" i="147"/>
  <c r="P112" i="147"/>
  <c r="T112" i="147"/>
  <c r="R81" i="147"/>
  <c r="U81" i="147"/>
  <c r="Q81" i="147"/>
  <c r="T81" i="147"/>
  <c r="P81" i="147"/>
  <c r="S81" i="147"/>
  <c r="T110" i="147"/>
  <c r="P110" i="147"/>
  <c r="S110" i="147"/>
  <c r="R110" i="147"/>
  <c r="U110" i="147"/>
  <c r="Q110" i="147"/>
  <c r="Z36" i="129"/>
  <c r="AB35" i="129"/>
  <c r="AB36" i="129" s="1"/>
  <c r="R13" i="147"/>
  <c r="U13" i="147"/>
  <c r="Q13" i="147"/>
  <c r="T13" i="147"/>
  <c r="P13" i="147"/>
  <c r="S13" i="147"/>
  <c r="G83" i="156"/>
  <c r="I79" i="156"/>
  <c r="I83" i="156" s="1"/>
  <c r="N78" i="1"/>
  <c r="T9" i="154"/>
  <c r="P9" i="154"/>
  <c r="S9" i="154"/>
  <c r="R9" i="154"/>
  <c r="U9" i="154"/>
  <c r="Q9" i="154"/>
  <c r="G48" i="156"/>
  <c r="F55" i="156"/>
  <c r="U102" i="154"/>
  <c r="Q102" i="154"/>
  <c r="T102" i="154"/>
  <c r="P102" i="154"/>
  <c r="V102" i="154" s="1"/>
  <c r="X102" i="154" s="1"/>
  <c r="Z102" i="154" s="1"/>
  <c r="AB102" i="154" s="1"/>
  <c r="S102" i="154"/>
  <c r="R102" i="154"/>
  <c r="U73" i="154"/>
  <c r="Q73" i="154"/>
  <c r="T73" i="154"/>
  <c r="P73" i="154"/>
  <c r="S73" i="154"/>
  <c r="R73" i="154"/>
  <c r="I122" i="156"/>
  <c r="I132" i="156" s="1"/>
  <c r="G132" i="156"/>
  <c r="J103" i="1"/>
  <c r="J203" i="1" s="1"/>
  <c r="H20" i="68" s="1"/>
  <c r="S10" i="190"/>
  <c r="R10" i="190"/>
  <c r="U10" i="190"/>
  <c r="Q10" i="190"/>
  <c r="T10" i="190"/>
  <c r="P10" i="190"/>
  <c r="G103" i="156"/>
  <c r="I99" i="156"/>
  <c r="I103" i="156" s="1"/>
  <c r="N98" i="1"/>
  <c r="N103" i="1" s="1"/>
  <c r="V12" i="154"/>
  <c r="X12" i="154" s="1"/>
  <c r="Z12" i="154" s="1"/>
  <c r="AB12" i="154" s="1"/>
  <c r="R107" i="190"/>
  <c r="U107" i="190"/>
  <c r="Q107" i="190"/>
  <c r="T107" i="190"/>
  <c r="P107" i="190"/>
  <c r="V107" i="190" s="1"/>
  <c r="X107" i="190" s="1"/>
  <c r="Z107" i="190" s="1"/>
  <c r="AB107" i="190" s="1"/>
  <c r="S107" i="190"/>
  <c r="S102" i="147"/>
  <c r="R102" i="147"/>
  <c r="U102" i="147"/>
  <c r="Q102" i="147"/>
  <c r="T102" i="147"/>
  <c r="P102" i="147"/>
  <c r="T101" i="147"/>
  <c r="P101" i="147"/>
  <c r="S101" i="147"/>
  <c r="R101" i="147"/>
  <c r="U101" i="147"/>
  <c r="Q101" i="147"/>
  <c r="S102" i="146"/>
  <c r="R102" i="146"/>
  <c r="U102" i="146"/>
  <c r="Q102" i="146"/>
  <c r="T102" i="146"/>
  <c r="P102" i="146"/>
  <c r="AB20" i="129"/>
  <c r="AB21" i="129" s="1"/>
  <c r="Z21" i="129"/>
  <c r="T112" i="146"/>
  <c r="P112" i="146"/>
  <c r="S112" i="146"/>
  <c r="R112" i="146"/>
  <c r="Q112" i="146"/>
  <c r="Y32" i="129"/>
  <c r="Z29" i="129"/>
  <c r="V12" i="147"/>
  <c r="X12" i="147" s="1"/>
  <c r="Z12" i="147" s="1"/>
  <c r="AB12" i="147" s="1"/>
  <c r="V10" i="147"/>
  <c r="X10" i="147" s="1"/>
  <c r="Z10" i="147" s="1"/>
  <c r="AB10" i="147" s="1"/>
  <c r="V44" i="147"/>
  <c r="X44" i="147" s="1"/>
  <c r="Z44" i="147" s="1"/>
  <c r="AB44" i="147" s="1"/>
  <c r="T12" i="146"/>
  <c r="P12" i="146"/>
  <c r="S12" i="146"/>
  <c r="R12" i="146"/>
  <c r="U12" i="146"/>
  <c r="Q12" i="146"/>
  <c r="V87" i="146"/>
  <c r="X87" i="146" s="1"/>
  <c r="Z87" i="146" s="1"/>
  <c r="AB87" i="146" s="1"/>
  <c r="AB191" i="146" s="1"/>
  <c r="F35" i="156"/>
  <c r="G11" i="156"/>
  <c r="U44" i="154"/>
  <c r="Q44" i="154"/>
  <c r="T44" i="154"/>
  <c r="P44" i="154"/>
  <c r="S44" i="154"/>
  <c r="R44" i="154"/>
  <c r="V117" i="190"/>
  <c r="X117" i="190" s="1"/>
  <c r="Z117" i="190" s="1"/>
  <c r="AB117" i="190" s="1"/>
  <c r="V106" i="190"/>
  <c r="X106" i="190" s="1"/>
  <c r="Z106" i="190" s="1"/>
  <c r="AB106" i="190" s="1"/>
  <c r="R12" i="190"/>
  <c r="U12" i="190"/>
  <c r="Q12" i="190"/>
  <c r="T12" i="190"/>
  <c r="P12" i="190"/>
  <c r="S12" i="190"/>
  <c r="V78" i="190"/>
  <c r="X78" i="190" s="1"/>
  <c r="Z78" i="190" s="1"/>
  <c r="AB78" i="190" s="1"/>
  <c r="T93" i="147"/>
  <c r="P93" i="147"/>
  <c r="S93" i="147"/>
  <c r="R93" i="147"/>
  <c r="U93" i="147"/>
  <c r="Q93" i="147"/>
  <c r="G189" i="115"/>
  <c r="Y47" i="129"/>
  <c r="S93" i="146"/>
  <c r="R93" i="146"/>
  <c r="U93" i="146"/>
  <c r="Q93" i="146"/>
  <c r="T93" i="146"/>
  <c r="P93" i="146"/>
  <c r="V93" i="146" s="1"/>
  <c r="X93" i="146" s="1"/>
  <c r="Z93" i="146" s="1"/>
  <c r="AB93" i="146" s="1"/>
  <c r="AB97" i="146" s="1"/>
  <c r="T110" i="146"/>
  <c r="P110" i="146"/>
  <c r="S110" i="146"/>
  <c r="R110" i="146"/>
  <c r="U110" i="146"/>
  <c r="Q110" i="146"/>
  <c r="Z12" i="129"/>
  <c r="AB11" i="129"/>
  <c r="AB12" i="129" s="1"/>
  <c r="U73" i="146"/>
  <c r="Q73" i="146"/>
  <c r="T73" i="146"/>
  <c r="P73" i="146"/>
  <c r="V73" i="146" s="1"/>
  <c r="X73" i="146" s="1"/>
  <c r="Z73" i="146" s="1"/>
  <c r="AB73" i="146" s="1"/>
  <c r="AB77" i="146" s="1"/>
  <c r="S73" i="146"/>
  <c r="R73" i="146"/>
  <c r="S87" i="154"/>
  <c r="R87" i="154"/>
  <c r="U87" i="154"/>
  <c r="Q87" i="154"/>
  <c r="T87" i="154"/>
  <c r="P87" i="154"/>
  <c r="V87" i="154" s="1"/>
  <c r="X87" i="154" s="1"/>
  <c r="Z87" i="154" s="1"/>
  <c r="AB87" i="154" s="1"/>
  <c r="G119" i="156"/>
  <c r="I116" i="156"/>
  <c r="I119" i="156" s="1"/>
  <c r="V101" i="146"/>
  <c r="X101" i="146" s="1"/>
  <c r="Z101" i="146" s="1"/>
  <c r="AB101" i="146" s="1"/>
  <c r="V9" i="146"/>
  <c r="X9" i="146" s="1"/>
  <c r="Z9" i="146" s="1"/>
  <c r="U112" i="154"/>
  <c r="Q112" i="154"/>
  <c r="T112" i="154"/>
  <c r="P112" i="154"/>
  <c r="V112" i="154" s="1"/>
  <c r="X112" i="154" s="1"/>
  <c r="Z112" i="154" s="1"/>
  <c r="AB112" i="154" s="1"/>
  <c r="S112" i="154"/>
  <c r="R112" i="154"/>
  <c r="I107" i="156"/>
  <c r="I113" i="156" s="1"/>
  <c r="G113" i="156"/>
  <c r="T9" i="190"/>
  <c r="P9" i="190"/>
  <c r="S9" i="190"/>
  <c r="R9" i="190"/>
  <c r="U9" i="190"/>
  <c r="Q9" i="190"/>
  <c r="Q13" i="190"/>
  <c r="T13" i="190"/>
  <c r="P13" i="190"/>
  <c r="S13" i="190"/>
  <c r="R13" i="190"/>
  <c r="V115" i="190"/>
  <c r="X115" i="190" s="1"/>
  <c r="Z115" i="190" s="1"/>
  <c r="AB115" i="190" s="1"/>
  <c r="V86" i="190"/>
  <c r="X86" i="190" s="1"/>
  <c r="Z86" i="190" s="1"/>
  <c r="AB86" i="190" s="1"/>
  <c r="S49" i="190"/>
  <c r="R49" i="190"/>
  <c r="U49" i="190"/>
  <c r="Q49" i="190"/>
  <c r="T49" i="190"/>
  <c r="P49" i="190"/>
  <c r="V110" i="146" l="1"/>
  <c r="X110" i="146" s="1"/>
  <c r="Z110" i="146" s="1"/>
  <c r="AB110" i="146" s="1"/>
  <c r="V44" i="154"/>
  <c r="X44" i="154" s="1"/>
  <c r="Z44" i="154" s="1"/>
  <c r="AB44" i="154" s="1"/>
  <c r="G35" i="156"/>
  <c r="I11" i="156"/>
  <c r="I35" i="156" s="1"/>
  <c r="Z32" i="129"/>
  <c r="AB29" i="129"/>
  <c r="AB32" i="129" s="1"/>
  <c r="V10" i="190"/>
  <c r="X10" i="190" s="1"/>
  <c r="Z10" i="190" s="1"/>
  <c r="AB10" i="190" s="1"/>
  <c r="V73" i="154"/>
  <c r="X73" i="154" s="1"/>
  <c r="Z73" i="154" s="1"/>
  <c r="AB73" i="154" s="1"/>
  <c r="V9" i="154"/>
  <c r="X9" i="147"/>
  <c r="AB9" i="146"/>
  <c r="V49" i="190"/>
  <c r="X49" i="190" s="1"/>
  <c r="Z49" i="190" s="1"/>
  <c r="AB49" i="190" s="1"/>
  <c r="V112" i="146"/>
  <c r="X112" i="146" s="1"/>
  <c r="Z112" i="146" s="1"/>
  <c r="AB112" i="146" s="1"/>
  <c r="V102" i="146"/>
  <c r="X102" i="146" s="1"/>
  <c r="Z102" i="146" s="1"/>
  <c r="AB102" i="146" s="1"/>
  <c r="V102" i="147"/>
  <c r="X102" i="147" s="1"/>
  <c r="Z102" i="147" s="1"/>
  <c r="AB102" i="147" s="1"/>
  <c r="V81" i="147"/>
  <c r="X81" i="147" s="1"/>
  <c r="Z81" i="147" s="1"/>
  <c r="AB81" i="147" s="1"/>
  <c r="V13" i="154"/>
  <c r="X13" i="154" s="1"/>
  <c r="Z13" i="154" s="1"/>
  <c r="V81" i="146"/>
  <c r="X81" i="146" s="1"/>
  <c r="Z81" i="146" s="1"/>
  <c r="AB81" i="146" s="1"/>
  <c r="Z47" i="129"/>
  <c r="Z17" i="129"/>
  <c r="AB15" i="129"/>
  <c r="AB17" i="129" s="1"/>
  <c r="AB47" i="129" s="1"/>
  <c r="V101" i="154"/>
  <c r="X101" i="154" s="1"/>
  <c r="Z101" i="154" s="1"/>
  <c r="AB101" i="154" s="1"/>
  <c r="V93" i="154"/>
  <c r="X93" i="154" s="1"/>
  <c r="Z93" i="154" s="1"/>
  <c r="V93" i="147"/>
  <c r="X93" i="147" s="1"/>
  <c r="Z93" i="147" s="1"/>
  <c r="AB93" i="147" s="1"/>
  <c r="Q78" i="1"/>
  <c r="N82" i="1"/>
  <c r="V110" i="147"/>
  <c r="X110" i="147" s="1"/>
  <c r="Z110" i="147" s="1"/>
  <c r="AB110" i="147" s="1"/>
  <c r="G194" i="156"/>
  <c r="I137" i="156"/>
  <c r="I194" i="156" s="1"/>
  <c r="I195" i="156" s="1"/>
  <c r="V44" i="146"/>
  <c r="X44" i="146" s="1"/>
  <c r="Z44" i="146" s="1"/>
  <c r="AB44" i="146" s="1"/>
  <c r="V73" i="147"/>
  <c r="X73" i="147" s="1"/>
  <c r="Z73" i="147" s="1"/>
  <c r="AB73" i="147" s="1"/>
  <c r="V13" i="146"/>
  <c r="X13" i="146" s="1"/>
  <c r="Z13" i="146" s="1"/>
  <c r="AB13" i="146" s="1"/>
  <c r="V87" i="147"/>
  <c r="X87" i="147" s="1"/>
  <c r="Z87" i="147" s="1"/>
  <c r="AB87" i="147" s="1"/>
  <c r="V9" i="190"/>
  <c r="V13" i="190"/>
  <c r="X13" i="190" s="1"/>
  <c r="Z13" i="190" s="1"/>
  <c r="AB13" i="190" s="1"/>
  <c r="AB107" i="146"/>
  <c r="V12" i="190"/>
  <c r="X12" i="190" s="1"/>
  <c r="Z12" i="190" s="1"/>
  <c r="AB12" i="190" s="1"/>
  <c r="V12" i="146"/>
  <c r="X12" i="146" s="1"/>
  <c r="Z12" i="146" s="1"/>
  <c r="AB12" i="146" s="1"/>
  <c r="V101" i="147"/>
  <c r="X101" i="147" s="1"/>
  <c r="Z101" i="147" s="1"/>
  <c r="AB101" i="147" s="1"/>
  <c r="I48" i="156"/>
  <c r="I55" i="156" s="1"/>
  <c r="G55" i="156"/>
  <c r="N51" i="1"/>
  <c r="V13" i="147"/>
  <c r="X13" i="147" s="1"/>
  <c r="Z13" i="147" s="1"/>
  <c r="AB13" i="147" s="1"/>
  <c r="V112" i="147"/>
  <c r="X112" i="147" s="1"/>
  <c r="Z112" i="147" s="1"/>
  <c r="AB112" i="147" s="1"/>
  <c r="Q9" i="153"/>
  <c r="O11" i="1"/>
  <c r="F195" i="156"/>
  <c r="G189" i="116"/>
  <c r="H189" i="116" s="1"/>
  <c r="V110" i="154"/>
  <c r="X110" i="154" s="1"/>
  <c r="Z110" i="154" s="1"/>
  <c r="AB110" i="154" s="1"/>
  <c r="V193" i="190" l="1"/>
  <c r="V194" i="190" s="1"/>
  <c r="X9" i="190"/>
  <c r="O8" i="155"/>
  <c r="AB93" i="154"/>
  <c r="O98" i="1"/>
  <c r="V188" i="147"/>
  <c r="V189" i="147" s="1"/>
  <c r="M196" i="143" s="1"/>
  <c r="M197" i="143" s="1"/>
  <c r="N57" i="1"/>
  <c r="N203" i="1" s="1"/>
  <c r="G25" i="68" s="1"/>
  <c r="Q51" i="1"/>
  <c r="AB190" i="146"/>
  <c r="AB192" i="146" s="1"/>
  <c r="AB194" i="146" s="1"/>
  <c r="AB90" i="146"/>
  <c r="AB33" i="146"/>
  <c r="P12" i="153"/>
  <c r="AB13" i="154"/>
  <c r="Z188" i="146"/>
  <c r="V188" i="154"/>
  <c r="V189" i="154" s="1"/>
  <c r="X9" i="154"/>
  <c r="Q82" i="1"/>
  <c r="S78" i="1"/>
  <c r="S82" i="1" s="1"/>
  <c r="H48" i="68" s="1"/>
  <c r="Q11" i="1"/>
  <c r="G195" i="156"/>
  <c r="X188" i="147"/>
  <c r="Z9" i="147"/>
  <c r="Z188" i="147" l="1"/>
  <c r="AB9" i="147"/>
  <c r="S11" i="1"/>
  <c r="O103" i="1"/>
  <c r="Q98" i="1"/>
  <c r="X193" i="190"/>
  <c r="Z9" i="190"/>
  <c r="Z9" i="154"/>
  <c r="X188" i="154"/>
  <c r="Q12" i="153"/>
  <c r="Q17" i="153" s="1"/>
  <c r="O13" i="1"/>
  <c r="P17" i="153"/>
  <c r="Q57" i="1"/>
  <c r="S51" i="1"/>
  <c r="S57" i="1" s="1"/>
  <c r="H45" i="68" s="1"/>
  <c r="Q8" i="155"/>
  <c r="O9" i="155"/>
  <c r="AB188" i="146"/>
  <c r="Q103" i="1" l="1"/>
  <c r="S98" i="1"/>
  <c r="S103" i="1" s="1"/>
  <c r="Q9" i="155"/>
  <c r="S8" i="155"/>
  <c r="Q13" i="1"/>
  <c r="O38" i="1"/>
  <c r="Z188" i="154"/>
  <c r="AB9" i="154"/>
  <c r="O203" i="1"/>
  <c r="G26" i="68" s="1"/>
  <c r="H28" i="68" s="1"/>
  <c r="H29" i="68" s="1"/>
  <c r="H31" i="68" s="1"/>
  <c r="Z193" i="190"/>
  <c r="AB9" i="190"/>
  <c r="S13" i="1" l="1"/>
  <c r="S38" i="1" s="1"/>
  <c r="H43" i="68" s="1"/>
  <c r="Q38" i="1"/>
  <c r="S9" i="155"/>
  <c r="T8" i="155"/>
  <c r="H50" i="68"/>
  <c r="S203" i="1"/>
  <c r="Q203" i="1"/>
  <c r="H56" i="68" l="1"/>
  <c r="Q12" i="131" l="1"/>
  <c r="Q27" i="131"/>
  <c r="Q13" i="131"/>
  <c r="Q11" i="131"/>
  <c r="Q7" i="131"/>
  <c r="Q18" i="131"/>
</calcChain>
</file>

<file path=xl/sharedStrings.xml><?xml version="1.0" encoding="utf-8"?>
<sst xmlns="http://schemas.openxmlformats.org/spreadsheetml/2006/main" count="14627" uniqueCount="1334">
  <si>
    <t>NATIONAL INSTITUTE FOR LEGISLATIVE AND DEMOCRATIC STUDIES</t>
  </si>
  <si>
    <t>STAFF PAYROLL FOR THE MONTH OF DECEMBER, 2024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</si>
  <si>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</si>
  <si>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</si>
  <si>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</si>
  <si>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</si>
  <si>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</si>
  <si>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</si>
  <si>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</si>
  <si>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</si>
  <si>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</si>
  <si>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</si>
  <si>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</si>
  <si>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</si>
  <si>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</si>
  <si>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</si>
  <si>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</si>
  <si>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NOVEMBER, 2024</t>
  </si>
  <si>
    <t>DECEMBER, 2024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</si>
  <si>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</si>
  <si>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</si>
  <si>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</si>
  <si>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</si>
  <si>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</si>
  <si>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</si>
  <si>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</si>
  <si>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</si>
  <si>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</si>
  <si>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</si>
  <si>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</si>
  <si>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</si>
  <si>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</si>
  <si>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</si>
  <si>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</si>
  <si>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</si>
  <si>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</si>
  <si>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</si>
  <si>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</si>
  <si>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</si>
  <si>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</si>
  <si>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</si>
  <si>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</si>
  <si>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</si>
  <si>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</si>
  <si>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</si>
  <si>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</si>
  <si>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</si>
  <si>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14(8)</t>
  </si>
  <si>
    <t>ABDULSALAM S. MUSTAPHA</t>
  </si>
  <si>
    <t>ASST. DIRECTOR ICT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</si>
  <si>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</si>
  <si>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</si>
  <si>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</si>
  <si>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</si>
  <si>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</si>
  <si>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</si>
  <si>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</si>
  <si>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</si>
  <si>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</si>
  <si>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</si>
  <si>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</si>
  <si>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</si>
  <si>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</si>
  <si>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</si>
  <si>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</si>
  <si>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</si>
  <si>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</si>
  <si>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</si>
  <si>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</si>
  <si>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</si>
  <si>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</si>
  <si>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</si>
  <si>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</si>
  <si>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</si>
  <si>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</si>
  <si>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</si>
  <si>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</si>
  <si>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</si>
  <si>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</si>
  <si>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</si>
  <si>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</si>
  <si>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</si>
  <si>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</si>
  <si>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</si>
  <si>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</si>
  <si>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</si>
  <si>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</si>
  <si>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</si>
  <si>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</si>
  <si>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</si>
  <si>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</si>
  <si>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</si>
  <si>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</si>
  <si>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</si>
  <si>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</si>
  <si>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</si>
  <si>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</si>
  <si>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</si>
  <si>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</si>
  <si>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</si>
  <si>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</si>
  <si>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</si>
  <si>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</si>
  <si>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</si>
  <si>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</si>
  <si>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YUSUF YUSUF DAYYABU</t>
  </si>
  <si>
    <t>INERNAL AUDIT OFFICER</t>
  </si>
  <si>
    <t>LEG. SUPPORT SEVICES</t>
  </si>
  <si>
    <t>PROF. EDOBA BRIGHT OMOREGBE</t>
  </si>
  <si>
    <t>AG. DLSS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</si>
  <si>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</si>
  <si>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</si>
  <si>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</si>
  <si>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</si>
  <si>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</si>
  <si>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</si>
  <si>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</si>
  <si>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</si>
  <si>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</si>
  <si>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</si>
  <si>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</si>
  <si>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</si>
  <si>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</si>
  <si>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</si>
  <si>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</si>
  <si>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</si>
  <si>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</si>
  <si>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</si>
  <si>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</si>
  <si>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</si>
  <si>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</si>
  <si>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</si>
  <si>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</si>
  <si>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</si>
  <si>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</si>
  <si>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RESEARCH FELLOW 1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</si>
  <si>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</si>
  <si>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</si>
  <si>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</si>
  <si>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</si>
  <si>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</si>
  <si>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</si>
  <si>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</si>
  <si>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</si>
  <si>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</si>
  <si>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</si>
  <si>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</si>
  <si>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</si>
  <si>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</si>
  <si>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</si>
  <si>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14(9)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</si>
  <si>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</si>
  <si>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</si>
  <si>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</si>
  <si>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</si>
  <si>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</si>
  <si>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</si>
  <si>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</si>
  <si>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</si>
  <si>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</si>
  <si>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OMOJU OLUWASOLA EMMANUEL</t>
  </si>
  <si>
    <t>IBE EZECHI CYRIACUS</t>
  </si>
  <si>
    <t>OSIKHEN LEO IGBANOI</t>
  </si>
  <si>
    <t>OKUNGBOWA OSARETIN GODSPOWER</t>
  </si>
  <si>
    <t>14(7)</t>
  </si>
  <si>
    <t>YUSUF IBRAHIM</t>
  </si>
  <si>
    <t>MUSTAPHA RAFIU AYOBANJI</t>
  </si>
  <si>
    <t>RESEARCH FELLOW 11</t>
  </si>
  <si>
    <t>13(7)</t>
  </si>
  <si>
    <t>MARYAM MUSA SADA</t>
  </si>
  <si>
    <t>ASSIT. RESEARCH OFFICER</t>
  </si>
  <si>
    <t>CHARITY EZENWAJIOBI</t>
  </si>
  <si>
    <t>REASEARCH. ASST.</t>
  </si>
  <si>
    <t>8(9)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</si>
  <si>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</si>
  <si>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</si>
  <si>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</si>
  <si>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</si>
  <si>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</si>
  <si>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</si>
  <si>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EROMOSELE OMONIGBO</t>
  </si>
  <si>
    <t>ASSIST. CHIEF PERSONNEL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</si>
  <si>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</si>
  <si>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</si>
  <si>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</si>
  <si>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</si>
  <si>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</si>
  <si>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</si>
  <si>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</si>
  <si>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</si>
  <si>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</si>
  <si>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</si>
  <si>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</si>
  <si>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</si>
  <si>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</si>
  <si>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</si>
  <si>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</si>
  <si>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</si>
  <si>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</si>
  <si>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</si>
  <si>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</si>
  <si>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</si>
  <si>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</si>
  <si>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</si>
  <si>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EGUATU U. ONYEJELEM</t>
  </si>
  <si>
    <t xml:space="preserve">PRINCIPAL M&amp;E OFFICER </t>
  </si>
  <si>
    <t>CHRISTIAN MADUABUCHI ODO</t>
  </si>
  <si>
    <t>ASSIST. CHIEF ICT OFFICER</t>
  </si>
  <si>
    <t>DEMOCRACY RADIO 104.9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</si>
  <si>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</si>
  <si>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</si>
  <si>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</si>
  <si>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</si>
  <si>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</si>
  <si>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</si>
  <si>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</si>
  <si>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</si>
  <si>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</si>
  <si>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</si>
  <si>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</si>
  <si>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</si>
  <si>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</si>
  <si>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</si>
  <si>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</si>
  <si>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14(10)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</si>
  <si>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</si>
  <si>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</si>
  <si>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</si>
  <si>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</si>
  <si>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</si>
  <si>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</si>
  <si>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</si>
  <si>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</si>
  <si>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</si>
  <si>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</si>
  <si>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</si>
  <si>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</si>
  <si>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AMINU BELLO DUKKU</t>
  </si>
  <si>
    <t>DIR ADMIN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</si>
  <si>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</si>
  <si>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</si>
  <si>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</si>
  <si>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</si>
  <si>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</si>
  <si>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</si>
  <si>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</si>
  <si>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</si>
  <si>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</si>
  <si>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</si>
  <si>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</si>
  <si>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</si>
  <si>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</si>
  <si>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</si>
  <si>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</si>
  <si>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</si>
  <si>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12(10)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</si>
  <si>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</si>
  <si>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</si>
  <si>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</si>
  <si>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</si>
  <si>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</si>
  <si>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</si>
  <si>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</si>
  <si>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</si>
  <si>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</si>
  <si>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</si>
  <si>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</si>
  <si>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10(9)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</si>
  <si>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</si>
  <si>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</si>
  <si>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</si>
  <si>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</si>
  <si>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</si>
  <si>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</si>
  <si>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</si>
  <si>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</si>
  <si>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</si>
  <si>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</si>
  <si>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</si>
  <si>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</si>
  <si>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</si>
  <si>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</si>
  <si>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</si>
  <si>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</si>
  <si>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</si>
  <si>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</si>
  <si>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</si>
  <si>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</si>
  <si>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</si>
  <si>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</si>
  <si>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</si>
  <si>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</si>
  <si>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</si>
  <si>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</si>
  <si>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</si>
  <si>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</si>
  <si>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</si>
  <si>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</si>
  <si>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</si>
  <si>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</si>
  <si>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</si>
  <si>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</si>
  <si>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</si>
  <si>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</si>
  <si>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</si>
  <si>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</si>
  <si>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</si>
  <si>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</si>
  <si>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</si>
  <si>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</si>
  <si>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</si>
  <si>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</si>
  <si>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</si>
  <si>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</si>
  <si>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</si>
  <si>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</si>
  <si>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</si>
  <si>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</si>
  <si>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</si>
  <si>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</si>
  <si>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</si>
  <si>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</si>
  <si>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</si>
  <si>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</si>
  <si>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</si>
  <si>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5(9)</t>
  </si>
  <si>
    <t>JOSEPH GWATANA</t>
  </si>
  <si>
    <t>5(7)</t>
  </si>
  <si>
    <t>LAWAL TANIMU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</si>
  <si>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</si>
  <si>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</si>
  <si>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</si>
  <si>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</si>
  <si>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</si>
  <si>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</si>
  <si>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</si>
  <si>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</si>
  <si>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</si>
  <si>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61</t>
  </si>
  <si>
    <t>GRAND TOTAL</t>
  </si>
  <si>
    <t>PREPARED BY:  Rahila N. Habu                                        SIGNATURE………………..                                  DATE:  26TH DECEMBER, 2024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</si>
  <si>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</si>
  <si>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</si>
  <si>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</si>
  <si>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</si>
  <si>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</si>
  <si>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</si>
  <si>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</si>
  <si>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</si>
  <si>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</si>
  <si>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</si>
  <si>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</si>
  <si>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</si>
  <si>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</si>
  <si>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</si>
  <si>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DECEMBER 2024</t>
  </si>
  <si>
    <t>SUBJECT: PAYROLL FOR THE MONTH OF DECEMBER 2024</t>
  </si>
  <si>
    <t>Find below the details of NILDS Staff Payroll for the Month of  December, 2024:</t>
  </si>
  <si>
    <t>NGN</t>
  </si>
  <si>
    <t>GROSS SALARY FOR  DECEMBER,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</si>
  <si>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</si>
  <si>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</si>
  <si>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</si>
  <si>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</si>
  <si>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</si>
  <si>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</si>
  <si>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DECEMBER 2024</t>
  </si>
  <si>
    <t>NET PAY AS PER  DECEMBER 2024 PAYROLL</t>
  </si>
  <si>
    <t>NET PAY AS PER  NOVEMBER, 2024 PAYROLL</t>
  </si>
  <si>
    <t>NET INCREASE/ (DECREASE)  IN PAY FOR  DECEMBER, 2024</t>
  </si>
  <si>
    <t>ANALYSED AS FOLLOWS:</t>
  </si>
  <si>
    <t>Effect of Cooperative Adjustment for December, 2024</t>
  </si>
  <si>
    <t>Effect of Removal of Promotion Arrears for Abdulsalam Mustapha &amp; 17 Others</t>
  </si>
  <si>
    <t xml:space="preserve">Effect of reduction in PAYE due to removal of Arrears  for Abdulsalam Mustapha &amp; 17 Others </t>
  </si>
  <si>
    <t>Effect of  Head of Unit Allowance ifo Abdulsalam Mustapha</t>
  </si>
  <si>
    <t>Effect of regularization of promotion of Taiwo Ismaeel Iyinlola &amp; 1 other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</si>
  <si>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</si>
  <si>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</si>
  <si>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</si>
  <si>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</si>
  <si>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</si>
  <si>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</si>
  <si>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</si>
  <si>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</si>
  <si>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</si>
  <si>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</si>
  <si>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</si>
  <si>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</si>
  <si>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</si>
  <si>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</si>
  <si>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50,359,145.96 </t>
    </r>
    <r>
      <rPr>
        <sz val="14"/>
        <rFont val="Times New Roman"/>
        <family val="1"/>
      </rPr>
      <t xml:space="preserve">to Guaranty Trust Bank  being December,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14,501,349.21 </t>
    </r>
    <r>
      <rPr>
        <sz val="14"/>
        <rFont val="Times New Roman"/>
        <family val="1"/>
      </rPr>
      <t>being NILDS Coop Society deductions for December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11,583,470.87  </t>
    </r>
    <r>
      <rPr>
        <sz val="14"/>
        <rFont val="Times New Roman"/>
        <family val="1"/>
      </rPr>
      <t xml:space="preserve">being PAYE Tax Deductions from Staff Salary for the month  of December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237,989.65 </t>
    </r>
    <r>
      <rPr>
        <sz val="14"/>
        <rFont val="Times New Roman"/>
        <family val="1"/>
      </rPr>
      <t xml:space="preserve"> being NHF deductions from staff for December 2024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</si>
  <si>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</si>
  <si>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</si>
  <si>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</si>
  <si>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</si>
  <si>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</si>
  <si>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</si>
  <si>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</si>
  <si>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</si>
  <si>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</si>
  <si>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</si>
  <si>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</si>
  <si>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</si>
  <si>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</si>
  <si>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</si>
  <si>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ABDULSALAM MUSTAPHA</t>
  </si>
  <si>
    <t>DG's Office</t>
  </si>
  <si>
    <t>13/11</t>
  </si>
  <si>
    <t>15/7</t>
  </si>
  <si>
    <t>EMILY EDIOSA IKHIDE</t>
  </si>
  <si>
    <t>014/10</t>
  </si>
  <si>
    <t>015/7</t>
  </si>
  <si>
    <t>SIMON WAKAWA</t>
  </si>
  <si>
    <t>014/11</t>
  </si>
  <si>
    <t>WAZIRI USMAN</t>
  </si>
  <si>
    <t>Admin. &amp; HR</t>
  </si>
  <si>
    <t>TAIWO I. OYINLOLA</t>
  </si>
  <si>
    <t>05/9</t>
  </si>
  <si>
    <t>07/3</t>
  </si>
  <si>
    <t>Effective in Dec</t>
  </si>
  <si>
    <t>N/A</t>
  </si>
  <si>
    <t>09/7</t>
  </si>
  <si>
    <t>YUSIF SANI SADIQ</t>
  </si>
  <si>
    <t>10/9</t>
  </si>
  <si>
    <t>12/7</t>
  </si>
  <si>
    <t>STELLA NGOZI PAUL</t>
  </si>
  <si>
    <t>10/10</t>
  </si>
  <si>
    <t>OMONIGHO EROMOSELE-WESEY</t>
  </si>
  <si>
    <t>12/10</t>
  </si>
  <si>
    <t>13/7</t>
  </si>
  <si>
    <t>QUEEN ONYEKESON</t>
  </si>
  <si>
    <t>SHAMSUDEEN YAHAYA</t>
  </si>
  <si>
    <t>LSS</t>
  </si>
  <si>
    <t>ROTIMI OGUNYOMI</t>
  </si>
  <si>
    <t>LEO IGBANOI</t>
  </si>
  <si>
    <t>Dem. &amp; Gov.</t>
  </si>
  <si>
    <t>13/10</t>
  </si>
  <si>
    <t>14/8</t>
  </si>
  <si>
    <t>TOSIN OWOEYE</t>
  </si>
  <si>
    <t>STACY CHINYERE IGWE</t>
  </si>
  <si>
    <t>DOS</t>
  </si>
  <si>
    <t>TANIMU M. LAWAL</t>
  </si>
  <si>
    <t>Econ/ &amp; Social Res.</t>
  </si>
  <si>
    <t>04/10</t>
  </si>
  <si>
    <t>Finance &amp; Accts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</si>
  <si>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</si>
  <si>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</si>
  <si>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</si>
  <si>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</si>
  <si>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</si>
  <si>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</si>
  <si>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</si>
  <si>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</si>
  <si>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</si>
  <si>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</si>
  <si>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</si>
  <si>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NO OF MONTHS</t>
  </si>
  <si>
    <t>ARREARS</t>
  </si>
  <si>
    <t>RESEARCH FELLOW II</t>
  </si>
  <si>
    <t>NATIONAL ASSEMBLY ABUJA</t>
  </si>
  <si>
    <t>TAX COMPUTATION FOR 2022</t>
  </si>
  <si>
    <t>S/NO</t>
  </si>
  <si>
    <t>NAME</t>
  </si>
  <si>
    <t>MONTHLY TOTAL SALARY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</si>
  <si>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</si>
  <si>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</si>
  <si>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</si>
  <si>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</si>
  <si>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</si>
  <si>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</si>
  <si>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</si>
  <si>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</si>
  <si>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</si>
  <si>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</si>
  <si>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</si>
  <si>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</si>
  <si>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</si>
  <si>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</si>
  <si>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</si>
  <si>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</si>
  <si>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</si>
  <si>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</si>
  <si>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 xml:space="preserve"> TAX PAYABLE ON ARREARS</t>
  </si>
  <si>
    <t>TOTAL TAX PAYABLE IN NOVEMBER</t>
  </si>
  <si>
    <t>TOTAL - ANNUAL</t>
  </si>
  <si>
    <t>TOTAL - MONTHLY</t>
  </si>
  <si>
    <t>ARREARS OF PROMOTION</t>
  </si>
  <si>
    <t>LOHNA BONKAT JONATHAN</t>
  </si>
  <si>
    <t>TITILAYO MARVELOUS DANIEL</t>
  </si>
  <si>
    <t>STAFF PAYROLL FOR THE MONTH OF NOVEMBER, 2024</t>
  </si>
  <si>
    <t>OCTOBER, 2024</t>
  </si>
  <si>
    <t>DR CLINTON JAJA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</si>
  <si>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</si>
  <si>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</si>
  <si>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</si>
  <si>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</si>
  <si>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</si>
  <si>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</si>
  <si>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</si>
  <si>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</si>
  <si>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AMOUNT</t>
  </si>
  <si>
    <t>DR SHUIBU DANWANKA</t>
  </si>
  <si>
    <t>62</t>
  </si>
  <si>
    <t>SUMMARY OF CHRISTMAS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</si>
  <si>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</si>
  <si>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</si>
  <si>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</si>
  <si>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</si>
  <si>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</si>
  <si>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</si>
  <si>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</si>
  <si>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</si>
  <si>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END OF YEAR BONUS DECEMBER 2024</t>
  </si>
  <si>
    <t>HALF SALARY</t>
  </si>
  <si>
    <t>SUMMARY OF END OF YEAR BONUS</t>
  </si>
  <si>
    <t>Consultants</t>
  </si>
  <si>
    <t>Difference</t>
  </si>
  <si>
    <t>YUNUSA ABDULLAHI</t>
  </si>
  <si>
    <t>USMAN WALI</t>
  </si>
  <si>
    <t>AYOBOLU OLAJIDE OLUFUNSHO</t>
  </si>
  <si>
    <t>difference</t>
  </si>
  <si>
    <t>ARAOYE GANIYAT TITILOLA</t>
  </si>
  <si>
    <t>MAGAJI BALA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</si>
  <si>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</si>
  <si>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</si>
  <si>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</si>
  <si>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</si>
  <si>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</si>
  <si>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</si>
  <si>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</si>
  <si>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</si>
  <si>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</si>
  <si>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</si>
  <si>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</si>
  <si>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</si>
  <si>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</si>
  <si>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</si>
  <si>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</si>
  <si>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</si>
  <si>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</si>
  <si>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</si>
  <si>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</si>
  <si>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</si>
  <si>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</si>
  <si>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</si>
  <si>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</si>
  <si>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</si>
  <si>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</si>
  <si>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</si>
  <si>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</si>
  <si>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</si>
  <si>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</si>
  <si>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</si>
  <si>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</si>
  <si>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</si>
  <si>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</si>
  <si>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</si>
  <si>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</si>
  <si>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</si>
  <si>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</si>
  <si>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</si>
  <si>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</si>
  <si>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</si>
  <si>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</si>
  <si>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</si>
  <si>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</si>
  <si>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</si>
  <si>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</si>
  <si>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</si>
  <si>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</si>
  <si>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SENIOR RESEARCH FELLOW</t>
  </si>
  <si>
    <t>15 (8)</t>
  </si>
  <si>
    <t>ASST.DIR., INFORMATION</t>
  </si>
  <si>
    <t>DD ADMIN</t>
  </si>
  <si>
    <t>REKIYA IBRAHIM ATTAH</t>
  </si>
  <si>
    <t>DEPUTY DIRECTOR TRAINING</t>
  </si>
  <si>
    <t>STAFF SALLAH WELFARE JUNE, 2024</t>
  </si>
  <si>
    <t>ASST. MANAGER ICT</t>
  </si>
  <si>
    <t>ABDULLAHI AHMAD USMAN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</si>
  <si>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</si>
  <si>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</si>
  <si>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</si>
  <si>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</si>
  <si>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</si>
  <si>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</si>
  <si>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10(10)</t>
  </si>
  <si>
    <t>4(10)</t>
  </si>
  <si>
    <t>59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</si>
  <si>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</si>
  <si>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</si>
  <si>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</si>
  <si>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</si>
  <si>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</si>
  <si>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</si>
  <si>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</si>
  <si>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</si>
  <si>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</si>
  <si>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</si>
  <si>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</si>
  <si>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</si>
  <si>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</si>
  <si>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</si>
  <si>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</si>
  <si>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</si>
  <si>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</si>
  <si>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</si>
  <si>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</si>
  <si>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</si>
  <si>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</si>
  <si>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</si>
  <si>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</si>
  <si>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</si>
  <si>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</si>
  <si>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</si>
  <si>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</si>
  <si>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</si>
  <si>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</si>
  <si>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</si>
  <si>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</si>
  <si>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</si>
  <si>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</si>
  <si>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</si>
  <si>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</si>
  <si>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</si>
  <si>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</si>
  <si>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</si>
  <si>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</si>
  <si>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</si>
  <si>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</si>
  <si>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</si>
  <si>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</si>
  <si>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</si>
  <si>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</si>
  <si>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</si>
  <si>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</si>
  <si>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</si>
  <si>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</si>
  <si>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</si>
  <si>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</si>
  <si>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</si>
  <si>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</si>
  <si>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</si>
  <si>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</si>
  <si>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</si>
  <si>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</si>
  <si>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</si>
  <si>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</si>
  <si>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</si>
  <si>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</si>
  <si>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</si>
  <si>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</si>
  <si>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</si>
  <si>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</si>
  <si>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</si>
  <si>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</si>
  <si>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</si>
  <si>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</si>
  <si>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</si>
  <si>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</si>
  <si>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</si>
  <si>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</si>
  <si>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</si>
  <si>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</si>
  <si>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</si>
  <si>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</si>
  <si>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</si>
  <si>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</si>
  <si>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</si>
  <si>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</si>
  <si>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</si>
  <si>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</si>
  <si>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</si>
  <si>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</si>
  <si>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</si>
  <si>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</si>
  <si>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</si>
  <si>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</si>
  <si>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</si>
  <si>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</si>
  <si>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</si>
  <si>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</si>
  <si>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</si>
  <si>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</si>
  <si>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</si>
  <si>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</si>
  <si>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</si>
  <si>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</si>
  <si>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</si>
  <si>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</si>
  <si>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</si>
  <si>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</si>
  <si>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</si>
  <si>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</si>
  <si>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</si>
  <si>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</si>
  <si>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</si>
  <si>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</si>
  <si>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</si>
  <si>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</si>
  <si>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</si>
  <si>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</si>
  <si>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</si>
  <si>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</si>
  <si>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</si>
  <si>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</si>
  <si>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</si>
  <si>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</si>
  <si>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</si>
  <si>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</si>
  <si>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</si>
  <si>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</si>
  <si>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</si>
  <si>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</si>
  <si>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</si>
  <si>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</si>
  <si>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</si>
  <si>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</si>
  <si>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</si>
  <si>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</si>
  <si>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</si>
  <si>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</si>
  <si>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</si>
  <si>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</si>
  <si>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</si>
  <si>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</si>
  <si>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</si>
  <si>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</si>
  <si>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</si>
  <si>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</si>
  <si>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</si>
  <si>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</si>
  <si>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</si>
  <si>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</si>
  <si>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</si>
  <si>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</si>
  <si>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</si>
  <si>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</si>
  <si>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</si>
  <si>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</si>
  <si>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</si>
  <si>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</si>
  <si>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</si>
  <si>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</si>
  <si>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</si>
  <si>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</si>
  <si>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</si>
  <si>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</si>
  <si>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</si>
  <si>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</si>
  <si>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</si>
  <si>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</si>
  <si>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</si>
  <si>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</si>
  <si>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</si>
  <si>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</si>
  <si>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</si>
  <si>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</si>
  <si>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</si>
  <si>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</si>
  <si>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</si>
  <si>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</si>
  <si>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</si>
  <si>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</si>
  <si>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</si>
  <si>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</si>
  <si>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</si>
  <si>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</si>
  <si>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</si>
  <si>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</si>
  <si>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</si>
  <si>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</si>
  <si>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</si>
  <si>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</si>
  <si>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</si>
  <si>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</si>
  <si>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</si>
  <si>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</si>
  <si>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</si>
  <si>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</si>
  <si>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</si>
  <si>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</si>
  <si>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</si>
  <si>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</si>
  <si>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</si>
  <si>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</si>
  <si>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</si>
  <si>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</si>
  <si>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</si>
  <si>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</si>
  <si>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</si>
  <si>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</si>
  <si>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</si>
  <si>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</si>
  <si>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</si>
  <si>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</si>
  <si>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</si>
  <si>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</si>
  <si>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</si>
  <si>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</si>
  <si>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</si>
  <si>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</si>
  <si>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</si>
  <si>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</si>
  <si>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</si>
  <si>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</si>
  <si>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</si>
  <si>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</si>
  <si>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</si>
  <si>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</si>
  <si>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</si>
  <si>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</si>
  <si>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</si>
  <si>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</si>
  <si>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</si>
  <si>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</si>
  <si>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</si>
  <si>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</si>
  <si>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</si>
  <si>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</si>
  <si>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</si>
  <si>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</si>
  <si>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</si>
  <si>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</si>
  <si>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</si>
  <si>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</si>
  <si>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</si>
  <si>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</si>
  <si>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</si>
  <si>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</si>
  <si>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</si>
  <si>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</si>
  <si>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</si>
  <si>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</si>
  <si>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</si>
  <si>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</si>
  <si>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</si>
  <si>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</si>
  <si>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</si>
  <si>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</si>
  <si>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</si>
  <si>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</si>
  <si>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</si>
  <si>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</si>
  <si>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</si>
  <si>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</si>
  <si>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</si>
  <si>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</si>
  <si>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</si>
  <si>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</si>
  <si>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</si>
  <si>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</si>
  <si>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</si>
  <si>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</si>
  <si>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</si>
  <si>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</si>
  <si>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</si>
  <si>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</si>
  <si>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</si>
  <si>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</si>
  <si>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</si>
  <si>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</si>
  <si>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</si>
  <si>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</si>
  <si>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</si>
  <si>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</si>
  <si>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</si>
  <si>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</si>
  <si>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</si>
  <si>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</si>
  <si>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</si>
  <si>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</si>
  <si>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</si>
  <si>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</si>
  <si>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</si>
  <si>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</si>
  <si>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</si>
  <si>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</si>
  <si>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</si>
  <si>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</si>
  <si>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</si>
  <si>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</si>
  <si>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</si>
  <si>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</si>
  <si>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</si>
  <si>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</si>
  <si>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</si>
  <si>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</si>
  <si>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</si>
  <si>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</si>
  <si>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</si>
  <si>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</si>
  <si>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</si>
  <si>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</si>
  <si>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</si>
  <si>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</si>
  <si>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</si>
  <si>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</si>
  <si>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</si>
  <si>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</si>
  <si>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</si>
  <si>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</si>
  <si>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</si>
  <si>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</si>
  <si>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</si>
  <si>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</si>
  <si>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</si>
  <si>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</si>
  <si>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</si>
  <si>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</si>
  <si>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</si>
  <si>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</si>
  <si>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</si>
  <si>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</si>
  <si>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</si>
  <si>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</si>
  <si>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</si>
  <si>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</si>
  <si>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</si>
  <si>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</si>
  <si>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</si>
  <si>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</si>
  <si>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</si>
  <si>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</si>
  <si>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</si>
  <si>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</si>
  <si>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</si>
  <si>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</si>
  <si>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</si>
  <si>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</si>
  <si>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</si>
  <si>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</si>
  <si>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</si>
  <si>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</si>
  <si>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</si>
  <si>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</si>
  <si>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</si>
  <si>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</si>
  <si>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</si>
  <si>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</si>
  <si>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</si>
  <si>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</si>
  <si>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</si>
  <si>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</si>
  <si>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</si>
  <si>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</si>
  <si>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</si>
  <si>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</si>
  <si>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</si>
  <si>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</si>
  <si>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</si>
  <si>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</si>
  <si>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</si>
  <si>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</si>
  <si>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</si>
  <si>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</si>
  <si>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</si>
  <si>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</si>
  <si>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</si>
  <si>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</si>
  <si>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</si>
  <si>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</si>
  <si>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</si>
  <si>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</si>
  <si>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</si>
  <si>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</si>
  <si>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</si>
  <si>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</si>
  <si>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</si>
  <si>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</si>
  <si>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</si>
  <si>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</si>
  <si>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</si>
  <si>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</si>
  <si>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</si>
  <si>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</si>
  <si>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</si>
  <si>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</si>
  <si>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</si>
  <si>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</si>
  <si>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</si>
  <si>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</si>
  <si>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</si>
  <si>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</si>
  <si>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</si>
  <si>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</si>
  <si>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</si>
  <si>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</si>
  <si>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</si>
  <si>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</si>
  <si>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</si>
  <si>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</si>
  <si>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</si>
  <si>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</si>
  <si>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</si>
  <si>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</si>
  <si>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</si>
  <si>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</si>
  <si>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</si>
  <si>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</si>
  <si>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</si>
  <si>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</si>
  <si>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</si>
  <si>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</si>
  <si>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</si>
  <si>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</si>
  <si>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</si>
  <si>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</si>
  <si>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</si>
  <si>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</si>
  <si>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</si>
  <si>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</si>
  <si>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</si>
  <si>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</si>
  <si>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</si>
  <si>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</si>
  <si>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</si>
  <si>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</si>
  <si>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</si>
  <si>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</si>
  <si>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</si>
  <si>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</si>
  <si>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</si>
  <si>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</si>
  <si>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</si>
  <si>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</si>
  <si>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</si>
  <si>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</si>
  <si>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</si>
  <si>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</si>
  <si>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</si>
  <si>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</si>
  <si>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</si>
  <si>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</si>
  <si>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</si>
  <si>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</si>
  <si>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</si>
  <si>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</si>
  <si>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</si>
  <si>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</si>
  <si>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</si>
  <si>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</si>
  <si>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</si>
  <si>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</si>
  <si>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</si>
  <si>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</si>
  <si>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</si>
  <si>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</si>
  <si>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</si>
  <si>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</si>
  <si>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</si>
  <si>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</si>
  <si>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</si>
  <si>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</si>
  <si>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</si>
  <si>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</si>
  <si>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</si>
  <si>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</si>
  <si>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</si>
  <si>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</si>
  <si>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</si>
  <si>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</si>
  <si>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</si>
  <si>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</si>
  <si>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</si>
  <si>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</si>
  <si>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</si>
  <si>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</si>
  <si>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</si>
  <si>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</si>
  <si>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</si>
  <si>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</si>
  <si>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</si>
  <si>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</si>
  <si>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</si>
  <si>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</si>
  <si>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</si>
  <si>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</si>
  <si>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</si>
  <si>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</si>
  <si>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</si>
  <si>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</si>
  <si>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</si>
  <si>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</si>
  <si>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</si>
  <si>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</si>
  <si>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</si>
  <si>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</si>
  <si>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</si>
  <si>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</si>
  <si>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</si>
  <si>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</si>
  <si>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</si>
  <si>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</si>
  <si>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</si>
  <si>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</si>
  <si>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</si>
  <si>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</si>
  <si>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</si>
  <si>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</si>
  <si>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</si>
  <si>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</si>
  <si>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</si>
  <si>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</si>
  <si>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</si>
  <si>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</si>
  <si>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</si>
  <si>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</si>
  <si>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</si>
  <si>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</si>
  <si>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</si>
  <si>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</si>
  <si>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</si>
  <si>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</si>
  <si>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</si>
  <si>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</si>
  <si>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</si>
  <si>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</si>
  <si>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</si>
  <si>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</si>
  <si>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</si>
  <si>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</si>
  <si>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</si>
  <si>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</si>
  <si>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</si>
  <si>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</si>
  <si>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</si>
  <si>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</si>
  <si>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</si>
  <si>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</si>
  <si>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</si>
  <si>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</si>
  <si>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</si>
  <si>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</si>
  <si>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</si>
  <si>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</si>
  <si>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</si>
  <si>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</si>
  <si>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</si>
  <si>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</si>
  <si>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</si>
  <si>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</si>
  <si>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</si>
  <si>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</si>
  <si>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</si>
  <si>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</si>
  <si>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</si>
  <si>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</si>
  <si>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</si>
  <si>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</si>
  <si>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</si>
  <si>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</si>
  <si>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</si>
  <si>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</si>
  <si>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</si>
  <si>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</si>
  <si>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</si>
  <si>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</si>
  <si>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</si>
  <si>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</si>
  <si>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</si>
  <si>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</si>
  <si>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</si>
  <si>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</si>
  <si>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</si>
  <si>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</si>
  <si>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</si>
  <si>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</si>
  <si>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family val="1"/>
      </rP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</si>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</sst>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6" formatCode="_(* #,##0.00_);_(* \(#,##0.00\);_(* &quot;-&quot;??_);_(@_)"/>
  </numFmts>
  <fonts count="94">
    <font>
      <sz val="10"/>
      <name val="Arial"/>
      <charset val="134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u val="double"/>
      <sz val="14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ahn"/>
      <charset val="1"/>
    </font>
    <font>
      <b/>
      <u/>
      <sz val="14"/>
      <color indexed="8"/>
      <name val="Times New Roman"/>
      <family val="1"/>
    </font>
    <font>
      <b/>
      <u/>
      <sz val="16"/>
      <name val="Times New Roman"/>
      <family val="1"/>
    </font>
    <font>
      <b/>
      <u/>
      <sz val="20"/>
      <name val="Times New Roman"/>
      <family val="1"/>
    </font>
    <font>
      <sz val="20"/>
      <name val="Times New Roman"/>
      <family val="1"/>
    </font>
    <font>
      <sz val="14"/>
      <color indexed="9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trike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 val="singleAccounting"/>
      <sz val="14"/>
      <name val="Times New Roman"/>
      <family val="1"/>
    </font>
    <font>
      <b/>
      <u val="double"/>
      <sz val="11"/>
      <name val="Times New Roman"/>
      <family val="1"/>
    </font>
    <font>
      <sz val="14"/>
      <color rgb="FFFF0000"/>
      <name val="Times New Roman"/>
      <family val="1"/>
    </font>
    <font>
      <b/>
      <sz val="10"/>
      <name val="Arial"/>
      <family val="2"/>
    </font>
    <font>
      <b/>
      <u/>
      <sz val="1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singleAccounting"/>
      <sz val="16"/>
      <name val="Times New Roman"/>
      <family val="1"/>
    </font>
    <font>
      <b/>
      <u val="double"/>
      <sz val="16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 val="double"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u val="double"/>
      <sz val="10"/>
      <name val="Arial"/>
      <family val="2"/>
    </font>
    <font>
      <sz val="12"/>
      <color indexed="8"/>
      <name val="Times New Roman"/>
      <family val="1"/>
    </font>
    <font>
      <sz val="12"/>
      <name val="Arial"/>
      <family val="2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u/>
      <sz val="14"/>
      <name val="Times New Roman"/>
      <family val="1"/>
    </font>
    <font>
      <b/>
      <u/>
      <sz val="9"/>
      <name val="Times New Roman"/>
      <family val="1"/>
    </font>
    <font>
      <sz val="9"/>
      <color indexed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u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trike/>
      <sz val="11"/>
      <color theme="1"/>
      <name val="Times New Roman"/>
      <family val="1"/>
    </font>
    <font>
      <b/>
      <sz val="9"/>
      <color indexed="8"/>
      <name val="Times New Roman"/>
      <family val="1"/>
    </font>
    <font>
      <b/>
      <strike/>
      <sz val="9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u val="double"/>
      <sz val="18"/>
      <name val="Times New Roman"/>
      <family val="1"/>
    </font>
    <font>
      <b/>
      <sz val="18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6" fontId="9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3" fillId="0" borderId="0"/>
  </cellStyleXfs>
  <cellXfs count="86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166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43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66" fontId="9" fillId="0" borderId="0" xfId="1" applyFont="1"/>
    <xf numFmtId="166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6" fontId="1" fillId="0" borderId="1" xfId="1" applyFont="1" applyBorder="1"/>
    <xf numFmtId="166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166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166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6" fontId="6" fillId="4" borderId="1" xfId="1" applyFont="1" applyFill="1" applyBorder="1" applyAlignment="1">
      <alignment horizontal="right"/>
    </xf>
    <xf numFmtId="166" fontId="1" fillId="0" borderId="1" xfId="1" applyFont="1" applyBorder="1" applyAlignment="1"/>
    <xf numFmtId="166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166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166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6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6" fontId="1" fillId="0" borderId="5" xfId="1" applyFont="1" applyFill="1" applyBorder="1" applyAlignment="1">
      <alignment horizontal="right"/>
    </xf>
    <xf numFmtId="166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166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166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66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6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166" fontId="21" fillId="0" borderId="1" xfId="1" applyFont="1" applyBorder="1"/>
    <xf numFmtId="166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166" fontId="3" fillId="0" borderId="5" xfId="1" applyFont="1" applyFill="1" applyBorder="1" applyAlignment="1">
      <alignment horizontal="right"/>
    </xf>
    <xf numFmtId="166" fontId="3" fillId="0" borderId="1" xfId="1" applyFont="1" applyFill="1" applyBorder="1" applyAlignment="1">
      <alignment horizontal="right"/>
    </xf>
    <xf numFmtId="166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166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6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6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166" fontId="1" fillId="0" borderId="1" xfId="1" applyFont="1" applyFill="1" applyBorder="1" applyAlignment="1">
      <alignment horizontal="left"/>
    </xf>
    <xf numFmtId="166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166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166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166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166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43" fontId="1" fillId="0" borderId="0" xfId="0" applyNumberFormat="1" applyFont="1"/>
    <xf numFmtId="0" fontId="2" fillId="0" borderId="2" xfId="0" applyFont="1" applyBorder="1" applyAlignment="1">
      <alignment wrapText="1"/>
    </xf>
    <xf numFmtId="166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6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166" fontId="21" fillId="0" borderId="1" xfId="1" applyFont="1" applyFill="1" applyBorder="1"/>
    <xf numFmtId="166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166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166" fontId="1" fillId="5" borderId="1" xfId="1" applyFont="1" applyFill="1" applyBorder="1" applyAlignment="1">
      <alignment horizontal="right"/>
    </xf>
    <xf numFmtId="166" fontId="1" fillId="2" borderId="1" xfId="1" applyFont="1" applyFill="1" applyBorder="1"/>
    <xf numFmtId="166" fontId="2" fillId="2" borderId="1" xfId="1" applyFont="1" applyFill="1" applyBorder="1" applyAlignment="1">
      <alignment horizontal="right"/>
    </xf>
    <xf numFmtId="166" fontId="1" fillId="6" borderId="1" xfId="1" applyFont="1" applyFill="1" applyBorder="1" applyAlignment="1">
      <alignment horizontal="right"/>
    </xf>
    <xf numFmtId="166" fontId="21" fillId="2" borderId="1" xfId="0" applyNumberFormat="1" applyFont="1" applyFill="1" applyBorder="1"/>
    <xf numFmtId="166" fontId="3" fillId="2" borderId="1" xfId="0" applyNumberFormat="1" applyFont="1" applyFill="1" applyBorder="1"/>
    <xf numFmtId="166" fontId="1" fillId="6" borderId="1" xfId="1" applyFont="1" applyFill="1" applyBorder="1"/>
    <xf numFmtId="166" fontId="5" fillId="2" borderId="1" xfId="1" applyFont="1" applyFill="1" applyBorder="1"/>
    <xf numFmtId="166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166" fontId="1" fillId="7" borderId="1" xfId="1" applyFont="1" applyFill="1" applyBorder="1" applyAlignment="1">
      <alignment horizontal="right"/>
    </xf>
    <xf numFmtId="166" fontId="2" fillId="7" borderId="1" xfId="1" applyFont="1" applyFill="1" applyBorder="1" applyAlignment="1">
      <alignment horizontal="right"/>
    </xf>
    <xf numFmtId="166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166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166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166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166" fontId="1" fillId="2" borderId="1" xfId="1" applyFont="1" applyFill="1" applyBorder="1" applyAlignment="1">
      <alignment horizontal="right" wrapText="1"/>
    </xf>
    <xf numFmtId="166" fontId="2" fillId="5" borderId="1" xfId="1" applyFont="1" applyFill="1" applyBorder="1" applyAlignment="1">
      <alignment horizontal="right"/>
    </xf>
    <xf numFmtId="166" fontId="2" fillId="2" borderId="1" xfId="1" applyFont="1" applyFill="1" applyBorder="1" applyAlignment="1">
      <alignment horizontal="right" wrapText="1"/>
    </xf>
    <xf numFmtId="166" fontId="3" fillId="5" borderId="1" xfId="1" applyFont="1" applyFill="1" applyBorder="1" applyAlignment="1">
      <alignment horizontal="right"/>
    </xf>
    <xf numFmtId="166" fontId="3" fillId="2" borderId="1" xfId="1" applyFont="1" applyFill="1" applyBorder="1" applyAlignment="1">
      <alignment horizontal="right" wrapText="1"/>
    </xf>
    <xf numFmtId="166" fontId="21" fillId="2" borderId="1" xfId="1" applyFont="1" applyFill="1" applyBorder="1" applyAlignment="1">
      <alignment horizontal="right" wrapText="1"/>
    </xf>
    <xf numFmtId="166" fontId="3" fillId="5" borderId="1" xfId="0" applyNumberFormat="1" applyFont="1" applyFill="1" applyBorder="1"/>
    <xf numFmtId="166" fontId="3" fillId="2" borderId="1" xfId="0" applyNumberFormat="1" applyFont="1" applyFill="1" applyBorder="1" applyAlignment="1">
      <alignment wrapText="1"/>
    </xf>
    <xf numFmtId="166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66" fontId="21" fillId="7" borderId="1" xfId="1" applyFont="1" applyFill="1" applyBorder="1" applyAlignment="1">
      <alignment horizontal="right"/>
    </xf>
    <xf numFmtId="166" fontId="21" fillId="7" borderId="1" xfId="1" applyFont="1" applyFill="1" applyBorder="1" applyAlignment="1">
      <alignment horizontal="right" wrapText="1"/>
    </xf>
    <xf numFmtId="166" fontId="1" fillId="3" borderId="0" xfId="0" applyNumberFormat="1" applyFont="1" applyFill="1"/>
    <xf numFmtId="166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166" fontId="1" fillId="8" borderId="1" xfId="1" applyFont="1" applyFill="1" applyBorder="1" applyAlignment="1">
      <alignment horizontal="right"/>
    </xf>
    <xf numFmtId="166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166" fontId="1" fillId="8" borderId="1" xfId="1" applyFont="1" applyFill="1" applyBorder="1" applyAlignment="1">
      <alignment horizontal="center"/>
    </xf>
    <xf numFmtId="166" fontId="1" fillId="8" borderId="0" xfId="1" applyFont="1" applyFill="1" applyBorder="1" applyAlignment="1">
      <alignment horizontal="right"/>
    </xf>
    <xf numFmtId="166" fontId="1" fillId="10" borderId="0" xfId="1" applyFont="1" applyFill="1" applyBorder="1" applyAlignment="1">
      <alignment horizontal="right"/>
    </xf>
    <xf numFmtId="166" fontId="1" fillId="10" borderId="1" xfId="1" applyFont="1" applyFill="1" applyBorder="1" applyAlignment="1">
      <alignment horizontal="right"/>
    </xf>
    <xf numFmtId="166" fontId="1" fillId="8" borderId="1" xfId="0" applyNumberFormat="1" applyFont="1" applyFill="1" applyBorder="1"/>
    <xf numFmtId="4" fontId="1" fillId="8" borderId="1" xfId="0" applyNumberFormat="1" applyFont="1" applyFill="1" applyBorder="1"/>
    <xf numFmtId="43" fontId="1" fillId="8" borderId="1" xfId="0" applyNumberFormat="1" applyFont="1" applyFill="1" applyBorder="1"/>
    <xf numFmtId="43" fontId="1" fillId="8" borderId="0" xfId="0" applyNumberFormat="1" applyFont="1" applyFill="1"/>
    <xf numFmtId="166" fontId="1" fillId="7" borderId="0" xfId="1" applyFont="1" applyFill="1" applyBorder="1" applyAlignment="1">
      <alignment horizontal="right"/>
    </xf>
    <xf numFmtId="166" fontId="1" fillId="8" borderId="0" xfId="0" applyNumberFormat="1" applyFont="1" applyFill="1"/>
    <xf numFmtId="43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166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166" fontId="21" fillId="5" borderId="1" xfId="0" applyNumberFormat="1" applyFont="1" applyFill="1" applyBorder="1"/>
    <xf numFmtId="166" fontId="21" fillId="7" borderId="1" xfId="0" applyNumberFormat="1" applyFont="1" applyFill="1" applyBorder="1"/>
    <xf numFmtId="43" fontId="1" fillId="7" borderId="1" xfId="3" applyFont="1" applyFill="1" applyBorder="1" applyAlignment="1">
      <alignment horizontal="right"/>
    </xf>
    <xf numFmtId="166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166" fontId="2" fillId="11" borderId="1" xfId="1" applyFont="1" applyFill="1" applyBorder="1" applyAlignment="1">
      <alignment horizontal="right"/>
    </xf>
    <xf numFmtId="166" fontId="21" fillId="11" borderId="1" xfId="1" applyFont="1" applyFill="1" applyBorder="1" applyAlignment="1">
      <alignment horizontal="right"/>
    </xf>
    <xf numFmtId="166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166" fontId="1" fillId="11" borderId="1" xfId="1" applyFont="1" applyFill="1" applyBorder="1"/>
    <xf numFmtId="166" fontId="21" fillId="11" borderId="1" xfId="0" applyNumberFormat="1" applyFont="1" applyFill="1" applyBorder="1"/>
    <xf numFmtId="166" fontId="3" fillId="11" borderId="1" xfId="0" applyNumberFormat="1" applyFont="1" applyFill="1" applyBorder="1"/>
    <xf numFmtId="166" fontId="5" fillId="11" borderId="1" xfId="1" applyFont="1" applyFill="1" applyBorder="1"/>
    <xf numFmtId="166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166" fontId="42" fillId="0" borderId="1" xfId="1" applyFont="1" applyFill="1" applyBorder="1" applyAlignment="1">
      <alignment horizontal="center" vertical="center"/>
    </xf>
    <xf numFmtId="166" fontId="42" fillId="0" borderId="1" xfId="1" applyFont="1" applyBorder="1"/>
    <xf numFmtId="14" fontId="39" fillId="0" borderId="1" xfId="0" applyNumberFormat="1" applyFont="1" applyBorder="1"/>
    <xf numFmtId="166" fontId="42" fillId="0" borderId="1" xfId="1" applyFont="1" applyBorder="1" applyAlignment="1">
      <alignment horizontal="center" vertical="center"/>
    </xf>
    <xf numFmtId="166" fontId="43" fillId="0" borderId="1" xfId="1" applyFont="1" applyBorder="1"/>
    <xf numFmtId="166" fontId="42" fillId="0" borderId="2" xfId="1" applyFont="1" applyBorder="1" applyAlignment="1">
      <alignment horizontal="center" vertical="center"/>
    </xf>
    <xf numFmtId="166" fontId="44" fillId="2" borderId="1" xfId="1" applyFont="1" applyFill="1" applyBorder="1" applyAlignment="1">
      <alignment horizontal="right"/>
    </xf>
    <xf numFmtId="0" fontId="43" fillId="0" borderId="0" xfId="0" applyFont="1"/>
    <xf numFmtId="166" fontId="39" fillId="0" borderId="1" xfId="1" applyFont="1" applyBorder="1"/>
    <xf numFmtId="166" fontId="42" fillId="0" borderId="0" xfId="1" applyFont="1"/>
    <xf numFmtId="166" fontId="40" fillId="0" borderId="1" xfId="1" applyFont="1" applyBorder="1"/>
    <xf numFmtId="0" fontId="9" fillId="0" borderId="1" xfId="0" applyFont="1" applyBorder="1"/>
    <xf numFmtId="166" fontId="45" fillId="0" borderId="1" xfId="1" applyFont="1" applyBorder="1"/>
    <xf numFmtId="166" fontId="0" fillId="0" borderId="0" xfId="1" applyFont="1"/>
    <xf numFmtId="166" fontId="46" fillId="0" borderId="0" xfId="1" applyFont="1"/>
    <xf numFmtId="43" fontId="0" fillId="0" borderId="0" xfId="0" applyNumberFormat="1"/>
    <xf numFmtId="166" fontId="42" fillId="0" borderId="8" xfId="1" applyFont="1" applyFill="1" applyBorder="1" applyAlignment="1">
      <alignment horizontal="center" vertical="center"/>
    </xf>
    <xf numFmtId="166" fontId="0" fillId="0" borderId="0" xfId="0" applyNumberFormat="1"/>
    <xf numFmtId="166" fontId="46" fillId="0" borderId="0" xfId="0" applyNumberFormat="1" applyFont="1"/>
    <xf numFmtId="43" fontId="46" fillId="0" borderId="0" xfId="0" applyNumberFormat="1" applyFont="1"/>
    <xf numFmtId="0" fontId="46" fillId="0" borderId="0" xfId="0" applyFont="1"/>
    <xf numFmtId="166" fontId="47" fillId="0" borderId="1" xfId="1" applyFont="1" applyBorder="1"/>
    <xf numFmtId="166" fontId="43" fillId="0" borderId="0" xfId="1" applyFont="1"/>
    <xf numFmtId="166" fontId="47" fillId="0" borderId="1" xfId="1" applyFont="1" applyBorder="1" applyAlignment="1">
      <alignment horizontal="center" vertical="center"/>
    </xf>
    <xf numFmtId="166" fontId="48" fillId="0" borderId="1" xfId="1" applyFont="1" applyBorder="1" applyAlignment="1">
      <alignment horizontal="center" vertical="center"/>
    </xf>
    <xf numFmtId="0" fontId="42" fillId="0" borderId="0" xfId="0" applyFont="1"/>
    <xf numFmtId="43" fontId="47" fillId="0" borderId="0" xfId="0" applyNumberFormat="1" applyFont="1"/>
    <xf numFmtId="166" fontId="47" fillId="0" borderId="0" xfId="1" applyFont="1"/>
    <xf numFmtId="166" fontId="47" fillId="0" borderId="2" xfId="1" applyFont="1" applyBorder="1" applyAlignment="1">
      <alignment horizontal="center" vertical="center"/>
    </xf>
    <xf numFmtId="43" fontId="43" fillId="0" borderId="1" xfId="0" applyNumberFormat="1" applyFont="1" applyBorder="1"/>
    <xf numFmtId="17" fontId="39" fillId="0" borderId="1" xfId="0" applyNumberFormat="1" applyFont="1" applyBorder="1"/>
    <xf numFmtId="166" fontId="49" fillId="0" borderId="2" xfId="1" applyFont="1" applyBorder="1" applyAlignment="1">
      <alignment horizontal="center" vertical="center"/>
    </xf>
    <xf numFmtId="166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164" fontId="52" fillId="0" borderId="1" xfId="1" applyNumberFormat="1" applyFont="1" applyBorder="1"/>
    <xf numFmtId="164" fontId="53" fillId="0" borderId="1" xfId="1" applyNumberFormat="1" applyFont="1" applyBorder="1"/>
    <xf numFmtId="164" fontId="39" fillId="0" borderId="1" xfId="0" applyNumberFormat="1" applyFont="1" applyBorder="1"/>
    <xf numFmtId="164" fontId="0" fillId="0" borderId="0" xfId="0" applyNumberFormat="1"/>
    <xf numFmtId="166" fontId="54" fillId="0" borderId="0" xfId="1" applyFont="1"/>
    <xf numFmtId="166" fontId="47" fillId="12" borderId="2" xfId="1" applyFont="1" applyFill="1" applyBorder="1"/>
    <xf numFmtId="166" fontId="47" fillId="12" borderId="1" xfId="1" applyFont="1" applyFill="1" applyBorder="1"/>
    <xf numFmtId="166" fontId="47" fillId="0" borderId="2" xfId="1" applyFont="1" applyBorder="1"/>
    <xf numFmtId="0" fontId="55" fillId="0" borderId="1" xfId="0" applyFont="1" applyBorder="1"/>
    <xf numFmtId="166" fontId="39" fillId="0" borderId="1" xfId="1" applyFont="1" applyBorder="1" applyAlignment="1">
      <alignment horizontal="center" vertical="center"/>
    </xf>
    <xf numFmtId="166" fontId="55" fillId="0" borderId="1" xfId="1" applyFont="1" applyBorder="1"/>
    <xf numFmtId="0" fontId="47" fillId="0" borderId="1" xfId="0" applyFont="1" applyBorder="1"/>
    <xf numFmtId="166" fontId="55" fillId="6" borderId="1" xfId="1" applyFont="1" applyFill="1" applyBorder="1"/>
    <xf numFmtId="164" fontId="56" fillId="0" borderId="0" xfId="0" applyNumberFormat="1" applyFont="1"/>
    <xf numFmtId="0" fontId="42" fillId="0" borderId="1" xfId="0" applyFont="1" applyBorder="1"/>
    <xf numFmtId="166" fontId="40" fillId="0" borderId="0" xfId="1" applyFont="1" applyBorder="1"/>
    <xf numFmtId="43" fontId="40" fillId="0" borderId="0" xfId="0" applyNumberFormat="1" applyFont="1"/>
    <xf numFmtId="0" fontId="3" fillId="2" borderId="1" xfId="0" applyFont="1" applyFill="1" applyBorder="1" applyAlignment="1">
      <alignment wrapText="1"/>
    </xf>
    <xf numFmtId="166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166" fontId="3" fillId="10" borderId="1" xfId="1" applyFont="1" applyFill="1" applyBorder="1" applyAlignment="1">
      <alignment horizontal="right"/>
    </xf>
    <xf numFmtId="0" fontId="0" fillId="0" borderId="6" xfId="0" applyBorder="1"/>
    <xf numFmtId="166" fontId="3" fillId="2" borderId="10" xfId="1" applyFont="1" applyFill="1" applyBorder="1" applyAlignment="1">
      <alignment horizontal="right"/>
    </xf>
    <xf numFmtId="0" fontId="0" fillId="0" borderId="11" xfId="0" applyBorder="1"/>
    <xf numFmtId="166" fontId="3" fillId="2" borderId="12" xfId="1" applyFont="1" applyFill="1" applyBorder="1" applyAlignment="1">
      <alignment horizontal="right"/>
    </xf>
    <xf numFmtId="166" fontId="3" fillId="2" borderId="7" xfId="1" applyFont="1" applyFill="1" applyBorder="1" applyAlignment="1">
      <alignment horizontal="right"/>
    </xf>
    <xf numFmtId="166" fontId="3" fillId="2" borderId="13" xfId="1" applyFont="1" applyFill="1" applyBorder="1" applyAlignment="1">
      <alignment horizontal="right"/>
    </xf>
    <xf numFmtId="43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166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166" fontId="58" fillId="2" borderId="1" xfId="1" applyFont="1" applyFill="1" applyBorder="1"/>
    <xf numFmtId="43" fontId="31" fillId="2" borderId="1" xfId="4" applyFont="1" applyFill="1" applyBorder="1" applyAlignment="1">
      <alignment horizontal="right"/>
    </xf>
    <xf numFmtId="166" fontId="57" fillId="2" borderId="1" xfId="1" applyFont="1" applyFill="1" applyBorder="1"/>
    <xf numFmtId="0" fontId="58" fillId="2" borderId="1" xfId="0" applyFont="1" applyFill="1" applyBorder="1"/>
    <xf numFmtId="166" fontId="60" fillId="2" borderId="1" xfId="1" applyFont="1" applyFill="1" applyBorder="1"/>
    <xf numFmtId="166" fontId="31" fillId="2" borderId="1" xfId="1" applyFont="1" applyFill="1" applyBorder="1"/>
    <xf numFmtId="166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166" fontId="58" fillId="6" borderId="1" xfId="1" applyFont="1" applyFill="1" applyBorder="1"/>
    <xf numFmtId="4" fontId="0" fillId="2" borderId="0" xfId="0" applyNumberFormat="1" applyFill="1"/>
    <xf numFmtId="166" fontId="58" fillId="2" borderId="0" xfId="1" applyFont="1" applyFill="1" applyBorder="1"/>
    <xf numFmtId="0" fontId="0" fillId="6" borderId="0" xfId="0" applyFill="1"/>
    <xf numFmtId="166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166" fontId="58" fillId="2" borderId="5" xfId="1" applyFont="1" applyFill="1" applyBorder="1"/>
    <xf numFmtId="43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166" fontId="57" fillId="7" borderId="1" xfId="1" applyFont="1" applyFill="1" applyBorder="1"/>
    <xf numFmtId="166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43" fontId="24" fillId="7" borderId="1" xfId="0" applyNumberFormat="1" applyFont="1" applyFill="1" applyBorder="1"/>
    <xf numFmtId="166" fontId="0" fillId="2" borderId="0" xfId="1" applyFont="1" applyFill="1"/>
    <xf numFmtId="43" fontId="0" fillId="2" borderId="0" xfId="0" applyNumberFormat="1" applyFill="1"/>
    <xf numFmtId="3" fontId="58" fillId="2" borderId="5" xfId="1" applyNumberFormat="1" applyFont="1" applyFill="1" applyBorder="1"/>
    <xf numFmtId="166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166" fontId="1" fillId="13" borderId="1" xfId="1" applyFont="1" applyFill="1" applyBorder="1" applyAlignment="1">
      <alignment horizontal="right"/>
    </xf>
    <xf numFmtId="166" fontId="1" fillId="14" borderId="1" xfId="1" applyFont="1" applyFill="1" applyBorder="1" applyAlignment="1">
      <alignment horizontal="right"/>
    </xf>
    <xf numFmtId="43" fontId="5" fillId="14" borderId="1" xfId="2" applyFont="1" applyFill="1" applyBorder="1"/>
    <xf numFmtId="166" fontId="5" fillId="14" borderId="1" xfId="1" applyFont="1" applyFill="1" applyBorder="1"/>
    <xf numFmtId="166" fontId="1" fillId="14" borderId="1" xfId="1" applyFont="1" applyFill="1" applyBorder="1"/>
    <xf numFmtId="166" fontId="2" fillId="13" borderId="1" xfId="1" applyFont="1" applyFill="1" applyBorder="1" applyAlignment="1">
      <alignment horizontal="right"/>
    </xf>
    <xf numFmtId="166" fontId="2" fillId="14" borderId="1" xfId="1" applyFont="1" applyFill="1" applyBorder="1" applyAlignment="1">
      <alignment horizontal="right"/>
    </xf>
    <xf numFmtId="166" fontId="3" fillId="13" borderId="1" xfId="1" applyFont="1" applyFill="1" applyBorder="1" applyAlignment="1">
      <alignment horizontal="right"/>
    </xf>
    <xf numFmtId="166" fontId="3" fillId="14" borderId="1" xfId="1" applyFont="1" applyFill="1" applyBorder="1" applyAlignment="1">
      <alignment horizontal="right"/>
    </xf>
    <xf numFmtId="166" fontId="21" fillId="2" borderId="1" xfId="1" applyFont="1" applyFill="1" applyBorder="1"/>
    <xf numFmtId="43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166" fontId="21" fillId="13" borderId="1" xfId="0" applyNumberFormat="1" applyFont="1" applyFill="1" applyBorder="1"/>
    <xf numFmtId="166" fontId="21" fillId="14" borderId="1" xfId="0" applyNumberFormat="1" applyFont="1" applyFill="1" applyBorder="1"/>
    <xf numFmtId="166" fontId="3" fillId="13" borderId="1" xfId="0" applyNumberFormat="1" applyFont="1" applyFill="1" applyBorder="1"/>
    <xf numFmtId="166" fontId="3" fillId="14" borderId="1" xfId="0" applyNumberFormat="1" applyFont="1" applyFill="1" applyBorder="1"/>
    <xf numFmtId="166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166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166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166" fontId="58" fillId="15" borderId="1" xfId="1" applyFont="1" applyFill="1" applyBorder="1"/>
    <xf numFmtId="4" fontId="0" fillId="15" borderId="0" xfId="0" applyNumberFormat="1" applyFill="1"/>
    <xf numFmtId="166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166" fontId="31" fillId="15" borderId="1" xfId="1" applyFont="1" applyFill="1" applyBorder="1"/>
    <xf numFmtId="4" fontId="54" fillId="0" borderId="0" xfId="0" applyNumberFormat="1" applyFont="1"/>
    <xf numFmtId="166" fontId="58" fillId="8" borderId="1" xfId="1" applyFont="1" applyFill="1" applyBorder="1"/>
    <xf numFmtId="166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166" fontId="1" fillId="14" borderId="2" xfId="1" applyFont="1" applyFill="1" applyBorder="1" applyAlignment="1">
      <alignment horizontal="right"/>
    </xf>
    <xf numFmtId="43" fontId="5" fillId="14" borderId="2" xfId="2" applyFont="1" applyFill="1" applyBorder="1"/>
    <xf numFmtId="43" fontId="5" fillId="2" borderId="17" xfId="2" applyFont="1" applyFill="1" applyBorder="1"/>
    <xf numFmtId="166" fontId="1" fillId="14" borderId="2" xfId="1" applyFont="1" applyFill="1" applyBorder="1"/>
    <xf numFmtId="166" fontId="2" fillId="2" borderId="17" xfId="1" applyFont="1" applyFill="1" applyBorder="1" applyAlignment="1">
      <alignment horizontal="right"/>
    </xf>
    <xf numFmtId="166" fontId="2" fillId="14" borderId="2" xfId="1" applyFont="1" applyFill="1" applyBorder="1" applyAlignment="1">
      <alignment horizontal="right"/>
    </xf>
    <xf numFmtId="166" fontId="1" fillId="2" borderId="17" xfId="1" applyFont="1" applyFill="1" applyBorder="1" applyAlignment="1">
      <alignment horizontal="right"/>
    </xf>
    <xf numFmtId="166" fontId="2" fillId="2" borderId="2" xfId="1" applyFont="1" applyFill="1" applyBorder="1" applyAlignment="1">
      <alignment horizontal="right"/>
    </xf>
    <xf numFmtId="166" fontId="21" fillId="2" borderId="2" xfId="1" applyFont="1" applyFill="1" applyBorder="1" applyAlignment="1">
      <alignment horizontal="right"/>
    </xf>
    <xf numFmtId="166" fontId="21" fillId="2" borderId="17" xfId="1" applyFont="1" applyFill="1" applyBorder="1" applyAlignment="1">
      <alignment horizontal="right"/>
    </xf>
    <xf numFmtId="166" fontId="3" fillId="14" borderId="2" xfId="1" applyFont="1" applyFill="1" applyBorder="1" applyAlignment="1">
      <alignment horizontal="right"/>
    </xf>
    <xf numFmtId="166" fontId="3" fillId="2" borderId="17" xfId="1" applyFont="1" applyFill="1" applyBorder="1" applyAlignment="1">
      <alignment horizontal="right"/>
    </xf>
    <xf numFmtId="166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43" fontId="5" fillId="11" borderId="4" xfId="2" applyFont="1" applyFill="1" applyBorder="1"/>
    <xf numFmtId="166" fontId="2" fillId="2" borderId="4" xfId="1" applyFont="1" applyFill="1" applyBorder="1" applyAlignment="1">
      <alignment horizontal="right"/>
    </xf>
    <xf numFmtId="166" fontId="2" fillId="11" borderId="4" xfId="1" applyFont="1" applyFill="1" applyBorder="1" applyAlignment="1">
      <alignment horizontal="right"/>
    </xf>
    <xf numFmtId="166" fontId="1" fillId="11" borderId="4" xfId="1" applyFont="1" applyFill="1" applyBorder="1" applyAlignment="1">
      <alignment horizontal="right"/>
    </xf>
    <xf numFmtId="166" fontId="21" fillId="2" borderId="4" xfId="1" applyFont="1" applyFill="1" applyBorder="1" applyAlignment="1">
      <alignment horizontal="right"/>
    </xf>
    <xf numFmtId="166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166" fontId="21" fillId="2" borderId="2" xfId="0" applyNumberFormat="1" applyFont="1" applyFill="1" applyBorder="1"/>
    <xf numFmtId="166" fontId="21" fillId="2" borderId="17" xfId="0" applyNumberFormat="1" applyFont="1" applyFill="1" applyBorder="1"/>
    <xf numFmtId="166" fontId="21" fillId="14" borderId="2" xfId="0" applyNumberFormat="1" applyFont="1" applyFill="1" applyBorder="1"/>
    <xf numFmtId="166" fontId="3" fillId="14" borderId="2" xfId="0" applyNumberFormat="1" applyFont="1" applyFill="1" applyBorder="1"/>
    <xf numFmtId="166" fontId="3" fillId="2" borderId="17" xfId="0" applyNumberFormat="1" applyFont="1" applyFill="1" applyBorder="1"/>
    <xf numFmtId="43" fontId="5" fillId="14" borderId="4" xfId="2" applyFont="1" applyFill="1" applyBorder="1"/>
    <xf numFmtId="0" fontId="1" fillId="11" borderId="4" xfId="0" applyFont="1" applyFill="1" applyBorder="1"/>
    <xf numFmtId="166" fontId="21" fillId="2" borderId="4" xfId="0" applyNumberFormat="1" applyFont="1" applyFill="1" applyBorder="1"/>
    <xf numFmtId="166" fontId="21" fillId="11" borderId="4" xfId="0" applyNumberFormat="1" applyFont="1" applyFill="1" applyBorder="1"/>
    <xf numFmtId="166" fontId="3" fillId="11" borderId="4" xfId="0" applyNumberFormat="1" applyFont="1" applyFill="1" applyBorder="1"/>
    <xf numFmtId="166" fontId="3" fillId="2" borderId="2" xfId="1" applyFont="1" applyFill="1" applyBorder="1" applyAlignment="1">
      <alignment horizontal="right"/>
    </xf>
    <xf numFmtId="166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166" fontId="1" fillId="12" borderId="0" xfId="0" applyNumberFormat="1" applyFont="1" applyFill="1"/>
    <xf numFmtId="4" fontId="24" fillId="2" borderId="1" xfId="0" applyNumberFormat="1" applyFont="1" applyFill="1" applyBorder="1"/>
    <xf numFmtId="0" fontId="24" fillId="2" borderId="1" xfId="0" applyFont="1" applyFill="1" applyBorder="1"/>
    <xf numFmtId="166" fontId="24" fillId="2" borderId="1" xfId="0" applyNumberFormat="1" applyFont="1" applyFill="1" applyBorder="1"/>
    <xf numFmtId="0" fontId="0" fillId="2" borderId="1" xfId="0" applyFill="1" applyBorder="1"/>
    <xf numFmtId="43" fontId="24" fillId="2" borderId="1" xfId="0" applyNumberFormat="1" applyFont="1" applyFill="1" applyBorder="1"/>
    <xf numFmtId="166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166" fontId="19" fillId="2" borderId="1" xfId="1" applyFont="1" applyFill="1" applyBorder="1" applyAlignment="1">
      <alignment horizontal="right"/>
    </xf>
    <xf numFmtId="166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166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166" fontId="16" fillId="2" borderId="1" xfId="1" applyFont="1" applyFill="1" applyBorder="1" applyAlignment="1">
      <alignment horizontal="right"/>
    </xf>
    <xf numFmtId="166" fontId="19" fillId="13" borderId="1" xfId="1" applyFont="1" applyFill="1" applyBorder="1" applyAlignment="1">
      <alignment horizontal="right"/>
    </xf>
    <xf numFmtId="166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166" fontId="19" fillId="14" borderId="1" xfId="1" applyFont="1" applyFill="1" applyBorder="1" applyAlignment="1">
      <alignment horizontal="right"/>
    </xf>
    <xf numFmtId="166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166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166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43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166" fontId="5" fillId="0" borderId="1" xfId="1" applyFont="1" applyBorder="1"/>
    <xf numFmtId="166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166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7" borderId="1" xfId="0" applyFont="1" applyFill="1" applyBorder="1" applyAlignment="1">
      <alignment horizontal="center" wrapText="1"/>
    </xf>
    <xf numFmtId="0" fontId="3" fillId="18" borderId="1" xfId="0" applyFont="1" applyFill="1" applyBorder="1" applyAlignment="1">
      <alignment horizontal="center" wrapText="1"/>
    </xf>
    <xf numFmtId="0" fontId="18" fillId="17" borderId="1" xfId="0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166" fontId="1" fillId="17" borderId="1" xfId="1" applyFont="1" applyFill="1" applyBorder="1" applyAlignment="1">
      <alignment horizontal="right"/>
    </xf>
    <xf numFmtId="166" fontId="1" fillId="18" borderId="1" xfId="1" applyFont="1" applyFill="1" applyBorder="1" applyAlignment="1">
      <alignment horizontal="right"/>
    </xf>
    <xf numFmtId="166" fontId="5" fillId="17" borderId="1" xfId="1" applyFont="1" applyFill="1" applyBorder="1"/>
    <xf numFmtId="166" fontId="2" fillId="17" borderId="1" xfId="1" applyFont="1" applyFill="1" applyBorder="1" applyAlignment="1">
      <alignment horizontal="right"/>
    </xf>
    <xf numFmtId="166" fontId="2" fillId="18" borderId="1" xfId="1" applyFont="1" applyFill="1" applyBorder="1" applyAlignment="1">
      <alignment horizontal="right"/>
    </xf>
    <xf numFmtId="166" fontId="21" fillId="17" borderId="1" xfId="1" applyFont="1" applyFill="1" applyBorder="1" applyAlignment="1">
      <alignment horizontal="right"/>
    </xf>
    <xf numFmtId="166" fontId="21" fillId="18" borderId="1" xfId="1" applyFont="1" applyFill="1" applyBorder="1" applyAlignment="1">
      <alignment horizontal="right"/>
    </xf>
    <xf numFmtId="166" fontId="3" fillId="17" borderId="1" xfId="1" applyFont="1" applyFill="1" applyBorder="1" applyAlignment="1">
      <alignment horizontal="right"/>
    </xf>
    <xf numFmtId="166" fontId="3" fillId="18" borderId="1" xfId="1" applyFont="1" applyFill="1" applyBorder="1" applyAlignment="1">
      <alignment horizontal="right"/>
    </xf>
    <xf numFmtId="43" fontId="1" fillId="17" borderId="1" xfId="3" applyFont="1" applyFill="1" applyBorder="1" applyAlignment="1">
      <alignment horizontal="right"/>
    </xf>
    <xf numFmtId="166" fontId="1" fillId="17" borderId="1" xfId="1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166" fontId="21" fillId="17" borderId="1" xfId="0" applyNumberFormat="1" applyFont="1" applyFill="1" applyBorder="1"/>
    <xf numFmtId="166" fontId="21" fillId="18" borderId="1" xfId="0" applyNumberFormat="1" applyFont="1" applyFill="1" applyBorder="1"/>
    <xf numFmtId="166" fontId="7" fillId="17" borderId="1" xfId="1" applyFont="1" applyFill="1" applyBorder="1" applyAlignment="1">
      <alignment horizontal="right"/>
    </xf>
    <xf numFmtId="166" fontId="7" fillId="18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1" fillId="19" borderId="1" xfId="0" applyFont="1" applyFill="1" applyBorder="1"/>
    <xf numFmtId="0" fontId="2" fillId="19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166" fontId="81" fillId="2" borderId="1" xfId="1" applyFont="1" applyFill="1" applyBorder="1" applyAlignment="1">
      <alignment horizontal="right"/>
    </xf>
    <xf numFmtId="166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166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166" fontId="81" fillId="14" borderId="1" xfId="1" applyFont="1" applyFill="1" applyBorder="1" applyAlignment="1">
      <alignment horizontal="right"/>
    </xf>
    <xf numFmtId="166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4" fontId="64" fillId="2" borderId="1" xfId="0" applyNumberFormat="1" applyFont="1" applyFill="1" applyBorder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4" fontId="32" fillId="2" borderId="1" xfId="1" applyNumberFormat="1" applyFont="1" applyFill="1" applyBorder="1" applyAlignment="1">
      <alignment horizontal="right"/>
    </xf>
    <xf numFmtId="4" fontId="83" fillId="2" borderId="1" xfId="0" applyNumberFormat="1" applyFont="1" applyFill="1" applyBorder="1"/>
    <xf numFmtId="0" fontId="64" fillId="18" borderId="1" xfId="0" applyFont="1" applyFill="1" applyBorder="1"/>
    <xf numFmtId="0" fontId="64" fillId="18" borderId="1" xfId="0" applyFont="1" applyFill="1" applyBorder="1" applyAlignment="1">
      <alignment wrapText="1"/>
    </xf>
    <xf numFmtId="4" fontId="64" fillId="18" borderId="1" xfId="0" applyNumberFormat="1" applyFont="1" applyFill="1" applyBorder="1"/>
    <xf numFmtId="4" fontId="83" fillId="18" borderId="1" xfId="0" applyNumberFormat="1" applyFont="1" applyFill="1" applyBorder="1"/>
    <xf numFmtId="4" fontId="64" fillId="18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8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9" fillId="0" borderId="0" xfId="0" applyFont="1"/>
    <xf numFmtId="0" fontId="71" fillId="0" borderId="0" xfId="0" applyFont="1"/>
    <xf numFmtId="0" fontId="91" fillId="0" borderId="0" xfId="0" applyFont="1"/>
    <xf numFmtId="0" fontId="92" fillId="0" borderId="0" xfId="0" applyFont="1"/>
    <xf numFmtId="0" fontId="3" fillId="0" borderId="0" xfId="0" applyFont="1" applyAlignment="1">
      <alignment horizontal="left"/>
    </xf>
    <xf numFmtId="166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66" fontId="1" fillId="0" borderId="0" xfId="1" applyFont="1"/>
    <xf numFmtId="166" fontId="1" fillId="0" borderId="0" xfId="0" applyNumberFormat="1" applyFont="1" applyAlignment="1">
      <alignment horizontal="right"/>
    </xf>
    <xf numFmtId="166" fontId="21" fillId="0" borderId="12" xfId="1" applyFont="1" applyBorder="1" applyAlignment="1"/>
    <xf numFmtId="166" fontId="1" fillId="0" borderId="0" xfId="1" applyFont="1" applyFill="1" applyBorder="1" applyAlignment="1"/>
    <xf numFmtId="166" fontId="21" fillId="0" borderId="10" xfId="1" applyFont="1" applyBorder="1" applyAlignment="1"/>
    <xf numFmtId="166" fontId="3" fillId="0" borderId="0" xfId="1" applyFont="1" applyBorder="1" applyAlignment="1"/>
    <xf numFmtId="166" fontId="1" fillId="0" borderId="1" xfId="0" applyNumberFormat="1" applyFont="1" applyBorder="1" applyAlignment="1">
      <alignment horizontal="center"/>
    </xf>
    <xf numFmtId="166" fontId="1" fillId="0" borderId="0" xfId="1" applyFont="1" applyFill="1" applyAlignment="1"/>
    <xf numFmtId="166" fontId="1" fillId="0" borderId="0" xfId="1" applyFont="1" applyFill="1" applyBorder="1" applyAlignment="1">
      <alignment horizontal="right"/>
    </xf>
    <xf numFmtId="4" fontId="1" fillId="2" borderId="1" xfId="0" applyNumberFormat="1" applyFont="1" applyFill="1" applyBorder="1"/>
    <xf numFmtId="166" fontId="21" fillId="13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1" fillId="13" borderId="1" xfId="0" applyNumberFormat="1" applyFont="1" applyFill="1" applyBorder="1"/>
    <xf numFmtId="166" fontId="21" fillId="14" borderId="1" xfId="1" applyFont="1" applyFill="1" applyBorder="1" applyAlignment="1">
      <alignment horizontal="right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8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166" fontId="1" fillId="0" borderId="1" xfId="1" quotePrefix="1" applyFont="1" applyFill="1" applyBorder="1" applyAlignment="1">
      <alignment horizontal="right"/>
    </xf>
    <xf numFmtId="0" fontId="8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9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13" fillId="2" borderId="0" xfId="0" applyFont="1" applyFill="1"/>
    <xf numFmtId="0" fontId="82" fillId="0" borderId="0" xfId="0" applyFont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24" fillId="0" borderId="1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 xr:uid="{00000000-0005-0000-0000-000031000000}"/>
    <cellStyle name="Comma 2" xfId="3" xr:uid="{00000000-0005-0000-0000-000032000000}"/>
    <cellStyle name="Comma 8" xfId="4" xr:uid="{00000000-0005-0000-0000-000033000000}"/>
    <cellStyle name="Normal" xfId="0" builtinId="0"/>
    <cellStyle name="Normal 2" xfId="5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4.xml"/><Relationship Id="rId89" Type="http://schemas.openxmlformats.org/officeDocument/2006/relationships/externalLink" Target="externalLinks/externalLink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externalLink" Target="externalLinks/externalLink3.xml"/><Relationship Id="rId88" Type="http://schemas.openxmlformats.org/officeDocument/2006/relationships/externalLink" Target="externalLinks/externalLink8.xml"/><Relationship Id="rId91" Type="http://schemas.openxmlformats.org/officeDocument/2006/relationships/externalLink" Target="externalLinks/externalLink1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externalLink" Target="externalLinks/externalLink1.xml"/><Relationship Id="rId86" Type="http://schemas.openxmlformats.org/officeDocument/2006/relationships/externalLink" Target="externalLinks/externalLink6.xml"/><Relationship Id="rId94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7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3.xml"/><Relationship Id="rId9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8"/>
  <sheetViews>
    <sheetView tabSelected="1"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sqref="A1:XFD10485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16384" width="9.140625" style="1"/>
  </cols>
  <sheetData>
    <row r="1" spans="1:19" ht="27" customHeight="1">
      <c r="A1" s="793" t="s">
        <v>0</v>
      </c>
      <c r="B1" s="793"/>
      <c r="C1" s="793"/>
      <c r="D1" s="793"/>
      <c r="E1" s="793"/>
      <c r="F1" s="793"/>
      <c r="G1" s="183"/>
      <c r="H1" s="183"/>
      <c r="I1" s="183"/>
    </row>
    <row r="2" spans="1:19" ht="33.75" customHeight="1">
      <c r="A2" s="61" t="s">
        <v>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9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1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462" t="s">
        <v>16</v>
      </c>
      <c r="R4" s="65" t="s">
        <v>17</v>
      </c>
      <c r="S4" s="586" t="s">
        <v>18</v>
      </c>
    </row>
    <row r="5" spans="1:1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4" t="s">
        <v>19</v>
      </c>
      <c r="R5" s="67" t="s">
        <v>19</v>
      </c>
      <c r="S5" s="463" t="s">
        <v>19</v>
      </c>
    </row>
    <row r="6" spans="1:19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4"/>
      <c r="R6" s="67"/>
      <c r="S6" s="463"/>
    </row>
    <row r="7" spans="1:19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70"/>
      <c r="L7" s="70"/>
      <c r="M7" s="70"/>
      <c r="N7" s="70"/>
      <c r="O7" s="70">
        <v>350184.01073066698</v>
      </c>
      <c r="P7" s="70"/>
      <c r="Q7" s="466">
        <f>O7+N7+M7+L7+K7+P7</f>
        <v>350184.01073066698</v>
      </c>
      <c r="R7" s="70">
        <v>1584802.1562693301</v>
      </c>
      <c r="S7" s="465">
        <f>J7-Q7</f>
        <v>1584802.1562693301</v>
      </c>
    </row>
    <row r="8" spans="1:19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f>100000</f>
        <v>100000</v>
      </c>
      <c r="J8" s="465">
        <f t="shared" ref="J8:J37" si="0">E8+F8+G8+H8+I8</f>
        <v>952373.16666666698</v>
      </c>
      <c r="K8" s="70"/>
      <c r="L8" s="70">
        <f>250000</f>
        <v>250000</v>
      </c>
      <c r="M8" s="70"/>
      <c r="N8" s="70"/>
      <c r="O8" s="70">
        <f>'Additional Leg Duty Allowance'!P7</f>
        <v>149812.26282666699</v>
      </c>
      <c r="P8" s="70">
        <v>60989.853333333303</v>
      </c>
      <c r="Q8" s="466">
        <f t="shared" ref="Q8:Q37" si="1">O8+N8+M8+L8+K8+P8</f>
        <v>460802.11615999998</v>
      </c>
      <c r="R8" s="70">
        <v>491571.050506667</v>
      </c>
      <c r="S8" s="465">
        <f t="shared" ref="S8:S37" si="2">J8-Q8</f>
        <v>491571.050506667</v>
      </c>
    </row>
    <row r="9" spans="1:19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200000+100000</f>
        <v>300000</v>
      </c>
      <c r="J9" s="465">
        <f t="shared" si="0"/>
        <v>1152373.16666667</v>
      </c>
      <c r="K9" s="70"/>
      <c r="L9" s="70"/>
      <c r="M9" s="70"/>
      <c r="N9" s="70"/>
      <c r="O9" s="70">
        <f>'Additional Leg Duty Allowance'!P8</f>
        <v>199922.31466666699</v>
      </c>
      <c r="P9" s="70"/>
      <c r="Q9" s="466">
        <f t="shared" si="1"/>
        <v>199922.31466666699</v>
      </c>
      <c r="R9" s="70">
        <v>952450.85199999996</v>
      </c>
      <c r="S9" s="465">
        <f t="shared" si="2"/>
        <v>952450.85199999996</v>
      </c>
    </row>
    <row r="10" spans="1:19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70"/>
      <c r="L10" s="70">
        <f>50000</f>
        <v>50000</v>
      </c>
      <c r="M10" s="70">
        <v>0</v>
      </c>
      <c r="N10" s="70">
        <v>10293.3979166667</v>
      </c>
      <c r="O10" s="70">
        <v>147687.52761066699</v>
      </c>
      <c r="P10" s="70">
        <v>60989.853333333303</v>
      </c>
      <c r="Q10" s="466">
        <f t="shared" si="1"/>
        <v>268970.77886066702</v>
      </c>
      <c r="R10" s="70">
        <v>673402.38780599996</v>
      </c>
      <c r="S10" s="465">
        <f t="shared" si="2"/>
        <v>673402.38780599996</v>
      </c>
    </row>
    <row r="11" spans="1:19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f>150000+100000</f>
        <v>250000</v>
      </c>
      <c r="J11" s="465">
        <f t="shared" si="0"/>
        <v>1102373.16666667</v>
      </c>
      <c r="K11" s="70"/>
      <c r="L11" s="70">
        <f>20000+60000</f>
        <v>80000</v>
      </c>
      <c r="M11" s="70">
        <f>'[2]OCTOBER 2023 '!$D$193</f>
        <v>230499.8</v>
      </c>
      <c r="N11" s="70">
        <v>10293.3979166667</v>
      </c>
      <c r="O11" s="70">
        <f>'Additional Leg Duty Allowance'!P9</f>
        <v>178407.52761066667</v>
      </c>
      <c r="P11" s="70">
        <v>60989.853333333303</v>
      </c>
      <c r="Q11" s="466">
        <f t="shared" si="1"/>
        <v>560190.5788606666</v>
      </c>
      <c r="R11" s="70">
        <v>542182.58780600003</v>
      </c>
      <c r="S11" s="465">
        <f t="shared" si="2"/>
        <v>542182.5878060034</v>
      </c>
    </row>
    <row r="12" spans="1:19" ht="20.100000000000001" customHeight="1">
      <c r="A12" s="8">
        <v>6</v>
      </c>
      <c r="B12" s="9" t="s">
        <v>34</v>
      </c>
      <c r="C12" s="10" t="s">
        <v>35</v>
      </c>
      <c r="D12" s="13" t="s">
        <v>36</v>
      </c>
      <c r="E12" s="70">
        <v>620675.58333333302</v>
      </c>
      <c r="F12" s="70"/>
      <c r="G12" s="186"/>
      <c r="H12" s="186">
        <f>80000</f>
        <v>80000</v>
      </c>
      <c r="I12" s="70">
        <v>50000</v>
      </c>
      <c r="J12" s="465">
        <f t="shared" si="0"/>
        <v>750675.58333333302</v>
      </c>
      <c r="K12" s="70"/>
      <c r="L12" s="70">
        <f>50000-40000</f>
        <v>10000</v>
      </c>
      <c r="M12" s="70">
        <f>90000+110000</f>
        <v>200000</v>
      </c>
      <c r="N12" s="70">
        <v>8380.2270833333296</v>
      </c>
      <c r="O12" s="70">
        <v>113101.965706667</v>
      </c>
      <c r="P12" s="70">
        <v>49654.046666666698</v>
      </c>
      <c r="Q12" s="466">
        <f t="shared" si="1"/>
        <v>381136.23945666698</v>
      </c>
      <c r="R12" s="70">
        <v>369539.34387666598</v>
      </c>
      <c r="S12" s="465">
        <f t="shared" si="2"/>
        <v>369539.34387666598</v>
      </c>
    </row>
    <row r="13" spans="1:19" ht="20.100000000000001" customHeight="1">
      <c r="A13" s="8">
        <v>7</v>
      </c>
      <c r="B13" s="9" t="s">
        <v>37</v>
      </c>
      <c r="C13" s="2" t="s">
        <v>38</v>
      </c>
      <c r="D13" s="8" t="s">
        <v>39</v>
      </c>
      <c r="E13" s="70">
        <v>582118.08333333302</v>
      </c>
      <c r="F13" s="70"/>
      <c r="G13" s="186">
        <v>160000</v>
      </c>
      <c r="H13" s="186"/>
      <c r="I13" s="70">
        <f>100000+100000</f>
        <v>200000</v>
      </c>
      <c r="J13" s="465">
        <f t="shared" si="0"/>
        <v>942118.08333333302</v>
      </c>
      <c r="K13" s="70"/>
      <c r="L13" s="70"/>
      <c r="M13" s="70"/>
      <c r="N13" s="70">
        <v>7859.6312500000004</v>
      </c>
      <c r="O13" s="70">
        <f>'Additional Leg Duty Allowance'!P12</f>
        <v>150463.10967466666</v>
      </c>
      <c r="P13" s="70">
        <v>46569.446666666699</v>
      </c>
      <c r="Q13" s="466">
        <f t="shared" si="1"/>
        <v>204892.18759133335</v>
      </c>
      <c r="R13" s="70">
        <v>737225.89574199903</v>
      </c>
      <c r="S13" s="465">
        <f t="shared" si="2"/>
        <v>737225.89574199961</v>
      </c>
    </row>
    <row r="14" spans="1:19" ht="20.100000000000001" customHeight="1">
      <c r="A14" s="8">
        <v>8</v>
      </c>
      <c r="B14" s="9" t="s">
        <v>40</v>
      </c>
      <c r="C14" s="2" t="s">
        <v>41</v>
      </c>
      <c r="D14" s="13" t="s">
        <v>42</v>
      </c>
      <c r="E14" s="70">
        <v>484373.75</v>
      </c>
      <c r="F14" s="70"/>
      <c r="G14" s="186"/>
      <c r="H14" s="186">
        <f t="shared" ref="H14" si="3">70000</f>
        <v>70000</v>
      </c>
      <c r="I14" s="70">
        <f>0</f>
        <v>0</v>
      </c>
      <c r="J14" s="465">
        <f t="shared" si="0"/>
        <v>554373.75</v>
      </c>
      <c r="K14" s="70"/>
      <c r="L14" s="70"/>
      <c r="M14" s="70"/>
      <c r="N14" s="70"/>
      <c r="O14" s="70">
        <v>77666.445866666705</v>
      </c>
      <c r="P14" s="70">
        <v>38749.9</v>
      </c>
      <c r="Q14" s="466">
        <f t="shared" si="1"/>
        <v>116416.345866667</v>
      </c>
      <c r="R14" s="70">
        <v>437957.40413333301</v>
      </c>
      <c r="S14" s="465">
        <f t="shared" si="2"/>
        <v>437957.40413333301</v>
      </c>
    </row>
    <row r="15" spans="1:19" ht="20.100000000000001" customHeight="1">
      <c r="A15" s="8">
        <v>9</v>
      </c>
      <c r="B15" s="12" t="s">
        <v>43</v>
      </c>
      <c r="C15" s="15" t="s">
        <v>44</v>
      </c>
      <c r="D15" s="13" t="s">
        <v>39</v>
      </c>
      <c r="E15" s="70">
        <v>582118.08333333302</v>
      </c>
      <c r="F15" s="70"/>
      <c r="G15" s="186">
        <v>160000</v>
      </c>
      <c r="H15" s="186"/>
      <c r="I15" s="70">
        <f>50000+100000</f>
        <v>150000</v>
      </c>
      <c r="J15" s="465">
        <f t="shared" si="0"/>
        <v>892118.08333333302</v>
      </c>
      <c r="K15" s="70"/>
      <c r="L15" s="70">
        <f>50000</f>
        <v>50000</v>
      </c>
      <c r="M15" s="70"/>
      <c r="N15" s="70"/>
      <c r="O15" s="70">
        <v>141011.988957867</v>
      </c>
      <c r="P15" s="70">
        <f>46569.45</f>
        <v>46569.45</v>
      </c>
      <c r="Q15" s="466">
        <f t="shared" si="1"/>
        <v>237581.43895786701</v>
      </c>
      <c r="R15" s="70">
        <v>1110207.1514176</v>
      </c>
      <c r="S15" s="465">
        <f t="shared" si="2"/>
        <v>654536.64437546604</v>
      </c>
    </row>
    <row r="16" spans="1:19" ht="20.100000000000001" customHeight="1">
      <c r="A16" s="8">
        <v>10</v>
      </c>
      <c r="B16" s="9" t="s">
        <v>45</v>
      </c>
      <c r="C16" s="2" t="s">
        <v>46</v>
      </c>
      <c r="D16" s="8" t="s">
        <v>47</v>
      </c>
      <c r="E16" s="70">
        <v>442746.5</v>
      </c>
      <c r="F16" s="70"/>
      <c r="G16" s="186">
        <f>140000</f>
        <v>140000</v>
      </c>
      <c r="H16" s="186"/>
      <c r="I16" s="70">
        <f>150000+100000</f>
        <v>250000</v>
      </c>
      <c r="J16" s="465">
        <f t="shared" si="0"/>
        <v>832746.5</v>
      </c>
      <c r="K16" s="70"/>
      <c r="L16" s="70">
        <v>70000</v>
      </c>
      <c r="M16" s="70">
        <v>175000</v>
      </c>
      <c r="N16" s="70"/>
      <c r="O16" s="70">
        <f>'Additional Leg Duty Allowance'!P13</f>
        <v>131753.40842666701</v>
      </c>
      <c r="P16" s="70">
        <v>35419.72</v>
      </c>
      <c r="Q16" s="466">
        <f t="shared" si="1"/>
        <v>412173.12842666701</v>
      </c>
      <c r="R16" s="70">
        <v>420573.37157333299</v>
      </c>
      <c r="S16" s="465">
        <f t="shared" si="2"/>
        <v>420573.37157333299</v>
      </c>
    </row>
    <row r="17" spans="1:19" ht="20.100000000000001" customHeight="1">
      <c r="A17" s="8">
        <v>11</v>
      </c>
      <c r="B17" s="9" t="s">
        <v>48</v>
      </c>
      <c r="C17" s="2" t="s">
        <v>49</v>
      </c>
      <c r="D17" s="8" t="s">
        <v>39</v>
      </c>
      <c r="E17" s="70">
        <v>582118.08333333302</v>
      </c>
      <c r="F17" s="70"/>
      <c r="G17" s="186"/>
      <c r="H17" s="186">
        <v>80000</v>
      </c>
      <c r="I17" s="70">
        <v>50000</v>
      </c>
      <c r="J17" s="465">
        <f t="shared" si="0"/>
        <v>712118.08333333302</v>
      </c>
      <c r="K17" s="2"/>
      <c r="L17" s="2"/>
      <c r="M17" s="70"/>
      <c r="N17" s="70"/>
      <c r="O17" s="70">
        <v>106452</v>
      </c>
      <c r="P17" s="70">
        <f>46569.45</f>
        <v>46569.45</v>
      </c>
      <c r="Q17" s="466">
        <f t="shared" si="1"/>
        <v>153021.45000000001</v>
      </c>
      <c r="R17" s="70">
        <v>662060.48834346596</v>
      </c>
      <c r="S17" s="465">
        <f t="shared" si="2"/>
        <v>559096.63333333295</v>
      </c>
    </row>
    <row r="18" spans="1:19" ht="20.100000000000001" customHeight="1">
      <c r="A18" s="8">
        <v>12</v>
      </c>
      <c r="B18" s="9" t="s">
        <v>50</v>
      </c>
      <c r="C18" s="10" t="s">
        <v>51</v>
      </c>
      <c r="D18" s="13" t="s">
        <v>52</v>
      </c>
      <c r="E18" s="70">
        <v>428915.91666666698</v>
      </c>
      <c r="F18" s="70"/>
      <c r="G18" s="186">
        <f>120000</f>
        <v>120000</v>
      </c>
      <c r="H18" s="186"/>
      <c r="I18" s="70">
        <v>0</v>
      </c>
      <c r="J18" s="465">
        <f t="shared" si="0"/>
        <v>548915.91666666698</v>
      </c>
      <c r="K18" s="70"/>
      <c r="L18" s="70">
        <f>50000</f>
        <v>50000</v>
      </c>
      <c r="M18" s="70">
        <v>105000</v>
      </c>
      <c r="N18" s="70"/>
      <c r="O18" s="70">
        <v>77470.374186666697</v>
      </c>
      <c r="P18" s="70">
        <v>34313.273333333302</v>
      </c>
      <c r="Q18" s="466">
        <f t="shared" si="1"/>
        <v>266783.64752</v>
      </c>
      <c r="R18" s="70">
        <v>282132.26914666698</v>
      </c>
      <c r="S18" s="465">
        <f t="shared" si="2"/>
        <v>282132.26914666698</v>
      </c>
    </row>
    <row r="19" spans="1:19" ht="20.100000000000001" customHeight="1">
      <c r="A19" s="8">
        <v>13</v>
      </c>
      <c r="B19" s="16" t="s">
        <v>53</v>
      </c>
      <c r="C19" s="2" t="s">
        <v>54</v>
      </c>
      <c r="D19" s="13" t="s">
        <v>55</v>
      </c>
      <c r="E19" s="70">
        <v>416026.91666666698</v>
      </c>
      <c r="F19" s="70"/>
      <c r="G19" s="186">
        <f>120000</f>
        <v>120000</v>
      </c>
      <c r="H19" s="186"/>
      <c r="I19" s="70">
        <f>100000+100000</f>
        <v>200000</v>
      </c>
      <c r="J19" s="465">
        <f t="shared" si="0"/>
        <v>736026.91666666698</v>
      </c>
      <c r="K19" s="70"/>
      <c r="L19" s="70">
        <f>30000-20000</f>
        <v>10000</v>
      </c>
      <c r="M19" s="70">
        <f>95833.33</f>
        <v>95833.33</v>
      </c>
      <c r="N19" s="70">
        <v>5607.1770833333303</v>
      </c>
      <c r="O19" s="70">
        <f>'Additional Leg Duty Allowance'!P14</f>
        <v>113474.903466667</v>
      </c>
      <c r="P19" s="70">
        <v>33282.153333333299</v>
      </c>
      <c r="Q19" s="466">
        <f t="shared" si="1"/>
        <v>258197.56388333399</v>
      </c>
      <c r="R19" s="70">
        <v>477829.35278333299</v>
      </c>
      <c r="S19" s="465">
        <f t="shared" si="2"/>
        <v>477829.35278333299</v>
      </c>
    </row>
    <row r="20" spans="1:19" ht="20.100000000000001" customHeight="1">
      <c r="A20" s="8">
        <v>14</v>
      </c>
      <c r="B20" s="16" t="s">
        <v>56</v>
      </c>
      <c r="C20" s="2" t="s">
        <v>57</v>
      </c>
      <c r="D20" s="13" t="s">
        <v>58</v>
      </c>
      <c r="E20" s="627">
        <f>'[3]Annual &amp; Monthly'!$H$40</f>
        <v>390248.91666666698</v>
      </c>
      <c r="F20" s="70"/>
      <c r="G20" s="2"/>
      <c r="H20" s="186">
        <v>70000</v>
      </c>
      <c r="I20" s="70"/>
      <c r="J20" s="465">
        <f t="shared" si="0"/>
        <v>460248.91666666698</v>
      </c>
      <c r="K20" s="70"/>
      <c r="L20" s="635">
        <v>50000</v>
      </c>
      <c r="M20" s="635"/>
      <c r="O20" s="635">
        <f>61040.2353066666</f>
        <v>61040.235306666596</v>
      </c>
      <c r="P20" s="70">
        <f>390248.916666667*0.08</f>
        <v>31219.913333333399</v>
      </c>
      <c r="Q20" s="466">
        <f t="shared" si="1"/>
        <v>142260.14864</v>
      </c>
      <c r="R20" s="70">
        <v>317988.76802666701</v>
      </c>
      <c r="S20" s="465">
        <f t="shared" si="2"/>
        <v>317988.76802666695</v>
      </c>
    </row>
    <row r="21" spans="1:19" ht="20.100000000000001" customHeight="1">
      <c r="A21" s="8">
        <v>15</v>
      </c>
      <c r="B21" s="16" t="s">
        <v>59</v>
      </c>
      <c r="C21" s="2" t="s">
        <v>51</v>
      </c>
      <c r="D21" s="13" t="s">
        <v>58</v>
      </c>
      <c r="E21" s="627">
        <v>390248.91666666698</v>
      </c>
      <c r="F21" s="70"/>
      <c r="G21" s="767">
        <v>120000</v>
      </c>
      <c r="H21" s="186"/>
      <c r="I21" s="70"/>
      <c r="J21" s="465">
        <f t="shared" si="0"/>
        <v>510248.91666666698</v>
      </c>
      <c r="K21" s="70"/>
      <c r="L21" s="635"/>
      <c r="M21" s="635"/>
      <c r="O21" s="635">
        <f>70640.2353066667</f>
        <v>70640.235306666698</v>
      </c>
      <c r="P21" s="70">
        <v>31219.913333333399</v>
      </c>
      <c r="Q21" s="466">
        <f t="shared" si="1"/>
        <v>101860.14864</v>
      </c>
      <c r="R21" s="70">
        <v>408388.76802666701</v>
      </c>
      <c r="S21" s="465">
        <f t="shared" si="2"/>
        <v>408388.76802666701</v>
      </c>
    </row>
    <row r="22" spans="1:19" ht="18.75" customHeight="1">
      <c r="A22" s="8">
        <v>16</v>
      </c>
      <c r="B22" s="9" t="s">
        <v>60</v>
      </c>
      <c r="C22" s="10" t="s">
        <v>61</v>
      </c>
      <c r="D22" s="13" t="s">
        <v>62</v>
      </c>
      <c r="E22" s="70">
        <v>377895.16666666698</v>
      </c>
      <c r="F22" s="70"/>
      <c r="G22" s="186"/>
      <c r="H22" s="186">
        <f>60000</f>
        <v>60000</v>
      </c>
      <c r="I22" s="70">
        <f>100000+50000</f>
        <v>150000</v>
      </c>
      <c r="J22" s="465">
        <f t="shared" si="0"/>
        <v>587895.16666666698</v>
      </c>
      <c r="K22" s="70"/>
      <c r="L22" s="70">
        <f>20000+30000</f>
        <v>50000</v>
      </c>
      <c r="M22" s="70">
        <f>111833.33</f>
        <v>111833.33</v>
      </c>
      <c r="N22" s="70"/>
      <c r="O22" s="70">
        <v>82601.204906666695</v>
      </c>
      <c r="P22" s="70">
        <v>30231.613333333298</v>
      </c>
      <c r="Q22" s="466">
        <f t="shared" si="1"/>
        <v>274666.14824000001</v>
      </c>
      <c r="R22" s="70">
        <v>313229.01842666703</v>
      </c>
      <c r="S22" s="465">
        <f t="shared" si="2"/>
        <v>313229.01842666703</v>
      </c>
    </row>
    <row r="23" spans="1:19" ht="20.100000000000001" customHeight="1">
      <c r="A23" s="8">
        <v>17</v>
      </c>
      <c r="B23" s="12" t="s">
        <v>63</v>
      </c>
      <c r="C23" s="15" t="s">
        <v>64</v>
      </c>
      <c r="D23" s="8" t="s">
        <v>65</v>
      </c>
      <c r="E23" s="70">
        <v>353512.5</v>
      </c>
      <c r="F23" s="70"/>
      <c r="G23" s="186">
        <f t="shared" ref="G23" si="4">100000</f>
        <v>100000</v>
      </c>
      <c r="H23" s="186"/>
      <c r="I23" s="70">
        <f>100000+100000</f>
        <v>200000</v>
      </c>
      <c r="J23" s="465">
        <f t="shared" si="0"/>
        <v>653512.5</v>
      </c>
      <c r="K23" s="70"/>
      <c r="L23" s="70">
        <f>50000+100000</f>
        <v>150000</v>
      </c>
      <c r="M23" s="70"/>
      <c r="N23" s="70"/>
      <c r="O23" s="70">
        <f>'Additional Leg Duty Allowance'!P15</f>
        <v>98711.114666666705</v>
      </c>
      <c r="P23" s="70">
        <v>28281</v>
      </c>
      <c r="Q23" s="466">
        <f t="shared" si="1"/>
        <v>276992.11466666701</v>
      </c>
      <c r="R23" s="70">
        <v>376520.38533333299</v>
      </c>
      <c r="S23" s="465">
        <f t="shared" si="2"/>
        <v>376520.38533333299</v>
      </c>
    </row>
    <row r="24" spans="1:19" ht="21.6" customHeight="1">
      <c r="A24" s="8">
        <v>18</v>
      </c>
      <c r="B24" s="9" t="s">
        <v>66</v>
      </c>
      <c r="C24" s="15" t="s">
        <v>67</v>
      </c>
      <c r="D24" s="13" t="s">
        <v>65</v>
      </c>
      <c r="E24" s="70">
        <v>353512.5</v>
      </c>
      <c r="F24" s="70"/>
      <c r="G24" s="186">
        <v>110000</v>
      </c>
      <c r="H24" s="186"/>
      <c r="I24" s="70">
        <v>0</v>
      </c>
      <c r="J24" s="465">
        <f t="shared" si="0"/>
        <v>463512.5</v>
      </c>
      <c r="K24" s="70"/>
      <c r="L24" s="70">
        <v>0</v>
      </c>
      <c r="M24" s="70"/>
      <c r="N24" s="70"/>
      <c r="O24" s="70">
        <v>62231.114666666697</v>
      </c>
      <c r="P24" s="70">
        <v>28281</v>
      </c>
      <c r="Q24" s="466">
        <f t="shared" si="1"/>
        <v>90512.114666666705</v>
      </c>
      <c r="R24" s="70">
        <v>373000.38533333299</v>
      </c>
      <c r="S24" s="465">
        <f t="shared" si="2"/>
        <v>373000.38533333299</v>
      </c>
    </row>
    <row r="25" spans="1:19" ht="20.100000000000001" customHeight="1">
      <c r="A25" s="8">
        <v>19</v>
      </c>
      <c r="B25" s="12" t="s">
        <v>68</v>
      </c>
      <c r="C25" s="15" t="s">
        <v>69</v>
      </c>
      <c r="D25" s="8" t="s">
        <v>70</v>
      </c>
      <c r="E25" s="70">
        <v>293029.66666666698</v>
      </c>
      <c r="F25" s="70"/>
      <c r="G25" s="186"/>
      <c r="H25" s="186">
        <f>50000+10000</f>
        <v>60000</v>
      </c>
      <c r="I25" s="70">
        <f>100000+100000</f>
        <v>200000</v>
      </c>
      <c r="J25" s="465">
        <f t="shared" si="0"/>
        <v>553029.66666666698</v>
      </c>
      <c r="K25" s="70"/>
      <c r="L25" s="70">
        <v>130000</v>
      </c>
      <c r="M25" s="70"/>
      <c r="N25" s="70"/>
      <c r="O25" s="70">
        <f>'Additional Leg Duty Allowance'!P16</f>
        <v>80347.426986666702</v>
      </c>
      <c r="P25" s="70">
        <v>23442.3733333333</v>
      </c>
      <c r="Q25" s="466">
        <f t="shared" si="1"/>
        <v>233789.80032000001</v>
      </c>
      <c r="R25" s="70">
        <v>319239.866346667</v>
      </c>
      <c r="S25" s="465">
        <f t="shared" si="2"/>
        <v>319239.866346667</v>
      </c>
    </row>
    <row r="26" spans="1:19" ht="20.100000000000001" customHeight="1">
      <c r="A26" s="8">
        <v>20</v>
      </c>
      <c r="B26" s="12" t="s">
        <v>71</v>
      </c>
      <c r="C26" s="15" t="s">
        <v>72</v>
      </c>
      <c r="D26" s="8" t="s">
        <v>70</v>
      </c>
      <c r="E26" s="70">
        <v>293029.66666666698</v>
      </c>
      <c r="F26" s="70"/>
      <c r="G26" s="186"/>
      <c r="H26" s="186">
        <v>60000</v>
      </c>
      <c r="I26" s="70"/>
      <c r="J26" s="465">
        <f t="shared" si="0"/>
        <v>353029.66666666698</v>
      </c>
      <c r="K26" s="70"/>
      <c r="L26" s="70">
        <v>40000</v>
      </c>
      <c r="M26" s="70"/>
      <c r="O26" s="70">
        <f>42537.3319466667</f>
        <v>42537.331946666702</v>
      </c>
      <c r="P26" s="70">
        <v>23442.373333333398</v>
      </c>
      <c r="Q26" s="466">
        <f t="shared" si="1"/>
        <v>105979.70527999999</v>
      </c>
      <c r="R26" s="70">
        <v>247049.96138666701</v>
      </c>
      <c r="S26" s="465">
        <f t="shared" si="2"/>
        <v>247049.96138666701</v>
      </c>
    </row>
    <row r="27" spans="1:19" ht="18.75" customHeight="1">
      <c r="A27" s="8">
        <v>21</v>
      </c>
      <c r="B27" s="2" t="s">
        <v>73</v>
      </c>
      <c r="C27" s="2" t="s">
        <v>74</v>
      </c>
      <c r="D27" s="8" t="s">
        <v>75</v>
      </c>
      <c r="E27" s="70">
        <v>270481.66666666698</v>
      </c>
      <c r="F27" s="70"/>
      <c r="G27" s="186"/>
      <c r="H27" s="186">
        <f>50000+10000</f>
        <v>60000</v>
      </c>
      <c r="I27" s="70"/>
      <c r="J27" s="465">
        <f t="shared" si="0"/>
        <v>330481.66666666698</v>
      </c>
      <c r="K27" s="70"/>
      <c r="L27" s="70">
        <v>10000</v>
      </c>
      <c r="M27" s="70"/>
      <c r="N27" s="70"/>
      <c r="O27" s="70">
        <v>39052.313066666698</v>
      </c>
      <c r="P27" s="70">
        <v>21638.5333333333</v>
      </c>
      <c r="Q27" s="466">
        <f t="shared" si="1"/>
        <v>70690.846399999995</v>
      </c>
      <c r="R27" s="70">
        <v>259790.820266667</v>
      </c>
      <c r="S27" s="465">
        <f t="shared" si="2"/>
        <v>259790.820266667</v>
      </c>
    </row>
    <row r="28" spans="1:19" ht="18.75" customHeight="1">
      <c r="A28" s="8">
        <v>22</v>
      </c>
      <c r="B28" s="16" t="s">
        <v>76</v>
      </c>
      <c r="C28" s="10" t="s">
        <v>74</v>
      </c>
      <c r="D28" s="13" t="s">
        <v>75</v>
      </c>
      <c r="E28" s="70">
        <v>270481.66666666698</v>
      </c>
      <c r="F28" s="70"/>
      <c r="G28" s="186"/>
      <c r="H28" s="186">
        <f>50000+10000</f>
        <v>60000</v>
      </c>
      <c r="I28" s="70"/>
      <c r="J28" s="465">
        <f t="shared" si="0"/>
        <v>330481.66666666698</v>
      </c>
      <c r="K28" s="70"/>
      <c r="L28" s="70"/>
      <c r="M28" s="70"/>
      <c r="N28" s="70"/>
      <c r="O28" s="70">
        <v>39052.313066666698</v>
      </c>
      <c r="P28" s="70">
        <v>21638.5333333333</v>
      </c>
      <c r="Q28" s="466">
        <f t="shared" si="1"/>
        <v>60690.846400000002</v>
      </c>
      <c r="R28" s="70">
        <v>269790.820266667</v>
      </c>
      <c r="S28" s="465">
        <f t="shared" si="2"/>
        <v>269790.820266667</v>
      </c>
    </row>
    <row r="29" spans="1:19" ht="20.100000000000001" customHeight="1">
      <c r="A29" s="8">
        <v>23</v>
      </c>
      <c r="B29" s="9" t="s">
        <v>77</v>
      </c>
      <c r="C29" s="15" t="s">
        <v>64</v>
      </c>
      <c r="D29" s="8" t="s">
        <v>75</v>
      </c>
      <c r="E29" s="70">
        <v>270481.66666666698</v>
      </c>
      <c r="F29" s="70"/>
      <c r="G29" s="186">
        <f t="shared" ref="G29" si="5">100000</f>
        <v>100000</v>
      </c>
      <c r="H29" s="186"/>
      <c r="I29" s="70"/>
      <c r="J29" s="465">
        <f t="shared" si="0"/>
        <v>370481.66666666698</v>
      </c>
      <c r="K29" s="70"/>
      <c r="L29" s="70">
        <f>10000</f>
        <v>10000</v>
      </c>
      <c r="M29" s="70">
        <f>95833.33</f>
        <v>95833.33</v>
      </c>
      <c r="N29" s="70"/>
      <c r="O29" s="70">
        <v>45772.313066666698</v>
      </c>
      <c r="P29" s="70">
        <v>21638.5333333333</v>
      </c>
      <c r="Q29" s="466">
        <f t="shared" si="1"/>
        <v>173244.1764</v>
      </c>
      <c r="R29" s="70">
        <v>197237.49026666701</v>
      </c>
      <c r="S29" s="465">
        <f t="shared" si="2"/>
        <v>197237.49026666701</v>
      </c>
    </row>
    <row r="30" spans="1:19" ht="18.75" customHeight="1">
      <c r="A30" s="8">
        <v>24</v>
      </c>
      <c r="B30" s="16" t="s">
        <v>78</v>
      </c>
      <c r="C30" s="10" t="s">
        <v>79</v>
      </c>
      <c r="D30" s="13" t="s">
        <v>80</v>
      </c>
      <c r="E30" s="70">
        <v>263165.33333333302</v>
      </c>
      <c r="F30" s="70"/>
      <c r="G30" s="186"/>
      <c r="H30" s="186">
        <f t="shared" ref="H30:H35" si="6">60000</f>
        <v>60000</v>
      </c>
      <c r="I30" s="2"/>
      <c r="J30" s="465">
        <f t="shared" si="0"/>
        <v>323165.33333333302</v>
      </c>
      <c r="K30" s="70"/>
      <c r="L30" s="70">
        <f>20000</f>
        <v>20000</v>
      </c>
      <c r="M30" s="70">
        <f>17500</f>
        <v>17500</v>
      </c>
      <c r="N30" s="70"/>
      <c r="O30" s="70">
        <v>37921.500586666698</v>
      </c>
      <c r="P30" s="70">
        <v>21053.226666666698</v>
      </c>
      <c r="Q30" s="466">
        <f t="shared" si="1"/>
        <v>96474.727253333403</v>
      </c>
      <c r="R30" s="70">
        <v>226690.60608</v>
      </c>
      <c r="S30" s="465">
        <f t="shared" si="2"/>
        <v>226690.60608</v>
      </c>
    </row>
    <row r="31" spans="1:19" ht="18.75" customHeight="1">
      <c r="A31" s="8">
        <v>25</v>
      </c>
      <c r="B31" s="16" t="s">
        <v>81</v>
      </c>
      <c r="C31" s="2" t="s">
        <v>82</v>
      </c>
      <c r="D31" s="8" t="s">
        <v>83</v>
      </c>
      <c r="E31" s="70">
        <v>255849</v>
      </c>
      <c r="F31" s="70"/>
      <c r="G31" s="186"/>
      <c r="H31" s="186">
        <f t="shared" si="6"/>
        <v>60000</v>
      </c>
      <c r="I31" s="70"/>
      <c r="J31" s="465">
        <f t="shared" si="0"/>
        <v>315849</v>
      </c>
      <c r="K31" s="70"/>
      <c r="L31" s="70">
        <f>30000+20000</f>
        <v>50000</v>
      </c>
      <c r="M31" s="70">
        <v>0</v>
      </c>
      <c r="N31" s="70"/>
      <c r="O31" s="70">
        <v>36790.688106666697</v>
      </c>
      <c r="P31" s="70">
        <v>20467.919999999998</v>
      </c>
      <c r="Q31" s="466">
        <f t="shared" si="1"/>
        <v>107258.608106667</v>
      </c>
      <c r="R31" s="70">
        <v>208590.391893333</v>
      </c>
      <c r="S31" s="465">
        <f t="shared" si="2"/>
        <v>208590.391893333</v>
      </c>
    </row>
    <row r="32" spans="1:19" ht="18.75" customHeight="1">
      <c r="A32" s="8">
        <v>26</v>
      </c>
      <c r="B32" s="16" t="s">
        <v>84</v>
      </c>
      <c r="C32" s="2" t="s">
        <v>82</v>
      </c>
      <c r="D32" s="8" t="s">
        <v>83</v>
      </c>
      <c r="E32" s="70">
        <v>255849</v>
      </c>
      <c r="F32" s="70"/>
      <c r="G32" s="186"/>
      <c r="H32" s="186">
        <f t="shared" si="6"/>
        <v>60000</v>
      </c>
      <c r="I32" s="70"/>
      <c r="J32" s="465">
        <f t="shared" si="0"/>
        <v>315849</v>
      </c>
      <c r="K32" s="70"/>
      <c r="L32" s="70"/>
      <c r="M32" s="70">
        <v>0</v>
      </c>
      <c r="N32" s="70"/>
      <c r="O32" s="70">
        <v>36790.688106666697</v>
      </c>
      <c r="P32" s="70">
        <v>20467.919999999998</v>
      </c>
      <c r="Q32" s="466">
        <f t="shared" si="1"/>
        <v>57258.608106666703</v>
      </c>
      <c r="R32" s="70">
        <v>258590.391893333</v>
      </c>
      <c r="S32" s="465">
        <f t="shared" si="2"/>
        <v>258590.391893333</v>
      </c>
    </row>
    <row r="33" spans="1:19" ht="18.75" customHeight="1">
      <c r="A33" s="8">
        <v>27</v>
      </c>
      <c r="B33" s="16" t="s">
        <v>85</v>
      </c>
      <c r="C33" s="15" t="s">
        <v>86</v>
      </c>
      <c r="D33" s="13" t="s">
        <v>75</v>
      </c>
      <c r="E33" s="70">
        <v>270481.66666666698</v>
      </c>
      <c r="F33" s="70"/>
      <c r="G33" s="186"/>
      <c r="H33" s="186">
        <f t="shared" si="6"/>
        <v>60000</v>
      </c>
      <c r="I33" s="70"/>
      <c r="J33" s="465">
        <f t="shared" si="0"/>
        <v>330481.66666666698</v>
      </c>
      <c r="K33" s="70"/>
      <c r="L33" s="70">
        <f>10000</f>
        <v>10000</v>
      </c>
      <c r="M33" s="70">
        <v>161429.76000000001</v>
      </c>
      <c r="N33" s="70">
        <f>3653.5</f>
        <v>3653.5</v>
      </c>
      <c r="O33" s="186">
        <v>39052.313066666698</v>
      </c>
      <c r="P33" s="186">
        <v>21638.5333333333</v>
      </c>
      <c r="Q33" s="466">
        <f t="shared" si="1"/>
        <v>235774.10639999999</v>
      </c>
      <c r="R33" s="70">
        <v>94707.560266667002</v>
      </c>
      <c r="S33" s="465">
        <f t="shared" si="2"/>
        <v>94707.560266667002</v>
      </c>
    </row>
    <row r="34" spans="1:19" ht="18.75" customHeight="1">
      <c r="A34" s="8">
        <v>28</v>
      </c>
      <c r="B34" s="16" t="s">
        <v>87</v>
      </c>
      <c r="C34" s="2" t="s">
        <v>74</v>
      </c>
      <c r="D34" s="8" t="s">
        <v>83</v>
      </c>
      <c r="E34" s="70">
        <v>255849</v>
      </c>
      <c r="F34" s="70"/>
      <c r="G34" s="186"/>
      <c r="H34" s="186">
        <f t="shared" si="6"/>
        <v>60000</v>
      </c>
      <c r="I34" s="70"/>
      <c r="J34" s="465">
        <f t="shared" ref="J34" si="7">E34+F34+G34+H34+I34</f>
        <v>315849</v>
      </c>
      <c r="K34" s="70"/>
      <c r="L34" s="70"/>
      <c r="M34" s="70">
        <v>0</v>
      </c>
      <c r="N34" s="70"/>
      <c r="O34" s="70">
        <f>36790.6881066667</f>
        <v>36790.688106666697</v>
      </c>
      <c r="P34" s="70">
        <v>20467.919999999998</v>
      </c>
      <c r="Q34" s="466">
        <f t="shared" ref="Q34" si="8">O34+N34+M34+L34+K34+P34</f>
        <v>57258.608106666703</v>
      </c>
      <c r="R34" s="70">
        <v>258590.391893333</v>
      </c>
      <c r="S34" s="465">
        <f t="shared" ref="S34" si="9">J34-Q34</f>
        <v>258590.391893333</v>
      </c>
    </row>
    <row r="35" spans="1:19" ht="18.75" customHeight="1">
      <c r="A35" s="8">
        <v>29</v>
      </c>
      <c r="B35" s="16" t="s">
        <v>88</v>
      </c>
      <c r="C35" s="2" t="s">
        <v>89</v>
      </c>
      <c r="D35" s="8" t="s">
        <v>83</v>
      </c>
      <c r="E35" s="70">
        <v>255849</v>
      </c>
      <c r="F35" s="70"/>
      <c r="G35" s="186"/>
      <c r="H35" s="186">
        <f t="shared" si="6"/>
        <v>60000</v>
      </c>
      <c r="I35" s="70"/>
      <c r="J35" s="465">
        <f t="shared" si="0"/>
        <v>315849</v>
      </c>
      <c r="K35" s="70"/>
      <c r="L35" s="70">
        <f>0</f>
        <v>0</v>
      </c>
      <c r="M35" s="70"/>
      <c r="N35" s="70"/>
      <c r="O35" s="70">
        <v>36790.688106666697</v>
      </c>
      <c r="P35" s="70">
        <v>20467.919999999998</v>
      </c>
      <c r="Q35" s="466">
        <f t="shared" si="1"/>
        <v>57258.608106666703</v>
      </c>
      <c r="R35" s="70">
        <v>258590.391893333</v>
      </c>
      <c r="S35" s="465">
        <f t="shared" si="2"/>
        <v>258590.391893333</v>
      </c>
    </row>
    <row r="36" spans="1:19" ht="18.75" customHeight="1">
      <c r="A36" s="8">
        <v>30</v>
      </c>
      <c r="B36" s="16" t="s">
        <v>90</v>
      </c>
      <c r="C36" s="10" t="s">
        <v>91</v>
      </c>
      <c r="D36" s="13" t="s">
        <v>92</v>
      </c>
      <c r="E36" s="70">
        <v>224459.75</v>
      </c>
      <c r="F36" s="70"/>
      <c r="G36" s="186"/>
      <c r="H36" s="186">
        <v>50000</v>
      </c>
      <c r="I36" s="70"/>
      <c r="J36" s="465">
        <f t="shared" si="0"/>
        <v>274459.75</v>
      </c>
      <c r="K36" s="70"/>
      <c r="L36" s="70">
        <v>20000</v>
      </c>
      <c r="M36" s="70">
        <v>0</v>
      </c>
      <c r="N36" s="70"/>
      <c r="O36" s="70">
        <v>30259.165626666701</v>
      </c>
      <c r="P36" s="70">
        <v>17956.78</v>
      </c>
      <c r="Q36" s="466">
        <f t="shared" si="1"/>
        <v>68215.945626666697</v>
      </c>
      <c r="R36" s="70">
        <v>206243.804373333</v>
      </c>
      <c r="S36" s="465">
        <f t="shared" si="2"/>
        <v>206243.804373333</v>
      </c>
    </row>
    <row r="37" spans="1:19" ht="18.75" customHeight="1">
      <c r="A37" s="8">
        <v>31</v>
      </c>
      <c r="B37" s="16" t="s">
        <v>93</v>
      </c>
      <c r="C37" s="10" t="s">
        <v>94</v>
      </c>
      <c r="D37" s="13" t="s">
        <v>95</v>
      </c>
      <c r="E37" s="627">
        <v>218287.58333333299</v>
      </c>
      <c r="F37" s="70"/>
      <c r="G37" s="186"/>
      <c r="H37" s="186">
        <v>50000</v>
      </c>
      <c r="I37" s="70"/>
      <c r="J37" s="465">
        <f t="shared" si="0"/>
        <v>268287.58333333302</v>
      </c>
      <c r="K37" s="70"/>
      <c r="L37" s="635">
        <v>50000</v>
      </c>
      <c r="M37" s="635">
        <v>45833.33</v>
      </c>
      <c r="O37" s="635">
        <f>29305.1955466667</f>
        <v>29305.195546666699</v>
      </c>
      <c r="P37" s="636">
        <f>218287.583333333*0.08</f>
        <v>17463.006666666599</v>
      </c>
      <c r="Q37" s="466">
        <f t="shared" si="1"/>
        <v>142601.532213333</v>
      </c>
      <c r="R37" s="70">
        <v>125686.05112</v>
      </c>
      <c r="S37" s="465">
        <f t="shared" si="2"/>
        <v>125686.05112</v>
      </c>
    </row>
    <row r="38" spans="1:19" ht="26.25" customHeight="1">
      <c r="A38" s="8"/>
      <c r="B38" s="18" t="s">
        <v>96</v>
      </c>
      <c r="C38" s="19">
        <v>31</v>
      </c>
      <c r="D38" s="13"/>
      <c r="E38" s="187">
        <f t="shared" ref="E38:Q38" si="10">SUM(E7:E37)</f>
        <v>14111049.417000011</v>
      </c>
      <c r="F38" s="187">
        <f t="shared" si="10"/>
        <v>0</v>
      </c>
      <c r="G38" s="187">
        <f t="shared" si="10"/>
        <v>1560000</v>
      </c>
      <c r="H38" s="187">
        <f t="shared" si="10"/>
        <v>1330000</v>
      </c>
      <c r="I38" s="187">
        <f t="shared" si="10"/>
        <v>2125235</v>
      </c>
      <c r="J38" s="187">
        <f t="shared" si="10"/>
        <v>19126284.417000018</v>
      </c>
      <c r="K38" s="187">
        <f t="shared" si="10"/>
        <v>0</v>
      </c>
      <c r="L38" s="187">
        <f t="shared" si="10"/>
        <v>1160000</v>
      </c>
      <c r="M38" s="187">
        <f t="shared" si="10"/>
        <v>1238762.8799999999</v>
      </c>
      <c r="N38" s="187">
        <f t="shared" si="10"/>
        <v>46087.331250000097</v>
      </c>
      <c r="O38" s="187">
        <f t="shared" si="10"/>
        <v>2843094.3699712032</v>
      </c>
      <c r="P38" s="187">
        <f t="shared" si="10"/>
        <v>935114.01333333401</v>
      </c>
      <c r="Q38" s="187">
        <f t="shared" si="10"/>
        <v>6223058.5945545379</v>
      </c>
      <c r="R38" s="187">
        <v>13461860.184497699</v>
      </c>
      <c r="S38" s="187">
        <f>SUM(S7:S37)</f>
        <v>12903225.822445465</v>
      </c>
    </row>
    <row r="39" spans="1:19" ht="18.75" customHeight="1">
      <c r="A39" s="8"/>
      <c r="B39" s="20"/>
      <c r="C39" s="2"/>
      <c r="D39" s="13"/>
      <c r="E39" s="187"/>
      <c r="F39" s="187"/>
      <c r="G39" s="186"/>
      <c r="H39" s="186"/>
      <c r="I39" s="187"/>
      <c r="J39" s="470"/>
      <c r="K39" s="187"/>
      <c r="L39" s="187"/>
      <c r="M39" s="187"/>
      <c r="N39" s="187"/>
      <c r="O39" s="187"/>
      <c r="P39" s="187"/>
      <c r="Q39" s="471"/>
      <c r="R39" s="187"/>
      <c r="S39" s="470"/>
    </row>
    <row r="40" spans="1:19" ht="18.75" customHeight="1">
      <c r="A40" s="8"/>
      <c r="B40" s="18" t="s">
        <v>97</v>
      </c>
      <c r="C40" s="2"/>
      <c r="D40" s="13"/>
      <c r="E40" s="70"/>
      <c r="F40" s="70"/>
      <c r="G40" s="186"/>
      <c r="H40" s="186"/>
      <c r="I40" s="70"/>
      <c r="J40" s="465"/>
      <c r="K40" s="70"/>
      <c r="L40" s="70"/>
      <c r="M40" s="70"/>
      <c r="N40" s="70"/>
      <c r="O40" s="70"/>
      <c r="P40" s="70"/>
      <c r="Q40" s="466"/>
      <c r="R40" s="70"/>
      <c r="S40" s="465"/>
    </row>
    <row r="41" spans="1:19" ht="18.75" customHeight="1">
      <c r="A41" s="8">
        <v>1</v>
      </c>
      <c r="B41" s="16" t="s">
        <v>98</v>
      </c>
      <c r="C41" s="2" t="s">
        <v>99</v>
      </c>
      <c r="D41" s="8" t="s">
        <v>100</v>
      </c>
      <c r="E41" s="70">
        <v>1435720</v>
      </c>
      <c r="F41" s="70"/>
      <c r="G41" s="186"/>
      <c r="H41" s="186">
        <f>100000</f>
        <v>100000</v>
      </c>
      <c r="I41" s="70"/>
      <c r="J41" s="465">
        <f>SUM(E41:I41)</f>
        <v>1535720</v>
      </c>
      <c r="K41" s="70">
        <f>'DECEMBER 2024'!F205</f>
        <v>0</v>
      </c>
      <c r="L41" s="70">
        <f>200000+200000</f>
        <v>400000</v>
      </c>
      <c r="M41" s="70">
        <v>0</v>
      </c>
      <c r="N41" s="70"/>
      <c r="O41" s="70">
        <v>251472.247466667</v>
      </c>
      <c r="P41" s="70">
        <v>114857.60000000001</v>
      </c>
      <c r="Q41" s="466">
        <f>O41+N41+M41+L41+K41+P41</f>
        <v>766329.84746666695</v>
      </c>
      <c r="R41" s="70">
        <v>769390.15253333305</v>
      </c>
      <c r="S41" s="465">
        <f>J41-Q41</f>
        <v>769390.15253333305</v>
      </c>
    </row>
    <row r="42" spans="1:19" ht="18.75" customHeight="1">
      <c r="A42" s="8">
        <v>2</v>
      </c>
      <c r="B42" s="16" t="s">
        <v>101</v>
      </c>
      <c r="C42" s="2" t="s">
        <v>102</v>
      </c>
      <c r="D42" s="8" t="s">
        <v>70</v>
      </c>
      <c r="E42" s="70">
        <v>293029.66666666698</v>
      </c>
      <c r="F42" s="70"/>
      <c r="G42" s="186"/>
      <c r="H42" s="186">
        <f>60000</f>
        <v>60000</v>
      </c>
      <c r="I42" s="70"/>
      <c r="J42" s="465">
        <f t="shared" ref="J42:J44" si="11">SUM(E42:I42)</f>
        <v>353029.66666666698</v>
      </c>
      <c r="K42" s="70"/>
      <c r="L42" s="70">
        <f>20000</f>
        <v>20000</v>
      </c>
      <c r="M42" s="70">
        <v>45833.33</v>
      </c>
      <c r="N42" s="70"/>
      <c r="O42" s="70">
        <v>42537.331946666702</v>
      </c>
      <c r="P42" s="70">
        <v>23442.3733333333</v>
      </c>
      <c r="Q42" s="466">
        <f t="shared" ref="Q42:Q44" si="12">O42+N42+M42+L42+K42+P42</f>
        <v>131813.03528000001</v>
      </c>
      <c r="R42" s="70">
        <v>221216.631386667</v>
      </c>
      <c r="S42" s="465">
        <f>J42-Q42</f>
        <v>221216.631386667</v>
      </c>
    </row>
    <row r="43" spans="1:19" ht="18.75" customHeight="1">
      <c r="A43" s="8">
        <v>3</v>
      </c>
      <c r="B43" s="9" t="s">
        <v>103</v>
      </c>
      <c r="C43" s="2" t="s">
        <v>102</v>
      </c>
      <c r="D43" s="13" t="s">
        <v>104</v>
      </c>
      <c r="E43" s="70">
        <v>300965.58333333302</v>
      </c>
      <c r="F43" s="70"/>
      <c r="G43" s="186"/>
      <c r="H43" s="186">
        <f>50000+10000</f>
        <v>60000</v>
      </c>
      <c r="I43" s="70"/>
      <c r="J43" s="465">
        <f t="shared" si="11"/>
        <v>360965.58333333302</v>
      </c>
      <c r="K43" s="70"/>
      <c r="L43" s="70">
        <f>10000</f>
        <v>10000</v>
      </c>
      <c r="M43" s="70"/>
      <c r="N43" s="70"/>
      <c r="O43" s="70">
        <v>43763.907226666699</v>
      </c>
      <c r="P43" s="70">
        <v>24077.246666666699</v>
      </c>
      <c r="Q43" s="466">
        <f t="shared" si="12"/>
        <v>77841.153893333394</v>
      </c>
      <c r="R43" s="70">
        <v>283124.42943999998</v>
      </c>
      <c r="S43" s="465">
        <f>J43-Q43</f>
        <v>283124.42943999998</v>
      </c>
    </row>
    <row r="44" spans="1:19" ht="18.75" customHeight="1">
      <c r="A44" s="8">
        <v>4</v>
      </c>
      <c r="B44" s="9" t="s">
        <v>105</v>
      </c>
      <c r="C44" s="2" t="s">
        <v>106</v>
      </c>
      <c r="D44" s="13" t="s">
        <v>83</v>
      </c>
      <c r="E44" s="627">
        <f>'[3]Annual &amp; Monthly'!$H$37</f>
        <v>255849</v>
      </c>
      <c r="F44" s="70"/>
      <c r="G44" s="186"/>
      <c r="H44" s="186">
        <v>60000</v>
      </c>
      <c r="I44" s="70"/>
      <c r="J44" s="465">
        <f t="shared" si="11"/>
        <v>315849</v>
      </c>
      <c r="K44" s="70"/>
      <c r="L44" s="635">
        <v>50000</v>
      </c>
      <c r="M44" s="635"/>
      <c r="O44" s="635">
        <f>36790.6881066667</f>
        <v>36790.688106666697</v>
      </c>
      <c r="P44" s="636">
        <f>255849*0.08</f>
        <v>20467.919999999998</v>
      </c>
      <c r="Q44" s="466">
        <f t="shared" si="12"/>
        <v>107258.608106667</v>
      </c>
      <c r="R44" s="70">
        <v>238590.391893333</v>
      </c>
      <c r="S44" s="465">
        <f>J44-Q44</f>
        <v>208590.391893333</v>
      </c>
    </row>
    <row r="45" spans="1:19" ht="19.5" customHeight="1">
      <c r="A45" s="8"/>
      <c r="B45" s="12"/>
      <c r="C45" s="19">
        <v>4</v>
      </c>
      <c r="D45" s="8"/>
      <c r="E45" s="187">
        <f>SUM(E41:E44)</f>
        <v>2285564.25</v>
      </c>
      <c r="F45" s="187">
        <f t="shared" ref="F45:S45" si="13">SUM(F41:F44)</f>
        <v>0</v>
      </c>
      <c r="G45" s="187">
        <f t="shared" si="13"/>
        <v>0</v>
      </c>
      <c r="H45" s="187">
        <f t="shared" si="13"/>
        <v>280000</v>
      </c>
      <c r="I45" s="187">
        <f t="shared" si="13"/>
        <v>0</v>
      </c>
      <c r="J45" s="187">
        <f t="shared" si="13"/>
        <v>2565564.25</v>
      </c>
      <c r="K45" s="187">
        <f t="shared" si="13"/>
        <v>0</v>
      </c>
      <c r="L45" s="187">
        <f t="shared" si="13"/>
        <v>480000</v>
      </c>
      <c r="M45" s="187">
        <f t="shared" si="13"/>
        <v>45833.33</v>
      </c>
      <c r="N45" s="187">
        <f t="shared" si="13"/>
        <v>0</v>
      </c>
      <c r="O45" s="187">
        <f t="shared" si="13"/>
        <v>374564.17474666698</v>
      </c>
      <c r="P45" s="187">
        <f t="shared" si="13"/>
        <v>182845.14</v>
      </c>
      <c r="Q45" s="187">
        <f t="shared" si="13"/>
        <v>1083242.64474667</v>
      </c>
      <c r="R45" s="187">
        <v>1512321.60525333</v>
      </c>
      <c r="S45" s="187">
        <f t="shared" si="13"/>
        <v>1482321.605253333</v>
      </c>
    </row>
    <row r="46" spans="1:19" ht="20.100000000000001" customHeight="1">
      <c r="A46" s="8"/>
      <c r="B46" s="12"/>
      <c r="C46" s="2"/>
      <c r="D46" s="8"/>
      <c r="E46" s="187"/>
      <c r="F46" s="187"/>
      <c r="G46" s="186"/>
      <c r="H46" s="186"/>
      <c r="I46" s="187"/>
      <c r="J46" s="470"/>
      <c r="K46" s="187"/>
      <c r="L46" s="187"/>
      <c r="M46" s="187"/>
      <c r="N46" s="187"/>
      <c r="O46" s="187"/>
      <c r="P46" s="187"/>
      <c r="Q46" s="466"/>
      <c r="R46" s="70"/>
      <c r="S46" s="465"/>
    </row>
    <row r="47" spans="1:19" ht="20.100000000000001" customHeight="1">
      <c r="A47" s="8"/>
      <c r="B47" s="21" t="s">
        <v>107</v>
      </c>
      <c r="C47" s="3"/>
      <c r="D47" s="22"/>
      <c r="E47" s="187"/>
      <c r="F47" s="187"/>
      <c r="G47" s="186"/>
      <c r="H47" s="186"/>
      <c r="I47" s="70"/>
      <c r="J47" s="465"/>
      <c r="K47" s="70"/>
      <c r="L47" s="70"/>
      <c r="M47" s="70"/>
      <c r="N47" s="70"/>
      <c r="O47" s="70"/>
      <c r="P47" s="70"/>
      <c r="Q47" s="466"/>
      <c r="R47" s="70"/>
      <c r="S47" s="465"/>
    </row>
    <row r="48" spans="1:19" ht="20.100000000000001" customHeight="1">
      <c r="A48" s="8">
        <v>1</v>
      </c>
      <c r="B48" s="9" t="s">
        <v>108</v>
      </c>
      <c r="C48" s="2" t="s">
        <v>109</v>
      </c>
      <c r="D48" s="8" t="s">
        <v>100</v>
      </c>
      <c r="E48" s="70">
        <v>1435720</v>
      </c>
      <c r="F48" s="70"/>
      <c r="G48" s="186">
        <f>200000</f>
        <v>200000</v>
      </c>
      <c r="H48" s="186"/>
      <c r="I48" s="70"/>
      <c r="J48" s="465">
        <f>SUM(E48:I48)</f>
        <v>1635720</v>
      </c>
      <c r="K48" s="70"/>
      <c r="L48" s="70">
        <f>400000</f>
        <v>400000</v>
      </c>
      <c r="M48" s="70">
        <v>0</v>
      </c>
      <c r="N48" s="70"/>
      <c r="O48" s="70">
        <v>270672.24746666697</v>
      </c>
      <c r="P48" s="70">
        <v>114857.60000000001</v>
      </c>
      <c r="Q48" s="466">
        <f>O48+N48+M48+L48+K48+P48</f>
        <v>785529.84746666695</v>
      </c>
      <c r="R48" s="70">
        <v>850190.15253333305</v>
      </c>
      <c r="S48" s="465">
        <f>J48-Q48</f>
        <v>850190.15253333305</v>
      </c>
    </row>
    <row r="49" spans="1:19" ht="20.100000000000001" customHeight="1">
      <c r="A49" s="8">
        <v>2</v>
      </c>
      <c r="B49" s="9" t="s">
        <v>110</v>
      </c>
      <c r="C49" s="2" t="s">
        <v>111</v>
      </c>
      <c r="D49" s="8" t="s">
        <v>112</v>
      </c>
      <c r="E49" s="70">
        <v>739203.58333333302</v>
      </c>
      <c r="F49" s="70"/>
      <c r="G49" s="186">
        <f>180000</f>
        <v>180000</v>
      </c>
      <c r="H49" s="186"/>
      <c r="I49" s="70"/>
      <c r="J49" s="465">
        <f t="shared" ref="J49:J56" si="14">SUM(E49:I49)</f>
        <v>919203.58333333302</v>
      </c>
      <c r="K49" s="70"/>
      <c r="L49" s="70">
        <f>80000+23000</f>
        <v>103000</v>
      </c>
      <c r="M49" s="70">
        <f>246905.96</f>
        <v>246905.96</v>
      </c>
      <c r="N49" s="70"/>
      <c r="O49" s="70">
        <v>143799.58762666699</v>
      </c>
      <c r="P49" s="70">
        <v>59136.286666666703</v>
      </c>
      <c r="Q49" s="466">
        <f t="shared" ref="Q49:Q56" si="15">O49+N49+M49+L49+K49+P49</f>
        <v>552841.83429333405</v>
      </c>
      <c r="R49" s="70">
        <v>366361.74903999898</v>
      </c>
      <c r="S49" s="465">
        <f t="shared" ref="S49:S56" si="16">J49-Q49</f>
        <v>366361.74903999898</v>
      </c>
    </row>
    <row r="50" spans="1:19" ht="20.100000000000001" customHeight="1">
      <c r="A50" s="8">
        <v>3</v>
      </c>
      <c r="B50" s="9" t="s">
        <v>113</v>
      </c>
      <c r="C50" s="2" t="s">
        <v>114</v>
      </c>
      <c r="D50" s="8" t="s">
        <v>36</v>
      </c>
      <c r="E50" s="70">
        <v>620675.58333333302</v>
      </c>
      <c r="F50" s="70"/>
      <c r="G50" s="186">
        <f>160000</f>
        <v>160000</v>
      </c>
      <c r="H50" s="186"/>
      <c r="I50" s="70"/>
      <c r="J50" s="465">
        <f t="shared" si="14"/>
        <v>780675.58333333302</v>
      </c>
      <c r="K50" s="70"/>
      <c r="L50" s="70">
        <f>30000</f>
        <v>30000</v>
      </c>
      <c r="M50" s="70">
        <v>223059.88</v>
      </c>
      <c r="N50" s="70"/>
      <c r="O50" s="70">
        <v>119022.801706667</v>
      </c>
      <c r="P50" s="70">
        <v>49654.046666666698</v>
      </c>
      <c r="Q50" s="466">
        <f t="shared" si="15"/>
        <v>421736.72837333399</v>
      </c>
      <c r="R50" s="70">
        <v>358938.85495999898</v>
      </c>
      <c r="S50" s="465">
        <f t="shared" si="16"/>
        <v>358938.85495999898</v>
      </c>
    </row>
    <row r="51" spans="1:19" ht="20.100000000000001" customHeight="1">
      <c r="A51" s="8">
        <v>4</v>
      </c>
      <c r="B51" s="9" t="s">
        <v>115</v>
      </c>
      <c r="C51" s="2" t="s">
        <v>114</v>
      </c>
      <c r="D51" s="8" t="s">
        <v>36</v>
      </c>
      <c r="E51" s="70">
        <v>620675.58333333302</v>
      </c>
      <c r="F51" s="70"/>
      <c r="G51" s="186">
        <f>140000+20000</f>
        <v>160000</v>
      </c>
      <c r="H51" s="186"/>
      <c r="I51" s="70">
        <v>0</v>
      </c>
      <c r="J51" s="465">
        <f t="shared" si="14"/>
        <v>780675.58333333302</v>
      </c>
      <c r="K51" s="70"/>
      <c r="L51" s="70"/>
      <c r="M51" s="70"/>
      <c r="N51" s="70">
        <f>'New NHF Deduction'!G48</f>
        <v>8380.2270833333332</v>
      </c>
      <c r="O51" s="70">
        <v>118861.965706667</v>
      </c>
      <c r="P51" s="70">
        <v>49654.046666666698</v>
      </c>
      <c r="Q51" s="466">
        <f t="shared" si="15"/>
        <v>176896.23945666704</v>
      </c>
      <c r="R51" s="70">
        <v>603779.34387666604</v>
      </c>
      <c r="S51" s="465">
        <f t="shared" si="16"/>
        <v>603779.34387666592</v>
      </c>
    </row>
    <row r="52" spans="1:19" ht="20.100000000000001" customHeight="1">
      <c r="A52" s="8">
        <v>5</v>
      </c>
      <c r="B52" s="9" t="s">
        <v>116</v>
      </c>
      <c r="C52" s="2" t="s">
        <v>114</v>
      </c>
      <c r="D52" s="8" t="s">
        <v>39</v>
      </c>
      <c r="E52" s="70">
        <v>582118.08333333302</v>
      </c>
      <c r="F52" s="70"/>
      <c r="G52" s="186">
        <f>140000+20000</f>
        <v>160000</v>
      </c>
      <c r="H52" s="186"/>
      <c r="I52" s="70"/>
      <c r="J52" s="465">
        <f t="shared" si="14"/>
        <v>742118.08333333302</v>
      </c>
      <c r="K52" s="70"/>
      <c r="L52" s="70">
        <f>15000</f>
        <v>15000</v>
      </c>
      <c r="M52" s="70">
        <v>99000</v>
      </c>
      <c r="N52" s="70"/>
      <c r="O52" s="70">
        <v>112212.004906667</v>
      </c>
      <c r="P52" s="70">
        <v>46569.446666666699</v>
      </c>
      <c r="Q52" s="466">
        <f t="shared" si="15"/>
        <v>272781.45157333399</v>
      </c>
      <c r="R52" s="70">
        <v>469336.63175999903</v>
      </c>
      <c r="S52" s="465">
        <f t="shared" si="16"/>
        <v>469336.63175999903</v>
      </c>
    </row>
    <row r="53" spans="1:19" ht="20.100000000000001" customHeight="1">
      <c r="A53" s="8">
        <v>6</v>
      </c>
      <c r="B53" s="12" t="s">
        <v>117</v>
      </c>
      <c r="C53" s="2" t="s">
        <v>114</v>
      </c>
      <c r="D53" s="8" t="s">
        <v>39</v>
      </c>
      <c r="E53" s="70">
        <v>582118.08333333302</v>
      </c>
      <c r="F53" s="70"/>
      <c r="G53" s="186">
        <f>160000</f>
        <v>160000</v>
      </c>
      <c r="H53" s="186"/>
      <c r="I53" s="70"/>
      <c r="J53" s="465">
        <f t="shared" si="14"/>
        <v>742118.08333333302</v>
      </c>
      <c r="K53" s="70"/>
      <c r="L53" s="70"/>
      <c r="M53" s="70"/>
      <c r="N53" s="70">
        <v>0</v>
      </c>
      <c r="O53" s="70">
        <v>112211.988957867</v>
      </c>
      <c r="P53" s="70">
        <f>46569.45</f>
        <v>46569.45</v>
      </c>
      <c r="Q53" s="466">
        <f t="shared" si="15"/>
        <v>158781.43895786701</v>
      </c>
      <c r="R53" s="70">
        <v>932517.164704</v>
      </c>
      <c r="S53" s="465">
        <f t="shared" si="16"/>
        <v>583336.64437546604</v>
      </c>
    </row>
    <row r="54" spans="1:19" ht="20.100000000000001" customHeight="1">
      <c r="A54" s="8">
        <v>7</v>
      </c>
      <c r="B54" s="9" t="s">
        <v>118</v>
      </c>
      <c r="C54" s="2" t="s">
        <v>119</v>
      </c>
      <c r="D54" s="8" t="s">
        <v>104</v>
      </c>
      <c r="E54" s="70">
        <v>300965.58333333302</v>
      </c>
      <c r="F54" s="70"/>
      <c r="G54" s="186">
        <v>100000</v>
      </c>
      <c r="H54" s="186"/>
      <c r="I54" s="70"/>
      <c r="J54" s="465">
        <f t="shared" si="14"/>
        <v>400965.58333333302</v>
      </c>
      <c r="K54" s="70"/>
      <c r="L54" s="70"/>
      <c r="M54" s="70"/>
      <c r="N54" s="70"/>
      <c r="O54" s="70">
        <v>51029.227306666697</v>
      </c>
      <c r="P54" s="70">
        <v>24077.246666666699</v>
      </c>
      <c r="Q54" s="466">
        <f t="shared" si="15"/>
        <v>75106.473973333399</v>
      </c>
      <c r="R54" s="70">
        <v>325859.10936</v>
      </c>
      <c r="S54" s="465">
        <f t="shared" si="16"/>
        <v>325859.10936</v>
      </c>
    </row>
    <row r="55" spans="1:19" ht="20.100000000000001" customHeight="1">
      <c r="A55" s="8">
        <v>8</v>
      </c>
      <c r="B55" s="9" t="s">
        <v>120</v>
      </c>
      <c r="C55" s="2" t="s">
        <v>119</v>
      </c>
      <c r="D55" s="8" t="s">
        <v>80</v>
      </c>
      <c r="E55" s="70">
        <v>263165.33333333302</v>
      </c>
      <c r="F55" s="70"/>
      <c r="G55" s="186">
        <f>100000</f>
        <v>100000</v>
      </c>
      <c r="H55" s="186"/>
      <c r="I55" s="70"/>
      <c r="J55" s="465">
        <f t="shared" si="14"/>
        <v>363165.33333333302</v>
      </c>
      <c r="K55" s="70"/>
      <c r="L55" s="70"/>
      <c r="M55" s="70"/>
      <c r="N55" s="70"/>
      <c r="O55" s="70">
        <v>44641.500586666698</v>
      </c>
      <c r="P55" s="70">
        <v>21053.226666666698</v>
      </c>
      <c r="Q55" s="466">
        <f t="shared" si="15"/>
        <v>65694.727253333403</v>
      </c>
      <c r="R55" s="70">
        <v>297470.60608</v>
      </c>
      <c r="S55" s="465">
        <f t="shared" si="16"/>
        <v>297470.60608</v>
      </c>
    </row>
    <row r="56" spans="1:19" ht="20.100000000000001" customHeight="1">
      <c r="A56" s="8">
        <v>9</v>
      </c>
      <c r="B56" s="9" t="s">
        <v>121</v>
      </c>
      <c r="C56" s="2" t="s">
        <v>119</v>
      </c>
      <c r="D56" s="8" t="s">
        <v>80</v>
      </c>
      <c r="E56" s="70">
        <v>263165.33333333302</v>
      </c>
      <c r="F56" s="70"/>
      <c r="G56" s="186">
        <f>100000</f>
        <v>100000</v>
      </c>
      <c r="H56" s="186"/>
      <c r="I56" s="70"/>
      <c r="J56" s="465">
        <f t="shared" si="14"/>
        <v>363165.33333333302</v>
      </c>
      <c r="K56" s="70"/>
      <c r="L56" s="70"/>
      <c r="M56" s="70"/>
      <c r="N56" s="70"/>
      <c r="O56" s="70">
        <v>44641.500586666698</v>
      </c>
      <c r="P56" s="70">
        <v>21053.226666666698</v>
      </c>
      <c r="Q56" s="466">
        <f t="shared" si="15"/>
        <v>65694.727253333403</v>
      </c>
      <c r="R56" s="70">
        <v>297470.60608</v>
      </c>
      <c r="S56" s="465">
        <f t="shared" si="16"/>
        <v>297470.60608</v>
      </c>
    </row>
    <row r="57" spans="1:19" ht="25.5" customHeight="1">
      <c r="A57" s="8"/>
      <c r="B57" s="18" t="s">
        <v>96</v>
      </c>
      <c r="C57" s="19">
        <v>9</v>
      </c>
      <c r="D57" s="19"/>
      <c r="E57" s="78">
        <f t="shared" ref="E57:Q57" si="17">SUM(E48:E56)</f>
        <v>5407807.1666666605</v>
      </c>
      <c r="F57" s="78">
        <f t="shared" si="17"/>
        <v>0</v>
      </c>
      <c r="G57" s="78">
        <f t="shared" si="17"/>
        <v>1320000</v>
      </c>
      <c r="H57" s="78">
        <f t="shared" si="17"/>
        <v>0</v>
      </c>
      <c r="I57" s="78">
        <f t="shared" si="17"/>
        <v>0</v>
      </c>
      <c r="J57" s="78">
        <f t="shared" si="17"/>
        <v>6727807.1666666605</v>
      </c>
      <c r="K57" s="78">
        <f t="shared" si="17"/>
        <v>0</v>
      </c>
      <c r="L57" s="78">
        <f t="shared" si="17"/>
        <v>548000</v>
      </c>
      <c r="M57" s="78">
        <f t="shared" si="17"/>
        <v>568965.84</v>
      </c>
      <c r="N57" s="78">
        <f t="shared" si="17"/>
        <v>8380.2270833333332</v>
      </c>
      <c r="O57" s="78">
        <f t="shared" si="17"/>
        <v>1017092.8248512</v>
      </c>
      <c r="P57" s="78">
        <f t="shared" si="17"/>
        <v>432624.57666666701</v>
      </c>
      <c r="Q57" s="78">
        <f t="shared" si="17"/>
        <v>2575063.4686012031</v>
      </c>
      <c r="R57" s="78">
        <v>4501924.2183940001</v>
      </c>
      <c r="S57" s="78">
        <f>SUM(S48:S56)</f>
        <v>4152743.6980654616</v>
      </c>
    </row>
    <row r="58" spans="1:19" ht="20.100000000000001" customHeight="1">
      <c r="A58" s="8"/>
      <c r="B58" s="20"/>
      <c r="C58" s="19"/>
      <c r="D58" s="19"/>
      <c r="E58" s="122"/>
      <c r="F58" s="122"/>
      <c r="G58" s="186"/>
      <c r="H58" s="186"/>
      <c r="I58" s="122"/>
      <c r="J58" s="472"/>
      <c r="K58" s="122"/>
      <c r="L58" s="122"/>
      <c r="M58" s="122"/>
      <c r="N58" s="122"/>
      <c r="O58" s="122"/>
      <c r="P58" s="122"/>
      <c r="Q58" s="473"/>
      <c r="R58" s="122"/>
      <c r="S58" s="472"/>
    </row>
    <row r="59" spans="1:19" ht="20.100000000000001" customHeight="1">
      <c r="A59" s="8"/>
      <c r="B59" s="18" t="s">
        <v>122</v>
      </c>
      <c r="C59" s="19"/>
      <c r="D59" s="19"/>
      <c r="E59" s="122"/>
      <c r="F59" s="122"/>
      <c r="G59" s="186"/>
      <c r="H59" s="186"/>
      <c r="I59" s="122"/>
      <c r="J59" s="472"/>
      <c r="K59" s="122"/>
      <c r="L59" s="122"/>
      <c r="M59" s="122"/>
      <c r="N59" s="122"/>
      <c r="O59" s="122"/>
      <c r="P59" s="122"/>
      <c r="Q59" s="473"/>
      <c r="R59" s="122"/>
      <c r="S59" s="472"/>
    </row>
    <row r="60" spans="1:19" ht="20.100000000000001" customHeight="1">
      <c r="A60" s="8">
        <v>1</v>
      </c>
      <c r="B60" s="9" t="s">
        <v>123</v>
      </c>
      <c r="C60" s="10" t="s">
        <v>124</v>
      </c>
      <c r="D60" s="13" t="s">
        <v>100</v>
      </c>
      <c r="E60" s="70">
        <v>1435720</v>
      </c>
      <c r="F60" s="70"/>
      <c r="G60" s="186">
        <f>200000</f>
        <v>200000</v>
      </c>
      <c r="H60" s="186"/>
      <c r="I60" s="70">
        <v>0</v>
      </c>
      <c r="J60" s="465">
        <f>SUM(E60:I60)</f>
        <v>1635720</v>
      </c>
      <c r="K60" s="70"/>
      <c r="L60" s="70">
        <v>120000</v>
      </c>
      <c r="M60" s="70"/>
      <c r="N60" s="70">
        <v>0</v>
      </c>
      <c r="O60" s="627">
        <v>270672.24746666697</v>
      </c>
      <c r="P60" s="627">
        <v>114857.60000000001</v>
      </c>
      <c r="Q60" s="466">
        <f>O60+N60+M60+L60+K60+P60</f>
        <v>505529.84746666701</v>
      </c>
      <c r="R60" s="70">
        <v>1130190.15253333</v>
      </c>
      <c r="S60" s="465">
        <f>J60-Q60</f>
        <v>1130190.15253333</v>
      </c>
    </row>
    <row r="61" spans="1:19" ht="20.100000000000001" customHeight="1">
      <c r="A61" s="8">
        <v>2</v>
      </c>
      <c r="B61" s="9" t="s">
        <v>125</v>
      </c>
      <c r="C61" s="10" t="s">
        <v>126</v>
      </c>
      <c r="D61" s="13" t="s">
        <v>127</v>
      </c>
      <c r="E61" s="70">
        <v>620675.58333333302</v>
      </c>
      <c r="F61" s="70"/>
      <c r="G61" s="186"/>
      <c r="H61" s="186">
        <v>80000</v>
      </c>
      <c r="I61" s="70"/>
      <c r="J61" s="465">
        <f>SUM(E61:I61)</f>
        <v>700675.58333333302</v>
      </c>
      <c r="K61" s="70"/>
      <c r="L61" s="70">
        <v>50000</v>
      </c>
      <c r="M61" s="70">
        <v>145000</v>
      </c>
      <c r="N61" s="70">
        <v>0</v>
      </c>
      <c r="O61" s="627">
        <v>103662.801706667</v>
      </c>
      <c r="P61" s="627">
        <v>49654.046666666698</v>
      </c>
      <c r="Q61" s="466">
        <f>O61+N61+M61+L61+K61+P61</f>
        <v>348316.84837333299</v>
      </c>
      <c r="R61" s="70">
        <v>352358.73495999997</v>
      </c>
      <c r="S61" s="465">
        <f>J61-Q61</f>
        <v>352358.73495999997</v>
      </c>
    </row>
    <row r="62" spans="1:19" ht="20.100000000000001" customHeight="1">
      <c r="A62" s="8"/>
      <c r="B62" s="18" t="s">
        <v>96</v>
      </c>
      <c r="C62" s="19">
        <v>2</v>
      </c>
      <c r="D62" s="19"/>
      <c r="E62" s="78">
        <f>SUM(E60:E61)</f>
        <v>2056395.58333333</v>
      </c>
      <c r="F62" s="78">
        <f t="shared" ref="F62:S62" si="18">SUM(F60:F61)</f>
        <v>0</v>
      </c>
      <c r="G62" s="78">
        <f t="shared" si="18"/>
        <v>200000</v>
      </c>
      <c r="H62" s="78">
        <f t="shared" si="18"/>
        <v>80000</v>
      </c>
      <c r="I62" s="78">
        <f t="shared" si="18"/>
        <v>0</v>
      </c>
      <c r="J62" s="78">
        <f t="shared" si="18"/>
        <v>2336395.5833333302</v>
      </c>
      <c r="K62" s="78">
        <f t="shared" si="18"/>
        <v>0</v>
      </c>
      <c r="L62" s="78">
        <f t="shared" si="18"/>
        <v>170000</v>
      </c>
      <c r="M62" s="78">
        <f t="shared" si="18"/>
        <v>145000</v>
      </c>
      <c r="N62" s="78">
        <f t="shared" si="18"/>
        <v>0</v>
      </c>
      <c r="O62" s="78">
        <f t="shared" si="18"/>
        <v>374335.04917333397</v>
      </c>
      <c r="P62" s="78">
        <f t="shared" si="18"/>
        <v>164511.64666666699</v>
      </c>
      <c r="Q62" s="78">
        <f t="shared" si="18"/>
        <v>853846.69583999994</v>
      </c>
      <c r="R62" s="78">
        <v>1482548.8874933301</v>
      </c>
      <c r="S62" s="78">
        <f t="shared" si="18"/>
        <v>1482548.8874933301</v>
      </c>
    </row>
    <row r="63" spans="1:19" ht="20.100000000000001" customHeight="1">
      <c r="A63" s="8"/>
      <c r="B63" s="18"/>
      <c r="C63" s="19"/>
      <c r="D63" s="19"/>
      <c r="E63" s="122"/>
      <c r="F63" s="122"/>
      <c r="G63" s="186"/>
      <c r="H63" s="186"/>
      <c r="I63" s="122"/>
      <c r="J63" s="472"/>
      <c r="K63" s="122"/>
      <c r="L63" s="122"/>
      <c r="M63" s="122"/>
      <c r="N63" s="122"/>
      <c r="O63" s="122"/>
      <c r="P63" s="122"/>
      <c r="Q63" s="473"/>
      <c r="R63" s="122"/>
      <c r="S63" s="472"/>
    </row>
    <row r="64" spans="1:19" ht="20.100000000000001" customHeight="1">
      <c r="A64" s="8"/>
      <c r="B64" s="18" t="s">
        <v>128</v>
      </c>
      <c r="C64" s="19"/>
      <c r="D64" s="19"/>
      <c r="E64" s="122"/>
      <c r="F64" s="122"/>
      <c r="G64" s="186"/>
      <c r="H64" s="186"/>
      <c r="I64" s="122"/>
      <c r="J64" s="472"/>
      <c r="K64" s="122"/>
      <c r="L64" s="122"/>
      <c r="M64" s="122"/>
      <c r="N64" s="122"/>
      <c r="O64" s="122"/>
      <c r="P64" s="122"/>
      <c r="Q64" s="473"/>
      <c r="R64" s="122"/>
      <c r="S64" s="472"/>
    </row>
    <row r="65" spans="1:19" ht="20.100000000000001" customHeight="1">
      <c r="A65" s="8">
        <v>1</v>
      </c>
      <c r="B65" s="9" t="s">
        <v>129</v>
      </c>
      <c r="C65" s="15" t="s">
        <v>130</v>
      </c>
      <c r="D65" s="8" t="s">
        <v>100</v>
      </c>
      <c r="E65" s="70">
        <v>1435720</v>
      </c>
      <c r="F65" s="70"/>
      <c r="G65" s="186">
        <f>200000</f>
        <v>200000</v>
      </c>
      <c r="H65" s="186"/>
      <c r="I65" s="70">
        <v>0</v>
      </c>
      <c r="J65" s="465">
        <f t="shared" ref="J65:J72" si="19">SUM(E65:I65)</f>
        <v>1635720</v>
      </c>
      <c r="K65" s="70"/>
      <c r="L65" s="70">
        <v>100000</v>
      </c>
      <c r="M65" s="70">
        <v>800000</v>
      </c>
      <c r="N65" s="70"/>
      <c r="O65" s="70">
        <v>292724.90666666703</v>
      </c>
      <c r="P65" s="70"/>
      <c r="Q65" s="466">
        <f t="shared" ref="Q65:Q72" si="20">O65+N65+M65+L65+K65+P65</f>
        <v>1192724.90666667</v>
      </c>
      <c r="R65" s="70">
        <v>442995.09333333001</v>
      </c>
      <c r="S65" s="465">
        <f t="shared" ref="S65:S72" si="21">J65-Q65</f>
        <v>442995.09333333001</v>
      </c>
    </row>
    <row r="66" spans="1:19" ht="20.100000000000001" customHeight="1">
      <c r="A66" s="8">
        <v>2</v>
      </c>
      <c r="B66" s="312" t="s">
        <v>131</v>
      </c>
      <c r="C66" s="15" t="s">
        <v>132</v>
      </c>
      <c r="D66" s="13" t="s">
        <v>133</v>
      </c>
      <c r="E66" s="70">
        <v>601396.83333333302</v>
      </c>
      <c r="F66" s="70"/>
      <c r="G66" s="186">
        <f>160000</f>
        <v>160000</v>
      </c>
      <c r="H66" s="186"/>
      <c r="I66" s="122">
        <v>0</v>
      </c>
      <c r="J66" s="465">
        <f t="shared" si="19"/>
        <v>761396.83333333302</v>
      </c>
      <c r="K66" s="70"/>
      <c r="L66" s="70">
        <f>100000</f>
        <v>100000</v>
      </c>
      <c r="M66" s="70">
        <f>230527.74</f>
        <v>230527.74</v>
      </c>
      <c r="N66" s="70"/>
      <c r="O66" s="70">
        <v>115617.40330666699</v>
      </c>
      <c r="P66" s="70">
        <v>48111.746666666702</v>
      </c>
      <c r="Q66" s="466">
        <f t="shared" si="20"/>
        <v>494256.88997333398</v>
      </c>
      <c r="R66" s="70">
        <v>267139.94335999899</v>
      </c>
      <c r="S66" s="465">
        <f t="shared" si="21"/>
        <v>267139.94335999899</v>
      </c>
    </row>
    <row r="67" spans="1:19" ht="20.100000000000001" customHeight="1">
      <c r="A67" s="8">
        <v>3</v>
      </c>
      <c r="B67" s="9" t="s">
        <v>134</v>
      </c>
      <c r="C67" s="2" t="s">
        <v>135</v>
      </c>
      <c r="D67" s="8" t="s">
        <v>47</v>
      </c>
      <c r="E67" s="70">
        <v>442746.5</v>
      </c>
      <c r="F67" s="70"/>
      <c r="G67" s="186">
        <v>140000</v>
      </c>
      <c r="H67" s="186"/>
      <c r="I67" s="70"/>
      <c r="J67" s="465">
        <f t="shared" si="19"/>
        <v>582746.5</v>
      </c>
      <c r="K67" s="70"/>
      <c r="L67" s="70">
        <f>110000+90000</f>
        <v>200000</v>
      </c>
      <c r="M67" s="70"/>
      <c r="N67" s="70"/>
      <c r="O67" s="70">
        <v>83753.408426666603</v>
      </c>
      <c r="P67" s="70">
        <v>35419.72</v>
      </c>
      <c r="Q67" s="466">
        <f t="shared" si="20"/>
        <v>319173.12842666701</v>
      </c>
      <c r="R67" s="70">
        <v>263573.37157333299</v>
      </c>
      <c r="S67" s="465">
        <f t="shared" si="21"/>
        <v>263573.37157333299</v>
      </c>
    </row>
    <row r="68" spans="1:19" ht="20.100000000000001" customHeight="1">
      <c r="A68" s="8">
        <v>4</v>
      </c>
      <c r="B68" s="9" t="s">
        <v>136</v>
      </c>
      <c r="C68" s="2" t="s">
        <v>119</v>
      </c>
      <c r="D68" s="8" t="s">
        <v>137</v>
      </c>
      <c r="E68" s="70">
        <v>365703.83333333302</v>
      </c>
      <c r="F68" s="70"/>
      <c r="G68" s="186">
        <f>110000</f>
        <v>110000</v>
      </c>
      <c r="H68" s="186"/>
      <c r="I68" s="70">
        <v>0</v>
      </c>
      <c r="J68" s="465">
        <f t="shared" si="19"/>
        <v>475703.83333333302</v>
      </c>
      <c r="K68" s="70"/>
      <c r="L68" s="70">
        <v>10000</v>
      </c>
      <c r="M68" s="70">
        <f>163196.67</f>
        <v>163196.67000000001</v>
      </c>
      <c r="N68" s="70"/>
      <c r="O68" s="70">
        <v>64384.591786666701</v>
      </c>
      <c r="P68" s="70">
        <v>29256.3066666667</v>
      </c>
      <c r="Q68" s="466">
        <f t="shared" si="20"/>
        <v>266837.56845333299</v>
      </c>
      <c r="R68" s="70">
        <v>208866.26488</v>
      </c>
      <c r="S68" s="465">
        <f t="shared" si="21"/>
        <v>208866.26488</v>
      </c>
    </row>
    <row r="69" spans="1:19" ht="20.100000000000001" customHeight="1">
      <c r="A69" s="8">
        <v>5</v>
      </c>
      <c r="B69" s="9" t="s">
        <v>138</v>
      </c>
      <c r="C69" s="15" t="s">
        <v>67</v>
      </c>
      <c r="D69" s="8" t="s">
        <v>137</v>
      </c>
      <c r="E69" s="70">
        <v>365703.83333333302</v>
      </c>
      <c r="F69" s="70"/>
      <c r="G69" s="186">
        <f t="shared" ref="G69:G71" si="22">110000</f>
        <v>110000</v>
      </c>
      <c r="H69" s="186"/>
      <c r="I69" s="70">
        <v>0</v>
      </c>
      <c r="J69" s="465">
        <f t="shared" si="19"/>
        <v>475703.83333333302</v>
      </c>
      <c r="K69" s="70"/>
      <c r="L69" s="70">
        <f>52000-2000</f>
        <v>50000</v>
      </c>
      <c r="M69" s="70"/>
      <c r="N69" s="70"/>
      <c r="O69" s="70">
        <v>64384.591786666701</v>
      </c>
      <c r="P69" s="70">
        <v>29256.3066666667</v>
      </c>
      <c r="Q69" s="466">
        <f t="shared" si="20"/>
        <v>143640.89845333301</v>
      </c>
      <c r="R69" s="70">
        <v>332062.93488000002</v>
      </c>
      <c r="S69" s="465">
        <f t="shared" si="21"/>
        <v>332062.93488000002</v>
      </c>
    </row>
    <row r="70" spans="1:19" ht="20.100000000000001" customHeight="1">
      <c r="A70" s="8">
        <v>6</v>
      </c>
      <c r="B70" s="9" t="s">
        <v>139</v>
      </c>
      <c r="C70" s="15" t="s">
        <v>67</v>
      </c>
      <c r="D70" s="8" t="s">
        <v>137</v>
      </c>
      <c r="E70" s="70">
        <v>365703.83333333302</v>
      </c>
      <c r="F70" s="70"/>
      <c r="G70" s="186">
        <f t="shared" si="22"/>
        <v>110000</v>
      </c>
      <c r="H70" s="186"/>
      <c r="I70" s="70">
        <v>0</v>
      </c>
      <c r="J70" s="465">
        <f t="shared" si="19"/>
        <v>475703.83333333302</v>
      </c>
      <c r="K70" s="70"/>
      <c r="L70" s="70">
        <f>67000-2000</f>
        <v>65000</v>
      </c>
      <c r="M70" s="70"/>
      <c r="N70" s="70"/>
      <c r="O70" s="70">
        <v>64384.591786666701</v>
      </c>
      <c r="P70" s="70">
        <v>29256.3066666667</v>
      </c>
      <c r="Q70" s="466">
        <f t="shared" si="20"/>
        <v>158640.89845333301</v>
      </c>
      <c r="R70" s="70">
        <v>317062.93488000002</v>
      </c>
      <c r="S70" s="465">
        <f t="shared" si="21"/>
        <v>317062.93488000002</v>
      </c>
    </row>
    <row r="71" spans="1:19" ht="20.100000000000001" customHeight="1">
      <c r="A71" s="8">
        <v>7</v>
      </c>
      <c r="B71" s="9" t="s">
        <v>140</v>
      </c>
      <c r="C71" s="2" t="s">
        <v>141</v>
      </c>
      <c r="D71" s="8" t="s">
        <v>62</v>
      </c>
      <c r="E71" s="416">
        <v>377895.16666666698</v>
      </c>
      <c r="F71" s="70"/>
      <c r="G71" s="186">
        <f t="shared" si="22"/>
        <v>110000</v>
      </c>
      <c r="H71" s="186"/>
      <c r="I71" s="70"/>
      <c r="J71" s="465">
        <f t="shared" si="19"/>
        <v>487895.16666666698</v>
      </c>
      <c r="K71" s="70"/>
      <c r="L71" s="70">
        <f>80000+20000</f>
        <v>100000</v>
      </c>
      <c r="M71" s="70"/>
      <c r="N71" s="70"/>
      <c r="O71" s="70">
        <v>66538.068906666696</v>
      </c>
      <c r="P71" s="70">
        <v>30231.613333333298</v>
      </c>
      <c r="Q71" s="466">
        <f t="shared" si="20"/>
        <v>196769.68223999999</v>
      </c>
      <c r="R71" s="70">
        <v>291125.48442666698</v>
      </c>
      <c r="S71" s="465">
        <f t="shared" si="21"/>
        <v>291125.48442666698</v>
      </c>
    </row>
    <row r="72" spans="1:19" ht="21.6" customHeight="1">
      <c r="A72" s="8">
        <v>8</v>
      </c>
      <c r="B72" s="9" t="s">
        <v>142</v>
      </c>
      <c r="C72" s="2" t="s">
        <v>119</v>
      </c>
      <c r="D72" s="8" t="s">
        <v>104</v>
      </c>
      <c r="E72" s="186">
        <v>300965.58333333302</v>
      </c>
      <c r="F72" s="70"/>
      <c r="G72" s="186">
        <v>100000</v>
      </c>
      <c r="H72" s="186"/>
      <c r="I72" s="70"/>
      <c r="J72" s="465">
        <f t="shared" si="19"/>
        <v>400965.58333333302</v>
      </c>
      <c r="K72" s="2"/>
      <c r="L72" s="2"/>
      <c r="M72" s="2"/>
      <c r="N72" s="2"/>
      <c r="O72" s="70">
        <v>51029.227306666697</v>
      </c>
      <c r="P72" s="70">
        <v>24077.246666666699</v>
      </c>
      <c r="Q72" s="466">
        <f t="shared" si="20"/>
        <v>75106.473973333399</v>
      </c>
      <c r="R72" s="769">
        <v>325859.10936</v>
      </c>
      <c r="S72" s="770">
        <f t="shared" si="21"/>
        <v>325859.10936</v>
      </c>
    </row>
    <row r="73" spans="1:19" ht="27" customHeight="1">
      <c r="A73" s="8"/>
      <c r="B73" s="18" t="s">
        <v>96</v>
      </c>
      <c r="C73" s="19">
        <v>8</v>
      </c>
      <c r="D73" s="19"/>
      <c r="E73" s="78">
        <f t="shared" ref="E73:Q73" si="23">SUM(E65:E72)</f>
        <v>4255835.5833333302</v>
      </c>
      <c r="F73" s="78">
        <f t="shared" si="23"/>
        <v>0</v>
      </c>
      <c r="G73" s="78">
        <f t="shared" si="23"/>
        <v>1040000</v>
      </c>
      <c r="H73" s="78">
        <f t="shared" si="23"/>
        <v>0</v>
      </c>
      <c r="I73" s="78">
        <f t="shared" si="23"/>
        <v>0</v>
      </c>
      <c r="J73" s="78">
        <f t="shared" si="23"/>
        <v>5295835.5833333302</v>
      </c>
      <c r="K73" s="78">
        <f t="shared" si="23"/>
        <v>0</v>
      </c>
      <c r="L73" s="78">
        <f t="shared" si="23"/>
        <v>625000</v>
      </c>
      <c r="M73" s="78">
        <f t="shared" si="23"/>
        <v>1193724.4099999999</v>
      </c>
      <c r="N73" s="78">
        <f t="shared" si="23"/>
        <v>0</v>
      </c>
      <c r="O73" s="78">
        <f t="shared" si="23"/>
        <v>802816.78997333394</v>
      </c>
      <c r="P73" s="78">
        <f t="shared" si="23"/>
        <v>225609.24666666699</v>
      </c>
      <c r="Q73" s="78">
        <f t="shared" si="23"/>
        <v>2847150.4466400002</v>
      </c>
      <c r="R73" s="78">
        <v>2448685.13669333</v>
      </c>
      <c r="S73" s="78">
        <f>SUM(S65:S72)</f>
        <v>2448685.13669333</v>
      </c>
    </row>
    <row r="74" spans="1:19" ht="20.100000000000001" customHeight="1">
      <c r="A74" s="8"/>
      <c r="B74" s="20"/>
      <c r="C74" s="19"/>
      <c r="D74" s="19"/>
      <c r="E74" s="122"/>
      <c r="F74" s="122"/>
      <c r="G74" s="186"/>
      <c r="H74" s="186"/>
      <c r="I74" s="122"/>
      <c r="J74" s="472"/>
      <c r="K74" s="122"/>
      <c r="L74" s="122"/>
      <c r="M74" s="122"/>
      <c r="N74" s="122"/>
      <c r="O74" s="122"/>
      <c r="P74" s="122"/>
      <c r="Q74" s="473"/>
      <c r="R74" s="122"/>
      <c r="S74" s="472"/>
    </row>
    <row r="75" spans="1:19" ht="20.100000000000001" customHeight="1">
      <c r="A75" s="8"/>
      <c r="B75" s="18" t="s">
        <v>143</v>
      </c>
      <c r="C75" s="19"/>
      <c r="D75" s="19"/>
      <c r="E75" s="122"/>
      <c r="F75" s="122"/>
      <c r="G75" s="186"/>
      <c r="H75" s="186"/>
      <c r="I75" s="122"/>
      <c r="J75" s="472"/>
      <c r="K75" s="122"/>
      <c r="L75" s="122"/>
      <c r="M75" s="122"/>
      <c r="N75" s="122"/>
      <c r="O75" s="122"/>
      <c r="P75" s="122"/>
      <c r="Q75" s="473"/>
      <c r="R75" s="122"/>
      <c r="S75" s="472"/>
    </row>
    <row r="76" spans="1:19" ht="20.100000000000001" customHeight="1">
      <c r="A76" s="8">
        <v>1</v>
      </c>
      <c r="B76" s="9" t="s">
        <v>144</v>
      </c>
      <c r="C76" s="2" t="s">
        <v>145</v>
      </c>
      <c r="D76" s="8" t="s">
        <v>100</v>
      </c>
      <c r="E76" s="70">
        <v>1435720</v>
      </c>
      <c r="F76" s="70"/>
      <c r="G76" s="186">
        <f>200000</f>
        <v>200000</v>
      </c>
      <c r="H76" s="186"/>
      <c r="I76" s="70">
        <v>0</v>
      </c>
      <c r="J76" s="465">
        <f>SUM(E76:I76)</f>
        <v>1635720</v>
      </c>
      <c r="K76" s="70"/>
      <c r="L76" s="70">
        <v>350000</v>
      </c>
      <c r="M76" s="70">
        <f>0</f>
        <v>0</v>
      </c>
      <c r="N76" s="70">
        <v>0</v>
      </c>
      <c r="O76" s="70">
        <v>270672.24746666697</v>
      </c>
      <c r="P76" s="70">
        <v>114857.60000000001</v>
      </c>
      <c r="Q76" s="466">
        <f>O76+N76+M76+L76+K76+P76</f>
        <v>735529.84746666695</v>
      </c>
      <c r="R76" s="70">
        <v>900190.15253333305</v>
      </c>
      <c r="S76" s="465">
        <f t="shared" ref="S76:S81" si="24">J76-Q76</f>
        <v>900190.15253333305</v>
      </c>
    </row>
    <row r="77" spans="1:19" ht="20.100000000000001" customHeight="1">
      <c r="A77" s="8">
        <v>2</v>
      </c>
      <c r="B77" s="9" t="s">
        <v>146</v>
      </c>
      <c r="C77" s="2" t="s">
        <v>147</v>
      </c>
      <c r="D77" s="8" t="s">
        <v>39</v>
      </c>
      <c r="E77" s="70">
        <v>582118.08333333302</v>
      </c>
      <c r="F77" s="70"/>
      <c r="G77" s="186">
        <v>160000</v>
      </c>
      <c r="H77" s="186"/>
      <c r="I77" s="70"/>
      <c r="J77" s="465">
        <f>SUM(E77:I77)</f>
        <v>742118.08333333302</v>
      </c>
      <c r="K77" s="70"/>
      <c r="L77" s="70"/>
      <c r="M77" s="70"/>
      <c r="N77" s="70"/>
      <c r="O77" s="70">
        <v>112212.004906667</v>
      </c>
      <c r="P77" s="70">
        <v>46569.446666666699</v>
      </c>
      <c r="Q77" s="466">
        <f>O77+N77+M77+L77+K77+P77</f>
        <v>158781.451573333</v>
      </c>
      <c r="R77" s="70">
        <v>583336.63176000002</v>
      </c>
      <c r="S77" s="465">
        <f t="shared" si="24"/>
        <v>583336.63176000002</v>
      </c>
    </row>
    <row r="78" spans="1:19" ht="20.100000000000001" customHeight="1">
      <c r="A78" s="8">
        <v>3</v>
      </c>
      <c r="B78" s="9" t="s">
        <v>148</v>
      </c>
      <c r="C78" s="2" t="s">
        <v>149</v>
      </c>
      <c r="D78" s="13" t="s">
        <v>150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5">
        <f t="shared" ref="J78:J81" si="25">SUM(E78:I78)</f>
        <v>596622.25</v>
      </c>
      <c r="K78" s="70"/>
      <c r="L78" s="70">
        <v>20000</v>
      </c>
      <c r="M78" s="70">
        <v>210785.51</v>
      </c>
      <c r="N78" s="70">
        <f>'New NHF Deduction'!G79</f>
        <v>6154.322916666667</v>
      </c>
      <c r="O78" s="70">
        <v>86076.104186666693</v>
      </c>
      <c r="P78" s="70">
        <v>36529.78</v>
      </c>
      <c r="Q78" s="466">
        <f t="shared" ref="Q78:Q81" si="26">O78+N78+M78+L78+K78+P78</f>
        <v>359545.71710333333</v>
      </c>
      <c r="R78" s="70">
        <v>237076.53289666699</v>
      </c>
      <c r="S78" s="465">
        <f t="shared" si="24"/>
        <v>237076.53289666667</v>
      </c>
    </row>
    <row r="79" spans="1:19" ht="20.100000000000001" customHeight="1">
      <c r="A79" s="8">
        <v>4</v>
      </c>
      <c r="B79" s="9" t="s">
        <v>151</v>
      </c>
      <c r="C79" s="2" t="s">
        <v>152</v>
      </c>
      <c r="D79" s="8" t="s">
        <v>65</v>
      </c>
      <c r="E79" s="70">
        <v>353512.5</v>
      </c>
      <c r="F79" s="70">
        <f>'2024 Promotion Arrears'!J21</f>
        <v>655332</v>
      </c>
      <c r="G79" s="186">
        <f>110000</f>
        <v>110000</v>
      </c>
      <c r="H79" s="186"/>
      <c r="I79" s="70"/>
      <c r="J79" s="465">
        <f t="shared" si="25"/>
        <v>1118844.5</v>
      </c>
      <c r="K79" s="70"/>
      <c r="L79" s="70">
        <f>50000</f>
        <v>50000</v>
      </c>
      <c r="M79" s="70">
        <f>50000</f>
        <v>50000</v>
      </c>
      <c r="N79" s="70"/>
      <c r="O79" s="70">
        <f>62231.1146666667+99060.46</f>
        <v>161291.574666667</v>
      </c>
      <c r="P79" s="70">
        <f>28281</f>
        <v>28281</v>
      </c>
      <c r="Q79" s="466">
        <f t="shared" si="26"/>
        <v>289572.57466666697</v>
      </c>
      <c r="R79" s="70">
        <v>472330.33466666698</v>
      </c>
      <c r="S79" s="465">
        <f t="shared" si="24"/>
        <v>829271.92533333297</v>
      </c>
    </row>
    <row r="80" spans="1:19" ht="20.100000000000001" customHeight="1">
      <c r="A80" s="8">
        <v>5</v>
      </c>
      <c r="B80" s="9" t="s">
        <v>153</v>
      </c>
      <c r="C80" s="2" t="s">
        <v>154</v>
      </c>
      <c r="D80" s="8" t="s">
        <v>80</v>
      </c>
      <c r="E80" s="70">
        <v>263165.33333333302</v>
      </c>
      <c r="F80" s="70"/>
      <c r="G80" s="186">
        <v>100000</v>
      </c>
      <c r="H80" s="186"/>
      <c r="I80" s="70"/>
      <c r="J80" s="465">
        <f t="shared" si="25"/>
        <v>363165.33333333302</v>
      </c>
      <c r="K80" s="70"/>
      <c r="L80" s="70"/>
      <c r="M80" s="70"/>
      <c r="N80" s="70"/>
      <c r="O80" s="70">
        <v>44641.500586666698</v>
      </c>
      <c r="P80" s="70">
        <v>21053.226666666698</v>
      </c>
      <c r="Q80" s="466">
        <f t="shared" si="26"/>
        <v>65694.727253333403</v>
      </c>
      <c r="R80" s="70">
        <v>297470.60608</v>
      </c>
      <c r="S80" s="465">
        <f t="shared" si="24"/>
        <v>297470.60608</v>
      </c>
    </row>
    <row r="81" spans="1:19" ht="20.100000000000001" customHeight="1">
      <c r="A81" s="8">
        <v>6</v>
      </c>
      <c r="B81" s="9" t="s">
        <v>155</v>
      </c>
      <c r="C81" s="2" t="s">
        <v>156</v>
      </c>
      <c r="D81" s="8" t="s">
        <v>92</v>
      </c>
      <c r="E81" s="70">
        <v>224459.75</v>
      </c>
      <c r="F81" s="70"/>
      <c r="G81" s="186">
        <v>100000</v>
      </c>
      <c r="H81" s="186">
        <v>0</v>
      </c>
      <c r="I81" s="70"/>
      <c r="J81" s="465">
        <f t="shared" si="25"/>
        <v>324459.75</v>
      </c>
      <c r="K81" s="70"/>
      <c r="L81" s="70">
        <v>20000</v>
      </c>
      <c r="M81" s="70">
        <v>0</v>
      </c>
      <c r="N81" s="70">
        <v>0</v>
      </c>
      <c r="O81" s="70">
        <v>38659.165626666698</v>
      </c>
      <c r="P81" s="70">
        <v>17956.78</v>
      </c>
      <c r="Q81" s="466">
        <f t="shared" si="26"/>
        <v>76615.945626666697</v>
      </c>
      <c r="R81" s="70">
        <v>247843.804373333</v>
      </c>
      <c r="S81" s="465">
        <f t="shared" si="24"/>
        <v>247843.804373333</v>
      </c>
    </row>
    <row r="82" spans="1:19" ht="20.100000000000001" customHeight="1">
      <c r="A82" s="8"/>
      <c r="B82" s="18" t="s">
        <v>96</v>
      </c>
      <c r="C82" s="19">
        <v>6</v>
      </c>
      <c r="D82" s="19"/>
      <c r="E82" s="78">
        <f>SUM(E76:E81)</f>
        <v>3315597.9166666698</v>
      </c>
      <c r="F82" s="78">
        <f t="shared" ref="F82:S82" si="27">SUM(F76:F81)</f>
        <v>655332</v>
      </c>
      <c r="G82" s="78">
        <f t="shared" si="27"/>
        <v>810000</v>
      </c>
      <c r="H82" s="78">
        <f t="shared" si="27"/>
        <v>0</v>
      </c>
      <c r="I82" s="78">
        <f t="shared" si="27"/>
        <v>0</v>
      </c>
      <c r="J82" s="78">
        <f t="shared" si="27"/>
        <v>4780929.9166666698</v>
      </c>
      <c r="K82" s="78">
        <f t="shared" si="27"/>
        <v>0</v>
      </c>
      <c r="L82" s="78">
        <f t="shared" si="27"/>
        <v>440000</v>
      </c>
      <c r="M82" s="78">
        <f t="shared" si="27"/>
        <v>260785.51</v>
      </c>
      <c r="N82" s="78">
        <f t="shared" si="27"/>
        <v>6154.322916666667</v>
      </c>
      <c r="O82" s="78">
        <f t="shared" si="27"/>
        <v>713552.59744000097</v>
      </c>
      <c r="P82" s="78">
        <f t="shared" si="27"/>
        <v>265247.83333333302</v>
      </c>
      <c r="Q82" s="78">
        <f t="shared" si="27"/>
        <v>1685740.2636900004</v>
      </c>
      <c r="R82" s="78">
        <v>2738248.06231</v>
      </c>
      <c r="S82" s="78">
        <f t="shared" si="27"/>
        <v>3095189.6529766656</v>
      </c>
    </row>
    <row r="83" spans="1:19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2"/>
      <c r="K83" s="122"/>
      <c r="L83" s="122"/>
      <c r="M83" s="122"/>
      <c r="N83" s="122"/>
      <c r="O83" s="122"/>
      <c r="P83" s="122"/>
      <c r="Q83" s="466"/>
      <c r="R83" s="70"/>
      <c r="S83" s="465"/>
    </row>
    <row r="84" spans="1:19" ht="20.100000000000001" customHeight="1">
      <c r="A84" s="8"/>
      <c r="B84" s="18" t="s">
        <v>157</v>
      </c>
      <c r="C84" s="23"/>
      <c r="D84" s="19"/>
      <c r="E84" s="122"/>
      <c r="F84" s="122"/>
      <c r="G84" s="186"/>
      <c r="H84" s="186"/>
      <c r="I84" s="122"/>
      <c r="J84" s="472"/>
      <c r="K84" s="122"/>
      <c r="L84" s="122"/>
      <c r="M84" s="122"/>
      <c r="N84" s="122"/>
      <c r="O84" s="122"/>
      <c r="P84" s="122"/>
      <c r="Q84" s="466"/>
      <c r="R84" s="70"/>
      <c r="S84" s="465"/>
    </row>
    <row r="85" spans="1:19" ht="20.100000000000001" customHeight="1">
      <c r="A85" s="8">
        <v>1</v>
      </c>
      <c r="B85" s="9" t="s">
        <v>158</v>
      </c>
      <c r="C85" s="2" t="s">
        <v>114</v>
      </c>
      <c r="D85" s="8" t="s">
        <v>36</v>
      </c>
      <c r="E85" s="70">
        <v>620675.58333333302</v>
      </c>
      <c r="F85" s="70"/>
      <c r="G85" s="186">
        <f>160000</f>
        <v>160000</v>
      </c>
      <c r="H85" s="186"/>
      <c r="I85" s="70">
        <f>100000+100000</f>
        <v>200000</v>
      </c>
      <c r="J85" s="465">
        <f>SUM(E85:I85)</f>
        <v>980675.58333333302</v>
      </c>
      <c r="K85" s="70"/>
      <c r="L85" s="70"/>
      <c r="M85" s="70"/>
      <c r="N85" s="70"/>
      <c r="O85" s="70">
        <f>'Additional Leg Duty Allowance'!P11</f>
        <v>157422.801706667</v>
      </c>
      <c r="P85" s="70">
        <v>49654.046666666698</v>
      </c>
      <c r="Q85" s="466">
        <f>O85+N85+M85+L85+K85+P85</f>
        <v>207076.84837333299</v>
      </c>
      <c r="R85" s="70">
        <v>773598.73496000003</v>
      </c>
      <c r="S85" s="465">
        <f t="shared" ref="S85:S94" si="28">J85-Q85</f>
        <v>773598.73496000003</v>
      </c>
    </row>
    <row r="86" spans="1:19" ht="20.100000000000001" customHeight="1">
      <c r="A86" s="8">
        <v>2</v>
      </c>
      <c r="B86" s="9" t="s">
        <v>159</v>
      </c>
      <c r="C86" s="2" t="s">
        <v>114</v>
      </c>
      <c r="D86" s="8" t="s">
        <v>36</v>
      </c>
      <c r="E86" s="70">
        <v>620675.58333333302</v>
      </c>
      <c r="F86" s="70"/>
      <c r="G86" s="186">
        <f>160000</f>
        <v>160000</v>
      </c>
      <c r="H86" s="186"/>
      <c r="I86" s="70"/>
      <c r="J86" s="465">
        <f t="shared" ref="J86:J94" si="29">SUM(E86:I86)</f>
        <v>780675.58333333302</v>
      </c>
      <c r="K86" s="70"/>
      <c r="L86" s="70">
        <f>30000</f>
        <v>30000</v>
      </c>
      <c r="M86" s="70">
        <v>98750</v>
      </c>
      <c r="N86" s="70">
        <f>'New NHF Deduction'!G87</f>
        <v>8380.2270833333332</v>
      </c>
      <c r="O86" s="70">
        <v>118861.965706667</v>
      </c>
      <c r="P86" s="70">
        <v>49654.046666666698</v>
      </c>
      <c r="Q86" s="466">
        <f t="shared" ref="Q86:Q94" si="30">O86+N86+M86+L86+K86+P86</f>
        <v>305646.23945666704</v>
      </c>
      <c r="R86" s="70">
        <v>475029.34387666598</v>
      </c>
      <c r="S86" s="465">
        <f t="shared" si="28"/>
        <v>475029.34387666598</v>
      </c>
    </row>
    <row r="87" spans="1:19" ht="20.100000000000001" customHeight="1">
      <c r="A87" s="8">
        <v>3</v>
      </c>
      <c r="B87" s="9" t="s">
        <v>160</v>
      </c>
      <c r="C87" s="2" t="s">
        <v>114</v>
      </c>
      <c r="D87" s="8" t="s">
        <v>39</v>
      </c>
      <c r="E87" s="70">
        <v>582118.08333333302</v>
      </c>
      <c r="F87" s="70"/>
      <c r="G87" s="186">
        <v>160000</v>
      </c>
      <c r="H87" s="186"/>
      <c r="I87" s="70"/>
      <c r="J87" s="465">
        <f t="shared" si="29"/>
        <v>742118.08333333302</v>
      </c>
      <c r="K87" s="70"/>
      <c r="L87" s="70">
        <f>50000</f>
        <v>50000</v>
      </c>
      <c r="M87" s="186">
        <f>79861.11</f>
        <v>79861.11</v>
      </c>
      <c r="N87" s="70"/>
      <c r="O87" s="70">
        <v>112212.004906667</v>
      </c>
      <c r="P87" s="70">
        <v>46569.446666666699</v>
      </c>
      <c r="Q87" s="466">
        <f t="shared" si="30"/>
        <v>288642.56157333398</v>
      </c>
      <c r="R87" s="70">
        <v>453475.52175999898</v>
      </c>
      <c r="S87" s="465">
        <f t="shared" si="28"/>
        <v>453475.52175999898</v>
      </c>
    </row>
    <row r="88" spans="1:19" ht="21.6" customHeight="1">
      <c r="A88" s="8">
        <v>4</v>
      </c>
      <c r="B88" s="9" t="s">
        <v>161</v>
      </c>
      <c r="C88" s="2" t="s">
        <v>135</v>
      </c>
      <c r="D88" s="13" t="s">
        <v>47</v>
      </c>
      <c r="E88" s="70">
        <v>442746.5</v>
      </c>
      <c r="F88" s="70"/>
      <c r="G88" s="186">
        <f>140000</f>
        <v>140000</v>
      </c>
      <c r="H88" s="186"/>
      <c r="I88" s="70">
        <v>0</v>
      </c>
      <c r="J88" s="465">
        <f t="shared" si="29"/>
        <v>582746.5</v>
      </c>
      <c r="K88" s="70"/>
      <c r="L88" s="70">
        <f>50000</f>
        <v>50000</v>
      </c>
      <c r="M88" s="70">
        <f>77638.89</f>
        <v>77638.89</v>
      </c>
      <c r="N88" s="70"/>
      <c r="O88" s="70">
        <v>83767.87</v>
      </c>
      <c r="P88" s="70">
        <v>35344.393333333297</v>
      </c>
      <c r="Q88" s="466">
        <f t="shared" si="30"/>
        <v>246751.153333333</v>
      </c>
      <c r="R88" s="70">
        <v>412984.98885066598</v>
      </c>
      <c r="S88" s="465">
        <f t="shared" si="28"/>
        <v>335995.34666666703</v>
      </c>
    </row>
    <row r="89" spans="1:19" ht="21.6" customHeight="1">
      <c r="A89" s="8">
        <v>5</v>
      </c>
      <c r="B89" s="9" t="s">
        <v>162</v>
      </c>
      <c r="C89" s="2" t="s">
        <v>135</v>
      </c>
      <c r="D89" s="13" t="s">
        <v>47</v>
      </c>
      <c r="E89" s="70">
        <v>442746.5</v>
      </c>
      <c r="F89" s="70"/>
      <c r="G89" s="186">
        <f t="shared" ref="G89" si="31">120000</f>
        <v>120000</v>
      </c>
      <c r="H89" s="186"/>
      <c r="I89" s="70">
        <v>0</v>
      </c>
      <c r="J89" s="465">
        <f t="shared" si="29"/>
        <v>562746.5</v>
      </c>
      <c r="K89" s="70"/>
      <c r="L89" s="70">
        <v>50000</v>
      </c>
      <c r="M89" s="70">
        <v>0</v>
      </c>
      <c r="N89" s="70"/>
      <c r="O89" s="70">
        <v>83753.408426666603</v>
      </c>
      <c r="P89" s="70">
        <f>35419.72</f>
        <v>35419.72</v>
      </c>
      <c r="Q89" s="466">
        <f t="shared" si="30"/>
        <v>169173.12842666701</v>
      </c>
      <c r="R89" s="70">
        <v>968409.517813329</v>
      </c>
      <c r="S89" s="465">
        <f t="shared" si="28"/>
        <v>393573.37157333299</v>
      </c>
    </row>
    <row r="90" spans="1:19" ht="21.6" customHeight="1">
      <c r="A90" s="8">
        <v>6</v>
      </c>
      <c r="B90" s="9" t="s">
        <v>163</v>
      </c>
      <c r="C90" s="10" t="s">
        <v>135</v>
      </c>
      <c r="D90" s="13" t="s">
        <v>164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5">
        <f t="shared" si="29"/>
        <v>568870.75</v>
      </c>
      <c r="K90" s="70"/>
      <c r="L90" s="70">
        <f>100000-100000</f>
        <v>0</v>
      </c>
      <c r="M90" s="70"/>
      <c r="N90" s="70"/>
      <c r="O90" s="70">
        <v>81302.3959466667</v>
      </c>
      <c r="P90" s="70">
        <v>34309.660000000003</v>
      </c>
      <c r="Q90" s="466">
        <f t="shared" si="30"/>
        <v>115612.05594666699</v>
      </c>
      <c r="R90" s="70">
        <v>453258.69405333302</v>
      </c>
      <c r="S90" s="465">
        <f t="shared" si="28"/>
        <v>453258.69405333302</v>
      </c>
    </row>
    <row r="91" spans="1:19" ht="21.6" customHeight="1">
      <c r="A91" s="8">
        <v>7</v>
      </c>
      <c r="B91" s="9" t="s">
        <v>165</v>
      </c>
      <c r="C91" s="15" t="s">
        <v>67</v>
      </c>
      <c r="D91" s="13" t="s">
        <v>137</v>
      </c>
      <c r="E91" s="70">
        <v>365703.83333333302</v>
      </c>
      <c r="F91" s="70"/>
      <c r="G91" s="186">
        <f t="shared" ref="G91" si="32">110000</f>
        <v>110000</v>
      </c>
      <c r="H91" s="186"/>
      <c r="I91" s="70">
        <v>0</v>
      </c>
      <c r="J91" s="465">
        <f t="shared" si="29"/>
        <v>475703.83333333302</v>
      </c>
      <c r="K91" s="70"/>
      <c r="L91" s="70">
        <f>20000</f>
        <v>20000</v>
      </c>
      <c r="M91" s="70">
        <v>43750</v>
      </c>
      <c r="N91" s="70"/>
      <c r="O91" s="70">
        <v>64384.591786666701</v>
      </c>
      <c r="P91" s="70">
        <v>29256.3066666667</v>
      </c>
      <c r="Q91" s="466">
        <f t="shared" si="30"/>
        <v>157390.89845333301</v>
      </c>
      <c r="R91" s="70">
        <v>318312.93488000002</v>
      </c>
      <c r="S91" s="465">
        <f t="shared" si="28"/>
        <v>318312.93488000002</v>
      </c>
    </row>
    <row r="92" spans="1:19" ht="21.6" customHeight="1">
      <c r="A92" s="8">
        <v>8</v>
      </c>
      <c r="B92" s="9" t="s">
        <v>166</v>
      </c>
      <c r="C92" s="15" t="s">
        <v>167</v>
      </c>
      <c r="D92" s="13" t="s">
        <v>168</v>
      </c>
      <c r="E92" s="70">
        <v>390248.91666666698</v>
      </c>
      <c r="F92" s="70"/>
      <c r="G92" s="186">
        <v>120000</v>
      </c>
      <c r="H92" s="186"/>
      <c r="I92" s="70">
        <v>0</v>
      </c>
      <c r="J92" s="465">
        <f t="shared" si="29"/>
        <v>510248.91666666698</v>
      </c>
      <c r="K92" s="70"/>
      <c r="L92" s="70">
        <v>0</v>
      </c>
      <c r="M92" s="70"/>
      <c r="N92" s="70">
        <f>'New NHF Deduction'!G93</f>
        <v>5259.7437500000005</v>
      </c>
      <c r="O92" s="70">
        <v>70529.475354666705</v>
      </c>
      <c r="P92" s="70">
        <v>31219.913333333301</v>
      </c>
      <c r="Q92" s="466">
        <f t="shared" si="30"/>
        <v>107009.132438</v>
      </c>
      <c r="R92" s="70">
        <v>403239.78422866698</v>
      </c>
      <c r="S92" s="465">
        <f t="shared" si="28"/>
        <v>403239.78422866698</v>
      </c>
    </row>
    <row r="93" spans="1:19" ht="21.6" customHeight="1">
      <c r="A93" s="8">
        <v>9</v>
      </c>
      <c r="B93" s="9" t="s">
        <v>169</v>
      </c>
      <c r="C93" s="2" t="s">
        <v>170</v>
      </c>
      <c r="D93" s="8" t="s">
        <v>104</v>
      </c>
      <c r="E93" s="186">
        <v>300965.58333333302</v>
      </c>
      <c r="F93" s="70"/>
      <c r="G93" s="186">
        <v>100000</v>
      </c>
      <c r="H93" s="186"/>
      <c r="I93" s="70"/>
      <c r="J93" s="465">
        <f t="shared" si="29"/>
        <v>400965.58333333302</v>
      </c>
      <c r="K93" s="70"/>
      <c r="L93" s="70"/>
      <c r="M93" s="70"/>
      <c r="N93" s="70"/>
      <c r="O93" s="70">
        <v>51029.227306666697</v>
      </c>
      <c r="P93" s="70">
        <v>24077.246666666699</v>
      </c>
      <c r="Q93" s="466">
        <f t="shared" si="30"/>
        <v>75106.473973333399</v>
      </c>
      <c r="R93" s="70">
        <v>325859.10936</v>
      </c>
      <c r="S93" s="465">
        <f t="shared" si="28"/>
        <v>325859.10936</v>
      </c>
    </row>
    <row r="94" spans="1:19" ht="21.6" customHeight="1">
      <c r="A94" s="8">
        <v>10</v>
      </c>
      <c r="B94" s="9" t="s">
        <v>171</v>
      </c>
      <c r="C94" s="15" t="s">
        <v>172</v>
      </c>
      <c r="D94" s="13" t="s">
        <v>173</v>
      </c>
      <c r="E94" s="186">
        <v>230631.91666666701</v>
      </c>
      <c r="F94" s="70"/>
      <c r="G94" s="186">
        <f t="shared" ref="G94" si="33">100000</f>
        <v>100000</v>
      </c>
      <c r="H94" s="186"/>
      <c r="I94" s="70"/>
      <c r="J94" s="465">
        <f t="shared" si="29"/>
        <v>330631.91666666698</v>
      </c>
      <c r="K94" s="70"/>
      <c r="L94" s="70">
        <v>50000</v>
      </c>
      <c r="M94" s="70"/>
      <c r="N94" s="70">
        <v>0</v>
      </c>
      <c r="O94" s="70">
        <v>39613.135706666697</v>
      </c>
      <c r="P94" s="70">
        <v>18450.553333333301</v>
      </c>
      <c r="Q94" s="466">
        <f t="shared" si="30"/>
        <v>108063.68904</v>
      </c>
      <c r="R94" s="70">
        <v>222568.22762666701</v>
      </c>
      <c r="S94" s="465">
        <f t="shared" si="28"/>
        <v>222568.22762666701</v>
      </c>
    </row>
    <row r="95" spans="1:19" ht="20.100000000000001" customHeight="1">
      <c r="A95" s="8"/>
      <c r="B95" s="18" t="s">
        <v>96</v>
      </c>
      <c r="C95" s="19">
        <v>10</v>
      </c>
      <c r="D95" s="19"/>
      <c r="E95" s="78">
        <f>SUM(E85:E94)</f>
        <v>4425383.25</v>
      </c>
      <c r="F95" s="78">
        <f t="shared" ref="F95:S95" si="34">SUM(F85:F94)</f>
        <v>0</v>
      </c>
      <c r="G95" s="78">
        <f t="shared" si="34"/>
        <v>1310000</v>
      </c>
      <c r="H95" s="78">
        <f t="shared" si="34"/>
        <v>0</v>
      </c>
      <c r="I95" s="78">
        <f t="shared" si="34"/>
        <v>200000</v>
      </c>
      <c r="J95" s="78">
        <f t="shared" si="34"/>
        <v>5935383.25</v>
      </c>
      <c r="K95" s="78">
        <f t="shared" si="34"/>
        <v>0</v>
      </c>
      <c r="L95" s="78">
        <f t="shared" si="34"/>
        <v>250000</v>
      </c>
      <c r="M95" s="78">
        <f t="shared" si="34"/>
        <v>300000</v>
      </c>
      <c r="N95" s="78">
        <f t="shared" si="34"/>
        <v>13639.970833333333</v>
      </c>
      <c r="O95" s="78">
        <f t="shared" si="34"/>
        <v>862876.87684800103</v>
      </c>
      <c r="P95" s="78">
        <f t="shared" si="34"/>
        <v>353955.33333333302</v>
      </c>
      <c r="Q95" s="78">
        <f t="shared" si="34"/>
        <v>1780472.1810146675</v>
      </c>
      <c r="R95" s="78">
        <v>4806736.8574093301</v>
      </c>
      <c r="S95" s="78">
        <f t="shared" si="34"/>
        <v>4154911.0689853323</v>
      </c>
    </row>
    <row r="96" spans="1:19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2"/>
      <c r="K96" s="122"/>
      <c r="L96" s="122"/>
      <c r="M96" s="122"/>
      <c r="N96" s="122"/>
      <c r="O96" s="122"/>
      <c r="P96" s="122"/>
      <c r="Q96" s="473"/>
      <c r="R96" s="122"/>
      <c r="S96" s="472"/>
    </row>
    <row r="97" spans="1:19" ht="20.100000000000001" customHeight="1">
      <c r="A97" s="8"/>
      <c r="B97" s="18" t="s">
        <v>174</v>
      </c>
      <c r="C97" s="19"/>
      <c r="D97" s="19"/>
      <c r="E97" s="122"/>
      <c r="F97" s="122"/>
      <c r="G97" s="186"/>
      <c r="H97" s="186"/>
      <c r="I97" s="122"/>
      <c r="J97" s="472"/>
      <c r="K97" s="122"/>
      <c r="L97" s="122"/>
      <c r="M97" s="122"/>
      <c r="N97" s="122"/>
      <c r="O97" s="122"/>
      <c r="P97" s="122"/>
      <c r="Q97" s="473"/>
      <c r="R97" s="122"/>
      <c r="S97" s="472"/>
    </row>
    <row r="98" spans="1:19" ht="20.100000000000001" customHeight="1">
      <c r="A98" s="8">
        <v>1</v>
      </c>
      <c r="B98" s="12" t="s">
        <v>175</v>
      </c>
      <c r="C98" s="2" t="s">
        <v>176</v>
      </c>
      <c r="D98" s="14" t="s">
        <v>177</v>
      </c>
      <c r="E98" s="70">
        <f>'[3]Annual &amp; Monthly'!$H$44</f>
        <v>1352042.66666667</v>
      </c>
      <c r="F98" s="70"/>
      <c r="G98" s="186"/>
      <c r="H98" s="186">
        <f>100000</f>
        <v>100000</v>
      </c>
      <c r="I98" s="70"/>
      <c r="J98" s="465">
        <f>E98+F98+G98+H98+I98</f>
        <v>1452042.66666667</v>
      </c>
      <c r="K98" s="70"/>
      <c r="L98" s="70">
        <v>500000</v>
      </c>
      <c r="M98" s="70">
        <v>0</v>
      </c>
      <c r="N98" s="70">
        <f>'New NHF Deduction'!G99</f>
        <v>18254.975000000002</v>
      </c>
      <c r="O98" s="70">
        <f>'March New PAYE '!Z93</f>
        <v>236486.74867946663</v>
      </c>
      <c r="P98" s="70">
        <f>'Upgrade in March'!P8</f>
        <v>114857.60000000001</v>
      </c>
      <c r="Q98" s="466">
        <f>O98+N98+M98+L98+K98+P98</f>
        <v>869599.32367946662</v>
      </c>
      <c r="R98" s="70">
        <v>582443.34298720001</v>
      </c>
      <c r="S98" s="465">
        <f>J98-Q98</f>
        <v>582443.34298720339</v>
      </c>
    </row>
    <row r="99" spans="1:19" ht="20.100000000000001" customHeight="1">
      <c r="A99" s="8">
        <v>2</v>
      </c>
      <c r="B99" s="9" t="s">
        <v>178</v>
      </c>
      <c r="C99" s="2" t="s">
        <v>179</v>
      </c>
      <c r="D99" s="13" t="s">
        <v>150</v>
      </c>
      <c r="E99" s="70">
        <v>456622.25</v>
      </c>
      <c r="F99" s="70"/>
      <c r="G99" s="186"/>
      <c r="H99" s="186">
        <v>70000</v>
      </c>
      <c r="I99" s="70">
        <v>0</v>
      </c>
      <c r="J99" s="465">
        <f>E99+F99+G99+H99+I99</f>
        <v>526622.25</v>
      </c>
      <c r="K99" s="70"/>
      <c r="L99" s="70">
        <f>10000</f>
        <v>10000</v>
      </c>
      <c r="M99" s="70">
        <v>175000</v>
      </c>
      <c r="N99" s="70"/>
      <c r="O99" s="70">
        <v>72764.420906666695</v>
      </c>
      <c r="P99" s="70">
        <v>36529.78</v>
      </c>
      <c r="Q99" s="466">
        <f>O99+N99+M99+L99+K99+P99</f>
        <v>294294.20090666699</v>
      </c>
      <c r="R99" s="70">
        <v>232328.04909333299</v>
      </c>
      <c r="S99" s="465">
        <f>J99-Q99</f>
        <v>232328.04909333299</v>
      </c>
    </row>
    <row r="100" spans="1:19" ht="20.100000000000001" customHeight="1">
      <c r="A100" s="25">
        <v>6</v>
      </c>
      <c r="B100" s="9" t="s">
        <v>180</v>
      </c>
      <c r="C100" s="10" t="s">
        <v>181</v>
      </c>
      <c r="D100" s="13" t="s">
        <v>168</v>
      </c>
      <c r="E100" s="70">
        <v>390248.91666666698</v>
      </c>
      <c r="F100" s="70"/>
      <c r="G100" s="186"/>
      <c r="H100" s="186">
        <f>70000</f>
        <v>70000</v>
      </c>
      <c r="I100" s="70">
        <v>0</v>
      </c>
      <c r="J100" s="465">
        <f>SUM(E100:I100)</f>
        <v>460248.91666666698</v>
      </c>
      <c r="K100" s="70"/>
      <c r="L100" s="70">
        <v>40000</v>
      </c>
      <c r="M100" s="70">
        <v>87500</v>
      </c>
      <c r="N100" s="70">
        <v>5967.3062499999996</v>
      </c>
      <c r="O100" s="70">
        <v>69311.115255466706</v>
      </c>
      <c r="P100" s="70">
        <f>31219.91</f>
        <v>31219.91</v>
      </c>
      <c r="Q100" s="466">
        <f>O100+N100+M100+L100+K100+P100</f>
        <v>233998.33150546701</v>
      </c>
      <c r="R100" s="70">
        <v>643797.12323906901</v>
      </c>
      <c r="S100" s="465">
        <f>J100-Q100</f>
        <v>226250.5851612</v>
      </c>
    </row>
    <row r="101" spans="1:19" ht="20.100000000000001" customHeight="1">
      <c r="A101" s="8">
        <v>3</v>
      </c>
      <c r="B101" s="9" t="s">
        <v>182</v>
      </c>
      <c r="C101" s="2" t="s">
        <v>183</v>
      </c>
      <c r="D101" s="13" t="s">
        <v>62</v>
      </c>
      <c r="E101" s="70">
        <v>377895.16666666698</v>
      </c>
      <c r="F101" s="70"/>
      <c r="G101" s="186"/>
      <c r="H101" s="186">
        <f>60000</f>
        <v>60000</v>
      </c>
      <c r="I101" s="70"/>
      <c r="J101" s="465">
        <f>E101+F101+G101+H101+I101</f>
        <v>437895.16666666698</v>
      </c>
      <c r="K101" s="70"/>
      <c r="L101" s="70">
        <f>5000</f>
        <v>5000</v>
      </c>
      <c r="M101" s="70">
        <v>52500</v>
      </c>
      <c r="N101" s="70"/>
      <c r="O101" s="70">
        <v>56938.068906666696</v>
      </c>
      <c r="P101" s="70">
        <v>30231.613333333298</v>
      </c>
      <c r="Q101" s="466">
        <f>O101+N101+M101+L101+K101+P101</f>
        <v>144669.68223999999</v>
      </c>
      <c r="R101" s="70">
        <v>293225.48442666698</v>
      </c>
      <c r="S101" s="465">
        <f>J101-Q101</f>
        <v>293225.48442666698</v>
      </c>
    </row>
    <row r="102" spans="1:19" ht="20.100000000000001" customHeight="1">
      <c r="A102" s="8">
        <v>4</v>
      </c>
      <c r="B102" s="9" t="s">
        <v>184</v>
      </c>
      <c r="C102" s="2" t="s">
        <v>185</v>
      </c>
      <c r="D102" s="13" t="s">
        <v>104</v>
      </c>
      <c r="E102" s="186">
        <v>300965.58333333302</v>
      </c>
      <c r="F102" s="70"/>
      <c r="G102" s="186"/>
      <c r="H102" s="186">
        <f>60000</f>
        <v>60000</v>
      </c>
      <c r="I102" s="70"/>
      <c r="J102" s="465">
        <f>E102+F102+G102+H102+I102</f>
        <v>360965.58333333302</v>
      </c>
      <c r="K102" s="70"/>
      <c r="L102" s="70">
        <f>10000+80000</f>
        <v>90000</v>
      </c>
      <c r="M102" s="70">
        <f>19583.33</f>
        <v>19583.330000000002</v>
      </c>
      <c r="N102" s="70"/>
      <c r="O102" s="70">
        <v>43763.907226666699</v>
      </c>
      <c r="P102" s="70">
        <v>24077.246666666699</v>
      </c>
      <c r="Q102" s="466">
        <f>O102+N102+M102+L102+K102+P102</f>
        <v>177424.483893333</v>
      </c>
      <c r="R102" s="70">
        <v>183541.09943999999</v>
      </c>
      <c r="S102" s="465">
        <f>J102-Q102</f>
        <v>183541.09943999999</v>
      </c>
    </row>
    <row r="103" spans="1:19" ht="20.100000000000001" customHeight="1">
      <c r="A103" s="2"/>
      <c r="B103" s="18" t="s">
        <v>96</v>
      </c>
      <c r="C103" s="19">
        <v>4</v>
      </c>
      <c r="D103" s="24"/>
      <c r="E103" s="78">
        <f>SUM(E98:E102)</f>
        <v>2877774.5833333367</v>
      </c>
      <c r="F103" s="78">
        <f t="shared" ref="F103:S103" si="35">SUM(F98:F102)</f>
        <v>0</v>
      </c>
      <c r="G103" s="78">
        <f t="shared" si="35"/>
        <v>0</v>
      </c>
      <c r="H103" s="78">
        <f t="shared" si="35"/>
        <v>360000</v>
      </c>
      <c r="I103" s="78">
        <f t="shared" si="35"/>
        <v>0</v>
      </c>
      <c r="J103" s="78">
        <f t="shared" si="35"/>
        <v>3237774.5833333367</v>
      </c>
      <c r="K103" s="78">
        <f t="shared" si="35"/>
        <v>0</v>
      </c>
      <c r="L103" s="78">
        <f t="shared" si="35"/>
        <v>645000</v>
      </c>
      <c r="M103" s="78">
        <f t="shared" si="35"/>
        <v>334583.33</v>
      </c>
      <c r="N103" s="78">
        <f t="shared" si="35"/>
        <v>24222.28125</v>
      </c>
      <c r="O103" s="78">
        <f t="shared" si="35"/>
        <v>479264.26097493345</v>
      </c>
      <c r="P103" s="78">
        <f t="shared" si="35"/>
        <v>236916.15</v>
      </c>
      <c r="Q103" s="78">
        <f t="shared" si="35"/>
        <v>1719986.0222249336</v>
      </c>
      <c r="R103" s="78">
        <v>1291537.9759472001</v>
      </c>
      <c r="S103" s="78">
        <f t="shared" si="35"/>
        <v>1517788.5611084034</v>
      </c>
    </row>
    <row r="104" spans="1:19" ht="20.100000000000001" customHeight="1">
      <c r="A104" s="2"/>
      <c r="B104" s="20"/>
      <c r="C104" s="19"/>
      <c r="D104" s="24"/>
      <c r="E104" s="122"/>
      <c r="F104" s="122"/>
      <c r="G104" s="186"/>
      <c r="H104" s="186"/>
      <c r="I104" s="122"/>
      <c r="J104" s="472"/>
      <c r="K104" s="122"/>
      <c r="L104" s="122"/>
      <c r="M104" s="122"/>
      <c r="N104" s="122"/>
      <c r="O104" s="122"/>
      <c r="P104" s="122"/>
      <c r="Q104" s="473"/>
      <c r="R104" s="122"/>
      <c r="S104" s="472"/>
    </row>
    <row r="105" spans="1:19" ht="20.100000000000001" customHeight="1">
      <c r="A105" s="2"/>
      <c r="B105" s="18" t="s">
        <v>186</v>
      </c>
      <c r="C105" s="2"/>
      <c r="D105" s="2"/>
      <c r="E105" s="2"/>
      <c r="F105" s="2"/>
      <c r="G105" s="186"/>
      <c r="H105" s="186"/>
      <c r="I105" s="2"/>
      <c r="J105" s="476"/>
      <c r="K105" s="2"/>
      <c r="L105" s="2"/>
      <c r="M105" s="2"/>
      <c r="N105" s="2"/>
      <c r="O105" s="2"/>
      <c r="P105" s="2"/>
      <c r="Q105" s="477"/>
      <c r="R105" s="2"/>
      <c r="S105" s="476"/>
    </row>
    <row r="106" spans="1:19" ht="20.100000000000001" customHeight="1">
      <c r="A106" s="2">
        <v>1</v>
      </c>
      <c r="B106" s="9" t="s">
        <v>187</v>
      </c>
      <c r="C106" s="10" t="s">
        <v>188</v>
      </c>
      <c r="D106" s="13" t="s">
        <v>100</v>
      </c>
      <c r="E106" s="70">
        <v>1435720</v>
      </c>
      <c r="F106" s="70"/>
      <c r="G106" s="186">
        <f>200000</f>
        <v>200000</v>
      </c>
      <c r="H106" s="186"/>
      <c r="I106" s="70">
        <v>0</v>
      </c>
      <c r="J106" s="465">
        <f>SUM(E106:I106)</f>
        <v>1635720</v>
      </c>
      <c r="K106" s="70"/>
      <c r="L106" s="70">
        <f>100000</f>
        <v>100000</v>
      </c>
      <c r="M106" s="70">
        <v>0</v>
      </c>
      <c r="N106" s="70">
        <v>0</v>
      </c>
      <c r="O106" s="70">
        <v>270672.24746666697</v>
      </c>
      <c r="P106" s="70">
        <v>114857.60000000001</v>
      </c>
      <c r="Q106" s="466">
        <f>O106+N106+M106+L106+K106+P106</f>
        <v>485529.84746666701</v>
      </c>
      <c r="R106" s="70">
        <v>1150190.15253333</v>
      </c>
      <c r="S106" s="465">
        <f t="shared" ref="S106:S112" si="36">J106-Q106</f>
        <v>1150190.15253333</v>
      </c>
    </row>
    <row r="107" spans="1:19" ht="20.100000000000001" customHeight="1">
      <c r="A107" s="2">
        <v>2</v>
      </c>
      <c r="B107" s="9" t="s">
        <v>189</v>
      </c>
      <c r="C107" s="2" t="s">
        <v>190</v>
      </c>
      <c r="D107" s="14" t="s">
        <v>191</v>
      </c>
      <c r="E107" s="70">
        <v>762373.16666666698</v>
      </c>
      <c r="F107" s="70"/>
      <c r="G107" s="186">
        <f>160000+20000</f>
        <v>180000</v>
      </c>
      <c r="H107" s="186"/>
      <c r="I107" s="70">
        <v>0</v>
      </c>
      <c r="J107" s="465">
        <f t="shared" ref="J107:J112" si="37">SUM(E107:I107)</f>
        <v>942373.16666666698</v>
      </c>
      <c r="K107" s="70"/>
      <c r="L107" s="70">
        <v>40000</v>
      </c>
      <c r="M107" s="70"/>
      <c r="N107" s="70">
        <v>10293.3979166667</v>
      </c>
      <c r="O107" s="70">
        <v>147687.52761066699</v>
      </c>
      <c r="P107" s="70">
        <v>60989.853333333303</v>
      </c>
      <c r="Q107" s="466">
        <f t="shared" ref="Q107:Q112" si="38">O107+N107+M107+L107+K107+P107</f>
        <v>258970.77886066699</v>
      </c>
      <c r="R107" s="70">
        <v>683402.38780599996</v>
      </c>
      <c r="S107" s="465">
        <f t="shared" si="36"/>
        <v>683402.38780599996</v>
      </c>
    </row>
    <row r="108" spans="1:19" ht="20.100000000000001" customHeight="1">
      <c r="A108" s="2">
        <v>3</v>
      </c>
      <c r="B108" s="9" t="s">
        <v>192</v>
      </c>
      <c r="C108" s="2" t="s">
        <v>193</v>
      </c>
      <c r="D108" s="8" t="s">
        <v>194</v>
      </c>
      <c r="E108" s="70">
        <v>441804.91666666698</v>
      </c>
      <c r="F108" s="70"/>
      <c r="G108" s="186">
        <f>120000</f>
        <v>120000</v>
      </c>
      <c r="H108" s="186"/>
      <c r="I108" s="70">
        <v>41432.938524999998</v>
      </c>
      <c r="J108" s="465">
        <f t="shared" si="37"/>
        <v>603237.85519166698</v>
      </c>
      <c r="K108" s="70"/>
      <c r="L108" s="70">
        <v>30000</v>
      </c>
      <c r="M108" s="70">
        <f>61111.11</f>
        <v>61111.11</v>
      </c>
      <c r="N108" s="70">
        <v>5954.6104166666701</v>
      </c>
      <c r="O108" s="70">
        <v>87575.782703466699</v>
      </c>
      <c r="P108" s="70">
        <v>35344.393333333297</v>
      </c>
      <c r="Q108" s="466">
        <f t="shared" si="38"/>
        <v>219985.89645346699</v>
      </c>
      <c r="R108" s="70">
        <v>383251.95873820002</v>
      </c>
      <c r="S108" s="465">
        <f t="shared" si="36"/>
        <v>383251.95873820002</v>
      </c>
    </row>
    <row r="109" spans="1:19" ht="20.100000000000001" customHeight="1">
      <c r="A109" s="2">
        <v>4</v>
      </c>
      <c r="B109" s="9" t="s">
        <v>195</v>
      </c>
      <c r="C109" s="2" t="s">
        <v>193</v>
      </c>
      <c r="D109" s="8" t="s">
        <v>194</v>
      </c>
      <c r="E109" s="70">
        <v>441804.91666666698</v>
      </c>
      <c r="F109" s="70"/>
      <c r="G109" s="186">
        <f>120000</f>
        <v>120000</v>
      </c>
      <c r="H109" s="186"/>
      <c r="I109" s="70">
        <v>39820.116654999998</v>
      </c>
      <c r="J109" s="465">
        <f t="shared" si="37"/>
        <v>601625.033321667</v>
      </c>
      <c r="K109" s="70"/>
      <c r="L109" s="70">
        <f>50000</f>
        <v>50000</v>
      </c>
      <c r="M109" s="70">
        <v>45833.33</v>
      </c>
      <c r="N109" s="70"/>
      <c r="O109" s="70">
        <v>87392.5495444267</v>
      </c>
      <c r="P109" s="70">
        <v>35344.393333333297</v>
      </c>
      <c r="Q109" s="466">
        <f t="shared" si="38"/>
        <v>218570.27287776</v>
      </c>
      <c r="R109" s="70">
        <v>383054.760443907</v>
      </c>
      <c r="S109" s="465">
        <f t="shared" si="36"/>
        <v>383054.760443907</v>
      </c>
    </row>
    <row r="110" spans="1:19" ht="20.100000000000001" customHeight="1">
      <c r="A110" s="2">
        <v>5</v>
      </c>
      <c r="B110" s="9" t="s">
        <v>196</v>
      </c>
      <c r="C110" s="2" t="s">
        <v>197</v>
      </c>
      <c r="D110" s="13" t="s">
        <v>198</v>
      </c>
      <c r="E110" s="186">
        <v>249148.41666666701</v>
      </c>
      <c r="F110" s="70"/>
      <c r="G110" s="186">
        <f>100000</f>
        <v>100000</v>
      </c>
      <c r="H110" s="186"/>
      <c r="I110" s="70">
        <v>25333.447479999999</v>
      </c>
      <c r="J110" s="465">
        <f t="shared" si="37"/>
        <v>374481.86414666701</v>
      </c>
      <c r="K110" s="70"/>
      <c r="L110" s="70">
        <v>20000</v>
      </c>
      <c r="M110" s="70">
        <f>50000</f>
        <v>50000</v>
      </c>
      <c r="N110" s="70"/>
      <c r="O110" s="70">
        <v>46740.264902826697</v>
      </c>
      <c r="P110" s="70">
        <v>19931.8733333333</v>
      </c>
      <c r="Q110" s="466">
        <f t="shared" si="38"/>
        <v>136672.13823616001</v>
      </c>
      <c r="R110" s="70">
        <v>237809.725910507</v>
      </c>
      <c r="S110" s="465">
        <f t="shared" si="36"/>
        <v>237809.725910507</v>
      </c>
    </row>
    <row r="111" spans="1:19" ht="20.100000000000001" customHeight="1">
      <c r="A111" s="2">
        <v>6</v>
      </c>
      <c r="B111" s="16" t="s">
        <v>199</v>
      </c>
      <c r="C111" s="2" t="s">
        <v>197</v>
      </c>
      <c r="D111" s="8" t="s">
        <v>200</v>
      </c>
      <c r="E111" s="186">
        <v>242976.25</v>
      </c>
      <c r="F111" s="70"/>
      <c r="G111" s="186">
        <f>100000</f>
        <v>100000</v>
      </c>
      <c r="H111" s="186"/>
      <c r="I111" s="70">
        <v>24949.771000000001</v>
      </c>
      <c r="J111" s="465">
        <f t="shared" si="37"/>
        <v>367926.02100000001</v>
      </c>
      <c r="K111" s="70"/>
      <c r="L111" s="70">
        <f>25000</f>
        <v>25000</v>
      </c>
      <c r="M111" s="70">
        <v>0</v>
      </c>
      <c r="N111" s="70"/>
      <c r="O111" s="70">
        <v>45712.637394666701</v>
      </c>
      <c r="P111" s="70">
        <v>19438.099999999999</v>
      </c>
      <c r="Q111" s="466">
        <f t="shared" si="38"/>
        <v>90150.737394666707</v>
      </c>
      <c r="R111" s="70">
        <v>277775.28360533301</v>
      </c>
      <c r="S111" s="465">
        <f t="shared" si="36"/>
        <v>277775.28360533301</v>
      </c>
    </row>
    <row r="112" spans="1:19" ht="20.100000000000001" customHeight="1">
      <c r="A112" s="2">
        <v>7</v>
      </c>
      <c r="B112" s="16" t="s">
        <v>201</v>
      </c>
      <c r="C112" s="2" t="s">
        <v>197</v>
      </c>
      <c r="D112" s="13" t="s">
        <v>173</v>
      </c>
      <c r="E112" s="186">
        <v>230631.91666666701</v>
      </c>
      <c r="F112" s="70"/>
      <c r="G112" s="186">
        <f t="shared" ref="G112" si="39">100000</f>
        <v>100000</v>
      </c>
      <c r="H112" s="186"/>
      <c r="I112" s="70">
        <v>24566.195445000001</v>
      </c>
      <c r="J112" s="465">
        <f t="shared" si="37"/>
        <v>355198.112111667</v>
      </c>
      <c r="K112" s="70"/>
      <c r="L112" s="70">
        <f>30000</f>
        <v>30000</v>
      </c>
      <c r="M112" s="70"/>
      <c r="N112" s="70"/>
      <c r="O112" s="70">
        <v>43740.256541426701</v>
      </c>
      <c r="P112" s="70">
        <v>18450.553333333301</v>
      </c>
      <c r="Q112" s="466">
        <f t="shared" si="38"/>
        <v>92190.809874760002</v>
      </c>
      <c r="R112" s="70">
        <v>263007.30223690701</v>
      </c>
      <c r="S112" s="465">
        <f t="shared" si="36"/>
        <v>263007.30223690701</v>
      </c>
    </row>
    <row r="113" spans="1:19" ht="25.5" customHeight="1">
      <c r="A113" s="2"/>
      <c r="B113" s="18" t="s">
        <v>96</v>
      </c>
      <c r="C113" s="19">
        <v>7</v>
      </c>
      <c r="D113" s="2"/>
      <c r="E113" s="189">
        <f>SUM(E106:E112)</f>
        <v>3804459.5833333302</v>
      </c>
      <c r="F113" s="189">
        <f t="shared" ref="F113:S113" si="40">SUM(F106:F112)</f>
        <v>0</v>
      </c>
      <c r="G113" s="189">
        <f t="shared" si="40"/>
        <v>920000</v>
      </c>
      <c r="H113" s="189">
        <f t="shared" si="40"/>
        <v>0</v>
      </c>
      <c r="I113" s="189">
        <f t="shared" si="40"/>
        <v>156102.469105</v>
      </c>
      <c r="J113" s="189">
        <f t="shared" si="40"/>
        <v>4880562.0524383401</v>
      </c>
      <c r="K113" s="189">
        <f t="shared" si="40"/>
        <v>0</v>
      </c>
      <c r="L113" s="189">
        <f t="shared" si="40"/>
        <v>295000</v>
      </c>
      <c r="M113" s="189">
        <f t="shared" si="40"/>
        <v>156944.44</v>
      </c>
      <c r="N113" s="189">
        <f t="shared" si="40"/>
        <v>16248.008333333401</v>
      </c>
      <c r="O113" s="189">
        <f t="shared" si="40"/>
        <v>729521.26616414799</v>
      </c>
      <c r="P113" s="189">
        <f t="shared" si="40"/>
        <v>304356.76666666602</v>
      </c>
      <c r="Q113" s="189">
        <f t="shared" si="40"/>
        <v>1502070.4811641499</v>
      </c>
      <c r="R113" s="189">
        <v>3378491.57127418</v>
      </c>
      <c r="S113" s="189">
        <f t="shared" si="40"/>
        <v>3378491.57127418</v>
      </c>
    </row>
    <row r="114" spans="1:19" ht="20.100000000000001" customHeight="1">
      <c r="A114" s="2"/>
      <c r="B114" s="18"/>
      <c r="C114" s="19"/>
      <c r="D114" s="2"/>
      <c r="E114" s="189"/>
      <c r="F114" s="189"/>
      <c r="G114" s="474"/>
      <c r="H114" s="474"/>
      <c r="I114" s="189"/>
      <c r="J114" s="478"/>
      <c r="K114" s="189"/>
      <c r="L114" s="189"/>
      <c r="M114" s="189"/>
      <c r="N114" s="189"/>
      <c r="O114" s="189"/>
      <c r="P114" s="189"/>
      <c r="Q114" s="479"/>
      <c r="R114" s="189"/>
      <c r="S114" s="478"/>
    </row>
    <row r="115" spans="1:19" ht="20.100000000000001" customHeight="1">
      <c r="A115" s="8"/>
      <c r="B115" s="18" t="s">
        <v>202</v>
      </c>
      <c r="C115" s="19"/>
      <c r="D115" s="19"/>
      <c r="E115" s="122"/>
      <c r="F115" s="122"/>
      <c r="G115" s="186"/>
      <c r="H115" s="186"/>
      <c r="I115" s="122"/>
      <c r="J115" s="472"/>
      <c r="K115" s="122"/>
      <c r="L115" s="122"/>
      <c r="M115" s="122"/>
      <c r="N115" s="122"/>
      <c r="O115" s="122"/>
      <c r="P115" s="122"/>
      <c r="Q115" s="473"/>
      <c r="R115" s="122"/>
      <c r="S115" s="472"/>
    </row>
    <row r="116" spans="1:19" ht="20.100000000000001" customHeight="1">
      <c r="A116" s="8">
        <v>1</v>
      </c>
      <c r="B116" s="12" t="s">
        <v>203</v>
      </c>
      <c r="C116" s="2" t="s">
        <v>114</v>
      </c>
      <c r="D116" s="8" t="s">
        <v>133</v>
      </c>
      <c r="E116" s="70">
        <v>601396.83333333302</v>
      </c>
      <c r="F116" s="70"/>
      <c r="G116" s="186">
        <v>160000</v>
      </c>
      <c r="H116" s="186"/>
      <c r="I116" s="70">
        <v>0</v>
      </c>
      <c r="J116" s="465">
        <f>SUM(E116:I116)</f>
        <v>761396.83333333302</v>
      </c>
      <c r="K116" s="70"/>
      <c r="L116" s="70">
        <f>60000</f>
        <v>60000</v>
      </c>
      <c r="M116" s="70">
        <f>163103.59</f>
        <v>163103.59</v>
      </c>
      <c r="N116" s="70">
        <v>8119.9291666666704</v>
      </c>
      <c r="O116" s="70">
        <v>115462.53994666701</v>
      </c>
      <c r="P116" s="70">
        <v>48111.746666666702</v>
      </c>
      <c r="Q116" s="466">
        <f>O116+N116+M116+L116+K116+P116</f>
        <v>394797.80578</v>
      </c>
      <c r="R116" s="70">
        <v>366599.02755333303</v>
      </c>
      <c r="S116" s="465">
        <f>J116-Q116</f>
        <v>366599.02755333303</v>
      </c>
    </row>
    <row r="117" spans="1:19" ht="18.75" customHeight="1">
      <c r="A117" s="8">
        <v>2</v>
      </c>
      <c r="B117" s="9" t="s">
        <v>204</v>
      </c>
      <c r="C117" s="2" t="s">
        <v>205</v>
      </c>
      <c r="D117" s="13" t="s">
        <v>62</v>
      </c>
      <c r="E117" s="70">
        <v>377895.16666666698</v>
      </c>
      <c r="F117" s="70"/>
      <c r="G117" s="186">
        <v>110000</v>
      </c>
      <c r="H117" s="186">
        <v>0</v>
      </c>
      <c r="I117" s="70"/>
      <c r="J117" s="465">
        <f t="shared" ref="J117:J118" si="41">SUM(E117:I117)</f>
        <v>487895.16666666698</v>
      </c>
      <c r="K117" s="70"/>
      <c r="L117" s="70">
        <f>20000</f>
        <v>20000</v>
      </c>
      <c r="M117" s="70">
        <f>102135.42</f>
        <v>102135.42</v>
      </c>
      <c r="N117" s="70">
        <v>0</v>
      </c>
      <c r="O117" s="70">
        <v>66538.068906666696</v>
      </c>
      <c r="P117" s="70">
        <v>30231.613333333298</v>
      </c>
      <c r="Q117" s="466">
        <f t="shared" ref="Q117:Q118" si="42">O117+N117+M117+L117+K117+P117</f>
        <v>218905.10224000001</v>
      </c>
      <c r="R117" s="70">
        <v>268990.064426667</v>
      </c>
      <c r="S117" s="465">
        <f>J117-Q117</f>
        <v>268990.064426667</v>
      </c>
    </row>
    <row r="118" spans="1:19" ht="20.100000000000001" customHeight="1">
      <c r="A118" s="8">
        <v>3</v>
      </c>
      <c r="B118" s="9" t="s">
        <v>206</v>
      </c>
      <c r="C118" s="10" t="s">
        <v>207</v>
      </c>
      <c r="D118" s="13" t="s">
        <v>168</v>
      </c>
      <c r="E118" s="70">
        <v>390248.91666666698</v>
      </c>
      <c r="F118" s="70"/>
      <c r="G118" s="186"/>
      <c r="H118" s="186">
        <f>70000</f>
        <v>70000</v>
      </c>
      <c r="I118" s="70"/>
      <c r="J118" s="465">
        <f t="shared" si="41"/>
        <v>460248.91666666698</v>
      </c>
      <c r="K118" s="70"/>
      <c r="L118" s="70"/>
      <c r="M118" s="70"/>
      <c r="N118" s="70">
        <v>5967.3062499999996</v>
      </c>
      <c r="O118" s="70">
        <v>69311.115255466706</v>
      </c>
      <c r="P118" s="70">
        <f>31219.91</f>
        <v>31219.91</v>
      </c>
      <c r="Q118" s="466">
        <f t="shared" si="42"/>
        <v>106498.33150546699</v>
      </c>
      <c r="R118" s="70">
        <v>522434.75336173398</v>
      </c>
      <c r="S118" s="465">
        <f>J118-Q118</f>
        <v>353750.58516120003</v>
      </c>
    </row>
    <row r="119" spans="1:19" ht="24.75" customHeight="1">
      <c r="A119" s="2"/>
      <c r="B119" s="18" t="s">
        <v>96</v>
      </c>
      <c r="C119" s="19">
        <v>2</v>
      </c>
      <c r="D119" s="24"/>
      <c r="E119" s="78">
        <f>SUM(E116:E118)</f>
        <v>1369540.91666667</v>
      </c>
      <c r="F119" s="78">
        <f t="shared" ref="F119:S119" si="43">SUM(F116:F118)</f>
        <v>0</v>
      </c>
      <c r="G119" s="78">
        <f t="shared" si="43"/>
        <v>270000</v>
      </c>
      <c r="H119" s="78">
        <f t="shared" si="43"/>
        <v>70000</v>
      </c>
      <c r="I119" s="78">
        <f t="shared" si="43"/>
        <v>0</v>
      </c>
      <c r="J119" s="78">
        <f t="shared" si="43"/>
        <v>1709540.91666667</v>
      </c>
      <c r="K119" s="78">
        <f t="shared" si="43"/>
        <v>0</v>
      </c>
      <c r="L119" s="78">
        <f t="shared" si="43"/>
        <v>80000</v>
      </c>
      <c r="M119" s="78">
        <f t="shared" si="43"/>
        <v>265239.01</v>
      </c>
      <c r="N119" s="78">
        <f t="shared" si="43"/>
        <v>14087.235416666699</v>
      </c>
      <c r="O119" s="78">
        <f t="shared" si="43"/>
        <v>251311.7241088</v>
      </c>
      <c r="P119" s="78">
        <f t="shared" si="43"/>
        <v>109563.27</v>
      </c>
      <c r="Q119" s="78">
        <f t="shared" si="43"/>
        <v>720201.23952546704</v>
      </c>
      <c r="R119" s="78">
        <v>1158023.8453417299</v>
      </c>
      <c r="S119" s="78">
        <f t="shared" si="43"/>
        <v>989339.67714120005</v>
      </c>
    </row>
    <row r="120" spans="1:19" ht="24.75" customHeight="1">
      <c r="A120" s="2"/>
      <c r="B120" s="18"/>
      <c r="C120" s="19"/>
      <c r="D120" s="24"/>
      <c r="E120" s="78"/>
      <c r="F120" s="78"/>
      <c r="G120" s="78"/>
      <c r="H120" s="78"/>
      <c r="I120" s="78"/>
      <c r="J120" s="768"/>
      <c r="K120" s="78"/>
      <c r="L120" s="78"/>
      <c r="M120" s="78"/>
      <c r="N120" s="78"/>
      <c r="O120" s="78"/>
      <c r="P120" s="78"/>
      <c r="Q120" s="771"/>
      <c r="R120" s="78"/>
      <c r="S120" s="768"/>
    </row>
    <row r="121" spans="1:19" ht="24.75" customHeight="1">
      <c r="A121" s="8"/>
      <c r="B121" s="18" t="s">
        <v>208</v>
      </c>
      <c r="C121" s="19"/>
      <c r="D121" s="19"/>
      <c r="E121" s="122"/>
      <c r="F121" s="122"/>
      <c r="G121" s="186"/>
      <c r="H121" s="186"/>
      <c r="I121" s="122"/>
      <c r="J121" s="472"/>
      <c r="K121" s="122"/>
      <c r="L121" s="122"/>
      <c r="M121" s="122"/>
      <c r="N121" s="122"/>
      <c r="O121" s="122"/>
      <c r="P121" s="122"/>
      <c r="Q121" s="473"/>
      <c r="R121" s="122"/>
      <c r="S121" s="472"/>
    </row>
    <row r="122" spans="1:19" ht="24.75" customHeight="1">
      <c r="A122" s="8">
        <v>1</v>
      </c>
      <c r="B122" s="12" t="s">
        <v>209</v>
      </c>
      <c r="C122" s="2" t="s">
        <v>210</v>
      </c>
      <c r="D122" s="8" t="s">
        <v>95</v>
      </c>
      <c r="E122" s="70">
        <v>218287.58333333299</v>
      </c>
      <c r="F122" s="70"/>
      <c r="G122" s="186"/>
      <c r="H122" s="186">
        <v>50000</v>
      </c>
      <c r="I122" s="70">
        <v>0</v>
      </c>
      <c r="J122" s="465">
        <f>SUM(E122:I122)</f>
        <v>268287.58333333302</v>
      </c>
      <c r="K122" s="70"/>
      <c r="L122" s="70"/>
      <c r="M122" s="70"/>
      <c r="N122" s="70"/>
      <c r="O122" s="70">
        <v>29305.195546666699</v>
      </c>
      <c r="P122" s="70">
        <v>17463.006666666599</v>
      </c>
      <c r="Q122" s="466">
        <f>O122+N122+M122+L122+K122+P122</f>
        <v>46768.202213333301</v>
      </c>
      <c r="R122" s="70">
        <v>221519.38112000001</v>
      </c>
      <c r="S122" s="465">
        <f>J122-Q122</f>
        <v>221519.38112000001</v>
      </c>
    </row>
    <row r="123" spans="1:19" ht="24.75" customHeight="1">
      <c r="A123" s="8">
        <v>2</v>
      </c>
      <c r="B123" s="9" t="s">
        <v>211</v>
      </c>
      <c r="C123" s="2" t="s">
        <v>212</v>
      </c>
      <c r="D123" s="8" t="s">
        <v>95</v>
      </c>
      <c r="E123" s="70">
        <v>218287.58333333299</v>
      </c>
      <c r="F123" s="70"/>
      <c r="G123" s="186"/>
      <c r="H123" s="186">
        <v>50000</v>
      </c>
      <c r="I123" s="70"/>
      <c r="J123" s="465">
        <f t="shared" ref="J123:J124" si="44">SUM(E123:I123)</f>
        <v>268287.58333333302</v>
      </c>
      <c r="K123" s="70"/>
      <c r="L123" s="70"/>
      <c r="M123" s="70"/>
      <c r="N123" s="70"/>
      <c r="O123" s="70">
        <v>29305.195546666699</v>
      </c>
      <c r="P123" s="70">
        <v>17463.006666666599</v>
      </c>
      <c r="Q123" s="466">
        <f t="shared" ref="Q123:Q124" si="45">O123+N123+M123+L123+K123+P123</f>
        <v>46768.202213333301</v>
      </c>
      <c r="R123" s="70">
        <v>221519.38112000001</v>
      </c>
      <c r="S123" s="465">
        <f>J123-Q123</f>
        <v>221519.38112000001</v>
      </c>
    </row>
    <row r="124" spans="1:19" ht="24.75" customHeight="1">
      <c r="A124" s="8">
        <v>3</v>
      </c>
      <c r="B124" s="9" t="s">
        <v>213</v>
      </c>
      <c r="C124" s="2" t="s">
        <v>214</v>
      </c>
      <c r="D124" s="8" t="s">
        <v>95</v>
      </c>
      <c r="E124" s="70">
        <v>218287.58333333299</v>
      </c>
      <c r="F124" s="70"/>
      <c r="G124" s="186"/>
      <c r="H124" s="186">
        <v>50000</v>
      </c>
      <c r="I124" s="70"/>
      <c r="J124" s="465">
        <f t="shared" si="44"/>
        <v>268287.58333333302</v>
      </c>
      <c r="K124" s="70"/>
      <c r="L124" s="70"/>
      <c r="M124" s="70"/>
      <c r="N124" s="70"/>
      <c r="O124" s="70">
        <v>29305.195546666699</v>
      </c>
      <c r="P124" s="70">
        <v>17463.006666666599</v>
      </c>
      <c r="Q124" s="466">
        <f t="shared" si="45"/>
        <v>46768.202213333301</v>
      </c>
      <c r="R124" s="70">
        <v>221519.38112000001</v>
      </c>
      <c r="S124" s="465">
        <f>J124-Q124</f>
        <v>221519.38112000001</v>
      </c>
    </row>
    <row r="125" spans="1:19" ht="20.100000000000001" customHeight="1">
      <c r="A125" s="2"/>
      <c r="B125" s="18" t="s">
        <v>96</v>
      </c>
      <c r="C125" s="19">
        <v>3</v>
      </c>
      <c r="D125" s="24"/>
      <c r="E125" s="78">
        <f t="shared" ref="E125:S125" si="46">SUM(E122:E124)</f>
        <v>654862.74999999895</v>
      </c>
      <c r="F125" s="78">
        <f t="shared" si="46"/>
        <v>0</v>
      </c>
      <c r="G125" s="78">
        <f t="shared" si="46"/>
        <v>0</v>
      </c>
      <c r="H125" s="78">
        <f t="shared" si="46"/>
        <v>150000</v>
      </c>
      <c r="I125" s="78">
        <f t="shared" si="46"/>
        <v>0</v>
      </c>
      <c r="J125" s="78">
        <f t="shared" si="46"/>
        <v>804862.74999999895</v>
      </c>
      <c r="K125" s="78">
        <f t="shared" si="46"/>
        <v>0</v>
      </c>
      <c r="L125" s="78">
        <f t="shared" si="46"/>
        <v>0</v>
      </c>
      <c r="M125" s="78">
        <f t="shared" si="46"/>
        <v>0</v>
      </c>
      <c r="N125" s="78">
        <f t="shared" si="46"/>
        <v>0</v>
      </c>
      <c r="O125" s="78">
        <f t="shared" si="46"/>
        <v>87915.586640000096</v>
      </c>
      <c r="P125" s="78">
        <f t="shared" si="46"/>
        <v>52389.0199999998</v>
      </c>
      <c r="Q125" s="78">
        <f t="shared" si="46"/>
        <v>140304.60664000001</v>
      </c>
      <c r="R125" s="78">
        <v>664558.14335999999</v>
      </c>
      <c r="S125" s="78">
        <f t="shared" si="46"/>
        <v>664558.14335999999</v>
      </c>
    </row>
    <row r="126" spans="1:19" ht="20.100000000000001" customHeight="1">
      <c r="A126" s="2"/>
      <c r="B126" s="18"/>
      <c r="C126" s="19"/>
      <c r="D126" s="24"/>
      <c r="E126" s="78"/>
      <c r="F126" s="78"/>
      <c r="G126" s="78"/>
      <c r="H126" s="78"/>
      <c r="I126" s="78"/>
      <c r="J126" s="768"/>
      <c r="K126" s="78"/>
      <c r="L126" s="78"/>
      <c r="M126" s="78"/>
      <c r="N126" s="78"/>
      <c r="O126" s="78"/>
      <c r="P126" s="78"/>
      <c r="Q126" s="771"/>
      <c r="R126" s="78"/>
      <c r="S126" s="768"/>
    </row>
    <row r="127" spans="1:19" ht="20.100000000000001" customHeight="1">
      <c r="A127" s="2"/>
      <c r="B127" s="18" t="s">
        <v>215</v>
      </c>
      <c r="C127" s="19"/>
      <c r="D127" s="19"/>
      <c r="E127" s="122"/>
      <c r="F127" s="122"/>
      <c r="G127" s="186"/>
      <c r="H127" s="186"/>
      <c r="I127" s="122"/>
      <c r="J127" s="472"/>
      <c r="K127" s="122"/>
      <c r="L127" s="122"/>
      <c r="M127" s="122"/>
      <c r="N127" s="122"/>
      <c r="O127" s="122"/>
      <c r="P127" s="122"/>
      <c r="Q127" s="466"/>
      <c r="R127" s="70"/>
      <c r="S127" s="465"/>
    </row>
    <row r="128" spans="1:19" ht="20.100000000000001" customHeight="1">
      <c r="A128" s="2">
        <v>1</v>
      </c>
      <c r="B128" s="9" t="s">
        <v>216</v>
      </c>
      <c r="C128" s="10" t="s">
        <v>217</v>
      </c>
      <c r="D128" s="13" t="s">
        <v>100</v>
      </c>
      <c r="E128" s="70">
        <v>1435720</v>
      </c>
      <c r="F128" s="70"/>
      <c r="G128" s="186"/>
      <c r="H128" s="186">
        <f>100000</f>
        <v>100000</v>
      </c>
      <c r="I128" s="70">
        <v>100000</v>
      </c>
      <c r="J128" s="465">
        <f>SUM(E128:I128)</f>
        <v>1635720</v>
      </c>
      <c r="K128" s="70"/>
      <c r="L128" s="70">
        <f>100000</f>
        <v>100000</v>
      </c>
      <c r="M128" s="70">
        <f>327777.78+100000</f>
        <v>427777.78</v>
      </c>
      <c r="N128" s="70">
        <v>19384.766666666699</v>
      </c>
      <c r="O128" s="70">
        <v>270279.89537066699</v>
      </c>
      <c r="P128" s="70">
        <v>114857.60000000001</v>
      </c>
      <c r="Q128" s="466">
        <f>O128+N128+M128+L128+K128+P128</f>
        <v>932300.04203733301</v>
      </c>
      <c r="R128" s="70">
        <v>703419.95796266699</v>
      </c>
      <c r="S128" s="465">
        <f t="shared" ref="S128:S137" si="47">J128-Q128</f>
        <v>703419.95796266699</v>
      </c>
    </row>
    <row r="129" spans="1:19" ht="20.100000000000001" customHeight="1">
      <c r="A129" s="2">
        <v>2</v>
      </c>
      <c r="B129" s="9" t="s">
        <v>218</v>
      </c>
      <c r="C129" s="10" t="s">
        <v>219</v>
      </c>
      <c r="D129" s="13" t="s">
        <v>112</v>
      </c>
      <c r="E129" s="70">
        <v>739203.58333333302</v>
      </c>
      <c r="F129" s="70"/>
      <c r="G129" s="186"/>
      <c r="H129" s="186">
        <f>90000</f>
        <v>90000</v>
      </c>
      <c r="I129" s="70">
        <v>100000</v>
      </c>
      <c r="J129" s="465">
        <f t="shared" ref="J129:J137" si="48">SUM(E129:I129)</f>
        <v>929203.58333333302</v>
      </c>
      <c r="K129" s="70"/>
      <c r="L129" s="70">
        <v>0</v>
      </c>
      <c r="M129" s="70">
        <f>0</f>
        <v>0</v>
      </c>
      <c r="N129" s="70">
        <v>9980.5666666666693</v>
      </c>
      <c r="O129" s="70">
        <v>145522.03071466699</v>
      </c>
      <c r="P129" s="70">
        <v>59136.286666666703</v>
      </c>
      <c r="Q129" s="466">
        <f t="shared" ref="Q129:Q137" si="49">O129+N129+M129+L129+K129+P129</f>
        <v>214638.88404800001</v>
      </c>
      <c r="R129" s="70">
        <v>714564.69928533304</v>
      </c>
      <c r="S129" s="465">
        <f t="shared" si="47"/>
        <v>714564.69928533304</v>
      </c>
    </row>
    <row r="130" spans="1:19" ht="20.100000000000001" customHeight="1">
      <c r="A130" s="2">
        <v>3</v>
      </c>
      <c r="B130" s="12" t="s">
        <v>220</v>
      </c>
      <c r="C130" s="10" t="s">
        <v>221</v>
      </c>
      <c r="D130" s="13" t="s">
        <v>36</v>
      </c>
      <c r="E130" s="70">
        <v>620675.58333333302</v>
      </c>
      <c r="F130" s="70"/>
      <c r="G130" s="186"/>
      <c r="H130" s="186">
        <f>80000</f>
        <v>80000</v>
      </c>
      <c r="I130" s="70">
        <f>100000+30000</f>
        <v>130000</v>
      </c>
      <c r="J130" s="465">
        <f t="shared" si="48"/>
        <v>830675.58333333302</v>
      </c>
      <c r="K130" s="70"/>
      <c r="L130" s="70">
        <f>100000+150000</f>
        <v>250000</v>
      </c>
      <c r="M130" s="70"/>
      <c r="N130" s="70">
        <v>8380.2270833333296</v>
      </c>
      <c r="O130" s="70">
        <v>128461.965706667</v>
      </c>
      <c r="P130" s="70">
        <v>49654.046666666698</v>
      </c>
      <c r="Q130" s="466">
        <f t="shared" si="49"/>
        <v>436496.23945666698</v>
      </c>
      <c r="R130" s="70">
        <v>394179.34387666697</v>
      </c>
      <c r="S130" s="465">
        <f t="shared" si="47"/>
        <v>394179.34387666697</v>
      </c>
    </row>
    <row r="131" spans="1:19" ht="20.100000000000001" customHeight="1">
      <c r="A131" s="2">
        <v>4</v>
      </c>
      <c r="B131" s="9" t="s">
        <v>222</v>
      </c>
      <c r="C131" s="10" t="s">
        <v>223</v>
      </c>
      <c r="D131" s="13" t="s">
        <v>224</v>
      </c>
      <c r="E131" s="70">
        <v>470498</v>
      </c>
      <c r="F131" s="70"/>
      <c r="G131" s="186"/>
      <c r="H131" s="186">
        <f>70000</f>
        <v>70000</v>
      </c>
      <c r="I131" s="70">
        <v>0</v>
      </c>
      <c r="J131" s="465">
        <f t="shared" si="48"/>
        <v>540498</v>
      </c>
      <c r="K131" s="70"/>
      <c r="L131" s="70">
        <v>5000</v>
      </c>
      <c r="M131" s="70">
        <v>195000</v>
      </c>
      <c r="N131" s="70">
        <v>0</v>
      </c>
      <c r="O131" s="70">
        <v>75215.4333866667</v>
      </c>
      <c r="P131" s="70">
        <v>37639.839999999997</v>
      </c>
      <c r="Q131" s="466">
        <f t="shared" si="49"/>
        <v>312855.27338666702</v>
      </c>
      <c r="R131" s="70">
        <v>227642.72661333301</v>
      </c>
      <c r="S131" s="465">
        <f t="shared" si="47"/>
        <v>227642.72661333301</v>
      </c>
    </row>
    <row r="132" spans="1:19" ht="20.100000000000001" customHeight="1">
      <c r="A132" s="2">
        <v>5</v>
      </c>
      <c r="B132" s="9" t="s">
        <v>225</v>
      </c>
      <c r="C132" s="10" t="s">
        <v>226</v>
      </c>
      <c r="D132" s="13" t="s">
        <v>47</v>
      </c>
      <c r="E132" s="70">
        <v>442746.5</v>
      </c>
      <c r="F132" s="70"/>
      <c r="G132" s="186"/>
      <c r="H132" s="186">
        <f t="shared" ref="H132:H133" si="50">70000</f>
        <v>70000</v>
      </c>
      <c r="I132" s="70">
        <v>0</v>
      </c>
      <c r="J132" s="465">
        <f t="shared" si="48"/>
        <v>512746.5</v>
      </c>
      <c r="K132" s="70"/>
      <c r="L132" s="70">
        <f>20000</f>
        <v>20000</v>
      </c>
      <c r="M132" s="70">
        <v>75694.44</v>
      </c>
      <c r="N132" s="70">
        <v>5967.3062499999996</v>
      </c>
      <c r="O132" s="70">
        <v>70189.308746666706</v>
      </c>
      <c r="P132" s="70">
        <v>35419.72</v>
      </c>
      <c r="Q132" s="466">
        <f t="shared" si="49"/>
        <v>207270.77499666699</v>
      </c>
      <c r="R132" s="70">
        <v>305475.72500333301</v>
      </c>
      <c r="S132" s="465">
        <f t="shared" si="47"/>
        <v>305475.72500333301</v>
      </c>
    </row>
    <row r="133" spans="1:19" ht="20.100000000000001" customHeight="1">
      <c r="A133" s="2">
        <v>6</v>
      </c>
      <c r="B133" s="9" t="s">
        <v>227</v>
      </c>
      <c r="C133" s="10" t="s">
        <v>223</v>
      </c>
      <c r="D133" s="13" t="s">
        <v>150</v>
      </c>
      <c r="E133" s="70">
        <v>456622.25</v>
      </c>
      <c r="F133" s="70"/>
      <c r="G133" s="186"/>
      <c r="H133" s="186">
        <f t="shared" si="50"/>
        <v>70000</v>
      </c>
      <c r="I133" s="70"/>
      <c r="J133" s="465">
        <f t="shared" si="48"/>
        <v>526622.25</v>
      </c>
      <c r="K133" s="70"/>
      <c r="L133" s="70">
        <f>35000+25000</f>
        <v>60000</v>
      </c>
      <c r="M133" s="70">
        <f>55000</f>
        <v>55000</v>
      </c>
      <c r="N133" s="70">
        <v>6154.3229166666697</v>
      </c>
      <c r="O133" s="70">
        <v>72636.104186666693</v>
      </c>
      <c r="P133" s="70">
        <v>36529.78</v>
      </c>
      <c r="Q133" s="466">
        <f t="shared" si="49"/>
        <v>230320.207103333</v>
      </c>
      <c r="R133" s="70">
        <v>296302.04289666697</v>
      </c>
      <c r="S133" s="465">
        <f t="shared" si="47"/>
        <v>296302.04289666697</v>
      </c>
    </row>
    <row r="134" spans="1:19" ht="20.100000000000001" customHeight="1">
      <c r="A134" s="2">
        <v>7</v>
      </c>
      <c r="B134" s="9" t="s">
        <v>228</v>
      </c>
      <c r="C134" s="10" t="s">
        <v>229</v>
      </c>
      <c r="D134" s="8" t="s">
        <v>75</v>
      </c>
      <c r="E134" s="70">
        <v>270481.66666666698</v>
      </c>
      <c r="F134" s="70"/>
      <c r="G134" s="186"/>
      <c r="H134" s="186">
        <f>60000</f>
        <v>60000</v>
      </c>
      <c r="I134" s="70"/>
      <c r="J134" s="465">
        <f t="shared" si="48"/>
        <v>330481.66666666698</v>
      </c>
      <c r="K134" s="70"/>
      <c r="L134" s="70">
        <v>15000</v>
      </c>
      <c r="M134" s="70">
        <v>100000</v>
      </c>
      <c r="N134" s="70"/>
      <c r="O134" s="70">
        <v>39052.313066666698</v>
      </c>
      <c r="P134" s="70">
        <v>21638.5333333333</v>
      </c>
      <c r="Q134" s="466">
        <f t="shared" si="49"/>
        <v>175690.84640000001</v>
      </c>
      <c r="R134" s="70">
        <v>154790.820266667</v>
      </c>
      <c r="S134" s="465">
        <f t="shared" si="47"/>
        <v>154790.820266667</v>
      </c>
    </row>
    <row r="135" spans="1:19" ht="20.100000000000001" customHeight="1">
      <c r="A135" s="2">
        <v>8</v>
      </c>
      <c r="B135" s="16" t="s">
        <v>230</v>
      </c>
      <c r="C135" s="10" t="s">
        <v>231</v>
      </c>
      <c r="D135" s="13" t="s">
        <v>92</v>
      </c>
      <c r="E135" s="70">
        <v>224459.75</v>
      </c>
      <c r="F135" s="70"/>
      <c r="G135" s="186"/>
      <c r="H135" s="186">
        <f>50000</f>
        <v>50000</v>
      </c>
      <c r="I135" s="70"/>
      <c r="J135" s="465">
        <f t="shared" si="48"/>
        <v>274459.75</v>
      </c>
      <c r="K135" s="70"/>
      <c r="L135" s="70">
        <f>10000</f>
        <v>10000</v>
      </c>
      <c r="M135" s="70">
        <f>100000</f>
        <v>100000</v>
      </c>
      <c r="N135" s="70">
        <v>0</v>
      </c>
      <c r="O135" s="70">
        <v>30259.165626666701</v>
      </c>
      <c r="P135" s="70">
        <v>17956.78</v>
      </c>
      <c r="Q135" s="466">
        <f t="shared" si="49"/>
        <v>158215.945626667</v>
      </c>
      <c r="R135" s="70">
        <v>116243.804373333</v>
      </c>
      <c r="S135" s="465">
        <f t="shared" si="47"/>
        <v>116243.804373333</v>
      </c>
    </row>
    <row r="136" spans="1:19" ht="20.100000000000001" customHeight="1">
      <c r="A136" s="2">
        <v>9</v>
      </c>
      <c r="B136" s="16" t="s">
        <v>232</v>
      </c>
      <c r="C136" s="10" t="s">
        <v>233</v>
      </c>
      <c r="D136" s="13" t="s">
        <v>92</v>
      </c>
      <c r="E136" s="70">
        <v>224459.75</v>
      </c>
      <c r="F136" s="70"/>
      <c r="G136" s="186"/>
      <c r="H136" s="186">
        <v>50000</v>
      </c>
      <c r="I136" s="70"/>
      <c r="J136" s="465">
        <f t="shared" si="48"/>
        <v>274459.75</v>
      </c>
      <c r="K136" s="70"/>
      <c r="L136" s="70">
        <f>10000+10000</f>
        <v>20000</v>
      </c>
      <c r="M136" s="70">
        <v>63888.89</v>
      </c>
      <c r="N136" s="70">
        <v>0</v>
      </c>
      <c r="O136" s="70">
        <v>30259.165626666701</v>
      </c>
      <c r="P136" s="70">
        <v>17956.78</v>
      </c>
      <c r="Q136" s="466">
        <f t="shared" si="49"/>
        <v>132104.83562666699</v>
      </c>
      <c r="R136" s="70">
        <v>142354.91437333301</v>
      </c>
      <c r="S136" s="465">
        <f t="shared" si="47"/>
        <v>142354.91437333301</v>
      </c>
    </row>
    <row r="137" spans="1:19" ht="20.100000000000001" customHeight="1">
      <c r="A137" s="2">
        <v>10</v>
      </c>
      <c r="B137" s="16" t="s">
        <v>234</v>
      </c>
      <c r="C137" s="10" t="s">
        <v>231</v>
      </c>
      <c r="D137" s="13" t="s">
        <v>95</v>
      </c>
      <c r="E137" s="70">
        <v>218287.58333333299</v>
      </c>
      <c r="F137" s="70"/>
      <c r="G137" s="186"/>
      <c r="H137" s="186">
        <v>50000</v>
      </c>
      <c r="I137" s="70"/>
      <c r="J137" s="465">
        <f t="shared" si="48"/>
        <v>268287.58333333302</v>
      </c>
      <c r="K137" s="70"/>
      <c r="L137" s="635">
        <f>20000</f>
        <v>20000</v>
      </c>
      <c r="M137" s="635">
        <v>50000</v>
      </c>
      <c r="O137" s="635">
        <f>29305.1955466667</f>
        <v>29305.195546666699</v>
      </c>
      <c r="P137" s="636">
        <f>218287.583333333*0.08</f>
        <v>17463.006666666599</v>
      </c>
      <c r="Q137" s="466">
        <f t="shared" si="49"/>
        <v>116768.202213333</v>
      </c>
      <c r="R137" s="70">
        <v>151519.38112000001</v>
      </c>
      <c r="S137" s="465">
        <f t="shared" si="47"/>
        <v>151519.38112000001</v>
      </c>
    </row>
    <row r="138" spans="1:19" ht="28.5" customHeight="1">
      <c r="A138" s="2"/>
      <c r="B138" s="18" t="s">
        <v>96</v>
      </c>
      <c r="C138" s="24" t="s">
        <v>235</v>
      </c>
      <c r="D138" s="13"/>
      <c r="E138" s="122">
        <f t="shared" ref="E138:S138" si="51">SUM(E128:E137)</f>
        <v>5103154.6666666698</v>
      </c>
      <c r="F138" s="122">
        <f t="shared" si="51"/>
        <v>0</v>
      </c>
      <c r="G138" s="122">
        <f t="shared" si="51"/>
        <v>0</v>
      </c>
      <c r="H138" s="122">
        <f t="shared" si="51"/>
        <v>690000</v>
      </c>
      <c r="I138" s="122">
        <f t="shared" si="51"/>
        <v>330000</v>
      </c>
      <c r="J138" s="122">
        <f t="shared" si="51"/>
        <v>6123154.6666666698</v>
      </c>
      <c r="K138" s="122">
        <f t="shared" si="51"/>
        <v>0</v>
      </c>
      <c r="L138" s="122">
        <f t="shared" si="51"/>
        <v>500000</v>
      </c>
      <c r="M138" s="122">
        <f t="shared" si="51"/>
        <v>1067361.1100000001</v>
      </c>
      <c r="N138" s="122">
        <f t="shared" si="51"/>
        <v>49867.189583333398</v>
      </c>
      <c r="O138" s="122">
        <f t="shared" si="51"/>
        <v>891180.57797866804</v>
      </c>
      <c r="P138" s="122">
        <f t="shared" si="51"/>
        <v>408252.373333333</v>
      </c>
      <c r="Q138" s="122">
        <f t="shared" si="51"/>
        <v>2916661.2508953302</v>
      </c>
      <c r="R138" s="122">
        <v>3206493.4157713298</v>
      </c>
      <c r="S138" s="122">
        <f t="shared" si="51"/>
        <v>3206493.4157713298</v>
      </c>
    </row>
    <row r="139" spans="1:19" ht="20.100000000000001" customHeight="1">
      <c r="A139" s="2"/>
      <c r="B139" s="20"/>
      <c r="C139" s="24"/>
      <c r="D139" s="13"/>
      <c r="E139" s="122"/>
      <c r="F139" s="122"/>
      <c r="G139" s="186"/>
      <c r="H139" s="186"/>
      <c r="I139" s="122"/>
      <c r="J139" s="472"/>
      <c r="K139" s="122"/>
      <c r="L139" s="122"/>
      <c r="M139" s="122"/>
      <c r="N139" s="122"/>
      <c r="O139" s="122"/>
      <c r="P139" s="122"/>
      <c r="Q139" s="473"/>
      <c r="R139" s="122"/>
      <c r="S139" s="472"/>
    </row>
    <row r="140" spans="1:19" ht="20.100000000000001" customHeight="1">
      <c r="A140" s="2"/>
      <c r="B140" s="18" t="s">
        <v>236</v>
      </c>
      <c r="C140" s="10"/>
      <c r="D140" s="13"/>
      <c r="E140" s="70"/>
      <c r="F140" s="70"/>
      <c r="G140" s="186"/>
      <c r="H140" s="186"/>
      <c r="I140" s="70"/>
      <c r="J140" s="465"/>
      <c r="K140" s="70"/>
      <c r="L140" s="70"/>
      <c r="M140" s="70"/>
      <c r="N140" s="70"/>
      <c r="O140" s="70"/>
      <c r="P140" s="70"/>
      <c r="Q140" s="466"/>
      <c r="R140" s="70"/>
      <c r="S140" s="465"/>
    </row>
    <row r="141" spans="1:19" ht="20.100000000000001" customHeight="1">
      <c r="A141" s="25">
        <v>1</v>
      </c>
      <c r="B141" s="9" t="s">
        <v>237</v>
      </c>
      <c r="C141" s="10" t="s">
        <v>238</v>
      </c>
      <c r="D141" s="13" t="s">
        <v>100</v>
      </c>
      <c r="E141" s="70">
        <v>1435720</v>
      </c>
      <c r="F141" s="70"/>
      <c r="G141" s="186"/>
      <c r="H141" s="186">
        <f>100000</f>
        <v>100000</v>
      </c>
      <c r="I141" s="70">
        <v>0</v>
      </c>
      <c r="J141" s="465">
        <f>SUM(E141:I141)</f>
        <v>1535720</v>
      </c>
      <c r="K141" s="70"/>
      <c r="L141" s="70">
        <f>100000</f>
        <v>100000</v>
      </c>
      <c r="M141" s="70">
        <f>208526.24</f>
        <v>208526.24</v>
      </c>
      <c r="N141" s="70"/>
      <c r="O141" s="70">
        <v>251472.247466667</v>
      </c>
      <c r="P141" s="70">
        <v>114857.60000000001</v>
      </c>
      <c r="Q141" s="466">
        <f>O141+N141+M141+L141+K141+P141</f>
        <v>674856.08746666706</v>
      </c>
      <c r="R141" s="70">
        <v>860863.91253333294</v>
      </c>
      <c r="S141" s="465">
        <f>J141-Q141</f>
        <v>860863.91253333294</v>
      </c>
    </row>
    <row r="142" spans="1:19" ht="20.100000000000001" customHeight="1">
      <c r="A142" s="25">
        <v>2</v>
      </c>
      <c r="B142" s="12" t="s">
        <v>239</v>
      </c>
      <c r="C142" s="2" t="s">
        <v>240</v>
      </c>
      <c r="D142" s="14" t="s">
        <v>191</v>
      </c>
      <c r="E142" s="70">
        <v>762373.16666666698</v>
      </c>
      <c r="F142" s="70"/>
      <c r="G142" s="186"/>
      <c r="H142" s="186">
        <f>80000+10000</f>
        <v>90000</v>
      </c>
      <c r="I142" s="70">
        <v>50000</v>
      </c>
      <c r="J142" s="465">
        <f>SUM(E142:I142)</f>
        <v>902373.16666666698</v>
      </c>
      <c r="K142" s="70"/>
      <c r="L142" s="70">
        <f>37500</f>
        <v>37500</v>
      </c>
      <c r="M142" s="70"/>
      <c r="N142" s="70">
        <v>10293.3979166667</v>
      </c>
      <c r="O142" s="70">
        <v>140007.52761066699</v>
      </c>
      <c r="P142" s="70">
        <v>60989.853333333303</v>
      </c>
      <c r="Q142" s="466">
        <f>O142+N142+M142+L142+K142+P142</f>
        <v>248790.77886066699</v>
      </c>
      <c r="R142" s="70">
        <v>653582.38780599996</v>
      </c>
      <c r="S142" s="465">
        <f>J142-Q142</f>
        <v>653582.38780599996</v>
      </c>
    </row>
    <row r="143" spans="1:19" ht="20.100000000000001" customHeight="1">
      <c r="A143" s="25">
        <v>3</v>
      </c>
      <c r="B143" s="9" t="s">
        <v>241</v>
      </c>
      <c r="C143" s="10" t="s">
        <v>242</v>
      </c>
      <c r="D143" s="13" t="s">
        <v>39</v>
      </c>
      <c r="E143" s="70">
        <v>582118.08333333302</v>
      </c>
      <c r="F143" s="70"/>
      <c r="G143" s="186"/>
      <c r="H143" s="186">
        <v>80000</v>
      </c>
      <c r="I143" s="70"/>
      <c r="J143" s="465">
        <f>SUM(E143:I143)</f>
        <v>662118.08333333302</v>
      </c>
      <c r="K143" s="70"/>
      <c r="L143" s="70">
        <f>30000+20000</f>
        <v>50000</v>
      </c>
      <c r="M143" s="70">
        <f>91666.67</f>
        <v>91666.67</v>
      </c>
      <c r="N143" s="70">
        <v>8380.2270833333296</v>
      </c>
      <c r="O143" s="70">
        <v>95312.1873578667</v>
      </c>
      <c r="P143" s="70">
        <f t="shared" ref="P143:P145" si="52">46569.45</f>
        <v>46569.45</v>
      </c>
      <c r="Q143" s="466">
        <f>O143+N143+M143+L143+K143+P143</f>
        <v>291928.53444120003</v>
      </c>
      <c r="R143" s="70">
        <v>635126.99098066601</v>
      </c>
      <c r="S143" s="465">
        <f>J143-Q143</f>
        <v>370189.548892133</v>
      </c>
    </row>
    <row r="144" spans="1:19" ht="20.100000000000001" customHeight="1">
      <c r="A144" s="25">
        <v>4</v>
      </c>
      <c r="B144" s="9" t="s">
        <v>243</v>
      </c>
      <c r="C144" s="2" t="s">
        <v>244</v>
      </c>
      <c r="D144" s="13" t="s">
        <v>39</v>
      </c>
      <c r="E144" s="70">
        <v>582119.08333333302</v>
      </c>
      <c r="F144" s="70"/>
      <c r="G144" s="186"/>
      <c r="H144" s="186">
        <v>80000</v>
      </c>
      <c r="I144" s="70">
        <v>0</v>
      </c>
      <c r="J144" s="465">
        <f>SUM(E144:I144)</f>
        <v>662119.08333333302</v>
      </c>
      <c r="K144" s="70"/>
      <c r="L144" s="70">
        <f>0</f>
        <v>0</v>
      </c>
      <c r="M144" s="70">
        <f>163333.33</f>
        <v>163333.32999999999</v>
      </c>
      <c r="N144" s="70">
        <v>8381.2270833333296</v>
      </c>
      <c r="O144" s="70">
        <v>95312.1873578667</v>
      </c>
      <c r="P144" s="70">
        <f t="shared" si="52"/>
        <v>46569.45</v>
      </c>
      <c r="Q144" s="466">
        <f>O144+N144+M144+L144+K144+P144</f>
        <v>313596.1944412</v>
      </c>
      <c r="R144" s="70">
        <v>639456.86362066597</v>
      </c>
      <c r="S144" s="465">
        <f>J144-Q144</f>
        <v>348522.88889213302</v>
      </c>
    </row>
    <row r="145" spans="1:19" ht="20.100000000000001" customHeight="1">
      <c r="A145" s="25">
        <v>5</v>
      </c>
      <c r="B145" s="9" t="s">
        <v>245</v>
      </c>
      <c r="C145" s="2" t="s">
        <v>244</v>
      </c>
      <c r="D145" s="13" t="s">
        <v>39</v>
      </c>
      <c r="E145" s="70">
        <v>582120.08333333302</v>
      </c>
      <c r="F145" s="70"/>
      <c r="G145" s="186"/>
      <c r="H145" s="186">
        <v>80000</v>
      </c>
      <c r="I145" s="70">
        <v>0</v>
      </c>
      <c r="J145" s="465">
        <f>SUM(E145:I145)</f>
        <v>662120.08333333302</v>
      </c>
      <c r="K145" s="70"/>
      <c r="L145" s="70">
        <f>0</f>
        <v>0</v>
      </c>
      <c r="M145" s="70">
        <v>0</v>
      </c>
      <c r="N145" s="70">
        <v>8382.2270833333296</v>
      </c>
      <c r="O145" s="70">
        <v>95312.1873578667</v>
      </c>
      <c r="P145" s="70">
        <f t="shared" si="52"/>
        <v>46569.45</v>
      </c>
      <c r="Q145" s="466">
        <f>O145+N145+M145+L145+K145+P145</f>
        <v>150263.86444120001</v>
      </c>
      <c r="R145" s="70">
        <v>776791.40626066597</v>
      </c>
      <c r="S145" s="465">
        <f>J145-Q145</f>
        <v>511856.21889213298</v>
      </c>
    </row>
    <row r="146" spans="1:19" ht="20.100000000000001" customHeight="1">
      <c r="A146" s="25">
        <v>6</v>
      </c>
      <c r="B146" s="9" t="s">
        <v>246</v>
      </c>
      <c r="C146" s="10" t="s">
        <v>181</v>
      </c>
      <c r="D146" s="13" t="s">
        <v>168</v>
      </c>
      <c r="E146" s="70">
        <v>390248.91666666698</v>
      </c>
      <c r="F146" s="70"/>
      <c r="G146" s="186"/>
      <c r="H146" s="186">
        <f>70000</f>
        <v>70000</v>
      </c>
      <c r="I146" s="70">
        <v>0</v>
      </c>
      <c r="J146" s="465">
        <f t="shared" ref="J146:J156" si="53">SUM(E146:I146)</f>
        <v>460248.91666666698</v>
      </c>
      <c r="K146" s="70"/>
      <c r="L146" s="70"/>
      <c r="M146" s="70">
        <f>100000</f>
        <v>100000</v>
      </c>
      <c r="N146" s="70">
        <v>0</v>
      </c>
      <c r="O146" s="70">
        <v>70640.235255466701</v>
      </c>
      <c r="P146" s="70">
        <f>31219.91</f>
        <v>31219.91</v>
      </c>
      <c r="Q146" s="466">
        <f t="shared" ref="Q146:Q156" si="54">O146+N146+M146+L146+K146+P146</f>
        <v>201860.14525546701</v>
      </c>
      <c r="R146" s="70">
        <v>426020.71961173398</v>
      </c>
      <c r="S146" s="465">
        <f t="shared" ref="S146:S173" si="55">J146-Q146</f>
        <v>258388.7714112</v>
      </c>
    </row>
    <row r="147" spans="1:19" ht="20.100000000000001" customHeight="1">
      <c r="A147" s="25">
        <v>7</v>
      </c>
      <c r="B147" s="9" t="s">
        <v>247</v>
      </c>
      <c r="C147" s="2" t="s">
        <v>248</v>
      </c>
      <c r="D147" s="13" t="s">
        <v>168</v>
      </c>
      <c r="E147" s="70">
        <v>390248.91666666698</v>
      </c>
      <c r="F147" s="70"/>
      <c r="G147" s="186"/>
      <c r="H147" s="186">
        <f>70000</f>
        <v>70000</v>
      </c>
      <c r="I147" s="70"/>
      <c r="J147" s="465">
        <f t="shared" si="53"/>
        <v>460248.91666666698</v>
      </c>
      <c r="K147" s="70"/>
      <c r="L147" s="70">
        <f>30000</f>
        <v>30000</v>
      </c>
      <c r="M147" s="70">
        <v>0</v>
      </c>
      <c r="N147" s="70">
        <v>0</v>
      </c>
      <c r="O147" s="70">
        <v>70640.235255466701</v>
      </c>
      <c r="P147" s="70">
        <f>31219.91</f>
        <v>31219.91</v>
      </c>
      <c r="Q147" s="466">
        <f t="shared" si="54"/>
        <v>131860.14525546701</v>
      </c>
      <c r="R147" s="70">
        <v>481110.492309867</v>
      </c>
      <c r="S147" s="465">
        <f t="shared" si="55"/>
        <v>328388.7714112</v>
      </c>
    </row>
    <row r="148" spans="1:19" ht="20.100000000000001" customHeight="1">
      <c r="A148" s="25">
        <v>8</v>
      </c>
      <c r="B148" s="9" t="s">
        <v>249</v>
      </c>
      <c r="C148" s="10" t="s">
        <v>250</v>
      </c>
      <c r="D148" s="13" t="s">
        <v>62</v>
      </c>
      <c r="E148" s="70">
        <v>377895.16666666698</v>
      </c>
      <c r="F148" s="70"/>
      <c r="G148" s="186"/>
      <c r="H148" s="186">
        <f>60000</f>
        <v>60000</v>
      </c>
      <c r="I148" s="70"/>
      <c r="J148" s="465">
        <f t="shared" si="53"/>
        <v>437895.16666666698</v>
      </c>
      <c r="K148" s="70"/>
      <c r="L148" s="70">
        <v>35000</v>
      </c>
      <c r="M148" s="70">
        <v>159722.22</v>
      </c>
      <c r="N148" s="70">
        <v>0</v>
      </c>
      <c r="O148" s="70">
        <v>56938.068906666696</v>
      </c>
      <c r="P148" s="70">
        <v>30231.613333333298</v>
      </c>
      <c r="Q148" s="466">
        <f t="shared" si="54"/>
        <v>281891.90224000002</v>
      </c>
      <c r="R148" s="70">
        <v>156003.26442666701</v>
      </c>
      <c r="S148" s="465">
        <f t="shared" si="55"/>
        <v>156003.26442666701</v>
      </c>
    </row>
    <row r="149" spans="1:19" ht="20.100000000000001" customHeight="1">
      <c r="A149" s="25">
        <v>9</v>
      </c>
      <c r="B149" s="9" t="s">
        <v>251</v>
      </c>
      <c r="C149" s="10" t="s">
        <v>252</v>
      </c>
      <c r="D149" s="13" t="s">
        <v>137</v>
      </c>
      <c r="E149" s="70">
        <v>365703.83333333302</v>
      </c>
      <c r="F149" s="70"/>
      <c r="G149" s="186"/>
      <c r="H149" s="186">
        <f>60000</f>
        <v>60000</v>
      </c>
      <c r="I149" s="70"/>
      <c r="J149" s="465">
        <f t="shared" si="53"/>
        <v>425703.83333333302</v>
      </c>
      <c r="K149" s="70"/>
      <c r="L149" s="70">
        <f>10000</f>
        <v>10000</v>
      </c>
      <c r="M149" s="70">
        <v>100000</v>
      </c>
      <c r="N149" s="70">
        <v>4928.9333333333298</v>
      </c>
      <c r="O149" s="70">
        <v>54681.291562666702</v>
      </c>
      <c r="P149" s="70">
        <v>29256.3066666667</v>
      </c>
      <c r="Q149" s="466">
        <f t="shared" si="54"/>
        <v>198866.53156266699</v>
      </c>
      <c r="R149" s="70">
        <v>226837.301770666</v>
      </c>
      <c r="S149" s="465">
        <f t="shared" si="55"/>
        <v>226837.301770666</v>
      </c>
    </row>
    <row r="150" spans="1:19" ht="20.100000000000001" customHeight="1">
      <c r="A150" s="25">
        <v>10</v>
      </c>
      <c r="B150" s="9" t="s">
        <v>253</v>
      </c>
      <c r="C150" s="10" t="s">
        <v>254</v>
      </c>
      <c r="D150" s="13" t="s">
        <v>255</v>
      </c>
      <c r="E150" s="70">
        <v>390086.5</v>
      </c>
      <c r="F150" s="70"/>
      <c r="G150" s="186"/>
      <c r="H150" s="186">
        <f>60000</f>
        <v>60000</v>
      </c>
      <c r="I150" s="70"/>
      <c r="J150" s="465">
        <f t="shared" si="53"/>
        <v>450086.5</v>
      </c>
      <c r="K150" s="70"/>
      <c r="L150" s="70">
        <v>20000</v>
      </c>
      <c r="M150" s="70">
        <f>68750</f>
        <v>68750</v>
      </c>
      <c r="N150" s="70">
        <v>5257.5625</v>
      </c>
      <c r="O150" s="70">
        <v>58980.834746666696</v>
      </c>
      <c r="P150" s="70">
        <v>31206.92</v>
      </c>
      <c r="Q150" s="466">
        <f t="shared" si="54"/>
        <v>184195.31724666699</v>
      </c>
      <c r="R150" s="70">
        <v>265891.18275333301</v>
      </c>
      <c r="S150" s="465">
        <f t="shared" si="55"/>
        <v>265891.18275333301</v>
      </c>
    </row>
    <row r="151" spans="1:19" ht="20.100000000000001" customHeight="1">
      <c r="A151" s="25">
        <v>11</v>
      </c>
      <c r="B151" s="16" t="s">
        <v>256</v>
      </c>
      <c r="C151" s="2" t="s">
        <v>257</v>
      </c>
      <c r="D151" s="13" t="s">
        <v>65</v>
      </c>
      <c r="E151" s="186">
        <v>353512.5</v>
      </c>
      <c r="F151" s="70"/>
      <c r="G151" s="186"/>
      <c r="H151" s="186">
        <v>60000</v>
      </c>
      <c r="I151" s="70"/>
      <c r="J151" s="465">
        <f t="shared" si="53"/>
        <v>413512.5</v>
      </c>
      <c r="K151" s="70"/>
      <c r="L151" s="70">
        <f>30000</f>
        <v>30000</v>
      </c>
      <c r="M151" s="70"/>
      <c r="N151" s="70">
        <v>0</v>
      </c>
      <c r="O151" s="70">
        <v>52631.114666666697</v>
      </c>
      <c r="P151" s="70">
        <v>28281</v>
      </c>
      <c r="Q151" s="466">
        <f t="shared" si="54"/>
        <v>110912.114666667</v>
      </c>
      <c r="R151" s="70">
        <v>285100.38533333299</v>
      </c>
      <c r="S151" s="465">
        <f t="shared" si="55"/>
        <v>302600.38533333299</v>
      </c>
    </row>
    <row r="152" spans="1:19" ht="20.100000000000001" customHeight="1">
      <c r="A152" s="25">
        <v>12</v>
      </c>
      <c r="B152" s="9" t="s">
        <v>258</v>
      </c>
      <c r="C152" s="2" t="s">
        <v>257</v>
      </c>
      <c r="D152" s="13" t="s">
        <v>65</v>
      </c>
      <c r="E152" s="186">
        <v>353512.5</v>
      </c>
      <c r="F152" s="70"/>
      <c r="G152" s="186"/>
      <c r="H152" s="186">
        <f>60000</f>
        <v>60000</v>
      </c>
      <c r="I152" s="70"/>
      <c r="J152" s="465">
        <f t="shared" si="53"/>
        <v>413512.5</v>
      </c>
      <c r="K152" s="70"/>
      <c r="L152" s="70">
        <f>10000</f>
        <v>10000</v>
      </c>
      <c r="M152" s="70">
        <f>100000</f>
        <v>100000</v>
      </c>
      <c r="N152" s="70">
        <v>0</v>
      </c>
      <c r="O152" s="70">
        <v>52631.114666666697</v>
      </c>
      <c r="P152" s="70">
        <v>28281</v>
      </c>
      <c r="Q152" s="466">
        <f t="shared" si="54"/>
        <v>190912.11466666701</v>
      </c>
      <c r="R152" s="70">
        <v>337882.41813333298</v>
      </c>
      <c r="S152" s="465">
        <f t="shared" si="55"/>
        <v>222600.38533333299</v>
      </c>
    </row>
    <row r="153" spans="1:19" ht="20.100000000000001" customHeight="1">
      <c r="A153" s="25">
        <v>13</v>
      </c>
      <c r="B153" s="9" t="s">
        <v>259</v>
      </c>
      <c r="C153" s="2" t="s">
        <v>257</v>
      </c>
      <c r="D153" s="13" t="s">
        <v>65</v>
      </c>
      <c r="E153" s="186">
        <v>353512.5</v>
      </c>
      <c r="F153" s="70"/>
      <c r="G153" s="186"/>
      <c r="H153" s="186">
        <f>60000</f>
        <v>60000</v>
      </c>
      <c r="I153" s="70"/>
      <c r="J153" s="465">
        <f t="shared" si="53"/>
        <v>413512.5</v>
      </c>
      <c r="K153" s="70"/>
      <c r="L153" s="70">
        <f>10000</f>
        <v>10000</v>
      </c>
      <c r="M153" s="70">
        <v>70000</v>
      </c>
      <c r="N153" s="70">
        <v>4928.9333333333298</v>
      </c>
      <c r="O153" s="70">
        <v>52631.114666666697</v>
      </c>
      <c r="P153" s="70">
        <v>28281</v>
      </c>
      <c r="Q153" s="466">
        <f t="shared" si="54"/>
        <v>165841.04800000001</v>
      </c>
      <c r="R153" s="70">
        <v>343636.71529333299</v>
      </c>
      <c r="S153" s="465">
        <f t="shared" si="55"/>
        <v>247671.45199999999</v>
      </c>
    </row>
    <row r="154" spans="1:19" ht="20.100000000000001" customHeight="1">
      <c r="A154" s="25">
        <v>14</v>
      </c>
      <c r="B154" s="9" t="s">
        <v>260</v>
      </c>
      <c r="C154" s="2" t="s">
        <v>257</v>
      </c>
      <c r="D154" s="13" t="s">
        <v>65</v>
      </c>
      <c r="E154" s="186">
        <v>353512.5</v>
      </c>
      <c r="F154" s="70"/>
      <c r="G154" s="186"/>
      <c r="H154" s="186">
        <f>60000</f>
        <v>60000</v>
      </c>
      <c r="I154" s="70"/>
      <c r="J154" s="465">
        <f t="shared" si="53"/>
        <v>413512.5</v>
      </c>
      <c r="K154" s="70"/>
      <c r="L154" s="70">
        <f>10000</f>
        <v>10000</v>
      </c>
      <c r="M154" s="70"/>
      <c r="N154" s="70">
        <v>0</v>
      </c>
      <c r="O154" s="70">
        <v>52631.114666666697</v>
      </c>
      <c r="P154" s="70">
        <v>28281</v>
      </c>
      <c r="Q154" s="466">
        <f t="shared" si="54"/>
        <v>90912.114666666705</v>
      </c>
      <c r="R154" s="70">
        <v>673774.86266666697</v>
      </c>
      <c r="S154" s="465">
        <f t="shared" si="55"/>
        <v>322600.38533333299</v>
      </c>
    </row>
    <row r="155" spans="1:19" ht="20.100000000000001" customHeight="1">
      <c r="A155" s="25">
        <v>15</v>
      </c>
      <c r="B155" s="9" t="s">
        <v>261</v>
      </c>
      <c r="C155" s="10" t="s">
        <v>262</v>
      </c>
      <c r="D155" s="13" t="s">
        <v>104</v>
      </c>
      <c r="E155" s="186">
        <v>300965.58333333302</v>
      </c>
      <c r="F155" s="70"/>
      <c r="G155" s="186"/>
      <c r="H155" s="186">
        <f>60000</f>
        <v>60000</v>
      </c>
      <c r="I155" s="70"/>
      <c r="J155" s="465">
        <f t="shared" si="53"/>
        <v>360965.58333333302</v>
      </c>
      <c r="K155" s="70"/>
      <c r="L155" s="70">
        <f>30000</f>
        <v>30000</v>
      </c>
      <c r="M155" s="70"/>
      <c r="N155" s="70">
        <v>0</v>
      </c>
      <c r="O155" s="70">
        <v>43763.907226666699</v>
      </c>
      <c r="P155" s="70">
        <v>24077.246666666699</v>
      </c>
      <c r="Q155" s="466">
        <f t="shared" si="54"/>
        <v>97841.153893333394</v>
      </c>
      <c r="R155" s="70">
        <v>263124.42943999998</v>
      </c>
      <c r="S155" s="465">
        <f t="shared" si="55"/>
        <v>263124.42943999998</v>
      </c>
    </row>
    <row r="156" spans="1:19" ht="20.100000000000001" customHeight="1">
      <c r="A156" s="25">
        <v>16</v>
      </c>
      <c r="B156" s="9" t="s">
        <v>263</v>
      </c>
      <c r="C156" s="10" t="s">
        <v>264</v>
      </c>
      <c r="D156" s="8" t="s">
        <v>80</v>
      </c>
      <c r="E156" s="70">
        <v>263165.33333333302</v>
      </c>
      <c r="F156" s="70"/>
      <c r="G156" s="186"/>
      <c r="H156" s="186">
        <f>60000</f>
        <v>60000</v>
      </c>
      <c r="I156" s="70"/>
      <c r="J156" s="465">
        <f t="shared" si="53"/>
        <v>323165.33333333302</v>
      </c>
      <c r="K156" s="70"/>
      <c r="L156" s="70">
        <f>30000</f>
        <v>30000</v>
      </c>
      <c r="M156" s="70"/>
      <c r="N156" s="70">
        <v>0</v>
      </c>
      <c r="O156" s="70">
        <v>37921.500586666698</v>
      </c>
      <c r="P156" s="70">
        <v>21053.226666666698</v>
      </c>
      <c r="Q156" s="466">
        <f t="shared" si="54"/>
        <v>88974.727253333403</v>
      </c>
      <c r="R156" s="70">
        <v>234190.60608</v>
      </c>
      <c r="S156" s="465">
        <f t="shared" si="55"/>
        <v>234190.60608</v>
      </c>
    </row>
    <row r="157" spans="1:19" ht="20.100000000000001" customHeight="1">
      <c r="A157" s="25">
        <v>17</v>
      </c>
      <c r="B157" s="9" t="s">
        <v>265</v>
      </c>
      <c r="C157" s="10" t="s">
        <v>266</v>
      </c>
      <c r="D157" s="13" t="s">
        <v>267</v>
      </c>
      <c r="E157" s="186">
        <v>308901.5</v>
      </c>
      <c r="F157" s="70"/>
      <c r="G157" s="186"/>
      <c r="H157" s="186">
        <f>50000+10000</f>
        <v>60000</v>
      </c>
      <c r="I157" s="70"/>
      <c r="J157" s="465">
        <f t="shared" ref="J157:J162" si="56">SUM(E157:I157)</f>
        <v>368901.5</v>
      </c>
      <c r="K157" s="70"/>
      <c r="L157" s="70">
        <v>10000</v>
      </c>
      <c r="M157" s="70">
        <v>45833.33</v>
      </c>
      <c r="N157" s="70">
        <v>0</v>
      </c>
      <c r="O157" s="70">
        <v>44990.482506666704</v>
      </c>
      <c r="P157" s="70">
        <v>24712.12</v>
      </c>
      <c r="Q157" s="466">
        <f t="shared" ref="Q157:Q162" si="57">O157+N157+M157+L157+K157+P157</f>
        <v>125535.932506667</v>
      </c>
      <c r="R157" s="70">
        <v>243365.56749333299</v>
      </c>
      <c r="S157" s="465">
        <f t="shared" si="55"/>
        <v>243365.56749333299</v>
      </c>
    </row>
    <row r="158" spans="1:19" ht="20.100000000000001" customHeight="1">
      <c r="A158" s="25">
        <v>18</v>
      </c>
      <c r="B158" s="9" t="s">
        <v>268</v>
      </c>
      <c r="C158" s="10" t="s">
        <v>269</v>
      </c>
      <c r="D158" s="13" t="s">
        <v>75</v>
      </c>
      <c r="E158" s="186">
        <v>270481.66666666698</v>
      </c>
      <c r="F158" s="70"/>
      <c r="G158" s="186"/>
      <c r="H158" s="186">
        <f>50000+10000</f>
        <v>60000</v>
      </c>
      <c r="I158" s="70"/>
      <c r="J158" s="465">
        <f t="shared" si="56"/>
        <v>330481.66666666698</v>
      </c>
      <c r="K158" s="70"/>
      <c r="L158" s="70">
        <v>90000</v>
      </c>
      <c r="M158" s="70">
        <f>70000+30000</f>
        <v>100000</v>
      </c>
      <c r="N158" s="70">
        <v>0</v>
      </c>
      <c r="O158" s="70">
        <v>39052.313066666698</v>
      </c>
      <c r="P158" s="70">
        <v>21638.5333333333</v>
      </c>
      <c r="Q158" s="466">
        <f t="shared" si="57"/>
        <v>250690.84640000001</v>
      </c>
      <c r="R158" s="70">
        <v>99790.820266666997</v>
      </c>
      <c r="S158" s="465">
        <f t="shared" si="55"/>
        <v>79790.820266666997</v>
      </c>
    </row>
    <row r="159" spans="1:19" ht="20.100000000000001" customHeight="1">
      <c r="A159" s="25">
        <v>19</v>
      </c>
      <c r="B159" s="9" t="s">
        <v>270</v>
      </c>
      <c r="C159" s="10" t="s">
        <v>271</v>
      </c>
      <c r="D159" s="13" t="s">
        <v>267</v>
      </c>
      <c r="E159" s="186">
        <v>308901.5</v>
      </c>
      <c r="F159" s="70"/>
      <c r="G159" s="186"/>
      <c r="H159" s="186">
        <f>50000+10000</f>
        <v>60000</v>
      </c>
      <c r="I159" s="70"/>
      <c r="J159" s="465">
        <f t="shared" si="56"/>
        <v>368901.5</v>
      </c>
      <c r="K159" s="70"/>
      <c r="L159" s="70">
        <f>10000</f>
        <v>10000</v>
      </c>
      <c r="M159" s="70">
        <f>90000</f>
        <v>90000</v>
      </c>
      <c r="N159" s="70">
        <v>4123.4208333333299</v>
      </c>
      <c r="O159" s="70">
        <v>44913.699618666702</v>
      </c>
      <c r="P159" s="70">
        <v>24712.12</v>
      </c>
      <c r="Q159" s="466">
        <f t="shared" si="57"/>
        <v>173749.240452</v>
      </c>
      <c r="R159" s="70">
        <v>195152.259548</v>
      </c>
      <c r="S159" s="465">
        <f t="shared" si="55"/>
        <v>195152.259548</v>
      </c>
    </row>
    <row r="160" spans="1:19" ht="20.100000000000001" customHeight="1">
      <c r="A160" s="25">
        <v>20</v>
      </c>
      <c r="B160" s="9" t="s">
        <v>272</v>
      </c>
      <c r="C160" s="10" t="s">
        <v>273</v>
      </c>
      <c r="D160" s="13" t="s">
        <v>75</v>
      </c>
      <c r="E160" s="186">
        <v>270481.66666666698</v>
      </c>
      <c r="F160" s="70"/>
      <c r="G160" s="186"/>
      <c r="H160" s="186">
        <f>50000+10000</f>
        <v>60000</v>
      </c>
      <c r="I160" s="70"/>
      <c r="J160" s="465">
        <f t="shared" si="56"/>
        <v>330481.66666666698</v>
      </c>
      <c r="K160" s="70"/>
      <c r="L160" s="70"/>
      <c r="M160" s="70">
        <v>20000</v>
      </c>
      <c r="N160" s="70">
        <v>0</v>
      </c>
      <c r="O160" s="70">
        <v>39052.313066666698</v>
      </c>
      <c r="P160" s="70">
        <v>21638.5333333333</v>
      </c>
      <c r="Q160" s="466">
        <f t="shared" si="57"/>
        <v>80690.846399999995</v>
      </c>
      <c r="R160" s="70">
        <v>249790.820266667</v>
      </c>
      <c r="S160" s="465">
        <f t="shared" si="55"/>
        <v>249790.820266667</v>
      </c>
    </row>
    <row r="161" spans="1:19" ht="20.100000000000001" customHeight="1">
      <c r="A161" s="25">
        <v>21</v>
      </c>
      <c r="B161" s="16" t="s">
        <v>274</v>
      </c>
      <c r="C161" s="10" t="s">
        <v>275</v>
      </c>
      <c r="D161" s="13" t="s">
        <v>83</v>
      </c>
      <c r="E161" s="186">
        <v>255849</v>
      </c>
      <c r="F161" s="70"/>
      <c r="G161" s="186"/>
      <c r="H161" s="186">
        <f>60000</f>
        <v>60000</v>
      </c>
      <c r="I161" s="2"/>
      <c r="J161" s="465">
        <f t="shared" si="56"/>
        <v>315849</v>
      </c>
      <c r="K161" s="70"/>
      <c r="L161" s="70">
        <v>30000</v>
      </c>
      <c r="M161" s="70">
        <f>80000</f>
        <v>80000</v>
      </c>
      <c r="N161" s="70">
        <v>0</v>
      </c>
      <c r="O161" s="70">
        <v>36790.688106666697</v>
      </c>
      <c r="P161" s="70">
        <v>20467.919999999998</v>
      </c>
      <c r="Q161" s="466">
        <f t="shared" si="57"/>
        <v>167258.608106667</v>
      </c>
      <c r="R161" s="70">
        <v>148590.391893333</v>
      </c>
      <c r="S161" s="465">
        <f t="shared" si="55"/>
        <v>148590.391893333</v>
      </c>
    </row>
    <row r="162" spans="1:19" ht="20.100000000000001" customHeight="1">
      <c r="A162" s="25">
        <v>22</v>
      </c>
      <c r="B162" s="16" t="s">
        <v>276</v>
      </c>
      <c r="C162" s="10" t="s">
        <v>275</v>
      </c>
      <c r="D162" s="13" t="s">
        <v>83</v>
      </c>
      <c r="E162" s="186">
        <v>255849</v>
      </c>
      <c r="F162" s="70"/>
      <c r="G162" s="186"/>
      <c r="H162" s="186">
        <f>60000</f>
        <v>60000</v>
      </c>
      <c r="I162" s="2"/>
      <c r="J162" s="465">
        <f t="shared" si="56"/>
        <v>315849</v>
      </c>
      <c r="K162" s="70"/>
      <c r="L162" s="70"/>
      <c r="M162" s="70"/>
      <c r="N162" s="70">
        <v>0</v>
      </c>
      <c r="O162" s="70">
        <v>35110.688106666697</v>
      </c>
      <c r="P162" s="70">
        <v>20467.919999999998</v>
      </c>
      <c r="Q162" s="466">
        <f t="shared" si="57"/>
        <v>55578.608106666703</v>
      </c>
      <c r="R162" s="70">
        <v>1566861.5018666701</v>
      </c>
      <c r="S162" s="465">
        <f t="shared" si="55"/>
        <v>260270.391893333</v>
      </c>
    </row>
    <row r="163" spans="1:19" ht="20.100000000000001" customHeight="1">
      <c r="A163" s="25">
        <v>23</v>
      </c>
      <c r="B163" s="16" t="s">
        <v>277</v>
      </c>
      <c r="C163" s="10" t="s">
        <v>278</v>
      </c>
      <c r="D163" s="13" t="s">
        <v>92</v>
      </c>
      <c r="E163" s="70">
        <v>224459.75</v>
      </c>
      <c r="F163" s="70"/>
      <c r="G163" s="186"/>
      <c r="H163" s="186">
        <f t="shared" ref="H163:H169" si="58">50000</f>
        <v>50000</v>
      </c>
      <c r="I163" s="70"/>
      <c r="J163" s="465">
        <f t="shared" ref="J163:J201" si="59">SUM(E163:I163)</f>
        <v>274459.75</v>
      </c>
      <c r="K163" s="70"/>
      <c r="L163" s="70">
        <f>20000</f>
        <v>20000</v>
      </c>
      <c r="M163" s="70"/>
      <c r="N163" s="70">
        <v>0</v>
      </c>
      <c r="O163" s="70">
        <v>30259.165626666701</v>
      </c>
      <c r="P163" s="70">
        <v>17956.78</v>
      </c>
      <c r="Q163" s="466">
        <f t="shared" ref="Q163:Q201" si="60">O163+N163+M163+L163+K163+P163</f>
        <v>68215.945626666697</v>
      </c>
      <c r="R163" s="70">
        <v>206243.804373333</v>
      </c>
      <c r="S163" s="465">
        <f t="shared" si="55"/>
        <v>206243.804373333</v>
      </c>
    </row>
    <row r="164" spans="1:19" ht="20.100000000000001" customHeight="1">
      <c r="A164" s="25">
        <v>24</v>
      </c>
      <c r="B164" s="16" t="s">
        <v>279</v>
      </c>
      <c r="C164" s="10" t="s">
        <v>280</v>
      </c>
      <c r="D164" s="13" t="s">
        <v>92</v>
      </c>
      <c r="E164" s="70">
        <v>224459.75</v>
      </c>
      <c r="F164" s="70"/>
      <c r="G164" s="186"/>
      <c r="H164" s="186">
        <f t="shared" si="58"/>
        <v>50000</v>
      </c>
      <c r="I164" s="70"/>
      <c r="J164" s="465">
        <f t="shared" si="59"/>
        <v>274459.75</v>
      </c>
      <c r="K164" s="70"/>
      <c r="L164" s="70">
        <f>12000-2000</f>
        <v>10000</v>
      </c>
      <c r="M164" s="70">
        <v>42000</v>
      </c>
      <c r="N164" s="70">
        <v>0</v>
      </c>
      <c r="O164" s="70">
        <v>30259.165626666701</v>
      </c>
      <c r="P164" s="70">
        <v>17956.78</v>
      </c>
      <c r="Q164" s="466">
        <f t="shared" si="60"/>
        <v>100215.945626667</v>
      </c>
      <c r="R164" s="70">
        <v>174243.804373333</v>
      </c>
      <c r="S164" s="465">
        <f t="shared" si="55"/>
        <v>174243.804373333</v>
      </c>
    </row>
    <row r="165" spans="1:19" ht="20.100000000000001" customHeight="1">
      <c r="A165" s="25">
        <v>25</v>
      </c>
      <c r="B165" s="16" t="s">
        <v>281</v>
      </c>
      <c r="C165" s="10" t="s">
        <v>282</v>
      </c>
      <c r="D165" s="13" t="s">
        <v>92</v>
      </c>
      <c r="E165" s="70">
        <v>224459.75</v>
      </c>
      <c r="F165" s="70"/>
      <c r="G165" s="186"/>
      <c r="H165" s="186">
        <f t="shared" si="58"/>
        <v>50000</v>
      </c>
      <c r="I165" s="70"/>
      <c r="J165" s="465">
        <f t="shared" si="59"/>
        <v>274459.75</v>
      </c>
      <c r="K165" s="70"/>
      <c r="L165" s="70">
        <v>20000</v>
      </c>
      <c r="M165" s="70">
        <v>20000</v>
      </c>
      <c r="N165" s="70">
        <v>0</v>
      </c>
      <c r="O165" s="70">
        <v>30259.165626666701</v>
      </c>
      <c r="P165" s="70">
        <v>17956.78</v>
      </c>
      <c r="Q165" s="466">
        <f t="shared" si="60"/>
        <v>88215.945626666697</v>
      </c>
      <c r="R165" s="70">
        <v>186243.804373333</v>
      </c>
      <c r="S165" s="465">
        <f t="shared" si="55"/>
        <v>186243.804373333</v>
      </c>
    </row>
    <row r="166" spans="1:19" ht="20.100000000000001" customHeight="1">
      <c r="A166" s="25">
        <v>26</v>
      </c>
      <c r="B166" s="16" t="s">
        <v>283</v>
      </c>
      <c r="C166" s="10" t="s">
        <v>284</v>
      </c>
      <c r="D166" s="13" t="s">
        <v>173</v>
      </c>
      <c r="E166" s="70">
        <v>230631.91666666701</v>
      </c>
      <c r="F166" s="70"/>
      <c r="G166" s="186"/>
      <c r="H166" s="186">
        <f t="shared" si="58"/>
        <v>50000</v>
      </c>
      <c r="I166" s="70"/>
      <c r="J166" s="465">
        <f t="shared" si="59"/>
        <v>280631.91666666698</v>
      </c>
      <c r="K166" s="70"/>
      <c r="L166" s="70">
        <v>30000</v>
      </c>
      <c r="M166" s="70">
        <f>32000</f>
        <v>32000</v>
      </c>
      <c r="N166" s="70">
        <v>0</v>
      </c>
      <c r="O166" s="70">
        <v>31213.135706666701</v>
      </c>
      <c r="P166" s="70">
        <v>18450.553333333301</v>
      </c>
      <c r="Q166" s="466">
        <f t="shared" si="60"/>
        <v>111663.68904</v>
      </c>
      <c r="R166" s="70">
        <v>178968.22762666701</v>
      </c>
      <c r="S166" s="465">
        <f t="shared" si="55"/>
        <v>168968.22762666701</v>
      </c>
    </row>
    <row r="167" spans="1:19" ht="20.100000000000001" customHeight="1">
      <c r="A167" s="25">
        <v>27</v>
      </c>
      <c r="B167" s="16" t="s">
        <v>285</v>
      </c>
      <c r="C167" s="10" t="s">
        <v>280</v>
      </c>
      <c r="D167" s="13" t="s">
        <v>92</v>
      </c>
      <c r="E167" s="70">
        <v>224459.75</v>
      </c>
      <c r="F167" s="70"/>
      <c r="G167" s="186"/>
      <c r="H167" s="186">
        <f t="shared" si="58"/>
        <v>50000</v>
      </c>
      <c r="I167" s="70"/>
      <c r="J167" s="465">
        <f t="shared" si="59"/>
        <v>274459.75</v>
      </c>
      <c r="K167" s="70"/>
      <c r="L167" s="70">
        <v>30000</v>
      </c>
      <c r="M167" s="70">
        <v>0</v>
      </c>
      <c r="N167" s="70">
        <v>0</v>
      </c>
      <c r="O167" s="70">
        <v>30259.165626666701</v>
      </c>
      <c r="P167" s="70">
        <v>17956.78</v>
      </c>
      <c r="Q167" s="466">
        <f t="shared" si="60"/>
        <v>78215.945626666697</v>
      </c>
      <c r="R167" s="70">
        <v>196243.804373333</v>
      </c>
      <c r="S167" s="465">
        <f t="shared" si="55"/>
        <v>196243.804373333</v>
      </c>
    </row>
    <row r="168" spans="1:19" ht="20.100000000000001" customHeight="1">
      <c r="A168" s="25">
        <v>28</v>
      </c>
      <c r="B168" s="16" t="s">
        <v>286</v>
      </c>
      <c r="C168" s="10" t="s">
        <v>287</v>
      </c>
      <c r="D168" s="13" t="s">
        <v>95</v>
      </c>
      <c r="E168" s="627">
        <f>218287.583333333</f>
        <v>218287.58333333299</v>
      </c>
      <c r="F168" s="70"/>
      <c r="G168" s="186"/>
      <c r="H168" s="186">
        <f t="shared" si="58"/>
        <v>50000</v>
      </c>
      <c r="I168" s="70"/>
      <c r="J168" s="465">
        <f t="shared" si="59"/>
        <v>268287.58333333302</v>
      </c>
      <c r="K168" s="70"/>
      <c r="L168" s="70">
        <v>15000</v>
      </c>
      <c r="M168" s="70"/>
      <c r="N168" s="70"/>
      <c r="O168" s="635">
        <f>29305.1955466666</f>
        <v>29305.1955466666</v>
      </c>
      <c r="P168" s="636">
        <f t="shared" ref="P168:P169" si="61">218287.583333333*0.08</f>
        <v>17463.006666666599</v>
      </c>
      <c r="Q168" s="466">
        <f t="shared" si="60"/>
        <v>61768.202213333199</v>
      </c>
      <c r="R168" s="70">
        <v>206519.38112000001</v>
      </c>
      <c r="S168" s="465">
        <f t="shared" si="55"/>
        <v>206519.38112000001</v>
      </c>
    </row>
    <row r="169" spans="1:19" ht="20.100000000000001" customHeight="1">
      <c r="A169" s="25">
        <v>29</v>
      </c>
      <c r="B169" s="16" t="s">
        <v>288</v>
      </c>
      <c r="C169" s="10" t="s">
        <v>287</v>
      </c>
      <c r="D169" s="13" t="s">
        <v>95</v>
      </c>
      <c r="E169" s="627">
        <f>218287.583333333</f>
        <v>218287.58333333299</v>
      </c>
      <c r="F169" s="70"/>
      <c r="G169" s="186"/>
      <c r="H169" s="186">
        <f t="shared" si="58"/>
        <v>50000</v>
      </c>
      <c r="I169" s="70"/>
      <c r="J169" s="465">
        <f t="shared" si="59"/>
        <v>268287.58333333302</v>
      </c>
      <c r="K169" s="70"/>
      <c r="L169" s="70"/>
      <c r="M169" s="70"/>
      <c r="N169" s="70"/>
      <c r="O169" s="635">
        <f>29305.1955466666</f>
        <v>29305.1955466666</v>
      </c>
      <c r="P169" s="636">
        <f t="shared" si="61"/>
        <v>17463.006666666599</v>
      </c>
      <c r="Q169" s="466">
        <f t="shared" si="60"/>
        <v>46768.202213333199</v>
      </c>
      <c r="R169" s="70">
        <v>221519.38112000001</v>
      </c>
      <c r="S169" s="465">
        <f t="shared" si="55"/>
        <v>221519.38112000001</v>
      </c>
    </row>
    <row r="170" spans="1:19" ht="20.100000000000001" customHeight="1">
      <c r="A170" s="25">
        <v>30</v>
      </c>
      <c r="B170" s="9" t="s">
        <v>289</v>
      </c>
      <c r="C170" s="10" t="s">
        <v>290</v>
      </c>
      <c r="D170" s="13" t="s">
        <v>291</v>
      </c>
      <c r="E170" s="192">
        <v>168598.16666666701</v>
      </c>
      <c r="F170" s="186"/>
      <c r="G170" s="186"/>
      <c r="H170" s="186">
        <f>30000</f>
        <v>30000</v>
      </c>
      <c r="I170" s="70">
        <f>4000</f>
        <v>4000</v>
      </c>
      <c r="J170" s="465">
        <f t="shared" si="59"/>
        <v>202598.16666666701</v>
      </c>
      <c r="K170" s="70"/>
      <c r="L170" s="70">
        <v>50000</v>
      </c>
      <c r="M170" s="70">
        <f>47916.66+20000</f>
        <v>67916.66</v>
      </c>
      <c r="N170" s="70">
        <v>2313.5749999999998</v>
      </c>
      <c r="O170" s="70">
        <v>18892.9833866667</v>
      </c>
      <c r="P170" s="70">
        <v>13487.8533333333</v>
      </c>
      <c r="Q170" s="466">
        <f t="shared" si="60"/>
        <v>152611.07172000001</v>
      </c>
      <c r="R170" s="70">
        <v>59987.094946666999</v>
      </c>
      <c r="S170" s="465">
        <f t="shared" si="55"/>
        <v>49987.094946666999</v>
      </c>
    </row>
    <row r="171" spans="1:19" ht="20.100000000000001" customHeight="1">
      <c r="A171" s="25">
        <v>31</v>
      </c>
      <c r="B171" s="9" t="s">
        <v>292</v>
      </c>
      <c r="C171" s="10" t="s">
        <v>290</v>
      </c>
      <c r="D171" s="13" t="s">
        <v>291</v>
      </c>
      <c r="E171" s="192">
        <v>168598.16666666701</v>
      </c>
      <c r="F171" s="186"/>
      <c r="G171" s="186"/>
      <c r="H171" s="186">
        <f>30000</f>
        <v>30000</v>
      </c>
      <c r="I171" s="70">
        <f>7000</f>
        <v>7000</v>
      </c>
      <c r="J171" s="465">
        <f t="shared" si="59"/>
        <v>205598.16666666701</v>
      </c>
      <c r="K171" s="70"/>
      <c r="L171" s="70">
        <v>25000</v>
      </c>
      <c r="M171" s="70">
        <f>14524.11</f>
        <v>14524.11</v>
      </c>
      <c r="N171" s="70">
        <v>0</v>
      </c>
      <c r="O171" s="70">
        <v>19441.199306666698</v>
      </c>
      <c r="P171" s="70">
        <v>13487.8533333333</v>
      </c>
      <c r="Q171" s="466">
        <f t="shared" si="60"/>
        <v>72453.162639999995</v>
      </c>
      <c r="R171" s="70">
        <v>143145.00402666701</v>
      </c>
      <c r="S171" s="465">
        <f t="shared" si="55"/>
        <v>133145.00402666701</v>
      </c>
    </row>
    <row r="172" spans="1:19" ht="20.100000000000001" customHeight="1">
      <c r="A172" s="25">
        <v>32</v>
      </c>
      <c r="B172" s="9" t="s">
        <v>293</v>
      </c>
      <c r="C172" s="10" t="s">
        <v>290</v>
      </c>
      <c r="D172" s="13" t="s">
        <v>291</v>
      </c>
      <c r="E172" s="192">
        <v>168598.16666666701</v>
      </c>
      <c r="F172" s="186"/>
      <c r="G172" s="186"/>
      <c r="H172" s="186">
        <f>30000</f>
        <v>30000</v>
      </c>
      <c r="I172" s="70">
        <f>4000</f>
        <v>4000</v>
      </c>
      <c r="J172" s="465">
        <f t="shared" si="59"/>
        <v>202598.16666666701</v>
      </c>
      <c r="K172" s="70"/>
      <c r="L172" s="70">
        <v>30000</v>
      </c>
      <c r="M172" s="70"/>
      <c r="N172" s="70">
        <v>0</v>
      </c>
      <c r="O172" s="70">
        <v>18937.199306666698</v>
      </c>
      <c r="P172" s="70">
        <v>13487.8533333333</v>
      </c>
      <c r="Q172" s="466">
        <f t="shared" si="60"/>
        <v>62425.052640000002</v>
      </c>
      <c r="R172" s="70">
        <v>150173.114026667</v>
      </c>
      <c r="S172" s="465">
        <f t="shared" si="55"/>
        <v>140173.114026667</v>
      </c>
    </row>
    <row r="173" spans="1:19" ht="20.100000000000001" customHeight="1">
      <c r="A173" s="25">
        <v>33</v>
      </c>
      <c r="B173" s="9" t="s">
        <v>294</v>
      </c>
      <c r="C173" s="10" t="s">
        <v>290</v>
      </c>
      <c r="D173" s="13" t="s">
        <v>291</v>
      </c>
      <c r="E173" s="192">
        <v>168598.16666666701</v>
      </c>
      <c r="F173" s="186"/>
      <c r="G173" s="186"/>
      <c r="H173" s="186">
        <f>30000</f>
        <v>30000</v>
      </c>
      <c r="I173" s="70">
        <f>4000</f>
        <v>4000</v>
      </c>
      <c r="J173" s="465">
        <f t="shared" si="59"/>
        <v>202598.16666666701</v>
      </c>
      <c r="K173" s="70"/>
      <c r="L173" s="70">
        <v>20000</v>
      </c>
      <c r="M173" s="70">
        <f>35704.84+30000</f>
        <v>65704.84</v>
      </c>
      <c r="N173" s="70">
        <v>2313.5749999999998</v>
      </c>
      <c r="O173" s="70">
        <v>18892.9833866667</v>
      </c>
      <c r="P173" s="70">
        <v>13487.8533333333</v>
      </c>
      <c r="Q173" s="466">
        <f t="shared" si="60"/>
        <v>120399.25172</v>
      </c>
      <c r="R173" s="70">
        <v>87198.914946667006</v>
      </c>
      <c r="S173" s="465">
        <f t="shared" si="55"/>
        <v>82198.914946667006</v>
      </c>
    </row>
    <row r="174" spans="1:19" ht="20.100000000000001" customHeight="1">
      <c r="A174" s="25">
        <v>34</v>
      </c>
      <c r="B174" s="9" t="s">
        <v>295</v>
      </c>
      <c r="C174" s="10" t="s">
        <v>290</v>
      </c>
      <c r="D174" s="13" t="s">
        <v>291</v>
      </c>
      <c r="E174" s="192">
        <v>168598.16666666701</v>
      </c>
      <c r="F174" s="186"/>
      <c r="G174" s="186"/>
      <c r="H174" s="186">
        <f>30000</f>
        <v>30000</v>
      </c>
      <c r="I174" s="70">
        <f>4000</f>
        <v>4000</v>
      </c>
      <c r="J174" s="465">
        <f t="shared" si="59"/>
        <v>202598.16666666701</v>
      </c>
      <c r="K174" s="70"/>
      <c r="L174" s="70">
        <v>30000</v>
      </c>
      <c r="M174" s="70">
        <f>15112.49+30000</f>
        <v>45112.49</v>
      </c>
      <c r="N174" s="70"/>
      <c r="O174" s="70">
        <v>18937.199306666698</v>
      </c>
      <c r="P174" s="70">
        <v>13487.8533333333</v>
      </c>
      <c r="Q174" s="466">
        <f t="shared" si="60"/>
        <v>107537.54264</v>
      </c>
      <c r="R174" s="70">
        <v>105060.62402666701</v>
      </c>
      <c r="S174" s="465">
        <f t="shared" ref="S174:S201" si="62">J174-Q174</f>
        <v>95060.624026667007</v>
      </c>
    </row>
    <row r="175" spans="1:19" ht="20.100000000000001" customHeight="1">
      <c r="A175" s="25">
        <v>35</v>
      </c>
      <c r="B175" s="9" t="s">
        <v>296</v>
      </c>
      <c r="C175" s="10" t="s">
        <v>290</v>
      </c>
      <c r="D175" s="13" t="s">
        <v>297</v>
      </c>
      <c r="E175" s="192">
        <v>163336.83333333299</v>
      </c>
      <c r="F175" s="186"/>
      <c r="G175" s="186"/>
      <c r="H175" s="186">
        <f>20000+10000</f>
        <v>30000</v>
      </c>
      <c r="I175" s="70">
        <f>7000</f>
        <v>7000</v>
      </c>
      <c r="J175" s="465">
        <f t="shared" si="59"/>
        <v>200336.83333333299</v>
      </c>
      <c r="K175" s="70"/>
      <c r="L175" s="70">
        <v>40000</v>
      </c>
      <c r="M175" s="70">
        <f>26430.62</f>
        <v>26430.62</v>
      </c>
      <c r="N175" s="70"/>
      <c r="O175" s="70">
        <v>18631.689439999998</v>
      </c>
      <c r="P175" s="70">
        <v>13066.946666666699</v>
      </c>
      <c r="Q175" s="466">
        <f t="shared" si="60"/>
        <v>98129.256106666697</v>
      </c>
      <c r="R175" s="70">
        <v>112207.57722666601</v>
      </c>
      <c r="S175" s="465">
        <f t="shared" si="62"/>
        <v>102207.57722666601</v>
      </c>
    </row>
    <row r="176" spans="1:19" ht="20.100000000000001" customHeight="1">
      <c r="A176" s="25">
        <v>36</v>
      </c>
      <c r="B176" s="9" t="s">
        <v>298</v>
      </c>
      <c r="C176" s="10" t="s">
        <v>290</v>
      </c>
      <c r="D176" s="13" t="s">
        <v>297</v>
      </c>
      <c r="E176" s="192">
        <v>163336.83333333299</v>
      </c>
      <c r="F176" s="186"/>
      <c r="G176" s="186"/>
      <c r="H176" s="186">
        <f t="shared" ref="H176:H180" si="63">20000+10000</f>
        <v>30000</v>
      </c>
      <c r="I176" s="70">
        <f>4000</f>
        <v>4000</v>
      </c>
      <c r="J176" s="465">
        <f t="shared" si="59"/>
        <v>197336.83333333299</v>
      </c>
      <c r="K176" s="70"/>
      <c r="L176" s="70">
        <v>40000</v>
      </c>
      <c r="M176" s="70">
        <f>25555.56</f>
        <v>25555.56</v>
      </c>
      <c r="N176" s="70"/>
      <c r="O176" s="70">
        <v>18175.689439999998</v>
      </c>
      <c r="P176" s="70">
        <v>13066.946666666699</v>
      </c>
      <c r="Q176" s="466">
        <f t="shared" si="60"/>
        <v>96798.196106666699</v>
      </c>
      <c r="R176" s="70">
        <v>110538.637226666</v>
      </c>
      <c r="S176" s="465">
        <f t="shared" si="62"/>
        <v>100538.637226666</v>
      </c>
    </row>
    <row r="177" spans="1:19" ht="20.100000000000001" customHeight="1">
      <c r="A177" s="25">
        <v>37</v>
      </c>
      <c r="B177" s="12" t="s">
        <v>299</v>
      </c>
      <c r="C177" s="10" t="s">
        <v>290</v>
      </c>
      <c r="D177" s="13" t="s">
        <v>297</v>
      </c>
      <c r="E177" s="192">
        <v>163336.83333333299</v>
      </c>
      <c r="F177" s="186"/>
      <c r="G177" s="186"/>
      <c r="H177" s="186">
        <f t="shared" si="63"/>
        <v>30000</v>
      </c>
      <c r="I177" s="70">
        <f>7000</f>
        <v>7000</v>
      </c>
      <c r="J177" s="465">
        <f t="shared" si="59"/>
        <v>200336.83333333299</v>
      </c>
      <c r="K177" s="70"/>
      <c r="L177" s="70">
        <v>30000</v>
      </c>
      <c r="M177" s="70">
        <f>31719.9</f>
        <v>31719.9</v>
      </c>
      <c r="N177" s="70"/>
      <c r="O177" s="70">
        <v>18631.689439999998</v>
      </c>
      <c r="P177" s="70">
        <v>13066.946666666699</v>
      </c>
      <c r="Q177" s="466">
        <f t="shared" si="60"/>
        <v>93418.536106666696</v>
      </c>
      <c r="R177" s="70">
        <v>116918.29722666601</v>
      </c>
      <c r="S177" s="465">
        <f t="shared" si="62"/>
        <v>106918.29722666601</v>
      </c>
    </row>
    <row r="178" spans="1:19" ht="20.100000000000001" customHeight="1">
      <c r="A178" s="25">
        <v>38</v>
      </c>
      <c r="B178" s="9" t="s">
        <v>300</v>
      </c>
      <c r="C178" s="10" t="s">
        <v>290</v>
      </c>
      <c r="D178" s="13" t="s">
        <v>297</v>
      </c>
      <c r="E178" s="192">
        <v>163336.83333333299</v>
      </c>
      <c r="F178" s="186"/>
      <c r="G178" s="186"/>
      <c r="H178" s="186">
        <f t="shared" si="63"/>
        <v>30000</v>
      </c>
      <c r="I178" s="70">
        <f>4000</f>
        <v>4000</v>
      </c>
      <c r="J178" s="465">
        <f t="shared" si="59"/>
        <v>197336.83333333299</v>
      </c>
      <c r="K178" s="70"/>
      <c r="L178" s="70">
        <v>30000</v>
      </c>
      <c r="M178" s="70">
        <f>13750</f>
        <v>13750</v>
      </c>
      <c r="N178" s="70"/>
      <c r="O178" s="70">
        <v>18175.689439999998</v>
      </c>
      <c r="P178" s="70">
        <v>13066.946666666699</v>
      </c>
      <c r="Q178" s="466">
        <f t="shared" si="60"/>
        <v>74992.636106666701</v>
      </c>
      <c r="R178" s="70">
        <v>132344.197226666</v>
      </c>
      <c r="S178" s="465">
        <f t="shared" si="62"/>
        <v>122344.197226666</v>
      </c>
    </row>
    <row r="179" spans="1:19" ht="20.100000000000001" customHeight="1">
      <c r="A179" s="25">
        <v>39</v>
      </c>
      <c r="B179" s="16" t="s">
        <v>301</v>
      </c>
      <c r="C179" s="10" t="s">
        <v>290</v>
      </c>
      <c r="D179" s="13" t="s">
        <v>297</v>
      </c>
      <c r="E179" s="192">
        <v>163336.83333333299</v>
      </c>
      <c r="F179" s="186"/>
      <c r="G179" s="186"/>
      <c r="H179" s="186">
        <f t="shared" si="63"/>
        <v>30000</v>
      </c>
      <c r="I179" s="70">
        <f>4000</f>
        <v>4000</v>
      </c>
      <c r="J179" s="465">
        <f t="shared" si="59"/>
        <v>197336.83333333299</v>
      </c>
      <c r="K179" s="70"/>
      <c r="L179" s="70">
        <v>30000</v>
      </c>
      <c r="M179" s="70">
        <f>25708.34</f>
        <v>25708.34</v>
      </c>
      <c r="N179" s="70"/>
      <c r="O179" s="70">
        <v>18175.689439999998</v>
      </c>
      <c r="P179" s="70">
        <v>13066.946666666699</v>
      </c>
      <c r="Q179" s="466">
        <f t="shared" si="60"/>
        <v>86950.976106666698</v>
      </c>
      <c r="R179" s="70">
        <v>120385.857226666</v>
      </c>
      <c r="S179" s="465">
        <f t="shared" si="62"/>
        <v>110385.857226666</v>
      </c>
    </row>
    <row r="180" spans="1:19" ht="20.100000000000001" customHeight="1">
      <c r="A180" s="25">
        <v>40</v>
      </c>
      <c r="B180" s="16" t="s">
        <v>302</v>
      </c>
      <c r="C180" s="10" t="s">
        <v>290</v>
      </c>
      <c r="D180" s="13" t="s">
        <v>297</v>
      </c>
      <c r="E180" s="192">
        <v>163336.83333333299</v>
      </c>
      <c r="F180" s="186"/>
      <c r="G180" s="186"/>
      <c r="H180" s="186">
        <f t="shared" si="63"/>
        <v>30000</v>
      </c>
      <c r="I180" s="70">
        <f t="shared" ref="I180:I185" si="64">7000</f>
        <v>7000</v>
      </c>
      <c r="J180" s="465">
        <f t="shared" si="59"/>
        <v>200336.83333333299</v>
      </c>
      <c r="K180" s="70"/>
      <c r="L180" s="70">
        <v>30000</v>
      </c>
      <c r="M180" s="70">
        <f>22361.11</f>
        <v>22361.11</v>
      </c>
      <c r="N180" s="70"/>
      <c r="O180" s="70">
        <v>18631.689439999998</v>
      </c>
      <c r="P180" s="70">
        <v>13066.946666666699</v>
      </c>
      <c r="Q180" s="466">
        <f t="shared" si="60"/>
        <v>84059.746106666702</v>
      </c>
      <c r="R180" s="70">
        <v>126277.087226666</v>
      </c>
      <c r="S180" s="465">
        <f t="shared" si="62"/>
        <v>116277.087226666</v>
      </c>
    </row>
    <row r="181" spans="1:19" ht="20.100000000000001" customHeight="1">
      <c r="A181" s="25">
        <v>41</v>
      </c>
      <c r="B181" s="9" t="s">
        <v>303</v>
      </c>
      <c r="C181" s="10" t="s">
        <v>304</v>
      </c>
      <c r="D181" s="13" t="s">
        <v>305</v>
      </c>
      <c r="E181" s="70">
        <v>152814.16666666701</v>
      </c>
      <c r="F181" s="186"/>
      <c r="G181" s="186"/>
      <c r="H181" s="186">
        <f>30000</f>
        <v>30000</v>
      </c>
      <c r="I181" s="70">
        <f t="shared" si="64"/>
        <v>7000</v>
      </c>
      <c r="J181" s="465">
        <f t="shared" si="59"/>
        <v>189814.16666666701</v>
      </c>
      <c r="K181" s="70"/>
      <c r="L181" s="70">
        <f>10000+5000+5000</f>
        <v>20000</v>
      </c>
      <c r="M181" s="70">
        <v>28524.31</v>
      </c>
      <c r="N181" s="70"/>
      <c r="O181" s="70">
        <v>17160.199733333298</v>
      </c>
      <c r="P181" s="70">
        <v>12225.1333333333</v>
      </c>
      <c r="Q181" s="466">
        <f t="shared" si="60"/>
        <v>77909.643066666598</v>
      </c>
      <c r="R181" s="70">
        <v>111904.5236</v>
      </c>
      <c r="S181" s="465">
        <f t="shared" si="62"/>
        <v>111904.5236</v>
      </c>
    </row>
    <row r="182" spans="1:19" ht="20.100000000000001" customHeight="1">
      <c r="A182" s="25">
        <v>42</v>
      </c>
      <c r="B182" s="9" t="s">
        <v>306</v>
      </c>
      <c r="C182" s="10" t="s">
        <v>304</v>
      </c>
      <c r="D182" s="13" t="s">
        <v>305</v>
      </c>
      <c r="E182" s="70">
        <v>152814.16666666701</v>
      </c>
      <c r="F182" s="186"/>
      <c r="G182" s="186"/>
      <c r="H182" s="186">
        <f>30000</f>
        <v>30000</v>
      </c>
      <c r="I182" s="70">
        <f t="shared" si="64"/>
        <v>7000</v>
      </c>
      <c r="J182" s="465">
        <f t="shared" si="59"/>
        <v>189814.16666666701</v>
      </c>
      <c r="K182" s="70"/>
      <c r="L182" s="70">
        <v>30000</v>
      </c>
      <c r="M182" s="70">
        <v>43885.11</v>
      </c>
      <c r="N182" s="70"/>
      <c r="O182" s="70">
        <v>17160.199733333298</v>
      </c>
      <c r="P182" s="70">
        <v>12225.1333333333</v>
      </c>
      <c r="Q182" s="466">
        <f t="shared" si="60"/>
        <v>103270.44306666699</v>
      </c>
      <c r="R182" s="70">
        <v>96543.723600000405</v>
      </c>
      <c r="S182" s="465">
        <f t="shared" si="62"/>
        <v>86543.723600000405</v>
      </c>
    </row>
    <row r="183" spans="1:19" ht="20.100000000000001" customHeight="1">
      <c r="A183" s="25">
        <v>43</v>
      </c>
      <c r="B183" s="16" t="s">
        <v>307</v>
      </c>
      <c r="C183" s="10" t="s">
        <v>304</v>
      </c>
      <c r="D183" s="13" t="s">
        <v>308</v>
      </c>
      <c r="E183" s="70">
        <v>158075.5</v>
      </c>
      <c r="F183" s="186"/>
      <c r="G183" s="186"/>
      <c r="H183" s="186">
        <f>30000</f>
        <v>30000</v>
      </c>
      <c r="I183" s="70">
        <f t="shared" si="64"/>
        <v>7000</v>
      </c>
      <c r="J183" s="465">
        <f t="shared" si="59"/>
        <v>195075.5</v>
      </c>
      <c r="K183" s="70"/>
      <c r="L183" s="70">
        <v>23000</v>
      </c>
      <c r="M183" s="70">
        <f>44000</f>
        <v>44000</v>
      </c>
      <c r="N183" s="70"/>
      <c r="O183" s="70">
        <v>17895.944586666701</v>
      </c>
      <c r="P183" s="70">
        <v>12646.04</v>
      </c>
      <c r="Q183" s="466">
        <f t="shared" si="60"/>
        <v>97541.984586666702</v>
      </c>
      <c r="R183" s="70">
        <v>107533.51541333301</v>
      </c>
      <c r="S183" s="465">
        <f t="shared" si="62"/>
        <v>97533.515413333298</v>
      </c>
    </row>
    <row r="184" spans="1:19" ht="20.100000000000001" customHeight="1">
      <c r="A184" s="25">
        <v>44</v>
      </c>
      <c r="B184" s="9" t="s">
        <v>309</v>
      </c>
      <c r="C184" s="10" t="s">
        <v>310</v>
      </c>
      <c r="D184" s="13" t="s">
        <v>311</v>
      </c>
      <c r="E184" s="70">
        <v>94145.75</v>
      </c>
      <c r="F184" s="186"/>
      <c r="G184" s="186"/>
      <c r="H184" s="186">
        <f>20000</f>
        <v>20000</v>
      </c>
      <c r="I184" s="70">
        <f t="shared" si="64"/>
        <v>7000</v>
      </c>
      <c r="J184" s="465">
        <f t="shared" si="59"/>
        <v>121145.75</v>
      </c>
      <c r="K184" s="70"/>
      <c r="L184" s="70">
        <f>15000</f>
        <v>15000</v>
      </c>
      <c r="M184" s="70">
        <f>40000</f>
        <v>40000</v>
      </c>
      <c r="N184" s="70"/>
      <c r="O184" s="70">
        <v>8133.6908000000003</v>
      </c>
      <c r="P184" s="70">
        <v>7531.66</v>
      </c>
      <c r="Q184" s="466">
        <f t="shared" si="60"/>
        <v>70665.3508</v>
      </c>
      <c r="R184" s="70">
        <v>105428.836973867</v>
      </c>
      <c r="S184" s="465">
        <f t="shared" si="62"/>
        <v>50480.3992</v>
      </c>
    </row>
    <row r="185" spans="1:19" ht="20.100000000000001" customHeight="1">
      <c r="A185" s="25">
        <v>45</v>
      </c>
      <c r="B185" s="9" t="s">
        <v>312</v>
      </c>
      <c r="C185" s="10" t="s">
        <v>313</v>
      </c>
      <c r="D185" s="13" t="s">
        <v>314</v>
      </c>
      <c r="E185" s="70">
        <v>91598</v>
      </c>
      <c r="F185" s="186"/>
      <c r="G185" s="186"/>
      <c r="H185" s="186">
        <f t="shared" ref="H185:H191" si="65">20000</f>
        <v>20000</v>
      </c>
      <c r="I185" s="70">
        <f t="shared" si="64"/>
        <v>7000</v>
      </c>
      <c r="J185" s="465">
        <f t="shared" si="59"/>
        <v>118598</v>
      </c>
      <c r="K185" s="70"/>
      <c r="L185" s="70">
        <v>25000</v>
      </c>
      <c r="M185" s="70">
        <v>33000</v>
      </c>
      <c r="N185" s="70"/>
      <c r="O185" s="70">
        <v>7852.4192000000003</v>
      </c>
      <c r="P185" s="70">
        <v>7327.84</v>
      </c>
      <c r="Q185" s="466">
        <f t="shared" si="60"/>
        <v>73180.2592</v>
      </c>
      <c r="R185" s="70">
        <v>55417.7408</v>
      </c>
      <c r="S185" s="465">
        <f t="shared" si="62"/>
        <v>45417.7408</v>
      </c>
    </row>
    <row r="186" spans="1:19" ht="20.100000000000001" customHeight="1">
      <c r="A186" s="25">
        <v>46</v>
      </c>
      <c r="B186" s="9" t="s">
        <v>315</v>
      </c>
      <c r="C186" s="10" t="s">
        <v>313</v>
      </c>
      <c r="D186" s="13" t="s">
        <v>314</v>
      </c>
      <c r="E186" s="70">
        <v>91598</v>
      </c>
      <c r="F186" s="186"/>
      <c r="G186" s="186"/>
      <c r="H186" s="186">
        <f t="shared" si="65"/>
        <v>20000</v>
      </c>
      <c r="I186" s="70">
        <f>4000</f>
        <v>4000</v>
      </c>
      <c r="J186" s="465">
        <f t="shared" si="59"/>
        <v>115598</v>
      </c>
      <c r="K186" s="70"/>
      <c r="L186" s="70">
        <v>40000</v>
      </c>
      <c r="M186" s="70">
        <f>25555.56</f>
        <v>25555.56</v>
      </c>
      <c r="N186" s="70"/>
      <c r="O186" s="70">
        <v>7492.4192000000003</v>
      </c>
      <c r="P186" s="70">
        <v>7327.84</v>
      </c>
      <c r="Q186" s="466">
        <f t="shared" si="60"/>
        <v>80375.819199999998</v>
      </c>
      <c r="R186" s="70">
        <v>45222.180800000002</v>
      </c>
      <c r="S186" s="465">
        <f t="shared" si="62"/>
        <v>35222.180800000002</v>
      </c>
    </row>
    <row r="187" spans="1:19" ht="20.100000000000001" customHeight="1">
      <c r="A187" s="25">
        <v>47</v>
      </c>
      <c r="B187" s="9" t="s">
        <v>316</v>
      </c>
      <c r="C187" s="10" t="s">
        <v>313</v>
      </c>
      <c r="D187" s="13" t="s">
        <v>314</v>
      </c>
      <c r="E187" s="70">
        <v>91598</v>
      </c>
      <c r="F187" s="186"/>
      <c r="G187" s="186"/>
      <c r="H187" s="186">
        <f t="shared" si="65"/>
        <v>20000</v>
      </c>
      <c r="I187" s="70">
        <f>7000</f>
        <v>7000</v>
      </c>
      <c r="J187" s="465">
        <f t="shared" si="59"/>
        <v>118598</v>
      </c>
      <c r="K187" s="70"/>
      <c r="L187" s="70">
        <v>25000</v>
      </c>
      <c r="M187" s="70">
        <f>15972.22</f>
        <v>15972.22</v>
      </c>
      <c r="N187" s="70"/>
      <c r="O187" s="70">
        <v>7852.4192000000003</v>
      </c>
      <c r="P187" s="70">
        <v>7327.84</v>
      </c>
      <c r="Q187" s="466">
        <f t="shared" si="60"/>
        <v>56152.479200000002</v>
      </c>
      <c r="R187" s="70">
        <v>72445.520799999998</v>
      </c>
      <c r="S187" s="465">
        <f t="shared" si="62"/>
        <v>62445.520799999998</v>
      </c>
    </row>
    <row r="188" spans="1:19" ht="20.100000000000001" customHeight="1">
      <c r="A188" s="25">
        <v>48</v>
      </c>
      <c r="B188" s="9" t="s">
        <v>317</v>
      </c>
      <c r="C188" s="10" t="s">
        <v>313</v>
      </c>
      <c r="D188" s="13" t="s">
        <v>314</v>
      </c>
      <c r="E188" s="70">
        <v>91598</v>
      </c>
      <c r="F188" s="186"/>
      <c r="G188" s="186"/>
      <c r="H188" s="186">
        <f t="shared" si="65"/>
        <v>20000</v>
      </c>
      <c r="I188" s="70">
        <f>4000</f>
        <v>4000</v>
      </c>
      <c r="J188" s="465">
        <f t="shared" si="59"/>
        <v>115598</v>
      </c>
      <c r="K188" s="70"/>
      <c r="L188" s="70">
        <v>30000</v>
      </c>
      <c r="M188" s="70">
        <f>17999.67</f>
        <v>17999.669999999998</v>
      </c>
      <c r="N188" s="70"/>
      <c r="O188" s="70">
        <v>7492.4192000000003</v>
      </c>
      <c r="P188" s="70">
        <v>7327.84</v>
      </c>
      <c r="Q188" s="466">
        <f t="shared" si="60"/>
        <v>62819.929199999999</v>
      </c>
      <c r="R188" s="70">
        <v>62778.070800000001</v>
      </c>
      <c r="S188" s="465">
        <f t="shared" si="62"/>
        <v>52778.070800000001</v>
      </c>
    </row>
    <row r="189" spans="1:19" ht="20.100000000000001" customHeight="1">
      <c r="A189" s="25">
        <v>49</v>
      </c>
      <c r="B189" s="9" t="s">
        <v>318</v>
      </c>
      <c r="C189" s="10" t="s">
        <v>313</v>
      </c>
      <c r="D189" s="13" t="s">
        <v>314</v>
      </c>
      <c r="E189" s="70">
        <v>91598</v>
      </c>
      <c r="F189" s="186"/>
      <c r="G189" s="186"/>
      <c r="H189" s="186">
        <f t="shared" si="65"/>
        <v>20000</v>
      </c>
      <c r="I189" s="70">
        <f>7000</f>
        <v>7000</v>
      </c>
      <c r="J189" s="465">
        <f t="shared" si="59"/>
        <v>118598</v>
      </c>
      <c r="K189" s="70"/>
      <c r="L189" s="70">
        <v>30000</v>
      </c>
      <c r="M189" s="70">
        <f>30000</f>
        <v>30000</v>
      </c>
      <c r="N189" s="70"/>
      <c r="O189" s="70">
        <v>7852.4192000000003</v>
      </c>
      <c r="P189" s="70">
        <v>7327.84</v>
      </c>
      <c r="Q189" s="466">
        <f t="shared" si="60"/>
        <v>75180.2592</v>
      </c>
      <c r="R189" s="70">
        <v>53417.7408</v>
      </c>
      <c r="S189" s="465">
        <f t="shared" si="62"/>
        <v>43417.7408</v>
      </c>
    </row>
    <row r="190" spans="1:19" ht="20.100000000000001" customHeight="1">
      <c r="A190" s="25">
        <v>50</v>
      </c>
      <c r="B190" s="16" t="s">
        <v>319</v>
      </c>
      <c r="C190" s="10" t="s">
        <v>313</v>
      </c>
      <c r="D190" s="13" t="s">
        <v>314</v>
      </c>
      <c r="E190" s="70">
        <v>91598</v>
      </c>
      <c r="F190" s="186"/>
      <c r="G190" s="186"/>
      <c r="H190" s="186">
        <f t="shared" si="65"/>
        <v>20000</v>
      </c>
      <c r="I190" s="70">
        <f>4000</f>
        <v>4000</v>
      </c>
      <c r="J190" s="465">
        <f t="shared" si="59"/>
        <v>115598</v>
      </c>
      <c r="K190" s="70"/>
      <c r="L190" s="70">
        <v>25000</v>
      </c>
      <c r="M190" s="70"/>
      <c r="N190" s="70"/>
      <c r="O190" s="70">
        <v>7492.4192000000003</v>
      </c>
      <c r="P190" s="70">
        <v>7327.84</v>
      </c>
      <c r="Q190" s="466">
        <f t="shared" si="60"/>
        <v>39820.2592</v>
      </c>
      <c r="R190" s="70">
        <v>80777.7408</v>
      </c>
      <c r="S190" s="465">
        <f t="shared" si="62"/>
        <v>75777.7408</v>
      </c>
    </row>
    <row r="191" spans="1:19" ht="20.100000000000001" customHeight="1">
      <c r="A191" s="25">
        <v>51</v>
      </c>
      <c r="B191" s="16" t="s">
        <v>320</v>
      </c>
      <c r="C191" s="10" t="s">
        <v>313</v>
      </c>
      <c r="D191" s="13" t="s">
        <v>314</v>
      </c>
      <c r="E191" s="70">
        <v>91598</v>
      </c>
      <c r="F191" s="186"/>
      <c r="G191" s="186"/>
      <c r="H191" s="186">
        <f t="shared" si="65"/>
        <v>20000</v>
      </c>
      <c r="I191" s="70">
        <f>7000</f>
        <v>7000</v>
      </c>
      <c r="J191" s="465">
        <f t="shared" si="59"/>
        <v>118598</v>
      </c>
      <c r="K191" s="70"/>
      <c r="L191" s="70">
        <v>30000</v>
      </c>
      <c r="M191" s="70">
        <f>0</f>
        <v>0</v>
      </c>
      <c r="N191" s="70"/>
      <c r="O191" s="70">
        <v>7852.4192000000003</v>
      </c>
      <c r="P191" s="70">
        <v>7327.84</v>
      </c>
      <c r="Q191" s="466">
        <f t="shared" si="60"/>
        <v>45180.2592</v>
      </c>
      <c r="R191" s="70">
        <v>83417.7408</v>
      </c>
      <c r="S191" s="465">
        <f t="shared" si="62"/>
        <v>73417.7408</v>
      </c>
    </row>
    <row r="192" spans="1:19" ht="20.100000000000001" customHeight="1">
      <c r="A192" s="25">
        <v>52</v>
      </c>
      <c r="B192" s="9" t="s">
        <v>321</v>
      </c>
      <c r="C192" s="10" t="s">
        <v>310</v>
      </c>
      <c r="D192" s="13" t="s">
        <v>314</v>
      </c>
      <c r="E192" s="70">
        <v>91598</v>
      </c>
      <c r="F192" s="186"/>
      <c r="G192" s="186"/>
      <c r="H192" s="186">
        <v>20000</v>
      </c>
      <c r="I192" s="70">
        <v>7000</v>
      </c>
      <c r="J192" s="465">
        <f t="shared" si="59"/>
        <v>118598</v>
      </c>
      <c r="K192" s="70"/>
      <c r="L192" s="70">
        <v>30000</v>
      </c>
      <c r="M192" s="70">
        <v>10000</v>
      </c>
      <c r="N192" s="70"/>
      <c r="O192" s="70">
        <v>7852.4192000000003</v>
      </c>
      <c r="P192" s="70">
        <v>7327.84</v>
      </c>
      <c r="Q192" s="466">
        <f t="shared" si="60"/>
        <v>55180.2592</v>
      </c>
      <c r="R192" s="70">
        <v>73417.7408</v>
      </c>
      <c r="S192" s="465">
        <f t="shared" si="62"/>
        <v>63417.7408</v>
      </c>
    </row>
    <row r="193" spans="1:19" ht="20.100000000000001" customHeight="1">
      <c r="A193" s="25">
        <v>53</v>
      </c>
      <c r="B193" s="9" t="s">
        <v>322</v>
      </c>
      <c r="C193" s="10" t="s">
        <v>310</v>
      </c>
      <c r="D193" s="13" t="s">
        <v>314</v>
      </c>
      <c r="E193" s="70">
        <v>91598</v>
      </c>
      <c r="F193" s="186"/>
      <c r="G193" s="186"/>
      <c r="H193" s="186">
        <v>20000</v>
      </c>
      <c r="I193" s="70">
        <f>7000</f>
        <v>7000</v>
      </c>
      <c r="J193" s="465">
        <f t="shared" si="59"/>
        <v>118598</v>
      </c>
      <c r="K193" s="70"/>
      <c r="L193" s="70">
        <v>30000</v>
      </c>
      <c r="M193" s="70">
        <f>26222.06</f>
        <v>26222.06</v>
      </c>
      <c r="N193" s="70"/>
      <c r="O193" s="70">
        <v>7852.4192000000003</v>
      </c>
      <c r="P193" s="70">
        <v>7327.84</v>
      </c>
      <c r="Q193" s="466">
        <f t="shared" si="60"/>
        <v>71402.319199999998</v>
      </c>
      <c r="R193" s="70">
        <v>57195.680800000002</v>
      </c>
      <c r="S193" s="465">
        <f t="shared" si="62"/>
        <v>47195.680800000002</v>
      </c>
    </row>
    <row r="194" spans="1:19" ht="20.100000000000001" customHeight="1">
      <c r="A194" s="25">
        <v>54</v>
      </c>
      <c r="B194" s="16" t="s">
        <v>323</v>
      </c>
      <c r="C194" s="10" t="s">
        <v>324</v>
      </c>
      <c r="D194" s="13" t="s">
        <v>325</v>
      </c>
      <c r="E194" s="70">
        <v>89050.25</v>
      </c>
      <c r="F194" s="186"/>
      <c r="G194" s="186"/>
      <c r="H194" s="186">
        <f>20000</f>
        <v>20000</v>
      </c>
      <c r="I194" s="70">
        <f>4000+3000</f>
        <v>7000</v>
      </c>
      <c r="J194" s="465">
        <f t="shared" si="59"/>
        <v>116050.25</v>
      </c>
      <c r="K194" s="70"/>
      <c r="L194" s="70">
        <v>30000</v>
      </c>
      <c r="M194" s="70">
        <f>32916.67</f>
        <v>32916.67</v>
      </c>
      <c r="N194" s="70"/>
      <c r="O194" s="70">
        <v>7571.1476000000002</v>
      </c>
      <c r="P194" s="70">
        <v>7124.02</v>
      </c>
      <c r="Q194" s="466">
        <f t="shared" si="60"/>
        <v>77611.837599999999</v>
      </c>
      <c r="R194" s="70">
        <v>48438.412400000001</v>
      </c>
      <c r="S194" s="465">
        <f t="shared" si="62"/>
        <v>38438.412400000001</v>
      </c>
    </row>
    <row r="195" spans="1:19" ht="20.100000000000001" customHeight="1">
      <c r="A195" s="25">
        <v>55</v>
      </c>
      <c r="B195" s="16" t="s">
        <v>326</v>
      </c>
      <c r="C195" s="10" t="s">
        <v>324</v>
      </c>
      <c r="D195" s="13" t="s">
        <v>327</v>
      </c>
      <c r="E195" s="70">
        <v>83955</v>
      </c>
      <c r="F195" s="186"/>
      <c r="G195" s="186"/>
      <c r="H195" s="186">
        <v>20000</v>
      </c>
      <c r="I195" s="70">
        <v>7000</v>
      </c>
      <c r="J195" s="465">
        <f>110955*(12/31)+280000</f>
        <v>322950.32258064498</v>
      </c>
      <c r="K195" s="70"/>
      <c r="L195" s="70"/>
      <c r="M195" s="70"/>
      <c r="N195" s="70"/>
      <c r="O195" s="70">
        <f>'New Enrolmt'!I6+31272.88</f>
        <v>34400.620000000003</v>
      </c>
      <c r="P195" s="70"/>
      <c r="Q195" s="466">
        <f t="shared" si="60"/>
        <v>34400.620000000003</v>
      </c>
      <c r="R195" s="70">
        <v>288549.70258064498</v>
      </c>
      <c r="S195" s="465">
        <f t="shared" si="62"/>
        <v>288549.70258064498</v>
      </c>
    </row>
    <row r="196" spans="1:19" ht="20.100000000000001" customHeight="1">
      <c r="A196" s="25">
        <v>56</v>
      </c>
      <c r="B196" s="16" t="s">
        <v>328</v>
      </c>
      <c r="C196" s="10" t="s">
        <v>304</v>
      </c>
      <c r="D196" s="13" t="s">
        <v>305</v>
      </c>
      <c r="E196" s="70">
        <v>152814.16666666701</v>
      </c>
      <c r="F196" s="186"/>
      <c r="G196" s="186"/>
      <c r="H196" s="186">
        <f>15000</f>
        <v>15000</v>
      </c>
      <c r="I196" s="70">
        <f>7000</f>
        <v>7000</v>
      </c>
      <c r="J196" s="465">
        <f t="shared" si="59"/>
        <v>174814.16666666701</v>
      </c>
      <c r="K196" s="70"/>
      <c r="L196" s="70">
        <v>30000</v>
      </c>
      <c r="M196" s="70">
        <v>18333.330000000002</v>
      </c>
      <c r="N196" s="70"/>
      <c r="O196" s="70">
        <v>17160.199692800099</v>
      </c>
      <c r="P196" s="70">
        <f>12225.13</f>
        <v>12225.13</v>
      </c>
      <c r="Q196" s="466">
        <f t="shared" si="60"/>
        <v>77718.659692800094</v>
      </c>
      <c r="R196" s="70">
        <v>190245.82406399999</v>
      </c>
      <c r="S196" s="465">
        <f t="shared" si="62"/>
        <v>97095.506973866897</v>
      </c>
    </row>
    <row r="197" spans="1:19" ht="20.100000000000001" customHeight="1">
      <c r="A197" s="25">
        <v>57</v>
      </c>
      <c r="B197" s="16" t="s">
        <v>329</v>
      </c>
      <c r="C197" s="10" t="s">
        <v>330</v>
      </c>
      <c r="D197" s="13" t="s">
        <v>331</v>
      </c>
      <c r="E197" s="70">
        <v>76540.75</v>
      </c>
      <c r="F197" s="102"/>
      <c r="G197" s="2"/>
      <c r="H197" s="102">
        <v>15000</v>
      </c>
      <c r="I197" s="102">
        <v>4000</v>
      </c>
      <c r="J197" s="465">
        <f t="shared" si="59"/>
        <v>95540.75</v>
      </c>
      <c r="K197" s="70"/>
      <c r="L197" s="70">
        <v>10000</v>
      </c>
      <c r="M197" s="70"/>
      <c r="N197" s="70"/>
      <c r="O197" s="70">
        <v>5230.0987999999998</v>
      </c>
      <c r="P197" s="70">
        <v>6123.26</v>
      </c>
      <c r="Q197" s="466">
        <f t="shared" si="60"/>
        <v>21353.358800000002</v>
      </c>
      <c r="R197" s="70">
        <v>74187.391199999998</v>
      </c>
      <c r="S197" s="465">
        <f t="shared" si="62"/>
        <v>74187.391199999998</v>
      </c>
    </row>
    <row r="198" spans="1:19" ht="20.100000000000001" customHeight="1">
      <c r="A198" s="25">
        <v>58</v>
      </c>
      <c r="B198" s="16" t="s">
        <v>332</v>
      </c>
      <c r="C198" s="10" t="s">
        <v>330</v>
      </c>
      <c r="D198" s="13" t="s">
        <v>331</v>
      </c>
      <c r="E198" s="70">
        <v>76540.75</v>
      </c>
      <c r="F198" s="102"/>
      <c r="G198" s="2"/>
      <c r="H198" s="102">
        <v>15000</v>
      </c>
      <c r="I198" s="102">
        <v>4000</v>
      </c>
      <c r="J198" s="465">
        <f t="shared" si="59"/>
        <v>95540.75</v>
      </c>
      <c r="K198" s="70"/>
      <c r="L198" s="70">
        <v>10000</v>
      </c>
      <c r="M198" s="70"/>
      <c r="N198" s="70"/>
      <c r="O198" s="70">
        <v>5230.0987999999998</v>
      </c>
      <c r="P198" s="70">
        <v>6123.26</v>
      </c>
      <c r="Q198" s="466">
        <f t="shared" si="60"/>
        <v>21353.358800000002</v>
      </c>
      <c r="R198" s="70">
        <v>74187.391199999998</v>
      </c>
      <c r="S198" s="465">
        <f t="shared" si="62"/>
        <v>74187.391199999998</v>
      </c>
    </row>
    <row r="199" spans="1:19" ht="20.100000000000001" customHeight="1">
      <c r="A199" s="25">
        <v>59</v>
      </c>
      <c r="B199" s="16" t="s">
        <v>333</v>
      </c>
      <c r="C199" s="10" t="s">
        <v>330</v>
      </c>
      <c r="D199" s="13" t="s">
        <v>331</v>
      </c>
      <c r="E199" s="70">
        <v>76540.75</v>
      </c>
      <c r="F199" s="102"/>
      <c r="G199" s="2"/>
      <c r="H199" s="102">
        <v>15000</v>
      </c>
      <c r="I199" s="102">
        <v>4000</v>
      </c>
      <c r="J199" s="465">
        <f t="shared" si="59"/>
        <v>95540.75</v>
      </c>
      <c r="K199" s="70"/>
      <c r="L199" s="70">
        <v>10000</v>
      </c>
      <c r="M199" s="70">
        <v>8750</v>
      </c>
      <c r="N199" s="70"/>
      <c r="O199" s="70">
        <v>5230.0987999999998</v>
      </c>
      <c r="P199" s="70">
        <v>6123.26</v>
      </c>
      <c r="Q199" s="466">
        <f t="shared" si="60"/>
        <v>30103.358800000002</v>
      </c>
      <c r="R199" s="70">
        <v>65437.391199999998</v>
      </c>
      <c r="S199" s="465">
        <f t="shared" si="62"/>
        <v>65437.391199999998</v>
      </c>
    </row>
    <row r="200" spans="1:19" ht="20.100000000000001" customHeight="1">
      <c r="A200" s="25">
        <v>60</v>
      </c>
      <c r="B200" s="16" t="s">
        <v>334</v>
      </c>
      <c r="C200" s="10" t="s">
        <v>335</v>
      </c>
      <c r="D200" s="13" t="s">
        <v>336</v>
      </c>
      <c r="E200" s="70">
        <v>86502.5</v>
      </c>
      <c r="F200" s="102"/>
      <c r="G200" s="186"/>
      <c r="H200" s="186">
        <f>15000</f>
        <v>15000</v>
      </c>
      <c r="I200" s="70">
        <v>7000</v>
      </c>
      <c r="J200" s="465">
        <f t="shared" si="59"/>
        <v>108502.5</v>
      </c>
      <c r="K200" s="70"/>
      <c r="L200" s="70">
        <v>20000</v>
      </c>
      <c r="M200" s="70">
        <v>8750</v>
      </c>
      <c r="N200" s="70"/>
      <c r="O200" s="70">
        <v>6689.8760000000002</v>
      </c>
      <c r="P200" s="70">
        <v>6920.2</v>
      </c>
      <c r="Q200" s="466">
        <f t="shared" si="60"/>
        <v>42360.076000000001</v>
      </c>
      <c r="R200" s="70">
        <v>66142.423999999999</v>
      </c>
      <c r="S200" s="465">
        <f t="shared" si="62"/>
        <v>66142.423999999999</v>
      </c>
    </row>
    <row r="201" spans="1:19" ht="20.100000000000001" customHeight="1">
      <c r="A201" s="25">
        <v>61</v>
      </c>
      <c r="B201" s="16" t="s">
        <v>337</v>
      </c>
      <c r="C201" s="10" t="s">
        <v>335</v>
      </c>
      <c r="D201" s="13" t="s">
        <v>336</v>
      </c>
      <c r="E201" s="70">
        <v>86502.5</v>
      </c>
      <c r="F201" s="102"/>
      <c r="G201" s="186"/>
      <c r="H201" s="186">
        <f>15000</f>
        <v>15000</v>
      </c>
      <c r="I201" s="70">
        <v>7000</v>
      </c>
      <c r="J201" s="465">
        <f t="shared" si="59"/>
        <v>108502.5</v>
      </c>
      <c r="K201" s="70"/>
      <c r="L201" s="70">
        <v>25000</v>
      </c>
      <c r="M201" s="70">
        <v>6125</v>
      </c>
      <c r="N201" s="70"/>
      <c r="O201" s="70">
        <v>6689.8760000000002</v>
      </c>
      <c r="P201" s="70">
        <v>6920.2</v>
      </c>
      <c r="Q201" s="466">
        <f t="shared" si="60"/>
        <v>44735.076000000001</v>
      </c>
      <c r="R201" s="70">
        <v>73767.423999999999</v>
      </c>
      <c r="S201" s="465">
        <f t="shared" si="62"/>
        <v>63767.423999999999</v>
      </c>
    </row>
    <row r="202" spans="1:19" ht="30.75" customHeight="1">
      <c r="A202" s="25"/>
      <c r="B202" s="6" t="s">
        <v>96</v>
      </c>
      <c r="C202" s="26" t="s">
        <v>338</v>
      </c>
      <c r="D202" s="27"/>
      <c r="E202" s="78">
        <f>SUM(E141:E201)</f>
        <v>15006015.1666667</v>
      </c>
      <c r="F202" s="78">
        <f t="shared" ref="F202:S202" si="66">SUM(F141:F201)</f>
        <v>0</v>
      </c>
      <c r="G202" s="78">
        <f t="shared" si="66"/>
        <v>0</v>
      </c>
      <c r="H202" s="78">
        <f t="shared" si="66"/>
        <v>2570000</v>
      </c>
      <c r="I202" s="78">
        <f t="shared" si="66"/>
        <v>235000</v>
      </c>
      <c r="J202" s="78">
        <f t="shared" si="66"/>
        <v>18023010.4892473</v>
      </c>
      <c r="K202" s="78">
        <f t="shared" si="66"/>
        <v>0</v>
      </c>
      <c r="L202" s="78">
        <f t="shared" si="66"/>
        <v>1510500</v>
      </c>
      <c r="M202" s="78">
        <f t="shared" si="66"/>
        <v>2220649.35</v>
      </c>
      <c r="N202" s="78">
        <f t="shared" si="66"/>
        <v>59303.079166666699</v>
      </c>
      <c r="O202" s="78">
        <f t="shared" si="66"/>
        <v>2155944.7678160002</v>
      </c>
      <c r="P202" s="78">
        <f t="shared" si="66"/>
        <v>1193764.57333333</v>
      </c>
      <c r="Q202" s="78">
        <f t="shared" si="66"/>
        <v>7140161.7703160001</v>
      </c>
      <c r="R202" s="78">
        <v>14927417.753719199</v>
      </c>
      <c r="S202" s="78">
        <f t="shared" si="66"/>
        <v>10882848.718931301</v>
      </c>
    </row>
    <row r="203" spans="1:19" ht="30" customHeight="1">
      <c r="A203" s="2"/>
      <c r="B203" s="28" t="s">
        <v>339</v>
      </c>
      <c r="C203" s="29">
        <f>C38+C45+C57+C62+C73+C82+C95+C103+C113+C125+C138+C202</f>
        <v>155</v>
      </c>
      <c r="D203" s="30"/>
      <c r="E203" s="193">
        <f t="shared" ref="E203:Q203" si="67">E202+E138+E125+E119+E113+E103+E95+E82+E73+E62+E57+E45+E38</f>
        <v>64673440.833666712</v>
      </c>
      <c r="F203" s="193">
        <f t="shared" si="67"/>
        <v>655332</v>
      </c>
      <c r="G203" s="193">
        <f t="shared" si="67"/>
        <v>7430000</v>
      </c>
      <c r="H203" s="193">
        <f t="shared" si="67"/>
        <v>5530000</v>
      </c>
      <c r="I203" s="193">
        <f t="shared" si="67"/>
        <v>3046337.4691050001</v>
      </c>
      <c r="J203" s="193">
        <f t="shared" si="67"/>
        <v>81547105.625352323</v>
      </c>
      <c r="K203" s="193">
        <f t="shared" si="67"/>
        <v>0</v>
      </c>
      <c r="L203" s="193">
        <f t="shared" si="67"/>
        <v>6703500</v>
      </c>
      <c r="M203" s="193">
        <f t="shared" si="67"/>
        <v>7797849.21</v>
      </c>
      <c r="N203" s="193">
        <f t="shared" si="67"/>
        <v>237989.6458333336</v>
      </c>
      <c r="O203" s="193">
        <f t="shared" si="67"/>
        <v>11583470.866686288</v>
      </c>
      <c r="P203" s="193">
        <f t="shared" si="67"/>
        <v>4865149.9433333296</v>
      </c>
      <c r="Q203" s="193">
        <f t="shared" si="67"/>
        <v>31187959.665852956</v>
      </c>
      <c r="R203" s="193">
        <v>55578847.657464698</v>
      </c>
      <c r="S203" s="193">
        <f>S202+S138+S125+S119+S113+S103+S95+S82+S73+S62+S57+S45+S38</f>
        <v>50359145.959499329</v>
      </c>
    </row>
    <row r="204" spans="1:19" ht="38.25" customHeight="1">
      <c r="B204" s="31"/>
      <c r="D204" s="32"/>
      <c r="E204" s="32"/>
      <c r="F204" s="32"/>
      <c r="G204" s="194"/>
      <c r="H204" s="194"/>
      <c r="I204" s="194"/>
      <c r="J204" s="194"/>
      <c r="K204" s="194"/>
      <c r="L204" s="194"/>
      <c r="M204" s="194"/>
      <c r="N204" s="194"/>
      <c r="O204" s="195"/>
      <c r="P204" s="195"/>
      <c r="Q204" s="195"/>
      <c r="R204" s="195"/>
      <c r="S204" s="195"/>
    </row>
    <row r="205" spans="1:19" ht="36.75" customHeight="1">
      <c r="B205" s="31"/>
      <c r="C205" s="32"/>
      <c r="D205" s="32"/>
      <c r="E205" s="32"/>
      <c r="F205" s="32"/>
      <c r="G205" s="194"/>
      <c r="H205" s="194"/>
      <c r="J205" s="194" t="s">
        <v>340</v>
      </c>
      <c r="K205" s="194"/>
      <c r="L205" s="194"/>
      <c r="M205" s="194"/>
      <c r="N205" s="194"/>
      <c r="O205" s="195"/>
      <c r="P205" s="195"/>
      <c r="Q205" s="195"/>
      <c r="R205" s="195"/>
      <c r="S205" s="33"/>
    </row>
    <row r="206" spans="1:19" ht="20.100000000000001" customHeight="1">
      <c r="Q206" s="33"/>
      <c r="S206" s="297"/>
    </row>
    <row r="207" spans="1:19" ht="20.100000000000001" customHeight="1">
      <c r="S207" s="33"/>
    </row>
    <row r="208" spans="1:19" ht="20.100000000000001" customHeight="1">
      <c r="J208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24" man="1"/>
    <brk id="82" max="24" man="1"/>
    <brk id="126" max="24" man="1"/>
    <brk id="164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6"/>
  <sheetViews>
    <sheetView topLeftCell="A50" zoomScale="91" zoomScaleNormal="91" workbookViewId="0">
      <selection activeCell="F61" sqref="F61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746"/>
      <c r="C1" s="746"/>
      <c r="D1" s="746"/>
      <c r="E1" s="746"/>
      <c r="F1" s="746"/>
      <c r="G1" s="746"/>
      <c r="H1" s="746"/>
    </row>
    <row r="2" spans="1:8" ht="29.25" customHeight="1">
      <c r="A2" s="781" t="s">
        <v>0</v>
      </c>
      <c r="B2" s="781"/>
      <c r="C2" s="781"/>
      <c r="D2" s="781"/>
      <c r="E2" s="781"/>
      <c r="F2" s="781"/>
      <c r="G2" s="781"/>
      <c r="H2" s="781"/>
    </row>
    <row r="3" spans="1:8" ht="27" customHeight="1">
      <c r="A3" s="781" t="s">
        <v>341</v>
      </c>
      <c r="B3" s="781"/>
      <c r="C3" s="781"/>
      <c r="D3" s="781"/>
      <c r="E3" s="781"/>
      <c r="F3" s="781"/>
      <c r="G3" s="781"/>
      <c r="H3" s="781"/>
    </row>
    <row r="4" spans="1:8" ht="15.6" hidden="1" customHeight="1">
      <c r="A4" s="747" t="s">
        <v>342</v>
      </c>
      <c r="B4" s="747"/>
      <c r="C4" s="747"/>
      <c r="D4" s="747"/>
      <c r="E4" s="747"/>
      <c r="F4" s="747"/>
      <c r="G4" s="748"/>
      <c r="H4" s="748"/>
    </row>
    <row r="5" spans="1:8" ht="9.6" hidden="1" customHeight="1">
      <c r="A5" s="782" t="s">
        <v>343</v>
      </c>
      <c r="B5" s="782"/>
      <c r="C5" s="782"/>
      <c r="D5" s="782"/>
      <c r="E5" s="782"/>
      <c r="F5" s="782"/>
      <c r="G5" s="748"/>
      <c r="H5" s="748"/>
    </row>
    <row r="6" spans="1:8" ht="29.25" hidden="1" customHeight="1">
      <c r="A6" s="782" t="s">
        <v>344</v>
      </c>
      <c r="B6" s="782"/>
      <c r="C6" s="782"/>
      <c r="D6" s="782"/>
      <c r="E6" s="782"/>
      <c r="F6" s="782"/>
      <c r="G6" s="748"/>
      <c r="H6" s="748"/>
    </row>
    <row r="7" spans="1:8" ht="25.15" hidden="1" customHeight="1">
      <c r="A7" s="782" t="s">
        <v>345</v>
      </c>
      <c r="B7" s="782"/>
      <c r="C7" s="782"/>
      <c r="D7" s="782"/>
      <c r="E7" s="782"/>
      <c r="F7" s="748"/>
      <c r="G7" s="748"/>
      <c r="H7" s="748"/>
    </row>
    <row r="8" spans="1:8" ht="24.75" hidden="1" customHeight="1">
      <c r="A8" s="748"/>
      <c r="B8" s="748"/>
      <c r="C8" s="748"/>
      <c r="D8" s="748"/>
      <c r="E8" s="748"/>
      <c r="F8" s="748"/>
      <c r="G8" s="748"/>
      <c r="H8" s="748"/>
    </row>
    <row r="9" spans="1:8" ht="24" hidden="1" customHeight="1">
      <c r="A9" s="783" t="s">
        <v>346</v>
      </c>
      <c r="B9" s="783"/>
      <c r="C9" s="783"/>
      <c r="D9" s="783"/>
      <c r="E9" s="783"/>
      <c r="F9" s="783"/>
      <c r="G9" s="748"/>
      <c r="H9" s="748"/>
    </row>
    <row r="10" spans="1:8" ht="13.15" hidden="1" customHeight="1">
      <c r="A10" s="782" t="s">
        <v>347</v>
      </c>
      <c r="B10" s="782"/>
      <c r="C10" s="782"/>
      <c r="D10" s="782"/>
      <c r="E10" s="782"/>
      <c r="F10" s="782"/>
      <c r="G10" s="782"/>
      <c r="H10" s="782"/>
    </row>
    <row r="11" spans="1:8" ht="18" hidden="1" customHeight="1">
      <c r="A11" s="749"/>
      <c r="B11" s="748"/>
      <c r="C11" s="748"/>
      <c r="D11" s="748"/>
      <c r="E11" s="748"/>
      <c r="F11" s="748"/>
      <c r="G11" s="748"/>
      <c r="H11" s="748"/>
    </row>
    <row r="12" spans="1:8" ht="18.75" hidden="1" customHeight="1">
      <c r="A12" s="749"/>
      <c r="B12" s="748"/>
      <c r="C12" s="748"/>
      <c r="D12" s="748"/>
      <c r="E12" s="748"/>
      <c r="F12" s="748"/>
      <c r="G12" s="748"/>
      <c r="H12" s="748"/>
    </row>
    <row r="13" spans="1:8" ht="19.5" customHeight="1">
      <c r="A13" s="147" t="s">
        <v>348</v>
      </c>
      <c r="B13" s="147"/>
      <c r="C13" s="147" t="s">
        <v>349</v>
      </c>
      <c r="D13" s="147"/>
      <c r="E13" s="147"/>
      <c r="F13" s="750"/>
      <c r="G13" s="751"/>
      <c r="H13" s="748"/>
    </row>
    <row r="14" spans="1:8" ht="20.25" customHeight="1">
      <c r="A14" s="147" t="s">
        <v>350</v>
      </c>
      <c r="B14" s="750"/>
      <c r="C14" s="147" t="s">
        <v>351</v>
      </c>
      <c r="D14" s="147"/>
      <c r="E14" s="147"/>
      <c r="F14" s="147"/>
      <c r="G14" s="44"/>
      <c r="H14" s="748"/>
    </row>
    <row r="15" spans="1:8" ht="21" customHeight="1">
      <c r="A15" s="147" t="s">
        <v>352</v>
      </c>
      <c r="B15" s="147"/>
      <c r="C15" s="147" t="s">
        <v>353</v>
      </c>
      <c r="D15" s="147"/>
      <c r="E15" s="147"/>
      <c r="F15" s="147"/>
      <c r="G15" s="44"/>
      <c r="H15" s="748"/>
    </row>
    <row r="16" spans="1:8" ht="21" customHeight="1">
      <c r="A16" s="147" t="s">
        <v>354</v>
      </c>
      <c r="B16" s="147"/>
      <c r="C16" s="147" t="s">
        <v>355</v>
      </c>
      <c r="D16" s="147"/>
      <c r="E16" s="750"/>
      <c r="F16" s="750"/>
      <c r="G16" s="751"/>
      <c r="H16" s="748"/>
    </row>
    <row r="17" spans="1:10" ht="14.25" customHeight="1">
      <c r="A17" s="44"/>
      <c r="B17" s="44"/>
      <c r="C17" s="44"/>
      <c r="D17" s="44"/>
      <c r="E17" s="751"/>
      <c r="F17" s="751"/>
      <c r="G17" s="751"/>
      <c r="H17" s="748"/>
    </row>
    <row r="18" spans="1:10" ht="24" customHeight="1">
      <c r="A18" s="224" t="s">
        <v>356</v>
      </c>
      <c r="B18" s="224"/>
      <c r="C18" s="752"/>
      <c r="D18" s="752"/>
      <c r="E18" s="752"/>
      <c r="F18" s="752"/>
      <c r="G18" s="751"/>
      <c r="H18" s="748"/>
    </row>
    <row r="19" spans="1:10" ht="30.75" customHeight="1">
      <c r="A19" s="44" t="s">
        <v>357</v>
      </c>
      <c r="B19" s="44"/>
      <c r="C19" s="751"/>
      <c r="D19" s="751"/>
      <c r="E19" s="751"/>
      <c r="F19" s="751"/>
      <c r="G19" s="574" t="s">
        <v>358</v>
      </c>
      <c r="H19" s="574" t="s">
        <v>358</v>
      </c>
    </row>
    <row r="20" spans="1:10" ht="21" customHeight="1">
      <c r="A20" s="784" t="s">
        <v>359</v>
      </c>
      <c r="B20" s="784"/>
      <c r="C20" s="784"/>
      <c r="D20" s="784"/>
      <c r="E20" s="784"/>
      <c r="F20" s="784"/>
      <c r="G20" s="784"/>
      <c r="H20" s="754">
        <f>'DECEMBER 2024'!J203</f>
        <v>81547105.625352323</v>
      </c>
      <c r="J20" s="369"/>
    </row>
    <row r="21" spans="1:10" ht="6.75" customHeight="1">
      <c r="A21" s="753"/>
      <c r="B21" s="753"/>
      <c r="C21" s="753"/>
      <c r="D21" s="753"/>
      <c r="E21" s="753"/>
      <c r="F21" s="753"/>
      <c r="G21" s="753"/>
      <c r="H21" s="754"/>
      <c r="J21" s="369"/>
    </row>
    <row r="22" spans="1:10" ht="21.75" customHeight="1">
      <c r="A22" s="785" t="s">
        <v>360</v>
      </c>
      <c r="B22" s="785"/>
      <c r="C22" s="785"/>
      <c r="D22" s="785"/>
      <c r="E22" s="785"/>
      <c r="F22" s="785"/>
      <c r="G22" s="755"/>
      <c r="H22" s="44"/>
      <c r="I22" s="369"/>
    </row>
    <row r="23" spans="1:10" ht="18.75" customHeight="1">
      <c r="A23" s="786" t="s">
        <v>361</v>
      </c>
      <c r="B23" s="786"/>
      <c r="C23" s="786"/>
      <c r="D23" s="786"/>
      <c r="E23" s="786"/>
      <c r="F23" s="786"/>
      <c r="G23" s="132">
        <f>'DECEMBER 2024'!L203</f>
        <v>6703500</v>
      </c>
      <c r="H23" s="44"/>
      <c r="J23" s="369"/>
    </row>
    <row r="24" spans="1:10" ht="19.5" customHeight="1">
      <c r="A24" s="786" t="s">
        <v>362</v>
      </c>
      <c r="B24" s="786"/>
      <c r="C24" s="786"/>
      <c r="D24" s="786"/>
      <c r="E24" s="786"/>
      <c r="F24" s="786"/>
      <c r="G24" s="132">
        <f>'DECEMBER 2024'!M203</f>
        <v>7797849.21</v>
      </c>
      <c r="H24" s="44"/>
    </row>
    <row r="25" spans="1:10" ht="20.25" customHeight="1">
      <c r="A25" s="787" t="s">
        <v>363</v>
      </c>
      <c r="B25" s="787"/>
      <c r="C25" s="787"/>
      <c r="D25" s="787"/>
      <c r="E25" s="787"/>
      <c r="F25" s="787"/>
      <c r="G25" s="132">
        <f>'DECEMBER 2024'!N203</f>
        <v>237989.6458333336</v>
      </c>
      <c r="H25" s="44"/>
    </row>
    <row r="26" spans="1:10" ht="20.25" customHeight="1">
      <c r="A26" s="786" t="s">
        <v>364</v>
      </c>
      <c r="B26" s="786"/>
      <c r="C26" s="786"/>
      <c r="D26" s="786"/>
      <c r="E26" s="786"/>
      <c r="F26" s="786"/>
      <c r="G26" s="132">
        <f>'DECEMBER 2024'!O203</f>
        <v>11583470.866686288</v>
      </c>
      <c r="H26" s="44"/>
    </row>
    <row r="27" spans="1:10" ht="21" customHeight="1">
      <c r="A27" s="786" t="s">
        <v>365</v>
      </c>
      <c r="B27" s="786"/>
      <c r="C27" s="786"/>
      <c r="D27" s="786"/>
      <c r="E27" s="786"/>
      <c r="F27" s="786"/>
      <c r="G27" s="758">
        <f>'DECEMBER 2024'!P203</f>
        <v>4865149.9433333296</v>
      </c>
      <c r="H27" s="44"/>
    </row>
    <row r="28" spans="1:10" ht="28.5" customHeight="1">
      <c r="A28" s="786" t="s">
        <v>366</v>
      </c>
      <c r="B28" s="786"/>
      <c r="C28" s="786"/>
      <c r="D28" s="786"/>
      <c r="E28" s="786"/>
      <c r="F28" s="786"/>
      <c r="G28" s="132"/>
      <c r="H28" s="759">
        <f>G23+G24+G26+G25+G27</f>
        <v>31187959.665852949</v>
      </c>
      <c r="I28" s="371"/>
    </row>
    <row r="29" spans="1:10" ht="20.25" customHeight="1">
      <c r="A29" s="786" t="s">
        <v>367</v>
      </c>
      <c r="B29" s="786"/>
      <c r="C29" s="786"/>
      <c r="D29" s="786"/>
      <c r="E29" s="786"/>
      <c r="F29" s="786"/>
      <c r="G29" s="224"/>
      <c r="H29" s="126">
        <f>H20-H28</f>
        <v>50359145.959499374</v>
      </c>
      <c r="I29" s="179"/>
      <c r="J29" s="179"/>
    </row>
    <row r="30" spans="1:10" ht="21" customHeight="1">
      <c r="A30" s="786" t="s">
        <v>368</v>
      </c>
      <c r="B30" s="786"/>
      <c r="C30" s="786"/>
      <c r="D30" s="786"/>
      <c r="E30" s="786"/>
      <c r="F30" s="786"/>
      <c r="G30" s="224"/>
      <c r="H30" s="645">
        <f>'DECEMBER 2024'!R203</f>
        <v>55578847.657464698</v>
      </c>
    </row>
    <row r="31" spans="1:10" ht="21" customHeight="1">
      <c r="A31" s="786" t="s">
        <v>369</v>
      </c>
      <c r="B31" s="786"/>
      <c r="C31" s="786"/>
      <c r="D31" s="786"/>
      <c r="E31" s="786"/>
      <c r="F31" s="786"/>
      <c r="G31" s="224"/>
      <c r="H31" s="760">
        <f>H29-H30</f>
        <v>-5219701.6979653239</v>
      </c>
    </row>
    <row r="32" spans="1:10" ht="29.25" customHeight="1">
      <c r="A32" s="784" t="s">
        <v>370</v>
      </c>
      <c r="B32" s="784"/>
      <c r="C32" s="784"/>
      <c r="D32" s="784"/>
      <c r="E32" s="784"/>
      <c r="F32" s="784"/>
      <c r="G32" s="784"/>
      <c r="H32" s="44"/>
    </row>
    <row r="33" spans="1:17" ht="21.75" customHeight="1">
      <c r="A33" s="756" t="s">
        <v>371</v>
      </c>
      <c r="B33" s="756"/>
      <c r="C33" s="756"/>
      <c r="D33" s="756"/>
      <c r="E33" s="756"/>
      <c r="F33" s="756"/>
      <c r="G33" s="756"/>
      <c r="H33" s="761">
        <v>282500</v>
      </c>
      <c r="J33" s="371"/>
    </row>
    <row r="34" spans="1:17" ht="21.75" customHeight="1">
      <c r="A34" s="756" t="s">
        <v>372</v>
      </c>
      <c r="B34" s="756"/>
      <c r="C34" s="756"/>
      <c r="D34" s="756"/>
      <c r="E34" s="756"/>
      <c r="F34" s="756"/>
      <c r="G34" s="756"/>
      <c r="H34" s="761">
        <f>6231679.78</f>
        <v>6231679.7800000003</v>
      </c>
      <c r="I34" s="761"/>
      <c r="J34" s="371"/>
    </row>
    <row r="35" spans="1:17" ht="21.75" customHeight="1">
      <c r="A35" s="756" t="s">
        <v>373</v>
      </c>
      <c r="B35" s="756"/>
      <c r="C35" s="756"/>
      <c r="D35" s="756"/>
      <c r="E35" s="756"/>
      <c r="F35" s="756"/>
      <c r="G35" s="756"/>
      <c r="H35" s="761">
        <v>-752754.99</v>
      </c>
      <c r="I35" s="765"/>
      <c r="J35" s="371"/>
    </row>
    <row r="36" spans="1:17" ht="21.75" customHeight="1">
      <c r="A36" s="756" t="s">
        <v>374</v>
      </c>
      <c r="B36" s="756"/>
      <c r="C36" s="756"/>
      <c r="D36" s="756"/>
      <c r="E36" s="756"/>
      <c r="F36" s="756"/>
      <c r="G36" s="756"/>
      <c r="H36" s="761">
        <v>-40399.99</v>
      </c>
      <c r="I36" s="765"/>
      <c r="J36" s="371"/>
    </row>
    <row r="37" spans="1:17" ht="21.75" customHeight="1">
      <c r="A37" s="756" t="s">
        <v>375</v>
      </c>
      <c r="B37" s="756"/>
      <c r="C37" s="756"/>
      <c r="D37" s="756"/>
      <c r="E37" s="756"/>
      <c r="F37" s="756"/>
      <c r="G37" s="756"/>
      <c r="H37" s="761">
        <v>-501323.1</v>
      </c>
      <c r="J37" s="371"/>
    </row>
    <row r="38" spans="1:17" ht="24" customHeight="1">
      <c r="H38" s="762">
        <f>SUM(H33:H37)</f>
        <v>5219701.7</v>
      </c>
      <c r="I38" s="371"/>
      <c r="J38" s="367"/>
      <c r="K38" s="369"/>
      <c r="L38" s="367"/>
      <c r="M38" s="367"/>
      <c r="N38" s="369"/>
      <c r="P38" s="766"/>
      <c r="Q38" s="369"/>
    </row>
    <row r="39" spans="1:17" ht="21" customHeight="1">
      <c r="H39" s="763"/>
      <c r="I39" s="371"/>
      <c r="J39" s="367"/>
      <c r="K39" s="369"/>
      <c r="L39" s="367"/>
      <c r="M39" s="367"/>
      <c r="N39" s="369"/>
      <c r="P39" s="766"/>
      <c r="Q39" s="369"/>
    </row>
    <row r="40" spans="1:17" ht="18.75" customHeight="1">
      <c r="A40" s="756"/>
      <c r="B40" s="756"/>
      <c r="C40" s="756"/>
      <c r="D40" s="756"/>
      <c r="E40" s="756"/>
      <c r="F40" s="756"/>
      <c r="G40" s="756"/>
      <c r="H40" s="763"/>
      <c r="I40" s="371"/>
      <c r="J40" s="367"/>
      <c r="K40" s="369"/>
      <c r="L40" s="367"/>
      <c r="M40" s="367"/>
      <c r="N40" s="369"/>
      <c r="P40" s="766"/>
      <c r="Q40" s="369"/>
    </row>
    <row r="41" spans="1:17" ht="28.5" customHeight="1">
      <c r="A41" s="44"/>
      <c r="B41" s="44"/>
      <c r="C41" s="44"/>
      <c r="D41" s="44"/>
      <c r="E41" s="788" t="s">
        <v>17</v>
      </c>
      <c r="F41" s="789"/>
      <c r="G41" s="788" t="s">
        <v>18</v>
      </c>
      <c r="H41" s="790"/>
      <c r="I41" s="371"/>
      <c r="J41" s="371"/>
      <c r="K41" s="369"/>
    </row>
    <row r="42" spans="1:17" ht="18.600000000000001" customHeight="1">
      <c r="A42" s="44"/>
      <c r="B42" s="44"/>
      <c r="C42" s="44"/>
      <c r="D42" s="44"/>
      <c r="E42" s="55" t="s">
        <v>376</v>
      </c>
      <c r="F42" s="98" t="s">
        <v>19</v>
      </c>
      <c r="G42" s="55" t="s">
        <v>376</v>
      </c>
      <c r="H42" s="98" t="s">
        <v>19</v>
      </c>
      <c r="I42" s="371"/>
      <c r="J42" s="371"/>
    </row>
    <row r="43" spans="1:17" ht="28.5" customHeight="1">
      <c r="A43" s="46">
        <v>1</v>
      </c>
      <c r="B43" s="791" t="s">
        <v>377</v>
      </c>
      <c r="C43" s="786"/>
      <c r="D43" s="786"/>
      <c r="E43" s="45">
        <v>32</v>
      </c>
      <c r="F43" s="47">
        <f>'DECEMBER 2024'!R38</f>
        <v>13461860.184497699</v>
      </c>
      <c r="G43" s="45">
        <f>'DECEMBER 2024'!C38</f>
        <v>31</v>
      </c>
      <c r="H43" s="47">
        <f>'DECEMBER 2024'!S38</f>
        <v>12903225.822445465</v>
      </c>
      <c r="I43" s="371"/>
      <c r="J43" s="371"/>
    </row>
    <row r="44" spans="1:17" ht="21.75" customHeight="1">
      <c r="A44" s="46">
        <v>2</v>
      </c>
      <c r="B44" s="137" t="s">
        <v>378</v>
      </c>
      <c r="C44" s="756"/>
      <c r="D44" s="756"/>
      <c r="E44" s="45">
        <v>3</v>
      </c>
      <c r="F44" s="47">
        <f>'DECEMBER 2024'!R45</f>
        <v>1512321.60525333</v>
      </c>
      <c r="G44" s="45">
        <f>'DECEMBER 2024'!C45</f>
        <v>4</v>
      </c>
      <c r="H44" s="47">
        <f>'DECEMBER 2024'!S45</f>
        <v>1482321.605253333</v>
      </c>
      <c r="I44" s="371"/>
      <c r="J44" s="371"/>
    </row>
    <row r="45" spans="1:17" ht="24.75" customHeight="1">
      <c r="A45" s="46">
        <v>3</v>
      </c>
      <c r="B45" s="786" t="s">
        <v>379</v>
      </c>
      <c r="C45" s="786"/>
      <c r="D45" s="786"/>
      <c r="E45" s="45">
        <v>11</v>
      </c>
      <c r="F45" s="47">
        <f>'DECEMBER 2024'!R57</f>
        <v>4501924.2183940001</v>
      </c>
      <c r="G45" s="45">
        <f>'DECEMBER 2024'!C57</f>
        <v>9</v>
      </c>
      <c r="H45" s="47">
        <f>'DECEMBER 2024'!S57</f>
        <v>4152743.6980654616</v>
      </c>
      <c r="I45" s="371"/>
      <c r="J45" s="371"/>
    </row>
    <row r="46" spans="1:17" ht="23.25" customHeight="1">
      <c r="A46" s="46">
        <v>4</v>
      </c>
      <c r="B46" s="786" t="s">
        <v>380</v>
      </c>
      <c r="C46" s="786"/>
      <c r="D46" s="792"/>
      <c r="E46" s="45">
        <v>2</v>
      </c>
      <c r="F46" s="47">
        <f>'DECEMBER 2024'!R62</f>
        <v>1482548.8874933301</v>
      </c>
      <c r="G46" s="45">
        <f>'DECEMBER 2024'!C62</f>
        <v>2</v>
      </c>
      <c r="H46" s="47">
        <f>'DECEMBER 2024'!S62</f>
        <v>1482548.8874933301</v>
      </c>
      <c r="I46" s="371"/>
      <c r="J46" s="371"/>
    </row>
    <row r="47" spans="1:17" ht="24" customHeight="1">
      <c r="A47" s="46">
        <v>5</v>
      </c>
      <c r="B47" s="786" t="s">
        <v>381</v>
      </c>
      <c r="C47" s="786"/>
      <c r="D47" s="792"/>
      <c r="E47" s="45">
        <v>12</v>
      </c>
      <c r="F47" s="47">
        <f>'DECEMBER 2024'!R73</f>
        <v>2448685.13669333</v>
      </c>
      <c r="G47" s="45">
        <f>'DECEMBER 2024'!C73</f>
        <v>8</v>
      </c>
      <c r="H47" s="47">
        <f>'DECEMBER 2024'!S73</f>
        <v>2448685.13669333</v>
      </c>
      <c r="I47" s="371"/>
      <c r="J47" s="371"/>
    </row>
    <row r="48" spans="1:17" ht="21" customHeight="1">
      <c r="A48" s="46">
        <v>6</v>
      </c>
      <c r="B48" s="786" t="s">
        <v>382</v>
      </c>
      <c r="C48" s="786"/>
      <c r="D48" s="792"/>
      <c r="E48" s="45">
        <v>6</v>
      </c>
      <c r="F48" s="47">
        <f>'DECEMBER 2024'!R82</f>
        <v>2738248.06231</v>
      </c>
      <c r="G48" s="45">
        <f>'DECEMBER 2024'!C82</f>
        <v>6</v>
      </c>
      <c r="H48" s="47">
        <f>'DECEMBER 2024'!S82</f>
        <v>3095189.6529766656</v>
      </c>
      <c r="I48" s="371"/>
      <c r="J48" s="371"/>
    </row>
    <row r="49" spans="1:14" ht="23.25" customHeight="1">
      <c r="A49" s="46">
        <v>7</v>
      </c>
      <c r="B49" s="756" t="s">
        <v>383</v>
      </c>
      <c r="C49" s="756"/>
      <c r="D49" s="756"/>
      <c r="E49" s="45">
        <v>11</v>
      </c>
      <c r="F49" s="47">
        <f>'DECEMBER 2024'!R95</f>
        <v>4806736.8574093301</v>
      </c>
      <c r="G49" s="45">
        <f>'DECEMBER 2024'!C95</f>
        <v>10</v>
      </c>
      <c r="H49" s="47">
        <f>'DECEMBER 2024'!S95</f>
        <v>4154911.0689853323</v>
      </c>
      <c r="I49" s="371"/>
      <c r="J49" s="371"/>
    </row>
    <row r="50" spans="1:14" ht="25.5" customHeight="1">
      <c r="A50" s="46">
        <v>8</v>
      </c>
      <c r="B50" s="756" t="s">
        <v>384</v>
      </c>
      <c r="C50" s="756"/>
      <c r="D50" s="756"/>
      <c r="E50" s="45">
        <v>4</v>
      </c>
      <c r="F50" s="47">
        <f>'DECEMBER 2024'!R103</f>
        <v>1291537.9759472001</v>
      </c>
      <c r="G50" s="45">
        <f>'DECEMBER 2024'!C103</f>
        <v>4</v>
      </c>
      <c r="H50" s="47">
        <f>'DECEMBER 2024'!S103</f>
        <v>1517788.5611084034</v>
      </c>
      <c r="I50" s="371"/>
      <c r="J50" s="371"/>
    </row>
    <row r="51" spans="1:14" ht="21.75" customHeight="1">
      <c r="A51" s="46">
        <v>9</v>
      </c>
      <c r="B51" s="756" t="s">
        <v>385</v>
      </c>
      <c r="C51" s="756"/>
      <c r="D51" s="756"/>
      <c r="E51" s="45">
        <v>7</v>
      </c>
      <c r="F51" s="47">
        <f>'DECEMBER 2024'!R113</f>
        <v>3378491.57127418</v>
      </c>
      <c r="G51" s="45">
        <f>'DECEMBER 2024'!C113</f>
        <v>7</v>
      </c>
      <c r="H51" s="47">
        <f>'DECEMBER 2024'!S113</f>
        <v>3378491.57127418</v>
      </c>
      <c r="I51" s="371"/>
      <c r="J51" s="371"/>
    </row>
    <row r="52" spans="1:14" ht="21.75" customHeight="1">
      <c r="A52" s="46">
        <v>10</v>
      </c>
      <c r="B52" s="756" t="s">
        <v>386</v>
      </c>
      <c r="C52" s="756"/>
      <c r="D52" s="756"/>
      <c r="E52" s="45">
        <v>2</v>
      </c>
      <c r="F52" s="47">
        <f>'DECEMBER 2024'!R119</f>
        <v>1158023.8453417299</v>
      </c>
      <c r="G52" s="45">
        <f>'DECEMBER 2024'!C119</f>
        <v>2</v>
      </c>
      <c r="H52" s="47">
        <f>'DECEMBER 2024'!S119</f>
        <v>989339.67714120005</v>
      </c>
      <c r="I52" s="371"/>
      <c r="J52" s="371"/>
    </row>
    <row r="53" spans="1:14" ht="21.75" customHeight="1">
      <c r="A53" s="46">
        <v>11</v>
      </c>
      <c r="B53" s="756" t="s">
        <v>387</v>
      </c>
      <c r="C53" s="756"/>
      <c r="D53" s="756"/>
      <c r="E53" s="45">
        <v>3</v>
      </c>
      <c r="F53" s="47">
        <f>'DECEMBER 2024'!R125</f>
        <v>664558.14335999999</v>
      </c>
      <c r="G53" s="45">
        <v>3</v>
      </c>
      <c r="H53" s="47">
        <f>'DECEMBER 2024'!S125</f>
        <v>664558.14335999999</v>
      </c>
      <c r="I53" s="371"/>
      <c r="J53" s="371"/>
    </row>
    <row r="54" spans="1:14" ht="24.75" customHeight="1">
      <c r="A54" s="46">
        <v>12</v>
      </c>
      <c r="B54" s="756" t="s">
        <v>388</v>
      </c>
      <c r="C54" s="756"/>
      <c r="D54" s="756"/>
      <c r="E54" s="45">
        <v>10</v>
      </c>
      <c r="F54" s="47">
        <f>'DECEMBER 2024'!R138</f>
        <v>3206493.4157713298</v>
      </c>
      <c r="G54" s="764" t="str">
        <f>'DECEMBER 2024'!C138</f>
        <v>10</v>
      </c>
      <c r="H54" s="47">
        <f>'DECEMBER 2024'!S138</f>
        <v>3206493.4157713298</v>
      </c>
      <c r="I54" s="371"/>
      <c r="J54" s="371"/>
    </row>
    <row r="55" spans="1:14" ht="24.75" customHeight="1">
      <c r="A55" s="46">
        <v>13</v>
      </c>
      <c r="B55" s="786" t="s">
        <v>389</v>
      </c>
      <c r="C55" s="786"/>
      <c r="D55" s="786"/>
      <c r="E55" s="45">
        <v>61</v>
      </c>
      <c r="F55" s="47">
        <f>'DECEMBER 2024'!R202</f>
        <v>14927417.753719199</v>
      </c>
      <c r="G55" s="764" t="str">
        <f>'DECEMBER 2024'!C202</f>
        <v>61</v>
      </c>
      <c r="H55" s="47">
        <f>'DECEMBER 2024'!S202</f>
        <v>10882848.718931301</v>
      </c>
      <c r="I55" s="371"/>
      <c r="J55" s="371"/>
    </row>
    <row r="56" spans="1:14" ht="24" customHeight="1">
      <c r="A56" s="44"/>
      <c r="B56" s="44"/>
      <c r="C56" s="44"/>
      <c r="D56" s="44"/>
      <c r="E56" s="55">
        <f>SUM(E43:E55)</f>
        <v>164</v>
      </c>
      <c r="F56" s="49">
        <f>SUM(F43:F55)</f>
        <v>55578847.657464601</v>
      </c>
      <c r="G56" s="55">
        <v>155</v>
      </c>
      <c r="H56" s="49">
        <f>SUM(H43:H55)</f>
        <v>50359145.959499322</v>
      </c>
      <c r="I56" s="371"/>
      <c r="J56" s="371"/>
    </row>
    <row r="57" spans="1:14" ht="0.75" customHeight="1">
      <c r="A57" s="44"/>
      <c r="B57" s="44"/>
      <c r="C57" s="44"/>
      <c r="D57" s="44"/>
      <c r="E57" s="39"/>
      <c r="F57" s="754"/>
      <c r="G57" s="39"/>
      <c r="H57" s="754"/>
      <c r="I57" s="371"/>
      <c r="J57" s="371"/>
    </row>
    <row r="58" spans="1:14" ht="78.75" customHeight="1">
      <c r="A58" s="787" t="s">
        <v>390</v>
      </c>
      <c r="B58" s="787"/>
      <c r="C58" s="787"/>
      <c r="D58" s="787"/>
      <c r="E58" s="787"/>
      <c r="F58" s="787"/>
      <c r="G58" s="787"/>
      <c r="H58" s="787"/>
      <c r="I58" s="44"/>
      <c r="J58" s="132"/>
      <c r="K58" s="132"/>
      <c r="L58" s="44"/>
      <c r="M58" s="44"/>
      <c r="N58" s="44"/>
    </row>
    <row r="59" spans="1:14" ht="4.5" customHeight="1">
      <c r="A59" s="757"/>
      <c r="B59" s="757"/>
      <c r="C59" s="757"/>
      <c r="D59" s="757"/>
      <c r="E59" s="757"/>
      <c r="F59" s="757"/>
      <c r="G59" s="757"/>
      <c r="H59" s="757"/>
      <c r="I59" s="44"/>
      <c r="J59" s="44"/>
      <c r="K59" s="44"/>
      <c r="L59" s="44"/>
      <c r="M59" s="44"/>
      <c r="N59" s="44"/>
    </row>
    <row r="60" spans="1:14" ht="2.25" hidden="1" customHeight="1">
      <c r="A60" s="757"/>
      <c r="B60" s="757"/>
      <c r="C60" s="757"/>
      <c r="D60" s="757"/>
      <c r="E60" s="757"/>
      <c r="F60" s="757"/>
      <c r="G60" s="757"/>
      <c r="H60" s="757"/>
      <c r="I60" s="44"/>
      <c r="J60" s="44"/>
      <c r="K60" s="44"/>
      <c r="L60" s="44"/>
      <c r="M60" s="44"/>
      <c r="N60" s="44"/>
    </row>
    <row r="61" spans="1:14" ht="63" customHeight="1">
      <c r="F61" s="44"/>
      <c r="G61" s="44"/>
      <c r="H61" s="44"/>
    </row>
    <row r="62" spans="1:14" ht="17.25" customHeight="1">
      <c r="A62" s="784" t="s">
        <v>218</v>
      </c>
      <c r="B62" s="784"/>
      <c r="C62" s="784"/>
      <c r="D62" s="784"/>
      <c r="E62" s="784"/>
      <c r="F62" s="44"/>
      <c r="G62" s="44"/>
      <c r="H62" s="44"/>
      <c r="I62" s="179"/>
      <c r="K62" s="367"/>
    </row>
    <row r="63" spans="1:14">
      <c r="A63" s="229"/>
      <c r="B63" s="229"/>
      <c r="C63" s="229"/>
      <c r="D63" s="229" t="s">
        <v>391</v>
      </c>
      <c r="E63" s="229"/>
      <c r="F63" s="229"/>
      <c r="G63" s="229"/>
      <c r="H63" s="229"/>
      <c r="I63" s="179"/>
      <c r="K63" s="367"/>
    </row>
    <row r="64" spans="1:14">
      <c r="K64" s="367"/>
    </row>
    <row r="65" spans="3:11">
      <c r="K65" s="367"/>
    </row>
    <row r="68" spans="3:11">
      <c r="C68" t="s">
        <v>392</v>
      </c>
    </row>
    <row r="166" spans="3:3">
      <c r="C166">
        <f>10000</f>
        <v>10000</v>
      </c>
    </row>
  </sheetData>
  <mergeCells count="29">
    <mergeCell ref="B55:D55"/>
    <mergeCell ref="A58:H58"/>
    <mergeCell ref="A62:E62"/>
    <mergeCell ref="B43:D43"/>
    <mergeCell ref="B45:D45"/>
    <mergeCell ref="B46:D46"/>
    <mergeCell ref="B47:D47"/>
    <mergeCell ref="B48:D48"/>
    <mergeCell ref="A29:F29"/>
    <mergeCell ref="A30:F30"/>
    <mergeCell ref="A31:F31"/>
    <mergeCell ref="A32:G32"/>
    <mergeCell ref="E41:F41"/>
    <mergeCell ref="G41:H41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view="pageBreakPreview" topLeftCell="A15" zoomScaleNormal="100" workbookViewId="0">
      <selection activeCell="K21" sqref="K21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794" t="s">
        <v>393</v>
      </c>
      <c r="B1" s="794"/>
      <c r="C1" s="794"/>
      <c r="D1" s="794"/>
      <c r="E1" s="794"/>
      <c r="F1" s="794"/>
      <c r="G1" s="794"/>
      <c r="H1" s="794"/>
      <c r="I1" s="794"/>
      <c r="J1" s="794"/>
    </row>
    <row r="2" spans="1:11" ht="20.25">
      <c r="A2" s="794" t="s">
        <v>394</v>
      </c>
      <c r="B2" s="794"/>
      <c r="C2" s="794"/>
      <c r="D2" s="794"/>
      <c r="E2" s="794"/>
      <c r="F2" s="794"/>
      <c r="G2" s="794"/>
      <c r="H2" s="794"/>
      <c r="I2" s="794"/>
      <c r="J2" s="794"/>
    </row>
    <row r="3" spans="1:11" ht="15">
      <c r="A3" s="700"/>
      <c r="B3" s="700"/>
      <c r="C3" s="700"/>
      <c r="D3" s="700"/>
      <c r="E3" s="700"/>
      <c r="F3" s="700"/>
      <c r="G3" s="700"/>
      <c r="H3" s="700"/>
      <c r="I3" s="740"/>
      <c r="J3" s="740"/>
    </row>
    <row r="4" spans="1:11" ht="57">
      <c r="A4" s="701" t="s">
        <v>395</v>
      </c>
      <c r="B4" s="701" t="s">
        <v>396</v>
      </c>
      <c r="C4" s="701" t="s">
        <v>397</v>
      </c>
      <c r="D4" s="701" t="s">
        <v>398</v>
      </c>
      <c r="E4" s="701" t="s">
        <v>399</v>
      </c>
      <c r="F4" s="701" t="s">
        <v>400</v>
      </c>
      <c r="G4" s="701" t="s">
        <v>401</v>
      </c>
      <c r="H4" s="702" t="s">
        <v>402</v>
      </c>
      <c r="I4" s="741" t="s">
        <v>403</v>
      </c>
      <c r="J4" s="701" t="s">
        <v>404</v>
      </c>
    </row>
    <row r="5" spans="1:11" ht="14.25">
      <c r="A5" s="701"/>
      <c r="B5" s="701"/>
      <c r="C5" s="701"/>
      <c r="D5" s="701"/>
      <c r="E5" s="701"/>
      <c r="F5" s="703" t="s">
        <v>19</v>
      </c>
      <c r="G5" s="703" t="s">
        <v>19</v>
      </c>
      <c r="H5" s="703" t="s">
        <v>19</v>
      </c>
      <c r="I5" s="703"/>
      <c r="J5" s="703" t="s">
        <v>19</v>
      </c>
    </row>
    <row r="6" spans="1:11" ht="35.1" customHeight="1">
      <c r="A6" s="704">
        <v>1</v>
      </c>
      <c r="B6" s="705" t="s">
        <v>405</v>
      </c>
      <c r="C6" s="706" t="s">
        <v>406</v>
      </c>
      <c r="D6" s="772" t="s">
        <v>407</v>
      </c>
      <c r="E6" s="773" t="s">
        <v>408</v>
      </c>
      <c r="F6" s="709">
        <f>511804.92</f>
        <v>511804.92</v>
      </c>
      <c r="G6" s="730">
        <f t="shared" ref="G6:G9" si="0">582118+80000</f>
        <v>662118</v>
      </c>
      <c r="H6" s="731">
        <f t="shared" ref="H6:H23" si="1">G6-F6</f>
        <v>150313.07999999999</v>
      </c>
      <c r="I6" s="712">
        <v>1</v>
      </c>
      <c r="J6" s="715">
        <f t="shared" ref="J6:J23" si="2">H6*I6</f>
        <v>150313.07999999999</v>
      </c>
    </row>
    <row r="7" spans="1:11" ht="35.1" customHeight="1">
      <c r="A7" s="704">
        <v>2</v>
      </c>
      <c r="B7" s="705" t="s">
        <v>409</v>
      </c>
      <c r="C7" s="712" t="s">
        <v>406</v>
      </c>
      <c r="D7" s="773" t="s">
        <v>410</v>
      </c>
      <c r="E7" s="773" t="s">
        <v>411</v>
      </c>
      <c r="F7" s="709">
        <v>610498</v>
      </c>
      <c r="G7" s="730">
        <f>582118+160000</f>
        <v>742118</v>
      </c>
      <c r="H7" s="731">
        <f t="shared" si="1"/>
        <v>131620</v>
      </c>
      <c r="I7" s="712">
        <v>4</v>
      </c>
      <c r="J7" s="715">
        <f t="shared" si="2"/>
        <v>526480</v>
      </c>
    </row>
    <row r="8" spans="1:11" ht="35.1" customHeight="1">
      <c r="A8" s="704">
        <v>3</v>
      </c>
      <c r="B8" s="705" t="s">
        <v>412</v>
      </c>
      <c r="C8" s="712" t="s">
        <v>406</v>
      </c>
      <c r="D8" s="773" t="s">
        <v>413</v>
      </c>
      <c r="E8" s="773" t="s">
        <v>411</v>
      </c>
      <c r="F8" s="709">
        <v>554373.75</v>
      </c>
      <c r="G8" s="730">
        <f t="shared" si="0"/>
        <v>662118</v>
      </c>
      <c r="H8" s="731">
        <f t="shared" si="1"/>
        <v>107744.25</v>
      </c>
      <c r="I8" s="712">
        <f>2.71</f>
        <v>2.71</v>
      </c>
      <c r="J8" s="715">
        <f t="shared" si="2"/>
        <v>291986.91749999998</v>
      </c>
    </row>
    <row r="9" spans="1:11" ht="35.1" customHeight="1">
      <c r="A9" s="704">
        <v>4</v>
      </c>
      <c r="B9" s="705" t="s">
        <v>414</v>
      </c>
      <c r="C9" s="712" t="s">
        <v>415</v>
      </c>
      <c r="D9" s="773" t="s">
        <v>413</v>
      </c>
      <c r="E9" s="773" t="s">
        <v>411</v>
      </c>
      <c r="F9" s="709">
        <v>554374.75</v>
      </c>
      <c r="G9" s="730">
        <f t="shared" si="0"/>
        <v>662118</v>
      </c>
      <c r="H9" s="731">
        <f t="shared" si="1"/>
        <v>107743.25</v>
      </c>
      <c r="I9" s="712">
        <f>2.71</f>
        <v>2.71</v>
      </c>
      <c r="J9" s="715">
        <f t="shared" si="2"/>
        <v>291984.20750000002</v>
      </c>
    </row>
    <row r="10" spans="1:11" ht="35.1" customHeight="1">
      <c r="A10" s="704">
        <v>5</v>
      </c>
      <c r="B10" s="705" t="s">
        <v>416</v>
      </c>
      <c r="C10" s="712" t="s">
        <v>415</v>
      </c>
      <c r="D10" s="773" t="s">
        <v>417</v>
      </c>
      <c r="E10" s="773" t="s">
        <v>418</v>
      </c>
      <c r="F10" s="709">
        <v>121145.75</v>
      </c>
      <c r="G10" s="732">
        <v>189814.16666666701</v>
      </c>
      <c r="H10" s="731">
        <f t="shared" si="1"/>
        <v>68668.416666667006</v>
      </c>
      <c r="I10" s="712">
        <v>0</v>
      </c>
      <c r="J10" s="715">
        <f t="shared" si="2"/>
        <v>0</v>
      </c>
      <c r="K10" s="742" t="s">
        <v>419</v>
      </c>
    </row>
    <row r="11" spans="1:11" ht="35.1" customHeight="1">
      <c r="A11" s="704">
        <v>6</v>
      </c>
      <c r="B11" s="705" t="s">
        <v>276</v>
      </c>
      <c r="C11" s="712" t="s">
        <v>415</v>
      </c>
      <c r="D11" s="707" t="s">
        <v>420</v>
      </c>
      <c r="E11" s="773" t="s">
        <v>421</v>
      </c>
      <c r="F11" s="709">
        <v>120000</v>
      </c>
      <c r="G11" s="732">
        <f>255849+60000</f>
        <v>315849</v>
      </c>
      <c r="H11" s="731">
        <f t="shared" si="1"/>
        <v>195849</v>
      </c>
      <c r="I11" s="712">
        <v>8</v>
      </c>
      <c r="J11" s="715">
        <f t="shared" si="2"/>
        <v>1566792</v>
      </c>
    </row>
    <row r="12" spans="1:11" ht="35.1" customHeight="1">
      <c r="A12" s="704">
        <v>7</v>
      </c>
      <c r="B12" s="705" t="s">
        <v>422</v>
      </c>
      <c r="C12" s="712" t="s">
        <v>415</v>
      </c>
      <c r="D12" s="773" t="s">
        <v>423</v>
      </c>
      <c r="E12" s="773" t="s">
        <v>424</v>
      </c>
      <c r="F12" s="709">
        <v>368901.5</v>
      </c>
      <c r="G12" s="730">
        <v>413512.5</v>
      </c>
      <c r="H12" s="731">
        <f t="shared" si="1"/>
        <v>44611</v>
      </c>
      <c r="I12" s="712">
        <v>2.71</v>
      </c>
      <c r="J12" s="715">
        <f t="shared" si="2"/>
        <v>120895.81</v>
      </c>
    </row>
    <row r="13" spans="1:11" ht="35.1" customHeight="1">
      <c r="A13" s="704">
        <v>8</v>
      </c>
      <c r="B13" s="705" t="s">
        <v>425</v>
      </c>
      <c r="C13" s="712" t="s">
        <v>415</v>
      </c>
      <c r="D13" s="773" t="s">
        <v>426</v>
      </c>
      <c r="E13" s="773" t="s">
        <v>424</v>
      </c>
      <c r="F13" s="709">
        <v>376837.41666666698</v>
      </c>
      <c r="G13" s="730">
        <v>413512.5</v>
      </c>
      <c r="H13" s="731">
        <f t="shared" si="1"/>
        <v>36675.083333333001</v>
      </c>
      <c r="I13" s="712">
        <v>2.71</v>
      </c>
      <c r="J13" s="715">
        <f t="shared" si="2"/>
        <v>99389.475833332399</v>
      </c>
    </row>
    <row r="14" spans="1:11" ht="35.1" customHeight="1">
      <c r="A14" s="704">
        <v>9</v>
      </c>
      <c r="B14" s="706" t="s">
        <v>427</v>
      </c>
      <c r="C14" s="712" t="s">
        <v>415</v>
      </c>
      <c r="D14" s="773" t="s">
        <v>428</v>
      </c>
      <c r="E14" s="773" t="s">
        <v>429</v>
      </c>
      <c r="F14" s="709">
        <v>450086.5</v>
      </c>
      <c r="G14" s="730">
        <v>510248.91666666698</v>
      </c>
      <c r="H14" s="731">
        <f t="shared" si="1"/>
        <v>60162.416666666999</v>
      </c>
      <c r="I14" s="712">
        <v>8</v>
      </c>
      <c r="J14" s="715">
        <f t="shared" si="2"/>
        <v>481299.33333333599</v>
      </c>
    </row>
    <row r="15" spans="1:11" ht="35.1" customHeight="1">
      <c r="A15" s="704">
        <v>10</v>
      </c>
      <c r="B15" s="705" t="s">
        <v>430</v>
      </c>
      <c r="C15" s="712" t="s">
        <v>415</v>
      </c>
      <c r="D15" s="773" t="s">
        <v>428</v>
      </c>
      <c r="E15" s="773" t="s">
        <v>429</v>
      </c>
      <c r="F15" s="729">
        <v>450086.5</v>
      </c>
      <c r="G15" s="733">
        <v>510248.91666666698</v>
      </c>
      <c r="H15" s="731">
        <f t="shared" si="1"/>
        <v>60162.416666666999</v>
      </c>
      <c r="I15" s="712">
        <v>2.71</v>
      </c>
      <c r="J15" s="715">
        <f t="shared" si="2"/>
        <v>163040.14916666801</v>
      </c>
    </row>
    <row r="16" spans="1:11" ht="35.1" customHeight="1">
      <c r="A16" s="704">
        <v>11</v>
      </c>
      <c r="B16" s="705" t="s">
        <v>431</v>
      </c>
      <c r="C16" s="712" t="s">
        <v>432</v>
      </c>
      <c r="D16" s="773" t="s">
        <v>410</v>
      </c>
      <c r="E16" s="773" t="s">
        <v>411</v>
      </c>
      <c r="F16" s="709">
        <v>610498</v>
      </c>
      <c r="G16" s="730">
        <v>742118</v>
      </c>
      <c r="H16" s="731">
        <f t="shared" si="1"/>
        <v>131620</v>
      </c>
      <c r="I16" s="712">
        <v>3</v>
      </c>
      <c r="J16" s="715">
        <f t="shared" si="2"/>
        <v>394860</v>
      </c>
    </row>
    <row r="17" spans="1:10" ht="35.1" customHeight="1">
      <c r="A17" s="704">
        <v>12</v>
      </c>
      <c r="B17" s="705" t="s">
        <v>243</v>
      </c>
      <c r="C17" s="712" t="s">
        <v>432</v>
      </c>
      <c r="D17" s="773" t="s">
        <v>413</v>
      </c>
      <c r="E17" s="773" t="s">
        <v>411</v>
      </c>
      <c r="F17" s="709">
        <v>554373.75</v>
      </c>
      <c r="G17" s="730">
        <v>662118</v>
      </c>
      <c r="H17" s="731">
        <f t="shared" si="1"/>
        <v>107744.25</v>
      </c>
      <c r="I17" s="712">
        <v>3</v>
      </c>
      <c r="J17" s="715">
        <f t="shared" si="2"/>
        <v>323232.75</v>
      </c>
    </row>
    <row r="18" spans="1:10" ht="35.1" customHeight="1">
      <c r="A18" s="704">
        <v>13</v>
      </c>
      <c r="B18" s="705" t="s">
        <v>433</v>
      </c>
      <c r="C18" s="712" t="s">
        <v>432</v>
      </c>
      <c r="D18" s="773" t="s">
        <v>428</v>
      </c>
      <c r="E18" s="773" t="s">
        <v>429</v>
      </c>
      <c r="F18" s="709">
        <v>450086.5</v>
      </c>
      <c r="G18" s="730">
        <v>510248.91666666698</v>
      </c>
      <c r="H18" s="731">
        <f t="shared" si="1"/>
        <v>60162.416666666999</v>
      </c>
      <c r="I18" s="712">
        <v>3</v>
      </c>
      <c r="J18" s="715">
        <f t="shared" si="2"/>
        <v>180487.25000000099</v>
      </c>
    </row>
    <row r="19" spans="1:10" ht="35.1" customHeight="1">
      <c r="A19" s="704">
        <v>14</v>
      </c>
      <c r="B19" s="705" t="s">
        <v>434</v>
      </c>
      <c r="C19" s="712" t="s">
        <v>435</v>
      </c>
      <c r="D19" s="773" t="s">
        <v>436</v>
      </c>
      <c r="E19" s="773" t="s">
        <v>437</v>
      </c>
      <c r="F19" s="709">
        <v>548915.91666666698</v>
      </c>
      <c r="G19" s="730">
        <v>582746.5</v>
      </c>
      <c r="H19" s="731">
        <f t="shared" si="1"/>
        <v>33830.583333333001</v>
      </c>
      <c r="I19" s="712">
        <v>20</v>
      </c>
      <c r="J19" s="715">
        <f t="shared" si="2"/>
        <v>676611.66666665999</v>
      </c>
    </row>
    <row r="20" spans="1:10" ht="35.1" customHeight="1">
      <c r="A20" s="704">
        <v>15</v>
      </c>
      <c r="B20" s="705" t="s">
        <v>438</v>
      </c>
      <c r="C20" s="712" t="s">
        <v>435</v>
      </c>
      <c r="D20" s="773" t="s">
        <v>423</v>
      </c>
      <c r="E20" s="773" t="s">
        <v>424</v>
      </c>
      <c r="F20" s="709">
        <v>368901.5</v>
      </c>
      <c r="G20" s="730">
        <v>413512.5</v>
      </c>
      <c r="H20" s="731">
        <f t="shared" si="1"/>
        <v>44611</v>
      </c>
      <c r="I20" s="712">
        <v>9</v>
      </c>
      <c r="J20" s="715">
        <f t="shared" si="2"/>
        <v>401499</v>
      </c>
    </row>
    <row r="21" spans="1:10" ht="35.1" customHeight="1">
      <c r="A21" s="734">
        <v>16</v>
      </c>
      <c r="B21" s="734" t="s">
        <v>439</v>
      </c>
      <c r="C21" s="735" t="s">
        <v>440</v>
      </c>
      <c r="D21" s="774" t="s">
        <v>423</v>
      </c>
      <c r="E21" s="774" t="s">
        <v>424</v>
      </c>
      <c r="F21" s="736">
        <v>408901.5</v>
      </c>
      <c r="G21" s="737">
        <f>353512.5+110000</f>
        <v>463512.5</v>
      </c>
      <c r="H21" s="738">
        <f t="shared" si="1"/>
        <v>54611</v>
      </c>
      <c r="I21" s="735">
        <v>12</v>
      </c>
      <c r="J21" s="743">
        <f t="shared" si="2"/>
        <v>655332</v>
      </c>
    </row>
    <row r="22" spans="1:10" ht="35.1" customHeight="1">
      <c r="A22" s="704">
        <v>17</v>
      </c>
      <c r="B22" s="705" t="s">
        <v>441</v>
      </c>
      <c r="C22" s="712" t="s">
        <v>442</v>
      </c>
      <c r="D22" s="773" t="s">
        <v>443</v>
      </c>
      <c r="E22" s="773" t="s">
        <v>418</v>
      </c>
      <c r="F22" s="709">
        <v>102926.91666666701</v>
      </c>
      <c r="G22" s="730">
        <v>189814.16666666701</v>
      </c>
      <c r="H22" s="731">
        <f t="shared" si="1"/>
        <v>86887.25</v>
      </c>
      <c r="I22" s="712">
        <v>1</v>
      </c>
      <c r="J22" s="715">
        <f t="shared" si="2"/>
        <v>86887.25</v>
      </c>
    </row>
    <row r="23" spans="1:10" ht="35.1" customHeight="1">
      <c r="A23" s="704">
        <v>18</v>
      </c>
      <c r="B23" s="705" t="s">
        <v>206</v>
      </c>
      <c r="C23" s="712" t="s">
        <v>444</v>
      </c>
      <c r="D23" s="773" t="s">
        <v>428</v>
      </c>
      <c r="E23" s="773" t="s">
        <v>429</v>
      </c>
      <c r="F23" s="709">
        <v>450086.5</v>
      </c>
      <c r="G23" s="730">
        <v>510248.91666666698</v>
      </c>
      <c r="H23" s="731">
        <f t="shared" si="1"/>
        <v>60162.416666666999</v>
      </c>
      <c r="I23" s="711">
        <v>3</v>
      </c>
      <c r="J23" s="715">
        <f t="shared" si="2"/>
        <v>180487.25000000099</v>
      </c>
    </row>
    <row r="24" spans="1:10" ht="35.1" customHeight="1">
      <c r="A24" s="704"/>
      <c r="B24" s="739" t="s">
        <v>96</v>
      </c>
      <c r="C24" s="712"/>
      <c r="D24" s="712"/>
      <c r="E24" s="712"/>
      <c r="F24" s="715"/>
      <c r="G24" s="715"/>
      <c r="H24" s="715"/>
      <c r="I24" s="704"/>
      <c r="J24" s="744">
        <f>SUM(J6:J23)</f>
        <v>6591578.1399999997</v>
      </c>
    </row>
    <row r="29" spans="1:10">
      <c r="J29" s="745"/>
    </row>
    <row r="30" spans="1:10">
      <c r="J30" s="745"/>
    </row>
    <row r="32" spans="1:10">
      <c r="J32" s="371"/>
    </row>
    <row r="34" spans="10:10">
      <c r="J34" s="745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0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793" t="s">
        <v>0</v>
      </c>
      <c r="B1" s="793"/>
      <c r="C1" s="793"/>
      <c r="D1" s="793"/>
      <c r="E1" s="793"/>
      <c r="F1" s="793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445</v>
      </c>
      <c r="B2" s="62"/>
      <c r="C2" s="61"/>
      <c r="D2" s="61"/>
      <c r="E2" s="182"/>
      <c r="F2" s="182"/>
      <c r="G2" s="261"/>
      <c r="H2" s="261"/>
      <c r="I2" s="261"/>
      <c r="J2" s="261"/>
      <c r="K2" s="63"/>
      <c r="L2" s="63"/>
      <c r="M2" s="63"/>
      <c r="N2" s="63"/>
      <c r="O2" s="63"/>
      <c r="P2" s="267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8" t="s">
        <v>446</v>
      </c>
      <c r="K4" s="5" t="s">
        <v>447</v>
      </c>
      <c r="L4" s="268" t="s">
        <v>448</v>
      </c>
      <c r="M4" s="65" t="s">
        <v>449</v>
      </c>
      <c r="N4" s="65" t="s">
        <v>450</v>
      </c>
      <c r="O4" s="65" t="s">
        <v>451</v>
      </c>
      <c r="P4" s="65" t="s">
        <v>452</v>
      </c>
      <c r="Q4" s="65" t="s">
        <v>453</v>
      </c>
      <c r="R4" s="65"/>
      <c r="S4" s="281" t="s">
        <v>454</v>
      </c>
      <c r="T4" s="282" t="s">
        <v>455</v>
      </c>
      <c r="U4" s="65" t="s">
        <v>456</v>
      </c>
      <c r="V4" s="283" t="s">
        <v>457</v>
      </c>
    </row>
    <row r="5" spans="1:24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269" t="s">
        <v>19</v>
      </c>
      <c r="K5" s="6"/>
      <c r="L5" s="269" t="s">
        <v>19</v>
      </c>
      <c r="M5" s="67"/>
      <c r="N5" s="67" t="s">
        <v>19</v>
      </c>
      <c r="O5" s="67"/>
      <c r="P5" s="270" t="s">
        <v>19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69"/>
      <c r="K6" s="6"/>
      <c r="L6" s="269"/>
      <c r="M6" s="67"/>
      <c r="N6" s="67"/>
      <c r="O6" s="67"/>
      <c r="P6" s="270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161</v>
      </c>
      <c r="C7" s="2" t="s">
        <v>458</v>
      </c>
      <c r="D7" s="13" t="s">
        <v>194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29" t="s">
        <v>164</v>
      </c>
      <c r="L7" s="185">
        <f>442746.5+140000</f>
        <v>582746.5</v>
      </c>
      <c r="M7" s="70">
        <f>L7-J7</f>
        <v>20941.583333333299</v>
      </c>
      <c r="N7" s="70"/>
      <c r="O7" s="70"/>
      <c r="P7" s="271">
        <v>79747.087146666701</v>
      </c>
      <c r="Q7" s="70">
        <f>83767.87</f>
        <v>83767.87</v>
      </c>
      <c r="R7" s="70"/>
      <c r="S7" s="70">
        <f>Q7-P7</f>
        <v>4020.78285333332</v>
      </c>
      <c r="T7" s="197">
        <f>M7-S7</f>
        <v>16920.8004799999</v>
      </c>
      <c r="U7" s="11">
        <v>4.55</v>
      </c>
      <c r="V7" s="197">
        <f>T7*U7</f>
        <v>76989.642183999502</v>
      </c>
      <c r="W7" s="11"/>
      <c r="X7" s="33"/>
    </row>
    <row r="8" spans="1:24" ht="26.25" customHeight="1">
      <c r="A8" s="8"/>
      <c r="B8" s="18" t="s">
        <v>96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2">
        <f t="shared" si="1"/>
        <v>561804.91666666698</v>
      </c>
      <c r="K8" s="13"/>
      <c r="L8" s="272">
        <f t="shared" ref="L8:T8" si="2">SUM(L7:L7)</f>
        <v>582746.5</v>
      </c>
      <c r="M8" s="187">
        <f t="shared" si="2"/>
        <v>20941.583333333299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4020.78285333332</v>
      </c>
      <c r="T8" s="198">
        <f t="shared" si="2"/>
        <v>16920.8004799999</v>
      </c>
      <c r="U8" s="187"/>
      <c r="V8" s="198">
        <f>SUM(V7:V7)</f>
        <v>76989.642183999502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2"/>
      <c r="K9" s="8"/>
      <c r="L9" s="272"/>
      <c r="M9" s="70"/>
      <c r="N9" s="187"/>
      <c r="O9" s="187"/>
      <c r="P9" s="273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0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0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6"/>
  <sheetViews>
    <sheetView topLeftCell="N4" workbookViewId="0">
      <selection activeCell="Z5" sqref="Z5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2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1"/>
    </row>
    <row r="2" spans="1:31" hidden="1">
      <c r="A2" s="796" t="s">
        <v>459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1"/>
    </row>
    <row r="3" spans="1:31" hidden="1">
      <c r="A3" s="797" t="s">
        <v>460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1"/>
    </row>
    <row r="4" spans="1:31" ht="83.25" customHeight="1">
      <c r="A4" s="417" t="s">
        <v>461</v>
      </c>
      <c r="B4" s="418" t="s">
        <v>462</v>
      </c>
      <c r="C4" s="419" t="s">
        <v>463</v>
      </c>
      <c r="D4" s="418" t="s">
        <v>456</v>
      </c>
      <c r="E4" s="419" t="s">
        <v>464</v>
      </c>
      <c r="F4" s="419" t="s">
        <v>465</v>
      </c>
      <c r="G4" s="419" t="s">
        <v>466</v>
      </c>
      <c r="H4" s="419" t="s">
        <v>467</v>
      </c>
      <c r="I4" s="419" t="s">
        <v>468</v>
      </c>
      <c r="J4" s="419"/>
      <c r="K4" s="419"/>
      <c r="L4" s="419"/>
      <c r="M4" s="419" t="s">
        <v>469</v>
      </c>
      <c r="N4" s="419" t="s">
        <v>470</v>
      </c>
      <c r="O4" s="419" t="s">
        <v>471</v>
      </c>
      <c r="P4" s="419" t="s">
        <v>472</v>
      </c>
      <c r="Q4" s="419" t="s">
        <v>473</v>
      </c>
      <c r="R4" s="419" t="s">
        <v>474</v>
      </c>
      <c r="S4" s="419" t="s">
        <v>475</v>
      </c>
      <c r="T4" s="419" t="s">
        <v>476</v>
      </c>
      <c r="U4" s="419" t="s">
        <v>477</v>
      </c>
      <c r="V4" s="419" t="s">
        <v>478</v>
      </c>
      <c r="W4" s="419"/>
      <c r="X4" s="419" t="s">
        <v>479</v>
      </c>
      <c r="Y4" s="419" t="s">
        <v>480</v>
      </c>
      <c r="Z4" s="419" t="s">
        <v>481</v>
      </c>
      <c r="AA4" s="419" t="s">
        <v>482</v>
      </c>
      <c r="AB4" s="419" t="s">
        <v>483</v>
      </c>
    </row>
    <row r="5" spans="1:31" ht="15">
      <c r="A5" s="704">
        <v>1</v>
      </c>
      <c r="B5" s="705" t="s">
        <v>405</v>
      </c>
      <c r="C5" s="709">
        <v>712118.08333333302</v>
      </c>
      <c r="D5" s="422">
        <v>12</v>
      </c>
      <c r="E5" s="423">
        <f t="shared" ref="E5:E22" si="0">C5*D5</f>
        <v>8545417</v>
      </c>
      <c r="F5" s="423"/>
      <c r="G5" s="423">
        <v>558833.35679999995</v>
      </c>
      <c r="H5" s="423"/>
      <c r="I5" s="423">
        <f t="shared" ref="I5:I22" si="1">E5-F5-G5-H5</f>
        <v>7986583.6431999998</v>
      </c>
      <c r="J5" s="423">
        <v>200000</v>
      </c>
      <c r="K5" s="423">
        <v>0.2</v>
      </c>
      <c r="L5" s="423">
        <f t="shared" ref="L5:L22" si="2">I5*K5</f>
        <v>1597316.7286400001</v>
      </c>
      <c r="M5" s="423">
        <f t="shared" ref="M5:M22" si="3">J5+L5</f>
        <v>1797316.7286400001</v>
      </c>
      <c r="N5" s="423">
        <f t="shared" ref="N5:N22" si="4">F5+G5+H5+M5</f>
        <v>2356150.0854400001</v>
      </c>
      <c r="O5" s="423">
        <f t="shared" ref="O5:O22" si="5">E5-N5</f>
        <v>6189266.9145600004</v>
      </c>
      <c r="P5" s="423">
        <f t="shared" ref="P5:P22" si="6">IF(O5&lt;300000,0.07*O5,21000)</f>
        <v>21000</v>
      </c>
      <c r="Q5" s="423">
        <f t="shared" ref="Q5:Q22" si="7">IF((O5-300000)&lt;0,0,IF((O5-300000)&lt;300000,0.11*(O5-300000),33000))</f>
        <v>33000</v>
      </c>
      <c r="R5" s="423">
        <f t="shared" ref="R5:R22" si="8">IF((O5-600000)&lt;0,0,IF((O5-600000)&lt;500000,0.15*(O5-600000),75000))</f>
        <v>75000</v>
      </c>
      <c r="S5" s="423">
        <f t="shared" ref="S5:S22" si="9">IF((O5-1100000)&lt;0,0,IF((O5-1100000)&lt;500000,0.19*(O5-1100000),95000))</f>
        <v>95000</v>
      </c>
      <c r="T5" s="423">
        <f t="shared" ref="T5:T22" si="10">IF((O5-1600000)&lt;0,0,IF((O5-1600000)&lt;1600000,0.21*(O5-1600000),336000))</f>
        <v>336000</v>
      </c>
      <c r="U5" s="423">
        <f t="shared" ref="U5:U20" si="11">24%*(O5-3200000)</f>
        <v>717424.059494399</v>
      </c>
      <c r="V5" s="423">
        <f t="shared" ref="V5:V22" si="12">P5+Q5+R5+S5+T5+U5</f>
        <v>1277424.0594943999</v>
      </c>
      <c r="W5" s="430">
        <v>12</v>
      </c>
      <c r="X5" s="423">
        <f t="shared" ref="X5:X22" si="13">V5/W5</f>
        <v>106452.004957867</v>
      </c>
      <c r="Y5" s="423"/>
      <c r="Z5" s="423">
        <f t="shared" ref="Z5:Z22" si="14">X5</f>
        <v>106452.004957867</v>
      </c>
      <c r="AA5" s="423">
        <v>6949.2360319999998</v>
      </c>
      <c r="AB5" s="423">
        <f>Z5+AA5</f>
        <v>113401.240989867</v>
      </c>
      <c r="AC5" s="705" t="s">
        <v>405</v>
      </c>
      <c r="AD5" s="435"/>
      <c r="AE5" s="435"/>
    </row>
    <row r="6" spans="1:31" ht="15">
      <c r="A6" s="704">
        <v>2</v>
      </c>
      <c r="B6" s="704" t="s">
        <v>409</v>
      </c>
      <c r="C6" s="709">
        <f>582118+160000+150000</f>
        <v>892118</v>
      </c>
      <c r="D6" s="422">
        <v>12</v>
      </c>
      <c r="E6" s="423">
        <f t="shared" si="0"/>
        <v>10705416</v>
      </c>
      <c r="F6" s="423"/>
      <c r="G6" s="423">
        <v>558833.35679999995</v>
      </c>
      <c r="H6" s="423"/>
      <c r="I6" s="423">
        <f t="shared" si="1"/>
        <v>10146582.643200001</v>
      </c>
      <c r="J6" s="423">
        <v>200000</v>
      </c>
      <c r="K6" s="423">
        <v>0.2</v>
      </c>
      <c r="L6" s="423">
        <f t="shared" si="2"/>
        <v>2029316.5286399999</v>
      </c>
      <c r="M6" s="423">
        <f t="shared" si="3"/>
        <v>2229316.5286400001</v>
      </c>
      <c r="N6" s="423">
        <f t="shared" si="4"/>
        <v>2788149.8854399999</v>
      </c>
      <c r="O6" s="423">
        <f t="shared" si="5"/>
        <v>7917266.1145599997</v>
      </c>
      <c r="P6" s="423">
        <f t="shared" si="6"/>
        <v>21000</v>
      </c>
      <c r="Q6" s="423">
        <f t="shared" si="7"/>
        <v>33000</v>
      </c>
      <c r="R6" s="423">
        <f t="shared" si="8"/>
        <v>75000</v>
      </c>
      <c r="S6" s="423">
        <f t="shared" si="9"/>
        <v>95000</v>
      </c>
      <c r="T6" s="423">
        <f t="shared" si="10"/>
        <v>336000</v>
      </c>
      <c r="U6" s="423">
        <f t="shared" si="11"/>
        <v>1132143.8674943999</v>
      </c>
      <c r="V6" s="423">
        <f t="shared" si="12"/>
        <v>1692143.8674943999</v>
      </c>
      <c r="W6" s="430">
        <v>12</v>
      </c>
      <c r="X6" s="423">
        <f t="shared" si="13"/>
        <v>141011.988957867</v>
      </c>
      <c r="Y6" s="423"/>
      <c r="Z6" s="423">
        <f t="shared" si="14"/>
        <v>141011.988957867</v>
      </c>
      <c r="AA6" s="423">
        <v>70809.492957866707</v>
      </c>
      <c r="AB6" s="423">
        <f t="shared" ref="AB6:AB22" si="15">Z6+AA6</f>
        <v>211821.48191573299</v>
      </c>
      <c r="AC6" s="704" t="s">
        <v>409</v>
      </c>
      <c r="AD6" s="435"/>
      <c r="AE6" s="435"/>
    </row>
    <row r="7" spans="1:31" ht="15">
      <c r="A7" s="704">
        <v>3</v>
      </c>
      <c r="B7" s="704" t="s">
        <v>412</v>
      </c>
      <c r="C7" s="709">
        <f t="shared" ref="C7:C8" si="16">582118+80000</f>
        <v>662118</v>
      </c>
      <c r="D7" s="422">
        <v>12</v>
      </c>
      <c r="E7" s="423">
        <f t="shared" si="0"/>
        <v>7945416</v>
      </c>
      <c r="F7" s="423">
        <f>8019.8*12</f>
        <v>96237.6</v>
      </c>
      <c r="G7" s="423">
        <v>558833.35679999995</v>
      </c>
      <c r="H7" s="423"/>
      <c r="I7" s="423">
        <f t="shared" si="1"/>
        <v>7290345.0432000002</v>
      </c>
      <c r="J7" s="423">
        <v>200000</v>
      </c>
      <c r="K7" s="423">
        <v>0.2</v>
      </c>
      <c r="L7" s="423">
        <f t="shared" si="2"/>
        <v>1458069.0086399999</v>
      </c>
      <c r="M7" s="423">
        <f t="shared" si="3"/>
        <v>1658069.0086399999</v>
      </c>
      <c r="N7" s="423">
        <f t="shared" si="4"/>
        <v>2313139.9654399999</v>
      </c>
      <c r="O7" s="423">
        <f t="shared" si="5"/>
        <v>5632276.0345599996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336000</v>
      </c>
      <c r="U7" s="423">
        <f t="shared" si="11"/>
        <v>583746.24829440005</v>
      </c>
      <c r="V7" s="423">
        <f t="shared" si="12"/>
        <v>1143746.2482944001</v>
      </c>
      <c r="W7" s="430">
        <v>12</v>
      </c>
      <c r="X7" s="423">
        <f t="shared" si="13"/>
        <v>95312.1873578667</v>
      </c>
      <c r="Y7" s="423"/>
      <c r="Z7" s="423">
        <f t="shared" si="14"/>
        <v>95312.1873578667</v>
      </c>
      <c r="AA7" s="423">
        <v>27049.475411466701</v>
      </c>
      <c r="AB7" s="423">
        <f t="shared" si="15"/>
        <v>122361.66276933299</v>
      </c>
      <c r="AC7" s="704" t="s">
        <v>412</v>
      </c>
      <c r="AD7" s="435"/>
      <c r="AE7" s="435"/>
    </row>
    <row r="8" spans="1:31" ht="15">
      <c r="A8" s="704">
        <v>4</v>
      </c>
      <c r="B8" s="704" t="s">
        <v>414</v>
      </c>
      <c r="C8" s="709">
        <f t="shared" si="16"/>
        <v>662118</v>
      </c>
      <c r="D8" s="422">
        <v>12</v>
      </c>
      <c r="E8" s="423">
        <f t="shared" si="0"/>
        <v>7945416</v>
      </c>
      <c r="F8" s="423">
        <f>8019.8*12</f>
        <v>96237.6</v>
      </c>
      <c r="G8" s="423">
        <v>558833.35679999995</v>
      </c>
      <c r="H8" s="423"/>
      <c r="I8" s="423">
        <f t="shared" si="1"/>
        <v>7290345.0432000002</v>
      </c>
      <c r="J8" s="423">
        <v>200000</v>
      </c>
      <c r="K8" s="423">
        <v>0.2</v>
      </c>
      <c r="L8" s="423">
        <f t="shared" si="2"/>
        <v>1458069.0086399999</v>
      </c>
      <c r="M8" s="423">
        <f t="shared" si="3"/>
        <v>1658069.0086399999</v>
      </c>
      <c r="N8" s="423">
        <f t="shared" si="4"/>
        <v>2313139.9654399999</v>
      </c>
      <c r="O8" s="423">
        <f t="shared" si="5"/>
        <v>5632276.0345599996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336000</v>
      </c>
      <c r="U8" s="423">
        <f t="shared" si="11"/>
        <v>583746.24829440005</v>
      </c>
      <c r="V8" s="423">
        <f t="shared" si="12"/>
        <v>1143746.2482944001</v>
      </c>
      <c r="W8" s="430">
        <v>12</v>
      </c>
      <c r="X8" s="423">
        <f t="shared" si="13"/>
        <v>95312.1873578667</v>
      </c>
      <c r="Y8" s="423"/>
      <c r="Z8" s="423">
        <f t="shared" si="14"/>
        <v>95312.1873578667</v>
      </c>
      <c r="AA8" s="423">
        <v>27049.020131466699</v>
      </c>
      <c r="AB8" s="423">
        <f t="shared" si="15"/>
        <v>122361.207489333</v>
      </c>
      <c r="AC8" s="704" t="s">
        <v>414</v>
      </c>
      <c r="AD8" s="435"/>
      <c r="AE8" s="435"/>
    </row>
    <row r="9" spans="1:31" ht="15">
      <c r="A9" s="704">
        <v>5</v>
      </c>
      <c r="B9" s="704" t="s">
        <v>416</v>
      </c>
      <c r="C9" s="713">
        <v>189814.16666666701</v>
      </c>
      <c r="D9" s="422">
        <v>12</v>
      </c>
      <c r="E9" s="423">
        <f t="shared" si="0"/>
        <v>2277770</v>
      </c>
      <c r="F9" s="423"/>
      <c r="G9" s="423">
        <v>146701.60320000001</v>
      </c>
      <c r="H9" s="423"/>
      <c r="I9" s="423">
        <f t="shared" si="1"/>
        <v>2131068.3968000002</v>
      </c>
      <c r="J9" s="423">
        <v>200000</v>
      </c>
      <c r="K9" s="423">
        <v>0.2</v>
      </c>
      <c r="L9" s="423">
        <f t="shared" si="2"/>
        <v>426213.679360001</v>
      </c>
      <c r="M9" s="423">
        <f t="shared" si="3"/>
        <v>626213.679360001</v>
      </c>
      <c r="N9" s="423">
        <f t="shared" si="4"/>
        <v>772915.28256000101</v>
      </c>
      <c r="O9" s="423">
        <f t="shared" si="5"/>
        <v>1504854.71744</v>
      </c>
      <c r="P9" s="423">
        <f t="shared" si="6"/>
        <v>21000</v>
      </c>
      <c r="Q9" s="423">
        <f t="shared" si="7"/>
        <v>33000</v>
      </c>
      <c r="R9" s="423">
        <f t="shared" si="8"/>
        <v>75000</v>
      </c>
      <c r="S9" s="423">
        <f t="shared" si="9"/>
        <v>76922.396313600606</v>
      </c>
      <c r="T9" s="423">
        <f t="shared" si="10"/>
        <v>0</v>
      </c>
      <c r="U9" s="423"/>
      <c r="V9" s="423">
        <f t="shared" si="12"/>
        <v>205922.396313601</v>
      </c>
      <c r="W9" s="430">
        <v>12</v>
      </c>
      <c r="X9" s="423">
        <f t="shared" si="13"/>
        <v>17160.199692800099</v>
      </c>
      <c r="Y9" s="423"/>
      <c r="Z9" s="423">
        <f t="shared" si="14"/>
        <v>17160.199692800099</v>
      </c>
      <c r="AA9" s="423">
        <v>0</v>
      </c>
      <c r="AB9" s="423">
        <f t="shared" si="15"/>
        <v>17160.199692800099</v>
      </c>
      <c r="AC9" s="704" t="s">
        <v>416</v>
      </c>
      <c r="AD9" s="435"/>
      <c r="AE9" s="435"/>
    </row>
    <row r="10" spans="1:31" ht="15">
      <c r="A10" s="704">
        <v>6</v>
      </c>
      <c r="B10" s="704" t="s">
        <v>276</v>
      </c>
      <c r="C10" s="713">
        <f>255849+50000</f>
        <v>305849</v>
      </c>
      <c r="D10" s="422">
        <v>12</v>
      </c>
      <c r="E10" s="423">
        <f t="shared" si="0"/>
        <v>3670188</v>
      </c>
      <c r="F10" s="423"/>
      <c r="G10" s="423">
        <v>245615.04</v>
      </c>
      <c r="H10" s="423"/>
      <c r="I10" s="423">
        <f t="shared" si="1"/>
        <v>3424572.96</v>
      </c>
      <c r="J10" s="423">
        <v>200000</v>
      </c>
      <c r="K10" s="423">
        <v>0.2</v>
      </c>
      <c r="L10" s="423">
        <f t="shared" si="2"/>
        <v>684914.59199999995</v>
      </c>
      <c r="M10" s="423">
        <f t="shared" si="3"/>
        <v>884914.59199999995</v>
      </c>
      <c r="N10" s="423">
        <f t="shared" si="4"/>
        <v>1130529.632</v>
      </c>
      <c r="O10" s="423">
        <f t="shared" si="5"/>
        <v>2539658.3679999998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197328.25727999999</v>
      </c>
      <c r="U10" s="423"/>
      <c r="V10" s="423">
        <f t="shared" si="12"/>
        <v>421328.25728000002</v>
      </c>
      <c r="W10" s="430">
        <v>12</v>
      </c>
      <c r="X10" s="423">
        <f t="shared" si="13"/>
        <v>35110.688106666697</v>
      </c>
      <c r="Y10" s="423"/>
      <c r="Z10" s="423">
        <f t="shared" si="14"/>
        <v>35110.688106666697</v>
      </c>
      <c r="AA10" s="423">
        <v>260200.89002666701</v>
      </c>
      <c r="AB10" s="423">
        <f t="shared" si="15"/>
        <v>295311.578133334</v>
      </c>
      <c r="AC10" s="704" t="s">
        <v>276</v>
      </c>
      <c r="AD10" s="435"/>
      <c r="AE10" s="435"/>
    </row>
    <row r="11" spans="1:31" ht="15">
      <c r="A11" s="704">
        <v>7</v>
      </c>
      <c r="B11" s="704" t="s">
        <v>422</v>
      </c>
      <c r="C11" s="709">
        <v>413512.5</v>
      </c>
      <c r="D11" s="422">
        <v>12</v>
      </c>
      <c r="E11" s="423">
        <f t="shared" si="0"/>
        <v>4962150</v>
      </c>
      <c r="F11" s="423"/>
      <c r="G11" s="423">
        <v>339372</v>
      </c>
      <c r="H11" s="423"/>
      <c r="I11" s="423">
        <f t="shared" si="1"/>
        <v>4622778</v>
      </c>
      <c r="J11" s="423">
        <v>200000</v>
      </c>
      <c r="K11" s="423">
        <v>0.2</v>
      </c>
      <c r="L11" s="423">
        <f t="shared" si="2"/>
        <v>924555.6</v>
      </c>
      <c r="M11" s="423">
        <f t="shared" si="3"/>
        <v>1124555.6000000001</v>
      </c>
      <c r="N11" s="423">
        <f t="shared" si="4"/>
        <v>1463927.6</v>
      </c>
      <c r="O11" s="423">
        <f t="shared" si="5"/>
        <v>3498222.4</v>
      </c>
      <c r="P11" s="423">
        <f t="shared" si="6"/>
        <v>21000</v>
      </c>
      <c r="Q11" s="423">
        <f t="shared" si="7"/>
        <v>33000</v>
      </c>
      <c r="R11" s="423">
        <f t="shared" si="8"/>
        <v>75000</v>
      </c>
      <c r="S11" s="423">
        <f t="shared" si="9"/>
        <v>95000</v>
      </c>
      <c r="T11" s="423">
        <f t="shared" si="10"/>
        <v>336000</v>
      </c>
      <c r="U11" s="423">
        <f t="shared" si="11"/>
        <v>71573.376000000004</v>
      </c>
      <c r="V11" s="423">
        <f t="shared" si="12"/>
        <v>631573.37600000005</v>
      </c>
      <c r="W11" s="430">
        <v>12</v>
      </c>
      <c r="X11" s="423">
        <f t="shared" si="13"/>
        <v>52631.114666666697</v>
      </c>
      <c r="Y11" s="423"/>
      <c r="Z11" s="423">
        <f t="shared" si="14"/>
        <v>52631.114666666697</v>
      </c>
      <c r="AA11" s="423">
        <v>5613.7772000000004</v>
      </c>
      <c r="AB11" s="423">
        <f t="shared" si="15"/>
        <v>58244.891866666701</v>
      </c>
      <c r="AC11" s="704" t="s">
        <v>422</v>
      </c>
      <c r="AD11" s="435"/>
      <c r="AE11" s="435"/>
    </row>
    <row r="12" spans="1:31" ht="15">
      <c r="A12" s="704">
        <v>8</v>
      </c>
      <c r="B12" s="704" t="s">
        <v>425</v>
      </c>
      <c r="C12" s="709">
        <v>413512.5</v>
      </c>
      <c r="D12" s="422">
        <v>12</v>
      </c>
      <c r="E12" s="423">
        <f t="shared" si="0"/>
        <v>4962150</v>
      </c>
      <c r="F12" s="423"/>
      <c r="G12" s="423">
        <v>339372</v>
      </c>
      <c r="H12" s="423"/>
      <c r="I12" s="423">
        <f t="shared" si="1"/>
        <v>4622778</v>
      </c>
      <c r="J12" s="423">
        <v>200000</v>
      </c>
      <c r="K12" s="423">
        <v>0.2</v>
      </c>
      <c r="L12" s="423">
        <f t="shared" si="2"/>
        <v>924555.6</v>
      </c>
      <c r="M12" s="423">
        <f t="shared" si="3"/>
        <v>1124555.6000000001</v>
      </c>
      <c r="N12" s="423">
        <f t="shared" si="4"/>
        <v>1463927.6</v>
      </c>
      <c r="O12" s="423">
        <f t="shared" si="5"/>
        <v>3498222.4</v>
      </c>
      <c r="P12" s="423">
        <f t="shared" si="6"/>
        <v>21000</v>
      </c>
      <c r="Q12" s="423">
        <f t="shared" si="7"/>
        <v>33000</v>
      </c>
      <c r="R12" s="423">
        <f t="shared" si="8"/>
        <v>75000</v>
      </c>
      <c r="S12" s="423">
        <f t="shared" si="9"/>
        <v>95000</v>
      </c>
      <c r="T12" s="423">
        <f t="shared" si="10"/>
        <v>336000</v>
      </c>
      <c r="U12" s="423">
        <f t="shared" si="11"/>
        <v>71573.376000000004</v>
      </c>
      <c r="V12" s="423">
        <f t="shared" si="12"/>
        <v>631573.37600000005</v>
      </c>
      <c r="W12" s="430">
        <v>12</v>
      </c>
      <c r="X12" s="423">
        <f t="shared" si="13"/>
        <v>52631.114666666697</v>
      </c>
      <c r="Y12" s="423"/>
      <c r="Z12" s="423">
        <f t="shared" si="14"/>
        <v>52631.114666666697</v>
      </c>
      <c r="AA12" s="423">
        <v>3424.21253999993</v>
      </c>
      <c r="AB12" s="423">
        <f t="shared" si="15"/>
        <v>56055.327206666603</v>
      </c>
      <c r="AC12" s="704" t="s">
        <v>425</v>
      </c>
      <c r="AD12" s="435"/>
      <c r="AE12" s="435"/>
    </row>
    <row r="13" spans="1:31" ht="30">
      <c r="A13" s="704">
        <v>9</v>
      </c>
      <c r="B13" s="712" t="s">
        <v>427</v>
      </c>
      <c r="C13" s="709">
        <v>510248.91666666698</v>
      </c>
      <c r="D13" s="422">
        <v>12</v>
      </c>
      <c r="E13" s="423">
        <f t="shared" si="0"/>
        <v>6122987</v>
      </c>
      <c r="F13" s="423">
        <f>6922.5*12</f>
        <v>83070</v>
      </c>
      <c r="G13" s="424">
        <v>374638.9632</v>
      </c>
      <c r="H13" s="423"/>
      <c r="I13" s="423">
        <f t="shared" si="1"/>
        <v>5665278.0367999999</v>
      </c>
      <c r="J13" s="423">
        <v>200000</v>
      </c>
      <c r="K13" s="423">
        <v>0.2</v>
      </c>
      <c r="L13" s="423">
        <f t="shared" si="2"/>
        <v>1133055.60736</v>
      </c>
      <c r="M13" s="423">
        <f t="shared" si="3"/>
        <v>1333055.60736</v>
      </c>
      <c r="N13" s="423">
        <f t="shared" si="4"/>
        <v>1790764.5705599999</v>
      </c>
      <c r="O13" s="423">
        <f t="shared" si="5"/>
        <v>4332222.4294400001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336000</v>
      </c>
      <c r="U13" s="423">
        <f t="shared" si="11"/>
        <v>271733.383065601</v>
      </c>
      <c r="V13" s="423">
        <f t="shared" si="12"/>
        <v>831733.383065601</v>
      </c>
      <c r="W13" s="430">
        <v>12</v>
      </c>
      <c r="X13" s="423">
        <f t="shared" si="13"/>
        <v>69311.115255466706</v>
      </c>
      <c r="Y13" s="423"/>
      <c r="Z13" s="423">
        <f t="shared" si="14"/>
        <v>69311.115255466706</v>
      </c>
      <c r="AA13" s="423">
        <v>63752.795255467201</v>
      </c>
      <c r="AB13" s="423">
        <f t="shared" si="15"/>
        <v>133063.91051093399</v>
      </c>
      <c r="AC13" s="712" t="s">
        <v>427</v>
      </c>
      <c r="AD13" s="435"/>
      <c r="AE13" s="435"/>
    </row>
    <row r="14" spans="1:31" ht="15">
      <c r="A14" s="704">
        <v>10</v>
      </c>
      <c r="B14" s="704" t="s">
        <v>430</v>
      </c>
      <c r="C14" s="729">
        <v>510248.91666666698</v>
      </c>
      <c r="D14" s="422">
        <v>12</v>
      </c>
      <c r="E14" s="423">
        <f t="shared" si="0"/>
        <v>6122987</v>
      </c>
      <c r="F14" s="423"/>
      <c r="G14" s="423">
        <v>374638.9632</v>
      </c>
      <c r="H14" s="423"/>
      <c r="I14" s="423">
        <f t="shared" si="1"/>
        <v>5748348.0367999999</v>
      </c>
      <c r="J14" s="423">
        <v>200000</v>
      </c>
      <c r="K14" s="423">
        <v>0.2</v>
      </c>
      <c r="L14" s="423">
        <f t="shared" si="2"/>
        <v>1149669.60736</v>
      </c>
      <c r="M14" s="423">
        <f t="shared" si="3"/>
        <v>1349669.60736</v>
      </c>
      <c r="N14" s="423">
        <f t="shared" si="4"/>
        <v>1724308.5705599999</v>
      </c>
      <c r="O14" s="423">
        <f t="shared" si="5"/>
        <v>4398678.4294400001</v>
      </c>
      <c r="P14" s="423">
        <f t="shared" si="6"/>
        <v>21000</v>
      </c>
      <c r="Q14" s="423">
        <f t="shared" si="7"/>
        <v>33000</v>
      </c>
      <c r="R14" s="423">
        <f t="shared" si="8"/>
        <v>75000</v>
      </c>
      <c r="S14" s="423">
        <f t="shared" si="9"/>
        <v>95000</v>
      </c>
      <c r="T14" s="423">
        <f t="shared" si="10"/>
        <v>336000</v>
      </c>
      <c r="U14" s="423">
        <f t="shared" si="11"/>
        <v>287682.823065601</v>
      </c>
      <c r="V14" s="423">
        <f t="shared" si="12"/>
        <v>847682.82306560106</v>
      </c>
      <c r="W14" s="430">
        <v>12</v>
      </c>
      <c r="X14" s="423">
        <f t="shared" si="13"/>
        <v>70640.235255466701</v>
      </c>
      <c r="Y14" s="423"/>
      <c r="Z14" s="423">
        <f t="shared" si="14"/>
        <v>70640.235255466701</v>
      </c>
      <c r="AA14" s="423">
        <v>10318.4282680002</v>
      </c>
      <c r="AB14" s="423">
        <f t="shared" si="15"/>
        <v>80958.663523466894</v>
      </c>
      <c r="AC14" s="704" t="s">
        <v>430</v>
      </c>
      <c r="AD14" s="435"/>
      <c r="AE14" s="435"/>
    </row>
    <row r="15" spans="1:31" ht="15">
      <c r="A15" s="704">
        <v>11</v>
      </c>
      <c r="B15" s="704" t="s">
        <v>431</v>
      </c>
      <c r="C15" s="709">
        <v>742118</v>
      </c>
      <c r="D15" s="422">
        <v>12</v>
      </c>
      <c r="E15" s="423">
        <f t="shared" si="0"/>
        <v>8905416</v>
      </c>
      <c r="F15" s="423"/>
      <c r="G15" s="423">
        <v>558833.35679999995</v>
      </c>
      <c r="H15" s="423"/>
      <c r="I15" s="423">
        <f t="shared" si="1"/>
        <v>8346582.6431999998</v>
      </c>
      <c r="J15" s="423">
        <v>200000</v>
      </c>
      <c r="K15" s="423">
        <v>0.2</v>
      </c>
      <c r="L15" s="423">
        <f t="shared" si="2"/>
        <v>1669316.5286399999</v>
      </c>
      <c r="M15" s="423">
        <f t="shared" si="3"/>
        <v>1869316.5286399999</v>
      </c>
      <c r="N15" s="423">
        <f t="shared" si="4"/>
        <v>2428149.8854399999</v>
      </c>
      <c r="O15" s="423">
        <f t="shared" si="5"/>
        <v>6477266.1145599997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336000</v>
      </c>
      <c r="U15" s="423">
        <f t="shared" si="11"/>
        <v>786543.86749440001</v>
      </c>
      <c r="V15" s="423">
        <f t="shared" si="12"/>
        <v>1346543.8674943999</v>
      </c>
      <c r="W15" s="430">
        <v>12</v>
      </c>
      <c r="X15" s="423">
        <f t="shared" si="13"/>
        <v>112211.988957867</v>
      </c>
      <c r="Y15" s="423"/>
      <c r="Z15" s="423">
        <f t="shared" si="14"/>
        <v>112211.988957867</v>
      </c>
      <c r="AA15" s="423">
        <v>45679.479671466703</v>
      </c>
      <c r="AB15" s="423">
        <f t="shared" si="15"/>
        <v>157891.46862933299</v>
      </c>
      <c r="AC15" s="704" t="s">
        <v>431</v>
      </c>
      <c r="AD15" s="435"/>
      <c r="AE15" s="435"/>
    </row>
    <row r="16" spans="1:31" ht="15">
      <c r="A16" s="704">
        <v>12</v>
      </c>
      <c r="B16" s="704" t="s">
        <v>243</v>
      </c>
      <c r="C16" s="709">
        <v>662118</v>
      </c>
      <c r="D16" s="422">
        <v>12</v>
      </c>
      <c r="E16" s="423">
        <f t="shared" si="0"/>
        <v>7945416</v>
      </c>
      <c r="F16" s="423">
        <f>8019.8*12</f>
        <v>96237.6</v>
      </c>
      <c r="G16" s="423">
        <v>558833.35679999995</v>
      </c>
      <c r="H16" s="423"/>
      <c r="I16" s="423">
        <f t="shared" si="1"/>
        <v>7290345.0432000002</v>
      </c>
      <c r="J16" s="423">
        <v>200000</v>
      </c>
      <c r="K16" s="423">
        <v>0.2</v>
      </c>
      <c r="L16" s="423">
        <f t="shared" si="2"/>
        <v>1458069.0086399999</v>
      </c>
      <c r="M16" s="423">
        <f t="shared" si="3"/>
        <v>1658069.0086399999</v>
      </c>
      <c r="N16" s="423">
        <f t="shared" si="4"/>
        <v>2313139.9654399999</v>
      </c>
      <c r="O16" s="423">
        <f t="shared" si="5"/>
        <v>5632276.0345599996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336000</v>
      </c>
      <c r="U16" s="423">
        <f t="shared" si="11"/>
        <v>583746.24829440005</v>
      </c>
      <c r="V16" s="423">
        <f t="shared" si="12"/>
        <v>1143746.2482944001</v>
      </c>
      <c r="W16" s="430">
        <v>12</v>
      </c>
      <c r="X16" s="423">
        <f t="shared" si="13"/>
        <v>95312.1873578667</v>
      </c>
      <c r="Y16" s="423"/>
      <c r="Z16" s="423">
        <f t="shared" si="14"/>
        <v>95312.1873578667</v>
      </c>
      <c r="AA16" s="423">
        <v>32298.7752714667</v>
      </c>
      <c r="AB16" s="423">
        <f t="shared" si="15"/>
        <v>127610.96262933299</v>
      </c>
      <c r="AC16" s="704" t="s">
        <v>243</v>
      </c>
      <c r="AD16" s="435"/>
      <c r="AE16" s="435"/>
    </row>
    <row r="17" spans="1:31" ht="15">
      <c r="A17" s="704">
        <v>13</v>
      </c>
      <c r="B17" s="704" t="s">
        <v>433</v>
      </c>
      <c r="C17" s="709">
        <v>510248.91666666698</v>
      </c>
      <c r="D17" s="422">
        <v>12</v>
      </c>
      <c r="E17" s="423">
        <f t="shared" si="0"/>
        <v>6122987</v>
      </c>
      <c r="F17" s="423"/>
      <c r="G17" s="423">
        <v>374638.9632</v>
      </c>
      <c r="H17" s="423"/>
      <c r="I17" s="423">
        <f t="shared" si="1"/>
        <v>5748348.0367999999</v>
      </c>
      <c r="J17" s="423">
        <v>200000</v>
      </c>
      <c r="K17" s="423">
        <v>0.2</v>
      </c>
      <c r="L17" s="423">
        <f t="shared" si="2"/>
        <v>1149669.60736</v>
      </c>
      <c r="M17" s="423">
        <f t="shared" si="3"/>
        <v>1349669.60736</v>
      </c>
      <c r="N17" s="423">
        <f t="shared" si="4"/>
        <v>1724308.5705599999</v>
      </c>
      <c r="O17" s="423">
        <f t="shared" si="5"/>
        <v>4398678.4294400001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95000</v>
      </c>
      <c r="T17" s="423">
        <f t="shared" si="10"/>
        <v>336000</v>
      </c>
      <c r="U17" s="423">
        <f t="shared" si="11"/>
        <v>287682.823065601</v>
      </c>
      <c r="V17" s="423">
        <f t="shared" si="12"/>
        <v>847682.82306560106</v>
      </c>
      <c r="W17" s="430">
        <v>12</v>
      </c>
      <c r="X17" s="423">
        <f t="shared" si="13"/>
        <v>70640.235255466701</v>
      </c>
      <c r="Y17" s="423"/>
      <c r="Z17" s="423">
        <f t="shared" si="14"/>
        <v>70640.235255466701</v>
      </c>
      <c r="AA17" s="423">
        <v>12855.301799466801</v>
      </c>
      <c r="AB17" s="423">
        <f t="shared" si="15"/>
        <v>83495.537054933506</v>
      </c>
      <c r="AC17" s="704" t="s">
        <v>433</v>
      </c>
      <c r="AD17" s="435"/>
      <c r="AE17" s="435"/>
    </row>
    <row r="18" spans="1:31" ht="15">
      <c r="A18" s="704">
        <v>14</v>
      </c>
      <c r="B18" s="704" t="s">
        <v>434</v>
      </c>
      <c r="C18" s="709">
        <v>582746.5</v>
      </c>
      <c r="D18" s="422">
        <v>12</v>
      </c>
      <c r="E18" s="423">
        <f t="shared" si="0"/>
        <v>6992958</v>
      </c>
      <c r="F18" s="423"/>
      <c r="G18" s="423">
        <v>425036.64</v>
      </c>
      <c r="H18" s="423"/>
      <c r="I18" s="423">
        <f t="shared" si="1"/>
        <v>6567921.3600000003</v>
      </c>
      <c r="J18" s="423">
        <v>200000</v>
      </c>
      <c r="K18" s="423">
        <v>0.2</v>
      </c>
      <c r="L18" s="423">
        <f t="shared" si="2"/>
        <v>1313584.2720000001</v>
      </c>
      <c r="M18" s="423">
        <f t="shared" si="3"/>
        <v>1513584.2720000001</v>
      </c>
      <c r="N18" s="423">
        <f t="shared" si="4"/>
        <v>1938620.912</v>
      </c>
      <c r="O18" s="423">
        <f t="shared" si="5"/>
        <v>5054337.0880000005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336000</v>
      </c>
      <c r="U18" s="423">
        <f t="shared" si="11"/>
        <v>445040.90111999999</v>
      </c>
      <c r="V18" s="423">
        <f t="shared" si="12"/>
        <v>1005040.9011200001</v>
      </c>
      <c r="W18" s="430">
        <v>12</v>
      </c>
      <c r="X18" s="423">
        <f t="shared" si="13"/>
        <v>83753.408426666603</v>
      </c>
      <c r="Y18" s="423"/>
      <c r="Z18" s="423">
        <f t="shared" si="14"/>
        <v>83753.408426666603</v>
      </c>
      <c r="AA18" s="423">
        <v>101775.520426665</v>
      </c>
      <c r="AB18" s="423">
        <f t="shared" si="15"/>
        <v>185528.92885333201</v>
      </c>
      <c r="AC18" s="704" t="s">
        <v>434</v>
      </c>
      <c r="AD18" s="435"/>
      <c r="AE18" s="435"/>
    </row>
    <row r="19" spans="1:31" ht="15">
      <c r="A19" s="704">
        <v>15</v>
      </c>
      <c r="B19" s="704" t="s">
        <v>438</v>
      </c>
      <c r="C19" s="709">
        <v>413512.5</v>
      </c>
      <c r="D19" s="422">
        <v>12</v>
      </c>
      <c r="E19" s="423">
        <f t="shared" si="0"/>
        <v>4962150</v>
      </c>
      <c r="F19" s="423"/>
      <c r="G19" s="423">
        <v>339372</v>
      </c>
      <c r="H19" s="423"/>
      <c r="I19" s="423">
        <f t="shared" si="1"/>
        <v>4622778</v>
      </c>
      <c r="J19" s="423">
        <v>200000</v>
      </c>
      <c r="K19" s="423">
        <v>0.2</v>
      </c>
      <c r="L19" s="423">
        <f t="shared" si="2"/>
        <v>924555.6</v>
      </c>
      <c r="M19" s="423">
        <f t="shared" si="3"/>
        <v>1124555.6000000001</v>
      </c>
      <c r="N19" s="423">
        <f t="shared" si="4"/>
        <v>1463927.6</v>
      </c>
      <c r="O19" s="423">
        <f t="shared" si="5"/>
        <v>3498222.4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336000</v>
      </c>
      <c r="U19" s="423">
        <f t="shared" si="11"/>
        <v>71573.376000000004</v>
      </c>
      <c r="V19" s="423">
        <f t="shared" si="12"/>
        <v>631573.37600000005</v>
      </c>
      <c r="W19" s="430">
        <v>12</v>
      </c>
      <c r="X19" s="423">
        <f t="shared" si="13"/>
        <v>52631.114666666697</v>
      </c>
      <c r="Y19" s="423"/>
      <c r="Z19" s="423">
        <f t="shared" si="14"/>
        <v>52631.114666666697</v>
      </c>
      <c r="AA19" s="423">
        <v>50324.5226666667</v>
      </c>
      <c r="AB19" s="423">
        <f t="shared" si="15"/>
        <v>102955.637333333</v>
      </c>
      <c r="AC19" s="704" t="s">
        <v>438</v>
      </c>
      <c r="AD19" s="435"/>
      <c r="AE19" s="435"/>
    </row>
    <row r="20" spans="1:31" ht="15">
      <c r="A20" s="704">
        <v>16</v>
      </c>
      <c r="B20" s="704" t="s">
        <v>439</v>
      </c>
      <c r="C20" s="709">
        <f>353512.5+110000</f>
        <v>463512.5</v>
      </c>
      <c r="D20" s="422">
        <v>12</v>
      </c>
      <c r="E20" s="423">
        <f t="shared" si="0"/>
        <v>5562150</v>
      </c>
      <c r="F20" s="423"/>
      <c r="G20" s="423">
        <v>339372</v>
      </c>
      <c r="H20" s="423"/>
      <c r="I20" s="423">
        <f t="shared" si="1"/>
        <v>5222778</v>
      </c>
      <c r="J20" s="423">
        <v>200000</v>
      </c>
      <c r="K20" s="423">
        <v>0.2</v>
      </c>
      <c r="L20" s="423">
        <f t="shared" si="2"/>
        <v>1044555.6</v>
      </c>
      <c r="M20" s="423">
        <f t="shared" si="3"/>
        <v>1244555.6000000001</v>
      </c>
      <c r="N20" s="423">
        <f t="shared" si="4"/>
        <v>1583927.6</v>
      </c>
      <c r="O20" s="423">
        <f t="shared" si="5"/>
        <v>3978222.4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336000</v>
      </c>
      <c r="U20" s="423">
        <f t="shared" si="11"/>
        <v>186773.37599999999</v>
      </c>
      <c r="V20" s="423">
        <f t="shared" si="12"/>
        <v>746773.37600000005</v>
      </c>
      <c r="W20" s="430">
        <v>12</v>
      </c>
      <c r="X20" s="423">
        <f t="shared" si="13"/>
        <v>62231.114666666697</v>
      </c>
      <c r="Y20" s="423"/>
      <c r="Z20" s="423">
        <f t="shared" si="14"/>
        <v>62231.114666666697</v>
      </c>
      <c r="AA20" s="423">
        <v>19114.050666666699</v>
      </c>
      <c r="AB20" s="423">
        <f t="shared" si="15"/>
        <v>81345.165333333396</v>
      </c>
      <c r="AC20" s="704" t="s">
        <v>439</v>
      </c>
      <c r="AD20" s="435"/>
      <c r="AE20" s="435"/>
    </row>
    <row r="21" spans="1:31" ht="15">
      <c r="A21" s="704">
        <v>17</v>
      </c>
      <c r="B21" s="704" t="s">
        <v>441</v>
      </c>
      <c r="C21" s="709">
        <v>189814.16666666701</v>
      </c>
      <c r="D21" s="422">
        <v>12</v>
      </c>
      <c r="E21" s="423">
        <f t="shared" si="0"/>
        <v>2277770</v>
      </c>
      <c r="F21" s="423"/>
      <c r="G21" s="423">
        <v>146701.60320000001</v>
      </c>
      <c r="H21" s="423"/>
      <c r="I21" s="423">
        <f t="shared" si="1"/>
        <v>2131068.3968000002</v>
      </c>
      <c r="J21" s="423">
        <v>200000</v>
      </c>
      <c r="K21" s="423">
        <v>0.2</v>
      </c>
      <c r="L21" s="423">
        <f t="shared" si="2"/>
        <v>426213.679360001</v>
      </c>
      <c r="M21" s="423">
        <f t="shared" si="3"/>
        <v>626213.679360001</v>
      </c>
      <c r="N21" s="423">
        <f t="shared" si="4"/>
        <v>772915.28256000101</v>
      </c>
      <c r="O21" s="423">
        <f t="shared" si="5"/>
        <v>1504854.71744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76922.396313600606</v>
      </c>
      <c r="T21" s="423">
        <f t="shared" si="10"/>
        <v>0</v>
      </c>
      <c r="U21" s="423"/>
      <c r="V21" s="423">
        <f t="shared" si="12"/>
        <v>205922.396313601</v>
      </c>
      <c r="W21" s="430">
        <v>12</v>
      </c>
      <c r="X21" s="423">
        <f t="shared" si="13"/>
        <v>17160.199692800099</v>
      </c>
      <c r="Y21" s="423"/>
      <c r="Z21" s="423">
        <f t="shared" si="14"/>
        <v>17160.199692800099</v>
      </c>
      <c r="AA21" s="423">
        <v>3736.9329098666699</v>
      </c>
      <c r="AB21" s="423">
        <f t="shared" si="15"/>
        <v>20897.132602666701</v>
      </c>
      <c r="AC21" s="704" t="s">
        <v>441</v>
      </c>
      <c r="AD21" s="435"/>
      <c r="AE21" s="435"/>
    </row>
    <row r="22" spans="1:31" ht="15">
      <c r="A22" s="704">
        <v>18</v>
      </c>
      <c r="B22" s="704" t="s">
        <v>206</v>
      </c>
      <c r="C22" s="709">
        <v>510248.91666666698</v>
      </c>
      <c r="D22" s="422">
        <v>12</v>
      </c>
      <c r="E22" s="423">
        <f t="shared" si="0"/>
        <v>6122987</v>
      </c>
      <c r="F22" s="423">
        <f>6922.5*12</f>
        <v>83070</v>
      </c>
      <c r="G22" s="423">
        <v>374638.9632</v>
      </c>
      <c r="H22" s="423"/>
      <c r="I22" s="423">
        <f t="shared" si="1"/>
        <v>5665278.0367999999</v>
      </c>
      <c r="J22" s="423">
        <v>200000</v>
      </c>
      <c r="K22" s="423">
        <v>0.2</v>
      </c>
      <c r="L22" s="423">
        <f t="shared" si="2"/>
        <v>1133055.60736</v>
      </c>
      <c r="M22" s="423">
        <f t="shared" si="3"/>
        <v>1333055.60736</v>
      </c>
      <c r="N22" s="423">
        <f t="shared" si="4"/>
        <v>1790764.5705599999</v>
      </c>
      <c r="O22" s="423">
        <f t="shared" si="5"/>
        <v>4332222.4294400001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95000</v>
      </c>
      <c r="T22" s="423">
        <f t="shared" si="10"/>
        <v>336000</v>
      </c>
      <c r="U22" s="423">
        <f>24%*(O22-3200000)</f>
        <v>271733.383065601</v>
      </c>
      <c r="V22" s="423">
        <f t="shared" si="12"/>
        <v>831733.383065601</v>
      </c>
      <c r="W22" s="430">
        <v>12</v>
      </c>
      <c r="X22" s="423">
        <f t="shared" si="13"/>
        <v>69311.115255466706</v>
      </c>
      <c r="Y22" s="423"/>
      <c r="Z22" s="423">
        <f t="shared" si="14"/>
        <v>69311.115255466706</v>
      </c>
      <c r="AA22" s="423">
        <v>11803.0817994668</v>
      </c>
      <c r="AB22" s="423">
        <f t="shared" si="15"/>
        <v>81114.197054933495</v>
      </c>
      <c r="AC22" s="704" t="s">
        <v>206</v>
      </c>
      <c r="AD22" s="435"/>
      <c r="AE22" s="435"/>
    </row>
    <row r="23" spans="1:31" ht="35.25" customHeight="1">
      <c r="B23" s="6" t="s">
        <v>484</v>
      </c>
      <c r="C23" s="568">
        <f>SUM(C5:C22)</f>
        <v>9345977.5833333395</v>
      </c>
      <c r="D23" s="569"/>
      <c r="E23" s="425"/>
      <c r="F23" s="570">
        <f>SUM(F5:F22)</f>
        <v>454852.8</v>
      </c>
      <c r="G23" s="570">
        <f>SUM(G5:G22)</f>
        <v>7173098.8799999999</v>
      </c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0">
        <f>SUM(V5:V22)</f>
        <v>15585890.406656001</v>
      </c>
      <c r="W23" s="570"/>
      <c r="X23" s="570">
        <f>SUM(X5:X22)</f>
        <v>1298824.2005546701</v>
      </c>
      <c r="Y23" s="570"/>
      <c r="Z23" s="570">
        <f>SUM(Z5:Z22)</f>
        <v>1298824.2005546701</v>
      </c>
      <c r="AA23" s="570"/>
      <c r="AB23" s="570"/>
    </row>
    <row r="24" spans="1:31" ht="26.25" customHeight="1">
      <c r="B24" s="28" t="s">
        <v>485</v>
      </c>
      <c r="C24" s="568"/>
      <c r="D24" s="569"/>
      <c r="E24" s="569"/>
      <c r="F24" s="572">
        <f>F23/12</f>
        <v>37904.400000000001</v>
      </c>
      <c r="G24" s="572">
        <f>G23/12</f>
        <v>597758.24</v>
      </c>
      <c r="H24" s="571"/>
      <c r="I24" s="571"/>
      <c r="J24" s="571"/>
      <c r="K24" s="571"/>
      <c r="L24" s="571"/>
      <c r="M24" s="571"/>
      <c r="N24" s="571"/>
      <c r="O24" s="571"/>
      <c r="P24" s="571"/>
      <c r="Q24" s="571"/>
      <c r="R24" s="571"/>
      <c r="S24" s="571"/>
      <c r="T24" s="571"/>
      <c r="U24" s="571"/>
      <c r="V24" s="572">
        <f>V23/12</f>
        <v>1298824.2005546701</v>
      </c>
      <c r="W24" s="569"/>
      <c r="X24" s="569"/>
      <c r="Y24" s="569"/>
      <c r="Z24" s="569"/>
    </row>
    <row r="25" spans="1:31" ht="18.75">
      <c r="B25" s="31"/>
      <c r="C25" s="435"/>
      <c r="F25" s="454"/>
    </row>
    <row r="26" spans="1:31">
      <c r="F26" s="455"/>
      <c r="Z26" s="570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5"/>
  <sheetViews>
    <sheetView topLeftCell="O5" workbookViewId="0">
      <selection activeCell="AA21" sqref="AA21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16384" width="9.140625" style="258"/>
  </cols>
  <sheetData>
    <row r="1" spans="1:27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1"/>
    </row>
    <row r="2" spans="1:27" hidden="1">
      <c r="A2" s="796" t="s">
        <v>459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1"/>
    </row>
    <row r="3" spans="1:27" hidden="1">
      <c r="A3" s="797" t="s">
        <v>460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1"/>
    </row>
    <row r="4" spans="1:27" ht="83.25" customHeight="1">
      <c r="A4" s="417" t="s">
        <v>461</v>
      </c>
      <c r="B4" s="418" t="s">
        <v>462</v>
      </c>
      <c r="C4" s="419" t="s">
        <v>486</v>
      </c>
      <c r="D4" s="418" t="s">
        <v>456</v>
      </c>
      <c r="E4" s="419" t="s">
        <v>464</v>
      </c>
      <c r="F4" s="419" t="s">
        <v>465</v>
      </c>
      <c r="G4" s="419" t="s">
        <v>466</v>
      </c>
      <c r="H4" s="419" t="s">
        <v>467</v>
      </c>
      <c r="I4" s="419" t="s">
        <v>468</v>
      </c>
      <c r="J4" s="419"/>
      <c r="K4" s="419"/>
      <c r="L4" s="419"/>
      <c r="M4" s="419" t="s">
        <v>469</v>
      </c>
      <c r="N4" s="419" t="s">
        <v>470</v>
      </c>
      <c r="O4" s="419" t="s">
        <v>471</v>
      </c>
      <c r="P4" s="419" t="s">
        <v>472</v>
      </c>
      <c r="Q4" s="419" t="s">
        <v>473</v>
      </c>
      <c r="R4" s="419" t="s">
        <v>474</v>
      </c>
      <c r="S4" s="419" t="s">
        <v>475</v>
      </c>
      <c r="T4" s="419" t="s">
        <v>476</v>
      </c>
      <c r="U4" s="419" t="s">
        <v>477</v>
      </c>
      <c r="V4" s="419" t="s">
        <v>478</v>
      </c>
      <c r="W4" s="419"/>
      <c r="X4" s="419" t="s">
        <v>479</v>
      </c>
      <c r="Y4" s="419" t="s">
        <v>480</v>
      </c>
      <c r="Z4" s="419" t="s">
        <v>482</v>
      </c>
    </row>
    <row r="5" spans="1:27" ht="15">
      <c r="A5" s="704">
        <v>1</v>
      </c>
      <c r="B5" s="705" t="s">
        <v>405</v>
      </c>
      <c r="C5" s="709">
        <v>150313.07999999999</v>
      </c>
      <c r="D5" s="422">
        <v>12</v>
      </c>
      <c r="E5" s="423">
        <f t="shared" ref="E5:E24" si="0">C5*D5</f>
        <v>1803756.96</v>
      </c>
      <c r="F5" s="423"/>
      <c r="G5" s="423">
        <v>558833.35679999995</v>
      </c>
      <c r="H5" s="423"/>
      <c r="I5" s="423">
        <f t="shared" ref="I5:I24" si="1">E5-F5-G5-H5</f>
        <v>1244923.6032</v>
      </c>
      <c r="J5" s="423">
        <v>200000</v>
      </c>
      <c r="K5" s="423">
        <v>0.2</v>
      </c>
      <c r="L5" s="423">
        <f t="shared" ref="L5:L24" si="2">I5*K5</f>
        <v>248984.72064000001</v>
      </c>
      <c r="M5" s="423">
        <f t="shared" ref="M5:M24" si="3">J5+L5</f>
        <v>448984.72064000001</v>
      </c>
      <c r="N5" s="423">
        <f t="shared" ref="N5:N24" si="4">F5+G5+H5+M5</f>
        <v>1007818.07744</v>
      </c>
      <c r="O5" s="423">
        <f t="shared" ref="O5:O24" si="5">E5-N5</f>
        <v>795938.88256000006</v>
      </c>
      <c r="P5" s="423">
        <f t="shared" ref="P5:P24" si="6">IF(O5&lt;300000,0.07*O5,21000)</f>
        <v>21000</v>
      </c>
      <c r="Q5" s="423">
        <f t="shared" ref="Q5:Q24" si="7">IF((O5-300000)&lt;0,0,IF((O5-300000)&lt;300000,0.11*(O5-300000),33000))</f>
        <v>33000</v>
      </c>
      <c r="R5" s="423">
        <f t="shared" ref="R5:R24" si="8">IF((O5-600000)&lt;0,0,IF((O5-600000)&lt;500000,0.15*(O5-600000),75000))</f>
        <v>29390.832384000001</v>
      </c>
      <c r="S5" s="423">
        <f t="shared" ref="S5:S24" si="9">IF((O5-1100000)&lt;0,0,IF((O5-1100000)&lt;500000,0.19*(O5-1100000),95000))</f>
        <v>0</v>
      </c>
      <c r="T5" s="423">
        <f t="shared" ref="T5:T24" si="10">IF((O5-1600000)&lt;0,0,IF((O5-1600000)&lt;1600000,0.21*(O5-1600000),336000))</f>
        <v>0</v>
      </c>
      <c r="U5" s="423">
        <v>0</v>
      </c>
      <c r="V5" s="423">
        <f t="shared" ref="V5:V24" si="11">P5+Q5+R5+S5+T5+U5</f>
        <v>83390.832383999994</v>
      </c>
      <c r="W5" s="430">
        <v>12</v>
      </c>
      <c r="X5" s="423">
        <f t="shared" ref="X5:X24" si="12">V5/W5</f>
        <v>6949.2360319999998</v>
      </c>
      <c r="Y5" s="423"/>
      <c r="Z5" s="423">
        <f t="shared" ref="Z5:Z24" si="13">X5</f>
        <v>6949.2360319999998</v>
      </c>
      <c r="AA5" s="435"/>
    </row>
    <row r="6" spans="1:27" ht="15">
      <c r="A6" s="704">
        <v>2</v>
      </c>
      <c r="B6" s="704" t="s">
        <v>409</v>
      </c>
      <c r="C6" s="709">
        <v>526480</v>
      </c>
      <c r="D6" s="422">
        <v>12</v>
      </c>
      <c r="E6" s="423">
        <f t="shared" si="0"/>
        <v>6317760</v>
      </c>
      <c r="F6" s="423"/>
      <c r="G6" s="423">
        <v>558833.35679999995</v>
      </c>
      <c r="H6" s="423"/>
      <c r="I6" s="423">
        <f t="shared" si="1"/>
        <v>5758926.6431999998</v>
      </c>
      <c r="J6" s="423">
        <v>200000</v>
      </c>
      <c r="K6" s="423">
        <v>0.2</v>
      </c>
      <c r="L6" s="423">
        <f t="shared" si="2"/>
        <v>1151785.32864</v>
      </c>
      <c r="M6" s="423">
        <f t="shared" si="3"/>
        <v>1351785.32864</v>
      </c>
      <c r="N6" s="423">
        <f t="shared" si="4"/>
        <v>1910618.6854399999</v>
      </c>
      <c r="O6" s="423">
        <f t="shared" si="5"/>
        <v>4407141.3145599999</v>
      </c>
      <c r="P6" s="423">
        <f t="shared" si="6"/>
        <v>21000</v>
      </c>
      <c r="Q6" s="423">
        <f t="shared" si="7"/>
        <v>33000</v>
      </c>
      <c r="R6" s="423">
        <f t="shared" si="8"/>
        <v>75000</v>
      </c>
      <c r="S6" s="423">
        <f t="shared" si="9"/>
        <v>95000</v>
      </c>
      <c r="T6" s="423">
        <f t="shared" si="10"/>
        <v>336000</v>
      </c>
      <c r="U6" s="423">
        <f>24%*(O6-3200000)</f>
        <v>289713.91549440002</v>
      </c>
      <c r="V6" s="423">
        <f t="shared" si="11"/>
        <v>849713.91549439996</v>
      </c>
      <c r="W6" s="430">
        <v>12</v>
      </c>
      <c r="X6" s="423">
        <f t="shared" si="12"/>
        <v>70809.492957866707</v>
      </c>
      <c r="Y6" s="423"/>
      <c r="Z6" s="423">
        <f t="shared" si="13"/>
        <v>70809.492957866707</v>
      </c>
      <c r="AA6" s="435"/>
    </row>
    <row r="7" spans="1:27" ht="15">
      <c r="A7" s="704">
        <v>3</v>
      </c>
      <c r="B7" s="704" t="s">
        <v>412</v>
      </c>
      <c r="C7" s="709">
        <v>291986.91749999998</v>
      </c>
      <c r="D7" s="422">
        <v>12</v>
      </c>
      <c r="E7" s="423">
        <f t="shared" si="0"/>
        <v>3503843.01</v>
      </c>
      <c r="F7" s="423">
        <f>8019.8*12</f>
        <v>96237.6</v>
      </c>
      <c r="G7" s="423">
        <v>558833.35679999995</v>
      </c>
      <c r="H7" s="423"/>
      <c r="I7" s="423">
        <f t="shared" si="1"/>
        <v>2848772.0532</v>
      </c>
      <c r="J7" s="423">
        <v>200000</v>
      </c>
      <c r="K7" s="423">
        <v>0.2</v>
      </c>
      <c r="L7" s="423">
        <f t="shared" si="2"/>
        <v>569754.41064000002</v>
      </c>
      <c r="M7" s="423">
        <f t="shared" si="3"/>
        <v>769754.41064000002</v>
      </c>
      <c r="N7" s="423">
        <f t="shared" si="4"/>
        <v>1424825.3674399999</v>
      </c>
      <c r="O7" s="423">
        <f t="shared" si="5"/>
        <v>2079017.6425600001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100593.70493760001</v>
      </c>
      <c r="U7" s="423"/>
      <c r="V7" s="423">
        <f t="shared" si="11"/>
        <v>324593.70493760001</v>
      </c>
      <c r="W7" s="430">
        <v>12</v>
      </c>
      <c r="X7" s="423">
        <f t="shared" si="12"/>
        <v>27049.475411466701</v>
      </c>
      <c r="Y7" s="423"/>
      <c r="Z7" s="423">
        <f t="shared" si="13"/>
        <v>27049.475411466701</v>
      </c>
      <c r="AA7" s="435"/>
    </row>
    <row r="8" spans="1:27" ht="15">
      <c r="A8" s="704">
        <v>4</v>
      </c>
      <c r="B8" s="704" t="s">
        <v>414</v>
      </c>
      <c r="C8" s="709">
        <v>291984.20750000002</v>
      </c>
      <c r="D8" s="422">
        <v>12</v>
      </c>
      <c r="E8" s="423">
        <f t="shared" si="0"/>
        <v>3503810.49</v>
      </c>
      <c r="F8" s="423">
        <f>8019.8*12</f>
        <v>96237.6</v>
      </c>
      <c r="G8" s="423">
        <v>558833.35679999995</v>
      </c>
      <c r="H8" s="423"/>
      <c r="I8" s="423">
        <f t="shared" si="1"/>
        <v>2848739.5331999999</v>
      </c>
      <c r="J8" s="423">
        <v>200000</v>
      </c>
      <c r="K8" s="423">
        <v>0.2</v>
      </c>
      <c r="L8" s="423">
        <f t="shared" si="2"/>
        <v>569747.90663999994</v>
      </c>
      <c r="M8" s="423">
        <f t="shared" si="3"/>
        <v>769747.90663999994</v>
      </c>
      <c r="N8" s="423">
        <f t="shared" si="4"/>
        <v>1424818.86344</v>
      </c>
      <c r="O8" s="423">
        <f t="shared" si="5"/>
        <v>2078991.62656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100588.2415776</v>
      </c>
      <c r="U8" s="423"/>
      <c r="V8" s="423">
        <f t="shared" si="11"/>
        <v>324588.24157760001</v>
      </c>
      <c r="W8" s="430">
        <v>12</v>
      </c>
      <c r="X8" s="423">
        <f t="shared" si="12"/>
        <v>27049.020131466699</v>
      </c>
      <c r="Y8" s="423"/>
      <c r="Z8" s="423">
        <f t="shared" si="13"/>
        <v>27049.020131466699</v>
      </c>
      <c r="AA8" s="435"/>
    </row>
    <row r="9" spans="1:27" ht="15">
      <c r="A9" s="704">
        <v>5</v>
      </c>
      <c r="B9" s="704" t="s">
        <v>416</v>
      </c>
      <c r="C9" s="709">
        <v>0</v>
      </c>
      <c r="D9" s="422">
        <v>0</v>
      </c>
      <c r="E9" s="423">
        <f t="shared" si="0"/>
        <v>0</v>
      </c>
      <c r="F9" s="423"/>
      <c r="G9" s="423">
        <v>0</v>
      </c>
      <c r="H9" s="423"/>
      <c r="I9" s="423">
        <f t="shared" si="1"/>
        <v>0</v>
      </c>
      <c r="J9" s="423">
        <v>0</v>
      </c>
      <c r="K9" s="423">
        <v>0.2</v>
      </c>
      <c r="L9" s="423">
        <f t="shared" si="2"/>
        <v>0</v>
      </c>
      <c r="M9" s="423">
        <f t="shared" si="3"/>
        <v>0</v>
      </c>
      <c r="N9" s="423">
        <f t="shared" si="4"/>
        <v>0</v>
      </c>
      <c r="O9" s="423">
        <f t="shared" si="5"/>
        <v>0</v>
      </c>
      <c r="P9" s="423">
        <f t="shared" si="6"/>
        <v>0</v>
      </c>
      <c r="Q9" s="423">
        <f t="shared" si="7"/>
        <v>0</v>
      </c>
      <c r="R9" s="423">
        <f t="shared" si="8"/>
        <v>0</v>
      </c>
      <c r="S9" s="423">
        <f t="shared" si="9"/>
        <v>0</v>
      </c>
      <c r="T9" s="423">
        <f t="shared" si="10"/>
        <v>0</v>
      </c>
      <c r="U9" s="423"/>
      <c r="V9" s="423">
        <f t="shared" si="11"/>
        <v>0</v>
      </c>
      <c r="W9" s="430">
        <v>12</v>
      </c>
      <c r="X9" s="423">
        <f t="shared" si="12"/>
        <v>0</v>
      </c>
      <c r="Y9" s="423"/>
      <c r="Z9" s="423">
        <f t="shared" si="13"/>
        <v>0</v>
      </c>
      <c r="AA9" s="435"/>
    </row>
    <row r="10" spans="1:27" ht="15">
      <c r="A10" s="704">
        <v>6</v>
      </c>
      <c r="B10" s="704" t="s">
        <v>276</v>
      </c>
      <c r="C10" s="709">
        <v>1486792</v>
      </c>
      <c r="D10" s="422">
        <v>12</v>
      </c>
      <c r="E10" s="423">
        <f t="shared" si="0"/>
        <v>17841504</v>
      </c>
      <c r="F10" s="423"/>
      <c r="G10" s="423">
        <v>245615.04</v>
      </c>
      <c r="H10" s="423"/>
      <c r="I10" s="423">
        <f t="shared" si="1"/>
        <v>17595888.960000001</v>
      </c>
      <c r="J10" s="423">
        <v>200000</v>
      </c>
      <c r="K10" s="423">
        <v>0.2</v>
      </c>
      <c r="L10" s="423">
        <f t="shared" si="2"/>
        <v>3519177.7919999999</v>
      </c>
      <c r="M10" s="423">
        <f t="shared" si="3"/>
        <v>3719177.7919999999</v>
      </c>
      <c r="N10" s="423">
        <f t="shared" si="4"/>
        <v>3964792.8319999999</v>
      </c>
      <c r="O10" s="423">
        <f t="shared" si="5"/>
        <v>13876711.168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>24%*(O10-3200000)</f>
        <v>2562410.6803199998</v>
      </c>
      <c r="V10" s="423">
        <f t="shared" si="11"/>
        <v>3122410.6803199998</v>
      </c>
      <c r="W10" s="430">
        <v>12</v>
      </c>
      <c r="X10" s="423">
        <f t="shared" si="12"/>
        <v>260200.89002666701</v>
      </c>
      <c r="Y10" s="423"/>
      <c r="Z10" s="423">
        <f t="shared" si="13"/>
        <v>260200.89002666701</v>
      </c>
      <c r="AA10" s="435"/>
    </row>
    <row r="11" spans="1:27" ht="15">
      <c r="A11" s="704">
        <v>7</v>
      </c>
      <c r="B11" s="704" t="s">
        <v>422</v>
      </c>
      <c r="C11" s="709">
        <v>120895.81</v>
      </c>
      <c r="D11" s="422">
        <v>12</v>
      </c>
      <c r="E11" s="423">
        <f t="shared" si="0"/>
        <v>1450749.72</v>
      </c>
      <c r="F11" s="423"/>
      <c r="G11" s="423">
        <v>339372</v>
      </c>
      <c r="H11" s="423"/>
      <c r="I11" s="423">
        <f t="shared" si="1"/>
        <v>1111377.72</v>
      </c>
      <c r="J11" s="423">
        <v>200000</v>
      </c>
      <c r="K11" s="423">
        <v>0.2</v>
      </c>
      <c r="L11" s="423">
        <f t="shared" si="2"/>
        <v>222275.54399999999</v>
      </c>
      <c r="M11" s="423">
        <f t="shared" si="3"/>
        <v>422275.54399999999</v>
      </c>
      <c r="N11" s="423">
        <f t="shared" si="4"/>
        <v>761647.54399999999</v>
      </c>
      <c r="O11" s="423">
        <f t="shared" si="5"/>
        <v>689102.17599999998</v>
      </c>
      <c r="P11" s="423">
        <f t="shared" si="6"/>
        <v>21000</v>
      </c>
      <c r="Q11" s="423">
        <f t="shared" si="7"/>
        <v>33000</v>
      </c>
      <c r="R11" s="423">
        <f t="shared" si="8"/>
        <v>13365.3264</v>
      </c>
      <c r="S11" s="423">
        <f t="shared" si="9"/>
        <v>0</v>
      </c>
      <c r="T11" s="423">
        <f t="shared" si="10"/>
        <v>0</v>
      </c>
      <c r="U11" s="423"/>
      <c r="V11" s="423">
        <f t="shared" si="11"/>
        <v>67365.326400000005</v>
      </c>
      <c r="W11" s="430">
        <v>12</v>
      </c>
      <c r="X11" s="423">
        <f t="shared" si="12"/>
        <v>5613.7772000000004</v>
      </c>
      <c r="Y11" s="423"/>
      <c r="Z11" s="423">
        <f t="shared" si="13"/>
        <v>5613.7772000000004</v>
      </c>
      <c r="AA11" s="435"/>
    </row>
    <row r="12" spans="1:27" ht="15">
      <c r="A12" s="704">
        <v>8</v>
      </c>
      <c r="B12" s="704" t="s">
        <v>425</v>
      </c>
      <c r="C12" s="709">
        <v>99389.475833332501</v>
      </c>
      <c r="D12" s="422">
        <v>12</v>
      </c>
      <c r="E12" s="423">
        <f t="shared" si="0"/>
        <v>1192673.70999999</v>
      </c>
      <c r="F12" s="423"/>
      <c r="G12" s="423">
        <v>339372</v>
      </c>
      <c r="H12" s="423"/>
      <c r="I12" s="423">
        <f t="shared" si="1"/>
        <v>853301.70999998995</v>
      </c>
      <c r="J12" s="423">
        <v>200000</v>
      </c>
      <c r="K12" s="423">
        <v>0.2</v>
      </c>
      <c r="L12" s="423">
        <f t="shared" si="2"/>
        <v>170660.341999998</v>
      </c>
      <c r="M12" s="423">
        <f t="shared" si="3"/>
        <v>370660.34199999803</v>
      </c>
      <c r="N12" s="423">
        <f t="shared" si="4"/>
        <v>710032.34199999797</v>
      </c>
      <c r="O12" s="423">
        <f t="shared" si="5"/>
        <v>482641.36799999198</v>
      </c>
      <c r="P12" s="423">
        <f t="shared" si="6"/>
        <v>21000</v>
      </c>
      <c r="Q12" s="423">
        <f t="shared" si="7"/>
        <v>20090.550479999099</v>
      </c>
      <c r="R12" s="423">
        <f t="shared" si="8"/>
        <v>0</v>
      </c>
      <c r="S12" s="423">
        <f t="shared" si="9"/>
        <v>0</v>
      </c>
      <c r="T12" s="423">
        <f t="shared" si="10"/>
        <v>0</v>
      </c>
      <c r="U12" s="423"/>
      <c r="V12" s="423">
        <f t="shared" si="11"/>
        <v>41090.550479999103</v>
      </c>
      <c r="W12" s="430">
        <v>12</v>
      </c>
      <c r="X12" s="423">
        <f t="shared" si="12"/>
        <v>3424.21253999993</v>
      </c>
      <c r="Y12" s="423"/>
      <c r="Z12" s="423">
        <f t="shared" si="13"/>
        <v>3424.21253999993</v>
      </c>
      <c r="AA12" s="435"/>
    </row>
    <row r="13" spans="1:27" ht="30">
      <c r="A13" s="704">
        <v>9</v>
      </c>
      <c r="B13" s="712" t="s">
        <v>427</v>
      </c>
      <c r="C13" s="709">
        <v>481299.33333333599</v>
      </c>
      <c r="D13" s="422">
        <v>12</v>
      </c>
      <c r="E13" s="423">
        <f t="shared" si="0"/>
        <v>5775592.0000000298</v>
      </c>
      <c r="F13" s="423">
        <f>6922.5*12</f>
        <v>83070</v>
      </c>
      <c r="G13" s="424">
        <v>374638.9632</v>
      </c>
      <c r="H13" s="423"/>
      <c r="I13" s="423">
        <f t="shared" si="1"/>
        <v>5317883.0368000297</v>
      </c>
      <c r="J13" s="423">
        <v>200000</v>
      </c>
      <c r="K13" s="423">
        <v>0.2</v>
      </c>
      <c r="L13" s="423">
        <f t="shared" si="2"/>
        <v>1063576.60736001</v>
      </c>
      <c r="M13" s="423">
        <f t="shared" si="3"/>
        <v>1263576.60736001</v>
      </c>
      <c r="N13" s="423">
        <f t="shared" si="4"/>
        <v>1721285.5705600099</v>
      </c>
      <c r="O13" s="423">
        <f t="shared" si="5"/>
        <v>4054306.4294400299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336000</v>
      </c>
      <c r="U13" s="423">
        <f>24%*(O13-3200000)</f>
        <v>205033.54306560601</v>
      </c>
      <c r="V13" s="423">
        <f t="shared" si="11"/>
        <v>765033.54306560603</v>
      </c>
      <c r="W13" s="430">
        <v>12</v>
      </c>
      <c r="X13" s="423">
        <f t="shared" si="12"/>
        <v>63752.795255467201</v>
      </c>
      <c r="Y13" s="423"/>
      <c r="Z13" s="423">
        <f t="shared" si="13"/>
        <v>63752.795255467201</v>
      </c>
      <c r="AA13" s="435"/>
    </row>
    <row r="14" spans="1:27" ht="15">
      <c r="A14" s="704">
        <v>10</v>
      </c>
      <c r="B14" s="704" t="s">
        <v>430</v>
      </c>
      <c r="C14" s="709">
        <v>163040.14916666801</v>
      </c>
      <c r="D14" s="422">
        <v>12</v>
      </c>
      <c r="E14" s="423">
        <f t="shared" si="0"/>
        <v>1956481.7900000201</v>
      </c>
      <c r="F14" s="423"/>
      <c r="G14" s="423">
        <v>374638.9632</v>
      </c>
      <c r="H14" s="423"/>
      <c r="I14" s="423">
        <f t="shared" si="1"/>
        <v>1581842.8268000199</v>
      </c>
      <c r="J14" s="423">
        <v>200000</v>
      </c>
      <c r="K14" s="423">
        <v>0.2</v>
      </c>
      <c r="L14" s="423">
        <f t="shared" si="2"/>
        <v>316368.56536000298</v>
      </c>
      <c r="M14" s="423">
        <f t="shared" si="3"/>
        <v>516368.56536000298</v>
      </c>
      <c r="N14" s="423">
        <f t="shared" si="4"/>
        <v>891007.52856000303</v>
      </c>
      <c r="O14" s="423">
        <f t="shared" si="5"/>
        <v>1065474.26144001</v>
      </c>
      <c r="P14" s="423">
        <f t="shared" si="6"/>
        <v>21000</v>
      </c>
      <c r="Q14" s="423">
        <f t="shared" si="7"/>
        <v>33000</v>
      </c>
      <c r="R14" s="423">
        <f t="shared" si="8"/>
        <v>69821.139216001902</v>
      </c>
      <c r="S14" s="423">
        <f t="shared" si="9"/>
        <v>0</v>
      </c>
      <c r="T14" s="423">
        <f t="shared" si="10"/>
        <v>0</v>
      </c>
      <c r="U14" s="423"/>
      <c r="V14" s="423">
        <f t="shared" si="11"/>
        <v>123821.139216002</v>
      </c>
      <c r="W14" s="430">
        <v>12</v>
      </c>
      <c r="X14" s="423">
        <f t="shared" si="12"/>
        <v>10318.4282680002</v>
      </c>
      <c r="Y14" s="423"/>
      <c r="Z14" s="423">
        <f t="shared" si="13"/>
        <v>10318.4282680002</v>
      </c>
      <c r="AA14" s="435"/>
    </row>
    <row r="15" spans="1:27" ht="15">
      <c r="A15" s="704">
        <v>11</v>
      </c>
      <c r="B15" s="704" t="s">
        <v>431</v>
      </c>
      <c r="C15" s="709">
        <v>394860</v>
      </c>
      <c r="D15" s="422">
        <v>12</v>
      </c>
      <c r="E15" s="423">
        <f t="shared" si="0"/>
        <v>4738320</v>
      </c>
      <c r="F15" s="423"/>
      <c r="G15" s="423">
        <v>558833.35679999995</v>
      </c>
      <c r="H15" s="423"/>
      <c r="I15" s="423">
        <f t="shared" si="1"/>
        <v>4179486.6431999998</v>
      </c>
      <c r="J15" s="423">
        <v>200000</v>
      </c>
      <c r="K15" s="423">
        <v>0.2</v>
      </c>
      <c r="L15" s="423">
        <f t="shared" si="2"/>
        <v>835897.32863999996</v>
      </c>
      <c r="M15" s="423">
        <f t="shared" si="3"/>
        <v>1035897.32864</v>
      </c>
      <c r="N15" s="423">
        <f t="shared" si="4"/>
        <v>1594730.6854399999</v>
      </c>
      <c r="O15" s="423">
        <f t="shared" si="5"/>
        <v>3143589.3145599999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324153.75605760003</v>
      </c>
      <c r="U15" s="423"/>
      <c r="V15" s="423">
        <f t="shared" si="11"/>
        <v>548153.75605760003</v>
      </c>
      <c r="W15" s="430">
        <v>12</v>
      </c>
      <c r="X15" s="423">
        <f t="shared" si="12"/>
        <v>45679.479671466703</v>
      </c>
      <c r="Y15" s="423"/>
      <c r="Z15" s="423">
        <f t="shared" si="13"/>
        <v>45679.479671466703</v>
      </c>
      <c r="AA15" s="435"/>
    </row>
    <row r="16" spans="1:27" ht="15">
      <c r="A16" s="704">
        <v>12</v>
      </c>
      <c r="B16" s="704" t="s">
        <v>243</v>
      </c>
      <c r="C16" s="709">
        <v>323232.75</v>
      </c>
      <c r="D16" s="422">
        <v>12</v>
      </c>
      <c r="E16" s="423">
        <f t="shared" si="0"/>
        <v>3878793</v>
      </c>
      <c r="F16" s="423">
        <f>8019.8*12</f>
        <v>96237.6</v>
      </c>
      <c r="G16" s="423">
        <v>558833.35679999995</v>
      </c>
      <c r="H16" s="423"/>
      <c r="I16" s="423">
        <f t="shared" si="1"/>
        <v>3223722.0432000002</v>
      </c>
      <c r="J16" s="423">
        <v>200000</v>
      </c>
      <c r="K16" s="423">
        <v>0.2</v>
      </c>
      <c r="L16" s="423">
        <f t="shared" si="2"/>
        <v>644744.40864000004</v>
      </c>
      <c r="M16" s="423">
        <f t="shared" si="3"/>
        <v>844744.40864000004</v>
      </c>
      <c r="N16" s="423">
        <f t="shared" si="4"/>
        <v>1499815.3654400001</v>
      </c>
      <c r="O16" s="423">
        <f t="shared" si="5"/>
        <v>2378977.6345600002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163585.3032576</v>
      </c>
      <c r="U16" s="423"/>
      <c r="V16" s="423">
        <f t="shared" si="11"/>
        <v>387585.3032576</v>
      </c>
      <c r="W16" s="430">
        <v>12</v>
      </c>
      <c r="X16" s="423">
        <f t="shared" si="12"/>
        <v>32298.7752714667</v>
      </c>
      <c r="Y16" s="423"/>
      <c r="Z16" s="423">
        <f t="shared" si="13"/>
        <v>32298.7752714667</v>
      </c>
      <c r="AA16" s="435"/>
    </row>
    <row r="17" spans="1:27" ht="15">
      <c r="A17" s="704">
        <v>13</v>
      </c>
      <c r="B17" s="704" t="s">
        <v>433</v>
      </c>
      <c r="C17" s="709">
        <v>180487.25000000099</v>
      </c>
      <c r="D17" s="422">
        <v>12</v>
      </c>
      <c r="E17" s="423">
        <f t="shared" si="0"/>
        <v>2165847.0000000098</v>
      </c>
      <c r="F17" s="423"/>
      <c r="G17" s="423">
        <v>374638.9632</v>
      </c>
      <c r="H17" s="423"/>
      <c r="I17" s="423">
        <f t="shared" si="1"/>
        <v>1791208.0368000099</v>
      </c>
      <c r="J17" s="423">
        <v>200000</v>
      </c>
      <c r="K17" s="423">
        <v>0.2</v>
      </c>
      <c r="L17" s="423">
        <f t="shared" si="2"/>
        <v>358241.607360002</v>
      </c>
      <c r="M17" s="423">
        <f t="shared" si="3"/>
        <v>558241.607360002</v>
      </c>
      <c r="N17" s="423">
        <f t="shared" si="4"/>
        <v>932880.570560002</v>
      </c>
      <c r="O17" s="423">
        <f t="shared" si="5"/>
        <v>1232966.4294400101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25263.6215936019</v>
      </c>
      <c r="T17" s="423">
        <f t="shared" si="10"/>
        <v>0</v>
      </c>
      <c r="U17" s="423"/>
      <c r="V17" s="423">
        <f t="shared" si="11"/>
        <v>154263.621593602</v>
      </c>
      <c r="W17" s="430">
        <v>12</v>
      </c>
      <c r="X17" s="423">
        <f t="shared" si="12"/>
        <v>12855.301799466801</v>
      </c>
      <c r="Y17" s="423"/>
      <c r="Z17" s="423">
        <f t="shared" si="13"/>
        <v>12855.301799466801</v>
      </c>
      <c r="AA17" s="435"/>
    </row>
    <row r="18" spans="1:27" ht="15">
      <c r="A18" s="704">
        <v>14</v>
      </c>
      <c r="B18" s="704" t="s">
        <v>434</v>
      </c>
      <c r="C18" s="709">
        <v>676611.66666665999</v>
      </c>
      <c r="D18" s="422">
        <v>12</v>
      </c>
      <c r="E18" s="423">
        <f t="shared" si="0"/>
        <v>8119339.9999999199</v>
      </c>
      <c r="F18" s="423"/>
      <c r="G18" s="423">
        <v>425036.64</v>
      </c>
      <c r="H18" s="423"/>
      <c r="I18" s="423">
        <f t="shared" si="1"/>
        <v>7694303.3599999202</v>
      </c>
      <c r="J18" s="423">
        <v>200000</v>
      </c>
      <c r="K18" s="423">
        <v>0.2</v>
      </c>
      <c r="L18" s="423">
        <f t="shared" si="2"/>
        <v>1538860.67199998</v>
      </c>
      <c r="M18" s="423">
        <f t="shared" si="3"/>
        <v>1738860.67199998</v>
      </c>
      <c r="N18" s="423">
        <f t="shared" si="4"/>
        <v>2163897.3119999799</v>
      </c>
      <c r="O18" s="423">
        <f t="shared" si="5"/>
        <v>5955442.6879999395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336000</v>
      </c>
      <c r="U18" s="423">
        <f>24%*(O18-3200000)</f>
        <v>661306.24511998496</v>
      </c>
      <c r="V18" s="423">
        <f t="shared" si="11"/>
        <v>1221306.2451199801</v>
      </c>
      <c r="W18" s="430">
        <v>12</v>
      </c>
      <c r="X18" s="423">
        <f t="shared" si="12"/>
        <v>101775.520426665</v>
      </c>
      <c r="Y18" s="423"/>
      <c r="Z18" s="423">
        <f t="shared" si="13"/>
        <v>101775.520426665</v>
      </c>
      <c r="AA18" s="435"/>
    </row>
    <row r="19" spans="1:27" ht="15">
      <c r="A19" s="704">
        <v>15</v>
      </c>
      <c r="B19" s="704" t="s">
        <v>487</v>
      </c>
      <c r="C19" s="709">
        <v>575119.91666666104</v>
      </c>
      <c r="D19" s="422">
        <v>12</v>
      </c>
      <c r="E19" s="423">
        <f t="shared" si="0"/>
        <v>6901438.9999999302</v>
      </c>
      <c r="F19" s="423"/>
      <c r="G19" s="423">
        <v>425036.64</v>
      </c>
      <c r="H19" s="423"/>
      <c r="I19" s="423">
        <f t="shared" si="1"/>
        <v>6476402.3599999296</v>
      </c>
      <c r="J19" s="423">
        <v>200000</v>
      </c>
      <c r="K19" s="423">
        <v>0.2</v>
      </c>
      <c r="L19" s="423">
        <f t="shared" si="2"/>
        <v>1295280.4719999901</v>
      </c>
      <c r="M19" s="423">
        <f t="shared" si="3"/>
        <v>1495280.4719999901</v>
      </c>
      <c r="N19" s="423">
        <f t="shared" si="4"/>
        <v>1920317.11199999</v>
      </c>
      <c r="O19" s="423">
        <f t="shared" si="5"/>
        <v>4981121.88799995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336000</v>
      </c>
      <c r="U19" s="423">
        <f>24%*(O19-3200000)</f>
        <v>427469.25311998703</v>
      </c>
      <c r="V19" s="423">
        <f t="shared" si="11"/>
        <v>987469.25311998697</v>
      </c>
      <c r="W19" s="430">
        <v>12</v>
      </c>
      <c r="X19" s="423">
        <f t="shared" si="12"/>
        <v>82289.104426665595</v>
      </c>
      <c r="Y19" s="423"/>
      <c r="Z19" s="423">
        <f t="shared" si="13"/>
        <v>82289.104426665595</v>
      </c>
      <c r="AA19" s="435"/>
    </row>
    <row r="20" spans="1:27" ht="15">
      <c r="A20" s="704">
        <v>16</v>
      </c>
      <c r="B20" s="704" t="s">
        <v>438</v>
      </c>
      <c r="C20" s="709">
        <v>401499</v>
      </c>
      <c r="D20" s="422">
        <v>12</v>
      </c>
      <c r="E20" s="423">
        <f t="shared" si="0"/>
        <v>4817988</v>
      </c>
      <c r="F20" s="423"/>
      <c r="G20" s="423">
        <v>339372</v>
      </c>
      <c r="H20" s="423"/>
      <c r="I20" s="423">
        <f t="shared" si="1"/>
        <v>4478616</v>
      </c>
      <c r="J20" s="423">
        <v>200000</v>
      </c>
      <c r="K20" s="423">
        <v>0.2</v>
      </c>
      <c r="L20" s="423">
        <f t="shared" si="2"/>
        <v>895723.2</v>
      </c>
      <c r="M20" s="423">
        <f t="shared" si="3"/>
        <v>1095723.2</v>
      </c>
      <c r="N20" s="423">
        <f t="shared" si="4"/>
        <v>1435095.2</v>
      </c>
      <c r="O20" s="423">
        <f t="shared" si="5"/>
        <v>3382892.8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336000</v>
      </c>
      <c r="U20" s="423">
        <f>24%*(O20-3200000)</f>
        <v>43894.271999999997</v>
      </c>
      <c r="V20" s="423">
        <f t="shared" si="11"/>
        <v>603894.272</v>
      </c>
      <c r="W20" s="430">
        <v>12</v>
      </c>
      <c r="X20" s="423">
        <f t="shared" si="12"/>
        <v>50324.5226666667</v>
      </c>
      <c r="Y20" s="423"/>
      <c r="Z20" s="423">
        <f t="shared" si="13"/>
        <v>50324.5226666667</v>
      </c>
      <c r="AA20" s="435"/>
    </row>
    <row r="21" spans="1:27" ht="15">
      <c r="A21" s="704">
        <v>17</v>
      </c>
      <c r="B21" s="704" t="s">
        <v>439</v>
      </c>
      <c r="C21" s="709">
        <v>655332</v>
      </c>
      <c r="D21" s="422">
        <v>12</v>
      </c>
      <c r="E21" s="423">
        <f t="shared" si="0"/>
        <v>7863984</v>
      </c>
      <c r="F21" s="423"/>
      <c r="G21" s="423">
        <v>339372</v>
      </c>
      <c r="H21" s="423"/>
      <c r="I21" s="423">
        <f t="shared" si="1"/>
        <v>7524612</v>
      </c>
      <c r="J21" s="423">
        <v>200000</v>
      </c>
      <c r="K21" s="423">
        <v>0.2</v>
      </c>
      <c r="L21" s="423">
        <f t="shared" si="2"/>
        <v>1504922.4</v>
      </c>
      <c r="M21" s="423">
        <f t="shared" si="3"/>
        <v>1704922.4</v>
      </c>
      <c r="N21" s="423">
        <f t="shared" si="4"/>
        <v>2044294.4</v>
      </c>
      <c r="O21" s="423">
        <f t="shared" si="5"/>
        <v>5819689.5999999996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336000</v>
      </c>
      <c r="U21" s="423">
        <f>24%*(O21-3200000)</f>
        <v>628725.50399999996</v>
      </c>
      <c r="V21" s="423">
        <f t="shared" si="11"/>
        <v>1188725.504</v>
      </c>
      <c r="W21" s="430">
        <v>12</v>
      </c>
      <c r="X21" s="423">
        <f t="shared" si="12"/>
        <v>99060.4586666666</v>
      </c>
      <c r="Y21" s="423"/>
      <c r="Z21" s="423">
        <f t="shared" si="13"/>
        <v>99060.4586666666</v>
      </c>
      <c r="AA21" s="435"/>
    </row>
    <row r="22" spans="1:27" ht="15">
      <c r="A22" s="704">
        <v>18</v>
      </c>
      <c r="B22" s="704" t="s">
        <v>488</v>
      </c>
      <c r="C22" s="709">
        <v>176519</v>
      </c>
      <c r="D22" s="422">
        <v>12</v>
      </c>
      <c r="E22" s="423">
        <f t="shared" si="0"/>
        <v>2118228</v>
      </c>
      <c r="F22" s="423"/>
      <c r="G22" s="423">
        <v>245615.04</v>
      </c>
      <c r="H22" s="423"/>
      <c r="I22" s="423">
        <f t="shared" si="1"/>
        <v>1872612.96</v>
      </c>
      <c r="J22" s="423">
        <v>200000</v>
      </c>
      <c r="K22" s="423">
        <v>0.2</v>
      </c>
      <c r="L22" s="423">
        <f t="shared" si="2"/>
        <v>374522.592</v>
      </c>
      <c r="M22" s="423">
        <f t="shared" si="3"/>
        <v>574522.59199999995</v>
      </c>
      <c r="N22" s="423">
        <f t="shared" si="4"/>
        <v>820137.63199999998</v>
      </c>
      <c r="O22" s="423">
        <f t="shared" si="5"/>
        <v>1298090.368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37637.16992</v>
      </c>
      <c r="T22" s="423">
        <f t="shared" si="10"/>
        <v>0</v>
      </c>
      <c r="U22" s="423"/>
      <c r="V22" s="423">
        <f t="shared" si="11"/>
        <v>166637.16991999999</v>
      </c>
      <c r="W22" s="430">
        <v>12</v>
      </c>
      <c r="X22" s="423">
        <f t="shared" si="12"/>
        <v>13886.430826666699</v>
      </c>
      <c r="Y22" s="423"/>
      <c r="Z22" s="423">
        <f t="shared" si="13"/>
        <v>13886.430826666699</v>
      </c>
      <c r="AA22" s="435"/>
    </row>
    <row r="23" spans="1:27" ht="15">
      <c r="A23" s="704">
        <v>19</v>
      </c>
      <c r="B23" s="704" t="s">
        <v>441</v>
      </c>
      <c r="C23" s="709">
        <v>86887.25</v>
      </c>
      <c r="D23" s="422">
        <v>12</v>
      </c>
      <c r="E23" s="423">
        <f t="shared" si="0"/>
        <v>1042647</v>
      </c>
      <c r="F23" s="423"/>
      <c r="G23" s="423">
        <v>146701.60320000001</v>
      </c>
      <c r="H23" s="423"/>
      <c r="I23" s="423">
        <f t="shared" si="1"/>
        <v>895945.39679999999</v>
      </c>
      <c r="J23" s="423">
        <v>200000</v>
      </c>
      <c r="K23" s="423">
        <v>0.2</v>
      </c>
      <c r="L23" s="423">
        <f t="shared" si="2"/>
        <v>179189.07936</v>
      </c>
      <c r="M23" s="423">
        <f t="shared" si="3"/>
        <v>379189.07935999997</v>
      </c>
      <c r="N23" s="423">
        <f t="shared" si="4"/>
        <v>525890.68255999999</v>
      </c>
      <c r="O23" s="423">
        <f t="shared" si="5"/>
        <v>516756.31744000001</v>
      </c>
      <c r="P23" s="423">
        <f t="shared" si="6"/>
        <v>21000</v>
      </c>
      <c r="Q23" s="423">
        <f t="shared" si="7"/>
        <v>23843.1949184</v>
      </c>
      <c r="R23" s="423">
        <f t="shared" si="8"/>
        <v>0</v>
      </c>
      <c r="S23" s="423">
        <f t="shared" si="9"/>
        <v>0</v>
      </c>
      <c r="T23" s="423">
        <f t="shared" si="10"/>
        <v>0</v>
      </c>
      <c r="U23" s="423"/>
      <c r="V23" s="423">
        <f t="shared" si="11"/>
        <v>44843.194918399997</v>
      </c>
      <c r="W23" s="430">
        <v>12</v>
      </c>
      <c r="X23" s="423">
        <f t="shared" si="12"/>
        <v>3736.9329098666699</v>
      </c>
      <c r="Y23" s="423"/>
      <c r="Z23" s="423">
        <f t="shared" si="13"/>
        <v>3736.9329098666699</v>
      </c>
      <c r="AA23" s="435"/>
    </row>
    <row r="24" spans="1:27" ht="15">
      <c r="A24" s="704">
        <v>20</v>
      </c>
      <c r="B24" s="704" t="s">
        <v>206</v>
      </c>
      <c r="C24" s="709">
        <v>180487.25000000099</v>
      </c>
      <c r="D24" s="422">
        <v>12</v>
      </c>
      <c r="E24" s="423">
        <f t="shared" si="0"/>
        <v>2165847.0000000098</v>
      </c>
      <c r="F24" s="423">
        <f>6922.5*12</f>
        <v>83070</v>
      </c>
      <c r="G24" s="423">
        <v>374638.9632</v>
      </c>
      <c r="H24" s="423"/>
      <c r="I24" s="423">
        <f t="shared" si="1"/>
        <v>1708138.0368000099</v>
      </c>
      <c r="J24" s="423">
        <v>200000</v>
      </c>
      <c r="K24" s="423">
        <v>0.2</v>
      </c>
      <c r="L24" s="423">
        <f t="shared" si="2"/>
        <v>341627.607360002</v>
      </c>
      <c r="M24" s="423">
        <f t="shared" si="3"/>
        <v>541627.607360002</v>
      </c>
      <c r="N24" s="423">
        <f t="shared" si="4"/>
        <v>999336.570560002</v>
      </c>
      <c r="O24" s="423">
        <f t="shared" si="5"/>
        <v>1166510.4294400101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12636.9815936019</v>
      </c>
      <c r="T24" s="423">
        <f t="shared" si="10"/>
        <v>0</v>
      </c>
      <c r="U24" s="423"/>
      <c r="V24" s="423">
        <f t="shared" si="11"/>
        <v>141636.98159360199</v>
      </c>
      <c r="W24" s="430">
        <v>12</v>
      </c>
      <c r="X24" s="423">
        <f t="shared" si="12"/>
        <v>11803.0817994668</v>
      </c>
      <c r="Y24" s="423"/>
      <c r="Z24" s="423">
        <f t="shared" si="13"/>
        <v>11803.0817994668</v>
      </c>
      <c r="AA24" s="435"/>
    </row>
    <row r="25" spans="1:27">
      <c r="F25" s="455"/>
      <c r="Z25" s="570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798" t="s">
        <v>0</v>
      </c>
      <c r="B1" s="798"/>
      <c r="C1" s="798"/>
      <c r="D1" s="798"/>
      <c r="E1" s="798"/>
      <c r="F1" s="798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2" t="s">
        <v>489</v>
      </c>
      <c r="B2" s="717"/>
      <c r="C2" s="562"/>
      <c r="D2" s="562"/>
      <c r="E2" s="330"/>
      <c r="F2" s="330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0"/>
      <c r="B4" s="681" t="s">
        <v>2</v>
      </c>
      <c r="C4" s="682" t="s">
        <v>3</v>
      </c>
      <c r="D4" s="683" t="s">
        <v>4</v>
      </c>
      <c r="E4" s="684" t="s">
        <v>5</v>
      </c>
      <c r="F4" s="684" t="s">
        <v>6</v>
      </c>
      <c r="G4" s="684" t="s">
        <v>7</v>
      </c>
      <c r="H4" s="684" t="s">
        <v>7</v>
      </c>
      <c r="I4" s="684" t="s">
        <v>8</v>
      </c>
      <c r="J4" s="692" t="s">
        <v>9</v>
      </c>
      <c r="K4" s="684" t="s">
        <v>10</v>
      </c>
      <c r="L4" s="684" t="s">
        <v>11</v>
      </c>
      <c r="M4" s="684" t="s">
        <v>12</v>
      </c>
      <c r="N4" s="684" t="s">
        <v>13</v>
      </c>
      <c r="O4" s="693" t="s">
        <v>14</v>
      </c>
      <c r="P4" s="684" t="s">
        <v>15</v>
      </c>
      <c r="Q4" s="695" t="s">
        <v>16</v>
      </c>
      <c r="R4" s="696" t="s">
        <v>490</v>
      </c>
      <c r="S4" s="697" t="s">
        <v>17</v>
      </c>
    </row>
    <row r="5" spans="1:20">
      <c r="A5" s="677"/>
      <c r="B5" s="677"/>
      <c r="C5" s="718"/>
      <c r="D5" s="718"/>
      <c r="E5" s="719" t="s">
        <v>19</v>
      </c>
      <c r="F5" s="719" t="s">
        <v>19</v>
      </c>
      <c r="G5" s="719" t="s">
        <v>19</v>
      </c>
      <c r="H5" s="719" t="s">
        <v>19</v>
      </c>
      <c r="I5" s="719" t="s">
        <v>19</v>
      </c>
      <c r="J5" s="727" t="s">
        <v>19</v>
      </c>
      <c r="K5" s="719" t="s">
        <v>19</v>
      </c>
      <c r="L5" s="719" t="s">
        <v>19</v>
      </c>
      <c r="M5" s="719" t="s">
        <v>19</v>
      </c>
      <c r="N5" s="719" t="s">
        <v>19</v>
      </c>
      <c r="O5" s="719" t="s">
        <v>19</v>
      </c>
      <c r="P5" s="719" t="s">
        <v>19</v>
      </c>
      <c r="Q5" s="728" t="s">
        <v>19</v>
      </c>
      <c r="R5" s="719" t="s">
        <v>19</v>
      </c>
      <c r="S5" s="727" t="s">
        <v>19</v>
      </c>
    </row>
    <row r="6" spans="1:20">
      <c r="A6" s="720" t="s">
        <v>20</v>
      </c>
      <c r="B6" s="718" t="s">
        <v>21</v>
      </c>
      <c r="C6" s="718"/>
      <c r="D6" s="718"/>
      <c r="E6" s="719"/>
      <c r="F6" s="721"/>
      <c r="G6" s="719"/>
      <c r="H6" s="719"/>
      <c r="I6" s="719"/>
      <c r="J6" s="727"/>
      <c r="K6" s="719"/>
      <c r="L6" s="719"/>
      <c r="M6" s="719"/>
      <c r="N6" s="719"/>
      <c r="O6" s="719"/>
      <c r="P6" s="719"/>
      <c r="Q6" s="728"/>
      <c r="R6" s="719"/>
      <c r="S6" s="727"/>
    </row>
    <row r="7" spans="1:20" s="716" customFormat="1" ht="27" customHeight="1">
      <c r="A7" s="687">
        <v>2</v>
      </c>
      <c r="B7" s="722" t="s">
        <v>491</v>
      </c>
      <c r="C7" s="723" t="s">
        <v>44</v>
      </c>
      <c r="D7" s="687" t="s">
        <v>36</v>
      </c>
      <c r="E7" s="689">
        <v>620675.58333333302</v>
      </c>
      <c r="F7" s="689"/>
      <c r="G7" s="690">
        <f>160000</f>
        <v>160000</v>
      </c>
      <c r="H7" s="690"/>
      <c r="I7" s="689">
        <v>0</v>
      </c>
      <c r="J7" s="694">
        <f>SUM(E7:I7)</f>
        <v>780675.58333333302</v>
      </c>
      <c r="K7" s="689"/>
      <c r="L7" s="689">
        <f>50000</f>
        <v>50000</v>
      </c>
      <c r="M7" s="689">
        <f>385000</f>
        <v>385000</v>
      </c>
      <c r="N7" s="689"/>
      <c r="O7" s="689">
        <v>119022.801706667</v>
      </c>
      <c r="P7" s="689">
        <v>49654.046666666698</v>
      </c>
      <c r="Q7" s="698">
        <f>O7+N7+M7+L7+K7+P7</f>
        <v>603676.84837333404</v>
      </c>
      <c r="R7" s="689">
        <v>176998.73496</v>
      </c>
      <c r="S7" s="694">
        <f>J7-Q7</f>
        <v>176998.73495999901</v>
      </c>
      <c r="T7" s="699"/>
    </row>
    <row r="8" spans="1:20" s="716" customFormat="1" ht="30" customHeight="1">
      <c r="A8" s="687">
        <v>3</v>
      </c>
      <c r="B8" s="724" t="s">
        <v>487</v>
      </c>
      <c r="C8" s="725" t="s">
        <v>167</v>
      </c>
      <c r="D8" s="726" t="s">
        <v>52</v>
      </c>
      <c r="E8" s="689">
        <v>428915.91666666698</v>
      </c>
      <c r="F8" s="689">
        <v>0</v>
      </c>
      <c r="G8" s="690">
        <f>120000</f>
        <v>120000</v>
      </c>
      <c r="H8" s="690"/>
      <c r="I8" s="689">
        <v>0</v>
      </c>
      <c r="J8" s="694">
        <f>SUM(E8:I8)</f>
        <v>548915.91666666698</v>
      </c>
      <c r="K8" s="689"/>
      <c r="L8" s="689">
        <f>20000+65000+65000</f>
        <v>150000</v>
      </c>
      <c r="M8" s="689">
        <v>0</v>
      </c>
      <c r="N8" s="689">
        <v>0</v>
      </c>
      <c r="O8" s="689">
        <v>77470.374186666697</v>
      </c>
      <c r="P8" s="689">
        <v>34313.273333333302</v>
      </c>
      <c r="Q8" s="698">
        <f>O8+N8+M8+L8+K8+P8</f>
        <v>261783.64752</v>
      </c>
      <c r="R8" s="689">
        <v>287132.26914666698</v>
      </c>
      <c r="S8" s="694">
        <f>J8-Q8</f>
        <v>287132.26914666698</v>
      </c>
      <c r="T8" s="699"/>
    </row>
    <row r="9" spans="1:20" ht="18.75">
      <c r="A9" s="8"/>
      <c r="B9" s="18" t="s">
        <v>96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794"/>
      <c r="B1" s="794"/>
      <c r="C1" s="794"/>
      <c r="D1" s="794"/>
      <c r="E1" s="794"/>
      <c r="F1" s="794"/>
      <c r="G1" s="794"/>
      <c r="H1" s="794"/>
      <c r="I1" s="794"/>
      <c r="J1" s="794"/>
    </row>
    <row r="2" spans="1:10" ht="20.25">
      <c r="A2" s="794"/>
      <c r="B2" s="794"/>
      <c r="C2" s="794"/>
      <c r="D2" s="794"/>
      <c r="E2" s="794"/>
      <c r="F2" s="794"/>
      <c r="G2" s="794"/>
      <c r="H2" s="794"/>
      <c r="I2" s="794"/>
      <c r="J2" s="794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18" workbookViewId="0">
      <selection activeCell="G6" sqref="G6:G25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794" t="s">
        <v>393</v>
      </c>
      <c r="B1" s="794"/>
      <c r="C1" s="794"/>
      <c r="D1" s="794"/>
      <c r="E1" s="794"/>
      <c r="F1" s="794"/>
      <c r="G1" s="794"/>
    </row>
    <row r="2" spans="1:8" ht="20.25">
      <c r="A2" s="794" t="s">
        <v>394</v>
      </c>
      <c r="B2" s="794"/>
      <c r="C2" s="794"/>
      <c r="D2" s="794"/>
      <c r="E2" s="794"/>
      <c r="F2" s="794"/>
      <c r="G2" s="794"/>
    </row>
    <row r="3" spans="1:8" ht="14.25">
      <c r="A3" s="700"/>
      <c r="B3" s="700"/>
      <c r="C3" s="700"/>
      <c r="D3" s="700"/>
      <c r="E3" s="700"/>
      <c r="F3" s="700"/>
      <c r="G3" s="700"/>
    </row>
    <row r="4" spans="1:8" ht="90.95" customHeight="1">
      <c r="A4" s="701" t="s">
        <v>395</v>
      </c>
      <c r="B4" s="701" t="s">
        <v>396</v>
      </c>
      <c r="C4" s="701" t="s">
        <v>397</v>
      </c>
      <c r="D4" s="701" t="s">
        <v>399</v>
      </c>
      <c r="E4" s="701" t="s">
        <v>492</v>
      </c>
      <c r="F4" s="701" t="s">
        <v>493</v>
      </c>
      <c r="G4" s="702" t="s">
        <v>494</v>
      </c>
      <c r="H4" s="702" t="s">
        <v>495</v>
      </c>
    </row>
    <row r="5" spans="1:8" ht="14.25">
      <c r="A5" s="701"/>
      <c r="B5" s="701"/>
      <c r="C5" s="701"/>
      <c r="D5" s="701"/>
      <c r="E5" s="701"/>
      <c r="F5" s="703" t="s">
        <v>19</v>
      </c>
      <c r="G5" s="703" t="s">
        <v>19</v>
      </c>
      <c r="H5" s="703" t="s">
        <v>19</v>
      </c>
    </row>
    <row r="6" spans="1:8" ht="35.1" customHeight="1">
      <c r="A6" s="704">
        <v>1</v>
      </c>
      <c r="B6" s="705" t="s">
        <v>405</v>
      </c>
      <c r="C6" s="706" t="s">
        <v>406</v>
      </c>
      <c r="D6" s="773" t="s">
        <v>408</v>
      </c>
      <c r="E6" s="708">
        <f>F6*12</f>
        <v>6985416.96</v>
      </c>
      <c r="F6" s="709">
        <f>582118.08</f>
        <v>582118.07999999996</v>
      </c>
      <c r="G6" s="710">
        <f>F6*0.08</f>
        <v>46569.446400000001</v>
      </c>
      <c r="H6" s="711">
        <f>G6*12</f>
        <v>558833.35679999995</v>
      </c>
    </row>
    <row r="7" spans="1:8" ht="35.1" customHeight="1">
      <c r="A7" s="704">
        <v>2</v>
      </c>
      <c r="B7" s="704" t="s">
        <v>409</v>
      </c>
      <c r="C7" s="712" t="s">
        <v>406</v>
      </c>
      <c r="D7" s="773" t="s">
        <v>411</v>
      </c>
      <c r="E7" s="708">
        <f t="shared" ref="E7:E25" si="0">F7*12</f>
        <v>6985416.96</v>
      </c>
      <c r="F7" s="709">
        <f>582118.08</f>
        <v>582118.07999999996</v>
      </c>
      <c r="G7" s="710">
        <f t="shared" ref="G7:G25" si="1">F7*0.08</f>
        <v>46569.446400000001</v>
      </c>
      <c r="H7" s="711">
        <f t="shared" ref="H7:H25" si="2">G7*12</f>
        <v>558833.35679999995</v>
      </c>
    </row>
    <row r="8" spans="1:8" ht="35.1" customHeight="1">
      <c r="A8" s="704">
        <v>3</v>
      </c>
      <c r="B8" s="704" t="s">
        <v>412</v>
      </c>
      <c r="C8" s="712" t="s">
        <v>406</v>
      </c>
      <c r="D8" s="773" t="s">
        <v>411</v>
      </c>
      <c r="E8" s="708">
        <f t="shared" si="0"/>
        <v>6985416.96</v>
      </c>
      <c r="F8" s="709">
        <f>582118.08</f>
        <v>582118.07999999996</v>
      </c>
      <c r="G8" s="710">
        <f t="shared" si="1"/>
        <v>46569.446400000001</v>
      </c>
      <c r="H8" s="711">
        <f t="shared" si="2"/>
        <v>558833.35679999995</v>
      </c>
    </row>
    <row r="9" spans="1:8" ht="35.1" customHeight="1">
      <c r="A9" s="704">
        <v>4</v>
      </c>
      <c r="B9" s="704" t="s">
        <v>414</v>
      </c>
      <c r="C9" s="712" t="s">
        <v>406</v>
      </c>
      <c r="D9" s="773" t="s">
        <v>411</v>
      </c>
      <c r="E9" s="708">
        <f t="shared" si="0"/>
        <v>6985416.96</v>
      </c>
      <c r="F9" s="709">
        <f>582118.08</f>
        <v>582118.07999999996</v>
      </c>
      <c r="G9" s="710">
        <f t="shared" si="1"/>
        <v>46569.446400000001</v>
      </c>
      <c r="H9" s="711">
        <f t="shared" si="2"/>
        <v>558833.35679999995</v>
      </c>
    </row>
    <row r="10" spans="1:8" ht="35.1" customHeight="1">
      <c r="A10" s="704">
        <v>5</v>
      </c>
      <c r="B10" s="704" t="s">
        <v>416</v>
      </c>
      <c r="C10" s="712" t="s">
        <v>415</v>
      </c>
      <c r="D10" s="773" t="s">
        <v>418</v>
      </c>
      <c r="E10" s="708">
        <f t="shared" si="0"/>
        <v>1833770.04</v>
      </c>
      <c r="F10" s="713">
        <f>152814.17</f>
        <v>152814.17000000001</v>
      </c>
      <c r="G10" s="710">
        <f t="shared" si="1"/>
        <v>12225.133599999999</v>
      </c>
      <c r="H10" s="711">
        <f t="shared" si="2"/>
        <v>146701.60320000001</v>
      </c>
    </row>
    <row r="11" spans="1:8" ht="35.1" customHeight="1">
      <c r="A11" s="704">
        <v>6</v>
      </c>
      <c r="B11" s="704" t="s">
        <v>276</v>
      </c>
      <c r="C11" s="712" t="s">
        <v>415</v>
      </c>
      <c r="D11" s="773" t="s">
        <v>421</v>
      </c>
      <c r="E11" s="708">
        <f t="shared" si="0"/>
        <v>3070188</v>
      </c>
      <c r="F11" s="713">
        <f>255849</f>
        <v>255849</v>
      </c>
      <c r="G11" s="710">
        <f t="shared" si="1"/>
        <v>20467.919999999998</v>
      </c>
      <c r="H11" s="711">
        <f t="shared" si="2"/>
        <v>245615.04</v>
      </c>
    </row>
    <row r="12" spans="1:8" ht="35.1" customHeight="1">
      <c r="A12" s="704">
        <v>7</v>
      </c>
      <c r="B12" s="704" t="s">
        <v>422</v>
      </c>
      <c r="C12" s="712" t="s">
        <v>415</v>
      </c>
      <c r="D12" s="773" t="s">
        <v>424</v>
      </c>
      <c r="E12" s="708">
        <f t="shared" si="0"/>
        <v>4242150</v>
      </c>
      <c r="F12" s="709">
        <f>353512.5</f>
        <v>353512.5</v>
      </c>
      <c r="G12" s="710">
        <f t="shared" si="1"/>
        <v>28281</v>
      </c>
      <c r="H12" s="711">
        <f t="shared" si="2"/>
        <v>339372</v>
      </c>
    </row>
    <row r="13" spans="1:8" ht="35.1" customHeight="1">
      <c r="A13" s="704">
        <v>8</v>
      </c>
      <c r="B13" s="704" t="s">
        <v>425</v>
      </c>
      <c r="C13" s="712" t="s">
        <v>415</v>
      </c>
      <c r="D13" s="773" t="s">
        <v>424</v>
      </c>
      <c r="E13" s="708">
        <f t="shared" si="0"/>
        <v>4242150</v>
      </c>
      <c r="F13" s="709">
        <f>353512.5</f>
        <v>353512.5</v>
      </c>
      <c r="G13" s="710">
        <f t="shared" si="1"/>
        <v>28281</v>
      </c>
      <c r="H13" s="711">
        <f t="shared" si="2"/>
        <v>339372</v>
      </c>
    </row>
    <row r="14" spans="1:8" ht="35.1" customHeight="1">
      <c r="A14" s="704">
        <v>9</v>
      </c>
      <c r="B14" s="712" t="s">
        <v>427</v>
      </c>
      <c r="C14" s="712" t="s">
        <v>415</v>
      </c>
      <c r="D14" s="773" t="s">
        <v>429</v>
      </c>
      <c r="E14" s="708">
        <f t="shared" si="0"/>
        <v>4682987.04</v>
      </c>
      <c r="F14" s="709">
        <f>390248.92</f>
        <v>390248.92</v>
      </c>
      <c r="G14" s="710">
        <f t="shared" si="1"/>
        <v>31219.9136</v>
      </c>
      <c r="H14" s="711">
        <f t="shared" si="2"/>
        <v>374638.9632</v>
      </c>
    </row>
    <row r="15" spans="1:8" ht="35.1" customHeight="1">
      <c r="A15" s="704">
        <v>10</v>
      </c>
      <c r="B15" s="704" t="s">
        <v>430</v>
      </c>
      <c r="C15" s="712" t="s">
        <v>415</v>
      </c>
      <c r="D15" s="773" t="s">
        <v>429</v>
      </c>
      <c r="E15" s="708">
        <f t="shared" si="0"/>
        <v>4682987.04</v>
      </c>
      <c r="F15" s="709">
        <f>390248.92</f>
        <v>390248.92</v>
      </c>
      <c r="G15" s="710">
        <f t="shared" si="1"/>
        <v>31219.9136</v>
      </c>
      <c r="H15" s="711">
        <f t="shared" si="2"/>
        <v>374638.9632</v>
      </c>
    </row>
    <row r="16" spans="1:8" ht="35.1" customHeight="1">
      <c r="A16" s="704">
        <v>11</v>
      </c>
      <c r="B16" s="704" t="s">
        <v>431</v>
      </c>
      <c r="C16" s="712" t="s">
        <v>432</v>
      </c>
      <c r="D16" s="773" t="s">
        <v>411</v>
      </c>
      <c r="E16" s="708">
        <f t="shared" si="0"/>
        <v>6985416.96</v>
      </c>
      <c r="F16" s="709">
        <v>582118.07999999996</v>
      </c>
      <c r="G16" s="710">
        <f t="shared" si="1"/>
        <v>46569.446400000001</v>
      </c>
      <c r="H16" s="711">
        <f t="shared" si="2"/>
        <v>558833.35679999995</v>
      </c>
    </row>
    <row r="17" spans="1:8" ht="35.1" customHeight="1">
      <c r="A17" s="704">
        <v>12</v>
      </c>
      <c r="B17" s="704" t="s">
        <v>243</v>
      </c>
      <c r="C17" s="712" t="s">
        <v>432</v>
      </c>
      <c r="D17" s="773" t="s">
        <v>411</v>
      </c>
      <c r="E17" s="708">
        <f t="shared" si="0"/>
        <v>6985416.96</v>
      </c>
      <c r="F17" s="709">
        <v>582118.07999999996</v>
      </c>
      <c r="G17" s="710">
        <f t="shared" si="1"/>
        <v>46569.446400000001</v>
      </c>
      <c r="H17" s="711">
        <f t="shared" si="2"/>
        <v>558833.35679999995</v>
      </c>
    </row>
    <row r="18" spans="1:8" ht="35.1" customHeight="1">
      <c r="A18" s="704">
        <v>13</v>
      </c>
      <c r="B18" s="704" t="s">
        <v>433</v>
      </c>
      <c r="C18" s="712" t="s">
        <v>432</v>
      </c>
      <c r="D18" s="773" t="s">
        <v>429</v>
      </c>
      <c r="E18" s="708">
        <f t="shared" si="0"/>
        <v>4682987.04</v>
      </c>
      <c r="F18" s="709">
        <v>390248.92</v>
      </c>
      <c r="G18" s="710">
        <f t="shared" si="1"/>
        <v>31219.9136</v>
      </c>
      <c r="H18" s="711">
        <f t="shared" si="2"/>
        <v>374638.9632</v>
      </c>
    </row>
    <row r="19" spans="1:8" ht="35.1" customHeight="1">
      <c r="A19" s="704">
        <v>14</v>
      </c>
      <c r="B19" s="704" t="s">
        <v>434</v>
      </c>
      <c r="C19" s="712" t="s">
        <v>435</v>
      </c>
      <c r="D19" s="773" t="s">
        <v>437</v>
      </c>
      <c r="E19" s="708">
        <f t="shared" si="0"/>
        <v>5312958</v>
      </c>
      <c r="F19" s="709">
        <f>442746.5</f>
        <v>442746.5</v>
      </c>
      <c r="G19" s="710">
        <f t="shared" si="1"/>
        <v>35419.72</v>
      </c>
      <c r="H19" s="711">
        <f t="shared" si="2"/>
        <v>425036.64</v>
      </c>
    </row>
    <row r="20" spans="1:8" ht="35.1" customHeight="1">
      <c r="A20" s="704">
        <v>15</v>
      </c>
      <c r="B20" s="704" t="s">
        <v>487</v>
      </c>
      <c r="C20" s="712" t="s">
        <v>435</v>
      </c>
      <c r="D20" s="773" t="s">
        <v>437</v>
      </c>
      <c r="E20" s="708">
        <f t="shared" si="0"/>
        <v>5312958</v>
      </c>
      <c r="F20" s="709">
        <f>442746.5</f>
        <v>442746.5</v>
      </c>
      <c r="G20" s="710">
        <f t="shared" si="1"/>
        <v>35419.72</v>
      </c>
      <c r="H20" s="711">
        <f t="shared" si="2"/>
        <v>425036.64</v>
      </c>
    </row>
    <row r="21" spans="1:8" ht="35.1" customHeight="1">
      <c r="A21" s="704">
        <v>16</v>
      </c>
      <c r="B21" s="704" t="s">
        <v>438</v>
      </c>
      <c r="C21" s="712" t="s">
        <v>435</v>
      </c>
      <c r="D21" s="773" t="s">
        <v>424</v>
      </c>
      <c r="E21" s="708">
        <f t="shared" si="0"/>
        <v>4242150</v>
      </c>
      <c r="F21" s="709">
        <v>353512.5</v>
      </c>
      <c r="G21" s="710">
        <f t="shared" si="1"/>
        <v>28281</v>
      </c>
      <c r="H21" s="711">
        <f t="shared" si="2"/>
        <v>339372</v>
      </c>
    </row>
    <row r="22" spans="1:8" ht="35.1" customHeight="1">
      <c r="A22" s="704">
        <v>17</v>
      </c>
      <c r="B22" s="704" t="s">
        <v>439</v>
      </c>
      <c r="C22" s="712" t="s">
        <v>440</v>
      </c>
      <c r="D22" s="773" t="s">
        <v>424</v>
      </c>
      <c r="E22" s="708">
        <f t="shared" si="0"/>
        <v>4242150</v>
      </c>
      <c r="F22" s="709">
        <v>353512.5</v>
      </c>
      <c r="G22" s="710">
        <f t="shared" si="1"/>
        <v>28281</v>
      </c>
      <c r="H22" s="711">
        <f t="shared" si="2"/>
        <v>339372</v>
      </c>
    </row>
    <row r="23" spans="1:8" ht="35.1" customHeight="1">
      <c r="A23" s="704">
        <v>18</v>
      </c>
      <c r="B23" s="704" t="s">
        <v>488</v>
      </c>
      <c r="C23" s="712" t="s">
        <v>496</v>
      </c>
      <c r="D23" s="773" t="s">
        <v>421</v>
      </c>
      <c r="E23" s="708">
        <f t="shared" si="0"/>
        <v>3070188</v>
      </c>
      <c r="F23" s="709">
        <v>255849</v>
      </c>
      <c r="G23" s="710">
        <f t="shared" si="1"/>
        <v>20467.919999999998</v>
      </c>
      <c r="H23" s="711">
        <f t="shared" si="2"/>
        <v>245615.04</v>
      </c>
    </row>
    <row r="24" spans="1:8" ht="35.1" customHeight="1">
      <c r="A24" s="704">
        <v>19</v>
      </c>
      <c r="B24" s="704" t="s">
        <v>441</v>
      </c>
      <c r="C24" s="712" t="s">
        <v>442</v>
      </c>
      <c r="D24" s="773" t="s">
        <v>418</v>
      </c>
      <c r="E24" s="708">
        <f t="shared" si="0"/>
        <v>1833770.04</v>
      </c>
      <c r="F24" s="709">
        <v>152814.17000000001</v>
      </c>
      <c r="G24" s="710">
        <f t="shared" si="1"/>
        <v>12225.133599999999</v>
      </c>
      <c r="H24" s="711">
        <f t="shared" si="2"/>
        <v>146701.60320000001</v>
      </c>
    </row>
    <row r="25" spans="1:8" ht="35.1" customHeight="1">
      <c r="A25" s="704">
        <v>20</v>
      </c>
      <c r="B25" s="704" t="s">
        <v>206</v>
      </c>
      <c r="C25" s="712" t="s">
        <v>444</v>
      </c>
      <c r="D25" s="773" t="s">
        <v>429</v>
      </c>
      <c r="E25" s="708">
        <f t="shared" si="0"/>
        <v>4682987.04</v>
      </c>
      <c r="F25" s="709">
        <v>390248.92</v>
      </c>
      <c r="G25" s="710">
        <f t="shared" si="1"/>
        <v>31219.9136</v>
      </c>
      <c r="H25" s="711">
        <f t="shared" si="2"/>
        <v>374638.9632</v>
      </c>
    </row>
    <row r="26" spans="1:8" ht="35.1" customHeight="1">
      <c r="A26" s="704"/>
      <c r="B26" s="714" t="s">
        <v>96</v>
      </c>
      <c r="C26" s="712"/>
      <c r="D26" s="712"/>
      <c r="E26" s="712"/>
      <c r="F26" s="715"/>
      <c r="G26" s="715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799" t="s">
        <v>0</v>
      </c>
      <c r="B1" s="799"/>
      <c r="C1" s="799"/>
      <c r="D1" s="799"/>
      <c r="E1" s="799"/>
      <c r="F1" s="799"/>
      <c r="G1" s="676"/>
      <c r="H1" s="676"/>
      <c r="I1" s="676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1"/>
    </row>
    <row r="2" spans="1:20" ht="18.75">
      <c r="A2" s="675" t="s">
        <v>489</v>
      </c>
      <c r="B2" s="677"/>
      <c r="C2" s="675"/>
      <c r="D2" s="675"/>
      <c r="E2" s="678"/>
      <c r="F2" s="678"/>
      <c r="G2" s="679"/>
      <c r="H2" s="679"/>
      <c r="I2" s="679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1"/>
    </row>
    <row r="3" spans="1:20" ht="18.75">
      <c r="A3" s="677"/>
      <c r="B3" s="677"/>
      <c r="C3" s="677"/>
      <c r="D3" s="677"/>
      <c r="E3" s="676" t="e">
        <f>'[1]FEB 08'!E11/'[1]FEB 08'!M11</f>
        <v>#REF!</v>
      </c>
      <c r="F3" s="676"/>
      <c r="G3" s="676"/>
      <c r="H3" s="676"/>
      <c r="I3" s="676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1"/>
    </row>
    <row r="4" spans="1:20" ht="37.5">
      <c r="A4" s="680"/>
      <c r="B4" s="681" t="s">
        <v>2</v>
      </c>
      <c r="C4" s="682" t="s">
        <v>3</v>
      </c>
      <c r="D4" s="683" t="s">
        <v>4</v>
      </c>
      <c r="E4" s="684" t="s">
        <v>5</v>
      </c>
      <c r="F4" s="684" t="s">
        <v>6</v>
      </c>
      <c r="G4" s="684" t="s">
        <v>7</v>
      </c>
      <c r="H4" s="684" t="s">
        <v>7</v>
      </c>
      <c r="I4" s="684" t="s">
        <v>8</v>
      </c>
      <c r="J4" s="692" t="s">
        <v>9</v>
      </c>
      <c r="K4" s="684" t="s">
        <v>10</v>
      </c>
      <c r="L4" s="684" t="s">
        <v>11</v>
      </c>
      <c r="M4" s="684" t="s">
        <v>12</v>
      </c>
      <c r="N4" s="684" t="s">
        <v>13</v>
      </c>
      <c r="O4" s="693" t="s">
        <v>14</v>
      </c>
      <c r="P4" s="684" t="s">
        <v>15</v>
      </c>
      <c r="Q4" s="695" t="s">
        <v>16</v>
      </c>
      <c r="R4" s="696" t="s">
        <v>490</v>
      </c>
      <c r="S4" s="697" t="s">
        <v>17</v>
      </c>
      <c r="T4" s="1"/>
    </row>
    <row r="5" spans="1:20" ht="18.75">
      <c r="A5" s="1"/>
      <c r="B5" s="1"/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64" t="s">
        <v>19</v>
      </c>
      <c r="R5" s="67" t="s">
        <v>19</v>
      </c>
      <c r="S5" s="463" t="s">
        <v>19</v>
      </c>
      <c r="T5" s="1"/>
    </row>
    <row r="6" spans="1:20" ht="18.75">
      <c r="A6" s="685" t="s">
        <v>20</v>
      </c>
      <c r="B6" s="686" t="s">
        <v>21</v>
      </c>
      <c r="C6" s="68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4"/>
      <c r="R6" s="67"/>
      <c r="S6" s="463"/>
      <c r="T6" s="1"/>
    </row>
    <row r="7" spans="1:20" ht="26.25">
      <c r="A7" s="687">
        <v>25</v>
      </c>
      <c r="B7" s="688" t="s">
        <v>497</v>
      </c>
      <c r="C7" s="244" t="s">
        <v>498</v>
      </c>
      <c r="D7" s="687" t="s">
        <v>83</v>
      </c>
      <c r="E7" s="689">
        <v>255849</v>
      </c>
      <c r="F7" s="689"/>
      <c r="G7" s="690"/>
      <c r="H7" s="690">
        <f>60000</f>
        <v>60000</v>
      </c>
      <c r="I7" s="689"/>
      <c r="J7" s="694">
        <f>E7+F7+G7+H7+I7</f>
        <v>315849</v>
      </c>
      <c r="K7" s="689"/>
      <c r="L7" s="689"/>
      <c r="M7" s="689"/>
      <c r="N7" s="689"/>
      <c r="O7" s="689">
        <v>36790.688106666697</v>
      </c>
      <c r="P7" s="689">
        <v>20467.919999999998</v>
      </c>
      <c r="Q7" s="698">
        <f>O7+N7+M7+L7+K7+P7</f>
        <v>57258.608106666703</v>
      </c>
      <c r="R7" s="689"/>
      <c r="S7" s="694">
        <f>J7-Q7</f>
        <v>258590.391893333</v>
      </c>
      <c r="T7" s="699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7"/>
  <sheetViews>
    <sheetView zoomScale="90" zoomScaleNormal="90" zoomScaleSheetLayoutView="50" workbookViewId="0">
      <pane xSplit="3" ySplit="7" topLeftCell="D204" activePane="bottomRight" state="frozen"/>
      <selection pane="topRight"/>
      <selection pane="bottomLeft"/>
      <selection pane="bottomRight" activeCell="J206" sqref="J20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499</v>
      </c>
      <c r="B2" s="223"/>
      <c r="C2" s="202"/>
      <c r="D2" s="202"/>
      <c r="E2" s="63"/>
    </row>
    <row r="3" spans="1:5" ht="9.75" customHeight="1"/>
    <row r="4" spans="1:5" ht="49.5" customHeight="1">
      <c r="A4" s="671"/>
      <c r="B4" s="672" t="s">
        <v>2</v>
      </c>
      <c r="C4" s="673" t="s">
        <v>3</v>
      </c>
      <c r="D4" s="674" t="s">
        <v>4</v>
      </c>
      <c r="E4" s="647" t="s">
        <v>500</v>
      </c>
    </row>
    <row r="5" spans="1:5" ht="17.25" customHeight="1">
      <c r="C5" s="6"/>
      <c r="D5" s="6"/>
      <c r="E5" s="649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49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52">
        <v>540000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52">
        <v>180000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52">
        <v>180000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52">
        <v>180000</v>
      </c>
    </row>
    <row r="11" spans="1:5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652">
        <v>180000</v>
      </c>
    </row>
    <row r="12" spans="1:5" ht="20.100000000000001" customHeight="1">
      <c r="A12" s="8">
        <v>6</v>
      </c>
      <c r="B12" s="9" t="s">
        <v>34</v>
      </c>
      <c r="C12" s="10" t="s">
        <v>35</v>
      </c>
      <c r="D12" s="13" t="s">
        <v>36</v>
      </c>
      <c r="E12" s="652">
        <v>126000</v>
      </c>
    </row>
    <row r="13" spans="1:5" ht="20.100000000000001" customHeight="1">
      <c r="A13" s="8">
        <v>7</v>
      </c>
      <c r="B13" s="9" t="s">
        <v>37</v>
      </c>
      <c r="C13" s="2" t="s">
        <v>38</v>
      </c>
      <c r="D13" s="8" t="s">
        <v>39</v>
      </c>
      <c r="E13" s="652">
        <v>126000</v>
      </c>
    </row>
    <row r="14" spans="1:5" ht="20.100000000000001" customHeight="1">
      <c r="A14" s="8">
        <v>8</v>
      </c>
      <c r="B14" s="9" t="s">
        <v>40</v>
      </c>
      <c r="C14" s="2" t="s">
        <v>41</v>
      </c>
      <c r="D14" s="13" t="s">
        <v>42</v>
      </c>
      <c r="E14" s="652">
        <v>90000</v>
      </c>
    </row>
    <row r="15" spans="1:5" ht="20.100000000000001" customHeight="1">
      <c r="A15" s="8">
        <v>9</v>
      </c>
      <c r="B15" s="12" t="s">
        <v>43</v>
      </c>
      <c r="C15" s="15" t="s">
        <v>44</v>
      </c>
      <c r="D15" s="13" t="s">
        <v>39</v>
      </c>
      <c r="E15" s="652">
        <v>126000</v>
      </c>
    </row>
    <row r="16" spans="1:5" ht="20.100000000000001" customHeight="1">
      <c r="A16" s="8">
        <v>10</v>
      </c>
      <c r="B16" s="9" t="s">
        <v>45</v>
      </c>
      <c r="C16" s="2" t="s">
        <v>46</v>
      </c>
      <c r="D16" s="8" t="s">
        <v>47</v>
      </c>
      <c r="E16" s="652">
        <v>90000</v>
      </c>
    </row>
    <row r="17" spans="1:5" ht="20.100000000000001" customHeight="1">
      <c r="A17" s="8">
        <v>11</v>
      </c>
      <c r="B17" s="9" t="s">
        <v>48</v>
      </c>
      <c r="C17" s="2" t="s">
        <v>49</v>
      </c>
      <c r="D17" s="8" t="s">
        <v>39</v>
      </c>
      <c r="E17" s="652">
        <v>126000</v>
      </c>
    </row>
    <row r="18" spans="1:5" ht="20.100000000000001" customHeight="1">
      <c r="A18" s="8">
        <v>12</v>
      </c>
      <c r="B18" s="9" t="s">
        <v>50</v>
      </c>
      <c r="C18" s="10" t="s">
        <v>51</v>
      </c>
      <c r="D18" s="13" t="s">
        <v>52</v>
      </c>
      <c r="E18" s="652">
        <v>90000</v>
      </c>
    </row>
    <row r="19" spans="1:5" ht="20.100000000000001" customHeight="1">
      <c r="A19" s="8">
        <v>13</v>
      </c>
      <c r="B19" s="16" t="s">
        <v>53</v>
      </c>
      <c r="C19" s="2" t="s">
        <v>54</v>
      </c>
      <c r="D19" s="13" t="s">
        <v>55</v>
      </c>
      <c r="E19" s="652">
        <v>90000</v>
      </c>
    </row>
    <row r="20" spans="1:5" ht="20.100000000000001" customHeight="1">
      <c r="A20" s="8">
        <v>14</v>
      </c>
      <c r="B20" s="16" t="s">
        <v>56</v>
      </c>
      <c r="C20" s="2" t="s">
        <v>57</v>
      </c>
      <c r="D20" s="13" t="s">
        <v>58</v>
      </c>
      <c r="E20" s="652">
        <v>90000</v>
      </c>
    </row>
    <row r="21" spans="1:5" ht="20.100000000000001" customHeight="1">
      <c r="A21" s="8">
        <v>15</v>
      </c>
      <c r="B21" s="16" t="s">
        <v>59</v>
      </c>
      <c r="C21" s="2" t="s">
        <v>51</v>
      </c>
      <c r="D21" s="13" t="s">
        <v>58</v>
      </c>
      <c r="E21" s="652">
        <v>90000</v>
      </c>
    </row>
    <row r="22" spans="1:5" ht="18.75" customHeight="1">
      <c r="A22" s="8">
        <v>16</v>
      </c>
      <c r="B22" s="9" t="s">
        <v>60</v>
      </c>
      <c r="C22" s="10" t="s">
        <v>61</v>
      </c>
      <c r="D22" s="13" t="s">
        <v>62</v>
      </c>
      <c r="E22" s="652">
        <v>68000</v>
      </c>
    </row>
    <row r="23" spans="1:5" ht="20.100000000000001" customHeight="1">
      <c r="A23" s="8">
        <v>17</v>
      </c>
      <c r="B23" s="12" t="s">
        <v>63</v>
      </c>
      <c r="C23" s="15" t="s">
        <v>64</v>
      </c>
      <c r="D23" s="8" t="s">
        <v>65</v>
      </c>
      <c r="E23" s="652">
        <v>68000</v>
      </c>
    </row>
    <row r="24" spans="1:5" ht="21.6" customHeight="1">
      <c r="A24" s="8">
        <v>18</v>
      </c>
      <c r="B24" s="9" t="s">
        <v>66</v>
      </c>
      <c r="C24" s="15" t="s">
        <v>67</v>
      </c>
      <c r="D24" s="13" t="s">
        <v>65</v>
      </c>
      <c r="E24" s="652">
        <v>68000</v>
      </c>
    </row>
    <row r="25" spans="1:5" ht="20.100000000000001" customHeight="1">
      <c r="A25" s="8">
        <v>19</v>
      </c>
      <c r="B25" s="12" t="s">
        <v>68</v>
      </c>
      <c r="C25" s="15" t="s">
        <v>69</v>
      </c>
      <c r="D25" s="8" t="s">
        <v>70</v>
      </c>
      <c r="E25" s="652">
        <v>68000</v>
      </c>
    </row>
    <row r="26" spans="1:5" ht="20.100000000000001" customHeight="1">
      <c r="A26" s="8">
        <v>20</v>
      </c>
      <c r="B26" s="12" t="s">
        <v>71</v>
      </c>
      <c r="C26" s="15" t="s">
        <v>72</v>
      </c>
      <c r="D26" s="8" t="s">
        <v>70</v>
      </c>
      <c r="E26" s="652">
        <v>68000</v>
      </c>
    </row>
    <row r="27" spans="1:5" ht="18.75" customHeight="1">
      <c r="A27" s="8">
        <v>21</v>
      </c>
      <c r="B27" s="2" t="s">
        <v>73</v>
      </c>
      <c r="C27" s="2" t="s">
        <v>74</v>
      </c>
      <c r="D27" s="8" t="s">
        <v>75</v>
      </c>
      <c r="E27" s="652">
        <v>54000</v>
      </c>
    </row>
    <row r="28" spans="1:5" ht="18.75" customHeight="1">
      <c r="A28" s="8">
        <v>22</v>
      </c>
      <c r="B28" s="16" t="s">
        <v>76</v>
      </c>
      <c r="C28" s="10" t="s">
        <v>74</v>
      </c>
      <c r="D28" s="13" t="s">
        <v>75</v>
      </c>
      <c r="E28" s="652">
        <v>54000</v>
      </c>
    </row>
    <row r="29" spans="1:5" ht="20.100000000000001" customHeight="1">
      <c r="A29" s="8">
        <v>23</v>
      </c>
      <c r="B29" s="9" t="s">
        <v>77</v>
      </c>
      <c r="C29" s="15" t="s">
        <v>64</v>
      </c>
      <c r="D29" s="8" t="s">
        <v>75</v>
      </c>
      <c r="E29" s="652">
        <v>54000</v>
      </c>
    </row>
    <row r="30" spans="1:5" ht="18.75" customHeight="1">
      <c r="A30" s="8">
        <v>24</v>
      </c>
      <c r="B30" s="16" t="s">
        <v>78</v>
      </c>
      <c r="C30" s="10" t="s">
        <v>79</v>
      </c>
      <c r="D30" s="13" t="s">
        <v>80</v>
      </c>
      <c r="E30" s="652">
        <v>54000</v>
      </c>
    </row>
    <row r="31" spans="1:5" ht="18.75" customHeight="1">
      <c r="A31" s="8">
        <v>25</v>
      </c>
      <c r="B31" s="16" t="s">
        <v>81</v>
      </c>
      <c r="C31" s="2" t="s">
        <v>82</v>
      </c>
      <c r="D31" s="8" t="s">
        <v>83</v>
      </c>
      <c r="E31" s="652">
        <v>54000</v>
      </c>
    </row>
    <row r="32" spans="1:5" ht="18.75" customHeight="1">
      <c r="A32" s="8">
        <v>26</v>
      </c>
      <c r="B32" s="16" t="s">
        <v>84</v>
      </c>
      <c r="C32" s="2" t="s">
        <v>82</v>
      </c>
      <c r="D32" s="8" t="s">
        <v>83</v>
      </c>
      <c r="E32" s="652">
        <v>54000</v>
      </c>
    </row>
    <row r="33" spans="1:5" ht="18.75" customHeight="1">
      <c r="A33" s="8">
        <v>27</v>
      </c>
      <c r="B33" s="16" t="s">
        <v>85</v>
      </c>
      <c r="C33" s="15" t="s">
        <v>86</v>
      </c>
      <c r="D33" s="13" t="s">
        <v>75</v>
      </c>
      <c r="E33" s="652">
        <v>54000</v>
      </c>
    </row>
    <row r="34" spans="1:5" ht="18.75" customHeight="1">
      <c r="A34" s="8">
        <v>28</v>
      </c>
      <c r="B34" s="16" t="s">
        <v>87</v>
      </c>
      <c r="C34" s="2" t="s">
        <v>74</v>
      </c>
      <c r="D34" s="8" t="s">
        <v>83</v>
      </c>
      <c r="E34" s="652">
        <v>54000</v>
      </c>
    </row>
    <row r="35" spans="1:5" ht="18.75" customHeight="1">
      <c r="A35" s="8">
        <v>29</v>
      </c>
      <c r="B35" s="16" t="s">
        <v>88</v>
      </c>
      <c r="C35" s="2" t="s">
        <v>89</v>
      </c>
      <c r="D35" s="8" t="s">
        <v>83</v>
      </c>
      <c r="E35" s="652">
        <v>54000</v>
      </c>
    </row>
    <row r="36" spans="1:5" ht="18.75" customHeight="1">
      <c r="A36" s="8">
        <v>30</v>
      </c>
      <c r="B36" s="16" t="s">
        <v>90</v>
      </c>
      <c r="C36" s="10" t="s">
        <v>91</v>
      </c>
      <c r="D36" s="13" t="s">
        <v>92</v>
      </c>
      <c r="E36" s="652">
        <v>54000</v>
      </c>
    </row>
    <row r="37" spans="1:5" ht="18.75" customHeight="1">
      <c r="A37" s="8">
        <v>31</v>
      </c>
      <c r="B37" s="16" t="s">
        <v>93</v>
      </c>
      <c r="C37" s="10" t="s">
        <v>94</v>
      </c>
      <c r="D37" s="13" t="s">
        <v>95</v>
      </c>
      <c r="E37" s="652">
        <v>54000</v>
      </c>
    </row>
    <row r="38" spans="1:5" ht="26.25" customHeight="1">
      <c r="A38" s="8"/>
      <c r="B38" s="18" t="s">
        <v>96</v>
      </c>
      <c r="C38" s="19">
        <v>31</v>
      </c>
      <c r="D38" s="13"/>
      <c r="E38" s="655">
        <f>SUM(E7:E37)</f>
        <v>3238000</v>
      </c>
    </row>
    <row r="39" spans="1:5" ht="18.75" customHeight="1">
      <c r="A39" s="8"/>
      <c r="B39" s="20"/>
      <c r="C39" s="2"/>
      <c r="D39" s="13"/>
      <c r="E39" s="655"/>
    </row>
    <row r="40" spans="1:5" ht="18.75" customHeight="1">
      <c r="A40" s="8"/>
      <c r="B40" s="18" t="s">
        <v>97</v>
      </c>
      <c r="C40" s="2"/>
      <c r="D40" s="13"/>
      <c r="E40" s="652"/>
    </row>
    <row r="41" spans="1:5" ht="18.75" customHeight="1">
      <c r="A41" s="8">
        <v>1</v>
      </c>
      <c r="B41" s="16" t="s">
        <v>98</v>
      </c>
      <c r="C41" s="2" t="s">
        <v>99</v>
      </c>
      <c r="D41" s="8" t="s">
        <v>100</v>
      </c>
      <c r="E41" s="652">
        <v>270000</v>
      </c>
    </row>
    <row r="42" spans="1:5" ht="18.75" customHeight="1">
      <c r="A42" s="8">
        <v>2</v>
      </c>
      <c r="B42" s="16" t="s">
        <v>101</v>
      </c>
      <c r="C42" s="2" t="s">
        <v>102</v>
      </c>
      <c r="D42" s="8" t="s">
        <v>70</v>
      </c>
      <c r="E42" s="652">
        <v>68000</v>
      </c>
    </row>
    <row r="43" spans="1:5" ht="18.75" customHeight="1">
      <c r="A43" s="8">
        <v>3</v>
      </c>
      <c r="B43" s="9" t="s">
        <v>103</v>
      </c>
      <c r="C43" s="2" t="s">
        <v>102</v>
      </c>
      <c r="D43" s="13" t="s">
        <v>104</v>
      </c>
      <c r="E43" s="652">
        <v>68000</v>
      </c>
    </row>
    <row r="44" spans="1:5" ht="18.75" customHeight="1">
      <c r="A44" s="8">
        <v>4</v>
      </c>
      <c r="B44" s="9" t="s">
        <v>105</v>
      </c>
      <c r="C44" s="2" t="s">
        <v>106</v>
      </c>
      <c r="D44" s="13" t="s">
        <v>83</v>
      </c>
      <c r="E44" s="654">
        <v>54000</v>
      </c>
    </row>
    <row r="45" spans="1:5" ht="19.5" customHeight="1">
      <c r="A45" s="8"/>
      <c r="B45" s="12"/>
      <c r="C45" s="19">
        <v>4</v>
      </c>
      <c r="D45" s="8"/>
      <c r="E45" s="655">
        <f>SUM(E41:E44)</f>
        <v>460000</v>
      </c>
    </row>
    <row r="46" spans="1:5" ht="20.100000000000001" customHeight="1">
      <c r="A46" s="8"/>
      <c r="B46" s="12"/>
      <c r="C46" s="2"/>
      <c r="D46" s="8"/>
      <c r="E46" s="655"/>
    </row>
    <row r="47" spans="1:5" ht="20.100000000000001" customHeight="1">
      <c r="A47" s="8"/>
      <c r="B47" s="21" t="s">
        <v>107</v>
      </c>
      <c r="C47" s="3"/>
      <c r="D47" s="22"/>
      <c r="E47" s="655"/>
    </row>
    <row r="48" spans="1:5" ht="20.100000000000001" customHeight="1">
      <c r="A48" s="8">
        <v>1</v>
      </c>
      <c r="B48" s="9" t="s">
        <v>108</v>
      </c>
      <c r="C48" s="2" t="s">
        <v>109</v>
      </c>
      <c r="D48" s="8" t="s">
        <v>100</v>
      </c>
      <c r="E48" s="652">
        <v>0</v>
      </c>
    </row>
    <row r="49" spans="1:5" ht="20.100000000000001" customHeight="1">
      <c r="A49" s="8">
        <v>2</v>
      </c>
      <c r="B49" s="9" t="s">
        <v>491</v>
      </c>
      <c r="C49" s="2" t="s">
        <v>44</v>
      </c>
      <c r="D49" s="8" t="s">
        <v>36</v>
      </c>
      <c r="E49" s="652">
        <v>0</v>
      </c>
    </row>
    <row r="50" spans="1:5" ht="20.100000000000001" customHeight="1">
      <c r="A50" s="8">
        <v>3</v>
      </c>
      <c r="B50" s="9" t="s">
        <v>110</v>
      </c>
      <c r="C50" s="2" t="s">
        <v>111</v>
      </c>
      <c r="D50" s="8" t="s">
        <v>112</v>
      </c>
      <c r="E50" s="652">
        <v>180000</v>
      </c>
    </row>
    <row r="51" spans="1:5" ht="20.100000000000001" customHeight="1">
      <c r="A51" s="8">
        <v>4</v>
      </c>
      <c r="B51" s="9" t="s">
        <v>113</v>
      </c>
      <c r="C51" s="2" t="s">
        <v>114</v>
      </c>
      <c r="D51" s="8" t="s">
        <v>36</v>
      </c>
      <c r="E51" s="652">
        <v>126000</v>
      </c>
    </row>
    <row r="52" spans="1:5" ht="20.100000000000001" customHeight="1">
      <c r="A52" s="8">
        <v>5</v>
      </c>
      <c r="B52" s="9" t="s">
        <v>115</v>
      </c>
      <c r="C52" s="2" t="s">
        <v>114</v>
      </c>
      <c r="D52" s="8" t="s">
        <v>36</v>
      </c>
      <c r="E52" s="652">
        <v>126000</v>
      </c>
    </row>
    <row r="53" spans="1:5" ht="20.100000000000001" customHeight="1">
      <c r="A53" s="8">
        <v>6</v>
      </c>
      <c r="B53" s="9" t="s">
        <v>116</v>
      </c>
      <c r="C53" s="2" t="s">
        <v>114</v>
      </c>
      <c r="D53" s="8" t="s">
        <v>39</v>
      </c>
      <c r="E53" s="652">
        <v>126000</v>
      </c>
    </row>
    <row r="54" spans="1:5" ht="20.100000000000001" customHeight="1">
      <c r="A54" s="8">
        <v>7</v>
      </c>
      <c r="B54" s="12" t="s">
        <v>117</v>
      </c>
      <c r="C54" s="2" t="s">
        <v>114</v>
      </c>
      <c r="D54" s="8" t="s">
        <v>39</v>
      </c>
      <c r="E54" s="652">
        <v>126000</v>
      </c>
    </row>
    <row r="55" spans="1:5" ht="20.100000000000001" customHeight="1">
      <c r="A55" s="8">
        <v>8</v>
      </c>
      <c r="B55" s="9" t="s">
        <v>118</v>
      </c>
      <c r="C55" s="2" t="s">
        <v>119</v>
      </c>
      <c r="D55" s="8" t="s">
        <v>104</v>
      </c>
      <c r="E55" s="652">
        <v>68000</v>
      </c>
    </row>
    <row r="56" spans="1:5" ht="20.100000000000001" customHeight="1">
      <c r="A56" s="8">
        <v>9</v>
      </c>
      <c r="B56" s="9" t="s">
        <v>120</v>
      </c>
      <c r="C56" s="2" t="s">
        <v>119</v>
      </c>
      <c r="D56" s="8" t="s">
        <v>80</v>
      </c>
      <c r="E56" s="652">
        <v>54000</v>
      </c>
    </row>
    <row r="57" spans="1:5" ht="20.100000000000001" customHeight="1">
      <c r="A57" s="8">
        <v>10</v>
      </c>
      <c r="B57" s="9" t="s">
        <v>121</v>
      </c>
      <c r="C57" s="2" t="s">
        <v>119</v>
      </c>
      <c r="D57" s="8" t="s">
        <v>80</v>
      </c>
      <c r="E57" s="652">
        <v>54000</v>
      </c>
    </row>
    <row r="58" spans="1:5" ht="25.5" customHeight="1">
      <c r="A58" s="8"/>
      <c r="B58" s="18" t="s">
        <v>96</v>
      </c>
      <c r="C58" s="19">
        <v>10</v>
      </c>
      <c r="D58" s="19"/>
      <c r="E58" s="657">
        <f>SUM(E48:E57)</f>
        <v>860000</v>
      </c>
    </row>
    <row r="59" spans="1:5" ht="20.100000000000001" customHeight="1">
      <c r="A59" s="8"/>
      <c r="B59" s="20"/>
      <c r="C59" s="19"/>
      <c r="D59" s="19"/>
      <c r="E59" s="659"/>
    </row>
    <row r="60" spans="1:5" ht="20.100000000000001" customHeight="1">
      <c r="A60" s="8"/>
      <c r="B60" s="18" t="s">
        <v>122</v>
      </c>
      <c r="C60" s="19"/>
      <c r="D60" s="19"/>
      <c r="E60" s="659"/>
    </row>
    <row r="61" spans="1:5" ht="20.100000000000001" customHeight="1">
      <c r="A61" s="8">
        <v>1</v>
      </c>
      <c r="B61" s="9" t="s">
        <v>501</v>
      </c>
      <c r="C61" s="10" t="s">
        <v>124</v>
      </c>
      <c r="D61" s="13" t="s">
        <v>100</v>
      </c>
      <c r="E61" s="652">
        <v>270000</v>
      </c>
    </row>
    <row r="62" spans="1:5" ht="20.100000000000001" customHeight="1">
      <c r="A62" s="8">
        <v>2</v>
      </c>
      <c r="B62" s="9" t="s">
        <v>125</v>
      </c>
      <c r="C62" s="10" t="s">
        <v>126</v>
      </c>
      <c r="D62" s="13" t="s">
        <v>127</v>
      </c>
      <c r="E62" s="652">
        <v>126000</v>
      </c>
    </row>
    <row r="63" spans="1:5" ht="20.100000000000001" customHeight="1">
      <c r="A63" s="8"/>
      <c r="B63" s="18" t="s">
        <v>96</v>
      </c>
      <c r="C63" s="19">
        <v>2</v>
      </c>
      <c r="D63" s="19"/>
      <c r="E63" s="657">
        <f>SUM(E61:E62)</f>
        <v>396000</v>
      </c>
    </row>
    <row r="64" spans="1:5" ht="20.100000000000001" customHeight="1">
      <c r="A64" s="8"/>
      <c r="B64" s="18"/>
      <c r="C64" s="19"/>
      <c r="D64" s="19"/>
      <c r="E64" s="659"/>
    </row>
    <row r="65" spans="1:5" ht="20.100000000000001" customHeight="1">
      <c r="A65" s="8"/>
      <c r="B65" s="18" t="s">
        <v>128</v>
      </c>
      <c r="C65" s="19"/>
      <c r="D65" s="19"/>
      <c r="E65" s="659"/>
    </row>
    <row r="66" spans="1:5" ht="20.100000000000001" customHeight="1">
      <c r="A66" s="8">
        <v>1</v>
      </c>
      <c r="B66" s="9" t="s">
        <v>129</v>
      </c>
      <c r="C66" s="15" t="s">
        <v>130</v>
      </c>
      <c r="D66" s="8" t="s">
        <v>100</v>
      </c>
      <c r="E66" s="652">
        <v>270000</v>
      </c>
    </row>
    <row r="67" spans="1:5" ht="20.100000000000001" customHeight="1">
      <c r="A67" s="8">
        <v>2</v>
      </c>
      <c r="B67" s="312" t="s">
        <v>131</v>
      </c>
      <c r="C67" s="15" t="s">
        <v>132</v>
      </c>
      <c r="D67" s="13" t="s">
        <v>133</v>
      </c>
      <c r="E67" s="652">
        <v>126000</v>
      </c>
    </row>
    <row r="68" spans="1:5" ht="20.100000000000001" customHeight="1">
      <c r="A68" s="8">
        <v>3</v>
      </c>
      <c r="B68" s="9" t="s">
        <v>134</v>
      </c>
      <c r="C68" s="2" t="s">
        <v>135</v>
      </c>
      <c r="D68" s="8" t="s">
        <v>47</v>
      </c>
      <c r="E68" s="652">
        <v>90000</v>
      </c>
    </row>
    <row r="69" spans="1:5" ht="20.100000000000001" customHeight="1">
      <c r="A69" s="8">
        <v>4</v>
      </c>
      <c r="B69" s="16" t="s">
        <v>487</v>
      </c>
      <c r="C69" s="15" t="s">
        <v>167</v>
      </c>
      <c r="D69" s="13" t="s">
        <v>52</v>
      </c>
      <c r="E69" s="652">
        <v>0</v>
      </c>
    </row>
    <row r="70" spans="1:5" ht="20.100000000000001" customHeight="1">
      <c r="A70" s="8">
        <v>7</v>
      </c>
      <c r="B70" s="9" t="s">
        <v>136</v>
      </c>
      <c r="C70" s="2" t="s">
        <v>119</v>
      </c>
      <c r="D70" s="8" t="s">
        <v>137</v>
      </c>
      <c r="E70" s="652">
        <v>68000</v>
      </c>
    </row>
    <row r="71" spans="1:5" ht="20.100000000000001" customHeight="1">
      <c r="A71" s="8">
        <v>8</v>
      </c>
      <c r="B71" s="9" t="s">
        <v>138</v>
      </c>
      <c r="C71" s="15" t="s">
        <v>67</v>
      </c>
      <c r="D71" s="8" t="s">
        <v>137</v>
      </c>
      <c r="E71" s="652">
        <v>68000</v>
      </c>
    </row>
    <row r="72" spans="1:5" ht="20.100000000000001" customHeight="1">
      <c r="A72" s="8">
        <v>9</v>
      </c>
      <c r="B72" s="9" t="s">
        <v>139</v>
      </c>
      <c r="C72" s="15" t="s">
        <v>67</v>
      </c>
      <c r="D72" s="8" t="s">
        <v>137</v>
      </c>
      <c r="E72" s="652">
        <v>68000</v>
      </c>
    </row>
    <row r="73" spans="1:5" ht="20.100000000000001" customHeight="1">
      <c r="A73" s="8">
        <v>10</v>
      </c>
      <c r="B73" s="9" t="s">
        <v>140</v>
      </c>
      <c r="C73" s="2" t="s">
        <v>141</v>
      </c>
      <c r="D73" s="8" t="s">
        <v>62</v>
      </c>
      <c r="E73" s="652">
        <v>68000</v>
      </c>
    </row>
    <row r="74" spans="1:5" ht="21.6" customHeight="1">
      <c r="A74" s="8">
        <v>11</v>
      </c>
      <c r="B74" s="9" t="s">
        <v>142</v>
      </c>
      <c r="C74" s="2" t="s">
        <v>119</v>
      </c>
      <c r="D74" s="8" t="s">
        <v>104</v>
      </c>
      <c r="E74" s="652">
        <v>68000</v>
      </c>
    </row>
    <row r="75" spans="1:5" ht="27" customHeight="1">
      <c r="A75" s="8"/>
      <c r="B75" s="18" t="s">
        <v>96</v>
      </c>
      <c r="C75" s="19">
        <v>11</v>
      </c>
      <c r="D75" s="19"/>
      <c r="E75" s="657">
        <f>SUM(E66:E74)</f>
        <v>826000</v>
      </c>
    </row>
    <row r="76" spans="1:5" ht="20.100000000000001" customHeight="1">
      <c r="A76" s="8"/>
      <c r="B76" s="20"/>
      <c r="C76" s="19"/>
      <c r="D76" s="19"/>
      <c r="E76" s="659"/>
    </row>
    <row r="77" spans="1:5" ht="20.100000000000001" customHeight="1">
      <c r="A77" s="8"/>
      <c r="B77" s="18" t="s">
        <v>143</v>
      </c>
      <c r="C77" s="19"/>
      <c r="D77" s="19"/>
      <c r="E77" s="659"/>
    </row>
    <row r="78" spans="1:5" ht="20.100000000000001" customHeight="1">
      <c r="A78" s="8">
        <v>1</v>
      </c>
      <c r="B78" s="9" t="s">
        <v>144</v>
      </c>
      <c r="C78" s="2" t="s">
        <v>145</v>
      </c>
      <c r="D78" s="8" t="s">
        <v>100</v>
      </c>
      <c r="E78" s="652">
        <v>270000</v>
      </c>
    </row>
    <row r="79" spans="1:5" ht="20.100000000000001" customHeight="1">
      <c r="A79" s="8">
        <v>2</v>
      </c>
      <c r="B79" s="9" t="s">
        <v>146</v>
      </c>
      <c r="C79" s="2" t="s">
        <v>147</v>
      </c>
      <c r="D79" s="8" t="s">
        <v>39</v>
      </c>
      <c r="E79" s="652">
        <v>126000</v>
      </c>
    </row>
    <row r="80" spans="1:5" ht="20.100000000000001" customHeight="1">
      <c r="A80" s="8">
        <v>3</v>
      </c>
      <c r="B80" s="9" t="s">
        <v>148</v>
      </c>
      <c r="C80" s="2" t="s">
        <v>149</v>
      </c>
      <c r="D80" s="13" t="s">
        <v>150</v>
      </c>
      <c r="E80" s="652">
        <v>90000</v>
      </c>
    </row>
    <row r="81" spans="1:5" ht="20.100000000000001" customHeight="1">
      <c r="A81" s="8">
        <v>4</v>
      </c>
      <c r="B81" s="9" t="s">
        <v>151</v>
      </c>
      <c r="C81" s="2" t="s">
        <v>152</v>
      </c>
      <c r="D81" s="8" t="s">
        <v>65</v>
      </c>
      <c r="E81" s="652">
        <v>68000</v>
      </c>
    </row>
    <row r="82" spans="1:5" ht="20.100000000000001" customHeight="1">
      <c r="A82" s="8">
        <v>5</v>
      </c>
      <c r="B82" s="9" t="s">
        <v>153</v>
      </c>
      <c r="C82" s="2" t="s">
        <v>154</v>
      </c>
      <c r="D82" s="8" t="s">
        <v>80</v>
      </c>
      <c r="E82" s="652">
        <v>54000</v>
      </c>
    </row>
    <row r="83" spans="1:5" ht="20.100000000000001" customHeight="1">
      <c r="A83" s="8">
        <v>6</v>
      </c>
      <c r="B83" s="9" t="s">
        <v>155</v>
      </c>
      <c r="C83" s="2" t="s">
        <v>156</v>
      </c>
      <c r="D83" s="8" t="s">
        <v>92</v>
      </c>
      <c r="E83" s="652">
        <v>54000</v>
      </c>
    </row>
    <row r="84" spans="1:5" ht="20.100000000000001" customHeight="1">
      <c r="A84" s="8"/>
      <c r="B84" s="18" t="s">
        <v>96</v>
      </c>
      <c r="C84" s="19">
        <v>6</v>
      </c>
      <c r="D84" s="19"/>
      <c r="E84" s="657">
        <f>SUM(E78:E83)</f>
        <v>662000</v>
      </c>
    </row>
    <row r="85" spans="1:5" ht="20.100000000000001" customHeight="1">
      <c r="A85" s="8"/>
      <c r="B85" s="18"/>
      <c r="C85" s="19"/>
      <c r="D85" s="19"/>
      <c r="E85" s="659"/>
    </row>
    <row r="86" spans="1:5" ht="20.100000000000001" customHeight="1">
      <c r="A86" s="8"/>
      <c r="B86" s="18" t="s">
        <v>157</v>
      </c>
      <c r="C86" s="23"/>
      <c r="D86" s="19"/>
      <c r="E86" s="659"/>
    </row>
    <row r="87" spans="1:5" ht="20.100000000000001" customHeight="1">
      <c r="A87" s="8">
        <v>1</v>
      </c>
      <c r="B87" s="9" t="s">
        <v>158</v>
      </c>
      <c r="C87" s="2" t="s">
        <v>114</v>
      </c>
      <c r="D87" s="8" t="s">
        <v>36</v>
      </c>
      <c r="E87" s="652">
        <v>126000</v>
      </c>
    </row>
    <row r="88" spans="1:5" ht="20.100000000000001" customHeight="1">
      <c r="A88" s="8">
        <v>2</v>
      </c>
      <c r="B88" s="9" t="s">
        <v>159</v>
      </c>
      <c r="C88" s="2" t="s">
        <v>114</v>
      </c>
      <c r="D88" s="8" t="s">
        <v>36</v>
      </c>
      <c r="E88" s="652">
        <v>126000</v>
      </c>
    </row>
    <row r="89" spans="1:5" ht="20.100000000000001" customHeight="1">
      <c r="A89" s="8">
        <v>3</v>
      </c>
      <c r="B89" s="9" t="s">
        <v>160</v>
      </c>
      <c r="C89" s="2" t="s">
        <v>114</v>
      </c>
      <c r="D89" s="8" t="s">
        <v>39</v>
      </c>
      <c r="E89" s="652">
        <v>126000</v>
      </c>
    </row>
    <row r="90" spans="1:5" ht="21.6" customHeight="1">
      <c r="A90" s="8">
        <v>4</v>
      </c>
      <c r="B90" s="9" t="s">
        <v>161</v>
      </c>
      <c r="C90" s="2" t="s">
        <v>135</v>
      </c>
      <c r="D90" s="13" t="s">
        <v>47</v>
      </c>
      <c r="E90" s="652">
        <v>90000</v>
      </c>
    </row>
    <row r="91" spans="1:5" ht="21.6" customHeight="1">
      <c r="A91" s="8">
        <v>5</v>
      </c>
      <c r="B91" s="9" t="s">
        <v>162</v>
      </c>
      <c r="C91" s="2" t="s">
        <v>135</v>
      </c>
      <c r="D91" s="13" t="s">
        <v>47</v>
      </c>
      <c r="E91" s="652">
        <v>90000</v>
      </c>
    </row>
    <row r="92" spans="1:5" ht="21.6" customHeight="1">
      <c r="A92" s="8">
        <v>6</v>
      </c>
      <c r="B92" s="9" t="s">
        <v>163</v>
      </c>
      <c r="C92" s="10" t="s">
        <v>135</v>
      </c>
      <c r="D92" s="13" t="s">
        <v>164</v>
      </c>
      <c r="E92" s="652">
        <v>90000</v>
      </c>
    </row>
    <row r="93" spans="1:5" ht="21.6" customHeight="1">
      <c r="A93" s="8">
        <v>7</v>
      </c>
      <c r="B93" s="9" t="s">
        <v>165</v>
      </c>
      <c r="C93" s="15" t="s">
        <v>67</v>
      </c>
      <c r="D93" s="13" t="s">
        <v>137</v>
      </c>
      <c r="E93" s="652">
        <v>68000</v>
      </c>
    </row>
    <row r="94" spans="1:5" ht="21.6" customHeight="1">
      <c r="A94" s="8">
        <v>8</v>
      </c>
      <c r="B94" s="9" t="s">
        <v>166</v>
      </c>
      <c r="C94" s="15" t="s">
        <v>167</v>
      </c>
      <c r="D94" s="13" t="s">
        <v>168</v>
      </c>
      <c r="E94" s="652">
        <v>90000</v>
      </c>
    </row>
    <row r="95" spans="1:5" ht="21.6" customHeight="1">
      <c r="A95" s="8">
        <v>9</v>
      </c>
      <c r="B95" s="9" t="s">
        <v>169</v>
      </c>
      <c r="C95" s="2" t="s">
        <v>170</v>
      </c>
      <c r="D95" s="8" t="s">
        <v>104</v>
      </c>
      <c r="E95" s="662">
        <v>68000</v>
      </c>
    </row>
    <row r="96" spans="1:5" ht="21.6" customHeight="1">
      <c r="A96" s="8">
        <v>10</v>
      </c>
      <c r="B96" s="9" t="s">
        <v>171</v>
      </c>
      <c r="C96" s="15" t="s">
        <v>172</v>
      </c>
      <c r="D96" s="13" t="s">
        <v>173</v>
      </c>
      <c r="E96" s="662">
        <v>54000</v>
      </c>
    </row>
    <row r="97" spans="1:5" ht="20.100000000000001" customHeight="1">
      <c r="A97" s="8"/>
      <c r="B97" s="18" t="s">
        <v>96</v>
      </c>
      <c r="C97" s="19">
        <v>10</v>
      </c>
      <c r="D97" s="19"/>
      <c r="E97" s="657">
        <f>SUM(E87:E96)</f>
        <v>928000</v>
      </c>
    </row>
    <row r="98" spans="1:5" ht="20.100000000000001" customHeight="1">
      <c r="A98" s="8"/>
      <c r="B98" s="20"/>
      <c r="C98" s="19"/>
      <c r="D98" s="19"/>
      <c r="E98" s="659"/>
    </row>
    <row r="99" spans="1:5" ht="20.100000000000001" customHeight="1">
      <c r="A99" s="8"/>
      <c r="B99" s="18" t="s">
        <v>174</v>
      </c>
      <c r="C99" s="19"/>
      <c r="D99" s="19"/>
      <c r="E99" s="659"/>
    </row>
    <row r="100" spans="1:5" ht="20.100000000000001" customHeight="1">
      <c r="A100" s="8">
        <v>1</v>
      </c>
      <c r="B100" s="12" t="s">
        <v>175</v>
      </c>
      <c r="C100" s="2" t="s">
        <v>176</v>
      </c>
      <c r="D100" s="14" t="s">
        <v>177</v>
      </c>
      <c r="E100" s="652">
        <v>270000</v>
      </c>
    </row>
    <row r="101" spans="1:5" ht="20.100000000000001" customHeight="1">
      <c r="A101" s="8">
        <v>2</v>
      </c>
      <c r="B101" s="9" t="s">
        <v>178</v>
      </c>
      <c r="C101" s="2" t="s">
        <v>179</v>
      </c>
      <c r="D101" s="13" t="s">
        <v>150</v>
      </c>
      <c r="E101" s="652">
        <v>90000</v>
      </c>
    </row>
    <row r="102" spans="1:5" ht="20.100000000000001" customHeight="1">
      <c r="A102" s="8">
        <v>3</v>
      </c>
      <c r="B102" s="9" t="s">
        <v>182</v>
      </c>
      <c r="C102" s="2" t="s">
        <v>183</v>
      </c>
      <c r="D102" s="13" t="s">
        <v>62</v>
      </c>
      <c r="E102" s="652">
        <v>68000</v>
      </c>
    </row>
    <row r="103" spans="1:5" ht="20.100000000000001" customHeight="1">
      <c r="A103" s="8">
        <v>4</v>
      </c>
      <c r="B103" s="9" t="s">
        <v>184</v>
      </c>
      <c r="C103" s="2" t="s">
        <v>185</v>
      </c>
      <c r="D103" s="13" t="s">
        <v>104</v>
      </c>
      <c r="E103" s="662">
        <v>68000</v>
      </c>
    </row>
    <row r="104" spans="1:5" ht="20.100000000000001" customHeight="1">
      <c r="A104" s="2"/>
      <c r="B104" s="18" t="s">
        <v>96</v>
      </c>
      <c r="C104" s="19">
        <v>4</v>
      </c>
      <c r="D104" s="24"/>
      <c r="E104" s="657">
        <f>SUM(E100:E103)</f>
        <v>496000</v>
      </c>
    </row>
    <row r="105" spans="1:5" ht="20.100000000000001" customHeight="1">
      <c r="A105" s="2"/>
      <c r="B105" s="20"/>
      <c r="C105" s="19"/>
      <c r="D105" s="24"/>
      <c r="E105" s="659"/>
    </row>
    <row r="106" spans="1:5" ht="20.100000000000001" customHeight="1">
      <c r="A106" s="2"/>
      <c r="B106" s="18" t="s">
        <v>186</v>
      </c>
      <c r="C106" s="2"/>
      <c r="D106" s="2"/>
      <c r="E106" s="663"/>
    </row>
    <row r="107" spans="1:5" ht="20.100000000000001" customHeight="1">
      <c r="A107" s="2">
        <v>1</v>
      </c>
      <c r="B107" s="9" t="s">
        <v>187</v>
      </c>
      <c r="C107" s="10" t="s">
        <v>188</v>
      </c>
      <c r="D107" s="13" t="s">
        <v>100</v>
      </c>
      <c r="E107" s="652">
        <v>270000</v>
      </c>
    </row>
    <row r="108" spans="1:5" ht="20.100000000000001" customHeight="1">
      <c r="A108" s="2">
        <v>2</v>
      </c>
      <c r="B108" s="9" t="s">
        <v>189</v>
      </c>
      <c r="C108" s="2" t="s">
        <v>190</v>
      </c>
      <c r="D108" s="14" t="s">
        <v>191</v>
      </c>
      <c r="E108" s="652">
        <v>180000</v>
      </c>
    </row>
    <row r="109" spans="1:5" ht="20.100000000000001" customHeight="1">
      <c r="A109" s="2">
        <v>3</v>
      </c>
      <c r="B109" s="9" t="s">
        <v>192</v>
      </c>
      <c r="C109" s="2" t="s">
        <v>193</v>
      </c>
      <c r="D109" s="8" t="s">
        <v>194</v>
      </c>
      <c r="E109" s="652">
        <v>90000</v>
      </c>
    </row>
    <row r="110" spans="1:5" ht="20.100000000000001" customHeight="1">
      <c r="A110" s="2">
        <v>4</v>
      </c>
      <c r="B110" s="9" t="s">
        <v>195</v>
      </c>
      <c r="C110" s="2" t="s">
        <v>193</v>
      </c>
      <c r="D110" s="8" t="s">
        <v>194</v>
      </c>
      <c r="E110" s="652">
        <v>90000</v>
      </c>
    </row>
    <row r="111" spans="1:5" ht="20.100000000000001" customHeight="1">
      <c r="A111" s="2">
        <v>5</v>
      </c>
      <c r="B111" s="9" t="s">
        <v>196</v>
      </c>
      <c r="C111" s="2" t="s">
        <v>197</v>
      </c>
      <c r="D111" s="13" t="s">
        <v>198</v>
      </c>
      <c r="E111" s="662">
        <v>54000</v>
      </c>
    </row>
    <row r="112" spans="1:5" ht="20.100000000000001" customHeight="1">
      <c r="A112" s="2">
        <v>6</v>
      </c>
      <c r="B112" s="16" t="s">
        <v>199</v>
      </c>
      <c r="C112" s="2" t="s">
        <v>197</v>
      </c>
      <c r="D112" s="8" t="s">
        <v>200</v>
      </c>
      <c r="E112" s="662">
        <v>54000</v>
      </c>
    </row>
    <row r="113" spans="1:5" ht="20.100000000000001" customHeight="1">
      <c r="A113" s="2">
        <v>7</v>
      </c>
      <c r="B113" s="16" t="s">
        <v>201</v>
      </c>
      <c r="C113" s="2" t="s">
        <v>197</v>
      </c>
      <c r="D113" s="13" t="s">
        <v>173</v>
      </c>
      <c r="E113" s="662">
        <v>54000</v>
      </c>
    </row>
    <row r="114" spans="1:5" ht="25.5" customHeight="1">
      <c r="A114" s="2"/>
      <c r="B114" s="18" t="s">
        <v>96</v>
      </c>
      <c r="C114" s="19">
        <v>7</v>
      </c>
      <c r="D114" s="2"/>
      <c r="E114" s="665">
        <f>SUM(E107:E113)</f>
        <v>792000</v>
      </c>
    </row>
    <row r="115" spans="1:5" ht="20.100000000000001" customHeight="1">
      <c r="A115" s="2"/>
      <c r="B115" s="18"/>
      <c r="C115" s="19"/>
      <c r="D115" s="2"/>
      <c r="E115" s="665"/>
    </row>
    <row r="116" spans="1:5" ht="20.100000000000001" customHeight="1">
      <c r="A116" s="8"/>
      <c r="B116" s="18" t="s">
        <v>202</v>
      </c>
      <c r="C116" s="19"/>
      <c r="D116" s="19"/>
      <c r="E116" s="659"/>
    </row>
    <row r="117" spans="1:5" ht="20.100000000000001" customHeight="1">
      <c r="A117" s="8">
        <v>1</v>
      </c>
      <c r="B117" s="12" t="s">
        <v>203</v>
      </c>
      <c r="C117" s="2" t="s">
        <v>114</v>
      </c>
      <c r="D117" s="8" t="s">
        <v>133</v>
      </c>
      <c r="E117" s="652">
        <v>126000</v>
      </c>
    </row>
    <row r="118" spans="1:5" ht="18.75" customHeight="1">
      <c r="A118" s="8">
        <v>2</v>
      </c>
      <c r="B118" s="9" t="s">
        <v>204</v>
      </c>
      <c r="C118" s="2" t="s">
        <v>205</v>
      </c>
      <c r="D118" s="13" t="s">
        <v>62</v>
      </c>
      <c r="E118" s="652">
        <v>68000</v>
      </c>
    </row>
    <row r="119" spans="1:5" ht="20.100000000000001" customHeight="1">
      <c r="A119" s="8">
        <v>3</v>
      </c>
      <c r="B119" s="9" t="s">
        <v>206</v>
      </c>
      <c r="C119" s="10" t="s">
        <v>207</v>
      </c>
      <c r="D119" s="13" t="s">
        <v>168</v>
      </c>
      <c r="E119" s="652">
        <v>90000</v>
      </c>
    </row>
    <row r="120" spans="1:5" ht="24.75" customHeight="1">
      <c r="A120" s="2"/>
      <c r="B120" s="18" t="s">
        <v>96</v>
      </c>
      <c r="C120" s="19">
        <v>2</v>
      </c>
      <c r="D120" s="24"/>
      <c r="E120" s="657">
        <f>SUM(E117:E119)</f>
        <v>284000</v>
      </c>
    </row>
    <row r="121" spans="1:5" ht="24.75" customHeight="1">
      <c r="A121" s="2"/>
      <c r="B121" s="18"/>
      <c r="C121" s="19"/>
      <c r="D121" s="24"/>
      <c r="E121" s="657"/>
    </row>
    <row r="122" spans="1:5" ht="24.75" customHeight="1">
      <c r="A122" s="8"/>
      <c r="B122" s="18" t="s">
        <v>208</v>
      </c>
      <c r="C122" s="19"/>
      <c r="D122" s="19"/>
      <c r="E122" s="659"/>
    </row>
    <row r="123" spans="1:5" ht="24.75" customHeight="1">
      <c r="A123" s="8">
        <v>1</v>
      </c>
      <c r="B123" s="12" t="s">
        <v>209</v>
      </c>
      <c r="C123" s="2" t="s">
        <v>210</v>
      </c>
      <c r="D123" s="8" t="s">
        <v>95</v>
      </c>
      <c r="E123" s="652">
        <v>54000</v>
      </c>
    </row>
    <row r="124" spans="1:5" ht="24.75" customHeight="1">
      <c r="A124" s="8">
        <v>2</v>
      </c>
      <c r="B124" s="9" t="s">
        <v>211</v>
      </c>
      <c r="C124" s="2" t="s">
        <v>212</v>
      </c>
      <c r="D124" s="8" t="s">
        <v>95</v>
      </c>
      <c r="E124" s="652">
        <v>54000</v>
      </c>
    </row>
    <row r="125" spans="1:5" ht="24.75" customHeight="1">
      <c r="A125" s="8">
        <v>3</v>
      </c>
      <c r="B125" s="9" t="s">
        <v>213</v>
      </c>
      <c r="C125" s="2" t="s">
        <v>214</v>
      </c>
      <c r="D125" s="8" t="s">
        <v>95</v>
      </c>
      <c r="E125" s="652">
        <v>54000</v>
      </c>
    </row>
    <row r="126" spans="1:5" ht="20.100000000000001" customHeight="1">
      <c r="A126" s="2"/>
      <c r="B126" s="18" t="s">
        <v>96</v>
      </c>
      <c r="C126" s="19">
        <v>3</v>
      </c>
      <c r="D126" s="24"/>
      <c r="E126" s="657">
        <f>SUM(E123:E125)</f>
        <v>162000</v>
      </c>
    </row>
    <row r="127" spans="1:5" ht="20.100000000000001" customHeight="1">
      <c r="A127" s="2"/>
      <c r="B127" s="18"/>
      <c r="C127" s="19"/>
      <c r="D127" s="24"/>
      <c r="E127" s="657"/>
    </row>
    <row r="128" spans="1:5" ht="20.100000000000001" customHeight="1">
      <c r="A128" s="2"/>
      <c r="B128" s="18" t="s">
        <v>215</v>
      </c>
      <c r="C128" s="19"/>
      <c r="D128" s="19"/>
      <c r="E128" s="659"/>
    </row>
    <row r="129" spans="1:5" ht="20.100000000000001" customHeight="1">
      <c r="A129" s="2">
        <v>1</v>
      </c>
      <c r="B129" s="9" t="s">
        <v>216</v>
      </c>
      <c r="C129" s="10" t="s">
        <v>217</v>
      </c>
      <c r="D129" s="13" t="s">
        <v>100</v>
      </c>
      <c r="E129" s="652">
        <v>270000</v>
      </c>
    </row>
    <row r="130" spans="1:5" ht="20.100000000000001" customHeight="1">
      <c r="A130" s="2">
        <v>2</v>
      </c>
      <c r="B130" s="9" t="s">
        <v>218</v>
      </c>
      <c r="C130" s="10" t="s">
        <v>219</v>
      </c>
      <c r="D130" s="13" t="s">
        <v>112</v>
      </c>
      <c r="E130" s="652">
        <v>180000</v>
      </c>
    </row>
    <row r="131" spans="1:5" ht="20.100000000000001" customHeight="1">
      <c r="A131" s="2">
        <v>3</v>
      </c>
      <c r="B131" s="12" t="s">
        <v>220</v>
      </c>
      <c r="C131" s="10" t="s">
        <v>221</v>
      </c>
      <c r="D131" s="13" t="s">
        <v>36</v>
      </c>
      <c r="E131" s="652">
        <v>126000</v>
      </c>
    </row>
    <row r="132" spans="1:5" ht="20.100000000000001" customHeight="1">
      <c r="A132" s="2">
        <v>4</v>
      </c>
      <c r="B132" s="9" t="s">
        <v>222</v>
      </c>
      <c r="C132" s="10" t="s">
        <v>223</v>
      </c>
      <c r="D132" s="13" t="s">
        <v>224</v>
      </c>
      <c r="E132" s="652">
        <v>90000</v>
      </c>
    </row>
    <row r="133" spans="1:5" ht="20.100000000000001" customHeight="1">
      <c r="A133" s="2">
        <v>5</v>
      </c>
      <c r="B133" s="9" t="s">
        <v>225</v>
      </c>
      <c r="C133" s="10" t="s">
        <v>226</v>
      </c>
      <c r="D133" s="13" t="s">
        <v>47</v>
      </c>
      <c r="E133" s="652">
        <v>90000</v>
      </c>
    </row>
    <row r="134" spans="1:5" ht="20.100000000000001" customHeight="1">
      <c r="A134" s="2">
        <v>6</v>
      </c>
      <c r="B134" s="9" t="s">
        <v>227</v>
      </c>
      <c r="C134" s="10" t="s">
        <v>223</v>
      </c>
      <c r="D134" s="13" t="s">
        <v>150</v>
      </c>
      <c r="E134" s="652">
        <v>90000</v>
      </c>
    </row>
    <row r="135" spans="1:5" ht="20.100000000000001" customHeight="1">
      <c r="A135" s="2">
        <v>7</v>
      </c>
      <c r="B135" s="9" t="s">
        <v>228</v>
      </c>
      <c r="C135" s="10" t="s">
        <v>229</v>
      </c>
      <c r="D135" s="8" t="s">
        <v>75</v>
      </c>
      <c r="E135" s="652">
        <v>54000</v>
      </c>
    </row>
    <row r="136" spans="1:5" ht="20.100000000000001" customHeight="1">
      <c r="A136" s="2">
        <v>8</v>
      </c>
      <c r="B136" s="16" t="s">
        <v>230</v>
      </c>
      <c r="C136" s="10" t="s">
        <v>231</v>
      </c>
      <c r="D136" s="13" t="s">
        <v>92</v>
      </c>
      <c r="E136" s="652">
        <v>54000</v>
      </c>
    </row>
    <row r="137" spans="1:5" ht="20.100000000000001" customHeight="1">
      <c r="A137" s="2">
        <v>9</v>
      </c>
      <c r="B137" s="16" t="s">
        <v>232</v>
      </c>
      <c r="C137" s="10" t="s">
        <v>233</v>
      </c>
      <c r="D137" s="13" t="s">
        <v>92</v>
      </c>
      <c r="E137" s="652">
        <v>54000</v>
      </c>
    </row>
    <row r="138" spans="1:5" ht="20.100000000000001" customHeight="1">
      <c r="A138" s="2">
        <v>10</v>
      </c>
      <c r="B138" s="16" t="s">
        <v>234</v>
      </c>
      <c r="C138" s="10" t="s">
        <v>231</v>
      </c>
      <c r="D138" s="13" t="s">
        <v>95</v>
      </c>
      <c r="E138" s="652">
        <v>54000</v>
      </c>
    </row>
    <row r="139" spans="1:5" ht="28.5" customHeight="1">
      <c r="A139" s="2"/>
      <c r="B139" s="18" t="s">
        <v>96</v>
      </c>
      <c r="C139" s="24" t="s">
        <v>235</v>
      </c>
      <c r="D139" s="13"/>
      <c r="E139" s="659">
        <f>SUM(E129:E138)</f>
        <v>1062000</v>
      </c>
    </row>
    <row r="140" spans="1:5" ht="20.100000000000001" customHeight="1">
      <c r="A140" s="2"/>
      <c r="B140" s="20"/>
      <c r="C140" s="24"/>
      <c r="D140" s="13"/>
      <c r="E140" s="659"/>
    </row>
    <row r="141" spans="1:5" ht="20.100000000000001" customHeight="1">
      <c r="A141" s="2"/>
      <c r="B141" s="18" t="s">
        <v>236</v>
      </c>
      <c r="C141" s="10"/>
      <c r="D141" s="13"/>
      <c r="E141" s="652"/>
    </row>
    <row r="142" spans="1:5" ht="20.100000000000001" customHeight="1">
      <c r="A142" s="25">
        <v>1</v>
      </c>
      <c r="B142" s="9" t="s">
        <v>237</v>
      </c>
      <c r="C142" s="10" t="s">
        <v>238</v>
      </c>
      <c r="D142" s="13" t="s">
        <v>100</v>
      </c>
      <c r="E142" s="652">
        <v>270000</v>
      </c>
    </row>
    <row r="143" spans="1:5" ht="20.100000000000001" customHeight="1">
      <c r="A143" s="25">
        <v>2</v>
      </c>
      <c r="B143" s="12" t="s">
        <v>239</v>
      </c>
      <c r="C143" s="2" t="s">
        <v>240</v>
      </c>
      <c r="D143" s="14" t="s">
        <v>191</v>
      </c>
      <c r="E143" s="652">
        <v>180000</v>
      </c>
    </row>
    <row r="144" spans="1:5" ht="20.100000000000001" customHeight="1">
      <c r="A144" s="25">
        <v>3</v>
      </c>
      <c r="B144" s="9" t="s">
        <v>241</v>
      </c>
      <c r="C144" s="10" t="s">
        <v>242</v>
      </c>
      <c r="D144" s="13" t="s">
        <v>39</v>
      </c>
      <c r="E144" s="652">
        <v>126000</v>
      </c>
    </row>
    <row r="145" spans="1:5" ht="20.100000000000001" customHeight="1">
      <c r="A145" s="25">
        <v>4</v>
      </c>
      <c r="B145" s="9" t="s">
        <v>243</v>
      </c>
      <c r="C145" s="2" t="s">
        <v>244</v>
      </c>
      <c r="D145" s="13" t="s">
        <v>39</v>
      </c>
      <c r="E145" s="652">
        <v>126000</v>
      </c>
    </row>
    <row r="146" spans="1:5" ht="20.100000000000001" customHeight="1">
      <c r="A146" s="25">
        <v>5</v>
      </c>
      <c r="B146" s="9" t="s">
        <v>245</v>
      </c>
      <c r="C146" s="2" t="s">
        <v>244</v>
      </c>
      <c r="D146" s="13" t="s">
        <v>39</v>
      </c>
      <c r="E146" s="652">
        <v>126000</v>
      </c>
    </row>
    <row r="147" spans="1:5" ht="20.100000000000001" customHeight="1">
      <c r="A147" s="25">
        <v>6</v>
      </c>
      <c r="B147" s="9" t="s">
        <v>180</v>
      </c>
      <c r="C147" s="10" t="s">
        <v>181</v>
      </c>
      <c r="D147" s="13" t="s">
        <v>168</v>
      </c>
      <c r="E147" s="652">
        <v>90000</v>
      </c>
    </row>
    <row r="148" spans="1:5" ht="20.100000000000001" customHeight="1">
      <c r="A148" s="25">
        <v>7</v>
      </c>
      <c r="B148" s="9" t="s">
        <v>246</v>
      </c>
      <c r="C148" s="10" t="s">
        <v>181</v>
      </c>
      <c r="D148" s="13" t="s">
        <v>168</v>
      </c>
      <c r="E148" s="652">
        <v>90000</v>
      </c>
    </row>
    <row r="149" spans="1:5" ht="20.100000000000001" customHeight="1">
      <c r="A149" s="25">
        <v>8</v>
      </c>
      <c r="B149" s="9" t="s">
        <v>247</v>
      </c>
      <c r="C149" s="2" t="s">
        <v>248</v>
      </c>
      <c r="D149" s="13" t="s">
        <v>168</v>
      </c>
      <c r="E149" s="652">
        <v>90000</v>
      </c>
    </row>
    <row r="150" spans="1:5" ht="20.100000000000001" customHeight="1">
      <c r="A150" s="25">
        <v>9</v>
      </c>
      <c r="B150" s="9" t="s">
        <v>249</v>
      </c>
      <c r="C150" s="10" t="s">
        <v>250</v>
      </c>
      <c r="D150" s="13" t="s">
        <v>62</v>
      </c>
      <c r="E150" s="652">
        <v>68000</v>
      </c>
    </row>
    <row r="151" spans="1:5" ht="20.100000000000001" customHeight="1">
      <c r="A151" s="25">
        <v>10</v>
      </c>
      <c r="B151" s="9" t="s">
        <v>251</v>
      </c>
      <c r="C151" s="10" t="s">
        <v>252</v>
      </c>
      <c r="D151" s="13" t="s">
        <v>137</v>
      </c>
      <c r="E151" s="652">
        <v>68000</v>
      </c>
    </row>
    <row r="152" spans="1:5" ht="20.100000000000001" customHeight="1">
      <c r="A152" s="25">
        <v>11</v>
      </c>
      <c r="B152" s="9" t="s">
        <v>253</v>
      </c>
      <c r="C152" s="10" t="s">
        <v>254</v>
      </c>
      <c r="D152" s="13" t="s">
        <v>255</v>
      </c>
      <c r="E152" s="652">
        <v>68000</v>
      </c>
    </row>
    <row r="153" spans="1:5" ht="20.100000000000001" customHeight="1">
      <c r="A153" s="25">
        <v>12</v>
      </c>
      <c r="B153" s="16" t="s">
        <v>256</v>
      </c>
      <c r="C153" s="2" t="s">
        <v>257</v>
      </c>
      <c r="D153" s="13" t="s">
        <v>65</v>
      </c>
      <c r="E153" s="652">
        <v>68000</v>
      </c>
    </row>
    <row r="154" spans="1:5" ht="20.100000000000001" customHeight="1">
      <c r="A154" s="25">
        <v>13</v>
      </c>
      <c r="B154" s="9" t="s">
        <v>258</v>
      </c>
      <c r="C154" s="2" t="s">
        <v>257</v>
      </c>
      <c r="D154" s="13" t="s">
        <v>65</v>
      </c>
      <c r="E154" s="652">
        <v>68000</v>
      </c>
    </row>
    <row r="155" spans="1:5" ht="20.100000000000001" customHeight="1">
      <c r="A155" s="25">
        <v>14</v>
      </c>
      <c r="B155" s="9" t="s">
        <v>259</v>
      </c>
      <c r="C155" s="2" t="s">
        <v>257</v>
      </c>
      <c r="D155" s="13" t="s">
        <v>65</v>
      </c>
      <c r="E155" s="652">
        <v>68000</v>
      </c>
    </row>
    <row r="156" spans="1:5" ht="20.100000000000001" customHeight="1">
      <c r="A156" s="25">
        <v>15</v>
      </c>
      <c r="B156" s="9" t="s">
        <v>260</v>
      </c>
      <c r="C156" s="2" t="s">
        <v>257</v>
      </c>
      <c r="D156" s="13" t="s">
        <v>65</v>
      </c>
      <c r="E156" s="652">
        <v>68000</v>
      </c>
    </row>
    <row r="157" spans="1:5" ht="20.100000000000001" customHeight="1">
      <c r="A157" s="25">
        <v>16</v>
      </c>
      <c r="B157" s="9" t="s">
        <v>261</v>
      </c>
      <c r="C157" s="10" t="s">
        <v>262</v>
      </c>
      <c r="D157" s="13" t="s">
        <v>104</v>
      </c>
      <c r="E157" s="652">
        <v>68000</v>
      </c>
    </row>
    <row r="158" spans="1:5" ht="20.100000000000001" customHeight="1">
      <c r="A158" s="25">
        <v>17</v>
      </c>
      <c r="B158" s="9" t="s">
        <v>263</v>
      </c>
      <c r="C158" s="10" t="s">
        <v>264</v>
      </c>
      <c r="D158" s="8" t="s">
        <v>80</v>
      </c>
      <c r="E158" s="652">
        <v>54000</v>
      </c>
    </row>
    <row r="159" spans="1:5" ht="20.100000000000001" customHeight="1">
      <c r="A159" s="25">
        <v>18</v>
      </c>
      <c r="B159" s="9" t="s">
        <v>265</v>
      </c>
      <c r="C159" s="10" t="s">
        <v>266</v>
      </c>
      <c r="D159" s="13" t="s">
        <v>267</v>
      </c>
      <c r="E159" s="662">
        <v>68000</v>
      </c>
    </row>
    <row r="160" spans="1:5" ht="20.100000000000001" customHeight="1">
      <c r="A160" s="25">
        <v>19</v>
      </c>
      <c r="B160" s="9" t="s">
        <v>268</v>
      </c>
      <c r="C160" s="10" t="s">
        <v>269</v>
      </c>
      <c r="D160" s="13" t="s">
        <v>75</v>
      </c>
      <c r="E160" s="662">
        <v>54000</v>
      </c>
    </row>
    <row r="161" spans="1:5" ht="20.100000000000001" customHeight="1">
      <c r="A161" s="25">
        <v>20</v>
      </c>
      <c r="B161" s="9" t="s">
        <v>270</v>
      </c>
      <c r="C161" s="10" t="s">
        <v>271</v>
      </c>
      <c r="D161" s="13" t="s">
        <v>267</v>
      </c>
      <c r="E161" s="662">
        <v>68000</v>
      </c>
    </row>
    <row r="162" spans="1:5" ht="20.100000000000001" customHeight="1">
      <c r="A162" s="25">
        <v>21</v>
      </c>
      <c r="B162" s="9" t="s">
        <v>272</v>
      </c>
      <c r="C162" s="10" t="s">
        <v>273</v>
      </c>
      <c r="D162" s="13" t="s">
        <v>75</v>
      </c>
      <c r="E162" s="662">
        <v>54000</v>
      </c>
    </row>
    <row r="163" spans="1:5" ht="20.100000000000001" customHeight="1">
      <c r="A163" s="25">
        <v>22</v>
      </c>
      <c r="B163" s="16" t="s">
        <v>274</v>
      </c>
      <c r="C163" s="10" t="s">
        <v>275</v>
      </c>
      <c r="D163" s="13" t="s">
        <v>83</v>
      </c>
      <c r="E163" s="662">
        <v>54000</v>
      </c>
    </row>
    <row r="164" spans="1:5" ht="20.100000000000001" customHeight="1">
      <c r="A164" s="25">
        <v>23</v>
      </c>
      <c r="B164" s="16" t="s">
        <v>276</v>
      </c>
      <c r="C164" s="10" t="s">
        <v>275</v>
      </c>
      <c r="D164" s="13" t="s">
        <v>83</v>
      </c>
      <c r="E164" s="662">
        <v>54000</v>
      </c>
    </row>
    <row r="165" spans="1:5" ht="20.100000000000001" customHeight="1">
      <c r="A165" s="25">
        <v>24</v>
      </c>
      <c r="B165" s="16" t="s">
        <v>277</v>
      </c>
      <c r="C165" s="10" t="s">
        <v>278</v>
      </c>
      <c r="D165" s="13" t="s">
        <v>92</v>
      </c>
      <c r="E165" s="662">
        <v>54000</v>
      </c>
    </row>
    <row r="166" spans="1:5" ht="20.100000000000001" customHeight="1">
      <c r="A166" s="25">
        <v>25</v>
      </c>
      <c r="B166" s="16" t="s">
        <v>279</v>
      </c>
      <c r="C166" s="10" t="s">
        <v>280</v>
      </c>
      <c r="D166" s="13" t="s">
        <v>92</v>
      </c>
      <c r="E166" s="662">
        <v>54000</v>
      </c>
    </row>
    <row r="167" spans="1:5" ht="20.100000000000001" customHeight="1">
      <c r="A167" s="25">
        <v>26</v>
      </c>
      <c r="B167" s="16" t="s">
        <v>281</v>
      </c>
      <c r="C167" s="10" t="s">
        <v>282</v>
      </c>
      <c r="D167" s="13" t="s">
        <v>92</v>
      </c>
      <c r="E167" s="662">
        <v>54000</v>
      </c>
    </row>
    <row r="168" spans="1:5" ht="20.100000000000001" customHeight="1">
      <c r="A168" s="25">
        <v>27</v>
      </c>
      <c r="B168" s="16" t="s">
        <v>283</v>
      </c>
      <c r="C168" s="10" t="s">
        <v>284</v>
      </c>
      <c r="D168" s="13" t="s">
        <v>173</v>
      </c>
      <c r="E168" s="662">
        <v>54000</v>
      </c>
    </row>
    <row r="169" spans="1:5" ht="20.100000000000001" customHeight="1">
      <c r="A169" s="25">
        <v>28</v>
      </c>
      <c r="B169" s="16" t="s">
        <v>285</v>
      </c>
      <c r="C169" s="10" t="s">
        <v>280</v>
      </c>
      <c r="D169" s="13" t="s">
        <v>92</v>
      </c>
      <c r="E169" s="662">
        <v>54000</v>
      </c>
    </row>
    <row r="170" spans="1:5" ht="20.100000000000001" customHeight="1">
      <c r="A170" s="25">
        <v>29</v>
      </c>
      <c r="B170" s="16" t="s">
        <v>286</v>
      </c>
      <c r="C170" s="10" t="s">
        <v>287</v>
      </c>
      <c r="D170" s="13" t="s">
        <v>95</v>
      </c>
      <c r="E170" s="662">
        <v>54000</v>
      </c>
    </row>
    <row r="171" spans="1:5" ht="20.100000000000001" customHeight="1">
      <c r="A171" s="25">
        <v>30</v>
      </c>
      <c r="B171" s="16" t="s">
        <v>288</v>
      </c>
      <c r="C171" s="10" t="s">
        <v>287</v>
      </c>
      <c r="D171" s="13" t="s">
        <v>95</v>
      </c>
      <c r="E171" s="662">
        <v>54000</v>
      </c>
    </row>
    <row r="172" spans="1:5" ht="20.100000000000001" customHeight="1">
      <c r="A172" s="25">
        <v>31</v>
      </c>
      <c r="B172" s="9" t="s">
        <v>289</v>
      </c>
      <c r="C172" s="10" t="s">
        <v>290</v>
      </c>
      <c r="D172" s="13" t="s">
        <v>291</v>
      </c>
      <c r="E172" s="662">
        <v>36000</v>
      </c>
    </row>
    <row r="173" spans="1:5" ht="20.100000000000001" customHeight="1">
      <c r="A173" s="25">
        <v>32</v>
      </c>
      <c r="B173" s="9" t="s">
        <v>292</v>
      </c>
      <c r="C173" s="10" t="s">
        <v>290</v>
      </c>
      <c r="D173" s="13" t="s">
        <v>291</v>
      </c>
      <c r="E173" s="662">
        <v>36000</v>
      </c>
    </row>
    <row r="174" spans="1:5" ht="20.100000000000001" customHeight="1">
      <c r="A174" s="25">
        <v>33</v>
      </c>
      <c r="B174" s="9" t="s">
        <v>293</v>
      </c>
      <c r="C174" s="10" t="s">
        <v>290</v>
      </c>
      <c r="D174" s="13" t="s">
        <v>291</v>
      </c>
      <c r="E174" s="662">
        <v>36000</v>
      </c>
    </row>
    <row r="175" spans="1:5" ht="20.100000000000001" customHeight="1">
      <c r="A175" s="25">
        <v>34</v>
      </c>
      <c r="B175" s="9" t="s">
        <v>294</v>
      </c>
      <c r="C175" s="10" t="s">
        <v>290</v>
      </c>
      <c r="D175" s="13" t="s">
        <v>291</v>
      </c>
      <c r="E175" s="662">
        <v>36000</v>
      </c>
    </row>
    <row r="176" spans="1:5" ht="20.100000000000001" customHeight="1">
      <c r="A176" s="25">
        <v>35</v>
      </c>
      <c r="B176" s="9" t="s">
        <v>295</v>
      </c>
      <c r="C176" s="10" t="s">
        <v>290</v>
      </c>
      <c r="D176" s="13" t="s">
        <v>291</v>
      </c>
      <c r="E176" s="662">
        <v>36000</v>
      </c>
    </row>
    <row r="177" spans="1:5" ht="20.100000000000001" customHeight="1">
      <c r="A177" s="25">
        <v>36</v>
      </c>
      <c r="B177" s="9" t="s">
        <v>296</v>
      </c>
      <c r="C177" s="10" t="s">
        <v>290</v>
      </c>
      <c r="D177" s="13" t="s">
        <v>297</v>
      </c>
      <c r="E177" s="662">
        <v>36000</v>
      </c>
    </row>
    <row r="178" spans="1:5" ht="20.100000000000001" customHeight="1">
      <c r="A178" s="25">
        <v>37</v>
      </c>
      <c r="B178" s="9" t="s">
        <v>298</v>
      </c>
      <c r="C178" s="10" t="s">
        <v>290</v>
      </c>
      <c r="D178" s="13" t="s">
        <v>297</v>
      </c>
      <c r="E178" s="662">
        <v>36000</v>
      </c>
    </row>
    <row r="179" spans="1:5" ht="20.100000000000001" customHeight="1">
      <c r="A179" s="25">
        <v>38</v>
      </c>
      <c r="B179" s="12" t="s">
        <v>299</v>
      </c>
      <c r="C179" s="10" t="s">
        <v>290</v>
      </c>
      <c r="D179" s="13" t="s">
        <v>297</v>
      </c>
      <c r="E179" s="662">
        <v>36000</v>
      </c>
    </row>
    <row r="180" spans="1:5" ht="20.100000000000001" customHeight="1">
      <c r="A180" s="25">
        <v>39</v>
      </c>
      <c r="B180" s="9" t="s">
        <v>300</v>
      </c>
      <c r="C180" s="10" t="s">
        <v>290</v>
      </c>
      <c r="D180" s="13" t="s">
        <v>297</v>
      </c>
      <c r="E180" s="662">
        <v>36000</v>
      </c>
    </row>
    <row r="181" spans="1:5" ht="20.100000000000001" customHeight="1">
      <c r="A181" s="25">
        <v>40</v>
      </c>
      <c r="B181" s="16" t="s">
        <v>301</v>
      </c>
      <c r="C181" s="10" t="s">
        <v>290</v>
      </c>
      <c r="D181" s="13" t="s">
        <v>297</v>
      </c>
      <c r="E181" s="662">
        <v>36000</v>
      </c>
    </row>
    <row r="182" spans="1:5" ht="20.100000000000001" customHeight="1">
      <c r="A182" s="25">
        <v>41</v>
      </c>
      <c r="B182" s="16" t="s">
        <v>302</v>
      </c>
      <c r="C182" s="10" t="s">
        <v>290</v>
      </c>
      <c r="D182" s="13" t="s">
        <v>297</v>
      </c>
      <c r="E182" s="662">
        <v>36000</v>
      </c>
    </row>
    <row r="183" spans="1:5" ht="20.100000000000001" customHeight="1">
      <c r="A183" s="25">
        <v>42</v>
      </c>
      <c r="B183" s="9" t="s">
        <v>303</v>
      </c>
      <c r="C183" s="10" t="s">
        <v>304</v>
      </c>
      <c r="D183" s="13" t="s">
        <v>305</v>
      </c>
      <c r="E183" s="662">
        <v>36000</v>
      </c>
    </row>
    <row r="184" spans="1:5" ht="20.100000000000001" customHeight="1">
      <c r="A184" s="25">
        <v>43</v>
      </c>
      <c r="B184" s="9" t="s">
        <v>306</v>
      </c>
      <c r="C184" s="10" t="s">
        <v>304</v>
      </c>
      <c r="D184" s="13" t="s">
        <v>305</v>
      </c>
      <c r="E184" s="662">
        <v>36000</v>
      </c>
    </row>
    <row r="185" spans="1:5" ht="20.100000000000001" customHeight="1">
      <c r="A185" s="25">
        <v>44</v>
      </c>
      <c r="B185" s="16" t="s">
        <v>307</v>
      </c>
      <c r="C185" s="10" t="s">
        <v>304</v>
      </c>
      <c r="D185" s="13" t="s">
        <v>308</v>
      </c>
      <c r="E185" s="662">
        <v>36000</v>
      </c>
    </row>
    <row r="186" spans="1:5" ht="20.100000000000001" customHeight="1">
      <c r="A186" s="25">
        <v>45</v>
      </c>
      <c r="B186" s="9" t="s">
        <v>309</v>
      </c>
      <c r="C186" s="10" t="s">
        <v>304</v>
      </c>
      <c r="D186" s="13" t="s">
        <v>305</v>
      </c>
      <c r="E186" s="662">
        <v>36000</v>
      </c>
    </row>
    <row r="187" spans="1:5" ht="20.100000000000001" customHeight="1">
      <c r="A187" s="25">
        <v>46</v>
      </c>
      <c r="B187" s="9" t="s">
        <v>312</v>
      </c>
      <c r="C187" s="10" t="s">
        <v>313</v>
      </c>
      <c r="D187" s="13" t="s">
        <v>314</v>
      </c>
      <c r="E187" s="662">
        <v>36000</v>
      </c>
    </row>
    <row r="188" spans="1:5" ht="20.100000000000001" customHeight="1">
      <c r="A188" s="25">
        <v>47</v>
      </c>
      <c r="B188" s="9" t="s">
        <v>315</v>
      </c>
      <c r="C188" s="10" t="s">
        <v>313</v>
      </c>
      <c r="D188" s="13" t="s">
        <v>314</v>
      </c>
      <c r="E188" s="662">
        <v>36000</v>
      </c>
    </row>
    <row r="189" spans="1:5" ht="20.100000000000001" customHeight="1">
      <c r="A189" s="25">
        <v>48</v>
      </c>
      <c r="B189" s="9" t="s">
        <v>316</v>
      </c>
      <c r="C189" s="10" t="s">
        <v>313</v>
      </c>
      <c r="D189" s="13" t="s">
        <v>314</v>
      </c>
      <c r="E189" s="662">
        <v>36000</v>
      </c>
    </row>
    <row r="190" spans="1:5" ht="20.100000000000001" customHeight="1">
      <c r="A190" s="25">
        <v>49</v>
      </c>
      <c r="B190" s="9" t="s">
        <v>317</v>
      </c>
      <c r="C190" s="10" t="s">
        <v>313</v>
      </c>
      <c r="D190" s="13" t="s">
        <v>314</v>
      </c>
      <c r="E190" s="662">
        <v>36000</v>
      </c>
    </row>
    <row r="191" spans="1:5" ht="20.100000000000001" customHeight="1">
      <c r="A191" s="25">
        <v>50</v>
      </c>
      <c r="B191" s="9" t="s">
        <v>318</v>
      </c>
      <c r="C191" s="10" t="s">
        <v>313</v>
      </c>
      <c r="D191" s="13" t="s">
        <v>314</v>
      </c>
      <c r="E191" s="662">
        <v>36000</v>
      </c>
    </row>
    <row r="192" spans="1:5" ht="20.100000000000001" customHeight="1">
      <c r="A192" s="25">
        <v>51</v>
      </c>
      <c r="B192" s="16" t="s">
        <v>319</v>
      </c>
      <c r="C192" s="10" t="s">
        <v>313</v>
      </c>
      <c r="D192" s="13" t="s">
        <v>314</v>
      </c>
      <c r="E192" s="662">
        <v>36000</v>
      </c>
    </row>
    <row r="193" spans="1:5" ht="20.100000000000001" customHeight="1">
      <c r="A193" s="25">
        <v>52</v>
      </c>
      <c r="B193" s="16" t="s">
        <v>320</v>
      </c>
      <c r="C193" s="10" t="s">
        <v>313</v>
      </c>
      <c r="D193" s="13" t="s">
        <v>314</v>
      </c>
      <c r="E193" s="662">
        <v>36000</v>
      </c>
    </row>
    <row r="194" spans="1:5" ht="20.100000000000001" customHeight="1">
      <c r="A194" s="25">
        <v>53</v>
      </c>
      <c r="B194" s="9" t="s">
        <v>321</v>
      </c>
      <c r="C194" s="10" t="s">
        <v>310</v>
      </c>
      <c r="D194" s="13" t="s">
        <v>314</v>
      </c>
      <c r="E194" s="662">
        <v>36000</v>
      </c>
    </row>
    <row r="195" spans="1:5" ht="20.100000000000001" customHeight="1">
      <c r="A195" s="25">
        <v>54</v>
      </c>
      <c r="B195" s="9" t="s">
        <v>322</v>
      </c>
      <c r="C195" s="10" t="s">
        <v>310</v>
      </c>
      <c r="D195" s="13" t="s">
        <v>314</v>
      </c>
      <c r="E195" s="662">
        <v>36000</v>
      </c>
    </row>
    <row r="196" spans="1:5" ht="20.100000000000001" customHeight="1">
      <c r="A196" s="25">
        <v>55</v>
      </c>
      <c r="B196" s="16" t="s">
        <v>323</v>
      </c>
      <c r="C196" s="10" t="s">
        <v>324</v>
      </c>
      <c r="D196" s="13" t="s">
        <v>325</v>
      </c>
      <c r="E196" s="662">
        <v>36000</v>
      </c>
    </row>
    <row r="197" spans="1:5" ht="20.100000000000001" customHeight="1">
      <c r="A197" s="25">
        <v>56</v>
      </c>
      <c r="B197" s="16" t="s">
        <v>326</v>
      </c>
      <c r="C197" s="10" t="s">
        <v>324</v>
      </c>
      <c r="D197" s="13" t="s">
        <v>327</v>
      </c>
      <c r="E197" s="662">
        <v>36000</v>
      </c>
    </row>
    <row r="198" spans="1:5" ht="20.100000000000001" customHeight="1">
      <c r="A198" s="25">
        <v>57</v>
      </c>
      <c r="B198" s="16" t="s">
        <v>328</v>
      </c>
      <c r="C198" s="10" t="s">
        <v>304</v>
      </c>
      <c r="D198" s="13" t="s">
        <v>305</v>
      </c>
      <c r="E198" s="662">
        <v>36000</v>
      </c>
    </row>
    <row r="199" spans="1:5" ht="20.100000000000001" customHeight="1">
      <c r="A199" s="25">
        <v>58</v>
      </c>
      <c r="B199" s="16" t="s">
        <v>329</v>
      </c>
      <c r="C199" s="10" t="s">
        <v>330</v>
      </c>
      <c r="D199" s="13" t="s">
        <v>331</v>
      </c>
      <c r="E199" s="662">
        <v>36000</v>
      </c>
    </row>
    <row r="200" spans="1:5" ht="20.100000000000001" customHeight="1">
      <c r="A200" s="25">
        <v>59</v>
      </c>
      <c r="B200" s="16" t="s">
        <v>332</v>
      </c>
      <c r="C200" s="10" t="s">
        <v>330</v>
      </c>
      <c r="D200" s="13" t="s">
        <v>331</v>
      </c>
      <c r="E200" s="662">
        <v>36000</v>
      </c>
    </row>
    <row r="201" spans="1:5" ht="20.100000000000001" customHeight="1">
      <c r="A201" s="25">
        <v>60</v>
      </c>
      <c r="B201" s="16" t="s">
        <v>333</v>
      </c>
      <c r="C201" s="10" t="s">
        <v>330</v>
      </c>
      <c r="D201" s="13" t="s">
        <v>331</v>
      </c>
      <c r="E201" s="662">
        <v>36000</v>
      </c>
    </row>
    <row r="202" spans="1:5" ht="20.100000000000001" customHeight="1">
      <c r="A202" s="25">
        <v>61</v>
      </c>
      <c r="B202" s="16" t="s">
        <v>334</v>
      </c>
      <c r="C202" s="10" t="s">
        <v>335</v>
      </c>
      <c r="D202" s="13" t="s">
        <v>336</v>
      </c>
      <c r="E202" s="662">
        <v>36000</v>
      </c>
    </row>
    <row r="203" spans="1:5" ht="20.100000000000001" customHeight="1">
      <c r="A203" s="25">
        <v>62</v>
      </c>
      <c r="B203" s="16" t="s">
        <v>337</v>
      </c>
      <c r="C203" s="10" t="s">
        <v>335</v>
      </c>
      <c r="D203" s="13" t="s">
        <v>336</v>
      </c>
      <c r="E203" s="662">
        <v>36000</v>
      </c>
    </row>
    <row r="204" spans="1:5" ht="30.75" customHeight="1">
      <c r="A204" s="25"/>
      <c r="B204" s="6" t="s">
        <v>96</v>
      </c>
      <c r="C204" s="26" t="s">
        <v>502</v>
      </c>
      <c r="D204" s="27"/>
      <c r="E204" s="657">
        <f>SUM(E142:E203)</f>
        <v>3578000</v>
      </c>
    </row>
    <row r="205" spans="1:5" ht="33.950000000000003" customHeight="1">
      <c r="A205" s="2"/>
      <c r="B205" s="28" t="s">
        <v>339</v>
      </c>
      <c r="C205" s="29">
        <f>C38+C45+C58+C63+C75+C84+C97+C104+C114+C126+C139+C204</f>
        <v>160</v>
      </c>
      <c r="D205" s="30"/>
      <c r="E205" s="667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800" t="s">
        <v>503</v>
      </c>
      <c r="B1" s="800"/>
      <c r="C1" s="800"/>
    </row>
    <row r="2" spans="1:3" ht="23.1" customHeight="1">
      <c r="A2" s="669">
        <v>1</v>
      </c>
      <c r="B2" s="669" t="s">
        <v>504</v>
      </c>
      <c r="C2" s="563">
        <f>'Christmas Welfare 2024'!E205</f>
        <v>13744000</v>
      </c>
    </row>
    <row r="3" spans="1:3" ht="23.1" customHeight="1">
      <c r="A3" s="669">
        <v>2</v>
      </c>
      <c r="B3" s="669" t="s">
        <v>505</v>
      </c>
      <c r="C3" s="563">
        <f>'[4]Christmas 2024'!$E$58</f>
        <v>1470000</v>
      </c>
    </row>
    <row r="4" spans="1:3" ht="23.1" customHeight="1">
      <c r="A4" s="669">
        <v>3</v>
      </c>
      <c r="B4" s="669" t="s">
        <v>506</v>
      </c>
      <c r="C4" s="563">
        <f>'[5]WELFARE CONTRACT '!$E$21</f>
        <v>1692000</v>
      </c>
    </row>
    <row r="5" spans="1:3" ht="23.1" customHeight="1">
      <c r="A5" s="669">
        <v>4</v>
      </c>
      <c r="B5" s="669" t="s">
        <v>507</v>
      </c>
      <c r="C5" s="563">
        <f>'[5]NEW CONTR WELFARE'!$E$31</f>
        <v>1676000</v>
      </c>
    </row>
    <row r="6" spans="1:3" ht="23.1" customHeight="1">
      <c r="A6" s="669">
        <v>5</v>
      </c>
      <c r="B6" s="669" t="s">
        <v>508</v>
      </c>
      <c r="C6" s="563">
        <f>'[5]WELFARE CAS. SABB. NYSC'!$D$68</f>
        <v>2259000</v>
      </c>
    </row>
    <row r="7" spans="1:3" ht="23.1" customHeight="1">
      <c r="A7" s="669">
        <v>6</v>
      </c>
      <c r="B7" s="669" t="s">
        <v>509</v>
      </c>
      <c r="C7" s="563">
        <f>'[5]WELFARE CONSULTANCY'!$D$30</f>
        <v>1656000</v>
      </c>
    </row>
    <row r="8" spans="1:3" ht="23.1" customHeight="1">
      <c r="A8" s="669">
        <v>7</v>
      </c>
      <c r="B8" s="669" t="s">
        <v>510</v>
      </c>
      <c r="C8" s="563">
        <f>'[5]WELFARE - OTHERS'!$C$95</f>
        <v>1555000</v>
      </c>
    </row>
    <row r="9" spans="1:3" ht="23.1" customHeight="1">
      <c r="A9" s="669"/>
      <c r="B9" s="230" t="s">
        <v>511</v>
      </c>
      <c r="C9" s="670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801" t="s">
        <v>512</v>
      </c>
      <c r="B2" s="801"/>
      <c r="C2" s="801"/>
      <c r="D2" s="801"/>
      <c r="E2" s="801"/>
      <c r="F2" s="801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47" t="s">
        <v>9</v>
      </c>
      <c r="F4" s="648" t="s">
        <v>513</v>
      </c>
    </row>
    <row r="5" spans="1:6" ht="17.25" customHeight="1">
      <c r="C5" s="6"/>
      <c r="D5" s="6"/>
      <c r="E5" s="649" t="s">
        <v>19</v>
      </c>
      <c r="F5" s="650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649"/>
      <c r="F6" s="651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52">
        <v>1934986.1669999999</v>
      </c>
      <c r="F7" s="653">
        <f>E7/2</f>
        <v>967493.08349999995</v>
      </c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52">
        <v>952373.16666666698</v>
      </c>
      <c r="F8" s="653">
        <f t="shared" ref="F8:F37" si="0">E8/2</f>
        <v>476186.58333333302</v>
      </c>
    </row>
    <row r="9" spans="1: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52">
        <v>1152373.16666667</v>
      </c>
      <c r="F9" s="653">
        <f t="shared" si="0"/>
        <v>576186.58333333302</v>
      </c>
    </row>
    <row r="10" spans="1: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52">
        <v>942373.16666666698</v>
      </c>
      <c r="F10" s="653">
        <f t="shared" si="0"/>
        <v>471186.58333333302</v>
      </c>
    </row>
    <row r="11" spans="1:6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652">
        <v>1102373.16666667</v>
      </c>
      <c r="F11" s="653">
        <f t="shared" si="0"/>
        <v>551186.58333333302</v>
      </c>
    </row>
    <row r="12" spans="1:6" ht="20.100000000000001" customHeight="1">
      <c r="A12" s="8">
        <v>6</v>
      </c>
      <c r="B12" s="9" t="s">
        <v>34</v>
      </c>
      <c r="C12" s="10" t="s">
        <v>35</v>
      </c>
      <c r="D12" s="13" t="s">
        <v>36</v>
      </c>
      <c r="E12" s="652">
        <v>750675.58333333302</v>
      </c>
      <c r="F12" s="653">
        <f t="shared" si="0"/>
        <v>375337.79166666698</v>
      </c>
    </row>
    <row r="13" spans="1:6" ht="20.100000000000001" customHeight="1">
      <c r="A13" s="8">
        <v>7</v>
      </c>
      <c r="B13" s="9" t="s">
        <v>37</v>
      </c>
      <c r="C13" s="2" t="s">
        <v>38</v>
      </c>
      <c r="D13" s="8" t="s">
        <v>39</v>
      </c>
      <c r="E13" s="652">
        <v>942118.08333333302</v>
      </c>
      <c r="F13" s="653">
        <f t="shared" si="0"/>
        <v>471059.04166666698</v>
      </c>
    </row>
    <row r="14" spans="1:6" ht="20.100000000000001" customHeight="1">
      <c r="A14" s="8">
        <v>8</v>
      </c>
      <c r="B14" s="9" t="s">
        <v>40</v>
      </c>
      <c r="C14" s="2" t="s">
        <v>41</v>
      </c>
      <c r="D14" s="13" t="s">
        <v>42</v>
      </c>
      <c r="E14" s="652">
        <v>554373.75</v>
      </c>
      <c r="F14" s="653">
        <f t="shared" si="0"/>
        <v>277186.875</v>
      </c>
    </row>
    <row r="15" spans="1:6" ht="20.100000000000001" customHeight="1">
      <c r="A15" s="8">
        <v>9</v>
      </c>
      <c r="B15" s="12" t="s">
        <v>43</v>
      </c>
      <c r="C15" s="15" t="s">
        <v>44</v>
      </c>
      <c r="D15" s="13" t="s">
        <v>39</v>
      </c>
      <c r="E15" s="652">
        <v>892118.08333333302</v>
      </c>
      <c r="F15" s="653">
        <f t="shared" si="0"/>
        <v>446059.04166666698</v>
      </c>
    </row>
    <row r="16" spans="1:6" ht="20.100000000000001" customHeight="1">
      <c r="A16" s="8">
        <v>10</v>
      </c>
      <c r="B16" s="9" t="s">
        <v>45</v>
      </c>
      <c r="C16" s="2" t="s">
        <v>46</v>
      </c>
      <c r="D16" s="8" t="s">
        <v>47</v>
      </c>
      <c r="E16" s="652">
        <v>832746.5</v>
      </c>
      <c r="F16" s="653">
        <f t="shared" si="0"/>
        <v>416373.25</v>
      </c>
    </row>
    <row r="17" spans="1:6" ht="20.100000000000001" customHeight="1">
      <c r="A17" s="8">
        <v>11</v>
      </c>
      <c r="B17" s="9" t="s">
        <v>48</v>
      </c>
      <c r="C17" s="2" t="s">
        <v>49</v>
      </c>
      <c r="D17" s="8" t="s">
        <v>39</v>
      </c>
      <c r="E17" s="652">
        <v>662118.08333333302</v>
      </c>
      <c r="F17" s="653">
        <f t="shared" si="0"/>
        <v>331059.04166666698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52</v>
      </c>
      <c r="E18" s="652">
        <v>548915.91666666698</v>
      </c>
      <c r="F18" s="653">
        <f t="shared" si="0"/>
        <v>274457.95833333302</v>
      </c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55</v>
      </c>
      <c r="E19" s="652">
        <v>736026.91666666698</v>
      </c>
      <c r="F19" s="653">
        <f t="shared" si="0"/>
        <v>368013.45833333302</v>
      </c>
    </row>
    <row r="20" spans="1:6" ht="20.100000000000001" customHeight="1">
      <c r="A20" s="8">
        <v>14</v>
      </c>
      <c r="B20" s="16" t="s">
        <v>56</v>
      </c>
      <c r="C20" s="2" t="s">
        <v>57</v>
      </c>
      <c r="D20" s="13" t="s">
        <v>58</v>
      </c>
      <c r="E20" s="654">
        <v>460248.91666666698</v>
      </c>
      <c r="F20" s="653">
        <f t="shared" si="0"/>
        <v>230124.45833333299</v>
      </c>
    </row>
    <row r="21" spans="1:6" ht="20.100000000000001" customHeight="1">
      <c r="A21" s="8">
        <v>15</v>
      </c>
      <c r="B21" s="16" t="s">
        <v>59</v>
      </c>
      <c r="C21" s="2" t="s">
        <v>51</v>
      </c>
      <c r="D21" s="13" t="s">
        <v>58</v>
      </c>
      <c r="E21" s="654">
        <v>510248.91666666698</v>
      </c>
      <c r="F21" s="653">
        <f t="shared" si="0"/>
        <v>255124.45833333299</v>
      </c>
    </row>
    <row r="22" spans="1:6" ht="18.75" customHeight="1">
      <c r="A22" s="8">
        <v>16</v>
      </c>
      <c r="B22" s="9" t="s">
        <v>60</v>
      </c>
      <c r="C22" s="10" t="s">
        <v>61</v>
      </c>
      <c r="D22" s="13" t="s">
        <v>62</v>
      </c>
      <c r="E22" s="652">
        <v>587895.16666666698</v>
      </c>
      <c r="F22" s="653">
        <f t="shared" si="0"/>
        <v>293947.58333333302</v>
      </c>
    </row>
    <row r="23" spans="1:6" ht="20.100000000000001" customHeight="1">
      <c r="A23" s="8">
        <v>17</v>
      </c>
      <c r="B23" s="12" t="s">
        <v>63</v>
      </c>
      <c r="C23" s="15" t="s">
        <v>64</v>
      </c>
      <c r="D23" s="8" t="s">
        <v>65</v>
      </c>
      <c r="E23" s="652">
        <v>653512.5</v>
      </c>
      <c r="F23" s="653">
        <f t="shared" si="0"/>
        <v>326756.25</v>
      </c>
    </row>
    <row r="24" spans="1:6" ht="21.6" customHeight="1">
      <c r="A24" s="8">
        <v>18</v>
      </c>
      <c r="B24" s="9" t="s">
        <v>66</v>
      </c>
      <c r="C24" s="15" t="s">
        <v>67</v>
      </c>
      <c r="D24" s="13" t="s">
        <v>65</v>
      </c>
      <c r="E24" s="652">
        <v>463512.5</v>
      </c>
      <c r="F24" s="653">
        <f t="shared" si="0"/>
        <v>231756.25</v>
      </c>
    </row>
    <row r="25" spans="1:6" ht="20.100000000000001" customHeight="1">
      <c r="A25" s="8">
        <v>19</v>
      </c>
      <c r="B25" s="12" t="s">
        <v>68</v>
      </c>
      <c r="C25" s="15" t="s">
        <v>69</v>
      </c>
      <c r="D25" s="8" t="s">
        <v>70</v>
      </c>
      <c r="E25" s="652">
        <v>553029.66666666698</v>
      </c>
      <c r="F25" s="653">
        <f t="shared" si="0"/>
        <v>276514.83333333302</v>
      </c>
    </row>
    <row r="26" spans="1:6" ht="20.100000000000001" customHeight="1">
      <c r="A26" s="8">
        <v>20</v>
      </c>
      <c r="B26" s="12" t="s">
        <v>71</v>
      </c>
      <c r="C26" s="15" t="s">
        <v>72</v>
      </c>
      <c r="D26" s="8" t="s">
        <v>70</v>
      </c>
      <c r="E26" s="652">
        <v>353029.66666666698</v>
      </c>
      <c r="F26" s="653">
        <f t="shared" si="0"/>
        <v>176514.83333333299</v>
      </c>
    </row>
    <row r="27" spans="1:6" ht="18.75" customHeight="1">
      <c r="A27" s="8">
        <v>21</v>
      </c>
      <c r="B27" s="2" t="s">
        <v>73</v>
      </c>
      <c r="C27" s="2" t="s">
        <v>74</v>
      </c>
      <c r="D27" s="8" t="s">
        <v>75</v>
      </c>
      <c r="E27" s="652">
        <v>330481.66666666698</v>
      </c>
      <c r="F27" s="653">
        <f t="shared" si="0"/>
        <v>165240.83333333299</v>
      </c>
    </row>
    <row r="28" spans="1:6" ht="18.75" customHeight="1">
      <c r="A28" s="8">
        <v>22</v>
      </c>
      <c r="B28" s="16" t="s">
        <v>76</v>
      </c>
      <c r="C28" s="10" t="s">
        <v>74</v>
      </c>
      <c r="D28" s="13" t="s">
        <v>75</v>
      </c>
      <c r="E28" s="652">
        <v>330481.66666666698</v>
      </c>
      <c r="F28" s="653">
        <f t="shared" si="0"/>
        <v>165240.83333333299</v>
      </c>
    </row>
    <row r="29" spans="1:6" ht="20.100000000000001" customHeight="1">
      <c r="A29" s="8">
        <v>23</v>
      </c>
      <c r="B29" s="9" t="s">
        <v>77</v>
      </c>
      <c r="C29" s="15" t="s">
        <v>64</v>
      </c>
      <c r="D29" s="8" t="s">
        <v>75</v>
      </c>
      <c r="E29" s="652">
        <v>370481.66666666698</v>
      </c>
      <c r="F29" s="653">
        <f t="shared" si="0"/>
        <v>185240.83333333299</v>
      </c>
    </row>
    <row r="30" spans="1:6" ht="18.75" customHeight="1">
      <c r="A30" s="8">
        <v>24</v>
      </c>
      <c r="B30" s="16" t="s">
        <v>78</v>
      </c>
      <c r="C30" s="10" t="s">
        <v>79</v>
      </c>
      <c r="D30" s="13" t="s">
        <v>80</v>
      </c>
      <c r="E30" s="652">
        <v>323165.33333333302</v>
      </c>
      <c r="F30" s="653">
        <f t="shared" si="0"/>
        <v>161582.66666666701</v>
      </c>
    </row>
    <row r="31" spans="1:6" ht="18.75" customHeight="1">
      <c r="A31" s="8">
        <v>25</v>
      </c>
      <c r="B31" s="16" t="s">
        <v>81</v>
      </c>
      <c r="C31" s="2" t="s">
        <v>82</v>
      </c>
      <c r="D31" s="8" t="s">
        <v>83</v>
      </c>
      <c r="E31" s="652">
        <v>315849</v>
      </c>
      <c r="F31" s="653">
        <f t="shared" si="0"/>
        <v>157924.5</v>
      </c>
    </row>
    <row r="32" spans="1:6" ht="18.75" customHeight="1">
      <c r="A32" s="8">
        <v>26</v>
      </c>
      <c r="B32" s="16" t="s">
        <v>84</v>
      </c>
      <c r="C32" s="2" t="s">
        <v>82</v>
      </c>
      <c r="D32" s="8" t="s">
        <v>83</v>
      </c>
      <c r="E32" s="652">
        <v>315849</v>
      </c>
      <c r="F32" s="653">
        <f t="shared" si="0"/>
        <v>157924.5</v>
      </c>
    </row>
    <row r="33" spans="1:6" ht="18.75" customHeight="1">
      <c r="A33" s="8">
        <v>27</v>
      </c>
      <c r="B33" s="16" t="s">
        <v>85</v>
      </c>
      <c r="C33" s="15" t="s">
        <v>86</v>
      </c>
      <c r="D33" s="13" t="s">
        <v>75</v>
      </c>
      <c r="E33" s="652">
        <v>330481.66666666698</v>
      </c>
      <c r="F33" s="653">
        <f t="shared" si="0"/>
        <v>165240.83333333299</v>
      </c>
    </row>
    <row r="34" spans="1:6" ht="18.75" customHeight="1">
      <c r="A34" s="8">
        <v>28</v>
      </c>
      <c r="B34" s="16" t="s">
        <v>87</v>
      </c>
      <c r="C34" s="2" t="s">
        <v>74</v>
      </c>
      <c r="D34" s="8" t="s">
        <v>83</v>
      </c>
      <c r="E34" s="652">
        <v>315849</v>
      </c>
      <c r="F34" s="653">
        <f t="shared" si="0"/>
        <v>157924.5</v>
      </c>
    </row>
    <row r="35" spans="1:6" ht="18.75" customHeight="1">
      <c r="A35" s="8">
        <v>29</v>
      </c>
      <c r="B35" s="16" t="s">
        <v>88</v>
      </c>
      <c r="C35" s="2" t="s">
        <v>89</v>
      </c>
      <c r="D35" s="8" t="s">
        <v>83</v>
      </c>
      <c r="E35" s="652">
        <v>315849</v>
      </c>
      <c r="F35" s="653">
        <f t="shared" si="0"/>
        <v>157924.5</v>
      </c>
    </row>
    <row r="36" spans="1:6" ht="18.75" customHeight="1">
      <c r="A36" s="8">
        <v>30</v>
      </c>
      <c r="B36" s="16" t="s">
        <v>90</v>
      </c>
      <c r="C36" s="10" t="s">
        <v>91</v>
      </c>
      <c r="D36" s="13" t="s">
        <v>92</v>
      </c>
      <c r="E36" s="652">
        <v>274459.75</v>
      </c>
      <c r="F36" s="653">
        <f t="shared" si="0"/>
        <v>137229.875</v>
      </c>
    </row>
    <row r="37" spans="1:6" ht="18.75" customHeight="1">
      <c r="A37" s="8">
        <v>31</v>
      </c>
      <c r="B37" s="16" t="s">
        <v>93</v>
      </c>
      <c r="C37" s="10" t="s">
        <v>94</v>
      </c>
      <c r="D37" s="13" t="s">
        <v>95</v>
      </c>
      <c r="E37" s="654">
        <v>268287.58333333302</v>
      </c>
      <c r="F37" s="653">
        <f t="shared" si="0"/>
        <v>134143.79166666701</v>
      </c>
    </row>
    <row r="38" spans="1:6" ht="26.25" customHeight="1">
      <c r="A38" s="8"/>
      <c r="B38" s="18" t="s">
        <v>96</v>
      </c>
      <c r="C38" s="19">
        <v>31</v>
      </c>
      <c r="D38" s="13"/>
      <c r="E38" s="655">
        <v>19076284.416999999</v>
      </c>
      <c r="F38" s="656">
        <f>SUM(F7:F37)</f>
        <v>9538142.2084999997</v>
      </c>
    </row>
    <row r="39" spans="1:6" ht="18.75" customHeight="1">
      <c r="A39" s="8"/>
      <c r="B39" s="20"/>
      <c r="C39" s="2"/>
      <c r="D39" s="13"/>
      <c r="E39" s="655"/>
      <c r="F39" s="656"/>
    </row>
    <row r="40" spans="1:6" ht="18.75" customHeight="1">
      <c r="A40" s="8"/>
      <c r="B40" s="18" t="s">
        <v>97</v>
      </c>
      <c r="C40" s="2"/>
      <c r="D40" s="13"/>
      <c r="E40" s="652"/>
      <c r="F40" s="653"/>
    </row>
    <row r="41" spans="1:6" ht="18.75" customHeight="1">
      <c r="A41" s="8">
        <v>1</v>
      </c>
      <c r="B41" s="16" t="s">
        <v>98</v>
      </c>
      <c r="C41" s="2" t="s">
        <v>99</v>
      </c>
      <c r="D41" s="8" t="s">
        <v>100</v>
      </c>
      <c r="E41" s="652">
        <v>1535720</v>
      </c>
      <c r="F41" s="653">
        <f>E41/2</f>
        <v>767860</v>
      </c>
    </row>
    <row r="42" spans="1:6" ht="18.75" customHeight="1">
      <c r="A42" s="8">
        <v>2</v>
      </c>
      <c r="B42" s="16" t="s">
        <v>101</v>
      </c>
      <c r="C42" s="2" t="s">
        <v>102</v>
      </c>
      <c r="D42" s="8" t="s">
        <v>70</v>
      </c>
      <c r="E42" s="652">
        <v>353029.66666666698</v>
      </c>
      <c r="F42" s="653">
        <f>E42/2</f>
        <v>176514.83333333299</v>
      </c>
    </row>
    <row r="43" spans="1:6" ht="18.75" customHeight="1">
      <c r="A43" s="8">
        <v>3</v>
      </c>
      <c r="B43" s="9" t="s">
        <v>103</v>
      </c>
      <c r="C43" s="2" t="s">
        <v>102</v>
      </c>
      <c r="D43" s="13" t="s">
        <v>104</v>
      </c>
      <c r="E43" s="652">
        <v>360965.58333333302</v>
      </c>
      <c r="F43" s="653">
        <f>E43/2</f>
        <v>180482.79166666701</v>
      </c>
    </row>
    <row r="44" spans="1:6" ht="18.75" customHeight="1">
      <c r="A44" s="8">
        <v>4</v>
      </c>
      <c r="B44" s="9" t="s">
        <v>105</v>
      </c>
      <c r="C44" s="2" t="s">
        <v>106</v>
      </c>
      <c r="D44" s="13" t="s">
        <v>83</v>
      </c>
      <c r="E44" s="654">
        <v>315849</v>
      </c>
      <c r="F44" s="653">
        <f>E44/2</f>
        <v>157924.5</v>
      </c>
    </row>
    <row r="45" spans="1:6" ht="19.5" customHeight="1">
      <c r="A45" s="8"/>
      <c r="B45" s="12"/>
      <c r="C45" s="19">
        <v>4</v>
      </c>
      <c r="D45" s="8"/>
      <c r="E45" s="655">
        <v>2565564.25</v>
      </c>
      <c r="F45" s="656">
        <f>SUM(F41:F44)</f>
        <v>1282782.125</v>
      </c>
    </row>
    <row r="46" spans="1:6" ht="20.100000000000001" customHeight="1">
      <c r="A46" s="8"/>
      <c r="B46" s="12"/>
      <c r="C46" s="2"/>
      <c r="D46" s="8"/>
      <c r="E46" s="655"/>
      <c r="F46" s="656"/>
    </row>
    <row r="47" spans="1:6" ht="20.100000000000001" customHeight="1">
      <c r="A47" s="8"/>
      <c r="B47" s="21" t="s">
        <v>107</v>
      </c>
      <c r="C47" s="3"/>
      <c r="D47" s="22"/>
      <c r="E47" s="655"/>
      <c r="F47" s="656"/>
    </row>
    <row r="48" spans="1:6" ht="20.100000000000001" customHeight="1">
      <c r="A48" s="8">
        <v>1</v>
      </c>
      <c r="B48" s="9" t="s">
        <v>108</v>
      </c>
      <c r="C48" s="2" t="s">
        <v>109</v>
      </c>
      <c r="D48" s="8" t="s">
        <v>100</v>
      </c>
      <c r="E48" s="652">
        <f>'DECEMBER 2024'!J60</f>
        <v>1635720</v>
      </c>
      <c r="F48" s="653">
        <f>E48/2</f>
        <v>817860</v>
      </c>
    </row>
    <row r="49" spans="1:6" ht="20.100000000000001" customHeight="1">
      <c r="A49" s="8">
        <v>2</v>
      </c>
      <c r="B49" s="9" t="s">
        <v>491</v>
      </c>
      <c r="C49" s="2" t="s">
        <v>44</v>
      </c>
      <c r="D49" s="8" t="s">
        <v>36</v>
      </c>
      <c r="E49" s="652">
        <v>0</v>
      </c>
      <c r="F49" s="653">
        <f t="shared" ref="F49:F57" si="1">E49/2</f>
        <v>0</v>
      </c>
    </row>
    <row r="50" spans="1:6" ht="20.100000000000001" customHeight="1">
      <c r="A50" s="8">
        <v>3</v>
      </c>
      <c r="B50" s="9" t="s">
        <v>110</v>
      </c>
      <c r="C50" s="2" t="s">
        <v>111</v>
      </c>
      <c r="D50" s="8" t="s">
        <v>112</v>
      </c>
      <c r="E50" s="652">
        <v>919203.58333333302</v>
      </c>
      <c r="F50" s="653">
        <f t="shared" si="1"/>
        <v>459601.79166666698</v>
      </c>
    </row>
    <row r="51" spans="1:6" ht="20.100000000000001" customHeight="1">
      <c r="A51" s="8">
        <v>4</v>
      </c>
      <c r="B51" s="9" t="s">
        <v>113</v>
      </c>
      <c r="C51" s="2" t="s">
        <v>114</v>
      </c>
      <c r="D51" s="8" t="s">
        <v>36</v>
      </c>
      <c r="E51" s="652">
        <v>780675.58333333302</v>
      </c>
      <c r="F51" s="653">
        <f t="shared" si="1"/>
        <v>390337.79166666698</v>
      </c>
    </row>
    <row r="52" spans="1:6" ht="20.100000000000001" customHeight="1">
      <c r="A52" s="8">
        <v>5</v>
      </c>
      <c r="B52" s="9" t="s">
        <v>115</v>
      </c>
      <c r="C52" s="2" t="s">
        <v>114</v>
      </c>
      <c r="D52" s="8" t="s">
        <v>36</v>
      </c>
      <c r="E52" s="652">
        <v>780675.58333333302</v>
      </c>
      <c r="F52" s="653">
        <f t="shared" si="1"/>
        <v>390337.79166666698</v>
      </c>
    </row>
    <row r="53" spans="1:6" ht="20.100000000000001" customHeight="1">
      <c r="A53" s="8">
        <v>6</v>
      </c>
      <c r="B53" s="9" t="s">
        <v>116</v>
      </c>
      <c r="C53" s="2" t="s">
        <v>114</v>
      </c>
      <c r="D53" s="8" t="s">
        <v>39</v>
      </c>
      <c r="E53" s="652">
        <v>742118.08333333302</v>
      </c>
      <c r="F53" s="653">
        <f t="shared" si="1"/>
        <v>371059.04166666698</v>
      </c>
    </row>
    <row r="54" spans="1:6" ht="20.100000000000001" customHeight="1">
      <c r="A54" s="8">
        <v>7</v>
      </c>
      <c r="B54" s="12" t="s">
        <v>117</v>
      </c>
      <c r="C54" s="2" t="s">
        <v>114</v>
      </c>
      <c r="D54" s="8" t="s">
        <v>39</v>
      </c>
      <c r="E54" s="652">
        <v>742118.08333333302</v>
      </c>
      <c r="F54" s="653">
        <f t="shared" si="1"/>
        <v>371059.04166666698</v>
      </c>
    </row>
    <row r="55" spans="1:6" ht="20.100000000000001" customHeight="1">
      <c r="A55" s="8">
        <v>8</v>
      </c>
      <c r="B55" s="9" t="s">
        <v>118</v>
      </c>
      <c r="C55" s="2" t="s">
        <v>119</v>
      </c>
      <c r="D55" s="8" t="s">
        <v>104</v>
      </c>
      <c r="E55" s="652">
        <v>400965.58333333302</v>
      </c>
      <c r="F55" s="653">
        <f t="shared" si="1"/>
        <v>200482.79166666701</v>
      </c>
    </row>
    <row r="56" spans="1:6" ht="20.100000000000001" customHeight="1">
      <c r="A56" s="8">
        <v>9</v>
      </c>
      <c r="B56" s="9" t="s">
        <v>120</v>
      </c>
      <c r="C56" s="2" t="s">
        <v>119</v>
      </c>
      <c r="D56" s="8" t="s">
        <v>80</v>
      </c>
      <c r="E56" s="652">
        <v>363165.33333333302</v>
      </c>
      <c r="F56" s="653">
        <f t="shared" si="1"/>
        <v>181582.66666666701</v>
      </c>
    </row>
    <row r="57" spans="1:6" ht="20.100000000000001" customHeight="1">
      <c r="A57" s="8">
        <v>10</v>
      </c>
      <c r="B57" s="9" t="s">
        <v>121</v>
      </c>
      <c r="C57" s="2" t="s">
        <v>119</v>
      </c>
      <c r="D57" s="8" t="s">
        <v>80</v>
      </c>
      <c r="E57" s="652">
        <v>363165.33333333302</v>
      </c>
      <c r="F57" s="653">
        <f t="shared" si="1"/>
        <v>181582.66666666701</v>
      </c>
    </row>
    <row r="58" spans="1:6" ht="25.5" customHeight="1">
      <c r="A58" s="8"/>
      <c r="B58" s="18" t="s">
        <v>96</v>
      </c>
      <c r="C58" s="19">
        <v>10</v>
      </c>
      <c r="D58" s="19"/>
      <c r="E58" s="657">
        <f>SUM(E48:E57)</f>
        <v>6727807.1666666605</v>
      </c>
      <c r="F58" s="658">
        <f>SUM(F48:F57)</f>
        <v>3363903.58333334</v>
      </c>
    </row>
    <row r="59" spans="1:6" ht="20.100000000000001" customHeight="1">
      <c r="A59" s="8"/>
      <c r="B59" s="20"/>
      <c r="C59" s="19"/>
      <c r="D59" s="19"/>
      <c r="E59" s="659"/>
      <c r="F59" s="660"/>
    </row>
    <row r="60" spans="1:6" ht="20.100000000000001" customHeight="1">
      <c r="A60" s="8"/>
      <c r="B60" s="18" t="s">
        <v>122</v>
      </c>
      <c r="C60" s="19"/>
      <c r="D60" s="19"/>
      <c r="E60" s="659"/>
      <c r="F60" s="660"/>
    </row>
    <row r="61" spans="1:6" ht="20.100000000000001" customHeight="1">
      <c r="A61" s="8">
        <v>1</v>
      </c>
      <c r="B61" s="9" t="s">
        <v>501</v>
      </c>
      <c r="C61" s="10" t="s">
        <v>124</v>
      </c>
      <c r="D61" s="13" t="s">
        <v>100</v>
      </c>
      <c r="E61" s="652">
        <v>1635720</v>
      </c>
      <c r="F61" s="653">
        <f>E61/2</f>
        <v>817860</v>
      </c>
    </row>
    <row r="62" spans="1:6" ht="20.100000000000001" customHeight="1">
      <c r="A62" s="8">
        <v>2</v>
      </c>
      <c r="B62" s="9" t="s">
        <v>125</v>
      </c>
      <c r="C62" s="10" t="s">
        <v>126</v>
      </c>
      <c r="D62" s="13" t="s">
        <v>127</v>
      </c>
      <c r="E62" s="652">
        <v>700675.58333333302</v>
      </c>
      <c r="F62" s="653">
        <f>E62/2</f>
        <v>350337.79166666698</v>
      </c>
    </row>
    <row r="63" spans="1:6" ht="20.100000000000001" customHeight="1">
      <c r="A63" s="8"/>
      <c r="B63" s="18" t="s">
        <v>96</v>
      </c>
      <c r="C63" s="19">
        <v>2</v>
      </c>
      <c r="D63" s="19"/>
      <c r="E63" s="657">
        <v>700675.58333333302</v>
      </c>
      <c r="F63" s="658">
        <f>SUM(F61:F62)</f>
        <v>1168197.79166667</v>
      </c>
    </row>
    <row r="64" spans="1:6" ht="20.100000000000001" customHeight="1">
      <c r="A64" s="8"/>
      <c r="B64" s="18"/>
      <c r="C64" s="19"/>
      <c r="D64" s="19"/>
      <c r="E64" s="659"/>
      <c r="F64" s="660"/>
    </row>
    <row r="65" spans="1:6" ht="20.100000000000001" customHeight="1">
      <c r="A65" s="8"/>
      <c r="B65" s="18" t="s">
        <v>128</v>
      </c>
      <c r="C65" s="19"/>
      <c r="D65" s="19"/>
      <c r="E65" s="659"/>
      <c r="F65" s="660"/>
    </row>
    <row r="66" spans="1:6" ht="20.100000000000001" customHeight="1">
      <c r="A66" s="8">
        <v>1</v>
      </c>
      <c r="B66" s="9" t="s">
        <v>129</v>
      </c>
      <c r="C66" s="15" t="s">
        <v>130</v>
      </c>
      <c r="D66" s="8" t="s">
        <v>100</v>
      </c>
      <c r="E66" s="652">
        <v>1635720</v>
      </c>
      <c r="F66" s="653">
        <f>E66/2</f>
        <v>817860</v>
      </c>
    </row>
    <row r="67" spans="1:6" ht="20.100000000000001" customHeight="1">
      <c r="A67" s="8">
        <v>2</v>
      </c>
      <c r="B67" s="312" t="s">
        <v>131</v>
      </c>
      <c r="C67" s="15" t="s">
        <v>132</v>
      </c>
      <c r="D67" s="13" t="s">
        <v>133</v>
      </c>
      <c r="E67" s="652">
        <v>761396.83333333302</v>
      </c>
      <c r="F67" s="653">
        <f t="shared" ref="F67:F74" si="2">E67/2</f>
        <v>380698.41666666698</v>
      </c>
    </row>
    <row r="68" spans="1:6" ht="20.100000000000001" customHeight="1">
      <c r="A68" s="8">
        <v>3</v>
      </c>
      <c r="B68" s="9" t="s">
        <v>134</v>
      </c>
      <c r="C68" s="2" t="s">
        <v>135</v>
      </c>
      <c r="D68" s="8" t="s">
        <v>47</v>
      </c>
      <c r="E68" s="652">
        <v>582746.5</v>
      </c>
      <c r="F68" s="653">
        <f t="shared" si="2"/>
        <v>291373.25</v>
      </c>
    </row>
    <row r="69" spans="1:6" ht="20.100000000000001" customHeight="1">
      <c r="A69" s="8">
        <v>4</v>
      </c>
      <c r="B69" s="16" t="s">
        <v>487</v>
      </c>
      <c r="C69" s="15" t="s">
        <v>167</v>
      </c>
      <c r="D69" s="13" t="s">
        <v>52</v>
      </c>
      <c r="E69" s="652">
        <v>0</v>
      </c>
      <c r="F69" s="653">
        <f t="shared" si="2"/>
        <v>0</v>
      </c>
    </row>
    <row r="70" spans="1:6" ht="20.100000000000001" customHeight="1">
      <c r="A70" s="8">
        <v>7</v>
      </c>
      <c r="B70" s="9" t="s">
        <v>136</v>
      </c>
      <c r="C70" s="2" t="s">
        <v>119</v>
      </c>
      <c r="D70" s="8" t="s">
        <v>137</v>
      </c>
      <c r="E70" s="652">
        <v>475703.83333333302</v>
      </c>
      <c r="F70" s="653">
        <f t="shared" si="2"/>
        <v>237851.91666666701</v>
      </c>
    </row>
    <row r="71" spans="1:6" ht="20.100000000000001" customHeight="1">
      <c r="A71" s="8">
        <v>8</v>
      </c>
      <c r="B71" s="9" t="s">
        <v>138</v>
      </c>
      <c r="C71" s="15" t="s">
        <v>67</v>
      </c>
      <c r="D71" s="8" t="s">
        <v>137</v>
      </c>
      <c r="E71" s="652">
        <v>475703.83333333302</v>
      </c>
      <c r="F71" s="653">
        <f t="shared" si="2"/>
        <v>237851.91666666701</v>
      </c>
    </row>
    <row r="72" spans="1:6" ht="20.100000000000001" customHeight="1">
      <c r="A72" s="8">
        <v>9</v>
      </c>
      <c r="B72" s="9" t="s">
        <v>139</v>
      </c>
      <c r="C72" s="15" t="s">
        <v>67</v>
      </c>
      <c r="D72" s="8" t="s">
        <v>137</v>
      </c>
      <c r="E72" s="652">
        <v>475703.83333333302</v>
      </c>
      <c r="F72" s="653">
        <f t="shared" si="2"/>
        <v>237851.91666666701</v>
      </c>
    </row>
    <row r="73" spans="1:6" ht="20.100000000000001" customHeight="1">
      <c r="A73" s="8">
        <v>10</v>
      </c>
      <c r="B73" s="9" t="s">
        <v>140</v>
      </c>
      <c r="C73" s="2" t="s">
        <v>141</v>
      </c>
      <c r="D73" s="8" t="s">
        <v>62</v>
      </c>
      <c r="E73" s="661">
        <v>487895.16666666698</v>
      </c>
      <c r="F73" s="653">
        <f t="shared" si="2"/>
        <v>243947.58333333299</v>
      </c>
    </row>
    <row r="74" spans="1:6" ht="21.6" customHeight="1">
      <c r="A74" s="8">
        <v>11</v>
      </c>
      <c r="B74" s="9" t="s">
        <v>142</v>
      </c>
      <c r="C74" s="2" t="s">
        <v>119</v>
      </c>
      <c r="D74" s="8" t="s">
        <v>104</v>
      </c>
      <c r="E74" s="662">
        <v>400965.58333333302</v>
      </c>
      <c r="F74" s="653">
        <f t="shared" si="2"/>
        <v>200482.79166666701</v>
      </c>
    </row>
    <row r="75" spans="1:6" ht="27" customHeight="1">
      <c r="A75" s="8"/>
      <c r="B75" s="18" t="s">
        <v>96</v>
      </c>
      <c r="C75" s="19">
        <v>11</v>
      </c>
      <c r="D75" s="19"/>
      <c r="E75" s="657">
        <v>5295835.5833333302</v>
      </c>
      <c r="F75" s="658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59"/>
      <c r="F76" s="660"/>
    </row>
    <row r="77" spans="1:6" ht="20.100000000000001" customHeight="1">
      <c r="A77" s="8"/>
      <c r="B77" s="18" t="s">
        <v>143</v>
      </c>
      <c r="C77" s="19"/>
      <c r="D77" s="19"/>
      <c r="E77" s="659"/>
      <c r="F77" s="660"/>
    </row>
    <row r="78" spans="1:6" ht="20.100000000000001" customHeight="1">
      <c r="A78" s="8">
        <v>1</v>
      </c>
      <c r="B78" s="9" t="s">
        <v>144</v>
      </c>
      <c r="C78" s="2" t="s">
        <v>145</v>
      </c>
      <c r="D78" s="8" t="s">
        <v>100</v>
      </c>
      <c r="E78" s="652">
        <v>1635720</v>
      </c>
      <c r="F78" s="653">
        <f t="shared" ref="F78:F83" si="3">E78/2</f>
        <v>817860</v>
      </c>
    </row>
    <row r="79" spans="1:6" ht="20.100000000000001" customHeight="1">
      <c r="A79" s="8">
        <v>2</v>
      </c>
      <c r="B79" s="9" t="s">
        <v>146</v>
      </c>
      <c r="C79" s="2" t="s">
        <v>147</v>
      </c>
      <c r="D79" s="8" t="s">
        <v>39</v>
      </c>
      <c r="E79" s="652">
        <v>742118.08333333302</v>
      </c>
      <c r="F79" s="653">
        <f t="shared" si="3"/>
        <v>371059.04166666698</v>
      </c>
    </row>
    <row r="80" spans="1:6" ht="20.100000000000001" customHeight="1">
      <c r="A80" s="8">
        <v>3</v>
      </c>
      <c r="B80" s="9" t="s">
        <v>148</v>
      </c>
      <c r="C80" s="2" t="s">
        <v>149</v>
      </c>
      <c r="D80" s="13" t="s">
        <v>150</v>
      </c>
      <c r="E80" s="652">
        <v>596622.25</v>
      </c>
      <c r="F80" s="653">
        <f t="shared" si="3"/>
        <v>298311.125</v>
      </c>
    </row>
    <row r="81" spans="1:6" ht="20.100000000000001" customHeight="1">
      <c r="A81" s="8">
        <v>4</v>
      </c>
      <c r="B81" s="9" t="s">
        <v>151</v>
      </c>
      <c r="C81" s="2" t="s">
        <v>152</v>
      </c>
      <c r="D81" s="8" t="s">
        <v>65</v>
      </c>
      <c r="E81" s="652">
        <v>463512.5</v>
      </c>
      <c r="F81" s="653">
        <f t="shared" si="3"/>
        <v>231756.25</v>
      </c>
    </row>
    <row r="82" spans="1:6" ht="20.100000000000001" customHeight="1">
      <c r="A82" s="8">
        <v>5</v>
      </c>
      <c r="B82" s="9" t="s">
        <v>153</v>
      </c>
      <c r="C82" s="2" t="s">
        <v>154</v>
      </c>
      <c r="D82" s="8" t="s">
        <v>80</v>
      </c>
      <c r="E82" s="652">
        <v>363165.33333333302</v>
      </c>
      <c r="F82" s="653">
        <f t="shared" si="3"/>
        <v>181582.66666666701</v>
      </c>
    </row>
    <row r="83" spans="1:6" ht="20.100000000000001" customHeight="1">
      <c r="A83" s="8">
        <v>6</v>
      </c>
      <c r="B83" s="9" t="s">
        <v>155</v>
      </c>
      <c r="C83" s="2" t="s">
        <v>156</v>
      </c>
      <c r="D83" s="8" t="s">
        <v>92</v>
      </c>
      <c r="E83" s="652">
        <v>324459.75</v>
      </c>
      <c r="F83" s="653">
        <f t="shared" si="3"/>
        <v>162229.875</v>
      </c>
    </row>
    <row r="84" spans="1:6" ht="24" customHeight="1">
      <c r="A84" s="8"/>
      <c r="B84" s="18" t="s">
        <v>96</v>
      </c>
      <c r="C84" s="19">
        <v>6</v>
      </c>
      <c r="D84" s="19"/>
      <c r="E84" s="657">
        <v>4125597.9166666698</v>
      </c>
      <c r="F84" s="658">
        <f>SUM(F78:F83)</f>
        <v>2062798.95833333</v>
      </c>
    </row>
    <row r="85" spans="1:6" ht="20.100000000000001" customHeight="1">
      <c r="A85" s="8"/>
      <c r="B85" s="18"/>
      <c r="C85" s="19"/>
      <c r="D85" s="19"/>
      <c r="E85" s="659"/>
      <c r="F85" s="660"/>
    </row>
    <row r="86" spans="1:6" ht="20.100000000000001" customHeight="1">
      <c r="A86" s="8"/>
      <c r="B86" s="18" t="s">
        <v>157</v>
      </c>
      <c r="C86" s="23"/>
      <c r="D86" s="19"/>
      <c r="E86" s="659"/>
      <c r="F86" s="660"/>
    </row>
    <row r="87" spans="1:6" ht="20.100000000000001" customHeight="1">
      <c r="A87" s="8">
        <v>1</v>
      </c>
      <c r="B87" s="9" t="s">
        <v>158</v>
      </c>
      <c r="C87" s="2" t="s">
        <v>114</v>
      </c>
      <c r="D87" s="8" t="s">
        <v>36</v>
      </c>
      <c r="E87" s="652">
        <v>980675.58333333302</v>
      </c>
      <c r="F87" s="653">
        <f>E87/2</f>
        <v>490337.79166666698</v>
      </c>
    </row>
    <row r="88" spans="1:6" ht="20.100000000000001" customHeight="1">
      <c r="A88" s="8">
        <v>2</v>
      </c>
      <c r="B88" s="9" t="s">
        <v>159</v>
      </c>
      <c r="C88" s="2" t="s">
        <v>114</v>
      </c>
      <c r="D88" s="8" t="s">
        <v>36</v>
      </c>
      <c r="E88" s="652">
        <v>780675.58333333302</v>
      </c>
      <c r="F88" s="653">
        <f t="shared" ref="F88:F96" si="4">E88/2</f>
        <v>390337.79166666698</v>
      </c>
    </row>
    <row r="89" spans="1:6" ht="20.100000000000001" customHeight="1">
      <c r="A89" s="8">
        <v>3</v>
      </c>
      <c r="B89" s="9" t="s">
        <v>160</v>
      </c>
      <c r="C89" s="2" t="s">
        <v>114</v>
      </c>
      <c r="D89" s="8" t="s">
        <v>39</v>
      </c>
      <c r="E89" s="652">
        <v>742118.08333333302</v>
      </c>
      <c r="F89" s="653">
        <f t="shared" si="4"/>
        <v>371059.04166666698</v>
      </c>
    </row>
    <row r="90" spans="1:6" ht="21.6" customHeight="1">
      <c r="A90" s="8">
        <v>4</v>
      </c>
      <c r="B90" s="9" t="s">
        <v>161</v>
      </c>
      <c r="C90" s="2" t="s">
        <v>135</v>
      </c>
      <c r="D90" s="13" t="s">
        <v>47</v>
      </c>
      <c r="E90" s="652">
        <v>582746.5</v>
      </c>
      <c r="F90" s="653">
        <f t="shared" si="4"/>
        <v>291373.25</v>
      </c>
    </row>
    <row r="91" spans="1:6" ht="21.6" customHeight="1">
      <c r="A91" s="8">
        <v>5</v>
      </c>
      <c r="B91" s="9" t="s">
        <v>162</v>
      </c>
      <c r="C91" s="2" t="s">
        <v>135</v>
      </c>
      <c r="D91" s="13" t="s">
        <v>47</v>
      </c>
      <c r="E91" s="652">
        <v>562746.5</v>
      </c>
      <c r="F91" s="653">
        <f t="shared" si="4"/>
        <v>281373.25</v>
      </c>
    </row>
    <row r="92" spans="1:6" ht="21.6" customHeight="1">
      <c r="A92" s="8">
        <v>6</v>
      </c>
      <c r="B92" s="9" t="s">
        <v>163</v>
      </c>
      <c r="C92" s="10" t="s">
        <v>135</v>
      </c>
      <c r="D92" s="13" t="s">
        <v>164</v>
      </c>
      <c r="E92" s="652">
        <v>568870.75</v>
      </c>
      <c r="F92" s="653">
        <f t="shared" si="4"/>
        <v>284435.375</v>
      </c>
    </row>
    <row r="93" spans="1:6" ht="21.6" customHeight="1">
      <c r="A93" s="8">
        <v>7</v>
      </c>
      <c r="B93" s="9" t="s">
        <v>165</v>
      </c>
      <c r="C93" s="15" t="s">
        <v>67</v>
      </c>
      <c r="D93" s="13" t="s">
        <v>137</v>
      </c>
      <c r="E93" s="652">
        <v>475703.83333333302</v>
      </c>
      <c r="F93" s="653">
        <f t="shared" si="4"/>
        <v>237851.91666666701</v>
      </c>
    </row>
    <row r="94" spans="1:6" ht="21.6" customHeight="1">
      <c r="A94" s="8">
        <v>8</v>
      </c>
      <c r="B94" s="9" t="s">
        <v>166</v>
      </c>
      <c r="C94" s="15" t="s">
        <v>167</v>
      </c>
      <c r="D94" s="13" t="s">
        <v>168</v>
      </c>
      <c r="E94" s="652">
        <v>510248.91666666698</v>
      </c>
      <c r="F94" s="653">
        <f t="shared" si="4"/>
        <v>255124.45833333299</v>
      </c>
    </row>
    <row r="95" spans="1:6" ht="21.6" customHeight="1">
      <c r="A95" s="8">
        <v>9</v>
      </c>
      <c r="B95" s="9" t="s">
        <v>169</v>
      </c>
      <c r="C95" s="2" t="s">
        <v>170</v>
      </c>
      <c r="D95" s="8" t="s">
        <v>104</v>
      </c>
      <c r="E95" s="662">
        <v>400965.58333333302</v>
      </c>
      <c r="F95" s="653">
        <f t="shared" si="4"/>
        <v>200482.79166666701</v>
      </c>
    </row>
    <row r="96" spans="1:6" ht="21.6" customHeight="1">
      <c r="A96" s="8">
        <v>10</v>
      </c>
      <c r="B96" s="9" t="s">
        <v>171</v>
      </c>
      <c r="C96" s="15" t="s">
        <v>172</v>
      </c>
      <c r="D96" s="13" t="s">
        <v>173</v>
      </c>
      <c r="E96" s="662">
        <v>330631.91666666698</v>
      </c>
      <c r="F96" s="653">
        <f t="shared" si="4"/>
        <v>165315.95833333299</v>
      </c>
    </row>
    <row r="97" spans="1:6" ht="29.1" customHeight="1">
      <c r="A97" s="8"/>
      <c r="B97" s="18" t="s">
        <v>96</v>
      </c>
      <c r="C97" s="19">
        <v>10</v>
      </c>
      <c r="D97" s="19"/>
      <c r="E97" s="657">
        <v>5935383.25</v>
      </c>
      <c r="F97" s="658">
        <f>SUM(F87:F96)</f>
        <v>2967691.625</v>
      </c>
    </row>
    <row r="98" spans="1:6" ht="20.100000000000001" customHeight="1">
      <c r="A98" s="8"/>
      <c r="B98" s="20"/>
      <c r="C98" s="19"/>
      <c r="D98" s="19"/>
      <c r="E98" s="659"/>
      <c r="F98" s="660"/>
    </row>
    <row r="99" spans="1:6" ht="20.100000000000001" customHeight="1">
      <c r="A99" s="8"/>
      <c r="B99" s="18" t="s">
        <v>174</v>
      </c>
      <c r="C99" s="19"/>
      <c r="D99" s="19"/>
      <c r="E99" s="659"/>
      <c r="F99" s="660"/>
    </row>
    <row r="100" spans="1:6" ht="20.100000000000001" customHeight="1">
      <c r="A100" s="8">
        <v>1</v>
      </c>
      <c r="B100" s="12" t="s">
        <v>175</v>
      </c>
      <c r="C100" s="2" t="s">
        <v>176</v>
      </c>
      <c r="D100" s="14" t="s">
        <v>177</v>
      </c>
      <c r="E100" s="652">
        <v>1452042.66666667</v>
      </c>
      <c r="F100" s="653">
        <f>E100/2</f>
        <v>726021.33333333302</v>
      </c>
    </row>
    <row r="101" spans="1:6" ht="20.100000000000001" customHeight="1">
      <c r="A101" s="8">
        <v>2</v>
      </c>
      <c r="B101" s="9" t="s">
        <v>178</v>
      </c>
      <c r="C101" s="2" t="s">
        <v>179</v>
      </c>
      <c r="D101" s="13" t="s">
        <v>150</v>
      </c>
      <c r="E101" s="652">
        <v>526622.25</v>
      </c>
      <c r="F101" s="653">
        <f>E101/2</f>
        <v>263311.125</v>
      </c>
    </row>
    <row r="102" spans="1:6" ht="20.100000000000001" customHeight="1">
      <c r="A102" s="8">
        <v>3</v>
      </c>
      <c r="B102" s="9" t="s">
        <v>182</v>
      </c>
      <c r="C102" s="2" t="s">
        <v>183</v>
      </c>
      <c r="D102" s="13" t="s">
        <v>62</v>
      </c>
      <c r="E102" s="652">
        <v>437895.16666666698</v>
      </c>
      <c r="F102" s="653">
        <f>E102/2</f>
        <v>218947.58333333299</v>
      </c>
    </row>
    <row r="103" spans="1:6" ht="20.100000000000001" customHeight="1">
      <c r="A103" s="8">
        <v>4</v>
      </c>
      <c r="B103" s="9" t="s">
        <v>184</v>
      </c>
      <c r="C103" s="2" t="s">
        <v>185</v>
      </c>
      <c r="D103" s="13" t="s">
        <v>104</v>
      </c>
      <c r="E103" s="662">
        <v>360965.58333333302</v>
      </c>
      <c r="F103" s="653">
        <f>E103/2</f>
        <v>180482.79166666701</v>
      </c>
    </row>
    <row r="104" spans="1:6" ht="20.100000000000001" customHeight="1">
      <c r="A104" s="2"/>
      <c r="B104" s="18" t="s">
        <v>96</v>
      </c>
      <c r="C104" s="19">
        <v>4</v>
      </c>
      <c r="D104" s="24"/>
      <c r="E104" s="657">
        <v>2777525.6666666698</v>
      </c>
      <c r="F104" s="658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59"/>
      <c r="F105" s="660"/>
    </row>
    <row r="106" spans="1:6" ht="20.100000000000001" customHeight="1">
      <c r="A106" s="2"/>
      <c r="B106" s="18" t="s">
        <v>186</v>
      </c>
      <c r="C106" s="2"/>
      <c r="D106" s="2"/>
      <c r="E106" s="663"/>
      <c r="F106" s="664"/>
    </row>
    <row r="107" spans="1:6" ht="20.100000000000001" customHeight="1">
      <c r="A107" s="2">
        <v>1</v>
      </c>
      <c r="B107" s="9" t="s">
        <v>187</v>
      </c>
      <c r="C107" s="10" t="s">
        <v>188</v>
      </c>
      <c r="D107" s="13" t="s">
        <v>100</v>
      </c>
      <c r="E107" s="652">
        <v>1635720</v>
      </c>
      <c r="F107" s="653">
        <f>E107/2</f>
        <v>817860</v>
      </c>
    </row>
    <row r="108" spans="1:6" ht="20.100000000000001" customHeight="1">
      <c r="A108" s="2">
        <v>2</v>
      </c>
      <c r="B108" s="9" t="s">
        <v>189</v>
      </c>
      <c r="C108" s="2" t="s">
        <v>190</v>
      </c>
      <c r="D108" s="14" t="s">
        <v>191</v>
      </c>
      <c r="E108" s="652">
        <v>942373.16666666698</v>
      </c>
      <c r="F108" s="653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192</v>
      </c>
      <c r="C109" s="2" t="s">
        <v>193</v>
      </c>
      <c r="D109" s="8" t="s">
        <v>194</v>
      </c>
      <c r="E109" s="652">
        <v>603237.85519166698</v>
      </c>
      <c r="F109" s="653">
        <f t="shared" si="5"/>
        <v>301618.92759583303</v>
      </c>
    </row>
    <row r="110" spans="1:6" ht="20.100000000000001" customHeight="1">
      <c r="A110" s="2">
        <v>4</v>
      </c>
      <c r="B110" s="9" t="s">
        <v>195</v>
      </c>
      <c r="C110" s="2" t="s">
        <v>193</v>
      </c>
      <c r="D110" s="8" t="s">
        <v>194</v>
      </c>
      <c r="E110" s="652">
        <v>601625.033321667</v>
      </c>
      <c r="F110" s="653">
        <f t="shared" si="5"/>
        <v>300812.51666083297</v>
      </c>
    </row>
    <row r="111" spans="1:6" ht="20.100000000000001" customHeight="1">
      <c r="A111" s="2">
        <v>5</v>
      </c>
      <c r="B111" s="9" t="s">
        <v>196</v>
      </c>
      <c r="C111" s="2" t="s">
        <v>197</v>
      </c>
      <c r="D111" s="13" t="s">
        <v>198</v>
      </c>
      <c r="E111" s="662">
        <v>374481.86414666701</v>
      </c>
      <c r="F111" s="653">
        <f t="shared" si="5"/>
        <v>187240.93207333301</v>
      </c>
    </row>
    <row r="112" spans="1:6" ht="20.100000000000001" customHeight="1">
      <c r="A112" s="2">
        <v>6</v>
      </c>
      <c r="B112" s="16" t="s">
        <v>199</v>
      </c>
      <c r="C112" s="2" t="s">
        <v>197</v>
      </c>
      <c r="D112" s="8" t="s">
        <v>200</v>
      </c>
      <c r="E112" s="662">
        <v>367926.02100000001</v>
      </c>
      <c r="F112" s="653">
        <f t="shared" si="5"/>
        <v>183963.0105</v>
      </c>
    </row>
    <row r="113" spans="1:6" ht="20.100000000000001" customHeight="1">
      <c r="A113" s="2">
        <v>7</v>
      </c>
      <c r="B113" s="16" t="s">
        <v>201</v>
      </c>
      <c r="C113" s="2" t="s">
        <v>197</v>
      </c>
      <c r="D113" s="13" t="s">
        <v>173</v>
      </c>
      <c r="E113" s="662">
        <v>355198.112111667</v>
      </c>
      <c r="F113" s="653">
        <f t="shared" si="5"/>
        <v>177599.056055833</v>
      </c>
    </row>
    <row r="114" spans="1:6" ht="25.5" customHeight="1">
      <c r="A114" s="2"/>
      <c r="B114" s="18" t="s">
        <v>96</v>
      </c>
      <c r="C114" s="19">
        <v>7</v>
      </c>
      <c r="D114" s="2"/>
      <c r="E114" s="665">
        <v>4880562.0524383401</v>
      </c>
      <c r="F114" s="666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5"/>
      <c r="F115" s="666"/>
    </row>
    <row r="116" spans="1:6" ht="20.100000000000001" customHeight="1">
      <c r="A116" s="8"/>
      <c r="B116" s="18" t="s">
        <v>202</v>
      </c>
      <c r="C116" s="19"/>
      <c r="D116" s="19"/>
      <c r="E116" s="659"/>
      <c r="F116" s="660"/>
    </row>
    <row r="117" spans="1:6" ht="20.100000000000001" customHeight="1">
      <c r="A117" s="8">
        <v>1</v>
      </c>
      <c r="B117" s="12" t="s">
        <v>203</v>
      </c>
      <c r="C117" s="2" t="s">
        <v>114</v>
      </c>
      <c r="D117" s="8" t="s">
        <v>133</v>
      </c>
      <c r="E117" s="652">
        <v>761396.83333333302</v>
      </c>
      <c r="F117" s="653">
        <f>E117/2</f>
        <v>380698.41666666698</v>
      </c>
    </row>
    <row r="118" spans="1:6" ht="18.75" customHeight="1">
      <c r="A118" s="8">
        <v>2</v>
      </c>
      <c r="B118" s="9" t="s">
        <v>204</v>
      </c>
      <c r="C118" s="2" t="s">
        <v>205</v>
      </c>
      <c r="D118" s="13" t="s">
        <v>62</v>
      </c>
      <c r="E118" s="652">
        <v>487895.16666666698</v>
      </c>
      <c r="F118" s="653">
        <f>E118/2</f>
        <v>243947.58333333299</v>
      </c>
    </row>
    <row r="119" spans="1:6" ht="20.100000000000001" customHeight="1">
      <c r="A119" s="8">
        <v>3</v>
      </c>
      <c r="B119" s="9" t="s">
        <v>206</v>
      </c>
      <c r="C119" s="10" t="s">
        <v>207</v>
      </c>
      <c r="D119" s="13" t="s">
        <v>168</v>
      </c>
      <c r="E119" s="652">
        <v>460248.91666666698</v>
      </c>
      <c r="F119" s="653">
        <f>E119/2</f>
        <v>230124.45833333299</v>
      </c>
    </row>
    <row r="120" spans="1:6" ht="24.75" customHeight="1">
      <c r="A120" s="2"/>
      <c r="B120" s="18" t="s">
        <v>96</v>
      </c>
      <c r="C120" s="19">
        <v>2</v>
      </c>
      <c r="D120" s="24"/>
      <c r="E120" s="657">
        <v>1709540.91666667</v>
      </c>
      <c r="F120" s="658">
        <f>SUM(F117:F119)</f>
        <v>854770.45833333302</v>
      </c>
    </row>
    <row r="121" spans="1:6" ht="24.75" customHeight="1">
      <c r="A121" s="2"/>
      <c r="B121" s="18"/>
      <c r="C121" s="19"/>
      <c r="D121" s="24"/>
      <c r="E121" s="657"/>
      <c r="F121" s="658"/>
    </row>
    <row r="122" spans="1:6" ht="24.75" customHeight="1">
      <c r="A122" s="8"/>
      <c r="B122" s="18" t="s">
        <v>208</v>
      </c>
      <c r="C122" s="19"/>
      <c r="D122" s="19"/>
      <c r="E122" s="659"/>
      <c r="F122" s="660"/>
    </row>
    <row r="123" spans="1:6" ht="24.75" customHeight="1">
      <c r="A123" s="8">
        <v>1</v>
      </c>
      <c r="B123" s="12" t="s">
        <v>209</v>
      </c>
      <c r="C123" s="2" t="s">
        <v>210</v>
      </c>
      <c r="D123" s="8" t="s">
        <v>95</v>
      </c>
      <c r="E123" s="652">
        <v>268287.58333333302</v>
      </c>
      <c r="F123" s="653">
        <f>E123/2</f>
        <v>134143.79166666701</v>
      </c>
    </row>
    <row r="124" spans="1:6" ht="24.75" customHeight="1">
      <c r="A124" s="8">
        <v>2</v>
      </c>
      <c r="B124" s="9" t="s">
        <v>211</v>
      </c>
      <c r="C124" s="2" t="s">
        <v>212</v>
      </c>
      <c r="D124" s="8" t="s">
        <v>95</v>
      </c>
      <c r="E124" s="652">
        <v>268287.58333333302</v>
      </c>
      <c r="F124" s="653">
        <f>E124/2</f>
        <v>134143.79166666701</v>
      </c>
    </row>
    <row r="125" spans="1:6" ht="24.75" customHeight="1">
      <c r="A125" s="8">
        <v>3</v>
      </c>
      <c r="B125" s="9" t="s">
        <v>213</v>
      </c>
      <c r="C125" s="2" t="s">
        <v>214</v>
      </c>
      <c r="D125" s="8" t="s">
        <v>95</v>
      </c>
      <c r="E125" s="652">
        <v>268287.58333333302</v>
      </c>
      <c r="F125" s="653">
        <f>E125/2</f>
        <v>134143.79166666701</v>
      </c>
    </row>
    <row r="126" spans="1:6" ht="20.100000000000001" customHeight="1">
      <c r="A126" s="2"/>
      <c r="B126" s="18" t="s">
        <v>96</v>
      </c>
      <c r="C126" s="19">
        <v>3</v>
      </c>
      <c r="D126" s="24"/>
      <c r="E126" s="657">
        <v>804862.74999999895</v>
      </c>
      <c r="F126" s="658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57"/>
      <c r="F127" s="658"/>
    </row>
    <row r="128" spans="1:6" ht="20.100000000000001" customHeight="1">
      <c r="A128" s="2"/>
      <c r="B128" s="18" t="s">
        <v>215</v>
      </c>
      <c r="C128" s="19"/>
      <c r="D128" s="19"/>
      <c r="E128" s="659"/>
      <c r="F128" s="660"/>
    </row>
    <row r="129" spans="1:6" ht="20.100000000000001" customHeight="1">
      <c r="A129" s="2">
        <v>1</v>
      </c>
      <c r="B129" s="9" t="s">
        <v>216</v>
      </c>
      <c r="C129" s="10" t="s">
        <v>217</v>
      </c>
      <c r="D129" s="13" t="s">
        <v>100</v>
      </c>
      <c r="E129" s="652">
        <v>1635720</v>
      </c>
      <c r="F129" s="653">
        <f>E129/2</f>
        <v>817860</v>
      </c>
    </row>
    <row r="130" spans="1:6" ht="20.100000000000001" customHeight="1">
      <c r="A130" s="2">
        <v>2</v>
      </c>
      <c r="B130" s="9" t="s">
        <v>218</v>
      </c>
      <c r="C130" s="10" t="s">
        <v>219</v>
      </c>
      <c r="D130" s="13" t="s">
        <v>112</v>
      </c>
      <c r="E130" s="652">
        <v>929203.58333333302</v>
      </c>
      <c r="F130" s="653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220</v>
      </c>
      <c r="C131" s="10" t="s">
        <v>221</v>
      </c>
      <c r="D131" s="13" t="s">
        <v>36</v>
      </c>
      <c r="E131" s="652">
        <v>830675.58333333302</v>
      </c>
      <c r="F131" s="653">
        <f t="shared" si="6"/>
        <v>415337.79166666698</v>
      </c>
    </row>
    <row r="132" spans="1:6" ht="20.100000000000001" customHeight="1">
      <c r="A132" s="2">
        <v>4</v>
      </c>
      <c r="B132" s="9" t="s">
        <v>222</v>
      </c>
      <c r="C132" s="10" t="s">
        <v>223</v>
      </c>
      <c r="D132" s="13" t="s">
        <v>224</v>
      </c>
      <c r="E132" s="652">
        <v>540498</v>
      </c>
      <c r="F132" s="653">
        <f t="shared" si="6"/>
        <v>270249</v>
      </c>
    </row>
    <row r="133" spans="1:6" ht="20.100000000000001" customHeight="1">
      <c r="A133" s="2">
        <v>5</v>
      </c>
      <c r="B133" s="9" t="s">
        <v>225</v>
      </c>
      <c r="C133" s="10" t="s">
        <v>226</v>
      </c>
      <c r="D133" s="13" t="s">
        <v>47</v>
      </c>
      <c r="E133" s="652">
        <v>512746.5</v>
      </c>
      <c r="F133" s="653">
        <f t="shared" si="6"/>
        <v>256373.25</v>
      </c>
    </row>
    <row r="134" spans="1:6" ht="20.100000000000001" customHeight="1">
      <c r="A134" s="2">
        <v>6</v>
      </c>
      <c r="B134" s="9" t="s">
        <v>227</v>
      </c>
      <c r="C134" s="10" t="s">
        <v>223</v>
      </c>
      <c r="D134" s="13" t="s">
        <v>150</v>
      </c>
      <c r="E134" s="652">
        <v>526622.25</v>
      </c>
      <c r="F134" s="653">
        <f t="shared" si="6"/>
        <v>263311.125</v>
      </c>
    </row>
    <row r="135" spans="1:6" ht="20.100000000000001" customHeight="1">
      <c r="A135" s="2">
        <v>7</v>
      </c>
      <c r="B135" s="9" t="s">
        <v>228</v>
      </c>
      <c r="C135" s="10" t="s">
        <v>229</v>
      </c>
      <c r="D135" s="8" t="s">
        <v>75</v>
      </c>
      <c r="E135" s="652">
        <v>330481.66666666698</v>
      </c>
      <c r="F135" s="653">
        <f t="shared" si="6"/>
        <v>165240.83333333299</v>
      </c>
    </row>
    <row r="136" spans="1:6" ht="20.100000000000001" customHeight="1">
      <c r="A136" s="2">
        <v>8</v>
      </c>
      <c r="B136" s="16" t="s">
        <v>230</v>
      </c>
      <c r="C136" s="10" t="s">
        <v>231</v>
      </c>
      <c r="D136" s="13" t="s">
        <v>92</v>
      </c>
      <c r="E136" s="652">
        <v>274459.75</v>
      </c>
      <c r="F136" s="653">
        <f t="shared" si="6"/>
        <v>137229.875</v>
      </c>
    </row>
    <row r="137" spans="1:6" ht="20.100000000000001" customHeight="1">
      <c r="A137" s="2">
        <v>9</v>
      </c>
      <c r="B137" s="16" t="s">
        <v>232</v>
      </c>
      <c r="C137" s="10" t="s">
        <v>233</v>
      </c>
      <c r="D137" s="13" t="s">
        <v>92</v>
      </c>
      <c r="E137" s="652">
        <v>274459.75</v>
      </c>
      <c r="F137" s="653">
        <f t="shared" si="6"/>
        <v>137229.875</v>
      </c>
    </row>
    <row r="138" spans="1:6" ht="20.100000000000001" customHeight="1">
      <c r="A138" s="2">
        <v>10</v>
      </c>
      <c r="B138" s="16" t="s">
        <v>234</v>
      </c>
      <c r="C138" s="10" t="s">
        <v>231</v>
      </c>
      <c r="D138" s="13" t="s">
        <v>95</v>
      </c>
      <c r="E138" s="652">
        <v>268287.58333333302</v>
      </c>
      <c r="F138" s="653">
        <f t="shared" si="6"/>
        <v>134143.79166666701</v>
      </c>
    </row>
    <row r="139" spans="1:6" ht="28.5" customHeight="1">
      <c r="A139" s="2"/>
      <c r="B139" s="18" t="s">
        <v>96</v>
      </c>
      <c r="C139" s="24" t="s">
        <v>235</v>
      </c>
      <c r="D139" s="13"/>
      <c r="E139" s="659">
        <v>6123154.6666666698</v>
      </c>
      <c r="F139" s="660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59"/>
      <c r="F140" s="660"/>
    </row>
    <row r="141" spans="1:6" ht="20.100000000000001" customHeight="1">
      <c r="A141" s="2"/>
      <c r="B141" s="18" t="s">
        <v>236</v>
      </c>
      <c r="C141" s="10"/>
      <c r="D141" s="13"/>
      <c r="E141" s="652"/>
      <c r="F141" s="653"/>
    </row>
    <row r="142" spans="1:6" ht="20.100000000000001" customHeight="1">
      <c r="A142" s="25">
        <v>1</v>
      </c>
      <c r="B142" s="9" t="s">
        <v>237</v>
      </c>
      <c r="C142" s="10" t="s">
        <v>238</v>
      </c>
      <c r="D142" s="13" t="s">
        <v>100</v>
      </c>
      <c r="E142" s="652">
        <v>1535720</v>
      </c>
      <c r="F142" s="653">
        <f>E142/2</f>
        <v>767860</v>
      </c>
    </row>
    <row r="143" spans="1:6" ht="20.100000000000001" customHeight="1">
      <c r="A143" s="25">
        <v>2</v>
      </c>
      <c r="B143" s="12" t="s">
        <v>239</v>
      </c>
      <c r="C143" s="2" t="s">
        <v>240</v>
      </c>
      <c r="D143" s="14" t="s">
        <v>191</v>
      </c>
      <c r="E143" s="652">
        <v>902373.16666666698</v>
      </c>
      <c r="F143" s="653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241</v>
      </c>
      <c r="C144" s="10" t="s">
        <v>242</v>
      </c>
      <c r="D144" s="13" t="s">
        <v>39</v>
      </c>
      <c r="E144" s="652">
        <v>662118.08333333302</v>
      </c>
      <c r="F144" s="653">
        <f t="shared" si="7"/>
        <v>331059.04166666698</v>
      </c>
    </row>
    <row r="145" spans="1:6" ht="20.100000000000001" customHeight="1">
      <c r="A145" s="25">
        <v>4</v>
      </c>
      <c r="B145" s="9" t="s">
        <v>243</v>
      </c>
      <c r="C145" s="2" t="s">
        <v>244</v>
      </c>
      <c r="D145" s="13" t="s">
        <v>39</v>
      </c>
      <c r="E145" s="652">
        <v>662119.08333333302</v>
      </c>
      <c r="F145" s="653">
        <f t="shared" si="7"/>
        <v>331059.54166666698</v>
      </c>
    </row>
    <row r="146" spans="1:6" ht="20.100000000000001" customHeight="1">
      <c r="A146" s="25">
        <v>5</v>
      </c>
      <c r="B146" s="9" t="s">
        <v>245</v>
      </c>
      <c r="C146" s="2" t="s">
        <v>244</v>
      </c>
      <c r="D146" s="13" t="s">
        <v>39</v>
      </c>
      <c r="E146" s="652">
        <v>662120.08333333302</v>
      </c>
      <c r="F146" s="653">
        <f t="shared" si="7"/>
        <v>331060.04166666698</v>
      </c>
    </row>
    <row r="147" spans="1:6" ht="20.100000000000001" customHeight="1">
      <c r="A147" s="25">
        <v>6</v>
      </c>
      <c r="B147" s="9" t="s">
        <v>180</v>
      </c>
      <c r="C147" s="10" t="s">
        <v>181</v>
      </c>
      <c r="D147" s="13" t="s">
        <v>168</v>
      </c>
      <c r="E147" s="652">
        <v>460248.91666666698</v>
      </c>
      <c r="F147" s="653">
        <f t="shared" si="7"/>
        <v>230124.45833333299</v>
      </c>
    </row>
    <row r="148" spans="1:6" ht="20.100000000000001" customHeight="1">
      <c r="A148" s="25">
        <v>7</v>
      </c>
      <c r="B148" s="9" t="s">
        <v>246</v>
      </c>
      <c r="C148" s="10" t="s">
        <v>181</v>
      </c>
      <c r="D148" s="13" t="s">
        <v>168</v>
      </c>
      <c r="E148" s="652">
        <v>460248.91666666698</v>
      </c>
      <c r="F148" s="653">
        <f t="shared" si="7"/>
        <v>230124.45833333299</v>
      </c>
    </row>
    <row r="149" spans="1:6" ht="20.100000000000001" customHeight="1">
      <c r="A149" s="25">
        <v>8</v>
      </c>
      <c r="B149" s="9" t="s">
        <v>247</v>
      </c>
      <c r="C149" s="2" t="s">
        <v>248</v>
      </c>
      <c r="D149" s="13" t="s">
        <v>168</v>
      </c>
      <c r="E149" s="652">
        <v>460248.91666666698</v>
      </c>
      <c r="F149" s="653">
        <f t="shared" si="7"/>
        <v>230124.45833333299</v>
      </c>
    </row>
    <row r="150" spans="1:6" ht="20.100000000000001" customHeight="1">
      <c r="A150" s="25">
        <v>9</v>
      </c>
      <c r="B150" s="9" t="s">
        <v>249</v>
      </c>
      <c r="C150" s="10" t="s">
        <v>250</v>
      </c>
      <c r="D150" s="13" t="s">
        <v>62</v>
      </c>
      <c r="E150" s="652">
        <v>437895.16666666698</v>
      </c>
      <c r="F150" s="653">
        <f t="shared" si="7"/>
        <v>218947.58333333299</v>
      </c>
    </row>
    <row r="151" spans="1:6" ht="20.100000000000001" customHeight="1">
      <c r="A151" s="25">
        <v>10</v>
      </c>
      <c r="B151" s="9" t="s">
        <v>251</v>
      </c>
      <c r="C151" s="10" t="s">
        <v>252</v>
      </c>
      <c r="D151" s="13" t="s">
        <v>137</v>
      </c>
      <c r="E151" s="652">
        <v>425703.83333333302</v>
      </c>
      <c r="F151" s="653">
        <f t="shared" si="7"/>
        <v>212851.91666666701</v>
      </c>
    </row>
    <row r="152" spans="1:6" ht="20.100000000000001" customHeight="1">
      <c r="A152" s="25">
        <v>11</v>
      </c>
      <c r="B152" s="9" t="s">
        <v>253</v>
      </c>
      <c r="C152" s="10" t="s">
        <v>254</v>
      </c>
      <c r="D152" s="13" t="s">
        <v>255</v>
      </c>
      <c r="E152" s="652">
        <v>450086.5</v>
      </c>
      <c r="F152" s="653">
        <f t="shared" si="7"/>
        <v>225043.25</v>
      </c>
    </row>
    <row r="153" spans="1:6" ht="20.100000000000001" customHeight="1">
      <c r="A153" s="25">
        <v>12</v>
      </c>
      <c r="B153" s="16" t="s">
        <v>256</v>
      </c>
      <c r="C153" s="2" t="s">
        <v>257</v>
      </c>
      <c r="D153" s="13" t="s">
        <v>65</v>
      </c>
      <c r="E153" s="662">
        <v>413512.5</v>
      </c>
      <c r="F153" s="653">
        <f t="shared" si="7"/>
        <v>206756.25</v>
      </c>
    </row>
    <row r="154" spans="1:6" ht="20.100000000000001" customHeight="1">
      <c r="A154" s="25">
        <v>13</v>
      </c>
      <c r="B154" s="9" t="s">
        <v>258</v>
      </c>
      <c r="C154" s="2" t="s">
        <v>257</v>
      </c>
      <c r="D154" s="13" t="s">
        <v>65</v>
      </c>
      <c r="E154" s="662">
        <v>413512.5</v>
      </c>
      <c r="F154" s="653">
        <f t="shared" si="7"/>
        <v>206756.25</v>
      </c>
    </row>
    <row r="155" spans="1:6" ht="20.100000000000001" customHeight="1">
      <c r="A155" s="25">
        <v>14</v>
      </c>
      <c r="B155" s="9" t="s">
        <v>259</v>
      </c>
      <c r="C155" s="2" t="s">
        <v>257</v>
      </c>
      <c r="D155" s="13" t="s">
        <v>65</v>
      </c>
      <c r="E155" s="662">
        <v>413512.5</v>
      </c>
      <c r="F155" s="653">
        <f t="shared" si="7"/>
        <v>206756.25</v>
      </c>
    </row>
    <row r="156" spans="1:6" ht="20.100000000000001" customHeight="1">
      <c r="A156" s="25">
        <v>15</v>
      </c>
      <c r="B156" s="9" t="s">
        <v>260</v>
      </c>
      <c r="C156" s="2" t="s">
        <v>257</v>
      </c>
      <c r="D156" s="13" t="s">
        <v>65</v>
      </c>
      <c r="E156" s="662">
        <v>413512.5</v>
      </c>
      <c r="F156" s="653">
        <f t="shared" si="7"/>
        <v>206756.25</v>
      </c>
    </row>
    <row r="157" spans="1:6" ht="20.100000000000001" customHeight="1">
      <c r="A157" s="25">
        <v>16</v>
      </c>
      <c r="B157" s="9" t="s">
        <v>261</v>
      </c>
      <c r="C157" s="10" t="s">
        <v>262</v>
      </c>
      <c r="D157" s="13" t="s">
        <v>104</v>
      </c>
      <c r="E157" s="662">
        <v>360965.58333333302</v>
      </c>
      <c r="F157" s="653">
        <f t="shared" si="7"/>
        <v>180482.79166666701</v>
      </c>
    </row>
    <row r="158" spans="1:6" ht="20.100000000000001" customHeight="1">
      <c r="A158" s="25">
        <v>17</v>
      </c>
      <c r="B158" s="9" t="s">
        <v>263</v>
      </c>
      <c r="C158" s="10" t="s">
        <v>264</v>
      </c>
      <c r="D158" s="8" t="s">
        <v>80</v>
      </c>
      <c r="E158" s="652">
        <v>323165.33333333302</v>
      </c>
      <c r="F158" s="653">
        <f t="shared" si="7"/>
        <v>161582.66666666701</v>
      </c>
    </row>
    <row r="159" spans="1:6" ht="20.100000000000001" customHeight="1">
      <c r="A159" s="25">
        <v>18</v>
      </c>
      <c r="B159" s="9" t="s">
        <v>265</v>
      </c>
      <c r="C159" s="10" t="s">
        <v>266</v>
      </c>
      <c r="D159" s="13" t="s">
        <v>267</v>
      </c>
      <c r="E159" s="662">
        <v>368901.5</v>
      </c>
      <c r="F159" s="653">
        <f t="shared" si="7"/>
        <v>184450.75</v>
      </c>
    </row>
    <row r="160" spans="1:6" ht="20.100000000000001" customHeight="1">
      <c r="A160" s="25">
        <v>19</v>
      </c>
      <c r="B160" s="9" t="s">
        <v>268</v>
      </c>
      <c r="C160" s="10" t="s">
        <v>269</v>
      </c>
      <c r="D160" s="13" t="s">
        <v>75</v>
      </c>
      <c r="E160" s="662">
        <v>330481.66666666698</v>
      </c>
      <c r="F160" s="653">
        <f t="shared" si="7"/>
        <v>165240.83333333299</v>
      </c>
    </row>
    <row r="161" spans="1:6" ht="20.100000000000001" customHeight="1">
      <c r="A161" s="25">
        <v>20</v>
      </c>
      <c r="B161" s="9" t="s">
        <v>270</v>
      </c>
      <c r="C161" s="10" t="s">
        <v>271</v>
      </c>
      <c r="D161" s="13" t="s">
        <v>267</v>
      </c>
      <c r="E161" s="662">
        <v>368901.5</v>
      </c>
      <c r="F161" s="653">
        <f t="shared" si="7"/>
        <v>184450.75</v>
      </c>
    </row>
    <row r="162" spans="1:6" ht="20.100000000000001" customHeight="1">
      <c r="A162" s="25">
        <v>21</v>
      </c>
      <c r="B162" s="9" t="s">
        <v>272</v>
      </c>
      <c r="C162" s="10" t="s">
        <v>273</v>
      </c>
      <c r="D162" s="13" t="s">
        <v>75</v>
      </c>
      <c r="E162" s="662">
        <v>330481.66666666698</v>
      </c>
      <c r="F162" s="653">
        <f t="shared" si="7"/>
        <v>165240.83333333299</v>
      </c>
    </row>
    <row r="163" spans="1:6" ht="20.100000000000001" customHeight="1">
      <c r="A163" s="25">
        <v>22</v>
      </c>
      <c r="B163" s="16" t="s">
        <v>274</v>
      </c>
      <c r="C163" s="10" t="s">
        <v>275</v>
      </c>
      <c r="D163" s="13" t="s">
        <v>83</v>
      </c>
      <c r="E163" s="662">
        <v>315849</v>
      </c>
      <c r="F163" s="653">
        <f t="shared" si="7"/>
        <v>157924.5</v>
      </c>
    </row>
    <row r="164" spans="1:6" ht="20.100000000000001" customHeight="1">
      <c r="A164" s="25">
        <v>23</v>
      </c>
      <c r="B164" s="16" t="s">
        <v>276</v>
      </c>
      <c r="C164" s="10" t="s">
        <v>275</v>
      </c>
      <c r="D164" s="13" t="s">
        <v>83</v>
      </c>
      <c r="E164" s="662">
        <v>315849</v>
      </c>
      <c r="F164" s="653">
        <f t="shared" si="7"/>
        <v>157924.5</v>
      </c>
    </row>
    <row r="165" spans="1:6" ht="20.100000000000001" customHeight="1">
      <c r="A165" s="25">
        <v>24</v>
      </c>
      <c r="B165" s="16" t="s">
        <v>277</v>
      </c>
      <c r="C165" s="10" t="s">
        <v>278</v>
      </c>
      <c r="D165" s="13" t="s">
        <v>92</v>
      </c>
      <c r="E165" s="652">
        <v>274459.75</v>
      </c>
      <c r="F165" s="653">
        <f t="shared" si="7"/>
        <v>137229.875</v>
      </c>
    </row>
    <row r="166" spans="1:6" ht="20.100000000000001" customHeight="1">
      <c r="A166" s="25">
        <v>25</v>
      </c>
      <c r="B166" s="16" t="s">
        <v>279</v>
      </c>
      <c r="C166" s="10" t="s">
        <v>280</v>
      </c>
      <c r="D166" s="13" t="s">
        <v>92</v>
      </c>
      <c r="E166" s="652">
        <v>274459.75</v>
      </c>
      <c r="F166" s="653">
        <f t="shared" si="7"/>
        <v>137229.875</v>
      </c>
    </row>
    <row r="167" spans="1:6" ht="20.100000000000001" customHeight="1">
      <c r="A167" s="25">
        <v>26</v>
      </c>
      <c r="B167" s="16" t="s">
        <v>281</v>
      </c>
      <c r="C167" s="10" t="s">
        <v>282</v>
      </c>
      <c r="D167" s="13" t="s">
        <v>92</v>
      </c>
      <c r="E167" s="652">
        <v>274459.75</v>
      </c>
      <c r="F167" s="653">
        <f t="shared" si="7"/>
        <v>137229.875</v>
      </c>
    </row>
    <row r="168" spans="1:6" ht="20.100000000000001" customHeight="1">
      <c r="A168" s="25">
        <v>27</v>
      </c>
      <c r="B168" s="16" t="s">
        <v>283</v>
      </c>
      <c r="C168" s="10" t="s">
        <v>284</v>
      </c>
      <c r="D168" s="13" t="s">
        <v>173</v>
      </c>
      <c r="E168" s="652">
        <v>280631.91666666698</v>
      </c>
      <c r="F168" s="653">
        <f t="shared" si="7"/>
        <v>140315.95833333299</v>
      </c>
    </row>
    <row r="169" spans="1:6" ht="20.100000000000001" customHeight="1">
      <c r="A169" s="25">
        <v>28</v>
      </c>
      <c r="B169" s="16" t="s">
        <v>285</v>
      </c>
      <c r="C169" s="10" t="s">
        <v>280</v>
      </c>
      <c r="D169" s="13" t="s">
        <v>92</v>
      </c>
      <c r="E169" s="652">
        <v>274459.75</v>
      </c>
      <c r="F169" s="653">
        <f t="shared" si="7"/>
        <v>137229.875</v>
      </c>
    </row>
    <row r="170" spans="1:6" ht="20.100000000000001" customHeight="1">
      <c r="A170" s="25">
        <v>29</v>
      </c>
      <c r="B170" s="16" t="s">
        <v>286</v>
      </c>
      <c r="C170" s="10" t="s">
        <v>287</v>
      </c>
      <c r="D170" s="13" t="s">
        <v>95</v>
      </c>
      <c r="E170" s="654">
        <v>268287.58333333302</v>
      </c>
      <c r="F170" s="653">
        <f t="shared" si="7"/>
        <v>134143.79166666701</v>
      </c>
    </row>
    <row r="171" spans="1:6" ht="20.100000000000001" customHeight="1">
      <c r="A171" s="25">
        <v>30</v>
      </c>
      <c r="B171" s="16" t="s">
        <v>288</v>
      </c>
      <c r="C171" s="10" t="s">
        <v>287</v>
      </c>
      <c r="D171" s="13" t="s">
        <v>95</v>
      </c>
      <c r="E171" s="654">
        <v>268287.58333333302</v>
      </c>
      <c r="F171" s="653">
        <f t="shared" si="7"/>
        <v>134143.79166666701</v>
      </c>
    </row>
    <row r="172" spans="1:6" ht="20.100000000000001" customHeight="1">
      <c r="A172" s="25">
        <v>31</v>
      </c>
      <c r="B172" s="9" t="s">
        <v>289</v>
      </c>
      <c r="C172" s="10" t="s">
        <v>290</v>
      </c>
      <c r="D172" s="13" t="s">
        <v>291</v>
      </c>
      <c r="E172" s="654">
        <v>202598.16666666701</v>
      </c>
      <c r="F172" s="653">
        <f t="shared" si="7"/>
        <v>101299.083333334</v>
      </c>
    </row>
    <row r="173" spans="1:6" ht="20.100000000000001" customHeight="1">
      <c r="A173" s="25">
        <v>32</v>
      </c>
      <c r="B173" s="9" t="s">
        <v>292</v>
      </c>
      <c r="C173" s="10" t="s">
        <v>290</v>
      </c>
      <c r="D173" s="13" t="s">
        <v>291</v>
      </c>
      <c r="E173" s="654">
        <v>205598.16666666701</v>
      </c>
      <c r="F173" s="653">
        <f t="shared" si="7"/>
        <v>102799.083333334</v>
      </c>
    </row>
    <row r="174" spans="1:6" ht="20.100000000000001" customHeight="1">
      <c r="A174" s="25">
        <v>33</v>
      </c>
      <c r="B174" s="9" t="s">
        <v>293</v>
      </c>
      <c r="C174" s="10" t="s">
        <v>290</v>
      </c>
      <c r="D174" s="13" t="s">
        <v>291</v>
      </c>
      <c r="E174" s="654">
        <v>202598.16666666701</v>
      </c>
      <c r="F174" s="653">
        <f t="shared" si="7"/>
        <v>101299.083333334</v>
      </c>
    </row>
    <row r="175" spans="1:6" ht="20.100000000000001" customHeight="1">
      <c r="A175" s="25">
        <v>34</v>
      </c>
      <c r="B175" s="9" t="s">
        <v>294</v>
      </c>
      <c r="C175" s="10" t="s">
        <v>290</v>
      </c>
      <c r="D175" s="13" t="s">
        <v>291</v>
      </c>
      <c r="E175" s="654">
        <v>202598.16666666701</v>
      </c>
      <c r="F175" s="653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295</v>
      </c>
      <c r="C176" s="10" t="s">
        <v>290</v>
      </c>
      <c r="D176" s="13" t="s">
        <v>291</v>
      </c>
      <c r="E176" s="654">
        <v>202598.16666666701</v>
      </c>
      <c r="F176" s="653">
        <f t="shared" si="8"/>
        <v>101299.083333334</v>
      </c>
    </row>
    <row r="177" spans="1:6" ht="20.100000000000001" customHeight="1">
      <c r="A177" s="25">
        <v>36</v>
      </c>
      <c r="B177" s="9" t="s">
        <v>296</v>
      </c>
      <c r="C177" s="10" t="s">
        <v>290</v>
      </c>
      <c r="D177" s="13" t="s">
        <v>297</v>
      </c>
      <c r="E177" s="654">
        <v>200336.83333333299</v>
      </c>
      <c r="F177" s="653">
        <f t="shared" si="8"/>
        <v>100168.416666666</v>
      </c>
    </row>
    <row r="178" spans="1:6" ht="20.100000000000001" customHeight="1">
      <c r="A178" s="25">
        <v>37</v>
      </c>
      <c r="B178" s="9" t="s">
        <v>298</v>
      </c>
      <c r="C178" s="10" t="s">
        <v>290</v>
      </c>
      <c r="D178" s="13" t="s">
        <v>297</v>
      </c>
      <c r="E178" s="654">
        <v>197336.83333333299</v>
      </c>
      <c r="F178" s="653">
        <f t="shared" si="8"/>
        <v>98668.416666666497</v>
      </c>
    </row>
    <row r="179" spans="1:6" ht="20.100000000000001" customHeight="1">
      <c r="A179" s="25">
        <v>38</v>
      </c>
      <c r="B179" s="12" t="s">
        <v>299</v>
      </c>
      <c r="C179" s="10" t="s">
        <v>290</v>
      </c>
      <c r="D179" s="13" t="s">
        <v>297</v>
      </c>
      <c r="E179" s="654">
        <v>200336.83333333299</v>
      </c>
      <c r="F179" s="653">
        <f t="shared" si="8"/>
        <v>100168.416666666</v>
      </c>
    </row>
    <row r="180" spans="1:6" ht="20.100000000000001" customHeight="1">
      <c r="A180" s="25">
        <v>39</v>
      </c>
      <c r="B180" s="9" t="s">
        <v>300</v>
      </c>
      <c r="C180" s="10" t="s">
        <v>290</v>
      </c>
      <c r="D180" s="13" t="s">
        <v>297</v>
      </c>
      <c r="E180" s="654">
        <v>197336.83333333299</v>
      </c>
      <c r="F180" s="653">
        <f t="shared" si="8"/>
        <v>98668.416666666497</v>
      </c>
    </row>
    <row r="181" spans="1:6" ht="20.100000000000001" customHeight="1">
      <c r="A181" s="25">
        <v>40</v>
      </c>
      <c r="B181" s="16" t="s">
        <v>301</v>
      </c>
      <c r="C181" s="10" t="s">
        <v>290</v>
      </c>
      <c r="D181" s="13" t="s">
        <v>297</v>
      </c>
      <c r="E181" s="654">
        <v>197336.83333333299</v>
      </c>
      <c r="F181" s="653">
        <f t="shared" si="8"/>
        <v>98668.416666666497</v>
      </c>
    </row>
    <row r="182" spans="1:6" ht="20.100000000000001" customHeight="1">
      <c r="A182" s="25">
        <v>41</v>
      </c>
      <c r="B182" s="16" t="s">
        <v>302</v>
      </c>
      <c r="C182" s="10" t="s">
        <v>290</v>
      </c>
      <c r="D182" s="13" t="s">
        <v>297</v>
      </c>
      <c r="E182" s="654">
        <v>200336.83333333299</v>
      </c>
      <c r="F182" s="653">
        <f t="shared" si="8"/>
        <v>100168.416666666</v>
      </c>
    </row>
    <row r="183" spans="1:6" ht="20.100000000000001" customHeight="1">
      <c r="A183" s="25">
        <v>42</v>
      </c>
      <c r="B183" s="9" t="s">
        <v>303</v>
      </c>
      <c r="C183" s="10" t="s">
        <v>304</v>
      </c>
      <c r="D183" s="13" t="s">
        <v>305</v>
      </c>
      <c r="E183" s="652">
        <v>189814.16666666701</v>
      </c>
      <c r="F183" s="653">
        <f t="shared" si="8"/>
        <v>94907.083333333503</v>
      </c>
    </row>
    <row r="184" spans="1:6" ht="20.100000000000001" customHeight="1">
      <c r="A184" s="25">
        <v>43</v>
      </c>
      <c r="B184" s="9" t="s">
        <v>306</v>
      </c>
      <c r="C184" s="10" t="s">
        <v>304</v>
      </c>
      <c r="D184" s="13" t="s">
        <v>305</v>
      </c>
      <c r="E184" s="652">
        <v>189814.16666666701</v>
      </c>
      <c r="F184" s="653">
        <f t="shared" si="8"/>
        <v>94907.083333333503</v>
      </c>
    </row>
    <row r="185" spans="1:6" ht="20.100000000000001" customHeight="1">
      <c r="A185" s="25">
        <v>44</v>
      </c>
      <c r="B185" s="16" t="s">
        <v>307</v>
      </c>
      <c r="C185" s="10" t="s">
        <v>304</v>
      </c>
      <c r="D185" s="13" t="s">
        <v>308</v>
      </c>
      <c r="E185" s="652">
        <v>195075.5</v>
      </c>
      <c r="F185" s="653">
        <f t="shared" si="8"/>
        <v>97537.75</v>
      </c>
    </row>
    <row r="186" spans="1:6" ht="20.100000000000001" customHeight="1">
      <c r="A186" s="25">
        <v>45</v>
      </c>
      <c r="B186" s="9" t="s">
        <v>309</v>
      </c>
      <c r="C186" s="10" t="s">
        <v>304</v>
      </c>
      <c r="D186" s="13" t="s">
        <v>305</v>
      </c>
      <c r="E186" s="652">
        <v>189814.16666666701</v>
      </c>
      <c r="F186" s="653">
        <f t="shared" si="8"/>
        <v>94907.083333333503</v>
      </c>
    </row>
    <row r="187" spans="1:6" ht="20.100000000000001" customHeight="1">
      <c r="A187" s="25">
        <v>46</v>
      </c>
      <c r="B187" s="9" t="s">
        <v>312</v>
      </c>
      <c r="C187" s="10" t="s">
        <v>313</v>
      </c>
      <c r="D187" s="13" t="s">
        <v>314</v>
      </c>
      <c r="E187" s="652">
        <v>118598</v>
      </c>
      <c r="F187" s="653">
        <f t="shared" si="8"/>
        <v>59299</v>
      </c>
    </row>
    <row r="188" spans="1:6" ht="20.100000000000001" customHeight="1">
      <c r="A188" s="25">
        <v>47</v>
      </c>
      <c r="B188" s="9" t="s">
        <v>315</v>
      </c>
      <c r="C188" s="10" t="s">
        <v>313</v>
      </c>
      <c r="D188" s="13" t="s">
        <v>314</v>
      </c>
      <c r="E188" s="652">
        <v>115598</v>
      </c>
      <c r="F188" s="653">
        <f t="shared" si="8"/>
        <v>57799</v>
      </c>
    </row>
    <row r="189" spans="1:6" ht="20.100000000000001" customHeight="1">
      <c r="A189" s="25">
        <v>48</v>
      </c>
      <c r="B189" s="9" t="s">
        <v>316</v>
      </c>
      <c r="C189" s="10" t="s">
        <v>313</v>
      </c>
      <c r="D189" s="13" t="s">
        <v>314</v>
      </c>
      <c r="E189" s="652">
        <v>118598</v>
      </c>
      <c r="F189" s="653">
        <f t="shared" si="8"/>
        <v>59299</v>
      </c>
    </row>
    <row r="190" spans="1:6" ht="20.100000000000001" customHeight="1">
      <c r="A190" s="25">
        <v>49</v>
      </c>
      <c r="B190" s="9" t="s">
        <v>317</v>
      </c>
      <c r="C190" s="10" t="s">
        <v>313</v>
      </c>
      <c r="D190" s="13" t="s">
        <v>314</v>
      </c>
      <c r="E190" s="652">
        <v>115598</v>
      </c>
      <c r="F190" s="653">
        <f t="shared" si="8"/>
        <v>57799</v>
      </c>
    </row>
    <row r="191" spans="1:6" ht="20.100000000000001" customHeight="1">
      <c r="A191" s="25">
        <v>50</v>
      </c>
      <c r="B191" s="9" t="s">
        <v>318</v>
      </c>
      <c r="C191" s="10" t="s">
        <v>313</v>
      </c>
      <c r="D191" s="13" t="s">
        <v>314</v>
      </c>
      <c r="E191" s="652">
        <v>118598</v>
      </c>
      <c r="F191" s="653">
        <f t="shared" si="8"/>
        <v>59299</v>
      </c>
    </row>
    <row r="192" spans="1:6" ht="20.100000000000001" customHeight="1">
      <c r="A192" s="25">
        <v>51</v>
      </c>
      <c r="B192" s="16" t="s">
        <v>319</v>
      </c>
      <c r="C192" s="10" t="s">
        <v>313</v>
      </c>
      <c r="D192" s="13" t="s">
        <v>314</v>
      </c>
      <c r="E192" s="652">
        <v>115598</v>
      </c>
      <c r="F192" s="653">
        <f t="shared" si="8"/>
        <v>57799</v>
      </c>
    </row>
    <row r="193" spans="1:6" ht="20.100000000000001" customHeight="1">
      <c r="A193" s="25">
        <v>52</v>
      </c>
      <c r="B193" s="16" t="s">
        <v>320</v>
      </c>
      <c r="C193" s="10" t="s">
        <v>313</v>
      </c>
      <c r="D193" s="13" t="s">
        <v>314</v>
      </c>
      <c r="E193" s="652">
        <v>118598</v>
      </c>
      <c r="F193" s="653">
        <f t="shared" si="8"/>
        <v>59299</v>
      </c>
    </row>
    <row r="194" spans="1:6" ht="20.100000000000001" customHeight="1">
      <c r="A194" s="25">
        <v>53</v>
      </c>
      <c r="B194" s="9" t="s">
        <v>321</v>
      </c>
      <c r="C194" s="10" t="s">
        <v>310</v>
      </c>
      <c r="D194" s="13" t="s">
        <v>314</v>
      </c>
      <c r="E194" s="652">
        <v>118598</v>
      </c>
      <c r="F194" s="653">
        <f t="shared" si="8"/>
        <v>59299</v>
      </c>
    </row>
    <row r="195" spans="1:6" ht="20.100000000000001" customHeight="1">
      <c r="A195" s="25">
        <v>54</v>
      </c>
      <c r="B195" s="9" t="s">
        <v>322</v>
      </c>
      <c r="C195" s="10" t="s">
        <v>310</v>
      </c>
      <c r="D195" s="13" t="s">
        <v>314</v>
      </c>
      <c r="E195" s="652">
        <v>118598</v>
      </c>
      <c r="F195" s="653">
        <f t="shared" si="8"/>
        <v>59299</v>
      </c>
    </row>
    <row r="196" spans="1:6" ht="20.100000000000001" customHeight="1">
      <c r="A196" s="25">
        <v>55</v>
      </c>
      <c r="B196" s="16" t="s">
        <v>323</v>
      </c>
      <c r="C196" s="10" t="s">
        <v>324</v>
      </c>
      <c r="D196" s="13" t="s">
        <v>325</v>
      </c>
      <c r="E196" s="652">
        <v>116050.25</v>
      </c>
      <c r="F196" s="653">
        <f t="shared" si="8"/>
        <v>58025.125</v>
      </c>
    </row>
    <row r="197" spans="1:6" ht="20.100000000000001" customHeight="1">
      <c r="A197" s="25">
        <v>56</v>
      </c>
      <c r="B197" s="16" t="s">
        <v>326</v>
      </c>
      <c r="C197" s="10" t="s">
        <v>324</v>
      </c>
      <c r="D197" s="13" t="s">
        <v>327</v>
      </c>
      <c r="E197" s="652">
        <v>322950.32258064498</v>
      </c>
      <c r="F197" s="653">
        <f t="shared" si="8"/>
        <v>161475.16129032301</v>
      </c>
    </row>
    <row r="198" spans="1:6" ht="20.100000000000001" customHeight="1">
      <c r="A198" s="25">
        <v>57</v>
      </c>
      <c r="B198" s="16" t="s">
        <v>328</v>
      </c>
      <c r="C198" s="10" t="s">
        <v>304</v>
      </c>
      <c r="D198" s="13" t="s">
        <v>305</v>
      </c>
      <c r="E198" s="652">
        <v>174814.16666666701</v>
      </c>
      <c r="F198" s="653">
        <f t="shared" si="8"/>
        <v>87407.083333333503</v>
      </c>
    </row>
    <row r="199" spans="1:6" ht="20.100000000000001" customHeight="1">
      <c r="A199" s="25">
        <v>58</v>
      </c>
      <c r="B199" s="16" t="s">
        <v>329</v>
      </c>
      <c r="C199" s="10" t="s">
        <v>330</v>
      </c>
      <c r="D199" s="13" t="s">
        <v>331</v>
      </c>
      <c r="E199" s="652">
        <v>95540.75</v>
      </c>
      <c r="F199" s="653">
        <f t="shared" si="8"/>
        <v>47770.375</v>
      </c>
    </row>
    <row r="200" spans="1:6" ht="20.100000000000001" customHeight="1">
      <c r="A200" s="25">
        <v>59</v>
      </c>
      <c r="B200" s="16" t="s">
        <v>332</v>
      </c>
      <c r="C200" s="10" t="s">
        <v>330</v>
      </c>
      <c r="D200" s="13" t="s">
        <v>331</v>
      </c>
      <c r="E200" s="652">
        <v>95540.75</v>
      </c>
      <c r="F200" s="653">
        <f t="shared" si="8"/>
        <v>47770.375</v>
      </c>
    </row>
    <row r="201" spans="1:6" ht="20.100000000000001" customHeight="1">
      <c r="A201" s="25">
        <v>60</v>
      </c>
      <c r="B201" s="16" t="s">
        <v>333</v>
      </c>
      <c r="C201" s="10" t="s">
        <v>330</v>
      </c>
      <c r="D201" s="13" t="s">
        <v>331</v>
      </c>
      <c r="E201" s="652">
        <v>95540.75</v>
      </c>
      <c r="F201" s="653">
        <f t="shared" si="8"/>
        <v>47770.375</v>
      </c>
    </row>
    <row r="202" spans="1:6" ht="20.100000000000001" customHeight="1">
      <c r="A202" s="25">
        <v>61</v>
      </c>
      <c r="B202" s="16" t="s">
        <v>334</v>
      </c>
      <c r="C202" s="10" t="s">
        <v>335</v>
      </c>
      <c r="D202" s="13" t="s">
        <v>336</v>
      </c>
      <c r="E202" s="652">
        <v>108502.5</v>
      </c>
      <c r="F202" s="653">
        <f t="shared" si="8"/>
        <v>54251.25</v>
      </c>
    </row>
    <row r="203" spans="1:6" ht="20.100000000000001" customHeight="1">
      <c r="A203" s="25">
        <v>62</v>
      </c>
      <c r="B203" s="16" t="s">
        <v>337</v>
      </c>
      <c r="C203" s="10" t="s">
        <v>335</v>
      </c>
      <c r="D203" s="13" t="s">
        <v>336</v>
      </c>
      <c r="E203" s="652">
        <v>108502.5</v>
      </c>
      <c r="F203" s="653">
        <f t="shared" si="8"/>
        <v>54251.25</v>
      </c>
    </row>
    <row r="204" spans="1:6" ht="30.75" customHeight="1">
      <c r="A204" s="25"/>
      <c r="B204" s="6" t="s">
        <v>96</v>
      </c>
      <c r="C204" s="26" t="s">
        <v>502</v>
      </c>
      <c r="D204" s="27"/>
      <c r="E204" s="657">
        <v>18551927.822580699</v>
      </c>
      <c r="F204" s="658">
        <f>SUM(F142:F203)</f>
        <v>9275963.9112903308</v>
      </c>
    </row>
    <row r="205" spans="1:6" ht="47.1" customHeight="1">
      <c r="A205" s="2"/>
      <c r="B205" s="28" t="s">
        <v>339</v>
      </c>
      <c r="C205" s="29">
        <f>C38+C45+C58+C63+C75+C84+C97+C104+C114+C126+C139+C204</f>
        <v>160</v>
      </c>
      <c r="D205" s="30"/>
      <c r="E205" s="667">
        <v>79274722.042018995</v>
      </c>
      <c r="F205" s="668">
        <f>F204+F139+F126+F120+F114+F104+F97+F84+F75+F63+F58+F45+F38</f>
        <v>40455221.021009497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802" t="s">
        <v>514</v>
      </c>
      <c r="B1" s="802"/>
      <c r="C1" s="802"/>
    </row>
    <row r="2" spans="1:4" ht="30" customHeight="1">
      <c r="A2" s="44">
        <v>1</v>
      </c>
      <c r="B2" s="44" t="s">
        <v>504</v>
      </c>
      <c r="C2" s="126">
        <f>'Staff Bonus'!F205</f>
        <v>40455221.021009497</v>
      </c>
      <c r="D2" s="44"/>
    </row>
    <row r="3" spans="1:4" ht="30" customHeight="1">
      <c r="A3" s="44">
        <v>2</v>
      </c>
      <c r="B3" s="44" t="s">
        <v>505</v>
      </c>
      <c r="C3" s="126">
        <f>'[4]NEW STAFF BONUS'!$F$57</f>
        <v>3962895.7466666698</v>
      </c>
      <c r="D3" s="44"/>
    </row>
    <row r="4" spans="1:4" ht="30" customHeight="1">
      <c r="A4" s="44">
        <v>3</v>
      </c>
      <c r="B4" s="44" t="s">
        <v>506</v>
      </c>
      <c r="C4" s="126">
        <f>'[5]BONUS CONTRACT'!$F$21</f>
        <v>4618070.6766666695</v>
      </c>
      <c r="D4" s="44"/>
    </row>
    <row r="5" spans="1:4" ht="30" customHeight="1">
      <c r="A5" s="44">
        <v>4</v>
      </c>
      <c r="B5" s="44" t="s">
        <v>507</v>
      </c>
      <c r="C5" s="126">
        <f>'[5]NEW CONTR BONUS'!$F$30</f>
        <v>4681559.7683333298</v>
      </c>
      <c r="D5" s="44"/>
    </row>
    <row r="6" spans="1:4" ht="30" customHeight="1">
      <c r="A6" s="44">
        <v>5</v>
      </c>
      <c r="B6" s="44" t="s">
        <v>508</v>
      </c>
      <c r="C6" s="126">
        <f>'[5]CAS. SABB. NYSC BONUS'!$E$67</f>
        <v>4877192.3733333303</v>
      </c>
      <c r="D6" s="44"/>
    </row>
    <row r="7" spans="1:4" ht="30" customHeight="1">
      <c r="A7" s="44">
        <v>6</v>
      </c>
      <c r="B7" s="44" t="s">
        <v>515</v>
      </c>
      <c r="C7" s="645">
        <f>'[5]CONSULTANCY BONUS'!$E$28</f>
        <v>2750000</v>
      </c>
      <c r="D7" s="44"/>
    </row>
    <row r="8" spans="1:4" ht="30" customHeight="1">
      <c r="A8" s="44"/>
      <c r="B8" s="224" t="s">
        <v>511</v>
      </c>
      <c r="C8" s="646">
        <f>SUM(C2:C7)</f>
        <v>61344939.586009502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96"/>
  <sheetViews>
    <sheetView topLeftCell="A45" workbookViewId="0">
      <selection activeCell="B55" sqref="B55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1"/>
    </row>
    <row r="2" spans="1:31" hidden="1">
      <c r="A2" s="796" t="s">
        <v>459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1"/>
    </row>
    <row r="3" spans="1:31" hidden="1">
      <c r="A3" s="797" t="s">
        <v>460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1"/>
    </row>
    <row r="4" spans="1:31" ht="83.25" customHeight="1">
      <c r="A4" s="417" t="s">
        <v>461</v>
      </c>
      <c r="B4" s="418" t="s">
        <v>462</v>
      </c>
      <c r="C4" s="419" t="s">
        <v>463</v>
      </c>
      <c r="D4" s="418" t="s">
        <v>456</v>
      </c>
      <c r="E4" s="419" t="s">
        <v>464</v>
      </c>
      <c r="F4" s="419" t="s">
        <v>465</v>
      </c>
      <c r="G4" s="419" t="s">
        <v>466</v>
      </c>
      <c r="H4" s="419" t="s">
        <v>467</v>
      </c>
      <c r="I4" s="419" t="s">
        <v>468</v>
      </c>
      <c r="J4" s="419"/>
      <c r="K4" s="419"/>
      <c r="L4" s="419"/>
      <c r="M4" s="419" t="s">
        <v>469</v>
      </c>
      <c r="N4" s="419" t="s">
        <v>470</v>
      </c>
      <c r="O4" s="419" t="s">
        <v>471</v>
      </c>
      <c r="P4" s="419" t="s">
        <v>472</v>
      </c>
      <c r="Q4" s="419" t="s">
        <v>473</v>
      </c>
      <c r="R4" s="419" t="s">
        <v>474</v>
      </c>
      <c r="S4" s="419" t="s">
        <v>475</v>
      </c>
      <c r="T4" s="419" t="s">
        <v>476</v>
      </c>
      <c r="U4" s="419" t="s">
        <v>477</v>
      </c>
      <c r="V4" s="419" t="s">
        <v>478</v>
      </c>
      <c r="W4" s="419"/>
      <c r="X4" s="419" t="s">
        <v>479</v>
      </c>
      <c r="Y4" s="419" t="s">
        <v>480</v>
      </c>
      <c r="Z4" s="419" t="s">
        <v>481</v>
      </c>
      <c r="AA4" s="433"/>
      <c r="AB4" s="433" t="s">
        <v>516</v>
      </c>
    </row>
    <row r="5" spans="1:31" ht="18.75">
      <c r="A5" s="420">
        <v>1</v>
      </c>
      <c r="B5" s="6" t="s">
        <v>21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22</v>
      </c>
      <c r="C6" s="421">
        <v>967493.08349999995</v>
      </c>
      <c r="D6" s="422">
        <v>12</v>
      </c>
      <c r="E6" s="423">
        <f t="shared" ref="E6:E36" si="0">C6*D6</f>
        <v>11609917.002</v>
      </c>
      <c r="F6" s="423"/>
      <c r="G6" s="423"/>
      <c r="H6" s="423"/>
      <c r="I6" s="423">
        <f t="shared" ref="I6:I36" si="1">E6-F6-G6-H6</f>
        <v>11609917.002</v>
      </c>
      <c r="J6" s="423">
        <v>200000</v>
      </c>
      <c r="K6" s="423">
        <v>0.2</v>
      </c>
      <c r="L6" s="423">
        <f t="shared" ref="L6:L36" si="2">I6*K6</f>
        <v>2321983.4004000002</v>
      </c>
      <c r="M6" s="423">
        <f t="shared" ref="M6:M36" si="3">J6+L6</f>
        <v>2521983.4004000002</v>
      </c>
      <c r="N6" s="423">
        <f t="shared" ref="N6:N36" si="4">F6+G6+H6+M6</f>
        <v>2521983.4004000002</v>
      </c>
      <c r="O6" s="423">
        <f t="shared" ref="O6:O36" si="5">E6-N6</f>
        <v>9087933.6016000006</v>
      </c>
      <c r="P6" s="423">
        <f t="shared" ref="P6:P36" si="6">IF(O6&lt;300000,0.07*O6,21000)</f>
        <v>21000</v>
      </c>
      <c r="Q6" s="423">
        <f t="shared" ref="Q6:Q36" si="7">IF((O6-300000)&lt;0,0,IF((O6-300000)&lt;300000,0.11*(O6-300000),33000))</f>
        <v>33000</v>
      </c>
      <c r="R6" s="423">
        <f t="shared" ref="R6:R36" si="8">IF((O6-600000)&lt;0,0,IF((O6-600000)&lt;500000,0.15*(O6-600000),75000))</f>
        <v>75000</v>
      </c>
      <c r="S6" s="423">
        <f t="shared" ref="S6:S36" si="9">IF((O6-1100000)&lt;0,0,IF((O6-1100000)&lt;500000,0.19*(O6-1100000),95000))</f>
        <v>95000</v>
      </c>
      <c r="T6" s="423">
        <f t="shared" ref="T6:T36" si="10">IF((O6-1600000)&lt;0,0,IF((O6-1600000)&lt;1600000,0.21*(O6-1600000),336000))</f>
        <v>336000</v>
      </c>
      <c r="U6" s="423">
        <f t="shared" ref="U6:U15" si="11">24%*(O6-3200000)</f>
        <v>1413104.0643839999</v>
      </c>
      <c r="V6" s="423">
        <f t="shared" ref="V6:V36" si="12">P6+Q6+R6+S6+T6+U6</f>
        <v>1973104.0643839999</v>
      </c>
      <c r="W6" s="430">
        <v>12</v>
      </c>
      <c r="X6" s="423">
        <f t="shared" ref="X6:X36" si="13">V6/W6</f>
        <v>164425.33869866701</v>
      </c>
      <c r="Y6" s="423"/>
      <c r="Z6" s="423">
        <f t="shared" ref="Z6:Z36" si="14">X6</f>
        <v>164425.33869866701</v>
      </c>
      <c r="AA6" s="435">
        <v>201165.83594666701</v>
      </c>
      <c r="AB6" s="435">
        <f t="shared" ref="AB6:AB32" si="15">Z6-AA6</f>
        <v>-36740.497248000298</v>
      </c>
      <c r="AC6" s="435"/>
      <c r="AD6" s="435"/>
      <c r="AE6" s="435"/>
    </row>
    <row r="7" spans="1:31" ht="18.75">
      <c r="A7" s="420">
        <v>4</v>
      </c>
      <c r="B7" s="9" t="s">
        <v>25</v>
      </c>
      <c r="C7" s="421">
        <v>476186.58333333302</v>
      </c>
      <c r="D7" s="422">
        <v>12</v>
      </c>
      <c r="E7" s="423">
        <f t="shared" si="0"/>
        <v>5714239</v>
      </c>
      <c r="F7" s="423"/>
      <c r="G7" s="423">
        <v>731878.24</v>
      </c>
      <c r="H7" s="423"/>
      <c r="I7" s="423">
        <f t="shared" si="1"/>
        <v>4982360.76</v>
      </c>
      <c r="J7" s="423">
        <v>200000</v>
      </c>
      <c r="K7" s="423">
        <v>0.2</v>
      </c>
      <c r="L7" s="423">
        <f t="shared" si="2"/>
        <v>996472.15199999895</v>
      </c>
      <c r="M7" s="423">
        <f t="shared" si="3"/>
        <v>1196472.152</v>
      </c>
      <c r="N7" s="423">
        <f t="shared" si="4"/>
        <v>1928350.392</v>
      </c>
      <c r="O7" s="423">
        <f t="shared" si="5"/>
        <v>3785888.608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336000</v>
      </c>
      <c r="U7" s="423">
        <f t="shared" si="11"/>
        <v>140613.26591999899</v>
      </c>
      <c r="V7" s="423">
        <f t="shared" si="12"/>
        <v>700613.26591999899</v>
      </c>
      <c r="W7" s="430">
        <v>12</v>
      </c>
      <c r="X7" s="423">
        <f t="shared" si="13"/>
        <v>58384.438826666599</v>
      </c>
      <c r="Y7" s="423"/>
      <c r="Z7" s="423">
        <f t="shared" si="14"/>
        <v>58384.438826666599</v>
      </c>
      <c r="AA7" s="435">
        <v>82627.951418666693</v>
      </c>
      <c r="AB7" s="435">
        <f t="shared" si="15"/>
        <v>-24243.512592000101</v>
      </c>
      <c r="AC7" s="435"/>
      <c r="AD7" s="435"/>
      <c r="AE7" s="435"/>
    </row>
    <row r="8" spans="1:31" ht="18.75">
      <c r="A8" s="420">
        <v>5</v>
      </c>
      <c r="B8" s="12" t="s">
        <v>28</v>
      </c>
      <c r="C8" s="421">
        <v>576186.58333333302</v>
      </c>
      <c r="D8" s="422">
        <v>12</v>
      </c>
      <c r="E8" s="423">
        <f t="shared" si="0"/>
        <v>6914239</v>
      </c>
      <c r="F8" s="423"/>
      <c r="G8" s="423">
        <v>0</v>
      </c>
      <c r="H8" s="423"/>
      <c r="I8" s="423">
        <f t="shared" si="1"/>
        <v>6914239</v>
      </c>
      <c r="J8" s="423">
        <v>200000</v>
      </c>
      <c r="K8" s="423">
        <v>0.2</v>
      </c>
      <c r="L8" s="423">
        <f t="shared" si="2"/>
        <v>1382847.8</v>
      </c>
      <c r="M8" s="423">
        <f t="shared" si="3"/>
        <v>1582847.8</v>
      </c>
      <c r="N8" s="423">
        <f t="shared" si="4"/>
        <v>1582847.8</v>
      </c>
      <c r="O8" s="423">
        <f t="shared" si="5"/>
        <v>5331391.2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336000</v>
      </c>
      <c r="U8" s="423">
        <f t="shared" si="11"/>
        <v>511533.88799999899</v>
      </c>
      <c r="V8" s="423">
        <f t="shared" si="12"/>
        <v>1071533.888</v>
      </c>
      <c r="W8" s="430">
        <v>12</v>
      </c>
      <c r="X8" s="423">
        <f t="shared" si="13"/>
        <v>89294.490666666607</v>
      </c>
      <c r="Y8" s="423"/>
      <c r="Z8" s="423">
        <f t="shared" si="14"/>
        <v>89294.490666666607</v>
      </c>
      <c r="AA8" s="435">
        <v>121027.951418667</v>
      </c>
      <c r="AB8" s="435">
        <f t="shared" si="15"/>
        <v>-31733.460752000399</v>
      </c>
      <c r="AC8" s="435"/>
      <c r="AD8" s="435"/>
      <c r="AE8" s="435"/>
    </row>
    <row r="9" spans="1:31" ht="18.75">
      <c r="A9" s="420">
        <v>6</v>
      </c>
      <c r="B9" s="9" t="s">
        <v>30</v>
      </c>
      <c r="C9" s="421">
        <v>471186.58333333302</v>
      </c>
      <c r="D9" s="422">
        <v>12</v>
      </c>
      <c r="E9" s="423">
        <f t="shared" si="0"/>
        <v>5654239</v>
      </c>
      <c r="F9" s="423">
        <f>'[6]JANUARY 2024'!$V$10*12</f>
        <v>12795.951000000001</v>
      </c>
      <c r="G9" s="423">
        <v>731878.24</v>
      </c>
      <c r="H9" s="423"/>
      <c r="I9" s="423">
        <f t="shared" si="1"/>
        <v>4909564.8089999994</v>
      </c>
      <c r="J9" s="423">
        <v>200000</v>
      </c>
      <c r="K9" s="423">
        <v>0.2</v>
      </c>
      <c r="L9" s="423">
        <f t="shared" si="2"/>
        <v>981912.96179999993</v>
      </c>
      <c r="M9" s="423">
        <f t="shared" si="3"/>
        <v>1181912.9617999999</v>
      </c>
      <c r="N9" s="423">
        <f t="shared" si="4"/>
        <v>1926587.1527999998</v>
      </c>
      <c r="O9" s="423">
        <f t="shared" si="5"/>
        <v>3727651.8472000002</v>
      </c>
      <c r="P9" s="423">
        <f t="shared" si="6"/>
        <v>21000</v>
      </c>
      <c r="Q9" s="423">
        <f t="shared" si="7"/>
        <v>33000</v>
      </c>
      <c r="R9" s="423">
        <f t="shared" si="8"/>
        <v>75000</v>
      </c>
      <c r="S9" s="423">
        <f t="shared" si="9"/>
        <v>95000</v>
      </c>
      <c r="T9" s="423">
        <f t="shared" si="10"/>
        <v>336000</v>
      </c>
      <c r="U9" s="423">
        <f t="shared" si="11"/>
        <v>126636.44332800004</v>
      </c>
      <c r="V9" s="423">
        <f t="shared" si="12"/>
        <v>686636.44332800002</v>
      </c>
      <c r="W9" s="430">
        <v>12</v>
      </c>
      <c r="X9" s="423">
        <f t="shared" si="13"/>
        <v>57219.703610666671</v>
      </c>
      <c r="Y9" s="423"/>
      <c r="Z9" s="423">
        <f t="shared" si="14"/>
        <v>57219.703610666671</v>
      </c>
      <c r="AA9" s="435">
        <v>99703.216202666707</v>
      </c>
      <c r="AB9" s="435">
        <f t="shared" si="15"/>
        <v>-42483.512592000036</v>
      </c>
      <c r="AC9" s="435"/>
      <c r="AD9" s="435"/>
      <c r="AE9" s="435"/>
    </row>
    <row r="10" spans="1:31" ht="18.75">
      <c r="A10" s="420">
        <v>7</v>
      </c>
      <c r="B10" s="12" t="s">
        <v>32</v>
      </c>
      <c r="C10" s="421">
        <v>551186.58333333302</v>
      </c>
      <c r="D10" s="422">
        <v>12</v>
      </c>
      <c r="E10" s="423">
        <f t="shared" si="0"/>
        <v>6614239</v>
      </c>
      <c r="F10" s="423">
        <f>'[6]JANUARY 2024'!$V$10*12</f>
        <v>12795.951000000001</v>
      </c>
      <c r="G10" s="423">
        <v>731878.24</v>
      </c>
      <c r="H10" s="423"/>
      <c r="I10" s="423">
        <f t="shared" si="1"/>
        <v>5869564.8089999994</v>
      </c>
      <c r="J10" s="423">
        <v>200000</v>
      </c>
      <c r="K10" s="423">
        <v>0.2</v>
      </c>
      <c r="L10" s="423">
        <f t="shared" si="2"/>
        <v>1173912.9617999999</v>
      </c>
      <c r="M10" s="423">
        <f t="shared" si="3"/>
        <v>1373912.9617999999</v>
      </c>
      <c r="N10" s="423">
        <f t="shared" si="4"/>
        <v>2118587.1527999998</v>
      </c>
      <c r="O10" s="423">
        <f t="shared" si="5"/>
        <v>4495651.8472000007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 t="shared" si="11"/>
        <v>310956.44332800014</v>
      </c>
      <c r="V10" s="423">
        <f t="shared" si="12"/>
        <v>870956.44332800014</v>
      </c>
      <c r="W10" s="430">
        <v>12</v>
      </c>
      <c r="X10" s="423">
        <f t="shared" si="13"/>
        <v>72579.703610666678</v>
      </c>
      <c r="Y10" s="423"/>
      <c r="Z10" s="423">
        <f t="shared" si="14"/>
        <v>72579.703610666678</v>
      </c>
      <c r="AA10" s="435">
        <v>111223.216202667</v>
      </c>
      <c r="AB10" s="435">
        <f t="shared" si="15"/>
        <v>-38643.512592000319</v>
      </c>
      <c r="AC10" s="435"/>
      <c r="AD10" s="435"/>
      <c r="AE10" s="435"/>
    </row>
    <row r="11" spans="1:31" ht="18.75">
      <c r="A11" s="420">
        <v>8</v>
      </c>
      <c r="B11" s="9" t="s">
        <v>34</v>
      </c>
      <c r="C11" s="421">
        <v>375337.79166666698</v>
      </c>
      <c r="D11" s="422">
        <v>12</v>
      </c>
      <c r="E11" s="423">
        <f t="shared" si="0"/>
        <v>4504053.5</v>
      </c>
      <c r="F11" s="423"/>
      <c r="G11" s="423">
        <v>0</v>
      </c>
      <c r="H11" s="423"/>
      <c r="I11" s="423">
        <f t="shared" si="1"/>
        <v>4504053.5</v>
      </c>
      <c r="J11" s="423">
        <v>200000</v>
      </c>
      <c r="K11" s="423">
        <v>0.2</v>
      </c>
      <c r="L11" s="423">
        <f t="shared" si="2"/>
        <v>900810.700000001</v>
      </c>
      <c r="M11" s="423">
        <f t="shared" si="3"/>
        <v>1100810.7</v>
      </c>
      <c r="N11" s="423">
        <f t="shared" si="4"/>
        <v>1100810.7</v>
      </c>
      <c r="O11" s="423">
        <f t="shared" si="5"/>
        <v>3403242.8</v>
      </c>
      <c r="P11" s="423">
        <f t="shared" si="6"/>
        <v>21000</v>
      </c>
      <c r="Q11" s="423">
        <f t="shared" si="7"/>
        <v>33000</v>
      </c>
      <c r="R11" s="423">
        <f t="shared" si="8"/>
        <v>75000</v>
      </c>
      <c r="S11" s="423">
        <f t="shared" si="9"/>
        <v>95000</v>
      </c>
      <c r="T11" s="423">
        <f t="shared" si="10"/>
        <v>336000</v>
      </c>
      <c r="U11" s="423">
        <f t="shared" si="11"/>
        <v>48778.272000000703</v>
      </c>
      <c r="V11" s="423">
        <f t="shared" si="12"/>
        <v>608778.27200000104</v>
      </c>
      <c r="W11" s="430">
        <v>12</v>
      </c>
      <c r="X11" s="423">
        <f t="shared" si="13"/>
        <v>50731.5226666667</v>
      </c>
      <c r="Y11" s="423"/>
      <c r="Z11" s="423">
        <f t="shared" si="14"/>
        <v>50731.5226666667</v>
      </c>
      <c r="AA11" s="435">
        <v>101827.951418667</v>
      </c>
      <c r="AB11" s="435">
        <f t="shared" si="15"/>
        <v>-51096.428752000298</v>
      </c>
      <c r="AC11" s="435"/>
      <c r="AD11" s="435"/>
      <c r="AE11" s="435"/>
    </row>
    <row r="12" spans="1:31" ht="18.75">
      <c r="A12" s="420">
        <v>9</v>
      </c>
      <c r="B12" s="9" t="s">
        <v>37</v>
      </c>
      <c r="C12" s="421">
        <v>471059.04166666698</v>
      </c>
      <c r="D12" s="422">
        <v>12</v>
      </c>
      <c r="E12" s="423">
        <f t="shared" si="0"/>
        <v>5652708.5</v>
      </c>
      <c r="F12" s="423">
        <f>'[6]JANUARY 2024'!$V$13*12</f>
        <v>10052.25</v>
      </c>
      <c r="G12" s="423">
        <v>595848.56000000006</v>
      </c>
      <c r="H12" s="423"/>
      <c r="I12" s="423">
        <f t="shared" si="1"/>
        <v>5046807.6899999995</v>
      </c>
      <c r="J12" s="423">
        <v>200000</v>
      </c>
      <c r="K12" s="423">
        <v>0.2</v>
      </c>
      <c r="L12" s="423">
        <f t="shared" si="2"/>
        <v>1009361.5379999999</v>
      </c>
      <c r="M12" s="423">
        <f t="shared" si="3"/>
        <v>1209361.5379999999</v>
      </c>
      <c r="N12" s="423">
        <f t="shared" si="4"/>
        <v>1815262.348</v>
      </c>
      <c r="O12" s="423">
        <f t="shared" si="5"/>
        <v>3837446.1519999998</v>
      </c>
      <c r="P12" s="423">
        <f t="shared" si="6"/>
        <v>21000</v>
      </c>
      <c r="Q12" s="423">
        <f t="shared" si="7"/>
        <v>33000</v>
      </c>
      <c r="R12" s="423">
        <f t="shared" si="8"/>
        <v>75000</v>
      </c>
      <c r="S12" s="423">
        <f t="shared" si="9"/>
        <v>95000</v>
      </c>
      <c r="T12" s="423">
        <f t="shared" si="10"/>
        <v>336000</v>
      </c>
      <c r="U12" s="423">
        <f t="shared" si="11"/>
        <v>152987.07647999993</v>
      </c>
      <c r="V12" s="423">
        <f t="shared" si="12"/>
        <v>712987.07647999993</v>
      </c>
      <c r="W12" s="430">
        <v>12</v>
      </c>
      <c r="X12" s="423">
        <f t="shared" si="13"/>
        <v>59415.589706666658</v>
      </c>
      <c r="Y12" s="423"/>
      <c r="Z12" s="423">
        <f t="shared" si="14"/>
        <v>59415.589706666658</v>
      </c>
      <c r="AA12" s="435">
        <v>74036.103146666705</v>
      </c>
      <c r="AB12" s="435">
        <f t="shared" si="15"/>
        <v>-14620.513440000046</v>
      </c>
      <c r="AC12" s="435"/>
      <c r="AD12" s="435"/>
      <c r="AE12" s="435"/>
    </row>
    <row r="13" spans="1:31" ht="18.75">
      <c r="A13" s="420">
        <v>10</v>
      </c>
      <c r="B13" s="9" t="s">
        <v>40</v>
      </c>
      <c r="C13" s="421">
        <v>277186.875</v>
      </c>
      <c r="D13" s="422">
        <v>12</v>
      </c>
      <c r="E13" s="423">
        <f t="shared" si="0"/>
        <v>3326242.5</v>
      </c>
      <c r="F13" s="423">
        <f>'[6]JANUARY 2024'!$V$14*12</f>
        <v>9305.9519999999993</v>
      </c>
      <c r="G13" s="423">
        <v>558833.36</v>
      </c>
      <c r="H13" s="423"/>
      <c r="I13" s="423">
        <f t="shared" si="1"/>
        <v>2758103.1880000001</v>
      </c>
      <c r="J13" s="423">
        <v>200000</v>
      </c>
      <c r="K13" s="423">
        <v>0.2</v>
      </c>
      <c r="L13" s="423">
        <f t="shared" si="2"/>
        <v>551620.63760000002</v>
      </c>
      <c r="M13" s="423">
        <f t="shared" si="3"/>
        <v>751620.63760000002</v>
      </c>
      <c r="N13" s="423">
        <f t="shared" si="4"/>
        <v>1319759.9495999999</v>
      </c>
      <c r="O13" s="423">
        <f t="shared" si="5"/>
        <v>2006482.5504000001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85361.335584000015</v>
      </c>
      <c r="U13" s="423"/>
      <c r="V13" s="423">
        <f t="shared" si="12"/>
        <v>309361.33558399999</v>
      </c>
      <c r="W13" s="430">
        <v>12</v>
      </c>
      <c r="X13" s="423">
        <f t="shared" si="13"/>
        <v>25780.111298666667</v>
      </c>
      <c r="Y13" s="423"/>
      <c r="Z13" s="423">
        <f t="shared" si="14"/>
        <v>25780.111298666667</v>
      </c>
      <c r="AA13" s="435">
        <v>94625.782058666693</v>
      </c>
      <c r="AB13" s="435">
        <f t="shared" si="15"/>
        <v>-68845.670760000023</v>
      </c>
      <c r="AC13" s="435"/>
      <c r="AD13" s="435"/>
      <c r="AE13" s="435"/>
    </row>
    <row r="14" spans="1:31" ht="18.75">
      <c r="A14" s="420">
        <v>11</v>
      </c>
      <c r="B14" s="12" t="s">
        <v>43</v>
      </c>
      <c r="C14" s="421">
        <v>446059.04166666698</v>
      </c>
      <c r="D14" s="422">
        <v>12</v>
      </c>
      <c r="E14" s="423">
        <f t="shared" si="0"/>
        <v>5352708.5</v>
      </c>
      <c r="F14" s="423"/>
      <c r="G14" s="423">
        <v>464998.8</v>
      </c>
      <c r="H14" s="423"/>
      <c r="I14" s="423">
        <f t="shared" si="1"/>
        <v>4887709.7</v>
      </c>
      <c r="J14" s="423">
        <v>200000</v>
      </c>
      <c r="K14" s="423">
        <v>0.2</v>
      </c>
      <c r="L14" s="423">
        <f t="shared" si="2"/>
        <v>977541.94000000099</v>
      </c>
      <c r="M14" s="423">
        <f t="shared" si="3"/>
        <v>1177541.94</v>
      </c>
      <c r="N14" s="423">
        <f t="shared" si="4"/>
        <v>1642540.74</v>
      </c>
      <c r="O14" s="423">
        <f t="shared" si="5"/>
        <v>3710167.76</v>
      </c>
      <c r="P14" s="423">
        <f t="shared" si="6"/>
        <v>21000</v>
      </c>
      <c r="Q14" s="423">
        <f t="shared" si="7"/>
        <v>33000</v>
      </c>
      <c r="R14" s="423">
        <f t="shared" si="8"/>
        <v>75000</v>
      </c>
      <c r="S14" s="423">
        <f t="shared" si="9"/>
        <v>95000</v>
      </c>
      <c r="T14" s="423">
        <f t="shared" si="10"/>
        <v>336000</v>
      </c>
      <c r="U14" s="423">
        <f t="shared" si="11"/>
        <v>122440.262400001</v>
      </c>
      <c r="V14" s="423">
        <f t="shared" si="12"/>
        <v>682440.26240000105</v>
      </c>
      <c r="W14" s="430">
        <v>12</v>
      </c>
      <c r="X14" s="423">
        <f t="shared" si="13"/>
        <v>56870.021866666699</v>
      </c>
      <c r="Y14" s="423"/>
      <c r="Z14" s="423">
        <f t="shared" si="14"/>
        <v>56870.021866666699</v>
      </c>
      <c r="AA14" s="435">
        <v>44846.6165886667</v>
      </c>
      <c r="AB14" s="435">
        <f t="shared" si="15"/>
        <v>12023.405278</v>
      </c>
      <c r="AC14" s="435"/>
      <c r="AD14" s="435"/>
      <c r="AE14" s="435"/>
    </row>
    <row r="15" spans="1:31" ht="18.75">
      <c r="A15" s="420">
        <v>12</v>
      </c>
      <c r="B15" s="9" t="s">
        <v>45</v>
      </c>
      <c r="C15" s="421">
        <v>416373.25</v>
      </c>
      <c r="D15" s="422">
        <v>12</v>
      </c>
      <c r="E15" s="423">
        <f t="shared" si="0"/>
        <v>4996479</v>
      </c>
      <c r="F15" s="423"/>
      <c r="G15" s="424">
        <v>451678.08</v>
      </c>
      <c r="H15" s="423"/>
      <c r="I15" s="423">
        <f t="shared" si="1"/>
        <v>4544800.92</v>
      </c>
      <c r="J15" s="423">
        <v>200000</v>
      </c>
      <c r="K15" s="423">
        <v>0.2</v>
      </c>
      <c r="L15" s="423">
        <f t="shared" si="2"/>
        <v>908960.18400000001</v>
      </c>
      <c r="M15" s="423">
        <f t="shared" si="3"/>
        <v>1108960.1839999999</v>
      </c>
      <c r="N15" s="423">
        <f t="shared" si="4"/>
        <v>1560638.264</v>
      </c>
      <c r="O15" s="423">
        <f t="shared" si="5"/>
        <v>3435840.736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336000</v>
      </c>
      <c r="U15" s="423">
        <f t="shared" si="11"/>
        <v>56601.776639999996</v>
      </c>
      <c r="V15" s="423">
        <f t="shared" si="12"/>
        <v>616601.77664000005</v>
      </c>
      <c r="W15" s="430">
        <v>12</v>
      </c>
      <c r="X15" s="423">
        <f t="shared" si="13"/>
        <v>51383.481386666703</v>
      </c>
      <c r="Y15" s="423"/>
      <c r="Z15" s="423">
        <f t="shared" si="14"/>
        <v>51383.481386666703</v>
      </c>
      <c r="AA15" s="435">
        <v>46666.666666666701</v>
      </c>
      <c r="AB15" s="435">
        <f t="shared" si="15"/>
        <v>4716.8147199999703</v>
      </c>
      <c r="AC15" s="435"/>
      <c r="AD15" s="435"/>
      <c r="AE15" s="435"/>
    </row>
    <row r="16" spans="1:31" ht="18.75">
      <c r="A16" s="420">
        <v>13</v>
      </c>
      <c r="B16" s="9" t="s">
        <v>48</v>
      </c>
      <c r="C16" s="421">
        <v>331059.04166666698</v>
      </c>
      <c r="D16" s="422">
        <v>12</v>
      </c>
      <c r="E16" s="423">
        <f t="shared" si="0"/>
        <v>3972708.5</v>
      </c>
      <c r="F16" s="423"/>
      <c r="G16" s="423">
        <v>425036.64</v>
      </c>
      <c r="H16" s="423"/>
      <c r="I16" s="423">
        <f t="shared" si="1"/>
        <v>3547671.86</v>
      </c>
      <c r="J16" s="423">
        <v>200000</v>
      </c>
      <c r="K16" s="423">
        <v>0.2</v>
      </c>
      <c r="L16" s="423">
        <f t="shared" si="2"/>
        <v>709534.37200000102</v>
      </c>
      <c r="M16" s="423">
        <f t="shared" si="3"/>
        <v>909534.37200000102</v>
      </c>
      <c r="N16" s="423">
        <f t="shared" si="4"/>
        <v>1334571.0120000001</v>
      </c>
      <c r="O16" s="423">
        <f t="shared" si="5"/>
        <v>2638137.4879999999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218008.87248000101</v>
      </c>
      <c r="U16" s="423"/>
      <c r="V16" s="423">
        <f t="shared" si="12"/>
        <v>442008.87248000101</v>
      </c>
      <c r="W16" s="430">
        <v>12</v>
      </c>
      <c r="X16" s="423">
        <f t="shared" si="13"/>
        <v>36834.072706666702</v>
      </c>
      <c r="Y16" s="423"/>
      <c r="Z16" s="423">
        <f t="shared" si="14"/>
        <v>36834.072706666702</v>
      </c>
      <c r="AA16" s="435">
        <v>46666.666666666701</v>
      </c>
      <c r="AB16" s="435">
        <f t="shared" si="15"/>
        <v>-9832.5939599999892</v>
      </c>
      <c r="AC16" s="435"/>
      <c r="AD16" s="435"/>
      <c r="AE16" s="435"/>
    </row>
    <row r="17" spans="1:31" ht="18.75">
      <c r="A17" s="420">
        <v>14</v>
      </c>
      <c r="B17" s="9" t="s">
        <v>50</v>
      </c>
      <c r="C17" s="421">
        <v>274457.95833333302</v>
      </c>
      <c r="D17" s="422">
        <v>12</v>
      </c>
      <c r="E17" s="423">
        <f t="shared" si="0"/>
        <v>3293495.5</v>
      </c>
      <c r="F17" s="423"/>
      <c r="G17" s="423">
        <v>424132.72</v>
      </c>
      <c r="H17" s="423"/>
      <c r="I17" s="423">
        <f t="shared" si="1"/>
        <v>2869362.78</v>
      </c>
      <c r="J17" s="423">
        <v>200000</v>
      </c>
      <c r="K17" s="423">
        <v>0.2</v>
      </c>
      <c r="L17" s="423">
        <f t="shared" si="2"/>
        <v>573872.55599999905</v>
      </c>
      <c r="M17" s="423">
        <f t="shared" si="3"/>
        <v>773872.55599999905</v>
      </c>
      <c r="N17" s="423">
        <f t="shared" si="4"/>
        <v>1198005.2760000001</v>
      </c>
      <c r="O17" s="423">
        <f t="shared" si="5"/>
        <v>2095490.2239999999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95000</v>
      </c>
      <c r="T17" s="423">
        <f t="shared" si="10"/>
        <v>104052.947039999</v>
      </c>
      <c r="U17" s="423"/>
      <c r="V17" s="423">
        <f t="shared" si="12"/>
        <v>328052.94703999901</v>
      </c>
      <c r="W17" s="430">
        <v>12</v>
      </c>
      <c r="X17" s="423">
        <f t="shared" si="13"/>
        <v>27337.745586666599</v>
      </c>
      <c r="Y17" s="423"/>
      <c r="Z17" s="423">
        <f t="shared" si="14"/>
        <v>27337.745586666599</v>
      </c>
      <c r="AA17" s="435">
        <v>42046.063686666697</v>
      </c>
      <c r="AB17" s="435">
        <f t="shared" si="15"/>
        <v>-14708.3181000001</v>
      </c>
      <c r="AC17" s="435"/>
      <c r="AD17" s="435"/>
      <c r="AE17" s="435"/>
    </row>
    <row r="18" spans="1:31" ht="18.75">
      <c r="A18" s="420">
        <v>15</v>
      </c>
      <c r="B18" s="16" t="s">
        <v>53</v>
      </c>
      <c r="C18" s="421">
        <v>368013.45833333302</v>
      </c>
      <c r="D18" s="422">
        <v>12</v>
      </c>
      <c r="E18" s="423">
        <f t="shared" si="0"/>
        <v>4416161.5</v>
      </c>
      <c r="F18" s="423"/>
      <c r="G18" s="423">
        <v>411759.28</v>
      </c>
      <c r="H18" s="423"/>
      <c r="I18" s="423">
        <f t="shared" si="1"/>
        <v>4004402.22</v>
      </c>
      <c r="J18" s="423">
        <v>200000</v>
      </c>
      <c r="K18" s="423">
        <v>0.2</v>
      </c>
      <c r="L18" s="423">
        <f t="shared" si="2"/>
        <v>800880.44399999897</v>
      </c>
      <c r="M18" s="423">
        <f t="shared" si="3"/>
        <v>1000880.444</v>
      </c>
      <c r="N18" s="423">
        <f t="shared" si="4"/>
        <v>1412639.7239999999</v>
      </c>
      <c r="O18" s="423">
        <f t="shared" si="5"/>
        <v>3003521.7760000001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294739.57295999897</v>
      </c>
      <c r="U18" s="423"/>
      <c r="V18" s="423">
        <f t="shared" si="12"/>
        <v>518739.57295999897</v>
      </c>
      <c r="W18" s="430">
        <v>12</v>
      </c>
      <c r="X18" s="423">
        <f t="shared" si="13"/>
        <v>43228.297746666598</v>
      </c>
      <c r="Y18" s="423"/>
      <c r="Z18" s="423">
        <f t="shared" si="14"/>
        <v>43228.297746666598</v>
      </c>
      <c r="AA18" s="435">
        <v>46666.666666666701</v>
      </c>
      <c r="AB18" s="435">
        <f t="shared" si="15"/>
        <v>-3438.3689200000899</v>
      </c>
      <c r="AC18" s="435"/>
      <c r="AD18" s="435"/>
      <c r="AE18" s="435"/>
    </row>
    <row r="19" spans="1:31" ht="18.75">
      <c r="A19" s="420">
        <v>16</v>
      </c>
      <c r="B19" s="16" t="s">
        <v>56</v>
      </c>
      <c r="C19" s="421">
        <v>230124.45833333299</v>
      </c>
      <c r="D19" s="422">
        <v>12</v>
      </c>
      <c r="E19" s="423">
        <f t="shared" si="0"/>
        <v>2761493.5</v>
      </c>
      <c r="F19" s="423">
        <f>618.53*12</f>
        <v>7422.36</v>
      </c>
      <c r="G19" s="423">
        <v>399385.84</v>
      </c>
      <c r="H19" s="423"/>
      <c r="I19" s="423">
        <f t="shared" si="1"/>
        <v>2354685.2999999998</v>
      </c>
      <c r="J19" s="423">
        <v>200000</v>
      </c>
      <c r="K19" s="423">
        <v>0.2</v>
      </c>
      <c r="L19" s="423">
        <f t="shared" si="2"/>
        <v>470937.05999999901</v>
      </c>
      <c r="M19" s="423">
        <f t="shared" si="3"/>
        <v>670937.05999999901</v>
      </c>
      <c r="N19" s="423">
        <f t="shared" si="4"/>
        <v>1077745.26</v>
      </c>
      <c r="O19" s="423">
        <f t="shared" si="5"/>
        <v>1683748.24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17587.1303999993</v>
      </c>
      <c r="U19" s="423"/>
      <c r="V19" s="423">
        <f t="shared" si="12"/>
        <v>241587.13039999901</v>
      </c>
      <c r="W19" s="430">
        <v>12</v>
      </c>
      <c r="X19" s="423">
        <f t="shared" si="13"/>
        <v>20132.260866666598</v>
      </c>
      <c r="Y19" s="423"/>
      <c r="Z19" s="423">
        <f t="shared" si="14"/>
        <v>20132.260866666598</v>
      </c>
      <c r="AA19" s="435">
        <v>46666.666666666701</v>
      </c>
      <c r="AB19" s="435">
        <f t="shared" si="15"/>
        <v>-26534.405800000099</v>
      </c>
      <c r="AC19" s="435"/>
      <c r="AD19" s="435"/>
      <c r="AE19" s="435"/>
    </row>
    <row r="20" spans="1:31" ht="18.75">
      <c r="A20" s="420">
        <v>17</v>
      </c>
      <c r="B20" s="16" t="s">
        <v>59</v>
      </c>
      <c r="C20" s="421">
        <v>255124.45833333299</v>
      </c>
      <c r="D20" s="422">
        <v>12</v>
      </c>
      <c r="E20" s="423">
        <f t="shared" si="0"/>
        <v>3061493.5</v>
      </c>
      <c r="F20" s="423"/>
      <c r="G20" s="423">
        <v>362779.36</v>
      </c>
      <c r="H20" s="423"/>
      <c r="I20" s="423">
        <f t="shared" si="1"/>
        <v>2698714.14</v>
      </c>
      <c r="J20" s="423">
        <v>200000</v>
      </c>
      <c r="K20" s="423">
        <v>0.2</v>
      </c>
      <c r="L20" s="423">
        <f t="shared" si="2"/>
        <v>539742.82799999905</v>
      </c>
      <c r="M20" s="423">
        <f t="shared" si="3"/>
        <v>739742.82799999905</v>
      </c>
      <c r="N20" s="423">
        <f t="shared" si="4"/>
        <v>1102522.1880000001</v>
      </c>
      <c r="O20" s="423">
        <f t="shared" si="5"/>
        <v>1958971.3119999999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75383.975519999294</v>
      </c>
      <c r="U20" s="423"/>
      <c r="V20" s="423">
        <f t="shared" si="12"/>
        <v>299383.97551999899</v>
      </c>
      <c r="W20" s="430">
        <v>12</v>
      </c>
      <c r="X20" s="423">
        <f t="shared" si="13"/>
        <v>24948.664626666599</v>
      </c>
      <c r="Y20" s="423"/>
      <c r="Z20" s="423">
        <f t="shared" si="14"/>
        <v>24948.664626666599</v>
      </c>
      <c r="AA20" s="435">
        <v>52497.770378666602</v>
      </c>
      <c r="AB20" s="435">
        <f t="shared" si="15"/>
        <v>-27549.105751999999</v>
      </c>
      <c r="AC20" s="435"/>
      <c r="AD20" s="435"/>
      <c r="AE20" s="435"/>
    </row>
    <row r="21" spans="1:31" ht="18.75">
      <c r="A21" s="420">
        <v>18</v>
      </c>
      <c r="B21" s="9" t="s">
        <v>60</v>
      </c>
      <c r="C21" s="421">
        <v>293947.58333333302</v>
      </c>
      <c r="D21" s="422">
        <v>12</v>
      </c>
      <c r="E21" s="423">
        <f t="shared" si="0"/>
        <v>3527371</v>
      </c>
      <c r="F21" s="423"/>
      <c r="G21" s="423">
        <v>339372</v>
      </c>
      <c r="H21" s="423"/>
      <c r="I21" s="423">
        <f t="shared" si="1"/>
        <v>3187999</v>
      </c>
      <c r="J21" s="423">
        <v>200000</v>
      </c>
      <c r="K21" s="423">
        <v>0.2</v>
      </c>
      <c r="L21" s="423">
        <f t="shared" si="2"/>
        <v>637599.799999999</v>
      </c>
      <c r="M21" s="423">
        <f t="shared" si="3"/>
        <v>837599.799999999</v>
      </c>
      <c r="N21" s="423">
        <f t="shared" si="4"/>
        <v>1176971.8</v>
      </c>
      <c r="O21" s="423">
        <f t="shared" si="5"/>
        <v>2350399.2000000002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157583.83199999901</v>
      </c>
      <c r="U21" s="423"/>
      <c r="V21" s="423">
        <f t="shared" si="12"/>
        <v>381583.83199999901</v>
      </c>
      <c r="W21" s="430">
        <v>12</v>
      </c>
      <c r="X21" s="423">
        <f t="shared" si="13"/>
        <v>31798.6526666666</v>
      </c>
      <c r="Y21" s="423"/>
      <c r="Z21" s="423">
        <f t="shared" si="14"/>
        <v>31798.6526666666</v>
      </c>
      <c r="AA21" s="435">
        <v>46666.666666666701</v>
      </c>
      <c r="AB21" s="435">
        <f t="shared" si="15"/>
        <v>-14868.014000000099</v>
      </c>
      <c r="AC21" s="435"/>
      <c r="AD21" s="435"/>
      <c r="AE21" s="435"/>
    </row>
    <row r="22" spans="1:31" ht="18.75">
      <c r="A22" s="420">
        <v>19</v>
      </c>
      <c r="B22" s="12" t="s">
        <v>63</v>
      </c>
      <c r="C22" s="421">
        <v>326756.25</v>
      </c>
      <c r="D22" s="422">
        <v>12</v>
      </c>
      <c r="E22" s="423">
        <f t="shared" si="0"/>
        <v>3921075</v>
      </c>
      <c r="F22" s="423"/>
      <c r="G22" s="423">
        <v>339372</v>
      </c>
      <c r="H22" s="423"/>
      <c r="I22" s="423">
        <f t="shared" si="1"/>
        <v>3581703</v>
      </c>
      <c r="J22" s="423">
        <v>200000</v>
      </c>
      <c r="K22" s="423">
        <v>0.2</v>
      </c>
      <c r="L22" s="423">
        <f t="shared" si="2"/>
        <v>716340.6</v>
      </c>
      <c r="M22" s="423">
        <f t="shared" si="3"/>
        <v>916340.6</v>
      </c>
      <c r="N22" s="423">
        <f t="shared" si="4"/>
        <v>1255712.6000000001</v>
      </c>
      <c r="O22" s="423">
        <f t="shared" si="5"/>
        <v>2665362.4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95000</v>
      </c>
      <c r="T22" s="423">
        <f t="shared" si="10"/>
        <v>223726.10399999999</v>
      </c>
      <c r="U22" s="423"/>
      <c r="V22" s="423">
        <f t="shared" si="12"/>
        <v>447726.10399999999</v>
      </c>
      <c r="W22" s="430">
        <v>12</v>
      </c>
      <c r="X22" s="423">
        <f t="shared" si="13"/>
        <v>37310.508666666698</v>
      </c>
      <c r="Y22" s="423"/>
      <c r="Z22" s="423">
        <f t="shared" si="14"/>
        <v>37310.508666666698</v>
      </c>
      <c r="AA22" s="435">
        <v>46666.666666666701</v>
      </c>
      <c r="AB22" s="435">
        <f t="shared" si="15"/>
        <v>-9356.1580000000395</v>
      </c>
      <c r="AC22" s="435"/>
      <c r="AD22" s="435"/>
      <c r="AE22" s="435"/>
    </row>
    <row r="23" spans="1:31" ht="18.75">
      <c r="A23" s="420">
        <v>20</v>
      </c>
      <c r="B23" s="9" t="s">
        <v>66</v>
      </c>
      <c r="C23" s="421">
        <v>231756.25</v>
      </c>
      <c r="D23" s="422">
        <v>12</v>
      </c>
      <c r="E23" s="423">
        <f t="shared" si="0"/>
        <v>2781075</v>
      </c>
      <c r="F23" s="423"/>
      <c r="G23" s="423">
        <v>281308.48</v>
      </c>
      <c r="H23" s="423"/>
      <c r="I23" s="423">
        <f t="shared" si="1"/>
        <v>2499766.52</v>
      </c>
      <c r="J23" s="423">
        <v>200000</v>
      </c>
      <c r="K23" s="423">
        <v>0.2</v>
      </c>
      <c r="L23" s="423">
        <f t="shared" si="2"/>
        <v>499953.304</v>
      </c>
      <c r="M23" s="423">
        <f t="shared" si="3"/>
        <v>699953.304</v>
      </c>
      <c r="N23" s="423">
        <f t="shared" si="4"/>
        <v>981261.78399999999</v>
      </c>
      <c r="O23" s="423">
        <f t="shared" si="5"/>
        <v>1799813.216</v>
      </c>
      <c r="P23" s="423">
        <f t="shared" si="6"/>
        <v>21000</v>
      </c>
      <c r="Q23" s="423">
        <f t="shared" si="7"/>
        <v>33000</v>
      </c>
      <c r="R23" s="423">
        <f t="shared" si="8"/>
        <v>75000</v>
      </c>
      <c r="S23" s="423">
        <f t="shared" si="9"/>
        <v>95000</v>
      </c>
      <c r="T23" s="423">
        <f t="shared" si="10"/>
        <v>41960.77536</v>
      </c>
      <c r="U23" s="423"/>
      <c r="V23" s="423">
        <f t="shared" si="12"/>
        <v>265960.77536000003</v>
      </c>
      <c r="W23" s="430">
        <v>12</v>
      </c>
      <c r="X23" s="423">
        <f t="shared" si="13"/>
        <v>22163.397946666701</v>
      </c>
      <c r="Y23" s="423"/>
      <c r="Z23" s="423">
        <f t="shared" si="14"/>
        <v>22163.397946666701</v>
      </c>
      <c r="AA23" s="435">
        <v>42371.815728666697</v>
      </c>
      <c r="AB23" s="435">
        <f t="shared" si="15"/>
        <v>-20208.417782</v>
      </c>
      <c r="AC23" s="435"/>
      <c r="AD23" s="435"/>
      <c r="AE23" s="435"/>
    </row>
    <row r="24" spans="1:31" ht="18.75">
      <c r="A24" s="420">
        <v>21</v>
      </c>
      <c r="B24" s="12" t="s">
        <v>68</v>
      </c>
      <c r="C24" s="421">
        <v>276514.83333333302</v>
      </c>
      <c r="D24" s="422">
        <v>12</v>
      </c>
      <c r="E24" s="423">
        <f t="shared" si="0"/>
        <v>3318178</v>
      </c>
      <c r="F24" s="423"/>
      <c r="G24" s="423">
        <v>259662.4</v>
      </c>
      <c r="H24" s="423"/>
      <c r="I24" s="423">
        <f t="shared" si="1"/>
        <v>3058515.6</v>
      </c>
      <c r="J24" s="423">
        <v>200000</v>
      </c>
      <c r="K24" s="423">
        <v>0.2</v>
      </c>
      <c r="L24" s="423">
        <f t="shared" si="2"/>
        <v>611703.11999999895</v>
      </c>
      <c r="M24" s="423">
        <f t="shared" si="3"/>
        <v>811703.11999999895</v>
      </c>
      <c r="N24" s="423">
        <f t="shared" si="4"/>
        <v>1071365.52</v>
      </c>
      <c r="O24" s="423">
        <f t="shared" si="5"/>
        <v>2246812.48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95000</v>
      </c>
      <c r="T24" s="423">
        <f t="shared" si="10"/>
        <v>135830.62079999899</v>
      </c>
      <c r="U24" s="423"/>
      <c r="V24" s="423">
        <f t="shared" si="12"/>
        <v>359830.62079999899</v>
      </c>
      <c r="W24" s="430">
        <v>12</v>
      </c>
      <c r="X24" s="423">
        <f t="shared" si="13"/>
        <v>29985.8850666666</v>
      </c>
      <c r="Y24" s="423"/>
      <c r="Z24" s="423">
        <f t="shared" si="14"/>
        <v>29985.8850666666</v>
      </c>
      <c r="AA24" s="435">
        <v>23036.012346666699</v>
      </c>
      <c r="AB24" s="435">
        <f t="shared" si="15"/>
        <v>6949.8727199999103</v>
      </c>
      <c r="AC24" s="435"/>
      <c r="AD24" s="435"/>
      <c r="AE24" s="435"/>
    </row>
    <row r="25" spans="1:31" ht="18.75">
      <c r="A25" s="420">
        <v>22</v>
      </c>
      <c r="B25" s="12" t="s">
        <v>71</v>
      </c>
      <c r="C25" s="421">
        <v>176514.83333333299</v>
      </c>
      <c r="D25" s="422">
        <v>12</v>
      </c>
      <c r="E25" s="423">
        <f t="shared" si="0"/>
        <v>2118178</v>
      </c>
      <c r="F25" s="423"/>
      <c r="G25" s="423">
        <v>259662.4</v>
      </c>
      <c r="H25" s="423"/>
      <c r="I25" s="423">
        <f t="shared" si="1"/>
        <v>1858515.6</v>
      </c>
      <c r="J25" s="423">
        <v>200000</v>
      </c>
      <c r="K25" s="423">
        <v>0.2</v>
      </c>
      <c r="L25" s="423">
        <f t="shared" si="2"/>
        <v>371703.11999999901</v>
      </c>
      <c r="M25" s="423">
        <f t="shared" si="3"/>
        <v>571703.11999999895</v>
      </c>
      <c r="N25" s="423">
        <f t="shared" si="4"/>
        <v>831365.51999999897</v>
      </c>
      <c r="O25" s="423">
        <f t="shared" si="5"/>
        <v>1286812.48</v>
      </c>
      <c r="P25" s="423">
        <f t="shared" si="6"/>
        <v>21000</v>
      </c>
      <c r="Q25" s="423">
        <f t="shared" si="7"/>
        <v>33000</v>
      </c>
      <c r="R25" s="423">
        <f t="shared" si="8"/>
        <v>75000</v>
      </c>
      <c r="S25" s="423">
        <f t="shared" si="9"/>
        <v>35494.371199999398</v>
      </c>
      <c r="T25" s="423">
        <f t="shared" si="10"/>
        <v>0</v>
      </c>
      <c r="U25" s="423"/>
      <c r="V25" s="423">
        <f t="shared" si="12"/>
        <v>164494.371199999</v>
      </c>
      <c r="W25" s="430">
        <v>12</v>
      </c>
      <c r="X25" s="423">
        <f t="shared" si="13"/>
        <v>13707.8642666666</v>
      </c>
      <c r="Y25" s="423"/>
      <c r="Z25" s="423">
        <f t="shared" si="14"/>
        <v>13707.8642666666</v>
      </c>
      <c r="AA25" s="435">
        <v>23036.012346666699</v>
      </c>
      <c r="AB25" s="435">
        <f t="shared" si="15"/>
        <v>-9328.1480800000809</v>
      </c>
      <c r="AC25" s="435"/>
      <c r="AD25" s="435"/>
      <c r="AE25" s="435"/>
    </row>
    <row r="26" spans="1:31" ht="18.75">
      <c r="A26" s="420">
        <v>23</v>
      </c>
      <c r="B26" s="2" t="s">
        <v>73</v>
      </c>
      <c r="C26" s="421">
        <v>165240.83333333299</v>
      </c>
      <c r="D26" s="422">
        <v>12</v>
      </c>
      <c r="E26" s="423">
        <f t="shared" si="0"/>
        <v>1982890</v>
      </c>
      <c r="F26" s="423"/>
      <c r="G26" s="423">
        <v>259662.4</v>
      </c>
      <c r="H26" s="423"/>
      <c r="I26" s="423">
        <f t="shared" si="1"/>
        <v>1723227.6</v>
      </c>
      <c r="J26" s="423">
        <v>200000</v>
      </c>
      <c r="K26" s="423">
        <v>0.2</v>
      </c>
      <c r="L26" s="423">
        <f t="shared" si="2"/>
        <v>344645.51999999903</v>
      </c>
      <c r="M26" s="423">
        <f t="shared" si="3"/>
        <v>544645.51999999897</v>
      </c>
      <c r="N26" s="423">
        <f t="shared" si="4"/>
        <v>804307.91999999899</v>
      </c>
      <c r="O26" s="423">
        <f t="shared" si="5"/>
        <v>1178582.08</v>
      </c>
      <c r="P26" s="423">
        <f t="shared" si="6"/>
        <v>21000</v>
      </c>
      <c r="Q26" s="423">
        <f t="shared" si="7"/>
        <v>33000</v>
      </c>
      <c r="R26" s="423">
        <f t="shared" si="8"/>
        <v>75000</v>
      </c>
      <c r="S26" s="423">
        <f t="shared" si="9"/>
        <v>14930.595199999399</v>
      </c>
      <c r="T26" s="423">
        <f t="shared" si="10"/>
        <v>0</v>
      </c>
      <c r="U26" s="423"/>
      <c r="V26" s="423">
        <f t="shared" si="12"/>
        <v>143930.59519999899</v>
      </c>
      <c r="W26" s="430">
        <v>12</v>
      </c>
      <c r="X26" s="423">
        <f t="shared" si="13"/>
        <v>11994.216266666601</v>
      </c>
      <c r="Y26" s="423"/>
      <c r="Z26" s="423">
        <f t="shared" si="14"/>
        <v>11994.216266666601</v>
      </c>
      <c r="AA26" s="435">
        <v>29756.012346666699</v>
      </c>
      <c r="AB26" s="435">
        <f t="shared" si="15"/>
        <v>-17761.796080000098</v>
      </c>
      <c r="AC26" s="435"/>
      <c r="AD26" s="435"/>
      <c r="AE26" s="435"/>
    </row>
    <row r="27" spans="1:31" ht="18.75">
      <c r="A27" s="420">
        <v>24</v>
      </c>
      <c r="B27" s="16" t="s">
        <v>76</v>
      </c>
      <c r="C27" s="421">
        <v>165240.83333333299</v>
      </c>
      <c r="D27" s="422">
        <v>12</v>
      </c>
      <c r="E27" s="423">
        <f t="shared" si="0"/>
        <v>1982890</v>
      </c>
      <c r="F27" s="423"/>
      <c r="G27" s="423">
        <v>252638.72</v>
      </c>
      <c r="H27" s="423"/>
      <c r="I27" s="423">
        <f t="shared" si="1"/>
        <v>1730251.28</v>
      </c>
      <c r="J27" s="423">
        <v>200000</v>
      </c>
      <c r="K27" s="423">
        <v>0.2</v>
      </c>
      <c r="L27" s="423">
        <f t="shared" si="2"/>
        <v>346050.255999999</v>
      </c>
      <c r="M27" s="423">
        <f t="shared" si="3"/>
        <v>546050.255999999</v>
      </c>
      <c r="N27" s="423">
        <f t="shared" si="4"/>
        <v>798688.97599999898</v>
      </c>
      <c r="O27" s="423">
        <f t="shared" si="5"/>
        <v>1184201.024</v>
      </c>
      <c r="P27" s="423">
        <f t="shared" si="6"/>
        <v>21000</v>
      </c>
      <c r="Q27" s="423">
        <f t="shared" si="7"/>
        <v>33000</v>
      </c>
      <c r="R27" s="423">
        <f t="shared" si="8"/>
        <v>75000</v>
      </c>
      <c r="S27" s="423">
        <f t="shared" si="9"/>
        <v>15998.1945599994</v>
      </c>
      <c r="T27" s="423">
        <f t="shared" si="10"/>
        <v>0</v>
      </c>
      <c r="U27" s="423"/>
      <c r="V27" s="423">
        <f t="shared" si="12"/>
        <v>144998.19455999901</v>
      </c>
      <c r="W27" s="430">
        <v>12</v>
      </c>
      <c r="X27" s="423">
        <f t="shared" si="13"/>
        <v>12083.1828799999</v>
      </c>
      <c r="Y27" s="423"/>
      <c r="Z27" s="423">
        <f t="shared" si="14"/>
        <v>12083.1828799999</v>
      </c>
      <c r="AA27" s="435">
        <v>22338.4826046667</v>
      </c>
      <c r="AB27" s="435">
        <f t="shared" si="15"/>
        <v>-10255.2997246668</v>
      </c>
      <c r="AC27" s="435"/>
      <c r="AD27" s="435"/>
      <c r="AE27" s="435"/>
    </row>
    <row r="28" spans="1:31" ht="18.75">
      <c r="A28" s="420">
        <v>25</v>
      </c>
      <c r="B28" s="9" t="s">
        <v>77</v>
      </c>
      <c r="C28" s="421">
        <v>185240.83333333299</v>
      </c>
      <c r="D28" s="422">
        <v>12</v>
      </c>
      <c r="E28" s="423">
        <f t="shared" si="0"/>
        <v>2222890</v>
      </c>
      <c r="F28" s="423"/>
      <c r="G28" s="423">
        <v>245615.04</v>
      </c>
      <c r="H28" s="423"/>
      <c r="I28" s="423">
        <f t="shared" si="1"/>
        <v>1977274.96</v>
      </c>
      <c r="J28" s="423">
        <v>200000</v>
      </c>
      <c r="K28" s="423">
        <v>0.2</v>
      </c>
      <c r="L28" s="423">
        <f t="shared" si="2"/>
        <v>395454.99199999898</v>
      </c>
      <c r="M28" s="423">
        <f t="shared" si="3"/>
        <v>595454.99199999904</v>
      </c>
      <c r="N28" s="423">
        <f t="shared" si="4"/>
        <v>841070.03199999896</v>
      </c>
      <c r="O28" s="423">
        <f t="shared" si="5"/>
        <v>1381819.9680000001</v>
      </c>
      <c r="P28" s="423">
        <f t="shared" si="6"/>
        <v>21000</v>
      </c>
      <c r="Q28" s="423">
        <f t="shared" si="7"/>
        <v>33000</v>
      </c>
      <c r="R28" s="423">
        <f t="shared" si="8"/>
        <v>75000</v>
      </c>
      <c r="S28" s="423">
        <f t="shared" si="9"/>
        <v>53545.7939199994</v>
      </c>
      <c r="T28" s="423">
        <f t="shared" si="10"/>
        <v>0</v>
      </c>
      <c r="U28" s="423"/>
      <c r="V28" s="423">
        <f t="shared" si="12"/>
        <v>182545.79391999901</v>
      </c>
      <c r="W28" s="430">
        <v>12</v>
      </c>
      <c r="X28" s="423">
        <f t="shared" si="13"/>
        <v>15212.1494933333</v>
      </c>
      <c r="Y28" s="423"/>
      <c r="Z28" s="423">
        <f t="shared" si="14"/>
        <v>15212.1494933333</v>
      </c>
      <c r="AA28" s="435">
        <v>21640.952862666702</v>
      </c>
      <c r="AB28" s="435">
        <f t="shared" si="15"/>
        <v>-6428.8033693334201</v>
      </c>
      <c r="AC28" s="435"/>
      <c r="AD28" s="435"/>
      <c r="AE28" s="435"/>
    </row>
    <row r="29" spans="1:31" ht="37.5">
      <c r="A29" s="420">
        <v>26</v>
      </c>
      <c r="B29" s="16" t="s">
        <v>78</v>
      </c>
      <c r="C29" s="421">
        <v>161582.66666666701</v>
      </c>
      <c r="D29" s="422">
        <v>12</v>
      </c>
      <c r="E29" s="423">
        <f t="shared" si="0"/>
        <v>1938992</v>
      </c>
      <c r="F29" s="423"/>
      <c r="G29" s="423">
        <v>245615.04</v>
      </c>
      <c r="H29" s="423"/>
      <c r="I29" s="423">
        <f t="shared" si="1"/>
        <v>1693376.96</v>
      </c>
      <c r="J29" s="423">
        <v>200000</v>
      </c>
      <c r="K29" s="423">
        <v>0.2</v>
      </c>
      <c r="L29" s="423">
        <f t="shared" si="2"/>
        <v>338675.39200000098</v>
      </c>
      <c r="M29" s="423">
        <f t="shared" si="3"/>
        <v>538675.39200000104</v>
      </c>
      <c r="N29" s="423">
        <f t="shared" si="4"/>
        <v>784290.43200000096</v>
      </c>
      <c r="O29" s="423">
        <f t="shared" si="5"/>
        <v>1154701.568</v>
      </c>
      <c r="P29" s="423">
        <f t="shared" si="6"/>
        <v>21000</v>
      </c>
      <c r="Q29" s="423">
        <f t="shared" si="7"/>
        <v>33000</v>
      </c>
      <c r="R29" s="423">
        <f t="shared" si="8"/>
        <v>75000</v>
      </c>
      <c r="S29" s="423">
        <f t="shared" si="9"/>
        <v>10393.297920000599</v>
      </c>
      <c r="T29" s="423">
        <f t="shared" si="10"/>
        <v>0</v>
      </c>
      <c r="U29" s="423"/>
      <c r="V29" s="423">
        <f t="shared" si="12"/>
        <v>139393.297920001</v>
      </c>
      <c r="W29" s="430">
        <v>12</v>
      </c>
      <c r="X29" s="423">
        <f t="shared" si="13"/>
        <v>11616.1081600001</v>
      </c>
      <c r="Y29" s="423"/>
      <c r="Z29" s="423">
        <f t="shared" si="14"/>
        <v>11616.1081600001</v>
      </c>
      <c r="AA29" s="435">
        <v>21640.952862666702</v>
      </c>
      <c r="AB29" s="435">
        <f t="shared" si="15"/>
        <v>-10024.8447026666</v>
      </c>
      <c r="AC29" s="435"/>
      <c r="AD29" s="435"/>
      <c r="AE29" s="435"/>
    </row>
    <row r="30" spans="1:31" ht="18.75">
      <c r="A30" s="420">
        <v>27</v>
      </c>
      <c r="B30" s="16" t="s">
        <v>81</v>
      </c>
      <c r="C30" s="421">
        <v>157924.5</v>
      </c>
      <c r="D30" s="422">
        <v>12</v>
      </c>
      <c r="E30" s="423">
        <f t="shared" si="0"/>
        <v>1895094</v>
      </c>
      <c r="F30" s="423"/>
      <c r="G30" s="423">
        <v>259662.4</v>
      </c>
      <c r="H30" s="423"/>
      <c r="I30" s="423">
        <f t="shared" si="1"/>
        <v>1635431.6</v>
      </c>
      <c r="J30" s="423">
        <v>200000</v>
      </c>
      <c r="K30" s="423">
        <v>0.2</v>
      </c>
      <c r="L30" s="423">
        <f t="shared" si="2"/>
        <v>327086.32</v>
      </c>
      <c r="M30" s="423">
        <f t="shared" si="3"/>
        <v>527086.31999999995</v>
      </c>
      <c r="N30" s="423">
        <f t="shared" si="4"/>
        <v>786748.72</v>
      </c>
      <c r="O30" s="423">
        <f t="shared" si="5"/>
        <v>1108345.28</v>
      </c>
      <c r="P30" s="423">
        <f t="shared" si="6"/>
        <v>21000</v>
      </c>
      <c r="Q30" s="423">
        <f t="shared" si="7"/>
        <v>33000</v>
      </c>
      <c r="R30" s="423">
        <f t="shared" si="8"/>
        <v>75000</v>
      </c>
      <c r="S30" s="423">
        <f t="shared" si="9"/>
        <v>1585.60319999996</v>
      </c>
      <c r="T30" s="423">
        <f t="shared" si="10"/>
        <v>0</v>
      </c>
      <c r="U30" s="423"/>
      <c r="V30" s="423">
        <f t="shared" si="12"/>
        <v>130585.6032</v>
      </c>
      <c r="W30" s="430">
        <v>12</v>
      </c>
      <c r="X30" s="423">
        <f t="shared" si="13"/>
        <v>10882.133599999999</v>
      </c>
      <c r="Y30" s="423"/>
      <c r="Z30" s="423">
        <f t="shared" si="14"/>
        <v>10882.133599999999</v>
      </c>
      <c r="AA30" s="435">
        <v>22338.4826046667</v>
      </c>
      <c r="AB30" s="435">
        <f t="shared" si="15"/>
        <v>-11456.349004666699</v>
      </c>
      <c r="AC30" s="435"/>
      <c r="AD30" s="435"/>
      <c r="AE30" s="435"/>
    </row>
    <row r="31" spans="1:31" ht="37.5">
      <c r="A31" s="420">
        <v>28</v>
      </c>
      <c r="B31" s="16" t="s">
        <v>84</v>
      </c>
      <c r="C31" s="421">
        <v>157924.5</v>
      </c>
      <c r="D31" s="422">
        <v>12</v>
      </c>
      <c r="E31" s="423">
        <f t="shared" si="0"/>
        <v>1895094</v>
      </c>
      <c r="F31" s="423"/>
      <c r="G31" s="424">
        <v>221406.64</v>
      </c>
      <c r="H31" s="423"/>
      <c r="I31" s="423">
        <f t="shared" si="1"/>
        <v>1673687.36</v>
      </c>
      <c r="J31" s="423">
        <v>200000</v>
      </c>
      <c r="K31" s="423">
        <v>0.2</v>
      </c>
      <c r="L31" s="423">
        <f t="shared" si="2"/>
        <v>334737.47200000001</v>
      </c>
      <c r="M31" s="423">
        <f t="shared" si="3"/>
        <v>534737.47199999995</v>
      </c>
      <c r="N31" s="423">
        <f t="shared" si="4"/>
        <v>756144.11199999996</v>
      </c>
      <c r="O31" s="423">
        <f t="shared" si="5"/>
        <v>1138949.888</v>
      </c>
      <c r="P31" s="423">
        <f t="shared" si="6"/>
        <v>21000</v>
      </c>
      <c r="Q31" s="423">
        <f t="shared" si="7"/>
        <v>33000</v>
      </c>
      <c r="R31" s="423">
        <f t="shared" si="8"/>
        <v>75000</v>
      </c>
      <c r="S31" s="423">
        <f t="shared" si="9"/>
        <v>7400.47871999996</v>
      </c>
      <c r="T31" s="423">
        <f t="shared" si="10"/>
        <v>0</v>
      </c>
      <c r="U31" s="423"/>
      <c r="V31" s="423">
        <f t="shared" si="12"/>
        <v>136400.47872000001</v>
      </c>
      <c r="W31" s="430">
        <v>12</v>
      </c>
      <c r="X31" s="423">
        <f t="shared" si="13"/>
        <v>11366.706560000001</v>
      </c>
      <c r="Y31" s="423"/>
      <c r="Z31" s="423">
        <f t="shared" si="14"/>
        <v>11366.706560000001</v>
      </c>
      <c r="AA31" s="435">
        <v>17572.885002666699</v>
      </c>
      <c r="AB31" s="435">
        <f t="shared" si="15"/>
        <v>-6206.1784426667</v>
      </c>
      <c r="AC31" s="435"/>
      <c r="AD31" s="435"/>
      <c r="AE31" s="435"/>
    </row>
    <row r="32" spans="1:31" ht="18.75">
      <c r="A32" s="420">
        <v>29</v>
      </c>
      <c r="B32" s="16" t="s">
        <v>85</v>
      </c>
      <c r="C32" s="421">
        <v>165240.83333333299</v>
      </c>
      <c r="D32" s="422">
        <v>12</v>
      </c>
      <c r="E32" s="423">
        <f t="shared" si="0"/>
        <v>1982890</v>
      </c>
      <c r="F32" s="423"/>
      <c r="G32" s="424">
        <f>17956.78*12</f>
        <v>215481.36</v>
      </c>
      <c r="H32" s="423"/>
      <c r="I32" s="423">
        <f t="shared" si="1"/>
        <v>1767408.6399999999</v>
      </c>
      <c r="J32" s="423">
        <v>200000</v>
      </c>
      <c r="K32" s="423">
        <v>0.2</v>
      </c>
      <c r="L32" s="423">
        <f t="shared" si="2"/>
        <v>353481.72799999901</v>
      </c>
      <c r="M32" s="423">
        <f t="shared" si="3"/>
        <v>553481.72799999896</v>
      </c>
      <c r="N32" s="423">
        <f t="shared" si="4"/>
        <v>768963.08799999906</v>
      </c>
      <c r="O32" s="423">
        <f t="shared" si="5"/>
        <v>1213926.912</v>
      </c>
      <c r="P32" s="423">
        <f t="shared" si="6"/>
        <v>21000</v>
      </c>
      <c r="Q32" s="423">
        <f t="shared" si="7"/>
        <v>33000</v>
      </c>
      <c r="R32" s="423">
        <f t="shared" si="8"/>
        <v>75000</v>
      </c>
      <c r="S32" s="423">
        <f t="shared" si="9"/>
        <v>21646.113279999401</v>
      </c>
      <c r="T32" s="423">
        <f t="shared" si="10"/>
        <v>0</v>
      </c>
      <c r="U32" s="423"/>
      <c r="V32" s="423">
        <f t="shared" si="12"/>
        <v>150646.113279999</v>
      </c>
      <c r="W32" s="430">
        <v>12</v>
      </c>
      <c r="X32" s="423">
        <f t="shared" si="13"/>
        <v>12553.842773333299</v>
      </c>
      <c r="Y32" s="423"/>
      <c r="Z32" s="423">
        <f t="shared" si="14"/>
        <v>12553.842773333299</v>
      </c>
      <c r="AA32" s="435">
        <v>16512.682190666699</v>
      </c>
      <c r="AB32" s="435">
        <f t="shared" si="15"/>
        <v>-3958.83941733342</v>
      </c>
      <c r="AC32" s="435"/>
      <c r="AD32" s="435"/>
      <c r="AE32" s="435"/>
    </row>
    <row r="33" spans="1:31" ht="37.5">
      <c r="A33" s="420"/>
      <c r="B33" s="16" t="s">
        <v>87</v>
      </c>
      <c r="C33" s="421">
        <v>157924.5</v>
      </c>
      <c r="D33" s="422">
        <v>12</v>
      </c>
      <c r="E33" s="423">
        <f t="shared" si="0"/>
        <v>1895094</v>
      </c>
      <c r="F33" s="423"/>
      <c r="G33" s="424">
        <f>17956.78*12</f>
        <v>215481.36</v>
      </c>
      <c r="H33" s="423"/>
      <c r="I33" s="423">
        <f t="shared" si="1"/>
        <v>1679612.64</v>
      </c>
      <c r="J33" s="423">
        <v>200000</v>
      </c>
      <c r="K33" s="423">
        <v>0.2</v>
      </c>
      <c r="L33" s="423">
        <f t="shared" si="2"/>
        <v>335922.52799999999</v>
      </c>
      <c r="M33" s="423">
        <f t="shared" si="3"/>
        <v>535922.52800000005</v>
      </c>
      <c r="N33" s="423">
        <f t="shared" si="4"/>
        <v>751403.88800000004</v>
      </c>
      <c r="O33" s="423">
        <f t="shared" si="5"/>
        <v>1143690.112</v>
      </c>
      <c r="P33" s="423">
        <f t="shared" si="6"/>
        <v>21000</v>
      </c>
      <c r="Q33" s="423">
        <f t="shared" si="7"/>
        <v>33000</v>
      </c>
      <c r="R33" s="423">
        <f t="shared" si="8"/>
        <v>75000</v>
      </c>
      <c r="S33" s="423">
        <f t="shared" si="9"/>
        <v>8301.1212799999903</v>
      </c>
      <c r="T33" s="423">
        <f t="shared" si="10"/>
        <v>0</v>
      </c>
      <c r="U33" s="423"/>
      <c r="V33" s="423">
        <f t="shared" si="12"/>
        <v>137301.12127999999</v>
      </c>
      <c r="W33" s="430">
        <v>12</v>
      </c>
      <c r="X33" s="423">
        <f t="shared" si="13"/>
        <v>11441.760106666699</v>
      </c>
      <c r="Y33" s="423"/>
      <c r="Z33" s="423">
        <f t="shared" si="14"/>
        <v>11441.760106666699</v>
      </c>
      <c r="AA33" s="435"/>
      <c r="AB33" s="435"/>
      <c r="AC33" s="435"/>
      <c r="AD33" s="435"/>
      <c r="AE33" s="435"/>
    </row>
    <row r="34" spans="1:31" ht="18.75">
      <c r="A34" s="420"/>
      <c r="B34" s="16" t="s">
        <v>88</v>
      </c>
      <c r="C34" s="421">
        <v>157924.5</v>
      </c>
      <c r="D34" s="422">
        <v>12</v>
      </c>
      <c r="E34" s="423">
        <f t="shared" si="0"/>
        <v>1895094</v>
      </c>
      <c r="F34" s="423"/>
      <c r="G34" s="424">
        <f>17956.78*12</f>
        <v>215481.36</v>
      </c>
      <c r="H34" s="423"/>
      <c r="I34" s="423">
        <f t="shared" si="1"/>
        <v>1679612.64</v>
      </c>
      <c r="J34" s="423">
        <v>200000</v>
      </c>
      <c r="K34" s="423">
        <v>0.2</v>
      </c>
      <c r="L34" s="423">
        <f t="shared" si="2"/>
        <v>335922.52799999999</v>
      </c>
      <c r="M34" s="423">
        <f t="shared" si="3"/>
        <v>535922.52800000005</v>
      </c>
      <c r="N34" s="423">
        <f t="shared" si="4"/>
        <v>751403.88800000004</v>
      </c>
      <c r="O34" s="423">
        <f t="shared" si="5"/>
        <v>1143690.112</v>
      </c>
      <c r="P34" s="423">
        <f t="shared" si="6"/>
        <v>21000</v>
      </c>
      <c r="Q34" s="423">
        <f t="shared" si="7"/>
        <v>33000</v>
      </c>
      <c r="R34" s="423">
        <f t="shared" si="8"/>
        <v>75000</v>
      </c>
      <c r="S34" s="423">
        <f t="shared" si="9"/>
        <v>8301.1212799999903</v>
      </c>
      <c r="T34" s="423">
        <f t="shared" si="10"/>
        <v>0</v>
      </c>
      <c r="U34" s="423"/>
      <c r="V34" s="423">
        <f t="shared" si="12"/>
        <v>137301.12127999999</v>
      </c>
      <c r="W34" s="430">
        <v>12</v>
      </c>
      <c r="X34" s="423">
        <f t="shared" si="13"/>
        <v>11441.760106666699</v>
      </c>
      <c r="Y34" s="423"/>
      <c r="Z34" s="423">
        <f t="shared" si="14"/>
        <v>11441.760106666699</v>
      </c>
      <c r="AA34" s="435"/>
      <c r="AB34" s="435"/>
      <c r="AC34" s="435"/>
      <c r="AD34" s="435"/>
      <c r="AE34" s="435"/>
    </row>
    <row r="35" spans="1:31" ht="18.75">
      <c r="A35" s="420">
        <v>31</v>
      </c>
      <c r="B35" s="16" t="s">
        <v>90</v>
      </c>
      <c r="C35" s="423">
        <v>137229.875</v>
      </c>
      <c r="D35" s="422">
        <v>12</v>
      </c>
      <c r="E35" s="423">
        <f t="shared" si="0"/>
        <v>1646758.5</v>
      </c>
      <c r="F35" s="426"/>
      <c r="G35" s="424">
        <f>17956.78*12</f>
        <v>215481.36</v>
      </c>
      <c r="H35" s="426"/>
      <c r="I35" s="423">
        <f t="shared" si="1"/>
        <v>1431277.14</v>
      </c>
      <c r="J35" s="423">
        <v>200000</v>
      </c>
      <c r="K35" s="423">
        <v>0.2</v>
      </c>
      <c r="L35" s="423">
        <f t="shared" si="2"/>
        <v>286255.42800000001</v>
      </c>
      <c r="M35" s="423">
        <f t="shared" si="3"/>
        <v>486255.42800000001</v>
      </c>
      <c r="N35" s="423">
        <f t="shared" si="4"/>
        <v>701736.78799999994</v>
      </c>
      <c r="O35" s="423">
        <f t="shared" si="5"/>
        <v>945021.71200000006</v>
      </c>
      <c r="P35" s="423">
        <f t="shared" si="6"/>
        <v>21000</v>
      </c>
      <c r="Q35" s="423">
        <f t="shared" si="7"/>
        <v>33000</v>
      </c>
      <c r="R35" s="423">
        <f t="shared" si="8"/>
        <v>51753.256800000003</v>
      </c>
      <c r="S35" s="423">
        <f t="shared" si="9"/>
        <v>0</v>
      </c>
      <c r="T35" s="423">
        <f t="shared" si="10"/>
        <v>0</v>
      </c>
      <c r="U35" s="423"/>
      <c r="V35" s="423">
        <f t="shared" si="12"/>
        <v>105753.2568</v>
      </c>
      <c r="W35" s="430">
        <v>12</v>
      </c>
      <c r="X35" s="423">
        <f t="shared" si="13"/>
        <v>8812.7713999999996</v>
      </c>
      <c r="Y35" s="426"/>
      <c r="Z35" s="423">
        <f t="shared" si="14"/>
        <v>8812.7713999999996</v>
      </c>
      <c r="AA35" s="435"/>
      <c r="AB35" s="435"/>
      <c r="AC35" s="435"/>
      <c r="AD35" s="435"/>
      <c r="AE35" s="435"/>
    </row>
    <row r="36" spans="1:31" ht="37.5">
      <c r="A36" s="420">
        <v>32</v>
      </c>
      <c r="B36" s="16" t="s">
        <v>93</v>
      </c>
      <c r="C36" s="423">
        <v>134143.79166666701</v>
      </c>
      <c r="D36" s="422">
        <v>12</v>
      </c>
      <c r="E36" s="423">
        <f t="shared" si="0"/>
        <v>1609725.5</v>
      </c>
      <c r="F36" s="426"/>
      <c r="G36" s="424">
        <f>17956.78*12</f>
        <v>215481.36</v>
      </c>
      <c r="H36" s="426"/>
      <c r="I36" s="423">
        <f t="shared" si="1"/>
        <v>1394244.14</v>
      </c>
      <c r="J36" s="423">
        <v>200000</v>
      </c>
      <c r="K36" s="423">
        <v>0.2</v>
      </c>
      <c r="L36" s="423">
        <f t="shared" si="2"/>
        <v>278848.82800000103</v>
      </c>
      <c r="M36" s="423">
        <f t="shared" si="3"/>
        <v>478848.82800000103</v>
      </c>
      <c r="N36" s="423">
        <f t="shared" si="4"/>
        <v>694330.18800000101</v>
      </c>
      <c r="O36" s="423">
        <f t="shared" si="5"/>
        <v>915395.31200000294</v>
      </c>
      <c r="P36" s="423">
        <f t="shared" si="6"/>
        <v>21000</v>
      </c>
      <c r="Q36" s="423">
        <f t="shared" si="7"/>
        <v>33000</v>
      </c>
      <c r="R36" s="423">
        <f t="shared" si="8"/>
        <v>47309.296800000498</v>
      </c>
      <c r="S36" s="423">
        <f t="shared" si="9"/>
        <v>0</v>
      </c>
      <c r="T36" s="423">
        <f t="shared" si="10"/>
        <v>0</v>
      </c>
      <c r="U36" s="423"/>
      <c r="V36" s="423">
        <f t="shared" si="12"/>
        <v>101309.296800001</v>
      </c>
      <c r="W36" s="430">
        <v>12</v>
      </c>
      <c r="X36" s="423">
        <f t="shared" si="13"/>
        <v>8442.4414000000397</v>
      </c>
      <c r="Y36" s="426"/>
      <c r="Z36" s="423">
        <f t="shared" si="14"/>
        <v>8442.4414000000397</v>
      </c>
      <c r="AA36" s="435"/>
      <c r="AB36" s="435"/>
      <c r="AC36" s="435"/>
      <c r="AD36" s="435"/>
      <c r="AE36" s="435"/>
    </row>
    <row r="37" spans="1:31" ht="18.75">
      <c r="A37" s="420"/>
      <c r="B37" s="16"/>
      <c r="C37" s="423"/>
      <c r="D37" s="422"/>
      <c r="E37" s="423"/>
      <c r="F37" s="426"/>
      <c r="G37" s="426"/>
      <c r="H37" s="4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30"/>
      <c r="X37" s="423"/>
      <c r="Y37" s="426"/>
      <c r="Z37" s="423"/>
      <c r="AA37" s="435"/>
      <c r="AB37" s="435"/>
      <c r="AC37" s="435"/>
      <c r="AD37" s="435"/>
      <c r="AE37" s="435"/>
    </row>
    <row r="38" spans="1:31" ht="18.75">
      <c r="A38" s="420"/>
      <c r="B38" s="16"/>
      <c r="C38" s="423"/>
      <c r="D38" s="422"/>
      <c r="E38" s="423"/>
      <c r="F38" s="426"/>
      <c r="G38" s="426"/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16" t="s">
        <v>98</v>
      </c>
      <c r="C39" s="429">
        <v>767860</v>
      </c>
      <c r="D39" s="423">
        <v>12</v>
      </c>
      <c r="E39" s="423">
        <f t="shared" ref="E39:E42" si="16">C39*D39</f>
        <v>9214320</v>
      </c>
      <c r="F39" s="423"/>
      <c r="G39" s="424">
        <v>1378291.2</v>
      </c>
      <c r="H39" s="423"/>
      <c r="I39" s="423">
        <f t="shared" ref="I39:I42" si="17">E39-F39-G39-H39</f>
        <v>7836028.7999999998</v>
      </c>
      <c r="J39" s="423">
        <v>200000</v>
      </c>
      <c r="K39" s="423">
        <v>0.2</v>
      </c>
      <c r="L39" s="423">
        <f t="shared" ref="L39:L42" si="18">I39*K39</f>
        <v>1567205.76</v>
      </c>
      <c r="M39" s="423">
        <f t="shared" ref="M39:M42" si="19">J39+L39</f>
        <v>1767205.76</v>
      </c>
      <c r="N39" s="423">
        <f t="shared" ref="N39:N42" si="20">F39+G39+H39+M39</f>
        <v>3145496.96</v>
      </c>
      <c r="O39" s="423">
        <f t="shared" ref="O39:O42" si="21">E39-N39</f>
        <v>6068823.04</v>
      </c>
      <c r="P39" s="423">
        <f t="shared" ref="P39:P42" si="22">IF(O39&lt;300000,0.07*O39,21000)</f>
        <v>21000</v>
      </c>
      <c r="Q39" s="423">
        <f t="shared" ref="Q39:Q42" si="23">IF((O39-300000)&lt;0,0,IF((O39-300000)&lt;300000,0.11*(O39-300000),33000))</f>
        <v>33000</v>
      </c>
      <c r="R39" s="423">
        <f t="shared" ref="R39:R42" si="24">IF((O39-600000)&lt;0,0,IF((O39-600000)&lt;500000,0.15*(O39-600000),75000))</f>
        <v>75000</v>
      </c>
      <c r="S39" s="423">
        <f t="shared" ref="S39:S42" si="25">IF((O39-1100000)&lt;0,0,IF((O39-1100000)&lt;500000,0.19*(O39-1100000),95000))</f>
        <v>95000</v>
      </c>
      <c r="T39" s="423">
        <f t="shared" ref="T39:T42" si="26">IF((O39-1600000)&lt;0,0,IF((O39-1600000)&lt;1600000,0.21*(O39-1600000),336000))</f>
        <v>336000</v>
      </c>
      <c r="U39" s="423">
        <f>24%*(O39-3200000)</f>
        <v>688517.52960000001</v>
      </c>
      <c r="V39" s="423">
        <f t="shared" ref="V39:V42" si="27">P39+Q39+R39+S39+T39+U39</f>
        <v>1248517.5296</v>
      </c>
      <c r="W39" s="423">
        <v>12</v>
      </c>
      <c r="X39" s="423">
        <f t="shared" ref="X39:X42" si="28">V39/W39</f>
        <v>104043.12746666701</v>
      </c>
      <c r="Y39" s="423"/>
      <c r="Z39" s="423">
        <f t="shared" ref="Z39:Z42" si="29">X39</f>
        <v>104043.12746666701</v>
      </c>
      <c r="AA39" s="423">
        <v>161106.806858667</v>
      </c>
      <c r="AB39" s="423">
        <f t="shared" ref="AB39:AB42" si="30">Z39-AA39</f>
        <v>-57063.679392000297</v>
      </c>
      <c r="AC39" s="435"/>
      <c r="AD39" s="435"/>
      <c r="AE39" s="435"/>
    </row>
    <row r="40" spans="1:31" ht="18.75">
      <c r="A40" s="420"/>
      <c r="B40" s="16" t="s">
        <v>101</v>
      </c>
      <c r="C40" s="429">
        <v>176514.83333333299</v>
      </c>
      <c r="D40" s="422">
        <v>12</v>
      </c>
      <c r="E40" s="423">
        <f t="shared" si="16"/>
        <v>2118178</v>
      </c>
      <c r="F40" s="423"/>
      <c r="G40" s="424">
        <v>281308.48</v>
      </c>
      <c r="H40" s="423"/>
      <c r="I40" s="423">
        <f t="shared" si="17"/>
        <v>1836869.52</v>
      </c>
      <c r="J40" s="423">
        <v>200000</v>
      </c>
      <c r="K40" s="423">
        <v>0.2</v>
      </c>
      <c r="L40" s="423">
        <f t="shared" si="18"/>
        <v>367373.90399999899</v>
      </c>
      <c r="M40" s="423">
        <f t="shared" si="19"/>
        <v>567373.90399999905</v>
      </c>
      <c r="N40" s="423">
        <f t="shared" si="20"/>
        <v>848682.38399999903</v>
      </c>
      <c r="O40" s="423">
        <f t="shared" si="21"/>
        <v>1269495.6159999999</v>
      </c>
      <c r="P40" s="423">
        <f t="shared" si="22"/>
        <v>21000</v>
      </c>
      <c r="Q40" s="423">
        <f t="shared" si="23"/>
        <v>33000</v>
      </c>
      <c r="R40" s="423">
        <f t="shared" si="24"/>
        <v>75000</v>
      </c>
      <c r="S40" s="423">
        <f t="shared" si="25"/>
        <v>32204.1670399994</v>
      </c>
      <c r="T40" s="423">
        <f t="shared" si="26"/>
        <v>0</v>
      </c>
      <c r="U40" s="423"/>
      <c r="V40" s="423">
        <f t="shared" si="27"/>
        <v>161204.16703999901</v>
      </c>
      <c r="W40" s="423">
        <v>12</v>
      </c>
      <c r="X40" s="423">
        <f t="shared" si="28"/>
        <v>13433.6805866666</v>
      </c>
      <c r="Y40" s="423"/>
      <c r="Z40" s="423">
        <f t="shared" si="29"/>
        <v>13433.6805866666</v>
      </c>
      <c r="AA40" s="435">
        <v>17042.713866666702</v>
      </c>
      <c r="AB40" s="423">
        <f t="shared" si="30"/>
        <v>-3609.0332800000901</v>
      </c>
      <c r="AC40" s="435"/>
      <c r="AD40" s="435"/>
      <c r="AE40" s="435"/>
    </row>
    <row r="41" spans="1:31" ht="18.75">
      <c r="A41" s="420">
        <v>33</v>
      </c>
      <c r="B41" s="9" t="s">
        <v>103</v>
      </c>
      <c r="C41" s="429">
        <v>180482.79166666701</v>
      </c>
      <c r="D41" s="422">
        <v>12</v>
      </c>
      <c r="E41" s="423">
        <f t="shared" si="16"/>
        <v>2165793.5</v>
      </c>
      <c r="F41" s="423"/>
      <c r="G41" s="424">
        <v>288926.96000000002</v>
      </c>
      <c r="H41" s="423"/>
      <c r="I41" s="423">
        <f t="shared" si="17"/>
        <v>1876866.54</v>
      </c>
      <c r="J41" s="423">
        <v>200000</v>
      </c>
      <c r="K41" s="423">
        <v>0.2</v>
      </c>
      <c r="L41" s="423">
        <f t="shared" si="18"/>
        <v>375373.30800000101</v>
      </c>
      <c r="M41" s="423">
        <f t="shared" si="19"/>
        <v>575373.30800000101</v>
      </c>
      <c r="N41" s="423">
        <f t="shared" si="20"/>
        <v>864300.26800000097</v>
      </c>
      <c r="O41" s="423">
        <f t="shared" si="21"/>
        <v>1301493.2320000001</v>
      </c>
      <c r="P41" s="423">
        <f t="shared" si="22"/>
        <v>21000</v>
      </c>
      <c r="Q41" s="423">
        <f t="shared" si="23"/>
        <v>33000</v>
      </c>
      <c r="R41" s="423">
        <f t="shared" si="24"/>
        <v>75000</v>
      </c>
      <c r="S41" s="423">
        <f t="shared" si="25"/>
        <v>38283.714080000602</v>
      </c>
      <c r="T41" s="423">
        <f t="shared" si="26"/>
        <v>0</v>
      </c>
      <c r="U41" s="423"/>
      <c r="V41" s="423">
        <f t="shared" si="27"/>
        <v>167283.71408000099</v>
      </c>
      <c r="W41" s="423">
        <v>12</v>
      </c>
      <c r="X41" s="423">
        <f t="shared" si="28"/>
        <v>13940.309506666699</v>
      </c>
      <c r="Y41" s="423"/>
      <c r="Z41" s="423">
        <f t="shared" si="29"/>
        <v>13940.309506666699</v>
      </c>
      <c r="AA41" s="435">
        <v>26339.0784066667</v>
      </c>
      <c r="AB41" s="423">
        <f t="shared" si="30"/>
        <v>-12398.768899999999</v>
      </c>
      <c r="AC41" s="435"/>
      <c r="AD41" s="435"/>
      <c r="AE41" s="435"/>
    </row>
    <row r="42" spans="1:31" ht="18.75">
      <c r="A42" s="420">
        <v>33</v>
      </c>
      <c r="B42" s="9" t="s">
        <v>105</v>
      </c>
      <c r="C42" s="429">
        <v>157924.5</v>
      </c>
      <c r="D42" s="422">
        <v>12</v>
      </c>
      <c r="E42" s="423">
        <f t="shared" si="16"/>
        <v>1895094</v>
      </c>
      <c r="F42" s="423"/>
      <c r="G42" s="424">
        <v>288926.96000000002</v>
      </c>
      <c r="H42" s="423"/>
      <c r="I42" s="423">
        <f t="shared" si="17"/>
        <v>1606167.04</v>
      </c>
      <c r="J42" s="423">
        <v>200000</v>
      </c>
      <c r="K42" s="423">
        <v>0.2</v>
      </c>
      <c r="L42" s="423">
        <f t="shared" si="18"/>
        <v>321233.408</v>
      </c>
      <c r="M42" s="423">
        <f t="shared" si="19"/>
        <v>521233.408</v>
      </c>
      <c r="N42" s="423">
        <f t="shared" si="20"/>
        <v>810160.36800000002</v>
      </c>
      <c r="O42" s="423">
        <f t="shared" si="21"/>
        <v>1084933.632</v>
      </c>
      <c r="P42" s="423">
        <f t="shared" si="22"/>
        <v>21000</v>
      </c>
      <c r="Q42" s="423">
        <f t="shared" si="23"/>
        <v>33000</v>
      </c>
      <c r="R42" s="423">
        <f t="shared" si="24"/>
        <v>72740.044800000003</v>
      </c>
      <c r="S42" s="423">
        <f t="shared" si="25"/>
        <v>0</v>
      </c>
      <c r="T42" s="423">
        <f t="shared" si="26"/>
        <v>0</v>
      </c>
      <c r="U42" s="423"/>
      <c r="V42" s="423">
        <f t="shared" si="27"/>
        <v>126740.0448</v>
      </c>
      <c r="W42" s="423">
        <v>12</v>
      </c>
      <c r="X42" s="423">
        <f t="shared" si="28"/>
        <v>10561.670400000001</v>
      </c>
      <c r="Y42" s="423"/>
      <c r="Z42" s="423">
        <f t="shared" si="29"/>
        <v>10561.670400000001</v>
      </c>
      <c r="AA42" s="435">
        <v>26339.0784066667</v>
      </c>
      <c r="AB42" s="423">
        <f t="shared" si="30"/>
        <v>-15777.408006666699</v>
      </c>
      <c r="AC42" s="435"/>
      <c r="AD42" s="435"/>
      <c r="AE42" s="435"/>
    </row>
    <row r="43" spans="1:31" ht="18.75">
      <c r="A43" s="420"/>
      <c r="B43" s="12"/>
      <c r="C43" s="429"/>
      <c r="D43" s="422"/>
      <c r="E43" s="423"/>
      <c r="F43" s="426"/>
      <c r="G43" s="426"/>
      <c r="H43" s="426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30"/>
      <c r="X43" s="423"/>
      <c r="Y43" s="426"/>
      <c r="Z43" s="423"/>
      <c r="AA43" s="435"/>
      <c r="AB43" s="435"/>
      <c r="AC43" s="435"/>
      <c r="AD43" s="435"/>
      <c r="AE43" s="435"/>
    </row>
    <row r="44" spans="1:31" ht="18.75">
      <c r="A44" s="420"/>
      <c r="B44" s="21" t="s">
        <v>107</v>
      </c>
      <c r="C44" s="423"/>
      <c r="D44" s="422"/>
      <c r="E44" s="423"/>
      <c r="F44" s="426"/>
      <c r="G44" s="426"/>
      <c r="H44" s="426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30"/>
      <c r="X44" s="423"/>
      <c r="Y44" s="426"/>
      <c r="Z44" s="423"/>
      <c r="AA44" s="435"/>
      <c r="AB44" s="435"/>
      <c r="AC44" s="435"/>
      <c r="AD44" s="435"/>
      <c r="AE44" s="435"/>
    </row>
    <row r="45" spans="1:31" ht="37.5">
      <c r="A45" s="420">
        <v>35</v>
      </c>
      <c r="B45" s="9" t="s">
        <v>108</v>
      </c>
      <c r="C45" s="421">
        <v>1635720</v>
      </c>
      <c r="D45" s="422">
        <v>12</v>
      </c>
      <c r="E45" s="423">
        <f t="shared" ref="E45:E54" si="31">C45*D45</f>
        <v>19628640</v>
      </c>
      <c r="F45" s="423"/>
      <c r="G45" s="424">
        <v>1378291.2</v>
      </c>
      <c r="H45" s="423"/>
      <c r="I45" s="423">
        <f t="shared" ref="I45:I54" si="32">E45-F45-G45-H45</f>
        <v>18250348.800000001</v>
      </c>
      <c r="J45" s="423">
        <v>200000</v>
      </c>
      <c r="K45" s="423">
        <v>0.2</v>
      </c>
      <c r="L45" s="423">
        <f t="shared" ref="L45:L54" si="33">I45*K45</f>
        <v>3650069.76</v>
      </c>
      <c r="M45" s="423">
        <f t="shared" ref="M45:M54" si="34">J45+L45</f>
        <v>3850069.76</v>
      </c>
      <c r="N45" s="423">
        <f t="shared" ref="N45:N54" si="35">F45+G45+H45+M45</f>
        <v>5228360.96</v>
      </c>
      <c r="O45" s="423">
        <f t="shared" ref="O45:O54" si="36">E45-N45</f>
        <v>14400279.039999999</v>
      </c>
      <c r="P45" s="423">
        <f t="shared" ref="P45:P54" si="37">IF(O45&lt;300000,0.07*O45,21000)</f>
        <v>21000</v>
      </c>
      <c r="Q45" s="423">
        <f t="shared" ref="Q45:Q54" si="38">IF((O45-300000)&lt;0,0,IF((O45-300000)&lt;300000,0.11*(O45-300000),33000))</f>
        <v>33000</v>
      </c>
      <c r="R45" s="423">
        <f t="shared" ref="R45:R54" si="39">IF((O45-600000)&lt;0,0,IF((O45-600000)&lt;500000,0.15*(O45-600000),75000))</f>
        <v>75000</v>
      </c>
      <c r="S45" s="423">
        <f t="shared" ref="S45:S54" si="40">IF((O45-1100000)&lt;0,0,IF((O45-1100000)&lt;500000,0.19*(O45-1100000),95000))</f>
        <v>95000</v>
      </c>
      <c r="T45" s="423">
        <f t="shared" ref="T45:T54" si="41">IF((O45-1600000)&lt;0,0,IF((O45-1600000)&lt;1600000,0.21*(O45-1600000),336000))</f>
        <v>336000</v>
      </c>
      <c r="U45" s="423">
        <f>0.24*(O45-3200000)</f>
        <v>2688066.9696</v>
      </c>
      <c r="V45" s="423">
        <f t="shared" ref="V45:V54" si="42">P45+Q45+R45+S45+T45+U45</f>
        <v>3248066.9696</v>
      </c>
      <c r="W45" s="430">
        <v>12</v>
      </c>
      <c r="X45" s="423">
        <f t="shared" ref="X45:X54" si="43">V45/W45</f>
        <v>270672.24746666697</v>
      </c>
      <c r="Y45" s="423"/>
      <c r="Z45" s="423">
        <f t="shared" ref="Z45:Z54" si="44">X45</f>
        <v>270672.24746666697</v>
      </c>
      <c r="AA45" s="435">
        <v>180306.806858667</v>
      </c>
      <c r="AB45" s="435">
        <f t="shared" ref="AB45:AB54" si="45">Z45-AA45</f>
        <v>90365.440607999597</v>
      </c>
      <c r="AC45" s="435"/>
      <c r="AD45" s="435"/>
      <c r="AE45" s="435"/>
    </row>
    <row r="46" spans="1:31" ht="18.75">
      <c r="A46" s="420">
        <v>36</v>
      </c>
      <c r="B46" s="9" t="s">
        <v>491</v>
      </c>
      <c r="C46" s="423">
        <v>780675.58333333302</v>
      </c>
      <c r="D46" s="422">
        <v>12</v>
      </c>
      <c r="E46" s="423">
        <f t="shared" si="31"/>
        <v>9368107</v>
      </c>
      <c r="F46" s="426"/>
      <c r="G46" s="424">
        <v>595848.56000000006</v>
      </c>
      <c r="H46" s="426"/>
      <c r="I46" s="423">
        <f t="shared" si="32"/>
        <v>8772258.4399999995</v>
      </c>
      <c r="J46" s="423">
        <v>200000</v>
      </c>
      <c r="K46" s="423">
        <v>0.2</v>
      </c>
      <c r="L46" s="423">
        <f t="shared" si="33"/>
        <v>1754451.6880000001</v>
      </c>
      <c r="M46" s="423">
        <f t="shared" si="34"/>
        <v>1954451.6880000001</v>
      </c>
      <c r="N46" s="423">
        <f t="shared" si="35"/>
        <v>2550300.2480000001</v>
      </c>
      <c r="O46" s="423">
        <f t="shared" si="36"/>
        <v>6817806.7520000003</v>
      </c>
      <c r="P46" s="423">
        <f t="shared" si="37"/>
        <v>21000</v>
      </c>
      <c r="Q46" s="423">
        <f t="shared" si="38"/>
        <v>33000</v>
      </c>
      <c r="R46" s="423">
        <f t="shared" si="39"/>
        <v>75000</v>
      </c>
      <c r="S46" s="423">
        <f t="shared" si="40"/>
        <v>95000</v>
      </c>
      <c r="T46" s="423">
        <f t="shared" si="41"/>
        <v>336000</v>
      </c>
      <c r="U46" s="423">
        <f t="shared" ref="U46:U52" si="46">24%*(O46-3200000)</f>
        <v>868273.62047999899</v>
      </c>
      <c r="V46" s="423">
        <f t="shared" si="42"/>
        <v>1428273.62048</v>
      </c>
      <c r="W46" s="430">
        <v>12</v>
      </c>
      <c r="X46" s="423">
        <f t="shared" si="43"/>
        <v>119022.801706667</v>
      </c>
      <c r="Y46" s="426"/>
      <c r="Z46" s="423">
        <f t="shared" si="44"/>
        <v>119022.801706667</v>
      </c>
      <c r="AA46" s="435">
        <v>79956.9391466667</v>
      </c>
      <c r="AB46" s="435">
        <f t="shared" si="45"/>
        <v>39065.8625599999</v>
      </c>
      <c r="AC46" s="435"/>
      <c r="AD46" s="435"/>
      <c r="AE46" s="435"/>
    </row>
    <row r="47" spans="1:31" ht="18.75">
      <c r="A47" s="420">
        <v>37</v>
      </c>
      <c r="B47" s="9" t="s">
        <v>110</v>
      </c>
      <c r="C47" s="423">
        <v>919203.58333333302</v>
      </c>
      <c r="D47" s="422">
        <v>12</v>
      </c>
      <c r="E47" s="423">
        <f t="shared" si="31"/>
        <v>11030443</v>
      </c>
      <c r="F47" s="426"/>
      <c r="G47" s="424">
        <v>709635.44</v>
      </c>
      <c r="H47" s="426"/>
      <c r="I47" s="423">
        <f t="shared" si="32"/>
        <v>10320807.560000001</v>
      </c>
      <c r="J47" s="423">
        <v>200000</v>
      </c>
      <c r="K47" s="423">
        <v>0.2</v>
      </c>
      <c r="L47" s="423">
        <f t="shared" si="33"/>
        <v>2064161.5120000001</v>
      </c>
      <c r="M47" s="423">
        <f t="shared" si="34"/>
        <v>2264161.5120000001</v>
      </c>
      <c r="N47" s="423">
        <f t="shared" si="35"/>
        <v>2973796.952</v>
      </c>
      <c r="O47" s="423">
        <f t="shared" si="36"/>
        <v>8056646.0480000004</v>
      </c>
      <c r="P47" s="423">
        <f t="shared" si="37"/>
        <v>21000</v>
      </c>
      <c r="Q47" s="423">
        <f t="shared" si="38"/>
        <v>33000</v>
      </c>
      <c r="R47" s="423">
        <f t="shared" si="39"/>
        <v>75000</v>
      </c>
      <c r="S47" s="423">
        <f t="shared" si="40"/>
        <v>95000</v>
      </c>
      <c r="T47" s="423">
        <f t="shared" si="41"/>
        <v>336000</v>
      </c>
      <c r="U47" s="423">
        <f t="shared" si="46"/>
        <v>1165595.05152</v>
      </c>
      <c r="V47" s="423">
        <f t="shared" si="42"/>
        <v>1725595.05152</v>
      </c>
      <c r="W47" s="430">
        <v>12</v>
      </c>
      <c r="X47" s="423">
        <f t="shared" si="43"/>
        <v>143799.58762666699</v>
      </c>
      <c r="Y47" s="426"/>
      <c r="Z47" s="423">
        <f t="shared" si="44"/>
        <v>143799.58762666699</v>
      </c>
      <c r="AA47" s="435">
        <v>97273.513850666699</v>
      </c>
      <c r="AB47" s="435">
        <f t="shared" si="45"/>
        <v>46526.073775999903</v>
      </c>
      <c r="AC47" s="435"/>
      <c r="AD47" s="435"/>
      <c r="AE47" s="435"/>
    </row>
    <row r="48" spans="1:31" ht="18.75">
      <c r="A48" s="420">
        <v>38</v>
      </c>
      <c r="B48" s="9" t="s">
        <v>113</v>
      </c>
      <c r="C48" s="423">
        <v>780675.58333333302</v>
      </c>
      <c r="D48" s="422">
        <v>12</v>
      </c>
      <c r="E48" s="423">
        <f t="shared" si="31"/>
        <v>9368107</v>
      </c>
      <c r="F48" s="426"/>
      <c r="G48" s="424">
        <v>595848.56000000006</v>
      </c>
      <c r="H48" s="426"/>
      <c r="I48" s="423">
        <f t="shared" si="32"/>
        <v>8772258.4399999995</v>
      </c>
      <c r="J48" s="423">
        <v>200000</v>
      </c>
      <c r="K48" s="423">
        <v>0.2</v>
      </c>
      <c r="L48" s="423">
        <f t="shared" si="33"/>
        <v>1754451.6880000001</v>
      </c>
      <c r="M48" s="423">
        <f t="shared" si="34"/>
        <v>1954451.6880000001</v>
      </c>
      <c r="N48" s="423">
        <f t="shared" si="35"/>
        <v>2550300.2480000001</v>
      </c>
      <c r="O48" s="423">
        <f t="shared" si="36"/>
        <v>6817806.7520000003</v>
      </c>
      <c r="P48" s="423">
        <f t="shared" si="37"/>
        <v>21000</v>
      </c>
      <c r="Q48" s="423">
        <f t="shared" si="38"/>
        <v>33000</v>
      </c>
      <c r="R48" s="423">
        <f t="shared" si="39"/>
        <v>75000</v>
      </c>
      <c r="S48" s="423">
        <f t="shared" si="40"/>
        <v>95000</v>
      </c>
      <c r="T48" s="423">
        <f t="shared" si="41"/>
        <v>336000</v>
      </c>
      <c r="U48" s="423">
        <f t="shared" si="46"/>
        <v>868273.62047999899</v>
      </c>
      <c r="V48" s="423">
        <f t="shared" si="42"/>
        <v>1428273.62048</v>
      </c>
      <c r="W48" s="430">
        <v>12</v>
      </c>
      <c r="X48" s="423">
        <f t="shared" si="43"/>
        <v>119022.801706667</v>
      </c>
      <c r="Y48" s="426"/>
      <c r="Z48" s="423">
        <f t="shared" si="44"/>
        <v>119022.801706667</v>
      </c>
      <c r="AA48" s="435">
        <v>79956.9391466667</v>
      </c>
      <c r="AB48" s="435">
        <f t="shared" si="45"/>
        <v>39065.8625599999</v>
      </c>
      <c r="AC48" s="435"/>
      <c r="AD48" s="435"/>
      <c r="AE48" s="435"/>
    </row>
    <row r="49" spans="1:31" ht="18.75">
      <c r="A49" s="420">
        <v>39</v>
      </c>
      <c r="B49" s="9" t="s">
        <v>115</v>
      </c>
      <c r="C49" s="423">
        <v>780675.58333333302</v>
      </c>
      <c r="D49" s="422">
        <v>12</v>
      </c>
      <c r="E49" s="423">
        <f t="shared" si="31"/>
        <v>9368107</v>
      </c>
      <c r="F49" s="423">
        <f>'[6]JANUARY 2024'!$V$47*12</f>
        <v>10052.25</v>
      </c>
      <c r="G49" s="424">
        <v>595848.56000000006</v>
      </c>
      <c r="H49" s="426"/>
      <c r="I49" s="423">
        <f t="shared" si="32"/>
        <v>8762206.1899999995</v>
      </c>
      <c r="J49" s="423">
        <v>200000</v>
      </c>
      <c r="K49" s="423">
        <v>0.2</v>
      </c>
      <c r="L49" s="423">
        <f t="shared" si="33"/>
        <v>1752441.2379999999</v>
      </c>
      <c r="M49" s="423">
        <f t="shared" si="34"/>
        <v>1952441.2379999999</v>
      </c>
      <c r="N49" s="423">
        <f t="shared" si="35"/>
        <v>2558342.048</v>
      </c>
      <c r="O49" s="423">
        <f t="shared" si="36"/>
        <v>6809764.9519999996</v>
      </c>
      <c r="P49" s="423">
        <f t="shared" si="37"/>
        <v>21000</v>
      </c>
      <c r="Q49" s="423">
        <f t="shared" si="38"/>
        <v>33000</v>
      </c>
      <c r="R49" s="423">
        <f t="shared" si="39"/>
        <v>75000</v>
      </c>
      <c r="S49" s="423">
        <f t="shared" si="40"/>
        <v>95000</v>
      </c>
      <c r="T49" s="423">
        <f t="shared" si="41"/>
        <v>336000</v>
      </c>
      <c r="U49" s="423">
        <f t="shared" si="46"/>
        <v>866343.58847999992</v>
      </c>
      <c r="V49" s="423">
        <f t="shared" si="42"/>
        <v>1426343.5884799999</v>
      </c>
      <c r="W49" s="430">
        <v>12</v>
      </c>
      <c r="X49" s="423">
        <f t="shared" si="43"/>
        <v>118861.96570666666</v>
      </c>
      <c r="Y49" s="426"/>
      <c r="Z49" s="423">
        <f t="shared" si="44"/>
        <v>118861.96570666666</v>
      </c>
      <c r="AA49" s="435">
        <v>79796.103146666603</v>
      </c>
      <c r="AB49" s="435">
        <f t="shared" si="45"/>
        <v>39065.862560000052</v>
      </c>
      <c r="AC49" s="435"/>
      <c r="AD49" s="435"/>
      <c r="AE49" s="435"/>
    </row>
    <row r="50" spans="1:31" ht="18.75">
      <c r="A50" s="420">
        <v>40</v>
      </c>
      <c r="B50" s="9" t="s">
        <v>116</v>
      </c>
      <c r="C50" s="423">
        <v>742118.08333333302</v>
      </c>
      <c r="D50" s="422">
        <v>12</v>
      </c>
      <c r="E50" s="423">
        <f t="shared" si="31"/>
        <v>8905417</v>
      </c>
      <c r="F50" s="423"/>
      <c r="G50" s="424">
        <v>558833.36</v>
      </c>
      <c r="H50" s="426"/>
      <c r="I50" s="423">
        <f t="shared" si="32"/>
        <v>8346583.6399999997</v>
      </c>
      <c r="J50" s="423">
        <v>200000</v>
      </c>
      <c r="K50" s="423">
        <v>0.2</v>
      </c>
      <c r="L50" s="423">
        <f t="shared" si="33"/>
        <v>1669316.7279999999</v>
      </c>
      <c r="M50" s="423">
        <f t="shared" si="34"/>
        <v>1869316.7279999999</v>
      </c>
      <c r="N50" s="423">
        <f t="shared" si="35"/>
        <v>2428150.088</v>
      </c>
      <c r="O50" s="423">
        <f t="shared" si="36"/>
        <v>6477266.9119999995</v>
      </c>
      <c r="P50" s="423">
        <f t="shared" si="37"/>
        <v>21000</v>
      </c>
      <c r="Q50" s="423">
        <f t="shared" si="38"/>
        <v>33000</v>
      </c>
      <c r="R50" s="423">
        <f t="shared" si="39"/>
        <v>75000</v>
      </c>
      <c r="S50" s="423">
        <f t="shared" si="40"/>
        <v>95000</v>
      </c>
      <c r="T50" s="423">
        <f t="shared" si="41"/>
        <v>336000</v>
      </c>
      <c r="U50" s="423">
        <f t="shared" si="46"/>
        <v>786544.05887999898</v>
      </c>
      <c r="V50" s="423">
        <f t="shared" si="42"/>
        <v>1346544.0588799999</v>
      </c>
      <c r="W50" s="430">
        <v>12</v>
      </c>
      <c r="X50" s="423">
        <f t="shared" si="43"/>
        <v>112212.004906667</v>
      </c>
      <c r="Y50" s="426"/>
      <c r="Z50" s="423">
        <f t="shared" si="44"/>
        <v>112212.004906667</v>
      </c>
      <c r="AA50" s="435">
        <v>75572.915690666705</v>
      </c>
      <c r="AB50" s="435">
        <f t="shared" si="45"/>
        <v>36639.089215999898</v>
      </c>
      <c r="AC50" s="435"/>
      <c r="AD50" s="435"/>
      <c r="AE50" s="435"/>
    </row>
    <row r="51" spans="1:31" ht="18.75">
      <c r="A51" s="420">
        <v>41</v>
      </c>
      <c r="B51" s="12" t="s">
        <v>117</v>
      </c>
      <c r="C51" s="423">
        <v>610498</v>
      </c>
      <c r="D51" s="422">
        <v>12</v>
      </c>
      <c r="E51" s="423">
        <f t="shared" si="31"/>
        <v>7325976</v>
      </c>
      <c r="F51" s="423"/>
      <c r="G51" s="424">
        <v>451678.08</v>
      </c>
      <c r="H51" s="426"/>
      <c r="I51" s="423">
        <f t="shared" si="32"/>
        <v>6874297.9199999999</v>
      </c>
      <c r="J51" s="423">
        <v>200000</v>
      </c>
      <c r="K51" s="423">
        <v>0.2</v>
      </c>
      <c r="L51" s="423">
        <f t="shared" si="33"/>
        <v>1374859.584</v>
      </c>
      <c r="M51" s="423">
        <f t="shared" si="34"/>
        <v>1574859.584</v>
      </c>
      <c r="N51" s="423">
        <f t="shared" si="35"/>
        <v>2026537.6640000001</v>
      </c>
      <c r="O51" s="423">
        <f t="shared" si="36"/>
        <v>5299438.3360000001</v>
      </c>
      <c r="P51" s="423">
        <f t="shared" si="37"/>
        <v>21000</v>
      </c>
      <c r="Q51" s="423">
        <f t="shared" si="38"/>
        <v>33000</v>
      </c>
      <c r="R51" s="423">
        <f t="shared" si="39"/>
        <v>75000</v>
      </c>
      <c r="S51" s="423">
        <f t="shared" si="40"/>
        <v>95000</v>
      </c>
      <c r="T51" s="423">
        <f t="shared" si="41"/>
        <v>336000</v>
      </c>
      <c r="U51" s="423">
        <f t="shared" si="46"/>
        <v>503865.20064</v>
      </c>
      <c r="V51" s="423">
        <f t="shared" si="42"/>
        <v>1063865.2006399999</v>
      </c>
      <c r="W51" s="430">
        <v>12</v>
      </c>
      <c r="X51" s="423">
        <f t="shared" si="43"/>
        <v>88655.4333866667</v>
      </c>
      <c r="Y51" s="426"/>
      <c r="Z51" s="423">
        <f t="shared" si="44"/>
        <v>88655.4333866667</v>
      </c>
      <c r="AA51" s="435">
        <v>58026.609434666701</v>
      </c>
      <c r="AB51" s="435">
        <f t="shared" si="45"/>
        <v>30628.823951999999</v>
      </c>
      <c r="AC51" s="435"/>
      <c r="AD51" s="435"/>
      <c r="AE51" s="435"/>
    </row>
    <row r="52" spans="1:31" ht="18.75">
      <c r="A52" s="420">
        <v>42</v>
      </c>
      <c r="B52" s="9" t="s">
        <v>118</v>
      </c>
      <c r="C52" s="423">
        <v>400965.58333333302</v>
      </c>
      <c r="D52" s="422">
        <v>12</v>
      </c>
      <c r="E52" s="423">
        <f t="shared" si="31"/>
        <v>4811587</v>
      </c>
      <c r="F52" s="423"/>
      <c r="G52" s="424">
        <v>288926.96000000002</v>
      </c>
      <c r="H52" s="426"/>
      <c r="I52" s="423">
        <f t="shared" si="32"/>
        <v>4522660.04</v>
      </c>
      <c r="J52" s="423">
        <v>200000</v>
      </c>
      <c r="K52" s="423">
        <v>0.2</v>
      </c>
      <c r="L52" s="423">
        <f t="shared" si="33"/>
        <v>904532.00799999898</v>
      </c>
      <c r="M52" s="423">
        <f t="shared" si="34"/>
        <v>1104532.0079999999</v>
      </c>
      <c r="N52" s="423">
        <f t="shared" si="35"/>
        <v>1393458.9680000001</v>
      </c>
      <c r="O52" s="423">
        <f t="shared" si="36"/>
        <v>3418128.0320000001</v>
      </c>
      <c r="P52" s="423">
        <f t="shared" si="37"/>
        <v>21000</v>
      </c>
      <c r="Q52" s="423">
        <f t="shared" si="38"/>
        <v>33000</v>
      </c>
      <c r="R52" s="423">
        <f t="shared" si="39"/>
        <v>75000</v>
      </c>
      <c r="S52" s="423">
        <f t="shared" si="40"/>
        <v>95000</v>
      </c>
      <c r="T52" s="423">
        <f t="shared" si="41"/>
        <v>336000</v>
      </c>
      <c r="U52" s="423">
        <f t="shared" si="46"/>
        <v>52350.727679999203</v>
      </c>
      <c r="V52" s="423">
        <f t="shared" si="42"/>
        <v>612350.72767999896</v>
      </c>
      <c r="W52" s="430">
        <v>12</v>
      </c>
      <c r="X52" s="423">
        <f t="shared" si="43"/>
        <v>51029.227306666602</v>
      </c>
      <c r="Y52" s="426"/>
      <c r="Z52" s="423">
        <f t="shared" si="44"/>
        <v>51029.227306666602</v>
      </c>
      <c r="AA52" s="435">
        <v>33059.078406666697</v>
      </c>
      <c r="AB52" s="435">
        <f t="shared" si="45"/>
        <v>17970.148899999898</v>
      </c>
      <c r="AC52" s="435"/>
      <c r="AD52" s="435"/>
      <c r="AE52" s="435"/>
    </row>
    <row r="53" spans="1:31" ht="18.75">
      <c r="A53" s="420">
        <v>43</v>
      </c>
      <c r="B53" s="9" t="s">
        <v>120</v>
      </c>
      <c r="C53" s="423">
        <v>363165.33333333302</v>
      </c>
      <c r="D53" s="422">
        <v>12</v>
      </c>
      <c r="E53" s="423">
        <f t="shared" si="31"/>
        <v>4357984</v>
      </c>
      <c r="F53" s="423"/>
      <c r="G53" s="424">
        <v>252638.72</v>
      </c>
      <c r="H53" s="426"/>
      <c r="I53" s="423">
        <f t="shared" si="32"/>
        <v>4105345.28</v>
      </c>
      <c r="J53" s="423">
        <v>200000</v>
      </c>
      <c r="K53" s="423">
        <v>0.2</v>
      </c>
      <c r="L53" s="423">
        <f t="shared" si="33"/>
        <v>821069.05599999905</v>
      </c>
      <c r="M53" s="423">
        <f t="shared" si="34"/>
        <v>1021069.056</v>
      </c>
      <c r="N53" s="423">
        <f t="shared" si="35"/>
        <v>1273707.7760000001</v>
      </c>
      <c r="O53" s="423">
        <f t="shared" si="36"/>
        <v>3084276.2239999999</v>
      </c>
      <c r="P53" s="423">
        <f t="shared" si="37"/>
        <v>21000</v>
      </c>
      <c r="Q53" s="423">
        <f t="shared" si="38"/>
        <v>33000</v>
      </c>
      <c r="R53" s="423">
        <f t="shared" si="39"/>
        <v>75000</v>
      </c>
      <c r="S53" s="423">
        <f t="shared" si="40"/>
        <v>95000</v>
      </c>
      <c r="T53" s="423">
        <f t="shared" si="41"/>
        <v>311698.00703999901</v>
      </c>
      <c r="U53" s="423"/>
      <c r="V53" s="423">
        <f t="shared" si="42"/>
        <v>535698.00703999901</v>
      </c>
      <c r="W53" s="430">
        <v>12</v>
      </c>
      <c r="X53" s="423">
        <f t="shared" si="43"/>
        <v>44641.500586666603</v>
      </c>
      <c r="Y53" s="426"/>
      <c r="Z53" s="423">
        <f t="shared" si="44"/>
        <v>44641.500586666603</v>
      </c>
      <c r="AA53" s="435">
        <v>29058.4826046667</v>
      </c>
      <c r="AB53" s="435">
        <f t="shared" si="45"/>
        <v>15583.017981999899</v>
      </c>
      <c r="AC53" s="435"/>
      <c r="AD53" s="435"/>
      <c r="AE53" s="435"/>
    </row>
    <row r="54" spans="1:31" ht="18.75">
      <c r="A54" s="420">
        <v>44</v>
      </c>
      <c r="B54" s="9" t="s">
        <v>121</v>
      </c>
      <c r="C54" s="423">
        <v>363165.33333333302</v>
      </c>
      <c r="D54" s="422">
        <v>12</v>
      </c>
      <c r="E54" s="423">
        <f t="shared" si="31"/>
        <v>4357984</v>
      </c>
      <c r="F54" s="423"/>
      <c r="G54" s="424">
        <v>252638.72</v>
      </c>
      <c r="H54" s="426"/>
      <c r="I54" s="423">
        <f t="shared" si="32"/>
        <v>4105345.28</v>
      </c>
      <c r="J54" s="423">
        <v>200000</v>
      </c>
      <c r="K54" s="423">
        <v>0.2</v>
      </c>
      <c r="L54" s="423">
        <f t="shared" si="33"/>
        <v>821069.05599999905</v>
      </c>
      <c r="M54" s="423">
        <f t="shared" si="34"/>
        <v>1021069.056</v>
      </c>
      <c r="N54" s="423">
        <f t="shared" si="35"/>
        <v>1273707.7760000001</v>
      </c>
      <c r="O54" s="423">
        <f t="shared" si="36"/>
        <v>3084276.2239999999</v>
      </c>
      <c r="P54" s="423">
        <f t="shared" si="37"/>
        <v>21000</v>
      </c>
      <c r="Q54" s="423">
        <f t="shared" si="38"/>
        <v>33000</v>
      </c>
      <c r="R54" s="423">
        <f t="shared" si="39"/>
        <v>75000</v>
      </c>
      <c r="S54" s="423">
        <f t="shared" si="40"/>
        <v>95000</v>
      </c>
      <c r="T54" s="423">
        <f t="shared" si="41"/>
        <v>311698.00703999901</v>
      </c>
      <c r="U54" s="423"/>
      <c r="V54" s="423">
        <f t="shared" si="42"/>
        <v>535698.00703999901</v>
      </c>
      <c r="W54" s="430">
        <v>12</v>
      </c>
      <c r="X54" s="423">
        <f t="shared" si="43"/>
        <v>44641.500586666603</v>
      </c>
      <c r="Y54" s="426"/>
      <c r="Z54" s="423">
        <f t="shared" si="44"/>
        <v>44641.500586666603</v>
      </c>
      <c r="AA54" s="435">
        <v>28360.952862666702</v>
      </c>
      <c r="AB54" s="435">
        <f t="shared" si="45"/>
        <v>16280.5477239999</v>
      </c>
      <c r="AC54" s="435"/>
      <c r="AD54" s="435"/>
      <c r="AE54" s="435"/>
    </row>
    <row r="55" spans="1:31" ht="18.75">
      <c r="A55" s="420"/>
      <c r="B55" s="20"/>
      <c r="C55" s="428"/>
      <c r="D55" s="422"/>
      <c r="E55" s="423"/>
      <c r="F55" s="423"/>
      <c r="G55" s="426"/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18.75">
      <c r="A56" s="420"/>
      <c r="B56" s="20"/>
      <c r="C56" s="428"/>
      <c r="D56" s="422"/>
      <c r="E56" s="423"/>
      <c r="F56" s="423"/>
      <c r="G56" s="426"/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/>
      <c r="B57" s="18" t="s">
        <v>122</v>
      </c>
      <c r="C57" s="423"/>
      <c r="D57" s="422"/>
      <c r="E57" s="423"/>
      <c r="F57" s="423"/>
      <c r="G57" s="426"/>
      <c r="H57" s="426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30"/>
      <c r="X57" s="423"/>
      <c r="Y57" s="426"/>
      <c r="Z57" s="423"/>
      <c r="AA57" s="435"/>
      <c r="AB57" s="435"/>
      <c r="AC57" s="435"/>
      <c r="AD57" s="435"/>
      <c r="AE57" s="435"/>
    </row>
    <row r="58" spans="1:31" ht="18.75">
      <c r="A58" s="420">
        <v>47</v>
      </c>
      <c r="B58" s="9" t="s">
        <v>123</v>
      </c>
      <c r="C58" s="423">
        <v>1635720</v>
      </c>
      <c r="D58" s="422">
        <v>12</v>
      </c>
      <c r="E58" s="423">
        <f t="shared" ref="E58:E71" si="47">C58*D58</f>
        <v>19628640</v>
      </c>
      <c r="F58" s="423"/>
      <c r="G58" s="424">
        <v>1378291.2</v>
      </c>
      <c r="H58" s="426"/>
      <c r="I58" s="423">
        <f t="shared" ref="I58:I71" si="48">E58-F58-G58-H58</f>
        <v>18250348.800000001</v>
      </c>
      <c r="J58" s="423">
        <v>200000</v>
      </c>
      <c r="K58" s="423">
        <v>0.2</v>
      </c>
      <c r="L58" s="423">
        <f t="shared" ref="L58:L71" si="49">I58*K58</f>
        <v>3650069.76</v>
      </c>
      <c r="M58" s="423">
        <f t="shared" ref="M58:M71" si="50">J58+L58</f>
        <v>3850069.76</v>
      </c>
      <c r="N58" s="423">
        <f t="shared" ref="N58:N71" si="51">F58+G58+H58+M58</f>
        <v>5228360.96</v>
      </c>
      <c r="O58" s="423">
        <f t="shared" ref="O58:O71" si="52">E58-N58</f>
        <v>14400279.039999999</v>
      </c>
      <c r="P58" s="423">
        <f t="shared" ref="P58:P71" si="53">IF(O58&lt;300000,0.07*O58,21000)</f>
        <v>21000</v>
      </c>
      <c r="Q58" s="423">
        <f t="shared" ref="Q58:Q71" si="54">IF((O58-300000)&lt;0,0,IF((O58-300000)&lt;300000,0.11*(O58-300000),33000))</f>
        <v>33000</v>
      </c>
      <c r="R58" s="423">
        <f t="shared" ref="R58:R71" si="55">IF((O58-600000)&lt;0,0,IF((O58-600000)&lt;500000,0.15*(O58-600000),75000))</f>
        <v>75000</v>
      </c>
      <c r="S58" s="423">
        <f t="shared" ref="S58:S71" si="56">IF((O58-1100000)&lt;0,0,IF((O58-1100000)&lt;500000,0.19*(O58-1100000),95000))</f>
        <v>95000</v>
      </c>
      <c r="T58" s="423">
        <f t="shared" ref="T58:T71" si="57">IF((O58-1600000)&lt;0,0,IF((O58-1600000)&lt;1600000,0.21*(O58-1600000),336000))</f>
        <v>336000</v>
      </c>
      <c r="U58" s="423">
        <f t="shared" ref="U58:U71" si="58">24%*(O58-3200000)</f>
        <v>2688066.9696</v>
      </c>
      <c r="V58" s="423">
        <f t="shared" ref="V58:V71" si="59">P58+Q58+R58+S58+T58+U58</f>
        <v>3248066.9696</v>
      </c>
      <c r="W58" s="430">
        <v>12</v>
      </c>
      <c r="X58" s="423">
        <f t="shared" ref="X58:X71" si="60">V58/W58</f>
        <v>270672.24746666697</v>
      </c>
      <c r="Y58" s="426"/>
      <c r="Z58" s="423">
        <f t="shared" ref="Z58:Z71" si="61">X58</f>
        <v>270672.24746666697</v>
      </c>
      <c r="AA58" s="435">
        <v>180306.806858667</v>
      </c>
      <c r="AB58" s="435">
        <f t="shared" ref="AB58:AB71" si="62">Z58-AA58</f>
        <v>90365.440607999597</v>
      </c>
      <c r="AC58" s="435"/>
      <c r="AD58" s="435"/>
      <c r="AE58" s="435"/>
    </row>
    <row r="59" spans="1:31" ht="18.75">
      <c r="A59" s="420">
        <v>48</v>
      </c>
      <c r="B59" s="9" t="s">
        <v>125</v>
      </c>
      <c r="C59" s="423">
        <v>700675.58333333302</v>
      </c>
      <c r="D59" s="422">
        <v>12</v>
      </c>
      <c r="E59" s="423">
        <f t="shared" si="47"/>
        <v>8408107</v>
      </c>
      <c r="F59" s="423"/>
      <c r="G59" s="423">
        <v>595848.56000000006</v>
      </c>
      <c r="H59" s="426"/>
      <c r="I59" s="423">
        <f t="shared" si="48"/>
        <v>7812258.4400000004</v>
      </c>
      <c r="J59" s="423">
        <v>200000</v>
      </c>
      <c r="K59" s="423">
        <v>0.2</v>
      </c>
      <c r="L59" s="423">
        <f t="shared" si="49"/>
        <v>1562451.6880000001</v>
      </c>
      <c r="M59" s="423">
        <f t="shared" si="50"/>
        <v>1762451.6880000001</v>
      </c>
      <c r="N59" s="423">
        <f t="shared" si="51"/>
        <v>2358300.2480000001</v>
      </c>
      <c r="O59" s="423">
        <f t="shared" si="52"/>
        <v>6049806.7520000003</v>
      </c>
      <c r="P59" s="423">
        <f t="shared" si="53"/>
        <v>21000</v>
      </c>
      <c r="Q59" s="423">
        <f t="shared" si="54"/>
        <v>33000</v>
      </c>
      <c r="R59" s="423">
        <f t="shared" si="55"/>
        <v>75000</v>
      </c>
      <c r="S59" s="423">
        <f t="shared" si="56"/>
        <v>95000</v>
      </c>
      <c r="T59" s="423">
        <f t="shared" si="57"/>
        <v>336000</v>
      </c>
      <c r="U59" s="423">
        <f t="shared" si="58"/>
        <v>683953.62047999899</v>
      </c>
      <c r="V59" s="423">
        <f t="shared" si="59"/>
        <v>1243953.62048</v>
      </c>
      <c r="W59" s="430">
        <v>12</v>
      </c>
      <c r="X59" s="423">
        <f t="shared" si="60"/>
        <v>103662.801706667</v>
      </c>
      <c r="Y59" s="426"/>
      <c r="Z59" s="423">
        <f t="shared" si="61"/>
        <v>103662.801706667</v>
      </c>
      <c r="AA59" s="435">
        <v>64596.9391466667</v>
      </c>
      <c r="AB59" s="435">
        <f t="shared" si="62"/>
        <v>39065.8625599999</v>
      </c>
      <c r="AC59" s="435"/>
      <c r="AD59" s="435"/>
      <c r="AE59" s="435"/>
    </row>
    <row r="60" spans="1:31" ht="18.75">
      <c r="A60" s="420"/>
      <c r="B60" s="18"/>
      <c r="C60" s="423"/>
      <c r="D60" s="422"/>
      <c r="E60" s="423"/>
      <c r="F60" s="423"/>
      <c r="G60" s="426">
        <v>0</v>
      </c>
      <c r="H60" s="426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30"/>
      <c r="X60" s="423"/>
      <c r="Y60" s="426"/>
      <c r="Z60" s="423"/>
      <c r="AA60" s="435"/>
      <c r="AB60" s="435"/>
      <c r="AC60" s="435"/>
      <c r="AD60" s="435"/>
      <c r="AE60" s="435"/>
    </row>
    <row r="61" spans="1:31" ht="37.5">
      <c r="A61" s="420">
        <v>49</v>
      </c>
      <c r="B61" s="18" t="s">
        <v>128</v>
      </c>
      <c r="C61" s="423"/>
      <c r="D61" s="422"/>
      <c r="E61" s="423"/>
      <c r="F61" s="423"/>
      <c r="G61" s="426">
        <v>0</v>
      </c>
      <c r="H61" s="42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30"/>
      <c r="X61" s="423"/>
      <c r="Y61" s="426"/>
      <c r="Z61" s="423"/>
      <c r="AA61" s="435"/>
      <c r="AB61" s="435"/>
      <c r="AC61" s="435"/>
      <c r="AD61" s="435"/>
      <c r="AE61" s="435"/>
    </row>
    <row r="62" spans="1:31" ht="18.75">
      <c r="A62" s="420">
        <v>50</v>
      </c>
      <c r="B62" s="9" t="s">
        <v>129</v>
      </c>
      <c r="C62" s="423">
        <v>1635720</v>
      </c>
      <c r="D62" s="422">
        <v>12</v>
      </c>
      <c r="E62" s="423">
        <f t="shared" si="47"/>
        <v>19628640</v>
      </c>
      <c r="F62" s="423"/>
      <c r="G62" s="424">
        <v>0</v>
      </c>
      <c r="H62" s="426"/>
      <c r="I62" s="423">
        <f t="shared" si="48"/>
        <v>19628640</v>
      </c>
      <c r="J62" s="423">
        <v>200000</v>
      </c>
      <c r="K62" s="423">
        <v>0.2</v>
      </c>
      <c r="L62" s="423">
        <f t="shared" si="49"/>
        <v>3925728</v>
      </c>
      <c r="M62" s="423">
        <f t="shared" si="50"/>
        <v>4125728</v>
      </c>
      <c r="N62" s="423">
        <f t="shared" si="51"/>
        <v>4125728</v>
      </c>
      <c r="O62" s="423">
        <f t="shared" si="52"/>
        <v>15502912</v>
      </c>
      <c r="P62" s="423">
        <f t="shared" si="53"/>
        <v>21000</v>
      </c>
      <c r="Q62" s="423">
        <f t="shared" si="54"/>
        <v>33000</v>
      </c>
      <c r="R62" s="423">
        <f t="shared" si="55"/>
        <v>75000</v>
      </c>
      <c r="S62" s="423">
        <f t="shared" si="56"/>
        <v>95000</v>
      </c>
      <c r="T62" s="423">
        <f t="shared" si="57"/>
        <v>336000</v>
      </c>
      <c r="U62" s="423">
        <f t="shared" si="58"/>
        <v>2952698.88</v>
      </c>
      <c r="V62" s="423">
        <f t="shared" si="59"/>
        <v>3512698.8799999999</v>
      </c>
      <c r="W62" s="430">
        <v>12</v>
      </c>
      <c r="X62" s="423">
        <f t="shared" si="60"/>
        <v>292724.90666666703</v>
      </c>
      <c r="Y62" s="426"/>
      <c r="Z62" s="423">
        <f t="shared" si="61"/>
        <v>292724.90666666703</v>
      </c>
      <c r="AA62" s="435">
        <v>180306.806858667</v>
      </c>
      <c r="AB62" s="435">
        <f t="shared" si="62"/>
        <v>112418.099808</v>
      </c>
      <c r="AC62" s="435"/>
      <c r="AD62" s="435"/>
      <c r="AE62" s="435"/>
    </row>
    <row r="63" spans="1:31" ht="23.25" customHeight="1">
      <c r="A63" s="420">
        <v>51</v>
      </c>
      <c r="B63" s="312" t="s">
        <v>131</v>
      </c>
      <c r="C63" s="423">
        <v>761396.83333333302</v>
      </c>
      <c r="D63" s="422">
        <v>12</v>
      </c>
      <c r="E63" s="423">
        <f t="shared" si="47"/>
        <v>9136762</v>
      </c>
      <c r="F63" s="423"/>
      <c r="G63" s="429">
        <f>48111.7466666667*12</f>
        <v>577340.96</v>
      </c>
      <c r="H63" s="426"/>
      <c r="I63" s="423">
        <f t="shared" si="48"/>
        <v>8559421.0399999991</v>
      </c>
      <c r="J63" s="423">
        <v>200000</v>
      </c>
      <c r="K63" s="423">
        <v>0.2</v>
      </c>
      <c r="L63" s="423">
        <f t="shared" si="49"/>
        <v>1711884.2080000001</v>
      </c>
      <c r="M63" s="423">
        <f t="shared" si="50"/>
        <v>1911884.2080000001</v>
      </c>
      <c r="N63" s="423">
        <f t="shared" si="51"/>
        <v>2489225.1680000001</v>
      </c>
      <c r="O63" s="423">
        <f t="shared" si="52"/>
        <v>6647536.8320000004</v>
      </c>
      <c r="P63" s="423">
        <f t="shared" si="53"/>
        <v>21000</v>
      </c>
      <c r="Q63" s="423">
        <f t="shared" si="54"/>
        <v>33000</v>
      </c>
      <c r="R63" s="423">
        <f t="shared" si="55"/>
        <v>75000</v>
      </c>
      <c r="S63" s="423">
        <f t="shared" si="56"/>
        <v>95000</v>
      </c>
      <c r="T63" s="423">
        <f t="shared" si="57"/>
        <v>336000</v>
      </c>
      <c r="U63" s="423">
        <f t="shared" si="58"/>
        <v>827408.83967999904</v>
      </c>
      <c r="V63" s="423">
        <f t="shared" si="59"/>
        <v>1387408.83968</v>
      </c>
      <c r="W63" s="430">
        <v>12</v>
      </c>
      <c r="X63" s="423">
        <f t="shared" si="60"/>
        <v>115617.40330666699</v>
      </c>
      <c r="Y63" s="426"/>
      <c r="Z63" s="423">
        <f t="shared" si="61"/>
        <v>115617.40330666699</v>
      </c>
      <c r="AA63" s="435">
        <v>77764.980266666695</v>
      </c>
      <c r="AB63" s="435">
        <f t="shared" si="62"/>
        <v>37852.4230399999</v>
      </c>
      <c r="AC63" s="435"/>
      <c r="AD63" s="435"/>
      <c r="AE63" s="435"/>
    </row>
    <row r="64" spans="1:31" ht="18.75">
      <c r="A64" s="420">
        <v>52</v>
      </c>
      <c r="B64" s="9" t="s">
        <v>134</v>
      </c>
      <c r="C64" s="423">
        <v>582746.5</v>
      </c>
      <c r="D64" s="422">
        <v>12</v>
      </c>
      <c r="E64" s="423">
        <f t="shared" si="47"/>
        <v>6992958</v>
      </c>
      <c r="F64" s="423"/>
      <c r="G64" s="424">
        <v>425036.64</v>
      </c>
      <c r="H64" s="426"/>
      <c r="I64" s="423">
        <f t="shared" si="48"/>
        <v>6567921.3600000003</v>
      </c>
      <c r="J64" s="423">
        <v>200000</v>
      </c>
      <c r="K64" s="423">
        <v>0.2</v>
      </c>
      <c r="L64" s="423">
        <f t="shared" si="49"/>
        <v>1313584.2720000001</v>
      </c>
      <c r="M64" s="423">
        <f t="shared" si="50"/>
        <v>1513584.2720000001</v>
      </c>
      <c r="N64" s="423">
        <f t="shared" si="51"/>
        <v>1938620.912</v>
      </c>
      <c r="O64" s="423">
        <f t="shared" si="52"/>
        <v>5054337.0880000005</v>
      </c>
      <c r="P64" s="423">
        <f t="shared" si="53"/>
        <v>21000</v>
      </c>
      <c r="Q64" s="423">
        <f t="shared" si="54"/>
        <v>33000</v>
      </c>
      <c r="R64" s="423">
        <f t="shared" si="55"/>
        <v>75000</v>
      </c>
      <c r="S64" s="423">
        <f t="shared" si="56"/>
        <v>95000</v>
      </c>
      <c r="T64" s="423">
        <f t="shared" si="57"/>
        <v>336000</v>
      </c>
      <c r="U64" s="423">
        <f t="shared" si="58"/>
        <v>445040.90111999999</v>
      </c>
      <c r="V64" s="423">
        <f t="shared" si="59"/>
        <v>1005040.9011200001</v>
      </c>
      <c r="W64" s="430">
        <v>12</v>
      </c>
      <c r="X64" s="423">
        <f t="shared" si="60"/>
        <v>83753.408426666603</v>
      </c>
      <c r="Y64" s="426"/>
      <c r="Z64" s="423">
        <f t="shared" si="61"/>
        <v>83753.408426666603</v>
      </c>
      <c r="AA64" s="435">
        <v>54931.249226666703</v>
      </c>
      <c r="AB64" s="435">
        <f t="shared" si="62"/>
        <v>28822.1591999999</v>
      </c>
      <c r="AC64" s="435"/>
      <c r="AD64" s="435"/>
      <c r="AE64" s="435"/>
    </row>
    <row r="65" spans="1:31" ht="18.75">
      <c r="A65" s="420">
        <v>53</v>
      </c>
      <c r="B65" s="16" t="s">
        <v>487</v>
      </c>
      <c r="C65" s="423">
        <v>548915.91666666698</v>
      </c>
      <c r="D65" s="422">
        <v>12</v>
      </c>
      <c r="E65" s="423">
        <f t="shared" si="47"/>
        <v>6586991</v>
      </c>
      <c r="F65" s="423"/>
      <c r="G65" s="424">
        <v>411759.28</v>
      </c>
      <c r="H65" s="426"/>
      <c r="I65" s="423">
        <f t="shared" si="48"/>
        <v>6175231.7199999997</v>
      </c>
      <c r="J65" s="423">
        <v>200000</v>
      </c>
      <c r="K65" s="423">
        <v>0.2</v>
      </c>
      <c r="L65" s="423">
        <f t="shared" si="49"/>
        <v>1235046.344</v>
      </c>
      <c r="M65" s="423">
        <f t="shared" si="50"/>
        <v>1435046.344</v>
      </c>
      <c r="N65" s="423">
        <f t="shared" si="51"/>
        <v>1846805.6240000001</v>
      </c>
      <c r="O65" s="423">
        <f t="shared" si="52"/>
        <v>4740185.3760000002</v>
      </c>
      <c r="P65" s="423">
        <f t="shared" si="53"/>
        <v>21000</v>
      </c>
      <c r="Q65" s="423">
        <f t="shared" si="54"/>
        <v>33000</v>
      </c>
      <c r="R65" s="423">
        <f t="shared" si="55"/>
        <v>75000</v>
      </c>
      <c r="S65" s="423">
        <f t="shared" si="56"/>
        <v>95000</v>
      </c>
      <c r="T65" s="423">
        <f t="shared" si="57"/>
        <v>336000</v>
      </c>
      <c r="U65" s="423">
        <f t="shared" si="58"/>
        <v>369644.490240001</v>
      </c>
      <c r="V65" s="423">
        <f t="shared" si="59"/>
        <v>929644.490240001</v>
      </c>
      <c r="W65" s="430">
        <v>12</v>
      </c>
      <c r="X65" s="423">
        <f t="shared" si="60"/>
        <v>77470.374186666697</v>
      </c>
      <c r="Y65" s="426"/>
      <c r="Z65" s="423">
        <f t="shared" si="61"/>
        <v>77470.374186666697</v>
      </c>
      <c r="AA65" s="435">
        <v>49548.776186666699</v>
      </c>
      <c r="AB65" s="435">
        <f t="shared" si="62"/>
        <v>27921.598000000002</v>
      </c>
      <c r="AC65" s="435"/>
      <c r="AD65" s="435"/>
      <c r="AE65" s="435"/>
    </row>
    <row r="66" spans="1:31" ht="18.75">
      <c r="A66" s="420">
        <v>54</v>
      </c>
      <c r="B66" s="12" t="s">
        <v>517</v>
      </c>
      <c r="C66" s="423">
        <v>624373.75</v>
      </c>
      <c r="D66" s="422">
        <v>12</v>
      </c>
      <c r="E66" s="423">
        <f t="shared" si="47"/>
        <v>7492485</v>
      </c>
      <c r="F66" s="423"/>
      <c r="G66" s="424">
        <v>464998.8</v>
      </c>
      <c r="H66" s="426"/>
      <c r="I66" s="423">
        <f t="shared" si="48"/>
        <v>7027486.2000000002</v>
      </c>
      <c r="J66" s="423">
        <v>200000</v>
      </c>
      <c r="K66" s="423">
        <v>0.2</v>
      </c>
      <c r="L66" s="423">
        <f t="shared" si="49"/>
        <v>1405497.24</v>
      </c>
      <c r="M66" s="423">
        <f t="shared" si="50"/>
        <v>1605497.24</v>
      </c>
      <c r="N66" s="423">
        <f t="shared" si="51"/>
        <v>2070496.04</v>
      </c>
      <c r="O66" s="423">
        <f t="shared" si="52"/>
        <v>5421988.96</v>
      </c>
      <c r="P66" s="423">
        <f t="shared" si="53"/>
        <v>21000</v>
      </c>
      <c r="Q66" s="423">
        <f t="shared" si="54"/>
        <v>33000</v>
      </c>
      <c r="R66" s="423">
        <f t="shared" si="55"/>
        <v>75000</v>
      </c>
      <c r="S66" s="423">
        <f t="shared" si="56"/>
        <v>95000</v>
      </c>
      <c r="T66" s="423">
        <f t="shared" si="57"/>
        <v>336000</v>
      </c>
      <c r="U66" s="423">
        <f t="shared" si="58"/>
        <v>533277.3504</v>
      </c>
      <c r="V66" s="423">
        <f t="shared" si="59"/>
        <v>1093277.3504000001</v>
      </c>
      <c r="W66" s="430">
        <v>12</v>
      </c>
      <c r="X66" s="423">
        <f t="shared" si="60"/>
        <v>91106.445866666705</v>
      </c>
      <c r="Y66" s="426"/>
      <c r="Z66" s="423">
        <f t="shared" si="61"/>
        <v>91106.445866666705</v>
      </c>
      <c r="AA66" s="435">
        <v>46666.666666666701</v>
      </c>
      <c r="AB66" s="435">
        <f t="shared" si="62"/>
        <v>44439.779199999997</v>
      </c>
      <c r="AC66" s="435"/>
      <c r="AD66" s="435"/>
      <c r="AE66" s="435"/>
    </row>
    <row r="67" spans="1:31" ht="37.5">
      <c r="A67" s="420">
        <v>55</v>
      </c>
      <c r="B67" s="9" t="s">
        <v>136</v>
      </c>
      <c r="C67" s="423">
        <v>475703.83333333302</v>
      </c>
      <c r="D67" s="422">
        <v>12</v>
      </c>
      <c r="E67" s="423">
        <f t="shared" si="47"/>
        <v>5708446</v>
      </c>
      <c r="F67" s="423"/>
      <c r="G67" s="424">
        <v>351075.68</v>
      </c>
      <c r="H67" s="426"/>
      <c r="I67" s="423">
        <f t="shared" si="48"/>
        <v>5357370.32</v>
      </c>
      <c r="J67" s="423">
        <v>200000</v>
      </c>
      <c r="K67" s="423">
        <v>0.2</v>
      </c>
      <c r="L67" s="423">
        <f t="shared" si="49"/>
        <v>1071474.064</v>
      </c>
      <c r="M67" s="423">
        <f t="shared" si="50"/>
        <v>1271474.064</v>
      </c>
      <c r="N67" s="423">
        <f t="shared" si="51"/>
        <v>1622549.7439999999</v>
      </c>
      <c r="O67" s="423">
        <f t="shared" si="52"/>
        <v>4085896.2560000001</v>
      </c>
      <c r="P67" s="423">
        <f t="shared" si="53"/>
        <v>21000</v>
      </c>
      <c r="Q67" s="423">
        <f t="shared" si="54"/>
        <v>33000</v>
      </c>
      <c r="R67" s="423">
        <f t="shared" si="55"/>
        <v>75000</v>
      </c>
      <c r="S67" s="423">
        <f t="shared" si="56"/>
        <v>95000</v>
      </c>
      <c r="T67" s="423">
        <f t="shared" si="57"/>
        <v>336000</v>
      </c>
      <c r="U67" s="423">
        <f t="shared" si="58"/>
        <v>212615.10143999901</v>
      </c>
      <c r="V67" s="423">
        <f t="shared" si="59"/>
        <v>772615.10143999895</v>
      </c>
      <c r="W67" s="430">
        <v>12</v>
      </c>
      <c r="X67" s="423">
        <f t="shared" si="60"/>
        <v>64384.591786666599</v>
      </c>
      <c r="Y67" s="426"/>
      <c r="Z67" s="423">
        <f t="shared" si="61"/>
        <v>64384.591786666599</v>
      </c>
      <c r="AA67" s="435">
        <v>41338.951098666701</v>
      </c>
      <c r="AB67" s="435">
        <f t="shared" si="62"/>
        <v>23045.640687999901</v>
      </c>
      <c r="AC67" s="435"/>
      <c r="AD67" s="435"/>
      <c r="AE67" s="435"/>
    </row>
    <row r="68" spans="1:31" ht="18.75">
      <c r="A68" s="420">
        <v>56</v>
      </c>
      <c r="B68" s="9" t="s">
        <v>138</v>
      </c>
      <c r="C68" s="423">
        <v>475703.83333333302</v>
      </c>
      <c r="D68" s="422">
        <v>12</v>
      </c>
      <c r="E68" s="423">
        <f t="shared" si="47"/>
        <v>5708446</v>
      </c>
      <c r="F68" s="423"/>
      <c r="G68" s="424">
        <v>351075.68</v>
      </c>
      <c r="H68" s="426"/>
      <c r="I68" s="423">
        <f t="shared" si="48"/>
        <v>5357370.32</v>
      </c>
      <c r="J68" s="423">
        <v>200000</v>
      </c>
      <c r="K68" s="423">
        <v>0.2</v>
      </c>
      <c r="L68" s="423">
        <f t="shared" si="49"/>
        <v>1071474.064</v>
      </c>
      <c r="M68" s="423">
        <f t="shared" si="50"/>
        <v>1271474.064</v>
      </c>
      <c r="N68" s="423">
        <f t="shared" si="51"/>
        <v>1622549.7439999999</v>
      </c>
      <c r="O68" s="423">
        <f t="shared" si="52"/>
        <v>4085896.2560000001</v>
      </c>
      <c r="P68" s="423">
        <f t="shared" si="53"/>
        <v>21000</v>
      </c>
      <c r="Q68" s="423">
        <f t="shared" si="54"/>
        <v>33000</v>
      </c>
      <c r="R68" s="423">
        <f t="shared" si="55"/>
        <v>75000</v>
      </c>
      <c r="S68" s="423">
        <f t="shared" si="56"/>
        <v>95000</v>
      </c>
      <c r="T68" s="423">
        <f t="shared" si="57"/>
        <v>336000</v>
      </c>
      <c r="U68" s="423">
        <f t="shared" si="58"/>
        <v>212615.10143999901</v>
      </c>
      <c r="V68" s="423">
        <f t="shared" si="59"/>
        <v>772615.10143999895</v>
      </c>
      <c r="W68" s="430">
        <v>12</v>
      </c>
      <c r="X68" s="423">
        <f t="shared" si="60"/>
        <v>64384.591786666599</v>
      </c>
      <c r="Y68" s="426"/>
      <c r="Z68" s="423">
        <f t="shared" si="61"/>
        <v>64384.591786666599</v>
      </c>
      <c r="AA68" s="435">
        <v>41338.951098666701</v>
      </c>
      <c r="AB68" s="435">
        <f t="shared" si="62"/>
        <v>23045.640687999901</v>
      </c>
      <c r="AC68" s="435"/>
      <c r="AD68" s="435"/>
      <c r="AE68" s="435"/>
    </row>
    <row r="69" spans="1:31" ht="18.75">
      <c r="A69" s="420">
        <v>57</v>
      </c>
      <c r="B69" s="9" t="s">
        <v>139</v>
      </c>
      <c r="C69" s="423">
        <v>475703.83333333302</v>
      </c>
      <c r="D69" s="422">
        <v>12</v>
      </c>
      <c r="E69" s="423">
        <f t="shared" si="47"/>
        <v>5708446</v>
      </c>
      <c r="F69" s="423"/>
      <c r="G69" s="424">
        <v>351075.68</v>
      </c>
      <c r="H69" s="426"/>
      <c r="I69" s="423">
        <f t="shared" si="48"/>
        <v>5357370.32</v>
      </c>
      <c r="J69" s="423">
        <v>200000</v>
      </c>
      <c r="K69" s="423">
        <v>0.2</v>
      </c>
      <c r="L69" s="423">
        <f t="shared" si="49"/>
        <v>1071474.064</v>
      </c>
      <c r="M69" s="423">
        <f t="shared" si="50"/>
        <v>1271474.064</v>
      </c>
      <c r="N69" s="423">
        <f t="shared" si="51"/>
        <v>1622549.7439999999</v>
      </c>
      <c r="O69" s="423">
        <f t="shared" si="52"/>
        <v>4085896.2560000001</v>
      </c>
      <c r="P69" s="423">
        <f t="shared" si="53"/>
        <v>21000</v>
      </c>
      <c r="Q69" s="423">
        <f t="shared" si="54"/>
        <v>33000</v>
      </c>
      <c r="R69" s="423">
        <f t="shared" si="55"/>
        <v>75000</v>
      </c>
      <c r="S69" s="423">
        <f t="shared" si="56"/>
        <v>95000</v>
      </c>
      <c r="T69" s="423">
        <f t="shared" si="57"/>
        <v>336000</v>
      </c>
      <c r="U69" s="423">
        <f t="shared" si="58"/>
        <v>212615.10143999901</v>
      </c>
      <c r="V69" s="423">
        <f t="shared" si="59"/>
        <v>772615.10143999895</v>
      </c>
      <c r="W69" s="430">
        <v>12</v>
      </c>
      <c r="X69" s="423">
        <f t="shared" si="60"/>
        <v>64384.591786666599</v>
      </c>
      <c r="Y69" s="426"/>
      <c r="Z69" s="423">
        <f t="shared" si="61"/>
        <v>64384.591786666599</v>
      </c>
      <c r="AA69" s="435">
        <v>41338.951098666701</v>
      </c>
      <c r="AB69" s="435">
        <f t="shared" si="62"/>
        <v>23045.640687999901</v>
      </c>
      <c r="AC69" s="435"/>
      <c r="AD69" s="435"/>
      <c r="AE69" s="435"/>
    </row>
    <row r="70" spans="1:31" ht="18.75">
      <c r="A70" s="420">
        <v>58</v>
      </c>
      <c r="B70" s="9" t="s">
        <v>140</v>
      </c>
      <c r="C70" s="423">
        <v>487895.16666666698</v>
      </c>
      <c r="D70" s="422">
        <v>12</v>
      </c>
      <c r="E70" s="423">
        <f t="shared" si="47"/>
        <v>5854742</v>
      </c>
      <c r="F70" s="423"/>
      <c r="G70" s="424">
        <v>362779.36</v>
      </c>
      <c r="H70" s="426"/>
      <c r="I70" s="423">
        <f t="shared" si="48"/>
        <v>5491962.6399999997</v>
      </c>
      <c r="J70" s="423">
        <v>200000</v>
      </c>
      <c r="K70" s="423">
        <v>0.2</v>
      </c>
      <c r="L70" s="423">
        <f t="shared" si="49"/>
        <v>1098392.5279999999</v>
      </c>
      <c r="M70" s="423">
        <f t="shared" si="50"/>
        <v>1298392.5279999999</v>
      </c>
      <c r="N70" s="423">
        <f t="shared" si="51"/>
        <v>1661171.888</v>
      </c>
      <c r="O70" s="423">
        <f t="shared" si="52"/>
        <v>4193570.1120000002</v>
      </c>
      <c r="P70" s="423">
        <f t="shared" si="53"/>
        <v>21000</v>
      </c>
      <c r="Q70" s="423">
        <f t="shared" si="54"/>
        <v>33000</v>
      </c>
      <c r="R70" s="423">
        <f t="shared" si="55"/>
        <v>75000</v>
      </c>
      <c r="S70" s="423">
        <f t="shared" si="56"/>
        <v>95000</v>
      </c>
      <c r="T70" s="423">
        <f t="shared" si="57"/>
        <v>336000</v>
      </c>
      <c r="U70" s="423">
        <f t="shared" si="58"/>
        <v>238456.826880001</v>
      </c>
      <c r="V70" s="423">
        <f t="shared" si="59"/>
        <v>798456.826880001</v>
      </c>
      <c r="W70" s="430">
        <v>12</v>
      </c>
      <c r="X70" s="423">
        <f t="shared" si="60"/>
        <v>66538.068906666696</v>
      </c>
      <c r="Y70" s="426"/>
      <c r="Z70" s="423">
        <f t="shared" si="61"/>
        <v>66538.068906666696</v>
      </c>
      <c r="AA70" s="435">
        <v>43368.882414666703</v>
      </c>
      <c r="AB70" s="435">
        <f t="shared" si="62"/>
        <v>23169.186492000001</v>
      </c>
      <c r="AC70" s="435"/>
      <c r="AD70" s="435"/>
      <c r="AE70" s="435"/>
    </row>
    <row r="71" spans="1:31" ht="18.75">
      <c r="A71" s="420">
        <v>59</v>
      </c>
      <c r="B71" s="9" t="s">
        <v>142</v>
      </c>
      <c r="C71" s="423">
        <v>400965.58333333302</v>
      </c>
      <c r="D71" s="422">
        <v>12</v>
      </c>
      <c r="E71" s="423">
        <f t="shared" si="47"/>
        <v>4811587</v>
      </c>
      <c r="F71" s="423"/>
      <c r="G71" s="428">
        <v>288926.96000000002</v>
      </c>
      <c r="H71" s="426"/>
      <c r="I71" s="423">
        <f t="shared" si="48"/>
        <v>4522660.04</v>
      </c>
      <c r="J71" s="423">
        <v>200000</v>
      </c>
      <c r="K71" s="423">
        <v>0.2</v>
      </c>
      <c r="L71" s="423">
        <f t="shared" si="49"/>
        <v>904532.00799999898</v>
      </c>
      <c r="M71" s="423">
        <f t="shared" si="50"/>
        <v>1104532.0079999999</v>
      </c>
      <c r="N71" s="423">
        <f t="shared" si="51"/>
        <v>1393458.9680000001</v>
      </c>
      <c r="O71" s="423">
        <f t="shared" si="52"/>
        <v>3418128.0320000001</v>
      </c>
      <c r="P71" s="423">
        <f t="shared" si="53"/>
        <v>21000</v>
      </c>
      <c r="Q71" s="423">
        <f t="shared" si="54"/>
        <v>33000</v>
      </c>
      <c r="R71" s="423">
        <f t="shared" si="55"/>
        <v>75000</v>
      </c>
      <c r="S71" s="423">
        <f t="shared" si="56"/>
        <v>95000</v>
      </c>
      <c r="T71" s="423">
        <f t="shared" si="57"/>
        <v>336000</v>
      </c>
      <c r="U71" s="423">
        <f t="shared" si="58"/>
        <v>52350.727679999203</v>
      </c>
      <c r="V71" s="423">
        <f t="shared" si="59"/>
        <v>612350.72767999896</v>
      </c>
      <c r="W71" s="430">
        <v>12</v>
      </c>
      <c r="X71" s="423">
        <f t="shared" si="60"/>
        <v>51029.227306666602</v>
      </c>
      <c r="Y71" s="426"/>
      <c r="Z71" s="423">
        <f t="shared" si="61"/>
        <v>51029.227306666602</v>
      </c>
      <c r="AA71" s="435">
        <v>33825.986562666702</v>
      </c>
      <c r="AB71" s="435">
        <f t="shared" si="62"/>
        <v>17203.240743999901</v>
      </c>
      <c r="AC71" s="435"/>
      <c r="AD71" s="435"/>
      <c r="AE71" s="435"/>
    </row>
    <row r="72" spans="1:31" ht="18.75">
      <c r="A72" s="420">
        <v>60</v>
      </c>
      <c r="B72" s="18"/>
      <c r="C72" s="423"/>
      <c r="D72" s="422"/>
      <c r="E72" s="423"/>
      <c r="F72" s="423"/>
      <c r="G72" s="426"/>
      <c r="H72" s="426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30"/>
      <c r="X72" s="423"/>
      <c r="Y72" s="426"/>
      <c r="Z72" s="423"/>
      <c r="AA72" s="435"/>
      <c r="AB72" s="435"/>
      <c r="AC72" s="435"/>
      <c r="AD72" s="435"/>
      <c r="AE72" s="435"/>
    </row>
    <row r="73" spans="1:31" ht="18.75">
      <c r="A73" s="420">
        <v>61</v>
      </c>
      <c r="B73" s="20"/>
      <c r="C73" s="423"/>
      <c r="D73" s="422"/>
      <c r="E73" s="423"/>
      <c r="F73" s="423"/>
      <c r="G73" s="426"/>
      <c r="H73" s="426"/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30"/>
      <c r="X73" s="423"/>
      <c r="Y73" s="426"/>
      <c r="Z73" s="423"/>
      <c r="AA73" s="435"/>
      <c r="AB73" s="435"/>
      <c r="AC73" s="435"/>
      <c r="AD73" s="435"/>
      <c r="AE73" s="435"/>
    </row>
    <row r="74" spans="1:31" ht="18.75">
      <c r="A74" s="420"/>
      <c r="B74" s="18" t="s">
        <v>143</v>
      </c>
      <c r="C74" s="423"/>
      <c r="D74" s="422"/>
      <c r="E74" s="423"/>
      <c r="F74" s="423"/>
      <c r="G74" s="426"/>
      <c r="H74" s="426"/>
      <c r="I74" s="423"/>
      <c r="J74" s="423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30"/>
      <c r="X74" s="423"/>
      <c r="Y74" s="426"/>
      <c r="Z74" s="423"/>
      <c r="AA74" s="435"/>
      <c r="AB74" s="435"/>
      <c r="AC74" s="435"/>
      <c r="AD74" s="435"/>
      <c r="AE74" s="435"/>
    </row>
    <row r="75" spans="1:31" ht="18.75">
      <c r="A75" s="420"/>
      <c r="B75" s="9" t="s">
        <v>144</v>
      </c>
      <c r="C75" s="423">
        <v>1635720</v>
      </c>
      <c r="D75" s="422">
        <v>12</v>
      </c>
      <c r="E75" s="423">
        <f t="shared" ref="E75:E81" si="63">C75*D75</f>
        <v>19628640</v>
      </c>
      <c r="F75" s="423"/>
      <c r="G75" s="424">
        <v>1378291.2</v>
      </c>
      <c r="H75" s="426"/>
      <c r="I75" s="423">
        <f t="shared" ref="I75:I81" si="64">E75-F75-G75-H75</f>
        <v>18250348.800000001</v>
      </c>
      <c r="J75" s="423">
        <v>200000</v>
      </c>
      <c r="K75" s="423">
        <v>0.2</v>
      </c>
      <c r="L75" s="423">
        <f t="shared" ref="L75:L81" si="65">I75*K75</f>
        <v>3650069.76</v>
      </c>
      <c r="M75" s="423">
        <f t="shared" ref="M75:M81" si="66">J75+L75</f>
        <v>3850069.76</v>
      </c>
      <c r="N75" s="423">
        <f t="shared" ref="N75:N81" si="67">F75+G75+H75+M75</f>
        <v>5228360.96</v>
      </c>
      <c r="O75" s="423">
        <f t="shared" ref="O75:O81" si="68">E75-N75</f>
        <v>14400279.039999999</v>
      </c>
      <c r="P75" s="423">
        <f t="shared" ref="P75:P81" si="69">IF(O75&lt;300000,0.07*O75,21000)</f>
        <v>21000</v>
      </c>
      <c r="Q75" s="423">
        <f t="shared" ref="Q75:Q81" si="70">IF((O75-300000)&lt;0,0,IF((O75-300000)&lt;300000,0.11*(O75-300000),33000))</f>
        <v>33000</v>
      </c>
      <c r="R75" s="423">
        <f t="shared" ref="R75:R81" si="71">IF((O75-600000)&lt;0,0,IF((O75-600000)&lt;500000,0.15*(O75-600000),75000))</f>
        <v>75000</v>
      </c>
      <c r="S75" s="423">
        <f t="shared" ref="S75:S81" si="72">IF((O75-1100000)&lt;0,0,IF((O75-1100000)&lt;500000,0.19*(O75-1100000),95000))</f>
        <v>95000</v>
      </c>
      <c r="T75" s="423">
        <f t="shared" ref="T75:T81" si="73">IF((O75-1600000)&lt;0,0,IF((O75-1600000)&lt;1600000,0.21*(O75-1600000),336000))</f>
        <v>336000</v>
      </c>
      <c r="U75" s="423">
        <f t="shared" ref="U75:U78" si="74">24%*(O75-3200000)</f>
        <v>2688066.9696</v>
      </c>
      <c r="V75" s="423">
        <f t="shared" ref="V75:V81" si="75">P75+Q75+R75+S75+T75+U75</f>
        <v>3248066.9696</v>
      </c>
      <c r="W75" s="430">
        <v>12</v>
      </c>
      <c r="X75" s="423">
        <f t="shared" ref="X75:X81" si="76">V75/W75</f>
        <v>270672.24746666697</v>
      </c>
      <c r="Y75" s="426"/>
      <c r="Z75" s="423">
        <f t="shared" ref="Z75:Z81" si="77">X75</f>
        <v>270672.24746666697</v>
      </c>
      <c r="AA75" s="435">
        <v>180306.806858667</v>
      </c>
      <c r="AB75" s="435">
        <f t="shared" ref="AB75:AB81" si="78">Z75-AA75</f>
        <v>90365.440607999597</v>
      </c>
      <c r="AC75" s="435"/>
      <c r="AD75" s="435"/>
      <c r="AE75" s="435"/>
    </row>
    <row r="76" spans="1:31" ht="18.75">
      <c r="A76" s="420">
        <v>62</v>
      </c>
      <c r="B76" s="12" t="s">
        <v>518</v>
      </c>
      <c r="C76" s="423">
        <v>761396.83333333302</v>
      </c>
      <c r="D76" s="422">
        <v>12</v>
      </c>
      <c r="E76" s="423">
        <f t="shared" si="63"/>
        <v>9136762</v>
      </c>
      <c r="F76" s="423"/>
      <c r="G76" s="424">
        <v>0</v>
      </c>
      <c r="H76" s="426"/>
      <c r="I76" s="423">
        <f t="shared" si="64"/>
        <v>9136762</v>
      </c>
      <c r="J76" s="423">
        <v>200000</v>
      </c>
      <c r="K76" s="423">
        <v>0.2</v>
      </c>
      <c r="L76" s="423">
        <f t="shared" si="65"/>
        <v>1827352.4</v>
      </c>
      <c r="M76" s="423">
        <f t="shared" si="66"/>
        <v>2027352.4</v>
      </c>
      <c r="N76" s="423">
        <f t="shared" si="67"/>
        <v>2027352.4</v>
      </c>
      <c r="O76" s="423">
        <f t="shared" si="68"/>
        <v>7109409.5999999996</v>
      </c>
      <c r="P76" s="423">
        <f t="shared" si="69"/>
        <v>21000</v>
      </c>
      <c r="Q76" s="423">
        <f t="shared" si="70"/>
        <v>33000</v>
      </c>
      <c r="R76" s="423">
        <f t="shared" si="71"/>
        <v>75000</v>
      </c>
      <c r="S76" s="423">
        <f t="shared" si="72"/>
        <v>95000</v>
      </c>
      <c r="T76" s="423">
        <f t="shared" si="73"/>
        <v>336000</v>
      </c>
      <c r="U76" s="423">
        <f t="shared" si="74"/>
        <v>938258.30399999896</v>
      </c>
      <c r="V76" s="423">
        <f t="shared" si="75"/>
        <v>1498258.304</v>
      </c>
      <c r="W76" s="430">
        <v>12</v>
      </c>
      <c r="X76" s="423">
        <f t="shared" si="76"/>
        <v>124854.858666667</v>
      </c>
      <c r="Y76" s="426"/>
      <c r="Z76" s="423">
        <f t="shared" si="77"/>
        <v>124854.858666667</v>
      </c>
      <c r="AA76" s="435">
        <v>77764.980266666695</v>
      </c>
      <c r="AB76" s="435">
        <f t="shared" si="78"/>
        <v>47089.8783999999</v>
      </c>
      <c r="AC76" s="435"/>
      <c r="AD76" s="435"/>
      <c r="AE76" s="435"/>
    </row>
    <row r="77" spans="1:31" ht="37.5">
      <c r="A77" s="420">
        <v>63</v>
      </c>
      <c r="B77" s="16" t="s">
        <v>519</v>
      </c>
      <c r="C77" s="423">
        <f>700675.583333333+80000</f>
        <v>780675.58333333302</v>
      </c>
      <c r="D77" s="422">
        <v>12</v>
      </c>
      <c r="E77" s="423">
        <f t="shared" si="63"/>
        <v>9368107</v>
      </c>
      <c r="F77" s="423"/>
      <c r="G77" s="424">
        <v>0</v>
      </c>
      <c r="H77" s="426"/>
      <c r="I77" s="423">
        <f t="shared" si="64"/>
        <v>9368107</v>
      </c>
      <c r="J77" s="423">
        <v>200000</v>
      </c>
      <c r="K77" s="423">
        <v>0.2</v>
      </c>
      <c r="L77" s="423">
        <f t="shared" si="65"/>
        <v>1873621.4</v>
      </c>
      <c r="M77" s="423">
        <f t="shared" si="66"/>
        <v>2073621.4</v>
      </c>
      <c r="N77" s="423">
        <f t="shared" si="67"/>
        <v>2073621.4</v>
      </c>
      <c r="O77" s="423">
        <f t="shared" si="68"/>
        <v>7294485.5999999996</v>
      </c>
      <c r="P77" s="423">
        <f t="shared" si="69"/>
        <v>21000</v>
      </c>
      <c r="Q77" s="423">
        <f t="shared" si="70"/>
        <v>33000</v>
      </c>
      <c r="R77" s="423">
        <f t="shared" si="71"/>
        <v>75000</v>
      </c>
      <c r="S77" s="423">
        <f t="shared" si="72"/>
        <v>95000</v>
      </c>
      <c r="T77" s="423">
        <f t="shared" si="73"/>
        <v>336000</v>
      </c>
      <c r="U77" s="423">
        <f t="shared" si="74"/>
        <v>982676.54399999895</v>
      </c>
      <c r="V77" s="423">
        <f t="shared" si="75"/>
        <v>1542676.544</v>
      </c>
      <c r="W77" s="430">
        <v>12</v>
      </c>
      <c r="X77" s="423">
        <f t="shared" si="76"/>
        <v>128556.37866666701</v>
      </c>
      <c r="Y77" s="426"/>
      <c r="Z77" s="423">
        <f t="shared" si="77"/>
        <v>128556.37866666701</v>
      </c>
      <c r="AA77" s="435">
        <v>64596.9391466667</v>
      </c>
      <c r="AB77" s="435">
        <f t="shared" si="78"/>
        <v>63959.439519999898</v>
      </c>
      <c r="AC77" s="435"/>
      <c r="AD77" s="435"/>
      <c r="AE77" s="435"/>
    </row>
    <row r="78" spans="1:31" ht="18.75">
      <c r="A78" s="420">
        <v>64</v>
      </c>
      <c r="B78" s="9" t="s">
        <v>148</v>
      </c>
      <c r="C78" s="423">
        <v>596622.25</v>
      </c>
      <c r="D78" s="422">
        <v>12</v>
      </c>
      <c r="E78" s="423">
        <f t="shared" si="63"/>
        <v>7159467</v>
      </c>
      <c r="F78" s="423">
        <f>'[6]JANUARY 2024'!$V$78*12</f>
        <v>8019.7950000000001</v>
      </c>
      <c r="G78" s="424">
        <v>438357.36</v>
      </c>
      <c r="H78" s="426"/>
      <c r="I78" s="423">
        <f t="shared" si="64"/>
        <v>6713089.8449999997</v>
      </c>
      <c r="J78" s="423">
        <v>200000</v>
      </c>
      <c r="K78" s="423">
        <v>0.2</v>
      </c>
      <c r="L78" s="423">
        <f t="shared" si="65"/>
        <v>1342617.969</v>
      </c>
      <c r="M78" s="423">
        <f t="shared" si="66"/>
        <v>1542617.969</v>
      </c>
      <c r="N78" s="423">
        <f t="shared" si="67"/>
        <v>1988995.1240000001</v>
      </c>
      <c r="O78" s="423">
        <f t="shared" si="68"/>
        <v>5170471.8760000002</v>
      </c>
      <c r="P78" s="423">
        <f t="shared" si="69"/>
        <v>21000</v>
      </c>
      <c r="Q78" s="423">
        <f t="shared" si="70"/>
        <v>33000</v>
      </c>
      <c r="R78" s="423">
        <f t="shared" si="71"/>
        <v>75000</v>
      </c>
      <c r="S78" s="423">
        <f t="shared" si="72"/>
        <v>95000</v>
      </c>
      <c r="T78" s="423">
        <f t="shared" si="73"/>
        <v>336000</v>
      </c>
      <c r="U78" s="423">
        <f t="shared" si="74"/>
        <v>472913.25024000002</v>
      </c>
      <c r="V78" s="423">
        <f t="shared" si="75"/>
        <v>1032913.25024</v>
      </c>
      <c r="W78" s="430">
        <v>12</v>
      </c>
      <c r="X78" s="423">
        <f t="shared" si="76"/>
        <v>86076.104186666664</v>
      </c>
      <c r="Y78" s="426"/>
      <c r="Z78" s="423">
        <f t="shared" si="77"/>
        <v>86076.104186666664</v>
      </c>
      <c r="AA78" s="435">
        <v>56350.586186666696</v>
      </c>
      <c r="AB78" s="435">
        <f t="shared" si="78"/>
        <v>29725.517999999967</v>
      </c>
      <c r="AC78" s="435"/>
      <c r="AD78" s="435"/>
      <c r="AE78" s="435"/>
    </row>
    <row r="79" spans="1:31" ht="18.75">
      <c r="A79" s="420">
        <v>65</v>
      </c>
      <c r="B79" s="9" t="s">
        <v>151</v>
      </c>
      <c r="C79" s="423">
        <v>408901.5</v>
      </c>
      <c r="D79" s="422">
        <v>12</v>
      </c>
      <c r="E79" s="423">
        <f t="shared" si="63"/>
        <v>4906818</v>
      </c>
      <c r="F79" s="423"/>
      <c r="G79" s="424">
        <v>296545.44</v>
      </c>
      <c r="H79" s="426"/>
      <c r="I79" s="423">
        <f t="shared" si="64"/>
        <v>4610272.5599999996</v>
      </c>
      <c r="J79" s="423">
        <v>200000</v>
      </c>
      <c r="K79" s="423">
        <v>0.2</v>
      </c>
      <c r="L79" s="423">
        <f t="shared" si="65"/>
        <v>922054.51199999999</v>
      </c>
      <c r="M79" s="423">
        <f t="shared" si="66"/>
        <v>1122054.5120000001</v>
      </c>
      <c r="N79" s="423">
        <f t="shared" si="67"/>
        <v>1418599.952</v>
      </c>
      <c r="O79" s="423">
        <f t="shared" si="68"/>
        <v>3488218.048</v>
      </c>
      <c r="P79" s="423">
        <f t="shared" si="69"/>
        <v>21000</v>
      </c>
      <c r="Q79" s="423">
        <f t="shared" si="70"/>
        <v>33000</v>
      </c>
      <c r="R79" s="423">
        <f t="shared" si="71"/>
        <v>75000</v>
      </c>
      <c r="S79" s="423">
        <f t="shared" si="72"/>
        <v>95000</v>
      </c>
      <c r="T79" s="423">
        <f t="shared" si="73"/>
        <v>336000</v>
      </c>
      <c r="U79" s="423">
        <f>0.24*(O79-3200000)</f>
        <v>69172.331520000007</v>
      </c>
      <c r="V79" s="423">
        <f t="shared" si="75"/>
        <v>629172.33152000001</v>
      </c>
      <c r="W79" s="430">
        <v>12</v>
      </c>
      <c r="X79" s="423">
        <f t="shared" si="76"/>
        <v>52431.027626666699</v>
      </c>
      <c r="Y79" s="426"/>
      <c r="Z79" s="423">
        <f t="shared" si="77"/>
        <v>52431.027626666699</v>
      </c>
      <c r="AA79" s="435">
        <v>17507.548966666702</v>
      </c>
      <c r="AB79" s="435">
        <f t="shared" si="78"/>
        <v>34923.478660000001</v>
      </c>
      <c r="AC79" s="435"/>
      <c r="AD79" s="435"/>
      <c r="AE79" s="435"/>
    </row>
    <row r="80" spans="1:31" ht="24.75" customHeight="1">
      <c r="A80" s="420"/>
      <c r="B80" s="9" t="s">
        <v>153</v>
      </c>
      <c r="C80" s="423">
        <v>363165.33333333302</v>
      </c>
      <c r="D80" s="422">
        <v>12</v>
      </c>
      <c r="E80" s="423">
        <f t="shared" si="63"/>
        <v>4357984</v>
      </c>
      <c r="F80" s="423"/>
      <c r="G80" s="424">
        <v>252638.72</v>
      </c>
      <c r="H80" s="426"/>
      <c r="I80" s="423">
        <f t="shared" si="64"/>
        <v>4105345.28</v>
      </c>
      <c r="J80" s="423">
        <v>200000</v>
      </c>
      <c r="K80" s="423">
        <v>0.2</v>
      </c>
      <c r="L80" s="423">
        <f t="shared" si="65"/>
        <v>821069.05599999905</v>
      </c>
      <c r="M80" s="423">
        <f t="shared" si="66"/>
        <v>1021069.056</v>
      </c>
      <c r="N80" s="423">
        <f t="shared" si="67"/>
        <v>1273707.7760000001</v>
      </c>
      <c r="O80" s="423">
        <f t="shared" si="68"/>
        <v>3084276.2239999999</v>
      </c>
      <c r="P80" s="423">
        <f t="shared" si="69"/>
        <v>21000</v>
      </c>
      <c r="Q80" s="423">
        <f t="shared" si="70"/>
        <v>33000</v>
      </c>
      <c r="R80" s="423">
        <f t="shared" si="71"/>
        <v>75000</v>
      </c>
      <c r="S80" s="423">
        <f t="shared" si="72"/>
        <v>95000</v>
      </c>
      <c r="T80" s="423">
        <f t="shared" si="73"/>
        <v>311698.00703999901</v>
      </c>
      <c r="U80" s="423"/>
      <c r="V80" s="423">
        <f t="shared" si="75"/>
        <v>535698.00703999901</v>
      </c>
      <c r="W80" s="430">
        <v>12</v>
      </c>
      <c r="X80" s="423">
        <f t="shared" si="76"/>
        <v>44641.500586666603</v>
      </c>
      <c r="Y80" s="426"/>
      <c r="Z80" s="423">
        <f t="shared" si="77"/>
        <v>44641.500586666603</v>
      </c>
      <c r="AA80" s="435">
        <v>29058.4826046667</v>
      </c>
      <c r="AB80" s="435">
        <f t="shared" si="78"/>
        <v>15583.017981999899</v>
      </c>
      <c r="AC80" s="435"/>
      <c r="AD80" s="435"/>
      <c r="AE80" s="435"/>
    </row>
    <row r="81" spans="1:31" ht="18.75">
      <c r="A81" s="420"/>
      <c r="B81" s="9" t="s">
        <v>155</v>
      </c>
      <c r="C81" s="423">
        <v>324459.75</v>
      </c>
      <c r="D81" s="422">
        <v>12</v>
      </c>
      <c r="E81" s="423">
        <f t="shared" si="63"/>
        <v>3893517</v>
      </c>
      <c r="F81" s="423"/>
      <c r="G81" s="424">
        <v>215481.36</v>
      </c>
      <c r="H81" s="426"/>
      <c r="I81" s="423">
        <f t="shared" si="64"/>
        <v>3678035.64</v>
      </c>
      <c r="J81" s="423">
        <v>200000</v>
      </c>
      <c r="K81" s="423">
        <v>0.2</v>
      </c>
      <c r="L81" s="423">
        <f t="shared" si="65"/>
        <v>735607.12800000003</v>
      </c>
      <c r="M81" s="423">
        <f t="shared" si="66"/>
        <v>935607.12800000003</v>
      </c>
      <c r="N81" s="423">
        <f t="shared" si="67"/>
        <v>1151088.4879999999</v>
      </c>
      <c r="O81" s="423">
        <f t="shared" si="68"/>
        <v>2742428.5120000001</v>
      </c>
      <c r="P81" s="423">
        <f t="shared" si="69"/>
        <v>21000</v>
      </c>
      <c r="Q81" s="423">
        <f t="shared" si="70"/>
        <v>33000</v>
      </c>
      <c r="R81" s="423">
        <f t="shared" si="71"/>
        <v>75000</v>
      </c>
      <c r="S81" s="423">
        <f t="shared" si="72"/>
        <v>95000</v>
      </c>
      <c r="T81" s="423">
        <f t="shared" si="73"/>
        <v>239909.98752</v>
      </c>
      <c r="U81" s="423"/>
      <c r="V81" s="423">
        <f t="shared" si="75"/>
        <v>463909.98752000002</v>
      </c>
      <c r="W81" s="430">
        <v>12</v>
      </c>
      <c r="X81" s="423">
        <f t="shared" si="76"/>
        <v>38659.165626666698</v>
      </c>
      <c r="Y81" s="426"/>
      <c r="Z81" s="423">
        <f t="shared" si="77"/>
        <v>38659.165626666698</v>
      </c>
      <c r="AA81" s="435">
        <v>24751.170462666701</v>
      </c>
      <c r="AB81" s="435">
        <f t="shared" si="78"/>
        <v>13907.995164</v>
      </c>
      <c r="AC81" s="435"/>
      <c r="AD81" s="435"/>
      <c r="AE81" s="435"/>
    </row>
    <row r="82" spans="1:31" ht="18.75">
      <c r="A82" s="420"/>
      <c r="B82" s="18" t="s">
        <v>96</v>
      </c>
      <c r="C82" s="423"/>
      <c r="D82" s="422"/>
      <c r="E82" s="423"/>
      <c r="F82" s="423"/>
      <c r="G82" s="426"/>
      <c r="H82" s="426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30"/>
      <c r="X82" s="423"/>
      <c r="Y82" s="426"/>
      <c r="Z82" s="423"/>
      <c r="AA82" s="435"/>
      <c r="AB82" s="435"/>
      <c r="AC82" s="435"/>
      <c r="AD82" s="435"/>
      <c r="AE82" s="435"/>
    </row>
    <row r="83" spans="1:31" ht="18.75">
      <c r="A83" s="420">
        <v>66</v>
      </c>
      <c r="B83" s="18"/>
      <c r="C83" s="423"/>
      <c r="D83" s="422"/>
      <c r="E83" s="423"/>
      <c r="F83" s="423"/>
      <c r="G83" s="426"/>
      <c r="H83" s="426"/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30"/>
      <c r="X83" s="423"/>
      <c r="Y83" s="426"/>
      <c r="Z83" s="423"/>
      <c r="AA83" s="435"/>
      <c r="AB83" s="435"/>
      <c r="AC83" s="435"/>
      <c r="AD83" s="435"/>
      <c r="AE83" s="435"/>
    </row>
    <row r="84" spans="1:31" ht="37.5">
      <c r="A84" s="420">
        <v>67</v>
      </c>
      <c r="B84" s="18" t="s">
        <v>157</v>
      </c>
      <c r="C84" s="423"/>
      <c r="AB84" s="258" t="s">
        <v>520</v>
      </c>
      <c r="AC84" s="435"/>
      <c r="AD84" s="435"/>
      <c r="AE84" s="435"/>
    </row>
    <row r="85" spans="1:31" ht="18.75">
      <c r="A85" s="420">
        <v>68</v>
      </c>
      <c r="B85" s="9" t="s">
        <v>158</v>
      </c>
      <c r="C85" s="423">
        <f>880675.583333333+100000</f>
        <v>980675.58333333302</v>
      </c>
      <c r="D85" s="422">
        <v>12</v>
      </c>
      <c r="E85" s="423">
        <f t="shared" ref="E85:E94" si="79">C85*D85</f>
        <v>11768107</v>
      </c>
      <c r="F85" s="423"/>
      <c r="G85" s="424">
        <v>595848.56000000006</v>
      </c>
      <c r="H85" s="426"/>
      <c r="I85" s="423">
        <f t="shared" ref="I85:I94" si="80">E85-F85-G85-H85</f>
        <v>11172258.439999999</v>
      </c>
      <c r="J85" s="423">
        <v>200000</v>
      </c>
      <c r="K85" s="423">
        <v>0.2</v>
      </c>
      <c r="L85" s="423">
        <f t="shared" ref="L85:L94" si="81">I85*K85</f>
        <v>2234451.6880000001</v>
      </c>
      <c r="M85" s="423">
        <f t="shared" ref="M85:M94" si="82">J85+L85</f>
        <v>2434451.6880000001</v>
      </c>
      <c r="N85" s="423">
        <f t="shared" ref="N85:N94" si="83">F85+G85+H85+M85</f>
        <v>3030300.2480000001</v>
      </c>
      <c r="O85" s="423">
        <f t="shared" ref="O85:O94" si="84">E85-N85</f>
        <v>8737806.7520000003</v>
      </c>
      <c r="P85" s="423">
        <f t="shared" ref="P85:P94" si="85">IF(O85&lt;300000,0.07*O85,21000)</f>
        <v>21000</v>
      </c>
      <c r="Q85" s="423">
        <f t="shared" ref="Q85:Q94" si="86">IF((O85-300000)&lt;0,0,IF((O85-300000)&lt;300000,0.11*(O85-300000),33000))</f>
        <v>33000</v>
      </c>
      <c r="R85" s="423">
        <f t="shared" ref="R85:R94" si="87">IF((O85-600000)&lt;0,0,IF((O85-600000)&lt;500000,0.15*(O85-600000),75000))</f>
        <v>75000</v>
      </c>
      <c r="S85" s="423">
        <f t="shared" ref="S85:S94" si="88">IF((O85-1100000)&lt;0,0,IF((O85-1100000)&lt;500000,0.19*(O85-1100000),95000))</f>
        <v>95000</v>
      </c>
      <c r="T85" s="423">
        <f t="shared" ref="T85:T94" si="89">IF((O85-1600000)&lt;0,0,IF((O85-1600000)&lt;1600000,0.21*(O85-1600000),336000))</f>
        <v>336000</v>
      </c>
      <c r="U85" s="423">
        <f t="shared" ref="U85:U93" si="90">24%*(O85-3200000)</f>
        <v>1329073.62048</v>
      </c>
      <c r="V85" s="423">
        <f t="shared" ref="V85:V94" si="91">P85+Q85+R85+S85+T85+U85</f>
        <v>1889073.62048</v>
      </c>
      <c r="W85" s="430">
        <v>12</v>
      </c>
      <c r="X85" s="423">
        <f t="shared" ref="X85:X94" si="92">V85/W85</f>
        <v>157422.801706667</v>
      </c>
      <c r="Y85" s="426"/>
      <c r="Z85" s="423">
        <f t="shared" ref="Z85:Z94" si="93">X85</f>
        <v>157422.801706667</v>
      </c>
      <c r="AA85" s="423">
        <v>99156.9391466667</v>
      </c>
      <c r="AB85" s="435">
        <f t="shared" ref="AB85:AB94" si="94">Z85-AA85</f>
        <v>58265.8625599999</v>
      </c>
      <c r="AC85" s="435" t="s">
        <v>158</v>
      </c>
      <c r="AD85" s="435"/>
      <c r="AE85" s="435"/>
    </row>
    <row r="86" spans="1:31" ht="18.75">
      <c r="A86" s="420">
        <v>69</v>
      </c>
      <c r="B86" s="9" t="s">
        <v>159</v>
      </c>
      <c r="C86" s="423">
        <v>780675.58333333302</v>
      </c>
      <c r="D86" s="422">
        <v>12</v>
      </c>
      <c r="E86" s="423">
        <f t="shared" si="79"/>
        <v>9368107</v>
      </c>
      <c r="F86" s="423">
        <f>'[6]JANUARY 2024'!$V$86*12</f>
        <v>10052.25</v>
      </c>
      <c r="G86" s="424">
        <v>595848.56000000006</v>
      </c>
      <c r="H86" s="426"/>
      <c r="I86" s="423">
        <f t="shared" si="80"/>
        <v>8762206.1899999995</v>
      </c>
      <c r="J86" s="423">
        <v>200000</v>
      </c>
      <c r="K86" s="423">
        <v>0.2</v>
      </c>
      <c r="L86" s="423">
        <f t="shared" si="81"/>
        <v>1752441.2379999999</v>
      </c>
      <c r="M86" s="423">
        <f t="shared" si="82"/>
        <v>1952441.2379999999</v>
      </c>
      <c r="N86" s="423">
        <f t="shared" si="83"/>
        <v>2558342.048</v>
      </c>
      <c r="O86" s="423">
        <f t="shared" si="84"/>
        <v>6809764.9519999996</v>
      </c>
      <c r="P86" s="423">
        <f t="shared" si="85"/>
        <v>21000</v>
      </c>
      <c r="Q86" s="423">
        <f t="shared" si="86"/>
        <v>33000</v>
      </c>
      <c r="R86" s="423">
        <f t="shared" si="87"/>
        <v>75000</v>
      </c>
      <c r="S86" s="423">
        <f t="shared" si="88"/>
        <v>95000</v>
      </c>
      <c r="T86" s="423">
        <f t="shared" si="89"/>
        <v>336000</v>
      </c>
      <c r="U86" s="423">
        <f t="shared" si="90"/>
        <v>866343.58847999992</v>
      </c>
      <c r="V86" s="423">
        <f t="shared" si="91"/>
        <v>1426343.5884799999</v>
      </c>
      <c r="W86" s="430">
        <v>12</v>
      </c>
      <c r="X86" s="423">
        <f t="shared" si="92"/>
        <v>118861.96570666666</v>
      </c>
      <c r="Y86" s="426"/>
      <c r="Z86" s="423">
        <f t="shared" si="93"/>
        <v>118861.96570666666</v>
      </c>
      <c r="AA86" s="423">
        <v>98996.103146666705</v>
      </c>
      <c r="AB86" s="435">
        <f t="shared" si="94"/>
        <v>19865.86255999995</v>
      </c>
      <c r="AC86" s="435" t="s">
        <v>159</v>
      </c>
      <c r="AD86" s="435"/>
      <c r="AE86" s="435"/>
    </row>
    <row r="87" spans="1:31" ht="37.5">
      <c r="A87" s="420">
        <v>70</v>
      </c>
      <c r="B87" s="9" t="s">
        <v>160</v>
      </c>
      <c r="C87" s="423">
        <v>587895.16666666698</v>
      </c>
      <c r="D87" s="422">
        <v>12</v>
      </c>
      <c r="E87" s="423">
        <f t="shared" si="79"/>
        <v>7054742</v>
      </c>
      <c r="F87" s="423"/>
      <c r="G87" s="424">
        <v>558833.36</v>
      </c>
      <c r="H87" s="426"/>
      <c r="I87" s="423">
        <f t="shared" si="80"/>
        <v>6495908.6399999997</v>
      </c>
      <c r="J87" s="423">
        <v>200000</v>
      </c>
      <c r="K87" s="423">
        <v>0.2</v>
      </c>
      <c r="L87" s="423">
        <f t="shared" si="81"/>
        <v>1299181.7279999999</v>
      </c>
      <c r="M87" s="423">
        <f t="shared" si="82"/>
        <v>1499181.7279999999</v>
      </c>
      <c r="N87" s="423">
        <f t="shared" si="83"/>
        <v>2058015.088</v>
      </c>
      <c r="O87" s="423">
        <f t="shared" si="84"/>
        <v>4996726.9119999995</v>
      </c>
      <c r="P87" s="423">
        <f t="shared" si="85"/>
        <v>21000</v>
      </c>
      <c r="Q87" s="423">
        <f t="shared" si="86"/>
        <v>33000</v>
      </c>
      <c r="R87" s="423">
        <f t="shared" si="87"/>
        <v>75000</v>
      </c>
      <c r="S87" s="423">
        <f t="shared" si="88"/>
        <v>95000</v>
      </c>
      <c r="T87" s="423">
        <f t="shared" si="89"/>
        <v>336000</v>
      </c>
      <c r="U87" s="423">
        <f t="shared" si="90"/>
        <v>431214.45888000098</v>
      </c>
      <c r="V87" s="423">
        <f t="shared" si="91"/>
        <v>991214.45888000098</v>
      </c>
      <c r="W87" s="430">
        <v>12</v>
      </c>
      <c r="X87" s="423">
        <f t="shared" si="92"/>
        <v>82601.204906666695</v>
      </c>
      <c r="Y87" s="426"/>
      <c r="Z87" s="423">
        <f t="shared" si="93"/>
        <v>82601.204906666695</v>
      </c>
      <c r="AA87" s="423">
        <v>79956.9391466667</v>
      </c>
      <c r="AB87" s="435">
        <f t="shared" si="94"/>
        <v>2644.2657600000098</v>
      </c>
      <c r="AC87" s="435" t="s">
        <v>160</v>
      </c>
      <c r="AD87" s="435"/>
      <c r="AE87" s="435"/>
    </row>
    <row r="88" spans="1:31" ht="18.75">
      <c r="A88" s="420">
        <v>71</v>
      </c>
      <c r="B88" s="9" t="s">
        <v>161</v>
      </c>
      <c r="C88" s="423">
        <v>582746.5</v>
      </c>
      <c r="D88" s="422">
        <v>12</v>
      </c>
      <c r="E88" s="423">
        <f t="shared" si="79"/>
        <v>6992958</v>
      </c>
      <c r="F88" s="423"/>
      <c r="G88" s="424">
        <v>424132.72</v>
      </c>
      <c r="H88" s="426"/>
      <c r="I88" s="423">
        <f t="shared" si="80"/>
        <v>6568825.2800000003</v>
      </c>
      <c r="J88" s="423">
        <v>200000</v>
      </c>
      <c r="K88" s="423">
        <v>0.2</v>
      </c>
      <c r="L88" s="423">
        <f t="shared" si="81"/>
        <v>1313765.0560000001</v>
      </c>
      <c r="M88" s="423">
        <f t="shared" si="82"/>
        <v>1513765.0560000001</v>
      </c>
      <c r="N88" s="423">
        <f t="shared" si="83"/>
        <v>1937897.7760000001</v>
      </c>
      <c r="O88" s="423">
        <f t="shared" si="84"/>
        <v>5055060.2240000004</v>
      </c>
      <c r="P88" s="423">
        <f t="shared" si="85"/>
        <v>21000</v>
      </c>
      <c r="Q88" s="423">
        <f t="shared" si="86"/>
        <v>33000</v>
      </c>
      <c r="R88" s="423">
        <f t="shared" si="87"/>
        <v>75000</v>
      </c>
      <c r="S88" s="423">
        <f t="shared" si="88"/>
        <v>95000</v>
      </c>
      <c r="T88" s="423">
        <f t="shared" si="89"/>
        <v>336000</v>
      </c>
      <c r="U88" s="423">
        <f t="shared" si="90"/>
        <v>445214.45376</v>
      </c>
      <c r="V88" s="423">
        <f t="shared" si="91"/>
        <v>1005214.4537599999</v>
      </c>
      <c r="W88" s="430">
        <v>12</v>
      </c>
      <c r="X88" s="423">
        <f t="shared" si="92"/>
        <v>83767.871146666701</v>
      </c>
      <c r="Y88" s="426"/>
      <c r="Z88" s="423">
        <f t="shared" si="93"/>
        <v>83767.871146666701</v>
      </c>
      <c r="AA88" s="423">
        <v>75574.677290666703</v>
      </c>
      <c r="AB88" s="435">
        <f t="shared" si="94"/>
        <v>8193.1938559999508</v>
      </c>
      <c r="AC88" s="435" t="s">
        <v>161</v>
      </c>
      <c r="AD88" s="435"/>
      <c r="AE88" s="435"/>
    </row>
    <row r="89" spans="1:31" ht="18.75">
      <c r="A89" s="420">
        <v>72</v>
      </c>
      <c r="B89" s="9" t="s">
        <v>162</v>
      </c>
      <c r="C89" s="423">
        <v>548915.91666666698</v>
      </c>
      <c r="D89" s="422">
        <v>12</v>
      </c>
      <c r="E89" s="423">
        <f t="shared" si="79"/>
        <v>6586991</v>
      </c>
      <c r="F89" s="423"/>
      <c r="G89" s="424">
        <v>411759.28</v>
      </c>
      <c r="H89" s="426"/>
      <c r="I89" s="423">
        <f t="shared" si="80"/>
        <v>6175231.7199999997</v>
      </c>
      <c r="J89" s="423">
        <v>200000</v>
      </c>
      <c r="K89" s="423">
        <v>0.2</v>
      </c>
      <c r="L89" s="423">
        <f t="shared" si="81"/>
        <v>1235046.344</v>
      </c>
      <c r="M89" s="423">
        <f t="shared" si="82"/>
        <v>1435046.344</v>
      </c>
      <c r="N89" s="423">
        <f t="shared" si="83"/>
        <v>1846805.6240000001</v>
      </c>
      <c r="O89" s="423">
        <f t="shared" si="84"/>
        <v>4740185.3760000002</v>
      </c>
      <c r="P89" s="423">
        <f t="shared" si="85"/>
        <v>21000</v>
      </c>
      <c r="Q89" s="423">
        <f t="shared" si="86"/>
        <v>33000</v>
      </c>
      <c r="R89" s="423">
        <f t="shared" si="87"/>
        <v>75000</v>
      </c>
      <c r="S89" s="423">
        <f t="shared" si="88"/>
        <v>95000</v>
      </c>
      <c r="T89" s="423">
        <f t="shared" si="89"/>
        <v>336000</v>
      </c>
      <c r="U89" s="423">
        <f t="shared" si="90"/>
        <v>369644.490240001</v>
      </c>
      <c r="V89" s="423">
        <f t="shared" si="91"/>
        <v>929644.490240001</v>
      </c>
      <c r="W89" s="430">
        <v>12</v>
      </c>
      <c r="X89" s="423">
        <f t="shared" si="92"/>
        <v>77470.374186666697</v>
      </c>
      <c r="Y89" s="426"/>
      <c r="Z89" s="423">
        <f t="shared" si="93"/>
        <v>77470.374186666697</v>
      </c>
      <c r="AA89" s="423">
        <v>50985.977546666698</v>
      </c>
      <c r="AB89" s="435">
        <f t="shared" si="94"/>
        <v>26484.396639999999</v>
      </c>
      <c r="AC89" s="435" t="s">
        <v>162</v>
      </c>
      <c r="AD89" s="435"/>
      <c r="AE89" s="435"/>
    </row>
    <row r="90" spans="1:31" ht="37.5">
      <c r="A90" s="420">
        <v>73</v>
      </c>
      <c r="B90" s="9" t="s">
        <v>163</v>
      </c>
      <c r="C90" s="423">
        <v>568870.75</v>
      </c>
      <c r="D90" s="422">
        <v>12</v>
      </c>
      <c r="E90" s="423">
        <f t="shared" si="79"/>
        <v>6826449</v>
      </c>
      <c r="F90" s="423"/>
      <c r="G90" s="424">
        <v>411715.92</v>
      </c>
      <c r="H90" s="426"/>
      <c r="I90" s="423">
        <f t="shared" si="80"/>
        <v>6414733.0800000001</v>
      </c>
      <c r="J90" s="423">
        <v>200000</v>
      </c>
      <c r="K90" s="423">
        <v>0.2</v>
      </c>
      <c r="L90" s="423">
        <f t="shared" si="81"/>
        <v>1282946.6159999999</v>
      </c>
      <c r="M90" s="423">
        <f t="shared" si="82"/>
        <v>1482946.6159999999</v>
      </c>
      <c r="N90" s="423">
        <f t="shared" si="83"/>
        <v>1894662.5360000001</v>
      </c>
      <c r="O90" s="423">
        <f t="shared" si="84"/>
        <v>4931786.4639999997</v>
      </c>
      <c r="P90" s="423">
        <f t="shared" si="85"/>
        <v>21000</v>
      </c>
      <c r="Q90" s="423">
        <f t="shared" si="86"/>
        <v>33000</v>
      </c>
      <c r="R90" s="423">
        <f t="shared" si="87"/>
        <v>75000</v>
      </c>
      <c r="S90" s="423">
        <f t="shared" si="88"/>
        <v>95000</v>
      </c>
      <c r="T90" s="423">
        <f t="shared" si="89"/>
        <v>336000</v>
      </c>
      <c r="U90" s="423">
        <f t="shared" si="90"/>
        <v>415628.75135999999</v>
      </c>
      <c r="V90" s="423">
        <f t="shared" si="91"/>
        <v>975628.75135999999</v>
      </c>
      <c r="W90" s="430">
        <v>12</v>
      </c>
      <c r="X90" s="423">
        <f t="shared" si="92"/>
        <v>81302.3959466667</v>
      </c>
      <c r="Y90" s="426"/>
      <c r="Z90" s="423">
        <f t="shared" si="93"/>
        <v>81302.3959466667</v>
      </c>
      <c r="AA90" s="423">
        <v>49548.776186666699</v>
      </c>
      <c r="AB90" s="435">
        <f t="shared" si="94"/>
        <v>31753.619760000001</v>
      </c>
      <c r="AC90" s="435" t="s">
        <v>163</v>
      </c>
      <c r="AD90" s="435"/>
      <c r="AE90" s="435"/>
    </row>
    <row r="91" spans="1:31" ht="18.75">
      <c r="A91" s="420">
        <v>74</v>
      </c>
      <c r="B91" s="9" t="s">
        <v>165</v>
      </c>
      <c r="C91" s="423">
        <v>475703.83333333302</v>
      </c>
      <c r="D91" s="422">
        <v>12</v>
      </c>
      <c r="E91" s="423">
        <f t="shared" si="79"/>
        <v>5708446</v>
      </c>
      <c r="F91" s="423"/>
      <c r="G91" s="429">
        <f>29256.3066666667*12</f>
        <v>351075.68</v>
      </c>
      <c r="H91" s="426"/>
      <c r="I91" s="423">
        <f t="shared" si="80"/>
        <v>5357370.32</v>
      </c>
      <c r="J91" s="423">
        <v>200000</v>
      </c>
      <c r="K91" s="423">
        <v>0.2</v>
      </c>
      <c r="L91" s="423">
        <f t="shared" si="81"/>
        <v>1071474.064</v>
      </c>
      <c r="M91" s="423">
        <f t="shared" si="82"/>
        <v>1271474.064</v>
      </c>
      <c r="N91" s="423">
        <f t="shared" si="83"/>
        <v>1622549.7439999999</v>
      </c>
      <c r="O91" s="423">
        <f t="shared" si="84"/>
        <v>4085896.2560000001</v>
      </c>
      <c r="P91" s="423">
        <f t="shared" si="85"/>
        <v>21000</v>
      </c>
      <c r="Q91" s="423">
        <f t="shared" si="86"/>
        <v>33000</v>
      </c>
      <c r="R91" s="423">
        <f t="shared" si="87"/>
        <v>75000</v>
      </c>
      <c r="S91" s="423">
        <f t="shared" si="88"/>
        <v>95000</v>
      </c>
      <c r="T91" s="423">
        <f t="shared" si="89"/>
        <v>336000</v>
      </c>
      <c r="U91" s="423">
        <f t="shared" si="90"/>
        <v>212615.10143999901</v>
      </c>
      <c r="V91" s="423">
        <f t="shared" si="91"/>
        <v>772615.10143999895</v>
      </c>
      <c r="W91" s="430">
        <v>12</v>
      </c>
      <c r="X91" s="423">
        <f t="shared" si="92"/>
        <v>64384.591786666599</v>
      </c>
      <c r="Y91" s="426"/>
      <c r="Z91" s="423">
        <f t="shared" si="93"/>
        <v>64384.591786666599</v>
      </c>
      <c r="AA91" s="423">
        <v>53384.053562666697</v>
      </c>
      <c r="AB91" s="435">
        <f t="shared" si="94"/>
        <v>11000.5382239999</v>
      </c>
      <c r="AC91" s="435" t="s">
        <v>165</v>
      </c>
      <c r="AD91" s="435"/>
      <c r="AE91" s="435"/>
    </row>
    <row r="92" spans="1:31" ht="24" customHeight="1">
      <c r="A92" s="420">
        <v>75</v>
      </c>
      <c r="B92" s="9" t="s">
        <v>166</v>
      </c>
      <c r="C92" s="423">
        <v>510248.91666666698</v>
      </c>
      <c r="D92" s="422">
        <v>12</v>
      </c>
      <c r="E92" s="423">
        <f t="shared" si="79"/>
        <v>6122987</v>
      </c>
      <c r="F92" s="423">
        <f>'[6]JANUARY 2024'!$V$92*12</f>
        <v>6922.4969999999994</v>
      </c>
      <c r="G92" s="424">
        <v>374638.96</v>
      </c>
      <c r="H92" s="426"/>
      <c r="I92" s="423">
        <f t="shared" si="80"/>
        <v>5741425.5429999996</v>
      </c>
      <c r="J92" s="423">
        <v>200000</v>
      </c>
      <c r="K92" s="423">
        <v>0.2</v>
      </c>
      <c r="L92" s="423">
        <f t="shared" si="81"/>
        <v>1148285.1085999999</v>
      </c>
      <c r="M92" s="423">
        <f t="shared" si="82"/>
        <v>1348285.1085999999</v>
      </c>
      <c r="N92" s="423">
        <f t="shared" si="83"/>
        <v>1729846.5655999999</v>
      </c>
      <c r="O92" s="423">
        <f t="shared" si="84"/>
        <v>4393140.4343999997</v>
      </c>
      <c r="P92" s="423">
        <f t="shared" si="85"/>
        <v>21000</v>
      </c>
      <c r="Q92" s="423">
        <f t="shared" si="86"/>
        <v>33000</v>
      </c>
      <c r="R92" s="423">
        <f t="shared" si="87"/>
        <v>75000</v>
      </c>
      <c r="S92" s="423">
        <f t="shared" si="88"/>
        <v>95000</v>
      </c>
      <c r="T92" s="423">
        <f t="shared" si="89"/>
        <v>336000</v>
      </c>
      <c r="U92" s="423">
        <f t="shared" si="90"/>
        <v>286353.70425599994</v>
      </c>
      <c r="V92" s="423">
        <f t="shared" si="91"/>
        <v>846353.704256</v>
      </c>
      <c r="W92" s="430">
        <v>12</v>
      </c>
      <c r="X92" s="423">
        <f t="shared" si="92"/>
        <v>70529.475354666662</v>
      </c>
      <c r="Y92" s="426"/>
      <c r="Z92" s="423">
        <f t="shared" si="93"/>
        <v>70529.475354666662</v>
      </c>
      <c r="AA92" s="423">
        <v>41242.0361406667</v>
      </c>
      <c r="AB92" s="435">
        <f t="shared" si="94"/>
        <v>29287.439213999962</v>
      </c>
      <c r="AC92" s="435" t="s">
        <v>166</v>
      </c>
      <c r="AD92" s="435"/>
      <c r="AE92" s="435"/>
    </row>
    <row r="93" spans="1:31" ht="18.75">
      <c r="A93" s="420">
        <v>76</v>
      </c>
      <c r="B93" s="9" t="s">
        <v>169</v>
      </c>
      <c r="C93" s="423">
        <v>400965.58333333302</v>
      </c>
      <c r="D93" s="422">
        <v>12</v>
      </c>
      <c r="E93" s="423">
        <f t="shared" si="79"/>
        <v>4811587</v>
      </c>
      <c r="F93" s="423"/>
      <c r="G93" s="424">
        <v>288926.96000000002</v>
      </c>
      <c r="H93" s="426"/>
      <c r="I93" s="423">
        <f t="shared" si="80"/>
        <v>4522660.04</v>
      </c>
      <c r="J93" s="423">
        <v>200000</v>
      </c>
      <c r="K93" s="423">
        <v>0.2</v>
      </c>
      <c r="L93" s="423">
        <f t="shared" si="81"/>
        <v>904532.00799999898</v>
      </c>
      <c r="M93" s="423">
        <f t="shared" si="82"/>
        <v>1104532.0079999999</v>
      </c>
      <c r="N93" s="423">
        <f t="shared" si="83"/>
        <v>1393458.9680000001</v>
      </c>
      <c r="O93" s="423">
        <f t="shared" si="84"/>
        <v>3418128.0320000001</v>
      </c>
      <c r="P93" s="423">
        <f t="shared" si="85"/>
        <v>21000</v>
      </c>
      <c r="Q93" s="423">
        <f t="shared" si="86"/>
        <v>33000</v>
      </c>
      <c r="R93" s="423">
        <f t="shared" si="87"/>
        <v>75000</v>
      </c>
      <c r="S93" s="423">
        <f t="shared" si="88"/>
        <v>95000</v>
      </c>
      <c r="T93" s="423">
        <f t="shared" si="89"/>
        <v>336000</v>
      </c>
      <c r="U93" s="423">
        <f t="shared" si="90"/>
        <v>52350.727679999203</v>
      </c>
      <c r="V93" s="423">
        <f t="shared" si="91"/>
        <v>612350.72767999896</v>
      </c>
      <c r="W93" s="430">
        <v>12</v>
      </c>
      <c r="X93" s="423">
        <f t="shared" si="92"/>
        <v>51029.227306666602</v>
      </c>
      <c r="Y93" s="426"/>
      <c r="Z93" s="423">
        <f t="shared" si="93"/>
        <v>51029.227306666602</v>
      </c>
      <c r="AA93" s="423">
        <v>45414.4562526667</v>
      </c>
      <c r="AB93" s="435">
        <f t="shared" si="94"/>
        <v>5614.7710539998998</v>
      </c>
      <c r="AC93" s="435" t="s">
        <v>169</v>
      </c>
      <c r="AD93" s="435"/>
      <c r="AE93" s="435"/>
    </row>
    <row r="94" spans="1:31" ht="18.75">
      <c r="A94" s="420"/>
      <c r="B94" s="9" t="s">
        <v>171</v>
      </c>
      <c r="C94" s="423">
        <v>330631.91666666698</v>
      </c>
      <c r="D94" s="422">
        <v>12</v>
      </c>
      <c r="E94" s="423">
        <f t="shared" si="79"/>
        <v>3967583</v>
      </c>
      <c r="F94" s="423"/>
      <c r="G94" s="424">
        <v>221406.64</v>
      </c>
      <c r="H94" s="426"/>
      <c r="I94" s="423">
        <f t="shared" si="80"/>
        <v>3746176.36</v>
      </c>
      <c r="J94" s="423">
        <v>200000</v>
      </c>
      <c r="K94" s="423">
        <v>0.2</v>
      </c>
      <c r="L94" s="423">
        <f t="shared" si="81"/>
        <v>749235.27200000104</v>
      </c>
      <c r="M94" s="423">
        <f t="shared" si="82"/>
        <v>949235.27200000104</v>
      </c>
      <c r="N94" s="423">
        <f t="shared" si="83"/>
        <v>1170641.912</v>
      </c>
      <c r="O94" s="423">
        <f t="shared" si="84"/>
        <v>2796941.088</v>
      </c>
      <c r="P94" s="423">
        <f t="shared" si="85"/>
        <v>21000</v>
      </c>
      <c r="Q94" s="423">
        <f t="shared" si="86"/>
        <v>33000</v>
      </c>
      <c r="R94" s="423">
        <f t="shared" si="87"/>
        <v>75000</v>
      </c>
      <c r="S94" s="423">
        <f t="shared" si="88"/>
        <v>95000</v>
      </c>
      <c r="T94" s="423">
        <f t="shared" si="89"/>
        <v>251357.628480001</v>
      </c>
      <c r="U94" s="423"/>
      <c r="V94" s="423">
        <f t="shared" si="91"/>
        <v>475357.628480001</v>
      </c>
      <c r="W94" s="430">
        <v>12</v>
      </c>
      <c r="X94" s="423">
        <f t="shared" si="92"/>
        <v>39613.135706666697</v>
      </c>
      <c r="Y94" s="426"/>
      <c r="Z94" s="423">
        <f t="shared" si="93"/>
        <v>39613.135706666697</v>
      </c>
      <c r="AA94" s="423">
        <v>33825.986562666702</v>
      </c>
      <c r="AB94" s="435">
        <f t="shared" si="94"/>
        <v>5787.14914400001</v>
      </c>
      <c r="AC94" s="435" t="s">
        <v>171</v>
      </c>
      <c r="AD94" s="435"/>
      <c r="AE94" s="435"/>
    </row>
    <row r="95" spans="1:31" ht="18.75">
      <c r="A95" s="420"/>
      <c r="B95" s="18"/>
      <c r="C95" s="423"/>
      <c r="D95" s="422"/>
      <c r="E95" s="423"/>
      <c r="F95" s="423"/>
      <c r="G95" s="426"/>
      <c r="H95" s="426"/>
      <c r="I95" s="423"/>
      <c r="J95" s="423"/>
      <c r="K95" s="423"/>
      <c r="L95" s="423"/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30"/>
      <c r="X95" s="423"/>
      <c r="Y95" s="426"/>
      <c r="Z95" s="423"/>
      <c r="AA95" s="435"/>
      <c r="AB95" s="435"/>
      <c r="AC95" s="435"/>
      <c r="AD95" s="435"/>
      <c r="AE95" s="435"/>
    </row>
    <row r="96" spans="1:31" ht="18.75">
      <c r="A96" s="420"/>
      <c r="B96" s="20"/>
      <c r="C96" s="423"/>
      <c r="D96" s="422"/>
      <c r="E96" s="423"/>
      <c r="F96" s="423"/>
      <c r="G96" s="426"/>
      <c r="H96" s="426"/>
      <c r="I96" s="423"/>
      <c r="J96" s="423"/>
      <c r="K96" s="423"/>
      <c r="L96" s="423"/>
      <c r="M96" s="423"/>
      <c r="N96" s="423"/>
      <c r="O96" s="423"/>
      <c r="P96" s="423"/>
      <c r="Q96" s="423"/>
      <c r="R96" s="423"/>
      <c r="S96" s="423"/>
      <c r="T96" s="423"/>
      <c r="U96" s="423"/>
      <c r="V96" s="423"/>
      <c r="W96" s="430"/>
      <c r="X96" s="423"/>
      <c r="Y96" s="426"/>
      <c r="Z96" s="423"/>
      <c r="AA96" s="435"/>
      <c r="AB96" s="435"/>
      <c r="AC96" s="435"/>
      <c r="AD96" s="435"/>
      <c r="AE96" s="435"/>
    </row>
    <row r="97" spans="1:31" ht="18.75">
      <c r="A97" s="420">
        <v>78</v>
      </c>
      <c r="B97" s="18" t="s">
        <v>174</v>
      </c>
      <c r="C97" s="423"/>
      <c r="AC97" s="435"/>
      <c r="AD97" s="435"/>
      <c r="AE97" s="435"/>
    </row>
    <row r="98" spans="1:31" ht="37.5">
      <c r="A98" s="420">
        <v>79</v>
      </c>
      <c r="B98" s="12" t="s">
        <v>175</v>
      </c>
      <c r="C98" s="423">
        <v>1452042.67</v>
      </c>
      <c r="D98" s="422">
        <v>12</v>
      </c>
      <c r="E98" s="423">
        <f t="shared" ref="E98:E101" si="95">C98*D98</f>
        <v>17424512.039999999</v>
      </c>
      <c r="F98" s="423">
        <f>'[6]JANUARY 2024'!$V$98*12</f>
        <v>12795.951000000001</v>
      </c>
      <c r="G98" s="424">
        <f>(0.08*1352042.67)*12</f>
        <v>1297960.9632000001</v>
      </c>
      <c r="H98" s="426"/>
      <c r="I98" s="423">
        <f t="shared" ref="I98:I101" si="96">E98-F98-G98-H98</f>
        <v>16113755.125799999</v>
      </c>
      <c r="J98" s="423">
        <v>200000</v>
      </c>
      <c r="K98" s="423">
        <v>0.2</v>
      </c>
      <c r="L98" s="423">
        <f t="shared" ref="L98:L101" si="97">I98*K98</f>
        <v>3222751.0251599997</v>
      </c>
      <c r="M98" s="423">
        <f t="shared" ref="M98:M101" si="98">J98+L98</f>
        <v>3422751.0251599997</v>
      </c>
      <c r="N98" s="423">
        <f t="shared" ref="N98:N101" si="99">F98+G98+H98+M98</f>
        <v>4733507.9393600002</v>
      </c>
      <c r="O98" s="423">
        <f t="shared" ref="O98:O101" si="100">E98-N98</f>
        <v>12691004.100639999</v>
      </c>
      <c r="P98" s="423">
        <f t="shared" ref="P98:P101" si="101">IF(O98&lt;300000,0.07*O98,21000)</f>
        <v>21000</v>
      </c>
      <c r="Q98" s="423">
        <f t="shared" ref="Q98:Q101" si="102">IF((O98-300000)&lt;0,0,IF((O98-300000)&lt;300000,0.11*(O98-300000),33000))</f>
        <v>33000</v>
      </c>
      <c r="R98" s="423">
        <f t="shared" ref="R98:R101" si="103">IF((O98-600000)&lt;0,0,IF((O98-600000)&lt;500000,0.15*(O98-600000),75000))</f>
        <v>75000</v>
      </c>
      <c r="S98" s="423">
        <f t="shared" ref="S98:S101" si="104">IF((O98-1100000)&lt;0,0,IF((O98-1100000)&lt;500000,0.19*(O98-1100000),95000))</f>
        <v>95000</v>
      </c>
      <c r="T98" s="423">
        <f t="shared" ref="T98:T101" si="105">IF((O98-1600000)&lt;0,0,IF((O98-1600000)&lt;1600000,0.21*(O98-1600000),336000))</f>
        <v>336000</v>
      </c>
      <c r="U98" s="423">
        <f t="shared" ref="U98:U100" si="106">24%*(O98-3200000)</f>
        <v>2277840.9841535995</v>
      </c>
      <c r="V98" s="423">
        <f t="shared" ref="V98:V101" si="107">P98+Q98+R98+S98+T98+U98</f>
        <v>2837840.9841535995</v>
      </c>
      <c r="W98" s="430">
        <v>12</v>
      </c>
      <c r="X98" s="423">
        <f t="shared" ref="X98:X101" si="108">V98/W98</f>
        <v>236486.74867946663</v>
      </c>
      <c r="Y98" s="426"/>
      <c r="Z98" s="423">
        <f t="shared" ref="Z98:Z101" si="109">X98</f>
        <v>236486.74867946663</v>
      </c>
      <c r="AA98" s="435">
        <v>82423.216202666707</v>
      </c>
      <c r="AB98" s="435">
        <f t="shared" ref="AB98:AB101" si="110">Z98-AA98</f>
        <v>154063.53247679991</v>
      </c>
      <c r="AC98" s="435" t="s">
        <v>175</v>
      </c>
      <c r="AD98" s="435"/>
      <c r="AE98" s="435"/>
    </row>
    <row r="99" spans="1:31" ht="18.75">
      <c r="A99" s="420">
        <v>80</v>
      </c>
      <c r="B99" s="9" t="s">
        <v>178</v>
      </c>
      <c r="C99" s="423">
        <v>526622.25</v>
      </c>
      <c r="D99" s="422">
        <v>12</v>
      </c>
      <c r="E99" s="423">
        <f t="shared" si="95"/>
        <v>6319467</v>
      </c>
      <c r="F99" s="423"/>
      <c r="G99" s="424">
        <v>438357.36</v>
      </c>
      <c r="H99" s="426"/>
      <c r="I99" s="423">
        <f t="shared" si="96"/>
        <v>5881109.6399999997</v>
      </c>
      <c r="J99" s="423">
        <v>200000</v>
      </c>
      <c r="K99" s="423">
        <v>0.2</v>
      </c>
      <c r="L99" s="423">
        <f t="shared" si="97"/>
        <v>1176221.9280000001</v>
      </c>
      <c r="M99" s="423">
        <f t="shared" si="98"/>
        <v>1376221.9280000001</v>
      </c>
      <c r="N99" s="423">
        <f t="shared" si="99"/>
        <v>1814579.2879999999</v>
      </c>
      <c r="O99" s="423">
        <f t="shared" si="100"/>
        <v>4504887.7120000003</v>
      </c>
      <c r="P99" s="423">
        <f t="shared" si="101"/>
        <v>21000</v>
      </c>
      <c r="Q99" s="423">
        <f t="shared" si="102"/>
        <v>33000</v>
      </c>
      <c r="R99" s="423">
        <f t="shared" si="103"/>
        <v>75000</v>
      </c>
      <c r="S99" s="423">
        <f t="shared" si="104"/>
        <v>95000</v>
      </c>
      <c r="T99" s="423">
        <f t="shared" si="105"/>
        <v>336000</v>
      </c>
      <c r="U99" s="423">
        <f t="shared" si="106"/>
        <v>313173.05088</v>
      </c>
      <c r="V99" s="423">
        <f t="shared" si="107"/>
        <v>873173.05088</v>
      </c>
      <c r="W99" s="430">
        <v>12</v>
      </c>
      <c r="X99" s="423">
        <f t="shared" si="108"/>
        <v>72764.420906666695</v>
      </c>
      <c r="Y99" s="426"/>
      <c r="Z99" s="423">
        <f t="shared" si="109"/>
        <v>72764.420906666695</v>
      </c>
      <c r="AA99" s="435">
        <v>82627.951418666693</v>
      </c>
      <c r="AB99" s="435">
        <f t="shared" si="110"/>
        <v>-9863.5305120000394</v>
      </c>
      <c r="AC99" s="435" t="s">
        <v>178</v>
      </c>
      <c r="AD99" s="435"/>
      <c r="AE99" s="435"/>
    </row>
    <row r="100" spans="1:31" ht="37.5">
      <c r="A100" s="420">
        <v>81</v>
      </c>
      <c r="B100" s="9" t="s">
        <v>182</v>
      </c>
      <c r="C100" s="423">
        <v>437895.16666666698</v>
      </c>
      <c r="D100" s="422">
        <v>12</v>
      </c>
      <c r="E100" s="423">
        <f t="shared" si="95"/>
        <v>5254742</v>
      </c>
      <c r="F100" s="423"/>
      <c r="G100" s="424">
        <v>362779.36</v>
      </c>
      <c r="H100" s="426"/>
      <c r="I100" s="423">
        <f t="shared" si="96"/>
        <v>4891962.6399999997</v>
      </c>
      <c r="J100" s="423">
        <v>200000</v>
      </c>
      <c r="K100" s="423">
        <v>0.2</v>
      </c>
      <c r="L100" s="423">
        <f t="shared" si="97"/>
        <v>978392.52800000098</v>
      </c>
      <c r="M100" s="423">
        <f t="shared" si="98"/>
        <v>1178392.5279999999</v>
      </c>
      <c r="N100" s="423">
        <f t="shared" si="99"/>
        <v>1541171.888</v>
      </c>
      <c r="O100" s="423">
        <f t="shared" si="100"/>
        <v>3713570.1120000002</v>
      </c>
      <c r="P100" s="423">
        <f t="shared" si="101"/>
        <v>21000</v>
      </c>
      <c r="Q100" s="423">
        <f t="shared" si="102"/>
        <v>33000</v>
      </c>
      <c r="R100" s="423">
        <f t="shared" si="103"/>
        <v>75000</v>
      </c>
      <c r="S100" s="423">
        <f t="shared" si="104"/>
        <v>95000</v>
      </c>
      <c r="T100" s="423">
        <f t="shared" si="105"/>
        <v>336000</v>
      </c>
      <c r="U100" s="423">
        <f t="shared" si="106"/>
        <v>123256.826880001</v>
      </c>
      <c r="V100" s="423">
        <f t="shared" si="107"/>
        <v>683256.826880001</v>
      </c>
      <c r="W100" s="430">
        <v>12</v>
      </c>
      <c r="X100" s="423">
        <f t="shared" si="108"/>
        <v>56938.068906666696</v>
      </c>
      <c r="Y100" s="426"/>
      <c r="Z100" s="423">
        <f t="shared" si="109"/>
        <v>56938.068906666696</v>
      </c>
      <c r="AA100" s="435">
        <v>43492.373376666699</v>
      </c>
      <c r="AB100" s="435">
        <f t="shared" si="110"/>
        <v>13445.695530000001</v>
      </c>
      <c r="AC100" s="435" t="s">
        <v>182</v>
      </c>
      <c r="AD100" s="435"/>
      <c r="AE100" s="435"/>
    </row>
    <row r="101" spans="1:31" ht="18.75">
      <c r="A101" s="420"/>
      <c r="B101" s="9" t="s">
        <v>184</v>
      </c>
      <c r="C101" s="423">
        <v>360965.58333333302</v>
      </c>
      <c r="D101" s="422">
        <v>12</v>
      </c>
      <c r="E101" s="423">
        <f t="shared" si="95"/>
        <v>4331587</v>
      </c>
      <c r="F101" s="423"/>
      <c r="G101" s="424">
        <v>288926.96000000002</v>
      </c>
      <c r="H101" s="426"/>
      <c r="I101" s="423">
        <f t="shared" si="96"/>
        <v>4042660.04</v>
      </c>
      <c r="J101" s="423">
        <v>200000</v>
      </c>
      <c r="K101" s="423">
        <v>0.2</v>
      </c>
      <c r="L101" s="423">
        <f t="shared" si="97"/>
        <v>808532.00799999898</v>
      </c>
      <c r="M101" s="423">
        <f t="shared" si="98"/>
        <v>1008532.008</v>
      </c>
      <c r="N101" s="423">
        <f t="shared" si="99"/>
        <v>1297458.9680000001</v>
      </c>
      <c r="O101" s="423">
        <f t="shared" si="100"/>
        <v>3034128.0320000001</v>
      </c>
      <c r="P101" s="423">
        <f t="shared" si="101"/>
        <v>21000</v>
      </c>
      <c r="Q101" s="423">
        <f t="shared" si="102"/>
        <v>33000</v>
      </c>
      <c r="R101" s="423">
        <f t="shared" si="103"/>
        <v>75000</v>
      </c>
      <c r="S101" s="423">
        <f t="shared" si="104"/>
        <v>95000</v>
      </c>
      <c r="T101" s="423">
        <f t="shared" si="105"/>
        <v>301166.88671999902</v>
      </c>
      <c r="U101" s="423"/>
      <c r="V101" s="423">
        <f t="shared" si="107"/>
        <v>525166.88671999902</v>
      </c>
      <c r="W101" s="430">
        <v>12</v>
      </c>
      <c r="X101" s="423">
        <f t="shared" si="108"/>
        <v>43763.907226666597</v>
      </c>
      <c r="Y101" s="426"/>
      <c r="Z101" s="423">
        <f t="shared" si="109"/>
        <v>43763.907226666597</v>
      </c>
      <c r="AA101" s="435">
        <v>34968.882414666703</v>
      </c>
      <c r="AB101" s="435">
        <f t="shared" si="110"/>
        <v>8795.0248119999105</v>
      </c>
      <c r="AC101" s="435" t="s">
        <v>184</v>
      </c>
      <c r="AD101" s="435"/>
      <c r="AE101" s="435"/>
    </row>
    <row r="102" spans="1:31" ht="18.75">
      <c r="A102" s="420"/>
      <c r="B102" s="18" t="s">
        <v>96</v>
      </c>
      <c r="C102" s="423"/>
      <c r="D102" s="422"/>
      <c r="E102" s="423"/>
      <c r="F102" s="423"/>
      <c r="G102" s="426">
        <v>0</v>
      </c>
      <c r="H102" s="426"/>
      <c r="I102" s="423"/>
      <c r="J102" s="423"/>
      <c r="K102" s="423"/>
      <c r="L102" s="423"/>
      <c r="M102" s="423"/>
      <c r="N102" s="423"/>
      <c r="O102" s="423"/>
      <c r="P102" s="423"/>
      <c r="Q102" s="423"/>
      <c r="R102" s="423"/>
      <c r="S102" s="423"/>
      <c r="T102" s="423"/>
      <c r="U102" s="423"/>
      <c r="V102" s="423"/>
      <c r="W102" s="430"/>
      <c r="X102" s="423"/>
      <c r="Y102" s="426"/>
      <c r="Z102" s="423"/>
      <c r="AA102" s="435"/>
      <c r="AB102" s="435"/>
      <c r="AC102" s="435"/>
      <c r="AD102" s="435"/>
      <c r="AE102" s="435"/>
    </row>
    <row r="103" spans="1:31" ht="18.75">
      <c r="A103" s="420">
        <v>83</v>
      </c>
      <c r="B103" s="20"/>
      <c r="C103" s="423"/>
      <c r="G103" s="258">
        <v>0</v>
      </c>
      <c r="AC103" s="435"/>
      <c r="AD103" s="435"/>
      <c r="AE103" s="435"/>
    </row>
    <row r="104" spans="1:31" ht="37.5">
      <c r="A104" s="420">
        <v>84</v>
      </c>
      <c r="B104" s="18" t="s">
        <v>186</v>
      </c>
      <c r="C104" s="423"/>
      <c r="G104" s="258">
        <v>0</v>
      </c>
      <c r="AB104" s="258" t="s">
        <v>516</v>
      </c>
      <c r="AC104" s="435"/>
      <c r="AD104" s="435"/>
      <c r="AE104" s="435"/>
    </row>
    <row r="105" spans="1:31" ht="18.75">
      <c r="A105" s="420">
        <v>85</v>
      </c>
      <c r="B105" s="9" t="s">
        <v>187</v>
      </c>
      <c r="C105" s="423">
        <v>1635720</v>
      </c>
      <c r="D105" s="422">
        <v>12</v>
      </c>
      <c r="E105" s="423">
        <f t="shared" ref="E105:E111" si="111">C105*D105</f>
        <v>19628640</v>
      </c>
      <c r="F105" s="423"/>
      <c r="G105" s="424">
        <v>1378291.2</v>
      </c>
      <c r="H105" s="426"/>
      <c r="I105" s="423">
        <f t="shared" ref="I105:I110" si="112">E105-F105-G105-H105</f>
        <v>18250348.800000001</v>
      </c>
      <c r="J105" s="423">
        <v>200000</v>
      </c>
      <c r="K105" s="423">
        <v>0.2</v>
      </c>
      <c r="L105" s="423">
        <f t="shared" ref="L105:L111" si="113">I105*K105</f>
        <v>3650069.76</v>
      </c>
      <c r="M105" s="423">
        <f t="shared" ref="M105:M111" si="114">J105+L105</f>
        <v>3850069.76</v>
      </c>
      <c r="N105" s="423">
        <f t="shared" ref="N105:N110" si="115">F105+G105+H105+M105</f>
        <v>5228360.96</v>
      </c>
      <c r="O105" s="423">
        <f t="shared" ref="O105:O111" si="116">E105-N105</f>
        <v>14400279.039999999</v>
      </c>
      <c r="P105" s="423">
        <f t="shared" ref="P105:P111" si="117">IF(O105&lt;300000,0.07*O105,21000)</f>
        <v>21000</v>
      </c>
      <c r="Q105" s="423">
        <f t="shared" ref="Q105:Q111" si="118">IF((O105-300000)&lt;0,0,IF((O105-300000)&lt;300000,0.11*(O105-300000),33000))</f>
        <v>33000</v>
      </c>
      <c r="R105" s="423">
        <f t="shared" ref="R105:R111" si="119">IF((O105-600000)&lt;0,0,IF((O105-600000)&lt;500000,0.15*(O105-600000),75000))</f>
        <v>75000</v>
      </c>
      <c r="S105" s="423">
        <f t="shared" ref="S105:S111" si="120">IF((O105-1100000)&lt;0,0,IF((O105-1100000)&lt;500000,0.19*(O105-1100000),95000))</f>
        <v>95000</v>
      </c>
      <c r="T105" s="423">
        <f t="shared" ref="T105:T111" si="121">IF((O105-1600000)&lt;0,0,IF((O105-1600000)&lt;1600000,0.21*(O105-1600000),336000))</f>
        <v>336000</v>
      </c>
      <c r="U105" s="423">
        <f t="shared" ref="U105:U107" si="122">24%*(O105-3200000)</f>
        <v>2688066.9696</v>
      </c>
      <c r="V105" s="423">
        <f t="shared" ref="V105:V111" si="123">P105+Q105+R105+S105+T105+U105</f>
        <v>3248066.9696</v>
      </c>
      <c r="W105" s="430">
        <v>12</v>
      </c>
      <c r="X105" s="423">
        <f t="shared" ref="X105:X111" si="124">V105/W105</f>
        <v>270672.24746666697</v>
      </c>
      <c r="Y105" s="426"/>
      <c r="Z105" s="423">
        <f t="shared" ref="Z105:Z111" si="125">X105</f>
        <v>270672.24746666697</v>
      </c>
      <c r="AA105" s="435">
        <v>180306.806858667</v>
      </c>
      <c r="AB105" s="435">
        <f t="shared" ref="AB105:AB111" si="126">Z105-AA105</f>
        <v>90365.440607999597</v>
      </c>
      <c r="AC105" s="435" t="s">
        <v>187</v>
      </c>
      <c r="AD105" s="435"/>
      <c r="AE105" s="435"/>
    </row>
    <row r="106" spans="1:31" ht="18.75">
      <c r="A106" s="420">
        <v>86</v>
      </c>
      <c r="B106" s="9" t="s">
        <v>189</v>
      </c>
      <c r="C106" s="423">
        <v>942373.16666666698</v>
      </c>
      <c r="D106" s="422">
        <v>12</v>
      </c>
      <c r="E106" s="423">
        <f t="shared" si="111"/>
        <v>11308478</v>
      </c>
      <c r="F106" s="423">
        <f>'[6]JANUARY 2024'!$V$106*12</f>
        <v>12795.951000000001</v>
      </c>
      <c r="G106" s="424">
        <v>731878.24</v>
      </c>
      <c r="H106" s="426"/>
      <c r="I106" s="423">
        <f t="shared" si="112"/>
        <v>10563803.809</v>
      </c>
      <c r="J106" s="423">
        <v>200000</v>
      </c>
      <c r="K106" s="423">
        <v>0.2</v>
      </c>
      <c r="L106" s="423">
        <f t="shared" si="113"/>
        <v>2112760.7618</v>
      </c>
      <c r="M106" s="423">
        <f t="shared" si="114"/>
        <v>2312760.7618</v>
      </c>
      <c r="N106" s="423">
        <f t="shared" si="115"/>
        <v>3057434.9528000001</v>
      </c>
      <c r="O106" s="423">
        <f t="shared" si="116"/>
        <v>8251043.0471999999</v>
      </c>
      <c r="P106" s="423">
        <f t="shared" si="117"/>
        <v>21000</v>
      </c>
      <c r="Q106" s="423">
        <f t="shared" si="118"/>
        <v>33000</v>
      </c>
      <c r="R106" s="423">
        <f t="shared" si="119"/>
        <v>75000</v>
      </c>
      <c r="S106" s="423">
        <f t="shared" si="120"/>
        <v>95000</v>
      </c>
      <c r="T106" s="423">
        <f t="shared" si="121"/>
        <v>336000</v>
      </c>
      <c r="U106" s="423">
        <f t="shared" si="122"/>
        <v>1212250.3313279999</v>
      </c>
      <c r="V106" s="423">
        <f t="shared" si="123"/>
        <v>1772250.3313279999</v>
      </c>
      <c r="W106" s="430">
        <v>12</v>
      </c>
      <c r="X106" s="423">
        <f t="shared" si="124"/>
        <v>147687.52761066667</v>
      </c>
      <c r="Y106" s="426"/>
      <c r="Z106" s="423">
        <f t="shared" si="125"/>
        <v>147687.52761066667</v>
      </c>
      <c r="AA106" s="435">
        <v>99703.216202666707</v>
      </c>
      <c r="AB106" s="435">
        <f t="shared" si="126"/>
        <v>47984.311407999965</v>
      </c>
      <c r="AC106" s="435" t="s">
        <v>189</v>
      </c>
      <c r="AD106" s="435"/>
      <c r="AE106" s="435"/>
    </row>
    <row r="107" spans="1:31" ht="18.75">
      <c r="A107" s="420">
        <v>87</v>
      </c>
      <c r="B107" s="9" t="s">
        <v>192</v>
      </c>
      <c r="C107" s="423">
        <v>603237.85519166698</v>
      </c>
      <c r="D107" s="422">
        <v>12</v>
      </c>
      <c r="E107" s="423">
        <f t="shared" si="111"/>
        <v>7238854.2622999996</v>
      </c>
      <c r="F107" s="423">
        <f>'[6]JANUARY 2024'!$V$107*12</f>
        <v>7901.7899999999991</v>
      </c>
      <c r="G107" s="424">
        <v>424132.72</v>
      </c>
      <c r="H107" s="426"/>
      <c r="I107" s="423">
        <f t="shared" si="112"/>
        <v>6806819.7522999998</v>
      </c>
      <c r="J107" s="423">
        <v>200000</v>
      </c>
      <c r="K107" s="423">
        <v>0.2</v>
      </c>
      <c r="L107" s="423">
        <f t="shared" si="113"/>
        <v>1361363.95046</v>
      </c>
      <c r="M107" s="423">
        <f t="shared" si="114"/>
        <v>1561363.95046</v>
      </c>
      <c r="N107" s="423">
        <f t="shared" si="115"/>
        <v>1993398.46046</v>
      </c>
      <c r="O107" s="423">
        <f t="shared" si="116"/>
        <v>5245455.8018399999</v>
      </c>
      <c r="P107" s="423">
        <f t="shared" si="117"/>
        <v>21000</v>
      </c>
      <c r="Q107" s="423">
        <f t="shared" si="118"/>
        <v>33000</v>
      </c>
      <c r="R107" s="423">
        <f t="shared" si="119"/>
        <v>75000</v>
      </c>
      <c r="S107" s="423">
        <f t="shared" si="120"/>
        <v>95000</v>
      </c>
      <c r="T107" s="423">
        <f t="shared" si="121"/>
        <v>336000</v>
      </c>
      <c r="U107" s="423">
        <f t="shared" si="122"/>
        <v>490909.39244159992</v>
      </c>
      <c r="V107" s="423">
        <f t="shared" si="123"/>
        <v>1050909.3924415999</v>
      </c>
      <c r="W107" s="430">
        <v>12</v>
      </c>
      <c r="X107" s="423">
        <f t="shared" si="124"/>
        <v>87575.782703466655</v>
      </c>
      <c r="Y107" s="426"/>
      <c r="Z107" s="423">
        <f t="shared" si="125"/>
        <v>87575.782703466655</v>
      </c>
      <c r="AA107" s="435">
        <v>180180.378218667</v>
      </c>
      <c r="AB107" s="435">
        <f t="shared" si="126"/>
        <v>-92604.595515200344</v>
      </c>
      <c r="AC107" s="435" t="s">
        <v>192</v>
      </c>
      <c r="AD107" s="435"/>
      <c r="AE107" s="435"/>
    </row>
    <row r="108" spans="1:31" ht="18.75">
      <c r="A108" s="420">
        <v>88</v>
      </c>
      <c r="B108" s="9" t="s">
        <v>195</v>
      </c>
      <c r="C108" s="423">
        <v>601625.033321667</v>
      </c>
      <c r="D108" s="422">
        <v>12</v>
      </c>
      <c r="E108" s="423">
        <f t="shared" si="111"/>
        <v>7219500.3998600002</v>
      </c>
      <c r="F108" s="423"/>
      <c r="G108" s="424">
        <v>424132.72</v>
      </c>
      <c r="H108" s="426"/>
      <c r="I108" s="423">
        <f t="shared" si="112"/>
        <v>6795367.6798599996</v>
      </c>
      <c r="J108" s="423">
        <v>200000</v>
      </c>
      <c r="K108" s="423">
        <v>0.2</v>
      </c>
      <c r="L108" s="423">
        <f t="shared" si="113"/>
        <v>1359073.5359720001</v>
      </c>
      <c r="M108" s="423">
        <f t="shared" si="114"/>
        <v>1559073.5359720001</v>
      </c>
      <c r="N108" s="423">
        <f t="shared" si="115"/>
        <v>1983206.2559720001</v>
      </c>
      <c r="O108" s="423">
        <f t="shared" si="116"/>
        <v>5236294.1438880004</v>
      </c>
      <c r="P108" s="423">
        <f t="shared" si="117"/>
        <v>21000</v>
      </c>
      <c r="Q108" s="423">
        <f t="shared" si="118"/>
        <v>33000</v>
      </c>
      <c r="R108" s="423">
        <f t="shared" si="119"/>
        <v>75000</v>
      </c>
      <c r="S108" s="423">
        <f t="shared" si="120"/>
        <v>95000</v>
      </c>
      <c r="T108" s="423">
        <f t="shared" si="121"/>
        <v>336000</v>
      </c>
      <c r="U108" s="423">
        <f>0.24*(O108-3200000)</f>
        <v>488710.59453312098</v>
      </c>
      <c r="V108" s="423">
        <f t="shared" si="123"/>
        <v>1048710.59453312</v>
      </c>
      <c r="W108" s="430">
        <v>12</v>
      </c>
      <c r="X108" s="423">
        <f t="shared" si="124"/>
        <v>87392.5495444267</v>
      </c>
      <c r="Y108" s="426"/>
      <c r="Z108" s="423">
        <f t="shared" si="125"/>
        <v>87392.5495444267</v>
      </c>
      <c r="AA108" s="435">
        <v>99907.951418666693</v>
      </c>
      <c r="AB108" s="435">
        <f t="shared" si="126"/>
        <v>-12515.40187424</v>
      </c>
      <c r="AC108" s="435" t="s">
        <v>195</v>
      </c>
      <c r="AD108" s="435"/>
      <c r="AE108" s="435"/>
    </row>
    <row r="109" spans="1:31" ht="18.75">
      <c r="A109" s="420">
        <v>89</v>
      </c>
      <c r="B109" s="9" t="s">
        <v>196</v>
      </c>
      <c r="C109" s="423">
        <v>374481.86414666701</v>
      </c>
      <c r="D109" s="422">
        <v>12</v>
      </c>
      <c r="E109" s="423">
        <f t="shared" si="111"/>
        <v>4493782.3697600001</v>
      </c>
      <c r="F109" s="423"/>
      <c r="G109" s="424">
        <v>239182.48</v>
      </c>
      <c r="H109" s="426"/>
      <c r="I109" s="423">
        <f t="shared" si="112"/>
        <v>4254599.8897599997</v>
      </c>
      <c r="J109" s="423">
        <v>200000</v>
      </c>
      <c r="K109" s="423">
        <v>0.2</v>
      </c>
      <c r="L109" s="423">
        <f t="shared" si="113"/>
        <v>850919.97795200103</v>
      </c>
      <c r="M109" s="423">
        <f t="shared" si="114"/>
        <v>1050919.977952</v>
      </c>
      <c r="N109" s="423">
        <f t="shared" si="115"/>
        <v>1290102.457952</v>
      </c>
      <c r="O109" s="423">
        <f t="shared" si="116"/>
        <v>3203679.9118079999</v>
      </c>
      <c r="P109" s="423">
        <f t="shared" si="117"/>
        <v>21000</v>
      </c>
      <c r="Q109" s="423">
        <f t="shared" si="118"/>
        <v>33000</v>
      </c>
      <c r="R109" s="423">
        <f t="shared" si="119"/>
        <v>75000</v>
      </c>
      <c r="S109" s="423">
        <f t="shared" si="120"/>
        <v>95000</v>
      </c>
      <c r="T109" s="423">
        <f t="shared" si="121"/>
        <v>336000</v>
      </c>
      <c r="U109" s="423">
        <f>0.24*(O109-3200000)</f>
        <v>883.17883392076897</v>
      </c>
      <c r="V109" s="423">
        <f t="shared" si="123"/>
        <v>560883.17883392097</v>
      </c>
      <c r="W109" s="430">
        <v>12</v>
      </c>
      <c r="X109" s="423">
        <f t="shared" si="124"/>
        <v>46740.264902826697</v>
      </c>
      <c r="Y109" s="426"/>
      <c r="Z109" s="423">
        <f t="shared" si="125"/>
        <v>46740.264902826697</v>
      </c>
      <c r="AA109" s="435">
        <v>58941.101743466701</v>
      </c>
      <c r="AB109" s="435">
        <f t="shared" si="126"/>
        <v>-12200.83684064</v>
      </c>
      <c r="AC109" s="435" t="s">
        <v>196</v>
      </c>
      <c r="AD109" s="435"/>
      <c r="AE109" s="435"/>
    </row>
    <row r="110" spans="1:31" ht="37.5">
      <c r="A110" s="420"/>
      <c r="B110" s="16" t="s">
        <v>199</v>
      </c>
      <c r="C110" s="423">
        <v>367926.02100000001</v>
      </c>
      <c r="D110" s="422">
        <v>12</v>
      </c>
      <c r="E110" s="423">
        <f t="shared" si="111"/>
        <v>4415112.2520000003</v>
      </c>
      <c r="F110" s="423"/>
      <c r="G110" s="424">
        <v>233257.2</v>
      </c>
      <c r="H110" s="426"/>
      <c r="I110" s="423">
        <f t="shared" si="112"/>
        <v>4181855.0520000001</v>
      </c>
      <c r="J110" s="423">
        <v>200000</v>
      </c>
      <c r="K110" s="423">
        <v>0.2</v>
      </c>
      <c r="L110" s="423">
        <f t="shared" si="113"/>
        <v>836371.01040000003</v>
      </c>
      <c r="M110" s="423">
        <f t="shared" si="114"/>
        <v>1036371.0104</v>
      </c>
      <c r="N110" s="423">
        <f t="shared" si="115"/>
        <v>1269628.2104</v>
      </c>
      <c r="O110" s="423">
        <f t="shared" si="116"/>
        <v>3145484.0416000001</v>
      </c>
      <c r="P110" s="423">
        <f t="shared" si="117"/>
        <v>21000</v>
      </c>
      <c r="Q110" s="423">
        <f t="shared" si="118"/>
        <v>33000</v>
      </c>
      <c r="R110" s="423">
        <f t="shared" si="119"/>
        <v>75000</v>
      </c>
      <c r="S110" s="423">
        <f t="shared" si="120"/>
        <v>95000</v>
      </c>
      <c r="T110" s="423">
        <f t="shared" si="121"/>
        <v>324551.648736</v>
      </c>
      <c r="U110" s="423"/>
      <c r="V110" s="423">
        <f t="shared" si="123"/>
        <v>548551.64873599994</v>
      </c>
      <c r="W110" s="430">
        <v>12</v>
      </c>
      <c r="X110" s="423">
        <f t="shared" si="124"/>
        <v>45712.637394666701</v>
      </c>
      <c r="Y110" s="426"/>
      <c r="Z110" s="423">
        <f t="shared" si="125"/>
        <v>45712.637394666701</v>
      </c>
      <c r="AA110" s="435">
        <v>58631.439944426696</v>
      </c>
      <c r="AB110" s="435">
        <f t="shared" si="126"/>
        <v>-12918.802549759999</v>
      </c>
      <c r="AC110" s="435" t="s">
        <v>199</v>
      </c>
      <c r="AD110" s="435"/>
      <c r="AE110" s="435"/>
    </row>
    <row r="111" spans="1:31" ht="18.75">
      <c r="A111" s="420"/>
      <c r="B111" s="16" t="s">
        <v>201</v>
      </c>
      <c r="C111" s="423">
        <v>355198.112111667</v>
      </c>
      <c r="D111" s="422">
        <v>12</v>
      </c>
      <c r="E111" s="423">
        <f t="shared" si="111"/>
        <v>4262377.3453400005</v>
      </c>
      <c r="G111" s="424">
        <v>221406.64</v>
      </c>
      <c r="H111" s="426"/>
      <c r="I111" s="423">
        <f>E111-F112-G111-H111</f>
        <v>4040970.7053399999</v>
      </c>
      <c r="J111" s="423">
        <v>200000</v>
      </c>
      <c r="K111" s="423">
        <v>0.2</v>
      </c>
      <c r="L111" s="423">
        <f t="shared" si="113"/>
        <v>808194.14106800104</v>
      </c>
      <c r="M111" s="423">
        <f t="shared" si="114"/>
        <v>1008194.141068</v>
      </c>
      <c r="N111" s="423">
        <f>F112+G111+H111+M111</f>
        <v>1229600.781068</v>
      </c>
      <c r="O111" s="423">
        <f t="shared" si="116"/>
        <v>3032776.564272</v>
      </c>
      <c r="P111" s="423">
        <f t="shared" si="117"/>
        <v>21000</v>
      </c>
      <c r="Q111" s="423">
        <f t="shared" si="118"/>
        <v>33000</v>
      </c>
      <c r="R111" s="423">
        <f t="shared" si="119"/>
        <v>75000</v>
      </c>
      <c r="S111" s="423">
        <f t="shared" si="120"/>
        <v>95000</v>
      </c>
      <c r="T111" s="423">
        <f t="shared" si="121"/>
        <v>300883.07849712099</v>
      </c>
      <c r="U111" s="423"/>
      <c r="V111" s="423">
        <f t="shared" si="123"/>
        <v>524883.07849712099</v>
      </c>
      <c r="W111" s="430">
        <v>12</v>
      </c>
      <c r="X111" s="423">
        <f t="shared" si="124"/>
        <v>43740.256541426701</v>
      </c>
      <c r="Y111" s="426"/>
      <c r="Z111" s="423">
        <f t="shared" si="125"/>
        <v>43740.256541426701</v>
      </c>
      <c r="AA111" s="435">
        <v>31871.335203306699</v>
      </c>
      <c r="AB111" s="435">
        <f t="shared" si="126"/>
        <v>11868.921338120001</v>
      </c>
      <c r="AC111" s="435" t="s">
        <v>201</v>
      </c>
      <c r="AD111" s="435"/>
      <c r="AE111" s="435"/>
    </row>
    <row r="112" spans="1:31" ht="18.75">
      <c r="A112" s="420"/>
      <c r="B112" s="18" t="s">
        <v>96</v>
      </c>
      <c r="C112" s="423"/>
      <c r="D112" s="422"/>
      <c r="E112" s="423"/>
      <c r="F112" s="423"/>
      <c r="G112" s="424"/>
      <c r="H112" s="426"/>
      <c r="I112" s="423"/>
      <c r="J112" s="423"/>
      <c r="K112" s="423"/>
      <c r="L112" s="423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30"/>
      <c r="X112" s="423"/>
      <c r="Y112" s="426"/>
      <c r="Z112" s="423"/>
      <c r="AA112" s="435"/>
      <c r="AB112" s="435"/>
      <c r="AC112" s="435"/>
      <c r="AD112" s="435"/>
      <c r="AE112" s="435"/>
    </row>
    <row r="113" spans="1:31" ht="18.75">
      <c r="A113" s="420">
        <v>90</v>
      </c>
      <c r="B113" s="18"/>
      <c r="C113" s="423"/>
      <c r="G113" s="424"/>
      <c r="U113" s="423"/>
      <c r="AC113" s="435"/>
      <c r="AD113" s="435"/>
      <c r="AE113" s="435"/>
    </row>
    <row r="114" spans="1:31" ht="37.5">
      <c r="A114" s="420">
        <v>91</v>
      </c>
      <c r="B114" s="18" t="s">
        <v>202</v>
      </c>
      <c r="C114" s="423"/>
      <c r="G114" s="424"/>
      <c r="U114" s="423"/>
      <c r="AC114" s="435"/>
      <c r="AD114" s="435"/>
      <c r="AE114" s="435"/>
    </row>
    <row r="115" spans="1:31" ht="37.5">
      <c r="A115" s="420">
        <v>92</v>
      </c>
      <c r="B115" s="12" t="s">
        <v>203</v>
      </c>
      <c r="C115" s="423">
        <v>761396.83333333302</v>
      </c>
      <c r="D115" s="422">
        <v>12</v>
      </c>
      <c r="E115" s="423">
        <f t="shared" ref="E115:E117" si="127">C115*D115</f>
        <v>9136762</v>
      </c>
      <c r="F115" s="423">
        <f>'[6]JANUARY 2024'!$V$115*12</f>
        <v>9678.9600000000009</v>
      </c>
      <c r="G115" s="424">
        <v>577340.96</v>
      </c>
      <c r="H115" s="426"/>
      <c r="I115" s="423">
        <f t="shared" ref="I115:I117" si="128">E115-F115-G115-H115</f>
        <v>8549742.0799999982</v>
      </c>
      <c r="J115" s="423">
        <v>200000</v>
      </c>
      <c r="K115" s="423">
        <v>0.2</v>
      </c>
      <c r="L115" s="423">
        <f t="shared" ref="L115:L117" si="129">I115*K115</f>
        <v>1709948.4159999997</v>
      </c>
      <c r="M115" s="423">
        <f t="shared" ref="M115:M117" si="130">J115+L115</f>
        <v>1909948.4159999997</v>
      </c>
      <c r="N115" s="423">
        <f t="shared" ref="N115:N117" si="131">F115+G115+H115+M115</f>
        <v>2496968.3359999997</v>
      </c>
      <c r="O115" s="423">
        <f t="shared" ref="O115:O117" si="132">E115-N115</f>
        <v>6639793.6640000008</v>
      </c>
      <c r="P115" s="423">
        <f t="shared" ref="P115:P117" si="133">IF(O115&lt;300000,0.07*O115,21000)</f>
        <v>21000</v>
      </c>
      <c r="Q115" s="423">
        <f t="shared" ref="Q115:Q117" si="134">IF((O115-300000)&lt;0,0,IF((O115-300000)&lt;300000,0.11*(O115-300000),33000))</f>
        <v>33000</v>
      </c>
      <c r="R115" s="423">
        <f t="shared" ref="R115:R117" si="135">IF((O115-600000)&lt;0,0,IF((O115-600000)&lt;500000,0.15*(O115-600000),75000))</f>
        <v>75000</v>
      </c>
      <c r="S115" s="423">
        <f t="shared" ref="S115:S117" si="136">IF((O115-1100000)&lt;0,0,IF((O115-1100000)&lt;500000,0.19*(O115-1100000),95000))</f>
        <v>95000</v>
      </c>
      <c r="T115" s="423">
        <f t="shared" ref="T115:T117" si="137">IF((O115-1600000)&lt;0,0,IF((O115-1600000)&lt;1600000,0.21*(O115-1600000),336000))</f>
        <v>336000</v>
      </c>
      <c r="U115" s="423">
        <f t="shared" ref="U115:U117" si="138">0.24*(O115-3200000)</f>
        <v>825550.47936000011</v>
      </c>
      <c r="V115" s="423">
        <f t="shared" ref="V115:V117" si="139">P115+Q115+R115+S115+T115+U115</f>
        <v>1385550.4793600002</v>
      </c>
      <c r="W115" s="430">
        <v>12</v>
      </c>
      <c r="X115" s="423">
        <f t="shared" ref="X115:X117" si="140">V115/W115</f>
        <v>115462.53994666669</v>
      </c>
      <c r="Y115" s="426"/>
      <c r="Z115" s="423">
        <f t="shared" ref="Z115:Z117" si="141">X115</f>
        <v>115462.53994666669</v>
      </c>
      <c r="AA115" s="435">
        <v>77610.116906666706</v>
      </c>
      <c r="AB115" s="435">
        <f t="shared" ref="AB115:AB117" si="142">Z115-AA115</f>
        <v>37852.42303999998</v>
      </c>
      <c r="AC115" s="435"/>
      <c r="AD115" s="435"/>
      <c r="AE115" s="435"/>
    </row>
    <row r="116" spans="1:31" ht="18.75">
      <c r="A116" s="420">
        <v>93</v>
      </c>
      <c r="B116" s="9" t="s">
        <v>204</v>
      </c>
      <c r="C116" s="423">
        <v>487895.16666666698</v>
      </c>
      <c r="D116" s="422">
        <v>12</v>
      </c>
      <c r="E116" s="423">
        <f t="shared" si="127"/>
        <v>5854742</v>
      </c>
      <c r="F116" s="423"/>
      <c r="G116" s="424">
        <v>362779.36</v>
      </c>
      <c r="H116" s="426"/>
      <c r="I116" s="423">
        <f t="shared" si="128"/>
        <v>5491962.6399999997</v>
      </c>
      <c r="J116" s="423">
        <v>200000</v>
      </c>
      <c r="K116" s="423">
        <v>0.2</v>
      </c>
      <c r="L116" s="423">
        <f t="shared" si="129"/>
        <v>1098392.5279999999</v>
      </c>
      <c r="M116" s="423">
        <f t="shared" si="130"/>
        <v>1298392.5279999999</v>
      </c>
      <c r="N116" s="423">
        <f t="shared" si="131"/>
        <v>1661171.888</v>
      </c>
      <c r="O116" s="423">
        <f t="shared" si="132"/>
        <v>4193570.1120000002</v>
      </c>
      <c r="P116" s="423">
        <f t="shared" si="133"/>
        <v>21000</v>
      </c>
      <c r="Q116" s="423">
        <f t="shared" si="134"/>
        <v>33000</v>
      </c>
      <c r="R116" s="423">
        <f t="shared" si="135"/>
        <v>75000</v>
      </c>
      <c r="S116" s="423">
        <f t="shared" si="136"/>
        <v>95000</v>
      </c>
      <c r="T116" s="423">
        <f t="shared" si="137"/>
        <v>336000</v>
      </c>
      <c r="U116" s="423">
        <f t="shared" si="138"/>
        <v>238456.826880001</v>
      </c>
      <c r="V116" s="423">
        <f t="shared" si="139"/>
        <v>798456.826880001</v>
      </c>
      <c r="W116" s="430">
        <v>12</v>
      </c>
      <c r="X116" s="423">
        <f t="shared" si="140"/>
        <v>66538.068906666696</v>
      </c>
      <c r="Y116" s="426"/>
      <c r="Z116" s="423">
        <f t="shared" si="141"/>
        <v>66538.068906666696</v>
      </c>
      <c r="AA116" s="435">
        <v>43368.882414666703</v>
      </c>
      <c r="AB116" s="435">
        <f t="shared" si="142"/>
        <v>23169.186492000001</v>
      </c>
      <c r="AC116" s="435"/>
      <c r="AD116" s="435"/>
      <c r="AE116" s="435"/>
    </row>
    <row r="117" spans="1:31" ht="37.5">
      <c r="A117" s="420">
        <v>94</v>
      </c>
      <c r="B117" s="9" t="s">
        <v>206</v>
      </c>
      <c r="C117" s="429">
        <v>450086.5</v>
      </c>
      <c r="D117" s="422">
        <v>12</v>
      </c>
      <c r="E117" s="423">
        <f t="shared" si="127"/>
        <v>5401038</v>
      </c>
      <c r="F117" s="423">
        <f>'[6]JANUARY 2024'!$V$117*12</f>
        <v>6919.4549999999999</v>
      </c>
      <c r="G117" s="424">
        <v>374483.04</v>
      </c>
      <c r="H117" s="426"/>
      <c r="I117" s="423">
        <f t="shared" si="128"/>
        <v>5019635.5049999999</v>
      </c>
      <c r="J117" s="423">
        <v>200000</v>
      </c>
      <c r="K117" s="423">
        <v>0.2</v>
      </c>
      <c r="L117" s="423">
        <f t="shared" si="129"/>
        <v>1003927.101</v>
      </c>
      <c r="M117" s="423">
        <f t="shared" si="130"/>
        <v>1203927.101</v>
      </c>
      <c r="N117" s="423">
        <f t="shared" si="131"/>
        <v>1585329.5959999999</v>
      </c>
      <c r="O117" s="423">
        <f t="shared" si="132"/>
        <v>3815708.4040000001</v>
      </c>
      <c r="P117" s="423">
        <f t="shared" si="133"/>
        <v>21000</v>
      </c>
      <c r="Q117" s="423">
        <f t="shared" si="134"/>
        <v>33000</v>
      </c>
      <c r="R117" s="423">
        <f t="shared" si="135"/>
        <v>75000</v>
      </c>
      <c r="S117" s="423">
        <f t="shared" si="136"/>
        <v>95000</v>
      </c>
      <c r="T117" s="423">
        <f t="shared" si="137"/>
        <v>336000</v>
      </c>
      <c r="U117" s="423">
        <f t="shared" si="138"/>
        <v>147770.01696000001</v>
      </c>
      <c r="V117" s="423">
        <f t="shared" si="139"/>
        <v>707770.01696000004</v>
      </c>
      <c r="W117" s="430">
        <v>12</v>
      </c>
      <c r="X117" s="423">
        <f t="shared" si="140"/>
        <v>58980.834746666667</v>
      </c>
      <c r="Y117" s="426"/>
      <c r="Z117" s="423">
        <f t="shared" si="141"/>
        <v>58980.834746666667</v>
      </c>
      <c r="AA117" s="435">
        <v>35221.954086666701</v>
      </c>
      <c r="AB117" s="435">
        <f t="shared" si="142"/>
        <v>23758.880659999966</v>
      </c>
      <c r="AC117" s="435"/>
      <c r="AD117" s="435"/>
      <c r="AE117" s="435"/>
    </row>
    <row r="118" spans="1:31" ht="18.75">
      <c r="A118" s="420">
        <v>95</v>
      </c>
      <c r="B118" s="18"/>
      <c r="C118" s="423"/>
      <c r="D118" s="422"/>
      <c r="E118" s="423"/>
      <c r="F118" s="423"/>
      <c r="G118" s="426"/>
      <c r="H118" s="426"/>
      <c r="I118" s="423"/>
      <c r="J118" s="423"/>
      <c r="K118" s="423"/>
      <c r="L118" s="423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30"/>
      <c r="X118" s="423"/>
      <c r="Y118" s="426"/>
      <c r="Z118" s="423"/>
      <c r="AA118" s="435"/>
      <c r="AB118" s="435"/>
      <c r="AC118" s="435"/>
      <c r="AD118" s="435"/>
      <c r="AE118" s="435"/>
    </row>
    <row r="119" spans="1:31" ht="18.75">
      <c r="A119" s="420">
        <v>96</v>
      </c>
      <c r="B119" s="20"/>
      <c r="C119" s="423"/>
      <c r="U119" s="436"/>
      <c r="AC119" s="435"/>
      <c r="AD119" s="435"/>
      <c r="AE119" s="435"/>
    </row>
    <row r="120" spans="1:31" ht="18.75">
      <c r="A120" s="420">
        <v>97</v>
      </c>
      <c r="B120" s="18" t="s">
        <v>215</v>
      </c>
      <c r="C120" s="423"/>
      <c r="U120" s="436"/>
      <c r="AC120" s="435"/>
      <c r="AD120" s="435"/>
      <c r="AE120" s="435"/>
    </row>
    <row r="121" spans="1:31" ht="18.75">
      <c r="A121" s="420">
        <v>98</v>
      </c>
      <c r="B121" s="9" t="s">
        <v>216</v>
      </c>
      <c r="C121" s="423">
        <v>1635720</v>
      </c>
      <c r="D121" s="422">
        <v>12</v>
      </c>
      <c r="E121" s="423">
        <f t="shared" ref="E121:E130" si="143">C121*D121</f>
        <v>19628640</v>
      </c>
      <c r="F121" s="423">
        <f>2043.5005*12</f>
        <v>24522.006000000001</v>
      </c>
      <c r="G121" s="424">
        <v>1378291.2</v>
      </c>
      <c r="H121" s="426"/>
      <c r="I121" s="423">
        <f t="shared" ref="I121:I130" si="144">E121-F121-G121-H121</f>
        <v>18225826.794</v>
      </c>
      <c r="J121" s="423">
        <v>200000</v>
      </c>
      <c r="K121" s="423">
        <v>0.2</v>
      </c>
      <c r="L121" s="423">
        <f t="shared" ref="L121:L130" si="145">I121*K121</f>
        <v>3645165.3588</v>
      </c>
      <c r="M121" s="423">
        <f t="shared" ref="M121:M130" si="146">J121+L121</f>
        <v>3845165.3588</v>
      </c>
      <c r="N121" s="423">
        <f t="shared" ref="N121:N130" si="147">F121+G121+H121+M121</f>
        <v>5247978.5647999998</v>
      </c>
      <c r="O121" s="423">
        <f t="shared" ref="O121:O130" si="148">E121-N121</f>
        <v>14380661.4352</v>
      </c>
      <c r="P121" s="423">
        <f t="shared" ref="P121:P130" si="149">IF(O121&lt;300000,0.07*O121,21000)</f>
        <v>21000</v>
      </c>
      <c r="Q121" s="423">
        <f t="shared" ref="Q121:Q130" si="150">IF((O121-300000)&lt;0,0,IF((O121-300000)&lt;300000,0.11*(O121-300000),33000))</f>
        <v>33000</v>
      </c>
      <c r="R121" s="423">
        <f t="shared" ref="R121:R130" si="151">IF((O121-600000)&lt;0,0,IF((O121-600000)&lt;500000,0.15*(O121-600000),75000))</f>
        <v>75000</v>
      </c>
      <c r="S121" s="423">
        <f t="shared" ref="S121:S130" si="152">IF((O121-1100000)&lt;0,0,IF((O121-1100000)&lt;500000,0.19*(O121-1100000),95000))</f>
        <v>95000</v>
      </c>
      <c r="T121" s="423">
        <f t="shared" ref="T121:T130" si="153">IF((O121-1600000)&lt;0,0,IF((O121-1600000)&lt;1600000,0.21*(O121-1600000),336000))</f>
        <v>336000</v>
      </c>
      <c r="U121" s="423">
        <f t="shared" ref="U121:U127" si="154">0.24*(O121-3200000)</f>
        <v>2683358.7444480001</v>
      </c>
      <c r="V121" s="423">
        <f t="shared" ref="V121:V130" si="155">P121+Q121+R121+S121+T121+U121</f>
        <v>3243358.7444480001</v>
      </c>
      <c r="W121" s="430">
        <v>12</v>
      </c>
      <c r="X121" s="423">
        <f t="shared" ref="X121:X130" si="156">V121/W121</f>
        <v>270279.89537066699</v>
      </c>
      <c r="Y121" s="426"/>
      <c r="Z121" s="423">
        <f t="shared" ref="Z121:Z130" si="157">X121</f>
        <v>270279.89537066699</v>
      </c>
      <c r="AA121" s="435">
        <v>179914.45476266701</v>
      </c>
      <c r="AB121" s="435">
        <f t="shared" ref="AB121:AB130" si="158">Z121-AA121</f>
        <v>90365.440607999699</v>
      </c>
      <c r="AC121" s="435"/>
      <c r="AD121" s="435"/>
      <c r="AE121" s="435"/>
    </row>
    <row r="122" spans="1:31" ht="18.75">
      <c r="A122" s="420">
        <v>99</v>
      </c>
      <c r="B122" s="9" t="s">
        <v>218</v>
      </c>
      <c r="C122" s="423">
        <v>929203.58333333302</v>
      </c>
      <c r="D122" s="422">
        <v>12</v>
      </c>
      <c r="E122" s="423">
        <f t="shared" si="143"/>
        <v>11150443</v>
      </c>
      <c r="F122" s="423">
        <f>1028.94225*12</f>
        <v>12347.307000000001</v>
      </c>
      <c r="G122" s="424">
        <v>709635.44</v>
      </c>
      <c r="H122" s="426"/>
      <c r="I122" s="423">
        <f t="shared" si="144"/>
        <v>10428460.253</v>
      </c>
      <c r="J122" s="423">
        <v>200000</v>
      </c>
      <c r="K122" s="423">
        <v>0.2</v>
      </c>
      <c r="L122" s="423">
        <f t="shared" si="145"/>
        <v>2085692.0506</v>
      </c>
      <c r="M122" s="423">
        <f t="shared" si="146"/>
        <v>2285692.0506000002</v>
      </c>
      <c r="N122" s="423">
        <f t="shared" si="147"/>
        <v>3007674.7976000002</v>
      </c>
      <c r="O122" s="423">
        <f t="shared" si="148"/>
        <v>8142768.2023999998</v>
      </c>
      <c r="P122" s="423">
        <f t="shared" si="149"/>
        <v>21000</v>
      </c>
      <c r="Q122" s="423">
        <f t="shared" si="150"/>
        <v>33000</v>
      </c>
      <c r="R122" s="423">
        <f t="shared" si="151"/>
        <v>75000</v>
      </c>
      <c r="S122" s="423">
        <f t="shared" si="152"/>
        <v>95000</v>
      </c>
      <c r="T122" s="423">
        <f t="shared" si="153"/>
        <v>336000</v>
      </c>
      <c r="U122" s="423">
        <f t="shared" si="154"/>
        <v>1186264.368576</v>
      </c>
      <c r="V122" s="423">
        <f t="shared" si="155"/>
        <v>1746264.368576</v>
      </c>
      <c r="W122" s="430">
        <v>12</v>
      </c>
      <c r="X122" s="423">
        <f t="shared" si="156"/>
        <v>145522.03071466699</v>
      </c>
      <c r="Y122" s="426"/>
      <c r="Z122" s="423">
        <f t="shared" si="157"/>
        <v>145522.03071466699</v>
      </c>
      <c r="AA122" s="435">
        <v>98995.956938666699</v>
      </c>
      <c r="AB122" s="435">
        <f t="shared" si="158"/>
        <v>46526.073775999903</v>
      </c>
      <c r="AC122" s="435"/>
      <c r="AD122" s="435"/>
      <c r="AE122" s="435"/>
    </row>
    <row r="123" spans="1:31" ht="18.75">
      <c r="A123" s="420"/>
      <c r="B123" s="12" t="s">
        <v>220</v>
      </c>
      <c r="C123" s="423">
        <v>830675.58333333302</v>
      </c>
      <c r="D123" s="422">
        <v>12</v>
      </c>
      <c r="E123" s="423">
        <f t="shared" si="143"/>
        <v>9968107</v>
      </c>
      <c r="F123" s="423">
        <f>837.6875*12</f>
        <v>10052.25</v>
      </c>
      <c r="G123" s="424">
        <v>595848.56000000006</v>
      </c>
      <c r="H123" s="426"/>
      <c r="I123" s="423">
        <f t="shared" si="144"/>
        <v>9362206.1899999995</v>
      </c>
      <c r="J123" s="423">
        <v>200000</v>
      </c>
      <c r="K123" s="423">
        <v>0.2</v>
      </c>
      <c r="L123" s="423">
        <f t="shared" si="145"/>
        <v>1872441.2379999999</v>
      </c>
      <c r="M123" s="423">
        <f t="shared" si="146"/>
        <v>2072441.2379999999</v>
      </c>
      <c r="N123" s="423">
        <f t="shared" si="147"/>
        <v>2678342.048</v>
      </c>
      <c r="O123" s="423">
        <f t="shared" si="148"/>
        <v>7289764.9519999996</v>
      </c>
      <c r="P123" s="423">
        <f t="shared" si="149"/>
        <v>21000</v>
      </c>
      <c r="Q123" s="423">
        <f t="shared" si="150"/>
        <v>33000</v>
      </c>
      <c r="R123" s="423">
        <f t="shared" si="151"/>
        <v>75000</v>
      </c>
      <c r="S123" s="423">
        <f t="shared" si="152"/>
        <v>95000</v>
      </c>
      <c r="T123" s="423">
        <f t="shared" si="153"/>
        <v>336000</v>
      </c>
      <c r="U123" s="423">
        <f t="shared" si="154"/>
        <v>981543.58847999899</v>
      </c>
      <c r="V123" s="423">
        <f t="shared" si="155"/>
        <v>1541543.5884799999</v>
      </c>
      <c r="W123" s="430">
        <v>12</v>
      </c>
      <c r="X123" s="423">
        <f t="shared" si="156"/>
        <v>128461.965706667</v>
      </c>
      <c r="Y123" s="426"/>
      <c r="Z123" s="423">
        <f t="shared" si="157"/>
        <v>128461.965706667</v>
      </c>
      <c r="AA123" s="435">
        <v>89396.103146666603</v>
      </c>
      <c r="AB123" s="435">
        <f t="shared" si="158"/>
        <v>39065.862560000001</v>
      </c>
      <c r="AC123" s="435"/>
      <c r="AD123" s="435"/>
      <c r="AE123" s="435"/>
    </row>
    <row r="124" spans="1:31" ht="18.75">
      <c r="A124" s="420"/>
      <c r="B124" s="12" t="s">
        <v>521</v>
      </c>
      <c r="C124" s="423">
        <v>662118.08333333302</v>
      </c>
      <c r="D124" s="422">
        <v>12</v>
      </c>
      <c r="E124" s="423">
        <f t="shared" si="143"/>
        <v>7945417</v>
      </c>
      <c r="F124" s="423"/>
      <c r="G124" s="424">
        <v>0</v>
      </c>
      <c r="H124" s="426"/>
      <c r="I124" s="423">
        <f t="shared" si="144"/>
        <v>7945417</v>
      </c>
      <c r="J124" s="423">
        <v>200000</v>
      </c>
      <c r="K124" s="423">
        <v>0.2</v>
      </c>
      <c r="L124" s="423">
        <f t="shared" si="145"/>
        <v>1589083.4</v>
      </c>
      <c r="M124" s="423">
        <f t="shared" si="146"/>
        <v>1789083.4</v>
      </c>
      <c r="N124" s="423">
        <f t="shared" si="147"/>
        <v>1789083.4</v>
      </c>
      <c r="O124" s="423">
        <f t="shared" si="148"/>
        <v>6156333.5999999996</v>
      </c>
      <c r="P124" s="423">
        <f t="shared" si="149"/>
        <v>21000</v>
      </c>
      <c r="Q124" s="423">
        <f t="shared" si="150"/>
        <v>33000</v>
      </c>
      <c r="R124" s="423">
        <f t="shared" si="151"/>
        <v>75000</v>
      </c>
      <c r="S124" s="423">
        <f t="shared" si="152"/>
        <v>95000</v>
      </c>
      <c r="T124" s="423">
        <f t="shared" si="153"/>
        <v>336000</v>
      </c>
      <c r="U124" s="423">
        <f t="shared" si="154"/>
        <v>709520.06399999897</v>
      </c>
      <c r="V124" s="423">
        <f t="shared" si="155"/>
        <v>1269520.064</v>
      </c>
      <c r="W124" s="430">
        <v>12</v>
      </c>
      <c r="X124" s="423">
        <f t="shared" si="156"/>
        <v>105793.338666667</v>
      </c>
      <c r="Y124" s="426"/>
      <c r="Z124" s="423">
        <f t="shared" si="157"/>
        <v>105793.338666667</v>
      </c>
      <c r="AA124" s="435">
        <v>60214.677290666703</v>
      </c>
      <c r="AB124" s="435">
        <f t="shared" si="158"/>
        <v>45578.661375999902</v>
      </c>
      <c r="AC124" s="435"/>
      <c r="AD124" s="435"/>
      <c r="AE124" s="435"/>
    </row>
    <row r="125" spans="1:31" ht="18.75">
      <c r="A125" s="420">
        <v>101</v>
      </c>
      <c r="B125" s="9" t="s">
        <v>222</v>
      </c>
      <c r="C125" s="423">
        <v>540498</v>
      </c>
      <c r="D125" s="422">
        <v>12</v>
      </c>
      <c r="E125" s="423">
        <f t="shared" si="143"/>
        <v>6485976</v>
      </c>
      <c r="F125" s="423"/>
      <c r="G125" s="424">
        <v>451678.08</v>
      </c>
      <c r="H125" s="426"/>
      <c r="I125" s="423">
        <f t="shared" si="144"/>
        <v>6034297.9199999999</v>
      </c>
      <c r="J125" s="423">
        <v>200000</v>
      </c>
      <c r="K125" s="423">
        <v>0.2</v>
      </c>
      <c r="L125" s="423">
        <f t="shared" si="145"/>
        <v>1206859.584</v>
      </c>
      <c r="M125" s="423">
        <f t="shared" si="146"/>
        <v>1406859.584</v>
      </c>
      <c r="N125" s="423">
        <f t="shared" si="147"/>
        <v>1858537.6640000001</v>
      </c>
      <c r="O125" s="423">
        <f t="shared" si="148"/>
        <v>4627438.3360000001</v>
      </c>
      <c r="P125" s="423">
        <f t="shared" si="149"/>
        <v>21000</v>
      </c>
      <c r="Q125" s="423">
        <f t="shared" si="150"/>
        <v>33000</v>
      </c>
      <c r="R125" s="423">
        <f t="shared" si="151"/>
        <v>75000</v>
      </c>
      <c r="S125" s="423">
        <f t="shared" si="152"/>
        <v>95000</v>
      </c>
      <c r="T125" s="423">
        <f t="shared" si="153"/>
        <v>336000</v>
      </c>
      <c r="U125" s="423">
        <f t="shared" si="154"/>
        <v>342585.20064</v>
      </c>
      <c r="V125" s="423">
        <f t="shared" si="155"/>
        <v>902585.20064000005</v>
      </c>
      <c r="W125" s="430">
        <v>12</v>
      </c>
      <c r="X125" s="423">
        <f t="shared" si="156"/>
        <v>75215.4333866667</v>
      </c>
      <c r="Y125" s="426"/>
      <c r="Z125" s="423">
        <f t="shared" si="157"/>
        <v>75215.4333866667</v>
      </c>
      <c r="AA125" s="435">
        <v>44846.6165886667</v>
      </c>
      <c r="AB125" s="435">
        <f t="shared" si="158"/>
        <v>30368.816798</v>
      </c>
      <c r="AC125" s="435"/>
      <c r="AD125" s="435"/>
      <c r="AE125" s="435"/>
    </row>
    <row r="126" spans="1:31" ht="18.75">
      <c r="A126" s="420">
        <v>103</v>
      </c>
      <c r="B126" s="9" t="s">
        <v>225</v>
      </c>
      <c r="C126" s="423">
        <v>512746.5</v>
      </c>
      <c r="D126" s="422">
        <v>12</v>
      </c>
      <c r="E126" s="423">
        <f t="shared" si="143"/>
        <v>6152958</v>
      </c>
      <c r="F126" s="429">
        <f>646.3525*12</f>
        <v>7756.23</v>
      </c>
      <c r="G126" s="424">
        <v>425036.64</v>
      </c>
      <c r="H126" s="426"/>
      <c r="I126" s="423">
        <f t="shared" si="144"/>
        <v>5720165.1299999999</v>
      </c>
      <c r="J126" s="423">
        <v>200000</v>
      </c>
      <c r="K126" s="423">
        <v>0.2</v>
      </c>
      <c r="L126" s="423">
        <f t="shared" si="145"/>
        <v>1144033.0260000001</v>
      </c>
      <c r="M126" s="423">
        <f t="shared" si="146"/>
        <v>1344033.0260000001</v>
      </c>
      <c r="N126" s="423">
        <f t="shared" si="147"/>
        <v>1776825.8959999999</v>
      </c>
      <c r="O126" s="423">
        <f t="shared" si="148"/>
        <v>4376132.1040000003</v>
      </c>
      <c r="P126" s="423">
        <f t="shared" si="149"/>
        <v>21000</v>
      </c>
      <c r="Q126" s="423">
        <f t="shared" si="150"/>
        <v>33000</v>
      </c>
      <c r="R126" s="423">
        <f t="shared" si="151"/>
        <v>75000</v>
      </c>
      <c r="S126" s="423">
        <f t="shared" si="152"/>
        <v>95000</v>
      </c>
      <c r="T126" s="423">
        <f t="shared" si="153"/>
        <v>336000</v>
      </c>
      <c r="U126" s="423">
        <f t="shared" si="154"/>
        <v>282271.70496</v>
      </c>
      <c r="V126" s="423">
        <f t="shared" si="155"/>
        <v>842271.70496</v>
      </c>
      <c r="W126" s="430">
        <v>12</v>
      </c>
      <c r="X126" s="423">
        <f t="shared" si="156"/>
        <v>70189.308746666706</v>
      </c>
      <c r="Y126" s="426"/>
      <c r="Z126" s="423">
        <f t="shared" si="157"/>
        <v>70189.308746666706</v>
      </c>
      <c r="AA126" s="435">
        <v>42029.589186666701</v>
      </c>
      <c r="AB126" s="435">
        <f t="shared" si="158"/>
        <v>28159.719560000001</v>
      </c>
      <c r="AC126" s="435"/>
      <c r="AD126" s="435"/>
      <c r="AE126" s="435"/>
    </row>
    <row r="127" spans="1:31" ht="18.75">
      <c r="A127" s="420">
        <v>105</v>
      </c>
      <c r="B127" s="9" t="s">
        <v>227</v>
      </c>
      <c r="C127" s="423">
        <v>526622.25</v>
      </c>
      <c r="D127" s="422">
        <v>12</v>
      </c>
      <c r="E127" s="423">
        <f t="shared" si="143"/>
        <v>6319467</v>
      </c>
      <c r="F127" s="429">
        <f>668.31625*12</f>
        <v>8019.7950000000001</v>
      </c>
      <c r="G127" s="424">
        <v>438357.36</v>
      </c>
      <c r="H127" s="426"/>
      <c r="I127" s="423">
        <f t="shared" si="144"/>
        <v>5873089.8449999997</v>
      </c>
      <c r="J127" s="423">
        <v>200000</v>
      </c>
      <c r="K127" s="423">
        <v>0.2</v>
      </c>
      <c r="L127" s="423">
        <f t="shared" si="145"/>
        <v>1174617.969</v>
      </c>
      <c r="M127" s="423">
        <f t="shared" si="146"/>
        <v>1374617.969</v>
      </c>
      <c r="N127" s="423">
        <f t="shared" si="147"/>
        <v>1820995.1240000001</v>
      </c>
      <c r="O127" s="423">
        <f t="shared" si="148"/>
        <v>4498471.8760000002</v>
      </c>
      <c r="P127" s="423">
        <f t="shared" si="149"/>
        <v>21000</v>
      </c>
      <c r="Q127" s="423">
        <f t="shared" si="150"/>
        <v>33000</v>
      </c>
      <c r="R127" s="423">
        <f t="shared" si="151"/>
        <v>75000</v>
      </c>
      <c r="S127" s="423">
        <f t="shared" si="152"/>
        <v>95000</v>
      </c>
      <c r="T127" s="423">
        <f t="shared" si="153"/>
        <v>336000</v>
      </c>
      <c r="U127" s="423">
        <f t="shared" si="154"/>
        <v>311633.25024000002</v>
      </c>
      <c r="V127" s="423">
        <f t="shared" si="155"/>
        <v>871633.25023999996</v>
      </c>
      <c r="W127" s="430">
        <v>12</v>
      </c>
      <c r="X127" s="423">
        <f t="shared" si="156"/>
        <v>72636.104186666693</v>
      </c>
      <c r="Y127" s="426"/>
      <c r="Z127" s="423">
        <f t="shared" si="157"/>
        <v>72636.104186666693</v>
      </c>
      <c r="AA127" s="435">
        <v>43380.096246666697</v>
      </c>
      <c r="AB127" s="435">
        <f t="shared" si="158"/>
        <v>29256.00794</v>
      </c>
      <c r="AC127" s="435"/>
      <c r="AD127" s="435"/>
      <c r="AE127" s="435"/>
    </row>
    <row r="128" spans="1:31" ht="18.75">
      <c r="A128" s="420">
        <v>106</v>
      </c>
      <c r="B128" s="9" t="s">
        <v>228</v>
      </c>
      <c r="C128" s="423">
        <v>330481.66666666698</v>
      </c>
      <c r="D128" s="422">
        <v>12</v>
      </c>
      <c r="E128" s="423">
        <f t="shared" si="143"/>
        <v>3965780</v>
      </c>
      <c r="F128" s="423"/>
      <c r="G128" s="424">
        <v>259662.4</v>
      </c>
      <c r="H128" s="426"/>
      <c r="I128" s="423">
        <f t="shared" si="144"/>
        <v>3706117.6</v>
      </c>
      <c r="J128" s="423">
        <v>200000</v>
      </c>
      <c r="K128" s="423">
        <v>0.2</v>
      </c>
      <c r="L128" s="423">
        <f t="shared" si="145"/>
        <v>741223.52000000095</v>
      </c>
      <c r="M128" s="423">
        <f t="shared" si="146"/>
        <v>941223.52000000095</v>
      </c>
      <c r="N128" s="423">
        <f t="shared" si="147"/>
        <v>1200885.92</v>
      </c>
      <c r="O128" s="423">
        <f t="shared" si="148"/>
        <v>2764894.08</v>
      </c>
      <c r="P128" s="423">
        <f t="shared" si="149"/>
        <v>21000</v>
      </c>
      <c r="Q128" s="423">
        <f t="shared" si="150"/>
        <v>33000</v>
      </c>
      <c r="R128" s="423">
        <f t="shared" si="151"/>
        <v>75000</v>
      </c>
      <c r="S128" s="423">
        <f t="shared" si="152"/>
        <v>95000</v>
      </c>
      <c r="T128" s="423">
        <f t="shared" si="153"/>
        <v>244627.75680000099</v>
      </c>
      <c r="U128" s="423"/>
      <c r="V128" s="423">
        <f t="shared" si="155"/>
        <v>468627.75680000102</v>
      </c>
      <c r="W128" s="430">
        <v>12</v>
      </c>
      <c r="X128" s="423">
        <f t="shared" si="156"/>
        <v>39052.313066666698</v>
      </c>
      <c r="Y128" s="426"/>
      <c r="Z128" s="423">
        <f t="shared" si="157"/>
        <v>39052.313066666698</v>
      </c>
      <c r="AA128" s="435">
        <v>23036.012346666699</v>
      </c>
      <c r="AB128" s="435">
        <f t="shared" si="158"/>
        <v>16016.300719999999</v>
      </c>
      <c r="AC128" s="435"/>
      <c r="AD128" s="435"/>
      <c r="AE128" s="435"/>
    </row>
    <row r="129" spans="1:31" ht="18.75">
      <c r="A129" s="420">
        <v>107</v>
      </c>
      <c r="B129" s="16" t="s">
        <v>230</v>
      </c>
      <c r="C129" s="423">
        <v>274459.75</v>
      </c>
      <c r="D129" s="422">
        <v>12</v>
      </c>
      <c r="E129" s="423">
        <f t="shared" si="143"/>
        <v>3293517</v>
      </c>
      <c r="F129" s="423"/>
      <c r="G129" s="424">
        <v>215481.36</v>
      </c>
      <c r="H129" s="426"/>
      <c r="I129" s="423">
        <f t="shared" si="144"/>
        <v>3078035.64</v>
      </c>
      <c r="J129" s="423">
        <v>200000</v>
      </c>
      <c r="K129" s="423">
        <v>0.2</v>
      </c>
      <c r="L129" s="423">
        <f t="shared" si="145"/>
        <v>615607.12800000003</v>
      </c>
      <c r="M129" s="423">
        <f t="shared" si="146"/>
        <v>815607.12800000003</v>
      </c>
      <c r="N129" s="423">
        <f t="shared" si="147"/>
        <v>1031088.488</v>
      </c>
      <c r="O129" s="423">
        <f t="shared" si="148"/>
        <v>2262428.5120000001</v>
      </c>
      <c r="P129" s="423">
        <f t="shared" si="149"/>
        <v>21000</v>
      </c>
      <c r="Q129" s="423">
        <f t="shared" si="150"/>
        <v>33000</v>
      </c>
      <c r="R129" s="423">
        <f t="shared" si="151"/>
        <v>75000</v>
      </c>
      <c r="S129" s="423">
        <f t="shared" si="152"/>
        <v>95000</v>
      </c>
      <c r="T129" s="423">
        <f t="shared" si="153"/>
        <v>139109.98752</v>
      </c>
      <c r="U129" s="423"/>
      <c r="V129" s="423">
        <f t="shared" si="155"/>
        <v>363109.98752000002</v>
      </c>
      <c r="W129" s="430">
        <v>12</v>
      </c>
      <c r="X129" s="423">
        <f t="shared" si="156"/>
        <v>30259.165626666701</v>
      </c>
      <c r="Y129" s="426"/>
      <c r="Z129" s="423">
        <f t="shared" si="157"/>
        <v>30259.165626666701</v>
      </c>
      <c r="AA129" s="435">
        <v>17042.713866666702</v>
      </c>
      <c r="AB129" s="435">
        <f t="shared" si="158"/>
        <v>13216.45176</v>
      </c>
      <c r="AC129" s="435"/>
      <c r="AD129" s="435"/>
      <c r="AE129" s="435"/>
    </row>
    <row r="130" spans="1:31" ht="18.75">
      <c r="A130" s="420">
        <v>108</v>
      </c>
      <c r="B130" s="16" t="s">
        <v>232</v>
      </c>
      <c r="C130" s="423">
        <v>274459.75</v>
      </c>
      <c r="D130" s="422">
        <v>12</v>
      </c>
      <c r="E130" s="423">
        <f t="shared" si="143"/>
        <v>3293517</v>
      </c>
      <c r="F130" s="423"/>
      <c r="G130" s="424">
        <v>215481.36</v>
      </c>
      <c r="H130" s="426"/>
      <c r="I130" s="423">
        <f t="shared" si="144"/>
        <v>3078035.64</v>
      </c>
      <c r="J130" s="423">
        <v>200000</v>
      </c>
      <c r="K130" s="423">
        <v>0.2</v>
      </c>
      <c r="L130" s="423">
        <f t="shared" si="145"/>
        <v>615607.12800000003</v>
      </c>
      <c r="M130" s="423">
        <f t="shared" si="146"/>
        <v>815607.12800000003</v>
      </c>
      <c r="N130" s="423">
        <f t="shared" si="147"/>
        <v>1031088.488</v>
      </c>
      <c r="O130" s="423">
        <f t="shared" si="148"/>
        <v>2262428.5120000001</v>
      </c>
      <c r="P130" s="423">
        <f t="shared" si="149"/>
        <v>21000</v>
      </c>
      <c r="Q130" s="423">
        <f t="shared" si="150"/>
        <v>33000</v>
      </c>
      <c r="R130" s="423">
        <f t="shared" si="151"/>
        <v>75000</v>
      </c>
      <c r="S130" s="423">
        <f t="shared" si="152"/>
        <v>95000</v>
      </c>
      <c r="T130" s="423">
        <f t="shared" si="153"/>
        <v>139109.98752</v>
      </c>
      <c r="U130" s="423"/>
      <c r="V130" s="423">
        <f t="shared" si="155"/>
        <v>363109.98752000002</v>
      </c>
      <c r="W130" s="430">
        <v>12</v>
      </c>
      <c r="X130" s="423">
        <f t="shared" si="156"/>
        <v>30259.165626666701</v>
      </c>
      <c r="Y130" s="426"/>
      <c r="Z130" s="423">
        <f t="shared" si="157"/>
        <v>30259.165626666701</v>
      </c>
      <c r="AA130" s="435">
        <v>17042.713866666702</v>
      </c>
      <c r="AB130" s="435">
        <f t="shared" si="158"/>
        <v>13216.45176</v>
      </c>
      <c r="AC130" s="435"/>
      <c r="AD130" s="435"/>
      <c r="AE130" s="435"/>
    </row>
    <row r="131" spans="1:31" ht="18.75">
      <c r="A131" s="420">
        <v>109</v>
      </c>
      <c r="B131" s="18" t="s">
        <v>96</v>
      </c>
      <c r="C131" s="423"/>
      <c r="D131" s="422"/>
      <c r="E131" s="423"/>
      <c r="F131" s="423"/>
      <c r="G131" s="426"/>
      <c r="H131" s="426"/>
      <c r="I131" s="423"/>
      <c r="J131" s="423"/>
      <c r="K131" s="423"/>
      <c r="L131" s="423"/>
      <c r="M131" s="423"/>
      <c r="N131" s="423"/>
      <c r="O131" s="423"/>
      <c r="P131" s="423"/>
      <c r="Q131" s="423"/>
      <c r="R131" s="423"/>
      <c r="S131" s="423"/>
      <c r="T131" s="423"/>
      <c r="U131" s="423"/>
      <c r="V131" s="423"/>
      <c r="W131" s="430"/>
      <c r="X131" s="423"/>
      <c r="Y131" s="426"/>
      <c r="Z131" s="423"/>
      <c r="AA131" s="435"/>
      <c r="AB131" s="435"/>
      <c r="AC131" s="435"/>
      <c r="AD131" s="435"/>
      <c r="AE131" s="435"/>
    </row>
    <row r="132" spans="1:31" ht="18.75">
      <c r="A132" s="420">
        <v>110</v>
      </c>
      <c r="B132" s="20"/>
      <c r="C132" s="423"/>
      <c r="U132" s="436"/>
      <c r="AC132" s="435"/>
      <c r="AD132" s="435"/>
      <c r="AE132" s="435"/>
    </row>
    <row r="133" spans="1:31" ht="37.5">
      <c r="A133" s="420">
        <v>111</v>
      </c>
      <c r="B133" s="18" t="s">
        <v>236</v>
      </c>
      <c r="C133" s="423"/>
      <c r="U133" s="436"/>
      <c r="AC133" s="435"/>
      <c r="AD133" s="435"/>
      <c r="AE133" s="435"/>
    </row>
    <row r="134" spans="1:31" ht="18.75">
      <c r="A134" s="420">
        <v>112</v>
      </c>
      <c r="B134" s="9" t="s">
        <v>237</v>
      </c>
      <c r="C134" s="423">
        <v>1535720</v>
      </c>
      <c r="D134" s="422">
        <v>12</v>
      </c>
      <c r="E134" s="423">
        <f t="shared" ref="E134:E192" si="159">C134*D134</f>
        <v>18428640</v>
      </c>
      <c r="F134" s="423"/>
      <c r="G134" s="424">
        <v>1378291.2</v>
      </c>
      <c r="H134" s="426"/>
      <c r="I134" s="423">
        <f t="shared" ref="I134:I192" si="160">E134-F134-G134-H134</f>
        <v>17050348.800000001</v>
      </c>
      <c r="J134" s="423">
        <v>200000</v>
      </c>
      <c r="K134" s="423">
        <v>0.2</v>
      </c>
      <c r="L134" s="423">
        <f t="shared" ref="L134:L192" si="161">I134*K134</f>
        <v>3410069.76</v>
      </c>
      <c r="M134" s="423">
        <f t="shared" ref="M134:M192" si="162">J134+L134</f>
        <v>3610069.76</v>
      </c>
      <c r="N134" s="423">
        <f t="shared" ref="N134:N192" si="163">F134+G134+H134+M134</f>
        <v>4988360.96</v>
      </c>
      <c r="O134" s="423">
        <f t="shared" ref="O134:O192" si="164">E134-N134</f>
        <v>13440279.039999999</v>
      </c>
      <c r="P134" s="423">
        <f t="shared" ref="P134:P192" si="165">IF(O134&lt;300000,0.07*O134,21000)</f>
        <v>21000</v>
      </c>
      <c r="Q134" s="423">
        <f t="shared" ref="Q134:Q192" si="166">IF((O134-300000)&lt;0,0,IF((O134-300000)&lt;300000,0.11*(O134-300000),33000))</f>
        <v>33000</v>
      </c>
      <c r="R134" s="423">
        <f t="shared" ref="R134:R192" si="167">IF((O134-600000)&lt;0,0,IF((O134-600000)&lt;500000,0.15*(O134-600000),75000))</f>
        <v>75000</v>
      </c>
      <c r="S134" s="423">
        <f t="shared" ref="S134:S192" si="168">IF((O134-1100000)&lt;0,0,IF((O134-1100000)&lt;500000,0.19*(O134-1100000),95000))</f>
        <v>95000</v>
      </c>
      <c r="T134" s="423">
        <f t="shared" ref="T134:T192" si="169">IF((O134-1600000)&lt;0,0,IF((O134-1600000)&lt;1600000,0.21*(O134-1600000),336000))</f>
        <v>336000</v>
      </c>
      <c r="U134" s="423">
        <f t="shared" ref="U134:U146" si="170">0.24*(O134-3200000)</f>
        <v>2457666.9696</v>
      </c>
      <c r="V134" s="423">
        <f t="shared" ref="V134:V192" si="171">P134+Q134+R134+S134+T134+U134</f>
        <v>3017666.9696</v>
      </c>
      <c r="W134" s="430">
        <v>12</v>
      </c>
      <c r="X134" s="423">
        <f t="shared" ref="X134:X192" si="172">V134/W134</f>
        <v>251472.247466667</v>
      </c>
      <c r="Y134" s="426"/>
      <c r="Z134" s="423">
        <f t="shared" ref="Z134:Z192" si="173">X134</f>
        <v>251472.247466667</v>
      </c>
      <c r="AA134" s="435">
        <v>161106.806858667</v>
      </c>
      <c r="AB134" s="435">
        <f t="shared" ref="AB134:AB192" si="174">Z134-AA134</f>
        <v>90365.440607999597</v>
      </c>
      <c r="AC134" s="435"/>
      <c r="AD134" s="435"/>
      <c r="AE134" s="435"/>
    </row>
    <row r="135" spans="1:31" ht="18.75">
      <c r="A135" s="420">
        <v>113</v>
      </c>
      <c r="B135" s="9" t="s">
        <v>522</v>
      </c>
      <c r="C135" s="423">
        <v>852373.16666666698</v>
      </c>
      <c r="D135" s="422">
        <v>12</v>
      </c>
      <c r="E135" s="423">
        <f t="shared" si="159"/>
        <v>10228478</v>
      </c>
      <c r="F135" s="423"/>
      <c r="G135" s="424">
        <v>0</v>
      </c>
      <c r="H135" s="426"/>
      <c r="I135" s="423">
        <f t="shared" si="160"/>
        <v>10228478</v>
      </c>
      <c r="J135" s="423">
        <v>200000</v>
      </c>
      <c r="K135" s="423">
        <v>0.2</v>
      </c>
      <c r="L135" s="423">
        <f t="shared" si="161"/>
        <v>2045695.6</v>
      </c>
      <c r="M135" s="423">
        <f t="shared" si="162"/>
        <v>2245695.6</v>
      </c>
      <c r="N135" s="423">
        <f t="shared" si="163"/>
        <v>2245695.6</v>
      </c>
      <c r="O135" s="423">
        <f t="shared" si="164"/>
        <v>7982782.4000000004</v>
      </c>
      <c r="P135" s="423">
        <f t="shared" si="165"/>
        <v>21000</v>
      </c>
      <c r="Q135" s="423">
        <f t="shared" si="166"/>
        <v>33000</v>
      </c>
      <c r="R135" s="423">
        <f t="shared" si="167"/>
        <v>75000</v>
      </c>
      <c r="S135" s="423">
        <f t="shared" si="168"/>
        <v>95000</v>
      </c>
      <c r="T135" s="423">
        <f t="shared" si="169"/>
        <v>336000</v>
      </c>
      <c r="U135" s="423">
        <f t="shared" si="170"/>
        <v>1147867.7760000001</v>
      </c>
      <c r="V135" s="423">
        <f t="shared" si="171"/>
        <v>1707867.7760000001</v>
      </c>
      <c r="W135" s="430">
        <v>12</v>
      </c>
      <c r="X135" s="423">
        <f t="shared" si="172"/>
        <v>142322.31466666699</v>
      </c>
      <c r="Y135" s="426"/>
      <c r="Z135" s="423">
        <f t="shared" si="173"/>
        <v>142322.31466666699</v>
      </c>
      <c r="AA135" s="435">
        <v>82627.951418666693</v>
      </c>
      <c r="AB135" s="435">
        <f t="shared" si="174"/>
        <v>59694.363248000001</v>
      </c>
      <c r="AC135" s="435"/>
      <c r="AD135" s="435"/>
      <c r="AE135" s="435"/>
    </row>
    <row r="136" spans="1:31" ht="18.75">
      <c r="A136" s="420">
        <v>114</v>
      </c>
      <c r="B136" s="12" t="s">
        <v>239</v>
      </c>
      <c r="C136" s="423">
        <v>902373.16666666698</v>
      </c>
      <c r="D136" s="422">
        <v>12</v>
      </c>
      <c r="E136" s="423">
        <f t="shared" si="159"/>
        <v>10828478</v>
      </c>
      <c r="F136" s="423">
        <f>1066.32925*12</f>
        <v>12795.950999999999</v>
      </c>
      <c r="G136" s="424">
        <v>731878.24</v>
      </c>
      <c r="H136" s="426"/>
      <c r="I136" s="423">
        <f t="shared" si="160"/>
        <v>10083803.809</v>
      </c>
      <c r="J136" s="423">
        <v>200000</v>
      </c>
      <c r="K136" s="423">
        <v>0.2</v>
      </c>
      <c r="L136" s="423">
        <f t="shared" si="161"/>
        <v>2016760.7618</v>
      </c>
      <c r="M136" s="423">
        <f t="shared" si="162"/>
        <v>2216760.7618</v>
      </c>
      <c r="N136" s="423">
        <f t="shared" si="163"/>
        <v>2961434.9528000001</v>
      </c>
      <c r="O136" s="423">
        <f t="shared" si="164"/>
        <v>7867043.0471999999</v>
      </c>
      <c r="P136" s="423">
        <f t="shared" si="165"/>
        <v>21000</v>
      </c>
      <c r="Q136" s="423">
        <f t="shared" si="166"/>
        <v>33000</v>
      </c>
      <c r="R136" s="423">
        <f t="shared" si="167"/>
        <v>75000</v>
      </c>
      <c r="S136" s="423">
        <f t="shared" si="168"/>
        <v>95000</v>
      </c>
      <c r="T136" s="423">
        <f t="shared" si="169"/>
        <v>336000</v>
      </c>
      <c r="U136" s="423">
        <f t="shared" si="170"/>
        <v>1120090.3313279999</v>
      </c>
      <c r="V136" s="423">
        <f t="shared" si="171"/>
        <v>1680090.3313279999</v>
      </c>
      <c r="W136" s="430">
        <v>12</v>
      </c>
      <c r="X136" s="423">
        <f t="shared" si="172"/>
        <v>140007.52761066699</v>
      </c>
      <c r="Y136" s="426"/>
      <c r="Z136" s="423">
        <f t="shared" si="173"/>
        <v>140007.52761066699</v>
      </c>
      <c r="AA136" s="435">
        <v>92023.216202666707</v>
      </c>
      <c r="AB136" s="435">
        <f t="shared" si="174"/>
        <v>47984.311408000001</v>
      </c>
      <c r="AC136" s="435"/>
      <c r="AD136" s="435"/>
      <c r="AE136" s="435"/>
    </row>
    <row r="137" spans="1:31" ht="18.75">
      <c r="A137" s="420">
        <v>115</v>
      </c>
      <c r="B137" s="9" t="s">
        <v>241</v>
      </c>
      <c r="C137" s="423">
        <v>554373.75</v>
      </c>
      <c r="D137" s="422">
        <v>12</v>
      </c>
      <c r="E137" s="423">
        <f t="shared" si="159"/>
        <v>6652485</v>
      </c>
      <c r="F137" s="423">
        <f t="shared" ref="F137:F139" si="175">712.24525*12</f>
        <v>8546.9429999999993</v>
      </c>
      <c r="G137" s="424">
        <v>464998.8</v>
      </c>
      <c r="H137" s="426"/>
      <c r="I137" s="423">
        <f t="shared" si="160"/>
        <v>6178939.2570000002</v>
      </c>
      <c r="J137" s="423">
        <v>200000</v>
      </c>
      <c r="K137" s="423">
        <v>0.2</v>
      </c>
      <c r="L137" s="423">
        <f t="shared" si="161"/>
        <v>1235787.8514</v>
      </c>
      <c r="M137" s="423">
        <f t="shared" si="162"/>
        <v>1435787.8514</v>
      </c>
      <c r="N137" s="423">
        <f t="shared" si="163"/>
        <v>1909333.5944000001</v>
      </c>
      <c r="O137" s="423">
        <f t="shared" si="164"/>
        <v>4743151.4056000002</v>
      </c>
      <c r="P137" s="423">
        <f t="shared" si="165"/>
        <v>21000</v>
      </c>
      <c r="Q137" s="423">
        <f t="shared" si="166"/>
        <v>33000</v>
      </c>
      <c r="R137" s="423">
        <f t="shared" si="167"/>
        <v>75000</v>
      </c>
      <c r="S137" s="423">
        <f t="shared" si="168"/>
        <v>95000</v>
      </c>
      <c r="T137" s="423">
        <f t="shared" si="169"/>
        <v>336000</v>
      </c>
      <c r="U137" s="423">
        <f t="shared" si="170"/>
        <v>370356.337344</v>
      </c>
      <c r="V137" s="423">
        <f t="shared" si="171"/>
        <v>930356.337344</v>
      </c>
      <c r="W137" s="430">
        <v>12</v>
      </c>
      <c r="X137" s="423">
        <f t="shared" si="172"/>
        <v>77529.694778666701</v>
      </c>
      <c r="Y137" s="426"/>
      <c r="Z137" s="423">
        <f t="shared" si="173"/>
        <v>77529.694778666701</v>
      </c>
      <c r="AA137" s="435">
        <v>46081.202598666699</v>
      </c>
      <c r="AB137" s="435">
        <f t="shared" si="174"/>
        <v>31448.492180000001</v>
      </c>
      <c r="AC137" s="435"/>
      <c r="AD137" s="435"/>
      <c r="AE137" s="435"/>
    </row>
    <row r="138" spans="1:31" ht="18.75">
      <c r="A138" s="420">
        <v>116</v>
      </c>
      <c r="B138" s="9" t="s">
        <v>243</v>
      </c>
      <c r="C138" s="423">
        <v>554373.75</v>
      </c>
      <c r="D138" s="422">
        <v>12</v>
      </c>
      <c r="E138" s="423">
        <f t="shared" si="159"/>
        <v>6652485</v>
      </c>
      <c r="F138" s="423">
        <f t="shared" si="175"/>
        <v>8546.9429999999993</v>
      </c>
      <c r="G138" s="424">
        <v>464998.8</v>
      </c>
      <c r="H138" s="426"/>
      <c r="I138" s="423">
        <f t="shared" si="160"/>
        <v>6178939.2570000002</v>
      </c>
      <c r="J138" s="423">
        <v>200000</v>
      </c>
      <c r="K138" s="423">
        <v>0.2</v>
      </c>
      <c r="L138" s="423">
        <f t="shared" si="161"/>
        <v>1235787.8514</v>
      </c>
      <c r="M138" s="423">
        <f t="shared" si="162"/>
        <v>1435787.8514</v>
      </c>
      <c r="N138" s="423">
        <f t="shared" si="163"/>
        <v>1909333.5944000001</v>
      </c>
      <c r="O138" s="423">
        <f t="shared" si="164"/>
        <v>4743151.4056000002</v>
      </c>
      <c r="P138" s="423">
        <f t="shared" si="165"/>
        <v>21000</v>
      </c>
      <c r="Q138" s="423">
        <f t="shared" si="166"/>
        <v>33000</v>
      </c>
      <c r="R138" s="423">
        <f t="shared" si="167"/>
        <v>75000</v>
      </c>
      <c r="S138" s="423">
        <f t="shared" si="168"/>
        <v>95000</v>
      </c>
      <c r="T138" s="423">
        <f t="shared" si="169"/>
        <v>336000</v>
      </c>
      <c r="U138" s="423">
        <f t="shared" si="170"/>
        <v>370356.337344</v>
      </c>
      <c r="V138" s="423">
        <f t="shared" si="171"/>
        <v>930356.337344</v>
      </c>
      <c r="W138" s="430">
        <v>12</v>
      </c>
      <c r="X138" s="423">
        <f t="shared" si="172"/>
        <v>77529.694778666701</v>
      </c>
      <c r="Y138" s="426"/>
      <c r="Z138" s="423">
        <f t="shared" si="173"/>
        <v>77529.694778666701</v>
      </c>
      <c r="AA138" s="435">
        <v>46081.202598666699</v>
      </c>
      <c r="AB138" s="435">
        <f t="shared" si="174"/>
        <v>31448.492180000001</v>
      </c>
      <c r="AC138" s="435"/>
      <c r="AD138" s="435"/>
      <c r="AE138" s="435"/>
    </row>
    <row r="139" spans="1:31" ht="18.75">
      <c r="A139" s="420">
        <v>117</v>
      </c>
      <c r="B139" s="9" t="s">
        <v>245</v>
      </c>
      <c r="C139" s="423">
        <v>554373.75</v>
      </c>
      <c r="D139" s="422">
        <v>12</v>
      </c>
      <c r="E139" s="423">
        <f t="shared" si="159"/>
        <v>6652485</v>
      </c>
      <c r="F139" s="423">
        <f t="shared" si="175"/>
        <v>8546.9429999999993</v>
      </c>
      <c r="G139" s="424">
        <v>464998.8</v>
      </c>
      <c r="H139" s="426"/>
      <c r="I139" s="423">
        <f t="shared" si="160"/>
        <v>6178939.2570000002</v>
      </c>
      <c r="J139" s="423">
        <v>200000</v>
      </c>
      <c r="K139" s="423">
        <v>0.2</v>
      </c>
      <c r="L139" s="423">
        <f t="shared" si="161"/>
        <v>1235787.8514</v>
      </c>
      <c r="M139" s="423">
        <f t="shared" si="162"/>
        <v>1435787.8514</v>
      </c>
      <c r="N139" s="423">
        <f t="shared" si="163"/>
        <v>1909333.5944000001</v>
      </c>
      <c r="O139" s="423">
        <f t="shared" si="164"/>
        <v>4743151.4056000002</v>
      </c>
      <c r="P139" s="423">
        <f t="shared" si="165"/>
        <v>21000</v>
      </c>
      <c r="Q139" s="423">
        <f t="shared" si="166"/>
        <v>33000</v>
      </c>
      <c r="R139" s="423">
        <f t="shared" si="167"/>
        <v>75000</v>
      </c>
      <c r="S139" s="423">
        <f t="shared" si="168"/>
        <v>95000</v>
      </c>
      <c r="T139" s="423">
        <f t="shared" si="169"/>
        <v>336000</v>
      </c>
      <c r="U139" s="423">
        <f t="shared" si="170"/>
        <v>370356.337344</v>
      </c>
      <c r="V139" s="423">
        <f t="shared" si="171"/>
        <v>930356.337344</v>
      </c>
      <c r="W139" s="430">
        <v>12</v>
      </c>
      <c r="X139" s="423">
        <f t="shared" si="172"/>
        <v>77529.694778666701</v>
      </c>
      <c r="Y139" s="426"/>
      <c r="Z139" s="423">
        <f t="shared" si="173"/>
        <v>77529.694778666701</v>
      </c>
      <c r="AA139" s="435">
        <v>46081.202598666699</v>
      </c>
      <c r="AB139" s="435">
        <f t="shared" si="174"/>
        <v>31448.492180000001</v>
      </c>
      <c r="AC139" s="435"/>
      <c r="AD139" s="435"/>
      <c r="AE139" s="435"/>
    </row>
    <row r="140" spans="1:31" ht="18.75">
      <c r="A140" s="420">
        <v>118</v>
      </c>
      <c r="B140" s="9" t="s">
        <v>180</v>
      </c>
      <c r="C140" s="423">
        <v>450086.5</v>
      </c>
      <c r="D140" s="422">
        <v>12</v>
      </c>
      <c r="E140" s="423">
        <f t="shared" si="159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60"/>
        <v>5019635.5049999999</v>
      </c>
      <c r="J140" s="423">
        <v>200000</v>
      </c>
      <c r="K140" s="423">
        <v>0.2</v>
      </c>
      <c r="L140" s="423">
        <f t="shared" si="161"/>
        <v>1003927.101</v>
      </c>
      <c r="M140" s="423">
        <f t="shared" si="162"/>
        <v>1203927.101</v>
      </c>
      <c r="N140" s="423">
        <f t="shared" si="163"/>
        <v>1585329.5959999999</v>
      </c>
      <c r="O140" s="423">
        <f t="shared" si="164"/>
        <v>3815708.4040000001</v>
      </c>
      <c r="P140" s="423">
        <f t="shared" si="165"/>
        <v>21000</v>
      </c>
      <c r="Q140" s="423">
        <f t="shared" si="166"/>
        <v>33000</v>
      </c>
      <c r="R140" s="423">
        <f t="shared" si="167"/>
        <v>75000</v>
      </c>
      <c r="S140" s="423">
        <f t="shared" si="168"/>
        <v>95000</v>
      </c>
      <c r="T140" s="423">
        <f t="shared" si="169"/>
        <v>336000</v>
      </c>
      <c r="U140" s="423">
        <f t="shared" si="170"/>
        <v>147770.01696000001</v>
      </c>
      <c r="V140" s="423">
        <f t="shared" si="171"/>
        <v>707770.01696000004</v>
      </c>
      <c r="W140" s="430">
        <v>12</v>
      </c>
      <c r="X140" s="423">
        <f t="shared" si="172"/>
        <v>58980.834746666696</v>
      </c>
      <c r="Y140" s="426"/>
      <c r="Z140" s="423">
        <f t="shared" si="173"/>
        <v>58980.834746666696</v>
      </c>
      <c r="AA140" s="435">
        <v>35221.954086666701</v>
      </c>
      <c r="AB140" s="435">
        <f t="shared" si="174"/>
        <v>23758.880659999999</v>
      </c>
      <c r="AC140" s="435"/>
      <c r="AD140" s="435"/>
      <c r="AE140" s="435"/>
    </row>
    <row r="141" spans="1:31" ht="18.75">
      <c r="A141" s="420">
        <v>119</v>
      </c>
      <c r="B141" s="9" t="s">
        <v>246</v>
      </c>
      <c r="C141" s="423">
        <v>450086.5</v>
      </c>
      <c r="D141" s="422">
        <v>12</v>
      </c>
      <c r="E141" s="423">
        <f t="shared" si="159"/>
        <v>5401038</v>
      </c>
      <c r="F141" s="423"/>
      <c r="G141" s="424">
        <v>374483.04</v>
      </c>
      <c r="H141" s="426"/>
      <c r="I141" s="423">
        <f t="shared" si="160"/>
        <v>5026554.96</v>
      </c>
      <c r="J141" s="423">
        <v>200000</v>
      </c>
      <c r="K141" s="423">
        <v>0.2</v>
      </c>
      <c r="L141" s="423">
        <f t="shared" si="161"/>
        <v>1005310.992</v>
      </c>
      <c r="M141" s="423">
        <f t="shared" si="162"/>
        <v>1205310.9920000001</v>
      </c>
      <c r="N141" s="423">
        <f t="shared" si="163"/>
        <v>1579794.0319999999</v>
      </c>
      <c r="O141" s="423">
        <f t="shared" si="164"/>
        <v>3821243.9679999999</v>
      </c>
      <c r="P141" s="423">
        <f t="shared" si="165"/>
        <v>21000</v>
      </c>
      <c r="Q141" s="423">
        <f t="shared" si="166"/>
        <v>33000</v>
      </c>
      <c r="R141" s="423">
        <f t="shared" si="167"/>
        <v>75000</v>
      </c>
      <c r="S141" s="423">
        <f t="shared" si="168"/>
        <v>95000</v>
      </c>
      <c r="T141" s="423">
        <f t="shared" si="169"/>
        <v>336000</v>
      </c>
      <c r="U141" s="423">
        <f t="shared" si="170"/>
        <v>149098.55231999999</v>
      </c>
      <c r="V141" s="423">
        <f t="shared" si="171"/>
        <v>709098.55232000002</v>
      </c>
      <c r="W141" s="430">
        <v>12</v>
      </c>
      <c r="X141" s="423">
        <f t="shared" si="172"/>
        <v>59091.5460266667</v>
      </c>
      <c r="Y141" s="426"/>
      <c r="Z141" s="423">
        <f t="shared" si="173"/>
        <v>59091.5460266667</v>
      </c>
      <c r="AA141" s="435">
        <v>35318.826456666699</v>
      </c>
      <c r="AB141" s="435">
        <f t="shared" si="174"/>
        <v>23772.719570000001</v>
      </c>
      <c r="AC141" s="435"/>
      <c r="AD141" s="435"/>
      <c r="AE141" s="435"/>
    </row>
    <row r="142" spans="1:31" ht="18.75">
      <c r="A142" s="420">
        <v>120</v>
      </c>
      <c r="B142" s="9" t="s">
        <v>247</v>
      </c>
      <c r="C142" s="423">
        <v>450086.5</v>
      </c>
      <c r="D142" s="422">
        <v>12</v>
      </c>
      <c r="E142" s="423">
        <f t="shared" si="159"/>
        <v>5401038</v>
      </c>
      <c r="F142" s="423"/>
      <c r="G142" s="424">
        <v>374483.04</v>
      </c>
      <c r="H142" s="426"/>
      <c r="I142" s="423">
        <f t="shared" si="160"/>
        <v>5026554.96</v>
      </c>
      <c r="J142" s="423">
        <v>200000</v>
      </c>
      <c r="K142" s="423">
        <v>0.2</v>
      </c>
      <c r="L142" s="423">
        <f t="shared" si="161"/>
        <v>1005310.992</v>
      </c>
      <c r="M142" s="423">
        <f t="shared" si="162"/>
        <v>1205310.9920000001</v>
      </c>
      <c r="N142" s="423">
        <f t="shared" si="163"/>
        <v>1579794.0319999999</v>
      </c>
      <c r="O142" s="423">
        <f t="shared" si="164"/>
        <v>3821243.9679999999</v>
      </c>
      <c r="P142" s="423">
        <f t="shared" si="165"/>
        <v>21000</v>
      </c>
      <c r="Q142" s="423">
        <f t="shared" si="166"/>
        <v>33000</v>
      </c>
      <c r="R142" s="423">
        <f t="shared" si="167"/>
        <v>75000</v>
      </c>
      <c r="S142" s="423">
        <f t="shared" si="168"/>
        <v>95000</v>
      </c>
      <c r="T142" s="423">
        <f t="shared" si="169"/>
        <v>336000</v>
      </c>
      <c r="U142" s="423">
        <f t="shared" si="170"/>
        <v>149098.55231999999</v>
      </c>
      <c r="V142" s="423">
        <f t="shared" si="171"/>
        <v>709098.55232000002</v>
      </c>
      <c r="W142" s="430">
        <v>12</v>
      </c>
      <c r="X142" s="423">
        <f t="shared" si="172"/>
        <v>59091.5460266667</v>
      </c>
      <c r="Y142" s="426"/>
      <c r="Z142" s="423">
        <f t="shared" si="173"/>
        <v>59091.5460266667</v>
      </c>
      <c r="AA142" s="435">
        <v>35318.826456666699</v>
      </c>
      <c r="AB142" s="435">
        <f t="shared" si="174"/>
        <v>23772.719570000001</v>
      </c>
      <c r="AC142" s="435"/>
      <c r="AD142" s="435"/>
      <c r="AE142" s="435"/>
    </row>
    <row r="143" spans="1:31" ht="37.5">
      <c r="A143" s="420">
        <v>121</v>
      </c>
      <c r="B143" s="9" t="s">
        <v>249</v>
      </c>
      <c r="C143" s="423">
        <v>437895.16666666698</v>
      </c>
      <c r="D143" s="422">
        <v>12</v>
      </c>
      <c r="E143" s="423">
        <f t="shared" si="159"/>
        <v>5254742</v>
      </c>
      <c r="F143" s="423"/>
      <c r="G143" s="424">
        <v>362779.36</v>
      </c>
      <c r="H143" s="426"/>
      <c r="I143" s="423">
        <f t="shared" si="160"/>
        <v>4891962.6399999997</v>
      </c>
      <c r="J143" s="423">
        <v>200000</v>
      </c>
      <c r="K143" s="423">
        <v>0.2</v>
      </c>
      <c r="L143" s="423">
        <f t="shared" si="161"/>
        <v>978392.52800000098</v>
      </c>
      <c r="M143" s="423">
        <f t="shared" si="162"/>
        <v>1178392.5279999999</v>
      </c>
      <c r="N143" s="423">
        <f t="shared" si="163"/>
        <v>1541171.888</v>
      </c>
      <c r="O143" s="423">
        <f t="shared" si="164"/>
        <v>3713570.1120000002</v>
      </c>
      <c r="P143" s="423">
        <f t="shared" si="165"/>
        <v>21000</v>
      </c>
      <c r="Q143" s="423">
        <f t="shared" si="166"/>
        <v>33000</v>
      </c>
      <c r="R143" s="423">
        <f t="shared" si="167"/>
        <v>75000</v>
      </c>
      <c r="S143" s="423">
        <f t="shared" si="168"/>
        <v>95000</v>
      </c>
      <c r="T143" s="423">
        <f t="shared" si="169"/>
        <v>336000</v>
      </c>
      <c r="U143" s="423">
        <f t="shared" si="170"/>
        <v>123256.826880001</v>
      </c>
      <c r="V143" s="423">
        <f t="shared" si="171"/>
        <v>683256.826880001</v>
      </c>
      <c r="W143" s="430">
        <v>12</v>
      </c>
      <c r="X143" s="423">
        <f t="shared" si="172"/>
        <v>56938.068906666696</v>
      </c>
      <c r="Y143" s="426"/>
      <c r="Z143" s="423">
        <f t="shared" si="173"/>
        <v>56938.068906666696</v>
      </c>
      <c r="AA143" s="435">
        <v>34968.882414666703</v>
      </c>
      <c r="AB143" s="435">
        <f t="shared" si="174"/>
        <v>21969.186492000001</v>
      </c>
      <c r="AC143" s="435"/>
      <c r="AD143" s="435"/>
      <c r="AE143" s="435"/>
    </row>
    <row r="144" spans="1:31" ht="18.75">
      <c r="A144" s="420">
        <v>122</v>
      </c>
      <c r="B144" s="9" t="s">
        <v>251</v>
      </c>
      <c r="C144" s="423">
        <v>425703.83333333302</v>
      </c>
      <c r="D144" s="422">
        <v>12</v>
      </c>
      <c r="E144" s="423">
        <f t="shared" si="159"/>
        <v>5108446</v>
      </c>
      <c r="F144" s="423">
        <f>538.022*12</f>
        <v>6456.2640000000001</v>
      </c>
      <c r="G144" s="424">
        <v>351075.68</v>
      </c>
      <c r="H144" s="426"/>
      <c r="I144" s="423">
        <f t="shared" si="160"/>
        <v>4750914.0559999999</v>
      </c>
      <c r="J144" s="423">
        <v>200000</v>
      </c>
      <c r="K144" s="423">
        <v>0.2</v>
      </c>
      <c r="L144" s="423">
        <f t="shared" si="161"/>
        <v>950182.81119999895</v>
      </c>
      <c r="M144" s="423">
        <f t="shared" si="162"/>
        <v>1150182.8112000001</v>
      </c>
      <c r="N144" s="423">
        <f t="shared" si="163"/>
        <v>1507714.7552</v>
      </c>
      <c r="O144" s="423">
        <f t="shared" si="164"/>
        <v>3600731.2448</v>
      </c>
      <c r="P144" s="423">
        <f t="shared" si="165"/>
        <v>21000</v>
      </c>
      <c r="Q144" s="423">
        <f t="shared" si="166"/>
        <v>33000</v>
      </c>
      <c r="R144" s="423">
        <f t="shared" si="167"/>
        <v>75000</v>
      </c>
      <c r="S144" s="423">
        <f t="shared" si="168"/>
        <v>95000</v>
      </c>
      <c r="T144" s="423">
        <f t="shared" si="169"/>
        <v>336000</v>
      </c>
      <c r="U144" s="423">
        <f t="shared" si="170"/>
        <v>96175.498751999199</v>
      </c>
      <c r="V144" s="423">
        <f t="shared" si="171"/>
        <v>656175.498751999</v>
      </c>
      <c r="W144" s="430">
        <v>12</v>
      </c>
      <c r="X144" s="423">
        <f t="shared" si="172"/>
        <v>54681.2915626666</v>
      </c>
      <c r="Y144" s="426"/>
      <c r="Z144" s="423">
        <f t="shared" si="173"/>
        <v>54681.2915626666</v>
      </c>
      <c r="AA144" s="435">
        <v>32848.563402666703</v>
      </c>
      <c r="AB144" s="435">
        <f t="shared" si="174"/>
        <v>21832.728159999901</v>
      </c>
      <c r="AC144" s="435"/>
      <c r="AD144" s="435"/>
      <c r="AE144" s="435"/>
    </row>
    <row r="145" spans="1:31" ht="37.5">
      <c r="A145" s="420">
        <v>123</v>
      </c>
      <c r="B145" s="9" t="s">
        <v>253</v>
      </c>
      <c r="C145" s="423">
        <v>450086.5</v>
      </c>
      <c r="D145" s="422">
        <v>12</v>
      </c>
      <c r="E145" s="423">
        <f t="shared" si="159"/>
        <v>5401038</v>
      </c>
      <c r="F145" s="423">
        <f>576.62125*12</f>
        <v>6919.4549999999999</v>
      </c>
      <c r="G145" s="424">
        <v>374483.04</v>
      </c>
      <c r="H145" s="426"/>
      <c r="I145" s="423">
        <f t="shared" si="160"/>
        <v>5019635.5049999999</v>
      </c>
      <c r="J145" s="423">
        <v>200000</v>
      </c>
      <c r="K145" s="423">
        <v>0.2</v>
      </c>
      <c r="L145" s="423">
        <f t="shared" si="161"/>
        <v>1003927.101</v>
      </c>
      <c r="M145" s="423">
        <f t="shared" si="162"/>
        <v>1203927.101</v>
      </c>
      <c r="N145" s="423">
        <f t="shared" si="163"/>
        <v>1585329.5959999999</v>
      </c>
      <c r="O145" s="423">
        <f t="shared" si="164"/>
        <v>3815708.4040000001</v>
      </c>
      <c r="P145" s="423">
        <f t="shared" si="165"/>
        <v>21000</v>
      </c>
      <c r="Q145" s="423">
        <f t="shared" si="166"/>
        <v>33000</v>
      </c>
      <c r="R145" s="423">
        <f t="shared" si="167"/>
        <v>75000</v>
      </c>
      <c r="S145" s="423">
        <f t="shared" si="168"/>
        <v>95000</v>
      </c>
      <c r="T145" s="423">
        <f t="shared" si="169"/>
        <v>336000</v>
      </c>
      <c r="U145" s="423">
        <f t="shared" si="170"/>
        <v>147770.01696000001</v>
      </c>
      <c r="V145" s="423">
        <f t="shared" si="171"/>
        <v>707770.01696000004</v>
      </c>
      <c r="W145" s="430">
        <v>12</v>
      </c>
      <c r="X145" s="423">
        <f t="shared" si="172"/>
        <v>58980.834746666696</v>
      </c>
      <c r="Y145" s="426"/>
      <c r="Z145" s="423">
        <f t="shared" si="173"/>
        <v>58980.834746666696</v>
      </c>
      <c r="AA145" s="435">
        <v>35221.954086666701</v>
      </c>
      <c r="AB145" s="435">
        <f t="shared" si="174"/>
        <v>23758.880659999999</v>
      </c>
      <c r="AC145" s="435"/>
      <c r="AD145" s="435"/>
      <c r="AE145" s="435"/>
    </row>
    <row r="146" spans="1:31" ht="18.75">
      <c r="A146" s="420">
        <v>124</v>
      </c>
      <c r="B146" s="16" t="s">
        <v>256</v>
      </c>
      <c r="C146" s="423">
        <v>413512.5</v>
      </c>
      <c r="D146" s="422">
        <v>12</v>
      </c>
      <c r="E146" s="423">
        <f t="shared" si="159"/>
        <v>4962150</v>
      </c>
      <c r="F146" s="423">
        <v>0</v>
      </c>
      <c r="G146" s="424">
        <v>339372</v>
      </c>
      <c r="H146" s="426"/>
      <c r="I146" s="423">
        <f t="shared" si="160"/>
        <v>4622778</v>
      </c>
      <c r="J146" s="423">
        <v>200000</v>
      </c>
      <c r="K146" s="423">
        <v>0.2</v>
      </c>
      <c r="L146" s="423">
        <f t="shared" si="161"/>
        <v>924555.6</v>
      </c>
      <c r="M146" s="423">
        <f t="shared" si="162"/>
        <v>1124555.6000000001</v>
      </c>
      <c r="N146" s="423">
        <f t="shared" si="163"/>
        <v>1463927.6</v>
      </c>
      <c r="O146" s="423">
        <f t="shared" si="164"/>
        <v>3498222.4</v>
      </c>
      <c r="P146" s="423">
        <f t="shared" si="165"/>
        <v>21000</v>
      </c>
      <c r="Q146" s="423">
        <f t="shared" si="166"/>
        <v>33000</v>
      </c>
      <c r="R146" s="423">
        <f t="shared" si="167"/>
        <v>75000</v>
      </c>
      <c r="S146" s="423">
        <f t="shared" si="168"/>
        <v>95000</v>
      </c>
      <c r="T146" s="423">
        <f t="shared" si="169"/>
        <v>336000</v>
      </c>
      <c r="U146" s="423">
        <f t="shared" si="170"/>
        <v>71573.376000000004</v>
      </c>
      <c r="V146" s="423">
        <f t="shared" si="171"/>
        <v>631573.37600000005</v>
      </c>
      <c r="W146" s="430">
        <v>12</v>
      </c>
      <c r="X146" s="423">
        <f t="shared" si="172"/>
        <v>52631.114666666697</v>
      </c>
      <c r="Y146" s="426"/>
      <c r="Z146" s="423">
        <f t="shared" si="173"/>
        <v>52631.114666666697</v>
      </c>
      <c r="AA146" s="435">
        <v>31749.175266666702</v>
      </c>
      <c r="AB146" s="435">
        <f t="shared" si="174"/>
        <v>20881.939399999999</v>
      </c>
      <c r="AC146" s="435"/>
      <c r="AD146" s="435"/>
      <c r="AE146" s="435"/>
    </row>
    <row r="147" spans="1:31" ht="18.75">
      <c r="A147" s="420">
        <v>125</v>
      </c>
      <c r="B147" s="9" t="s">
        <v>258</v>
      </c>
      <c r="C147" s="423">
        <v>368901.5</v>
      </c>
      <c r="D147" s="422">
        <v>12</v>
      </c>
      <c r="E147" s="423">
        <f t="shared" si="159"/>
        <v>4426818</v>
      </c>
      <c r="F147" s="423"/>
      <c r="G147" s="424">
        <v>296545.44</v>
      </c>
      <c r="H147" s="426"/>
      <c r="I147" s="423">
        <f t="shared" si="160"/>
        <v>4130272.56</v>
      </c>
      <c r="J147" s="423">
        <v>200000</v>
      </c>
      <c r="K147" s="423">
        <v>0.2</v>
      </c>
      <c r="L147" s="423">
        <f t="shared" si="161"/>
        <v>826054.51199999999</v>
      </c>
      <c r="M147" s="423">
        <f t="shared" si="162"/>
        <v>1026054.512</v>
      </c>
      <c r="N147" s="423">
        <f t="shared" si="163"/>
        <v>1322599.952</v>
      </c>
      <c r="O147" s="423">
        <f t="shared" si="164"/>
        <v>3104218.048</v>
      </c>
      <c r="P147" s="423">
        <f t="shared" si="165"/>
        <v>21000</v>
      </c>
      <c r="Q147" s="423">
        <f t="shared" si="166"/>
        <v>33000</v>
      </c>
      <c r="R147" s="423">
        <f t="shared" si="167"/>
        <v>75000</v>
      </c>
      <c r="S147" s="423">
        <f t="shared" si="168"/>
        <v>95000</v>
      </c>
      <c r="T147" s="423">
        <f t="shared" si="169"/>
        <v>315885.79008000001</v>
      </c>
      <c r="U147" s="423"/>
      <c r="V147" s="423">
        <f t="shared" si="171"/>
        <v>539885.79007999995</v>
      </c>
      <c r="W147" s="430">
        <v>12</v>
      </c>
      <c r="X147" s="423">
        <f t="shared" si="172"/>
        <v>44990.482506666704</v>
      </c>
      <c r="Y147" s="426"/>
      <c r="Z147" s="423">
        <f t="shared" si="173"/>
        <v>44990.482506666704</v>
      </c>
      <c r="AA147" s="435">
        <v>27105.986562666702</v>
      </c>
      <c r="AB147" s="435">
        <f t="shared" si="174"/>
        <v>17884.495943999998</v>
      </c>
      <c r="AC147" s="435"/>
      <c r="AD147" s="435"/>
      <c r="AE147" s="435"/>
    </row>
    <row r="148" spans="1:31" ht="18.75">
      <c r="A148" s="420">
        <v>126</v>
      </c>
      <c r="B148" s="9" t="s">
        <v>259</v>
      </c>
      <c r="C148" s="423">
        <v>376837.41666666698</v>
      </c>
      <c r="D148" s="422">
        <v>12</v>
      </c>
      <c r="E148" s="423">
        <f t="shared" si="159"/>
        <v>4522049</v>
      </c>
      <c r="F148" s="423">
        <f>469.4825*12</f>
        <v>5633.79</v>
      </c>
      <c r="G148" s="424">
        <v>304163.92</v>
      </c>
      <c r="H148" s="426"/>
      <c r="I148" s="423">
        <f t="shared" si="160"/>
        <v>4212251.29</v>
      </c>
      <c r="J148" s="423">
        <v>200000</v>
      </c>
      <c r="K148" s="423">
        <v>0.2</v>
      </c>
      <c r="L148" s="423">
        <f t="shared" si="161"/>
        <v>842450.25800000096</v>
      </c>
      <c r="M148" s="423">
        <f t="shared" si="162"/>
        <v>1042450.258</v>
      </c>
      <c r="N148" s="423">
        <f t="shared" si="163"/>
        <v>1352247.9680000001</v>
      </c>
      <c r="O148" s="423">
        <f t="shared" si="164"/>
        <v>3169801.0320000001</v>
      </c>
      <c r="P148" s="423">
        <f t="shared" si="165"/>
        <v>21000</v>
      </c>
      <c r="Q148" s="423">
        <f t="shared" si="166"/>
        <v>33000</v>
      </c>
      <c r="R148" s="423">
        <f t="shared" si="167"/>
        <v>75000</v>
      </c>
      <c r="S148" s="423">
        <f t="shared" si="168"/>
        <v>95000</v>
      </c>
      <c r="T148" s="423">
        <f t="shared" si="169"/>
        <v>329658.21672000102</v>
      </c>
      <c r="U148" s="423"/>
      <c r="V148" s="423">
        <f t="shared" si="171"/>
        <v>553658.21672000096</v>
      </c>
      <c r="W148" s="430">
        <v>12</v>
      </c>
      <c r="X148" s="423">
        <f t="shared" si="172"/>
        <v>46138.184726666703</v>
      </c>
      <c r="Y148" s="426"/>
      <c r="Z148" s="423">
        <f t="shared" si="173"/>
        <v>46138.184726666703</v>
      </c>
      <c r="AA148" s="435">
        <v>27794.206626666699</v>
      </c>
      <c r="AB148" s="435">
        <f t="shared" si="174"/>
        <v>18343.9781</v>
      </c>
      <c r="AC148" s="435"/>
      <c r="AD148" s="435"/>
      <c r="AE148" s="435"/>
    </row>
    <row r="149" spans="1:31" ht="18.75">
      <c r="A149" s="420">
        <v>127</v>
      </c>
      <c r="B149" s="9" t="s">
        <v>260</v>
      </c>
      <c r="C149" s="423">
        <v>376837.41666666698</v>
      </c>
      <c r="D149" s="422">
        <v>12</v>
      </c>
      <c r="E149" s="423">
        <f t="shared" si="159"/>
        <v>4522049</v>
      </c>
      <c r="F149" s="423"/>
      <c r="G149" s="424">
        <v>304163.92</v>
      </c>
      <c r="H149" s="426"/>
      <c r="I149" s="423">
        <f t="shared" si="160"/>
        <v>4217885.08</v>
      </c>
      <c r="J149" s="423">
        <v>200000</v>
      </c>
      <c r="K149" s="423">
        <v>0.2</v>
      </c>
      <c r="L149" s="423">
        <f t="shared" si="161"/>
        <v>843577.01600000099</v>
      </c>
      <c r="M149" s="423">
        <f t="shared" si="162"/>
        <v>1043577.0159999999</v>
      </c>
      <c r="N149" s="423">
        <f t="shared" si="163"/>
        <v>1347740.936</v>
      </c>
      <c r="O149" s="423">
        <f t="shared" si="164"/>
        <v>3174308.0639999998</v>
      </c>
      <c r="P149" s="423">
        <f t="shared" si="165"/>
        <v>21000</v>
      </c>
      <c r="Q149" s="423">
        <f t="shared" si="166"/>
        <v>33000</v>
      </c>
      <c r="R149" s="423">
        <f t="shared" si="167"/>
        <v>75000</v>
      </c>
      <c r="S149" s="423">
        <f t="shared" si="168"/>
        <v>95000</v>
      </c>
      <c r="T149" s="423">
        <f t="shared" si="169"/>
        <v>330604.69344000099</v>
      </c>
      <c r="U149" s="423"/>
      <c r="V149" s="423">
        <f t="shared" si="171"/>
        <v>554604.69344000099</v>
      </c>
      <c r="W149" s="430">
        <v>12</v>
      </c>
      <c r="X149" s="423">
        <f t="shared" si="172"/>
        <v>46217.057786666701</v>
      </c>
      <c r="Y149" s="426"/>
      <c r="Z149" s="423">
        <f t="shared" si="173"/>
        <v>46217.057786666701</v>
      </c>
      <c r="AA149" s="435">
        <v>27873.079686666701</v>
      </c>
      <c r="AB149" s="435">
        <f t="shared" si="174"/>
        <v>18343.9781</v>
      </c>
      <c r="AC149" s="435"/>
      <c r="AD149" s="435"/>
      <c r="AE149" s="435"/>
    </row>
    <row r="150" spans="1:31" ht="18.75">
      <c r="A150" s="420">
        <v>128</v>
      </c>
      <c r="B150" s="9" t="s">
        <v>261</v>
      </c>
      <c r="C150" s="423">
        <v>360965.58333333302</v>
      </c>
      <c r="D150" s="422">
        <v>12</v>
      </c>
      <c r="E150" s="423">
        <f t="shared" si="159"/>
        <v>4331587</v>
      </c>
      <c r="F150" s="423"/>
      <c r="G150" s="424">
        <v>288926.96000000002</v>
      </c>
      <c r="H150" s="426"/>
      <c r="I150" s="423">
        <f t="shared" si="160"/>
        <v>4042660.04</v>
      </c>
      <c r="J150" s="423">
        <v>200000</v>
      </c>
      <c r="K150" s="423">
        <v>0.2</v>
      </c>
      <c r="L150" s="423">
        <f t="shared" si="161"/>
        <v>808532.00799999898</v>
      </c>
      <c r="M150" s="423">
        <f t="shared" si="162"/>
        <v>1008532.008</v>
      </c>
      <c r="N150" s="423">
        <f t="shared" si="163"/>
        <v>1297458.9680000001</v>
      </c>
      <c r="O150" s="423">
        <f t="shared" si="164"/>
        <v>3034128.0320000001</v>
      </c>
      <c r="P150" s="423">
        <f t="shared" si="165"/>
        <v>21000</v>
      </c>
      <c r="Q150" s="423">
        <f t="shared" si="166"/>
        <v>33000</v>
      </c>
      <c r="R150" s="423">
        <f t="shared" si="167"/>
        <v>75000</v>
      </c>
      <c r="S150" s="423">
        <f t="shared" si="168"/>
        <v>95000</v>
      </c>
      <c r="T150" s="423">
        <f t="shared" si="169"/>
        <v>301166.88671999902</v>
      </c>
      <c r="U150" s="423"/>
      <c r="V150" s="423">
        <f t="shared" si="171"/>
        <v>525166.88671999902</v>
      </c>
      <c r="W150" s="430">
        <v>12</v>
      </c>
      <c r="X150" s="423">
        <f t="shared" si="172"/>
        <v>43763.907226666597</v>
      </c>
      <c r="Y150" s="426"/>
      <c r="Z150" s="423">
        <f t="shared" si="173"/>
        <v>43763.907226666597</v>
      </c>
      <c r="AA150" s="435">
        <v>27105.986562666702</v>
      </c>
      <c r="AB150" s="435">
        <f t="shared" si="174"/>
        <v>16657.920663999899</v>
      </c>
      <c r="AC150" s="435"/>
      <c r="AD150" s="435"/>
      <c r="AE150" s="435"/>
    </row>
    <row r="151" spans="1:31" ht="37.5">
      <c r="A151" s="420">
        <v>129</v>
      </c>
      <c r="B151" s="9" t="s">
        <v>263</v>
      </c>
      <c r="C151" s="423">
        <v>323165.33333333302</v>
      </c>
      <c r="D151" s="422">
        <v>12</v>
      </c>
      <c r="E151" s="423">
        <f t="shared" si="159"/>
        <v>3877984</v>
      </c>
      <c r="F151" s="423"/>
      <c r="G151" s="424">
        <v>252638.72</v>
      </c>
      <c r="H151" s="426"/>
      <c r="I151" s="423">
        <f t="shared" si="160"/>
        <v>3625345.28</v>
      </c>
      <c r="J151" s="423">
        <v>200000</v>
      </c>
      <c r="K151" s="423">
        <v>0.2</v>
      </c>
      <c r="L151" s="423">
        <f t="shared" si="161"/>
        <v>725069.05599999905</v>
      </c>
      <c r="M151" s="423">
        <f t="shared" si="162"/>
        <v>925069.05599999905</v>
      </c>
      <c r="N151" s="423">
        <f t="shared" si="163"/>
        <v>1177707.7760000001</v>
      </c>
      <c r="O151" s="423">
        <f t="shared" si="164"/>
        <v>2700276.2239999999</v>
      </c>
      <c r="P151" s="423">
        <f t="shared" si="165"/>
        <v>21000</v>
      </c>
      <c r="Q151" s="423">
        <f t="shared" si="166"/>
        <v>33000</v>
      </c>
      <c r="R151" s="423">
        <f t="shared" si="167"/>
        <v>75000</v>
      </c>
      <c r="S151" s="423">
        <f t="shared" si="168"/>
        <v>95000</v>
      </c>
      <c r="T151" s="423">
        <f t="shared" si="169"/>
        <v>231058.00703999901</v>
      </c>
      <c r="U151" s="423"/>
      <c r="V151" s="423">
        <f t="shared" si="171"/>
        <v>455058.00703999901</v>
      </c>
      <c r="W151" s="430">
        <v>12</v>
      </c>
      <c r="X151" s="423">
        <f t="shared" si="172"/>
        <v>37921.500586666603</v>
      </c>
      <c r="Y151" s="426"/>
      <c r="Z151" s="423">
        <f t="shared" si="173"/>
        <v>37921.500586666603</v>
      </c>
      <c r="AA151" s="435">
        <v>22338.4826046667</v>
      </c>
      <c r="AB151" s="435">
        <f t="shared" si="174"/>
        <v>15583.017981999899</v>
      </c>
      <c r="AC151" s="435"/>
      <c r="AD151" s="435"/>
      <c r="AE151" s="435"/>
    </row>
    <row r="152" spans="1:31" ht="18.75">
      <c r="A152" s="420">
        <v>130</v>
      </c>
      <c r="B152" s="9" t="s">
        <v>265</v>
      </c>
      <c r="C152" s="423">
        <v>368901.5</v>
      </c>
      <c r="D152" s="422">
        <v>12</v>
      </c>
      <c r="E152" s="423">
        <f t="shared" si="159"/>
        <v>4426818</v>
      </c>
      <c r="F152" s="423"/>
      <c r="G152" s="424">
        <v>296545.44</v>
      </c>
      <c r="H152" s="426"/>
      <c r="I152" s="423">
        <f t="shared" si="160"/>
        <v>4130272.56</v>
      </c>
      <c r="J152" s="423">
        <v>200000</v>
      </c>
      <c r="K152" s="423">
        <v>0.2</v>
      </c>
      <c r="L152" s="423">
        <f t="shared" si="161"/>
        <v>826054.51199999999</v>
      </c>
      <c r="M152" s="423">
        <f t="shared" si="162"/>
        <v>1026054.512</v>
      </c>
      <c r="N152" s="423">
        <f t="shared" si="163"/>
        <v>1322599.952</v>
      </c>
      <c r="O152" s="423">
        <f t="shared" si="164"/>
        <v>3104218.048</v>
      </c>
      <c r="P152" s="423">
        <f t="shared" si="165"/>
        <v>21000</v>
      </c>
      <c r="Q152" s="423">
        <f t="shared" si="166"/>
        <v>33000</v>
      </c>
      <c r="R152" s="423">
        <f t="shared" si="167"/>
        <v>75000</v>
      </c>
      <c r="S152" s="423">
        <f t="shared" si="168"/>
        <v>95000</v>
      </c>
      <c r="T152" s="423">
        <f t="shared" si="169"/>
        <v>315885.79008000001</v>
      </c>
      <c r="U152" s="423"/>
      <c r="V152" s="423">
        <f t="shared" si="171"/>
        <v>539885.79007999995</v>
      </c>
      <c r="W152" s="430">
        <v>12</v>
      </c>
      <c r="X152" s="423">
        <f t="shared" si="172"/>
        <v>44990.482506666704</v>
      </c>
      <c r="Y152" s="426"/>
      <c r="Z152" s="423">
        <f t="shared" si="173"/>
        <v>44990.482506666704</v>
      </c>
      <c r="AA152" s="435">
        <v>27105.986562666702</v>
      </c>
      <c r="AB152" s="435">
        <f t="shared" si="174"/>
        <v>17884.495943999998</v>
      </c>
      <c r="AC152" s="435"/>
      <c r="AD152" s="435"/>
      <c r="AE152" s="435"/>
    </row>
    <row r="153" spans="1:31" ht="18.75">
      <c r="A153" s="420">
        <v>131</v>
      </c>
      <c r="B153" s="9" t="s">
        <v>268</v>
      </c>
      <c r="C153" s="423">
        <v>330481.66666666698</v>
      </c>
      <c r="D153" s="422">
        <v>12</v>
      </c>
      <c r="E153" s="423">
        <f t="shared" si="159"/>
        <v>3965780</v>
      </c>
      <c r="F153" s="423"/>
      <c r="G153" s="424">
        <v>259662.4</v>
      </c>
      <c r="H153" s="426"/>
      <c r="I153" s="423">
        <f t="shared" si="160"/>
        <v>3706117.6</v>
      </c>
      <c r="J153" s="423">
        <v>200000</v>
      </c>
      <c r="K153" s="423">
        <v>0.2</v>
      </c>
      <c r="L153" s="423">
        <f t="shared" si="161"/>
        <v>741223.52000000095</v>
      </c>
      <c r="M153" s="423">
        <f t="shared" si="162"/>
        <v>941223.52000000095</v>
      </c>
      <c r="N153" s="423">
        <f t="shared" si="163"/>
        <v>1200885.92</v>
      </c>
      <c r="O153" s="423">
        <f t="shared" si="164"/>
        <v>2764894.08</v>
      </c>
      <c r="P153" s="423">
        <f t="shared" si="165"/>
        <v>21000</v>
      </c>
      <c r="Q153" s="423">
        <f t="shared" si="166"/>
        <v>33000</v>
      </c>
      <c r="R153" s="423">
        <f t="shared" si="167"/>
        <v>75000</v>
      </c>
      <c r="S153" s="423">
        <f t="shared" si="168"/>
        <v>95000</v>
      </c>
      <c r="T153" s="423">
        <f t="shared" si="169"/>
        <v>244627.75680000099</v>
      </c>
      <c r="U153" s="423"/>
      <c r="V153" s="423">
        <f t="shared" si="171"/>
        <v>468627.75680000102</v>
      </c>
      <c r="W153" s="430">
        <v>12</v>
      </c>
      <c r="X153" s="423">
        <f t="shared" si="172"/>
        <v>39052.313066666698</v>
      </c>
      <c r="Y153" s="426"/>
      <c r="Z153" s="423">
        <f t="shared" si="173"/>
        <v>39052.313066666698</v>
      </c>
      <c r="AA153" s="435">
        <v>23036.012346666699</v>
      </c>
      <c r="AB153" s="435">
        <f t="shared" si="174"/>
        <v>16016.300719999999</v>
      </c>
      <c r="AC153" s="435"/>
      <c r="AD153" s="435"/>
      <c r="AE153" s="435"/>
    </row>
    <row r="154" spans="1:31" ht="18.75">
      <c r="A154" s="420">
        <v>132</v>
      </c>
      <c r="B154" s="9" t="s">
        <v>270</v>
      </c>
      <c r="C154" s="423">
        <v>368901.5</v>
      </c>
      <c r="D154" s="422">
        <v>12</v>
      </c>
      <c r="E154" s="423">
        <f t="shared" si="159"/>
        <v>4426818</v>
      </c>
      <c r="F154" s="423">
        <f>457.041*12</f>
        <v>5484.4920000000002</v>
      </c>
      <c r="G154" s="424">
        <v>296545.44</v>
      </c>
      <c r="H154" s="426"/>
      <c r="I154" s="423">
        <f t="shared" si="160"/>
        <v>4124788.068</v>
      </c>
      <c r="J154" s="423">
        <v>200000</v>
      </c>
      <c r="K154" s="423">
        <v>0.2</v>
      </c>
      <c r="L154" s="423">
        <f t="shared" si="161"/>
        <v>824957.61360000004</v>
      </c>
      <c r="M154" s="423">
        <f t="shared" si="162"/>
        <v>1024957.6136</v>
      </c>
      <c r="N154" s="423">
        <f t="shared" si="163"/>
        <v>1326987.5456000001</v>
      </c>
      <c r="O154" s="423">
        <f t="shared" si="164"/>
        <v>3099830.4544000002</v>
      </c>
      <c r="P154" s="423">
        <f t="shared" si="165"/>
        <v>21000</v>
      </c>
      <c r="Q154" s="423">
        <f t="shared" si="166"/>
        <v>33000</v>
      </c>
      <c r="R154" s="423">
        <f t="shared" si="167"/>
        <v>75000</v>
      </c>
      <c r="S154" s="423">
        <f t="shared" si="168"/>
        <v>95000</v>
      </c>
      <c r="T154" s="423">
        <f t="shared" si="169"/>
        <v>314964.39542399999</v>
      </c>
      <c r="U154" s="423"/>
      <c r="V154" s="423">
        <f t="shared" si="171"/>
        <v>538964.39542399999</v>
      </c>
      <c r="W154" s="430">
        <v>12</v>
      </c>
      <c r="X154" s="423">
        <f t="shared" si="172"/>
        <v>44913.699618666702</v>
      </c>
      <c r="Y154" s="426"/>
      <c r="Z154" s="423">
        <f t="shared" si="173"/>
        <v>44913.699618666702</v>
      </c>
      <c r="AA154" s="435">
        <v>27029.2036746667</v>
      </c>
      <c r="AB154" s="435">
        <f t="shared" si="174"/>
        <v>17884.495943999998</v>
      </c>
      <c r="AC154" s="435"/>
      <c r="AD154" s="435"/>
      <c r="AE154" s="435"/>
    </row>
    <row r="155" spans="1:31" ht="18.75">
      <c r="A155" s="420">
        <v>133</v>
      </c>
      <c r="B155" s="9" t="s">
        <v>272</v>
      </c>
      <c r="C155" s="423">
        <v>330481.66666666698</v>
      </c>
      <c r="D155" s="422">
        <v>12</v>
      </c>
      <c r="E155" s="423">
        <f t="shared" si="159"/>
        <v>3965780</v>
      </c>
      <c r="F155" s="423"/>
      <c r="G155" s="424">
        <v>259662.4</v>
      </c>
      <c r="H155" s="426"/>
      <c r="I155" s="423">
        <f t="shared" si="160"/>
        <v>3706117.6</v>
      </c>
      <c r="J155" s="423">
        <v>200000</v>
      </c>
      <c r="K155" s="423">
        <v>0.2</v>
      </c>
      <c r="L155" s="423">
        <f t="shared" si="161"/>
        <v>741223.52000000095</v>
      </c>
      <c r="M155" s="423">
        <f t="shared" si="162"/>
        <v>941223.52000000095</v>
      </c>
      <c r="N155" s="423">
        <f t="shared" si="163"/>
        <v>1200885.92</v>
      </c>
      <c r="O155" s="423">
        <f t="shared" si="164"/>
        <v>2764894.08</v>
      </c>
      <c r="P155" s="423">
        <f t="shared" si="165"/>
        <v>21000</v>
      </c>
      <c r="Q155" s="423">
        <f t="shared" si="166"/>
        <v>33000</v>
      </c>
      <c r="R155" s="423">
        <f t="shared" si="167"/>
        <v>75000</v>
      </c>
      <c r="S155" s="423">
        <f t="shared" si="168"/>
        <v>95000</v>
      </c>
      <c r="T155" s="423">
        <f t="shared" si="169"/>
        <v>244627.75680000099</v>
      </c>
      <c r="U155" s="423"/>
      <c r="V155" s="423">
        <f t="shared" si="171"/>
        <v>468627.75680000102</v>
      </c>
      <c r="W155" s="430">
        <v>12</v>
      </c>
      <c r="X155" s="423">
        <f t="shared" si="172"/>
        <v>39052.313066666698</v>
      </c>
      <c r="Y155" s="426"/>
      <c r="Z155" s="423">
        <f t="shared" si="173"/>
        <v>39052.313066666698</v>
      </c>
      <c r="AA155" s="435">
        <v>22338.4826046667</v>
      </c>
      <c r="AB155" s="435">
        <f t="shared" si="174"/>
        <v>16713.830462000002</v>
      </c>
      <c r="AC155" s="435"/>
      <c r="AD155" s="435"/>
      <c r="AE155" s="435"/>
    </row>
    <row r="156" spans="1:31" ht="18.75">
      <c r="A156" s="420">
        <v>134</v>
      </c>
      <c r="B156" s="16" t="s">
        <v>274</v>
      </c>
      <c r="C156" s="423">
        <v>315849</v>
      </c>
      <c r="D156" s="422">
        <v>12</v>
      </c>
      <c r="E156" s="423">
        <f t="shared" si="159"/>
        <v>3790188</v>
      </c>
      <c r="F156" s="423"/>
      <c r="G156" s="424">
        <v>245615.04</v>
      </c>
      <c r="H156" s="426"/>
      <c r="I156" s="423">
        <f t="shared" si="160"/>
        <v>3544572.96</v>
      </c>
      <c r="J156" s="423">
        <v>200000</v>
      </c>
      <c r="K156" s="423">
        <v>0.2</v>
      </c>
      <c r="L156" s="423">
        <f t="shared" si="161"/>
        <v>708914.59199999995</v>
      </c>
      <c r="M156" s="423">
        <f t="shared" si="162"/>
        <v>908914.59199999995</v>
      </c>
      <c r="N156" s="423">
        <f t="shared" si="163"/>
        <v>1154529.632</v>
      </c>
      <c r="O156" s="423">
        <f t="shared" si="164"/>
        <v>2635658.3679999998</v>
      </c>
      <c r="P156" s="423">
        <f t="shared" si="165"/>
        <v>21000</v>
      </c>
      <c r="Q156" s="423">
        <f t="shared" si="166"/>
        <v>33000</v>
      </c>
      <c r="R156" s="423">
        <f t="shared" si="167"/>
        <v>75000</v>
      </c>
      <c r="S156" s="423">
        <f t="shared" si="168"/>
        <v>95000</v>
      </c>
      <c r="T156" s="423">
        <f t="shared" si="169"/>
        <v>217488.25727999999</v>
      </c>
      <c r="U156" s="423"/>
      <c r="V156" s="423">
        <f t="shared" si="171"/>
        <v>441488.25728000002</v>
      </c>
      <c r="W156" s="430">
        <v>12</v>
      </c>
      <c r="X156" s="423">
        <f t="shared" si="172"/>
        <v>36790.688106666697</v>
      </c>
      <c r="Y156" s="426"/>
      <c r="Z156" s="423">
        <f t="shared" si="173"/>
        <v>36790.688106666697</v>
      </c>
      <c r="AA156" s="435">
        <v>21640.952862666702</v>
      </c>
      <c r="AB156" s="435">
        <f t="shared" si="174"/>
        <v>15149.735244</v>
      </c>
      <c r="AC156" s="435"/>
      <c r="AD156" s="435"/>
      <c r="AE156" s="435"/>
    </row>
    <row r="157" spans="1:31" ht="18.75">
      <c r="A157" s="420">
        <v>135</v>
      </c>
      <c r="B157" s="16" t="s">
        <v>277</v>
      </c>
      <c r="C157" s="423">
        <v>274459.75</v>
      </c>
      <c r="D157" s="422">
        <v>12</v>
      </c>
      <c r="E157" s="423">
        <f t="shared" si="159"/>
        <v>3293517</v>
      </c>
      <c r="F157" s="423">
        <v>0</v>
      </c>
      <c r="G157" s="424">
        <v>215481.36</v>
      </c>
      <c r="H157" s="426"/>
      <c r="I157" s="423">
        <f t="shared" si="160"/>
        <v>3078035.64</v>
      </c>
      <c r="J157" s="423">
        <v>200000</v>
      </c>
      <c r="K157" s="423">
        <v>0.2</v>
      </c>
      <c r="L157" s="423">
        <f t="shared" si="161"/>
        <v>615607.12800000003</v>
      </c>
      <c r="M157" s="423">
        <f t="shared" si="162"/>
        <v>815607.12800000003</v>
      </c>
      <c r="N157" s="423">
        <f t="shared" si="163"/>
        <v>1031088.488</v>
      </c>
      <c r="O157" s="423">
        <f t="shared" si="164"/>
        <v>2262428.5120000001</v>
      </c>
      <c r="P157" s="423">
        <f t="shared" si="165"/>
        <v>21000</v>
      </c>
      <c r="Q157" s="423">
        <f t="shared" si="166"/>
        <v>33000</v>
      </c>
      <c r="R157" s="423">
        <f t="shared" si="167"/>
        <v>75000</v>
      </c>
      <c r="S157" s="423">
        <f t="shared" si="168"/>
        <v>95000</v>
      </c>
      <c r="T157" s="423">
        <f t="shared" si="169"/>
        <v>139109.98752</v>
      </c>
      <c r="U157" s="423"/>
      <c r="V157" s="423">
        <f t="shared" si="171"/>
        <v>363109.98752000002</v>
      </c>
      <c r="W157" s="430">
        <v>12</v>
      </c>
      <c r="X157" s="423">
        <f t="shared" si="172"/>
        <v>30259.165626666701</v>
      </c>
      <c r="Y157" s="426"/>
      <c r="Z157" s="423">
        <f t="shared" si="173"/>
        <v>30259.165626666701</v>
      </c>
      <c r="AA157" s="435">
        <v>17042.713866666702</v>
      </c>
      <c r="AB157" s="435">
        <f t="shared" si="174"/>
        <v>13216.45176</v>
      </c>
      <c r="AC157" s="435"/>
      <c r="AD157" s="435"/>
      <c r="AE157" s="435"/>
    </row>
    <row r="158" spans="1:31" ht="18.75">
      <c r="A158" s="420">
        <v>136</v>
      </c>
      <c r="B158" s="16" t="s">
        <v>279</v>
      </c>
      <c r="C158" s="423">
        <v>274459.75</v>
      </c>
      <c r="D158" s="422">
        <v>12</v>
      </c>
      <c r="E158" s="423">
        <f t="shared" si="159"/>
        <v>3293517</v>
      </c>
      <c r="F158" s="423">
        <v>0</v>
      </c>
      <c r="G158" s="424">
        <v>215481.36</v>
      </c>
      <c r="H158" s="426"/>
      <c r="I158" s="423">
        <f t="shared" si="160"/>
        <v>3078035.64</v>
      </c>
      <c r="J158" s="423">
        <v>200000</v>
      </c>
      <c r="K158" s="423">
        <v>0.2</v>
      </c>
      <c r="L158" s="423">
        <f t="shared" si="161"/>
        <v>615607.12800000003</v>
      </c>
      <c r="M158" s="423">
        <f t="shared" si="162"/>
        <v>815607.12800000003</v>
      </c>
      <c r="N158" s="423">
        <f t="shared" si="163"/>
        <v>1031088.488</v>
      </c>
      <c r="O158" s="423">
        <f t="shared" si="164"/>
        <v>2262428.5120000001</v>
      </c>
      <c r="P158" s="423">
        <f t="shared" si="165"/>
        <v>21000</v>
      </c>
      <c r="Q158" s="423">
        <f t="shared" si="166"/>
        <v>33000</v>
      </c>
      <c r="R158" s="423">
        <f t="shared" si="167"/>
        <v>75000</v>
      </c>
      <c r="S158" s="423">
        <f t="shared" si="168"/>
        <v>95000</v>
      </c>
      <c r="T158" s="423">
        <f t="shared" si="169"/>
        <v>139109.98752</v>
      </c>
      <c r="U158" s="423"/>
      <c r="V158" s="423">
        <f t="shared" si="171"/>
        <v>363109.98752000002</v>
      </c>
      <c r="W158" s="430">
        <v>12</v>
      </c>
      <c r="X158" s="423">
        <f t="shared" si="172"/>
        <v>30259.165626666701</v>
      </c>
      <c r="Y158" s="426"/>
      <c r="Z158" s="423">
        <f t="shared" si="173"/>
        <v>30259.165626666701</v>
      </c>
      <c r="AA158" s="435">
        <v>17042.713866666702</v>
      </c>
      <c r="AB158" s="435">
        <f t="shared" si="174"/>
        <v>13216.45176</v>
      </c>
      <c r="AC158" s="435"/>
      <c r="AD158" s="435"/>
      <c r="AE158" s="435"/>
    </row>
    <row r="159" spans="1:31" ht="37.5">
      <c r="A159" s="420">
        <v>137</v>
      </c>
      <c r="B159" s="16" t="s">
        <v>281</v>
      </c>
      <c r="C159" s="423">
        <v>274459.75</v>
      </c>
      <c r="D159" s="422">
        <v>12</v>
      </c>
      <c r="E159" s="423">
        <f t="shared" si="159"/>
        <v>3293517</v>
      </c>
      <c r="F159" s="423">
        <v>0</v>
      </c>
      <c r="G159" s="424">
        <v>215481.36</v>
      </c>
      <c r="H159" s="426"/>
      <c r="I159" s="423">
        <f t="shared" si="160"/>
        <v>3078035.64</v>
      </c>
      <c r="J159" s="423">
        <v>200000</v>
      </c>
      <c r="K159" s="423">
        <v>0.2</v>
      </c>
      <c r="L159" s="423">
        <f t="shared" si="161"/>
        <v>615607.12800000003</v>
      </c>
      <c r="M159" s="423">
        <f t="shared" si="162"/>
        <v>815607.12800000003</v>
      </c>
      <c r="N159" s="423">
        <f t="shared" si="163"/>
        <v>1031088.488</v>
      </c>
      <c r="O159" s="423">
        <f t="shared" si="164"/>
        <v>2262428.5120000001</v>
      </c>
      <c r="P159" s="423">
        <f t="shared" si="165"/>
        <v>21000</v>
      </c>
      <c r="Q159" s="423">
        <f t="shared" si="166"/>
        <v>33000</v>
      </c>
      <c r="R159" s="423">
        <f t="shared" si="167"/>
        <v>75000</v>
      </c>
      <c r="S159" s="423">
        <f t="shared" si="168"/>
        <v>95000</v>
      </c>
      <c r="T159" s="423">
        <f t="shared" si="169"/>
        <v>139109.98752</v>
      </c>
      <c r="U159" s="423"/>
      <c r="V159" s="423">
        <f t="shared" si="171"/>
        <v>363109.98752000002</v>
      </c>
      <c r="W159" s="430">
        <v>12</v>
      </c>
      <c r="X159" s="423">
        <f t="shared" si="172"/>
        <v>30259.165626666701</v>
      </c>
      <c r="Y159" s="426"/>
      <c r="Z159" s="423">
        <f t="shared" si="173"/>
        <v>30259.165626666701</v>
      </c>
      <c r="AA159" s="435">
        <v>17042.713866666702</v>
      </c>
      <c r="AB159" s="435">
        <f t="shared" si="174"/>
        <v>13216.45176</v>
      </c>
      <c r="AC159" s="435"/>
      <c r="AD159" s="435"/>
      <c r="AE159" s="435"/>
    </row>
    <row r="160" spans="1:31" ht="18.75">
      <c r="A160" s="420">
        <v>138</v>
      </c>
      <c r="B160" s="16" t="s">
        <v>283</v>
      </c>
      <c r="C160" s="423">
        <v>280631.91666666698</v>
      </c>
      <c r="D160" s="422">
        <v>12</v>
      </c>
      <c r="E160" s="423">
        <f t="shared" si="159"/>
        <v>3367583</v>
      </c>
      <c r="F160" s="423">
        <v>0</v>
      </c>
      <c r="G160" s="424">
        <v>221406.64</v>
      </c>
      <c r="H160" s="426"/>
      <c r="I160" s="423">
        <f t="shared" si="160"/>
        <v>3146176.36</v>
      </c>
      <c r="J160" s="423">
        <v>200000</v>
      </c>
      <c r="K160" s="423">
        <v>0.2</v>
      </c>
      <c r="L160" s="423">
        <f t="shared" si="161"/>
        <v>629235.27200000104</v>
      </c>
      <c r="M160" s="423">
        <f t="shared" si="162"/>
        <v>829235.27200000104</v>
      </c>
      <c r="N160" s="423">
        <f t="shared" si="163"/>
        <v>1050641.912</v>
      </c>
      <c r="O160" s="423">
        <f t="shared" si="164"/>
        <v>2316941.088</v>
      </c>
      <c r="P160" s="423">
        <f t="shared" si="165"/>
        <v>21000</v>
      </c>
      <c r="Q160" s="423">
        <f t="shared" si="166"/>
        <v>33000</v>
      </c>
      <c r="R160" s="423">
        <f t="shared" si="167"/>
        <v>75000</v>
      </c>
      <c r="S160" s="423">
        <f t="shared" si="168"/>
        <v>95000</v>
      </c>
      <c r="T160" s="423">
        <f t="shared" si="169"/>
        <v>150557.628480001</v>
      </c>
      <c r="U160" s="423"/>
      <c r="V160" s="423">
        <f t="shared" si="171"/>
        <v>374557.628480001</v>
      </c>
      <c r="W160" s="430">
        <v>12</v>
      </c>
      <c r="X160" s="423">
        <f t="shared" si="172"/>
        <v>31213.135706666701</v>
      </c>
      <c r="Y160" s="426"/>
      <c r="Z160" s="423">
        <f t="shared" si="173"/>
        <v>31213.135706666701</v>
      </c>
      <c r="AA160" s="435">
        <v>17572.885002666699</v>
      </c>
      <c r="AB160" s="435">
        <f t="shared" si="174"/>
        <v>13640.250704</v>
      </c>
      <c r="AC160" s="435"/>
      <c r="AD160" s="435"/>
      <c r="AE160" s="435"/>
    </row>
    <row r="161" spans="1:31" ht="18.75">
      <c r="A161" s="420">
        <v>139</v>
      </c>
      <c r="B161" s="16" t="s">
        <v>285</v>
      </c>
      <c r="C161" s="423">
        <v>274459.75</v>
      </c>
      <c r="D161" s="422">
        <v>12</v>
      </c>
      <c r="E161" s="423">
        <f t="shared" si="159"/>
        <v>3293517</v>
      </c>
      <c r="F161" s="423">
        <v>0</v>
      </c>
      <c r="G161" s="424">
        <v>215481.36</v>
      </c>
      <c r="H161" s="426"/>
      <c r="I161" s="423">
        <f t="shared" si="160"/>
        <v>3078035.64</v>
      </c>
      <c r="J161" s="423">
        <v>200000</v>
      </c>
      <c r="K161" s="423">
        <v>0.2</v>
      </c>
      <c r="L161" s="423">
        <f t="shared" si="161"/>
        <v>615607.12800000003</v>
      </c>
      <c r="M161" s="423">
        <f t="shared" si="162"/>
        <v>815607.12800000003</v>
      </c>
      <c r="N161" s="423">
        <f t="shared" si="163"/>
        <v>1031088.488</v>
      </c>
      <c r="O161" s="423">
        <f t="shared" si="164"/>
        <v>2262428.5120000001</v>
      </c>
      <c r="P161" s="423">
        <f t="shared" si="165"/>
        <v>21000</v>
      </c>
      <c r="Q161" s="423">
        <f t="shared" si="166"/>
        <v>33000</v>
      </c>
      <c r="R161" s="423">
        <f t="shared" si="167"/>
        <v>75000</v>
      </c>
      <c r="S161" s="423">
        <f t="shared" si="168"/>
        <v>95000</v>
      </c>
      <c r="T161" s="423">
        <f t="shared" si="169"/>
        <v>139109.98752</v>
      </c>
      <c r="U161" s="423"/>
      <c r="V161" s="423">
        <f t="shared" si="171"/>
        <v>363109.98752000002</v>
      </c>
      <c r="W161" s="430">
        <v>12</v>
      </c>
      <c r="X161" s="423">
        <f t="shared" si="172"/>
        <v>30259.165626666701</v>
      </c>
      <c r="Y161" s="426"/>
      <c r="Z161" s="423">
        <f t="shared" si="173"/>
        <v>30259.165626666701</v>
      </c>
      <c r="AA161" s="435">
        <v>17042.713866666702</v>
      </c>
      <c r="AB161" s="435">
        <f t="shared" si="174"/>
        <v>13216.45176</v>
      </c>
      <c r="AC161" s="435"/>
      <c r="AD161" s="435"/>
      <c r="AE161" s="435"/>
    </row>
    <row r="162" spans="1:31" ht="18.75">
      <c r="A162" s="420">
        <v>140</v>
      </c>
      <c r="B162" s="9" t="s">
        <v>289</v>
      </c>
      <c r="C162" s="423">
        <v>202598.16666666701</v>
      </c>
      <c r="D162" s="422">
        <v>12</v>
      </c>
      <c r="E162" s="423">
        <f t="shared" si="159"/>
        <v>2431178</v>
      </c>
      <c r="F162" s="423">
        <f>263.19*12</f>
        <v>3158.28</v>
      </c>
      <c r="G162" s="424">
        <v>161854.24</v>
      </c>
      <c r="H162" s="426"/>
      <c r="I162" s="423">
        <f t="shared" si="160"/>
        <v>2266165.48</v>
      </c>
      <c r="J162" s="423">
        <v>200000</v>
      </c>
      <c r="K162" s="423">
        <v>0.2</v>
      </c>
      <c r="L162" s="423">
        <f t="shared" si="161"/>
        <v>453233.09600000101</v>
      </c>
      <c r="M162" s="423">
        <f t="shared" si="162"/>
        <v>653233.09600000095</v>
      </c>
      <c r="N162" s="423">
        <f t="shared" si="163"/>
        <v>818245.61600000097</v>
      </c>
      <c r="O162" s="423">
        <f t="shared" si="164"/>
        <v>1612932.3840000001</v>
      </c>
      <c r="P162" s="423">
        <f t="shared" si="165"/>
        <v>21000</v>
      </c>
      <c r="Q162" s="423">
        <f t="shared" si="166"/>
        <v>33000</v>
      </c>
      <c r="R162" s="423">
        <f t="shared" si="167"/>
        <v>75000</v>
      </c>
      <c r="S162" s="423">
        <f t="shared" si="168"/>
        <v>95000</v>
      </c>
      <c r="T162" s="423">
        <f t="shared" si="169"/>
        <v>2715.8006400006998</v>
      </c>
      <c r="U162" s="423"/>
      <c r="V162" s="423">
        <f t="shared" si="171"/>
        <v>226715.80064000099</v>
      </c>
      <c r="W162" s="430">
        <v>12</v>
      </c>
      <c r="X162" s="423">
        <f t="shared" si="172"/>
        <v>18892.9833866667</v>
      </c>
      <c r="Y162" s="426"/>
      <c r="Z162" s="423">
        <f t="shared" si="173"/>
        <v>18892.9833866667</v>
      </c>
      <c r="AA162" s="435">
        <v>10739.3048</v>
      </c>
      <c r="AB162" s="435">
        <f t="shared" si="174"/>
        <v>8153.6785866667296</v>
      </c>
      <c r="AC162" s="435"/>
      <c r="AD162" s="435"/>
      <c r="AE162" s="435"/>
    </row>
    <row r="163" spans="1:31" ht="18.75">
      <c r="A163" s="420">
        <v>141</v>
      </c>
      <c r="B163" s="9" t="s">
        <v>292</v>
      </c>
      <c r="C163" s="423">
        <v>205598.16666666701</v>
      </c>
      <c r="D163" s="422">
        <v>12</v>
      </c>
      <c r="E163" s="423">
        <f t="shared" si="159"/>
        <v>2467178</v>
      </c>
      <c r="F163" s="423"/>
      <c r="G163" s="424">
        <v>161854.24</v>
      </c>
      <c r="H163" s="426"/>
      <c r="I163" s="423">
        <f t="shared" si="160"/>
        <v>2305323.7599999998</v>
      </c>
      <c r="J163" s="423">
        <v>200000</v>
      </c>
      <c r="K163" s="423">
        <v>0.2</v>
      </c>
      <c r="L163" s="423">
        <f t="shared" si="161"/>
        <v>461064.75200000103</v>
      </c>
      <c r="M163" s="423">
        <f t="shared" si="162"/>
        <v>661064.75200000103</v>
      </c>
      <c r="N163" s="423">
        <f t="shared" si="163"/>
        <v>822918.99200000102</v>
      </c>
      <c r="O163" s="423">
        <f t="shared" si="164"/>
        <v>1644259.0079999999</v>
      </c>
      <c r="P163" s="423">
        <f t="shared" si="165"/>
        <v>21000</v>
      </c>
      <c r="Q163" s="423">
        <f t="shared" si="166"/>
        <v>33000</v>
      </c>
      <c r="R163" s="423">
        <f t="shared" si="167"/>
        <v>75000</v>
      </c>
      <c r="S163" s="423">
        <f t="shared" si="168"/>
        <v>95000</v>
      </c>
      <c r="T163" s="423">
        <f t="shared" si="169"/>
        <v>9294.39168000067</v>
      </c>
      <c r="U163" s="423"/>
      <c r="V163" s="423">
        <f t="shared" si="171"/>
        <v>233294.39168000099</v>
      </c>
      <c r="W163" s="430">
        <v>12</v>
      </c>
      <c r="X163" s="423">
        <f t="shared" si="172"/>
        <v>19441.199306666698</v>
      </c>
      <c r="Y163" s="426"/>
      <c r="Z163" s="423">
        <f t="shared" si="173"/>
        <v>19441.199306666698</v>
      </c>
      <c r="AA163" s="435">
        <v>11232.457626666701</v>
      </c>
      <c r="AB163" s="435">
        <f t="shared" si="174"/>
        <v>8208.7416800000192</v>
      </c>
      <c r="AC163" s="435"/>
      <c r="AD163" s="435"/>
      <c r="AE163" s="435"/>
    </row>
    <row r="164" spans="1:31" ht="15.75" customHeight="1">
      <c r="A164" s="420">
        <v>142</v>
      </c>
      <c r="B164" s="9" t="s">
        <v>293</v>
      </c>
      <c r="C164" s="423">
        <v>202598.16666666701</v>
      </c>
      <c r="D164" s="422">
        <v>12</v>
      </c>
      <c r="E164" s="423">
        <f t="shared" si="159"/>
        <v>2431178</v>
      </c>
      <c r="F164" s="423"/>
      <c r="G164" s="424">
        <v>161854.24</v>
      </c>
      <c r="H164" s="426"/>
      <c r="I164" s="423">
        <f t="shared" si="160"/>
        <v>2269323.7599999998</v>
      </c>
      <c r="J164" s="423">
        <v>200000</v>
      </c>
      <c r="K164" s="423">
        <v>0.2</v>
      </c>
      <c r="L164" s="423">
        <f t="shared" si="161"/>
        <v>453864.75200000103</v>
      </c>
      <c r="M164" s="423">
        <f t="shared" si="162"/>
        <v>653864.75200000103</v>
      </c>
      <c r="N164" s="423">
        <f t="shared" si="163"/>
        <v>815718.99200000102</v>
      </c>
      <c r="O164" s="423">
        <f t="shared" si="164"/>
        <v>1615459.0079999999</v>
      </c>
      <c r="P164" s="423">
        <f t="shared" si="165"/>
        <v>21000</v>
      </c>
      <c r="Q164" s="423">
        <f t="shared" si="166"/>
        <v>33000</v>
      </c>
      <c r="R164" s="423">
        <f t="shared" si="167"/>
        <v>75000</v>
      </c>
      <c r="S164" s="423">
        <f t="shared" si="168"/>
        <v>95000</v>
      </c>
      <c r="T164" s="423">
        <f t="shared" si="169"/>
        <v>3246.39168000067</v>
      </c>
      <c r="U164" s="423"/>
      <c r="V164" s="423">
        <f t="shared" si="171"/>
        <v>227246.39168000099</v>
      </c>
      <c r="W164" s="430">
        <v>12</v>
      </c>
      <c r="X164" s="423">
        <f t="shared" si="172"/>
        <v>18937.199306666698</v>
      </c>
      <c r="Y164" s="426"/>
      <c r="Z164" s="423">
        <f t="shared" si="173"/>
        <v>18937.199306666698</v>
      </c>
      <c r="AA164" s="435">
        <v>10776.457626666701</v>
      </c>
      <c r="AB164" s="435">
        <f t="shared" si="174"/>
        <v>8160.7416800000201</v>
      </c>
      <c r="AC164" s="435"/>
      <c r="AD164" s="435"/>
      <c r="AE164" s="435"/>
    </row>
    <row r="165" spans="1:31" ht="18.75">
      <c r="A165" s="420">
        <v>143</v>
      </c>
      <c r="B165" s="9" t="s">
        <v>294</v>
      </c>
      <c r="C165" s="423">
        <v>202598.16666666701</v>
      </c>
      <c r="D165" s="422">
        <v>12</v>
      </c>
      <c r="E165" s="423">
        <f t="shared" si="159"/>
        <v>2431178</v>
      </c>
      <c r="F165" s="423">
        <f>263.19*12</f>
        <v>3158.28</v>
      </c>
      <c r="G165" s="424">
        <v>161854.24</v>
      </c>
      <c r="H165" s="426"/>
      <c r="I165" s="423">
        <f t="shared" si="160"/>
        <v>2266165.48</v>
      </c>
      <c r="J165" s="423">
        <v>200000</v>
      </c>
      <c r="K165" s="423">
        <v>0.2</v>
      </c>
      <c r="L165" s="423">
        <f t="shared" si="161"/>
        <v>453233.09600000101</v>
      </c>
      <c r="M165" s="423">
        <f t="shared" si="162"/>
        <v>653233.09600000095</v>
      </c>
      <c r="N165" s="423">
        <f t="shared" si="163"/>
        <v>818245.61600000097</v>
      </c>
      <c r="O165" s="423">
        <f t="shared" si="164"/>
        <v>1612932.3840000001</v>
      </c>
      <c r="P165" s="423">
        <f t="shared" si="165"/>
        <v>21000</v>
      </c>
      <c r="Q165" s="423">
        <f t="shared" si="166"/>
        <v>33000</v>
      </c>
      <c r="R165" s="423">
        <f t="shared" si="167"/>
        <v>75000</v>
      </c>
      <c r="S165" s="423">
        <f t="shared" si="168"/>
        <v>95000</v>
      </c>
      <c r="T165" s="423">
        <f t="shared" si="169"/>
        <v>2715.8006400006998</v>
      </c>
      <c r="U165" s="423"/>
      <c r="V165" s="423">
        <f t="shared" si="171"/>
        <v>226715.80064000099</v>
      </c>
      <c r="W165" s="430">
        <v>12</v>
      </c>
      <c r="X165" s="423">
        <f t="shared" si="172"/>
        <v>18892.9833866667</v>
      </c>
      <c r="Y165" s="426"/>
      <c r="Z165" s="423">
        <f t="shared" si="173"/>
        <v>18892.9833866667</v>
      </c>
      <c r="AA165" s="435">
        <v>10739.3048</v>
      </c>
      <c r="AB165" s="435">
        <f t="shared" si="174"/>
        <v>8153.6785866667296</v>
      </c>
      <c r="AC165" s="435"/>
      <c r="AD165" s="435"/>
      <c r="AE165" s="435"/>
    </row>
    <row r="166" spans="1:31" ht="18.75">
      <c r="A166" s="420">
        <v>144</v>
      </c>
      <c r="B166" s="9" t="s">
        <v>295</v>
      </c>
      <c r="C166" s="423">
        <v>202598.16666666701</v>
      </c>
      <c r="D166" s="422">
        <v>12</v>
      </c>
      <c r="E166" s="423">
        <f t="shared" si="159"/>
        <v>2431178</v>
      </c>
      <c r="F166" s="423"/>
      <c r="G166" s="424">
        <v>161854.24</v>
      </c>
      <c r="H166" s="426"/>
      <c r="I166" s="423">
        <f t="shared" si="160"/>
        <v>2269323.7599999998</v>
      </c>
      <c r="J166" s="423">
        <v>200000</v>
      </c>
      <c r="K166" s="423">
        <v>0.2</v>
      </c>
      <c r="L166" s="423">
        <f t="shared" si="161"/>
        <v>453864.75200000103</v>
      </c>
      <c r="M166" s="423">
        <f t="shared" si="162"/>
        <v>653864.75200000103</v>
      </c>
      <c r="N166" s="423">
        <f t="shared" si="163"/>
        <v>815718.99200000102</v>
      </c>
      <c r="O166" s="423">
        <f t="shared" si="164"/>
        <v>1615459.0079999999</v>
      </c>
      <c r="P166" s="423">
        <f t="shared" si="165"/>
        <v>21000</v>
      </c>
      <c r="Q166" s="423">
        <f t="shared" si="166"/>
        <v>33000</v>
      </c>
      <c r="R166" s="423">
        <f t="shared" si="167"/>
        <v>75000</v>
      </c>
      <c r="S166" s="423">
        <f t="shared" si="168"/>
        <v>95000</v>
      </c>
      <c r="T166" s="423">
        <f t="shared" si="169"/>
        <v>3246.39168000067</v>
      </c>
      <c r="U166" s="423"/>
      <c r="V166" s="423">
        <f t="shared" si="171"/>
        <v>227246.39168000099</v>
      </c>
      <c r="W166" s="430">
        <v>12</v>
      </c>
      <c r="X166" s="423">
        <f t="shared" si="172"/>
        <v>18937.199306666698</v>
      </c>
      <c r="Y166" s="426"/>
      <c r="Z166" s="423">
        <f t="shared" si="173"/>
        <v>18937.199306666698</v>
      </c>
      <c r="AA166" s="435">
        <v>10776.457626666701</v>
      </c>
      <c r="AB166" s="435">
        <f t="shared" si="174"/>
        <v>8160.7416800000201</v>
      </c>
      <c r="AC166" s="435"/>
      <c r="AD166" s="435"/>
      <c r="AE166" s="435"/>
    </row>
    <row r="167" spans="1:31" ht="18.75">
      <c r="A167" s="420">
        <v>145</v>
      </c>
      <c r="B167" s="9" t="s">
        <v>296</v>
      </c>
      <c r="C167" s="423">
        <v>200336.83333333299</v>
      </c>
      <c r="D167" s="422">
        <v>12</v>
      </c>
      <c r="E167" s="423">
        <f t="shared" si="159"/>
        <v>2404042</v>
      </c>
      <c r="F167" s="423"/>
      <c r="G167" s="424">
        <v>156803.35999999999</v>
      </c>
      <c r="H167" s="426"/>
      <c r="I167" s="423">
        <f t="shared" si="160"/>
        <v>2247238.64</v>
      </c>
      <c r="J167" s="423">
        <v>200000</v>
      </c>
      <c r="K167" s="423">
        <v>0.2</v>
      </c>
      <c r="L167" s="423">
        <f t="shared" si="161"/>
        <v>449447.72799999901</v>
      </c>
      <c r="M167" s="423">
        <f t="shared" si="162"/>
        <v>649447.72799999896</v>
      </c>
      <c r="N167" s="423">
        <f t="shared" si="163"/>
        <v>806251.08799999906</v>
      </c>
      <c r="O167" s="423">
        <f t="shared" si="164"/>
        <v>1597790.912</v>
      </c>
      <c r="P167" s="423">
        <f t="shared" si="165"/>
        <v>21000</v>
      </c>
      <c r="Q167" s="423">
        <f t="shared" si="166"/>
        <v>33000</v>
      </c>
      <c r="R167" s="423">
        <f t="shared" si="167"/>
        <v>75000</v>
      </c>
      <c r="S167" s="423">
        <f t="shared" si="168"/>
        <v>94580.273279999397</v>
      </c>
      <c r="T167" s="423">
        <f t="shared" si="169"/>
        <v>0</v>
      </c>
      <c r="U167" s="423"/>
      <c r="V167" s="423">
        <f t="shared" si="171"/>
        <v>223580.273279999</v>
      </c>
      <c r="W167" s="430">
        <v>12</v>
      </c>
      <c r="X167" s="423">
        <f t="shared" si="172"/>
        <v>18631.6894399999</v>
      </c>
      <c r="Y167" s="426"/>
      <c r="Z167" s="423">
        <f t="shared" si="173"/>
        <v>18631.6894399999</v>
      </c>
      <c r="AA167" s="435">
        <v>11232.457626666701</v>
      </c>
      <c r="AB167" s="435">
        <f t="shared" si="174"/>
        <v>7399.2318133332501</v>
      </c>
      <c r="AC167" s="435"/>
      <c r="AD167" s="435"/>
      <c r="AE167" s="435"/>
    </row>
    <row r="168" spans="1:31" ht="18.75">
      <c r="A168" s="420">
        <v>146</v>
      </c>
      <c r="B168" s="9" t="s">
        <v>298</v>
      </c>
      <c r="C168" s="423">
        <v>197336.83333333299</v>
      </c>
      <c r="D168" s="422">
        <v>12</v>
      </c>
      <c r="E168" s="423">
        <f t="shared" si="159"/>
        <v>2368042</v>
      </c>
      <c r="F168" s="423"/>
      <c r="G168" s="424">
        <v>156803.35999999999</v>
      </c>
      <c r="H168" s="426"/>
      <c r="I168" s="423">
        <f t="shared" si="160"/>
        <v>2211238.64</v>
      </c>
      <c r="J168" s="423">
        <v>200000</v>
      </c>
      <c r="K168" s="423">
        <v>0.2</v>
      </c>
      <c r="L168" s="423">
        <f t="shared" si="161"/>
        <v>442247.72799999901</v>
      </c>
      <c r="M168" s="423">
        <f t="shared" si="162"/>
        <v>642247.72799999896</v>
      </c>
      <c r="N168" s="423">
        <f t="shared" si="163"/>
        <v>799051.08799999906</v>
      </c>
      <c r="O168" s="423">
        <f t="shared" si="164"/>
        <v>1568990.912</v>
      </c>
      <c r="P168" s="423">
        <f t="shared" si="165"/>
        <v>21000</v>
      </c>
      <c r="Q168" s="423">
        <f t="shared" si="166"/>
        <v>33000</v>
      </c>
      <c r="R168" s="423">
        <f t="shared" si="167"/>
        <v>75000</v>
      </c>
      <c r="S168" s="423">
        <f t="shared" si="168"/>
        <v>89108.273279999397</v>
      </c>
      <c r="T168" s="423">
        <f t="shared" si="169"/>
        <v>0</v>
      </c>
      <c r="U168" s="423"/>
      <c r="V168" s="423">
        <f t="shared" si="171"/>
        <v>218108.273279999</v>
      </c>
      <c r="W168" s="430">
        <v>12</v>
      </c>
      <c r="X168" s="423">
        <f t="shared" si="172"/>
        <v>18175.6894399999</v>
      </c>
      <c r="Y168" s="426"/>
      <c r="Z168" s="423">
        <f t="shared" si="173"/>
        <v>18175.6894399999</v>
      </c>
      <c r="AA168" s="435">
        <v>10776.457626666701</v>
      </c>
      <c r="AB168" s="435">
        <f t="shared" si="174"/>
        <v>7399.2318133332501</v>
      </c>
      <c r="AC168" s="435"/>
      <c r="AD168" s="435"/>
      <c r="AE168" s="435"/>
    </row>
    <row r="169" spans="1:31" ht="18.75">
      <c r="A169" s="420">
        <v>147</v>
      </c>
      <c r="B169" s="12" t="s">
        <v>299</v>
      </c>
      <c r="C169" s="423">
        <v>200336.83333333299</v>
      </c>
      <c r="D169" s="422">
        <v>12</v>
      </c>
      <c r="E169" s="423">
        <f t="shared" si="159"/>
        <v>2404042</v>
      </c>
      <c r="F169" s="423"/>
      <c r="G169" s="424">
        <v>156803.35999999999</v>
      </c>
      <c r="H169" s="426"/>
      <c r="I169" s="423">
        <f t="shared" si="160"/>
        <v>2247238.64</v>
      </c>
      <c r="J169" s="423">
        <v>200000</v>
      </c>
      <c r="K169" s="423">
        <v>0.2</v>
      </c>
      <c r="L169" s="423">
        <f t="shared" si="161"/>
        <v>449447.72799999901</v>
      </c>
      <c r="M169" s="423">
        <f t="shared" si="162"/>
        <v>649447.72799999896</v>
      </c>
      <c r="N169" s="423">
        <f t="shared" si="163"/>
        <v>806251.08799999906</v>
      </c>
      <c r="O169" s="423">
        <f t="shared" si="164"/>
        <v>1597790.912</v>
      </c>
      <c r="P169" s="423">
        <f t="shared" si="165"/>
        <v>21000</v>
      </c>
      <c r="Q169" s="423">
        <f t="shared" si="166"/>
        <v>33000</v>
      </c>
      <c r="R169" s="423">
        <f t="shared" si="167"/>
        <v>75000</v>
      </c>
      <c r="S169" s="423">
        <f t="shared" si="168"/>
        <v>94580.273279999397</v>
      </c>
      <c r="T169" s="423">
        <f t="shared" si="169"/>
        <v>0</v>
      </c>
      <c r="U169" s="423"/>
      <c r="V169" s="423">
        <f t="shared" si="171"/>
        <v>223580.273279999</v>
      </c>
      <c r="W169" s="430">
        <v>12</v>
      </c>
      <c r="X169" s="423">
        <f t="shared" si="172"/>
        <v>18631.6894399999</v>
      </c>
      <c r="Y169" s="426"/>
      <c r="Z169" s="423">
        <f t="shared" si="173"/>
        <v>18631.6894399999</v>
      </c>
      <c r="AA169" s="435">
        <v>11232.457626666701</v>
      </c>
      <c r="AB169" s="435">
        <f t="shared" si="174"/>
        <v>7399.2318133332501</v>
      </c>
      <c r="AC169" s="435"/>
      <c r="AD169" s="435"/>
      <c r="AE169" s="435"/>
    </row>
    <row r="170" spans="1:31" ht="18.75">
      <c r="A170" s="420">
        <v>148</v>
      </c>
      <c r="B170" s="9" t="s">
        <v>300</v>
      </c>
      <c r="C170" s="423">
        <v>197336.83333333299</v>
      </c>
      <c r="D170" s="422">
        <v>12</v>
      </c>
      <c r="E170" s="423">
        <f t="shared" si="159"/>
        <v>2368042</v>
      </c>
      <c r="F170" s="423"/>
      <c r="G170" s="424">
        <v>156803.35999999999</v>
      </c>
      <c r="H170" s="426"/>
      <c r="I170" s="423">
        <f t="shared" si="160"/>
        <v>2211238.64</v>
      </c>
      <c r="J170" s="423">
        <v>200000</v>
      </c>
      <c r="K170" s="423">
        <v>0.2</v>
      </c>
      <c r="L170" s="423">
        <f t="shared" si="161"/>
        <v>442247.72799999901</v>
      </c>
      <c r="M170" s="423">
        <f t="shared" si="162"/>
        <v>642247.72799999896</v>
      </c>
      <c r="N170" s="423">
        <f t="shared" si="163"/>
        <v>799051.08799999906</v>
      </c>
      <c r="O170" s="423">
        <f t="shared" si="164"/>
        <v>1568990.912</v>
      </c>
      <c r="P170" s="423">
        <f t="shared" si="165"/>
        <v>21000</v>
      </c>
      <c r="Q170" s="423">
        <f t="shared" si="166"/>
        <v>33000</v>
      </c>
      <c r="R170" s="423">
        <f t="shared" si="167"/>
        <v>75000</v>
      </c>
      <c r="S170" s="423">
        <f t="shared" si="168"/>
        <v>89108.273279999397</v>
      </c>
      <c r="T170" s="423">
        <f t="shared" si="169"/>
        <v>0</v>
      </c>
      <c r="U170" s="423"/>
      <c r="V170" s="423">
        <f t="shared" si="171"/>
        <v>218108.273279999</v>
      </c>
      <c r="W170" s="430">
        <v>12</v>
      </c>
      <c r="X170" s="423">
        <f t="shared" si="172"/>
        <v>18175.6894399999</v>
      </c>
      <c r="Y170" s="426"/>
      <c r="Z170" s="423">
        <f t="shared" si="173"/>
        <v>18175.6894399999</v>
      </c>
      <c r="AA170" s="435">
        <v>10776.457626666701</v>
      </c>
      <c r="AB170" s="435">
        <f t="shared" si="174"/>
        <v>7399.2318133332501</v>
      </c>
      <c r="AC170" s="435"/>
      <c r="AD170" s="435"/>
      <c r="AE170" s="435"/>
    </row>
    <row r="171" spans="1:31" ht="18.75">
      <c r="A171" s="420">
        <v>149</v>
      </c>
      <c r="B171" s="16" t="s">
        <v>301</v>
      </c>
      <c r="C171" s="423">
        <v>197336.83333333299</v>
      </c>
      <c r="D171" s="422">
        <v>12</v>
      </c>
      <c r="E171" s="423">
        <f t="shared" si="159"/>
        <v>2368042</v>
      </c>
      <c r="F171" s="423"/>
      <c r="G171" s="424">
        <v>156803.35999999999</v>
      </c>
      <c r="H171" s="426"/>
      <c r="I171" s="423">
        <f t="shared" si="160"/>
        <v>2211238.64</v>
      </c>
      <c r="J171" s="423">
        <v>200000</v>
      </c>
      <c r="K171" s="423">
        <v>0.2</v>
      </c>
      <c r="L171" s="423">
        <f t="shared" si="161"/>
        <v>442247.72799999901</v>
      </c>
      <c r="M171" s="423">
        <f t="shared" si="162"/>
        <v>642247.72799999896</v>
      </c>
      <c r="N171" s="423">
        <f t="shared" si="163"/>
        <v>799051.08799999906</v>
      </c>
      <c r="O171" s="423">
        <f t="shared" si="164"/>
        <v>1568990.912</v>
      </c>
      <c r="P171" s="423">
        <f t="shared" si="165"/>
        <v>21000</v>
      </c>
      <c r="Q171" s="423">
        <f t="shared" si="166"/>
        <v>33000</v>
      </c>
      <c r="R171" s="423">
        <f t="shared" si="167"/>
        <v>75000</v>
      </c>
      <c r="S171" s="423">
        <f t="shared" si="168"/>
        <v>89108.273279999397</v>
      </c>
      <c r="T171" s="423">
        <f t="shared" si="169"/>
        <v>0</v>
      </c>
      <c r="U171" s="423"/>
      <c r="V171" s="423">
        <f t="shared" si="171"/>
        <v>218108.273279999</v>
      </c>
      <c r="W171" s="430">
        <v>12</v>
      </c>
      <c r="X171" s="423">
        <f t="shared" si="172"/>
        <v>18175.6894399999</v>
      </c>
      <c r="Y171" s="426"/>
      <c r="Z171" s="423">
        <f t="shared" si="173"/>
        <v>18175.6894399999</v>
      </c>
      <c r="AA171" s="435">
        <v>10776.457626666701</v>
      </c>
      <c r="AB171" s="435">
        <f t="shared" si="174"/>
        <v>7399.2318133332501</v>
      </c>
      <c r="AC171" s="435"/>
      <c r="AD171" s="435"/>
      <c r="AE171" s="435"/>
    </row>
    <row r="172" spans="1:31" ht="18.75">
      <c r="A172" s="420">
        <v>150</v>
      </c>
      <c r="B172" s="16" t="s">
        <v>302</v>
      </c>
      <c r="C172" s="423">
        <v>200336.83333333299</v>
      </c>
      <c r="D172" s="422">
        <v>12</v>
      </c>
      <c r="E172" s="423">
        <f t="shared" si="159"/>
        <v>2404042</v>
      </c>
      <c r="F172" s="423"/>
      <c r="G172" s="424">
        <v>156803.35999999999</v>
      </c>
      <c r="H172" s="426"/>
      <c r="I172" s="423">
        <f t="shared" si="160"/>
        <v>2247238.64</v>
      </c>
      <c r="J172" s="423">
        <v>200000</v>
      </c>
      <c r="K172" s="423">
        <v>0.2</v>
      </c>
      <c r="L172" s="423">
        <f t="shared" si="161"/>
        <v>449447.72799999901</v>
      </c>
      <c r="M172" s="423">
        <f t="shared" si="162"/>
        <v>649447.72799999896</v>
      </c>
      <c r="N172" s="423">
        <f t="shared" si="163"/>
        <v>806251.08799999906</v>
      </c>
      <c r="O172" s="423">
        <f t="shared" si="164"/>
        <v>1597790.912</v>
      </c>
      <c r="P172" s="423">
        <f t="shared" si="165"/>
        <v>21000</v>
      </c>
      <c r="Q172" s="423">
        <f t="shared" si="166"/>
        <v>33000</v>
      </c>
      <c r="R172" s="423">
        <f t="shared" si="167"/>
        <v>75000</v>
      </c>
      <c r="S172" s="423">
        <f t="shared" si="168"/>
        <v>94580.273279999397</v>
      </c>
      <c r="T172" s="423">
        <f t="shared" si="169"/>
        <v>0</v>
      </c>
      <c r="U172" s="423"/>
      <c r="V172" s="423">
        <f t="shared" si="171"/>
        <v>223580.273279999</v>
      </c>
      <c r="W172" s="430">
        <v>12</v>
      </c>
      <c r="X172" s="423">
        <f t="shared" si="172"/>
        <v>18631.6894399999</v>
      </c>
      <c r="Y172" s="426"/>
      <c r="Z172" s="423">
        <f t="shared" si="173"/>
        <v>18631.6894399999</v>
      </c>
      <c r="AA172" s="435">
        <v>11232.457626666701</v>
      </c>
      <c r="AB172" s="435">
        <f t="shared" si="174"/>
        <v>7399.2318133332501</v>
      </c>
      <c r="AC172" s="435"/>
      <c r="AD172" s="435"/>
      <c r="AE172" s="435"/>
    </row>
    <row r="173" spans="1:31" ht="37.5">
      <c r="A173" s="420">
        <v>151</v>
      </c>
      <c r="B173" s="9" t="s">
        <v>303</v>
      </c>
      <c r="C173" s="423">
        <v>189814.16666666701</v>
      </c>
      <c r="D173" s="422">
        <v>12</v>
      </c>
      <c r="E173" s="423">
        <f t="shared" si="159"/>
        <v>2277770</v>
      </c>
      <c r="F173" s="423"/>
      <c r="G173" s="424">
        <v>146701.6</v>
      </c>
      <c r="H173" s="426"/>
      <c r="I173" s="423">
        <f t="shared" si="160"/>
        <v>2131068.4</v>
      </c>
      <c r="J173" s="423">
        <v>200000</v>
      </c>
      <c r="K173" s="423">
        <v>0.2</v>
      </c>
      <c r="L173" s="423">
        <f t="shared" si="161"/>
        <v>426213.68000000098</v>
      </c>
      <c r="M173" s="423">
        <f t="shared" si="162"/>
        <v>626213.68000000098</v>
      </c>
      <c r="N173" s="423">
        <f t="shared" si="163"/>
        <v>772915.28000000096</v>
      </c>
      <c r="O173" s="423">
        <f t="shared" si="164"/>
        <v>1504854.72</v>
      </c>
      <c r="P173" s="423">
        <f t="shared" si="165"/>
        <v>21000</v>
      </c>
      <c r="Q173" s="423">
        <f t="shared" si="166"/>
        <v>33000</v>
      </c>
      <c r="R173" s="423">
        <f t="shared" si="167"/>
        <v>75000</v>
      </c>
      <c r="S173" s="423">
        <f t="shared" si="168"/>
        <v>76922.396800000701</v>
      </c>
      <c r="T173" s="423">
        <f t="shared" si="169"/>
        <v>0</v>
      </c>
      <c r="U173" s="423"/>
      <c r="V173" s="423">
        <f t="shared" si="171"/>
        <v>205922.39680000101</v>
      </c>
      <c r="W173" s="430">
        <v>12</v>
      </c>
      <c r="X173" s="423">
        <f t="shared" si="172"/>
        <v>17160.1997333334</v>
      </c>
      <c r="Y173" s="426"/>
      <c r="Z173" s="423">
        <f t="shared" si="173"/>
        <v>17160.1997333334</v>
      </c>
      <c r="AA173" s="435">
        <v>9152.5997900000002</v>
      </c>
      <c r="AB173" s="435">
        <f t="shared" si="174"/>
        <v>8007.59994333339</v>
      </c>
      <c r="AC173" s="435"/>
      <c r="AD173" s="435"/>
      <c r="AE173" s="435"/>
    </row>
    <row r="174" spans="1:31" ht="18.75">
      <c r="A174" s="420">
        <v>152</v>
      </c>
      <c r="B174" s="9" t="s">
        <v>306</v>
      </c>
      <c r="C174" s="423">
        <v>189814.16666666701</v>
      </c>
      <c r="D174" s="422">
        <v>12</v>
      </c>
      <c r="E174" s="423">
        <f t="shared" si="159"/>
        <v>2277770</v>
      </c>
      <c r="F174" s="423"/>
      <c r="G174" s="424">
        <v>146701.6</v>
      </c>
      <c r="H174" s="426"/>
      <c r="I174" s="423">
        <f t="shared" si="160"/>
        <v>2131068.4</v>
      </c>
      <c r="J174" s="423">
        <v>200000</v>
      </c>
      <c r="K174" s="423">
        <v>0.2</v>
      </c>
      <c r="L174" s="423">
        <f t="shared" si="161"/>
        <v>426213.68000000098</v>
      </c>
      <c r="M174" s="423">
        <f t="shared" si="162"/>
        <v>626213.68000000098</v>
      </c>
      <c r="N174" s="423">
        <f t="shared" si="163"/>
        <v>772915.28000000096</v>
      </c>
      <c r="O174" s="423">
        <f t="shared" si="164"/>
        <v>1504854.72</v>
      </c>
      <c r="P174" s="423">
        <f t="shared" si="165"/>
        <v>21000</v>
      </c>
      <c r="Q174" s="423">
        <f t="shared" si="166"/>
        <v>33000</v>
      </c>
      <c r="R174" s="423">
        <f t="shared" si="167"/>
        <v>75000</v>
      </c>
      <c r="S174" s="423">
        <f t="shared" si="168"/>
        <v>76922.396800000701</v>
      </c>
      <c r="T174" s="423">
        <f t="shared" si="169"/>
        <v>0</v>
      </c>
      <c r="U174" s="423"/>
      <c r="V174" s="423">
        <f t="shared" si="171"/>
        <v>205922.39680000101</v>
      </c>
      <c r="W174" s="430">
        <v>12</v>
      </c>
      <c r="X174" s="423">
        <f t="shared" si="172"/>
        <v>17160.1997333334</v>
      </c>
      <c r="Y174" s="426"/>
      <c r="Z174" s="423">
        <f t="shared" si="173"/>
        <v>17160.1997333334</v>
      </c>
      <c r="AA174" s="435">
        <v>9152.5997900000002</v>
      </c>
      <c r="AB174" s="435">
        <f t="shared" si="174"/>
        <v>8007.59994333339</v>
      </c>
      <c r="AC174" s="435"/>
      <c r="AD174" s="435"/>
      <c r="AE174" s="435"/>
    </row>
    <row r="175" spans="1:31" ht="18.75">
      <c r="A175" s="420">
        <v>153</v>
      </c>
      <c r="B175" s="16" t="s">
        <v>307</v>
      </c>
      <c r="C175" s="423">
        <v>195075.5</v>
      </c>
      <c r="D175" s="422">
        <v>12</v>
      </c>
      <c r="E175" s="423">
        <f t="shared" si="159"/>
        <v>2340906</v>
      </c>
      <c r="F175" s="423"/>
      <c r="G175" s="424">
        <v>151752.48000000001</v>
      </c>
      <c r="H175" s="426"/>
      <c r="I175" s="423">
        <f t="shared" si="160"/>
        <v>2189153.52</v>
      </c>
      <c r="J175" s="423">
        <v>200000</v>
      </c>
      <c r="K175" s="423">
        <v>0.2</v>
      </c>
      <c r="L175" s="423">
        <f t="shared" si="161"/>
        <v>437830.70400000003</v>
      </c>
      <c r="M175" s="423">
        <f t="shared" si="162"/>
        <v>637830.70400000003</v>
      </c>
      <c r="N175" s="423">
        <f t="shared" si="163"/>
        <v>789583.18400000001</v>
      </c>
      <c r="O175" s="423">
        <f t="shared" si="164"/>
        <v>1551322.8160000001</v>
      </c>
      <c r="P175" s="423">
        <f t="shared" si="165"/>
        <v>21000</v>
      </c>
      <c r="Q175" s="423">
        <f t="shared" si="166"/>
        <v>33000</v>
      </c>
      <c r="R175" s="423">
        <f t="shared" si="167"/>
        <v>75000</v>
      </c>
      <c r="S175" s="423">
        <f t="shared" si="168"/>
        <v>85751.335040000005</v>
      </c>
      <c r="T175" s="423">
        <f t="shared" si="169"/>
        <v>0</v>
      </c>
      <c r="U175" s="423"/>
      <c r="V175" s="423">
        <f t="shared" si="171"/>
        <v>214751.33504000001</v>
      </c>
      <c r="W175" s="430">
        <v>12</v>
      </c>
      <c r="X175" s="423">
        <f t="shared" si="172"/>
        <v>17895.944586666701</v>
      </c>
      <c r="Y175" s="426"/>
      <c r="Z175" s="423">
        <f t="shared" si="173"/>
        <v>17895.944586666701</v>
      </c>
      <c r="AA175" s="435">
        <v>9504.2041399999998</v>
      </c>
      <c r="AB175" s="435">
        <f t="shared" si="174"/>
        <v>8391.7404466666703</v>
      </c>
      <c r="AC175" s="435"/>
      <c r="AD175" s="435"/>
      <c r="AE175" s="435"/>
    </row>
    <row r="176" spans="1:31" ht="29.25" customHeight="1">
      <c r="A176" s="420">
        <v>154</v>
      </c>
      <c r="B176" s="9" t="s">
        <v>309</v>
      </c>
      <c r="C176" s="423">
        <v>121145.75</v>
      </c>
      <c r="D176" s="422">
        <v>12</v>
      </c>
      <c r="E176" s="423">
        <f t="shared" si="159"/>
        <v>1453749</v>
      </c>
      <c r="F176" s="423"/>
      <c r="G176" s="424">
        <v>90379.92</v>
      </c>
      <c r="H176" s="426"/>
      <c r="I176" s="423">
        <f t="shared" si="160"/>
        <v>1363369.08</v>
      </c>
      <c r="J176" s="423">
        <v>200000</v>
      </c>
      <c r="K176" s="423">
        <v>0.2</v>
      </c>
      <c r="L176" s="423">
        <f t="shared" si="161"/>
        <v>272673.81599999999</v>
      </c>
      <c r="M176" s="423">
        <f t="shared" si="162"/>
        <v>472673.81599999999</v>
      </c>
      <c r="N176" s="423">
        <f t="shared" si="163"/>
        <v>563053.73600000003</v>
      </c>
      <c r="O176" s="423">
        <f t="shared" si="164"/>
        <v>890695.26399999997</v>
      </c>
      <c r="P176" s="423">
        <f t="shared" si="165"/>
        <v>21000</v>
      </c>
      <c r="Q176" s="423">
        <f t="shared" si="166"/>
        <v>33000</v>
      </c>
      <c r="R176" s="423">
        <f t="shared" si="167"/>
        <v>43604.289599999996</v>
      </c>
      <c r="S176" s="423">
        <f t="shared" si="168"/>
        <v>0</v>
      </c>
      <c r="T176" s="423">
        <f t="shared" si="169"/>
        <v>0</v>
      </c>
      <c r="U176" s="423"/>
      <c r="V176" s="423">
        <f t="shared" si="171"/>
        <v>97604.289600000004</v>
      </c>
      <c r="W176" s="430">
        <v>12</v>
      </c>
      <c r="X176" s="423">
        <f t="shared" si="172"/>
        <v>8133.6908000000003</v>
      </c>
      <c r="Y176" s="426"/>
      <c r="Z176" s="423">
        <f t="shared" si="173"/>
        <v>8133.6908000000003</v>
      </c>
      <c r="AA176" s="435">
        <v>4365.3307546666701</v>
      </c>
      <c r="AB176" s="435">
        <f t="shared" si="174"/>
        <v>3768.3600453333302</v>
      </c>
      <c r="AC176" s="435"/>
      <c r="AD176" s="435"/>
      <c r="AE176" s="435"/>
    </row>
    <row r="177" spans="1:31" ht="18.75">
      <c r="A177" s="420">
        <v>155</v>
      </c>
      <c r="B177" s="9" t="s">
        <v>312</v>
      </c>
      <c r="C177" s="423">
        <v>118598</v>
      </c>
      <c r="D177" s="422">
        <v>12</v>
      </c>
      <c r="E177" s="423">
        <f t="shared" si="159"/>
        <v>1423176</v>
      </c>
      <c r="F177" s="423"/>
      <c r="G177" s="424">
        <v>87934.080000000002</v>
      </c>
      <c r="H177" s="426"/>
      <c r="I177" s="423">
        <f t="shared" si="160"/>
        <v>1335241.92</v>
      </c>
      <c r="J177" s="423">
        <v>200000</v>
      </c>
      <c r="K177" s="423">
        <v>0.2</v>
      </c>
      <c r="L177" s="423">
        <f t="shared" si="161"/>
        <v>267048.38400000002</v>
      </c>
      <c r="M177" s="423">
        <f t="shared" si="162"/>
        <v>467048.38400000002</v>
      </c>
      <c r="N177" s="423">
        <f t="shared" si="163"/>
        <v>554982.46400000004</v>
      </c>
      <c r="O177" s="423">
        <f t="shared" si="164"/>
        <v>868193.53599999996</v>
      </c>
      <c r="P177" s="423">
        <f t="shared" si="165"/>
        <v>21000</v>
      </c>
      <c r="Q177" s="423">
        <f t="shared" si="166"/>
        <v>33000</v>
      </c>
      <c r="R177" s="423">
        <f t="shared" si="167"/>
        <v>40229.030400000003</v>
      </c>
      <c r="S177" s="423">
        <f t="shared" si="168"/>
        <v>0</v>
      </c>
      <c r="T177" s="423">
        <f t="shared" si="169"/>
        <v>0</v>
      </c>
      <c r="U177" s="423"/>
      <c r="V177" s="423">
        <f t="shared" si="171"/>
        <v>94229.030400000003</v>
      </c>
      <c r="W177" s="430">
        <v>12</v>
      </c>
      <c r="X177" s="423">
        <f t="shared" si="172"/>
        <v>7852.4192000000003</v>
      </c>
      <c r="Y177" s="426"/>
      <c r="Z177" s="423">
        <f t="shared" si="173"/>
        <v>7852.4192000000003</v>
      </c>
      <c r="AA177" s="435">
        <v>4227.5237226666704</v>
      </c>
      <c r="AB177" s="435">
        <f t="shared" si="174"/>
        <v>3624.8954773333298</v>
      </c>
      <c r="AC177" s="435"/>
      <c r="AD177" s="435"/>
      <c r="AE177" s="435"/>
    </row>
    <row r="178" spans="1:31" ht="18.75">
      <c r="A178" s="420">
        <v>156</v>
      </c>
      <c r="B178" s="9" t="s">
        <v>315</v>
      </c>
      <c r="C178" s="423">
        <v>115598</v>
      </c>
      <c r="D178" s="422">
        <v>12</v>
      </c>
      <c r="E178" s="423">
        <f t="shared" si="159"/>
        <v>1387176</v>
      </c>
      <c r="F178" s="423"/>
      <c r="G178" s="424">
        <v>87934.080000000002</v>
      </c>
      <c r="H178" s="426"/>
      <c r="I178" s="423">
        <f t="shared" si="160"/>
        <v>1299241.92</v>
      </c>
      <c r="J178" s="423">
        <v>200000</v>
      </c>
      <c r="K178" s="423">
        <v>0.2</v>
      </c>
      <c r="L178" s="423">
        <f t="shared" si="161"/>
        <v>259848.38399999999</v>
      </c>
      <c r="M178" s="423">
        <f t="shared" si="162"/>
        <v>459848.38400000002</v>
      </c>
      <c r="N178" s="423">
        <f t="shared" si="163"/>
        <v>547782.46400000004</v>
      </c>
      <c r="O178" s="423">
        <f t="shared" si="164"/>
        <v>839393.53599999996</v>
      </c>
      <c r="P178" s="423">
        <f t="shared" si="165"/>
        <v>21000</v>
      </c>
      <c r="Q178" s="423">
        <f t="shared" si="166"/>
        <v>33000</v>
      </c>
      <c r="R178" s="423">
        <f t="shared" si="167"/>
        <v>35909.030400000003</v>
      </c>
      <c r="S178" s="423">
        <f t="shared" si="168"/>
        <v>0</v>
      </c>
      <c r="T178" s="423">
        <f t="shared" si="169"/>
        <v>0</v>
      </c>
      <c r="U178" s="423"/>
      <c r="V178" s="423">
        <f t="shared" si="171"/>
        <v>89909.030400000003</v>
      </c>
      <c r="W178" s="430">
        <v>12</v>
      </c>
      <c r="X178" s="423">
        <f t="shared" si="172"/>
        <v>7492.4192000000003</v>
      </c>
      <c r="Y178" s="426"/>
      <c r="Z178" s="423">
        <f t="shared" si="173"/>
        <v>7492.4192000000003</v>
      </c>
      <c r="AA178" s="435">
        <v>3963.52372266667</v>
      </c>
      <c r="AB178" s="435">
        <f t="shared" si="174"/>
        <v>3528.8954773333298</v>
      </c>
      <c r="AC178" s="435"/>
      <c r="AD178" s="435"/>
      <c r="AE178" s="435"/>
    </row>
    <row r="179" spans="1:31" ht="18.75">
      <c r="A179" s="420">
        <v>157</v>
      </c>
      <c r="B179" s="9" t="s">
        <v>316</v>
      </c>
      <c r="C179" s="423">
        <v>118598</v>
      </c>
      <c r="D179" s="422">
        <v>12</v>
      </c>
      <c r="E179" s="423">
        <f t="shared" si="159"/>
        <v>1423176</v>
      </c>
      <c r="F179" s="423"/>
      <c r="G179" s="424">
        <v>87934.080000000002</v>
      </c>
      <c r="H179" s="426"/>
      <c r="I179" s="423">
        <f t="shared" si="160"/>
        <v>1335241.92</v>
      </c>
      <c r="J179" s="423">
        <v>200000</v>
      </c>
      <c r="K179" s="423">
        <v>0.2</v>
      </c>
      <c r="L179" s="423">
        <f t="shared" si="161"/>
        <v>267048.38400000002</v>
      </c>
      <c r="M179" s="423">
        <f t="shared" si="162"/>
        <v>467048.38400000002</v>
      </c>
      <c r="N179" s="423">
        <f t="shared" si="163"/>
        <v>554982.46400000004</v>
      </c>
      <c r="O179" s="423">
        <f t="shared" si="164"/>
        <v>868193.53599999996</v>
      </c>
      <c r="P179" s="423">
        <f t="shared" si="165"/>
        <v>21000</v>
      </c>
      <c r="Q179" s="423">
        <f t="shared" si="166"/>
        <v>33000</v>
      </c>
      <c r="R179" s="423">
        <f t="shared" si="167"/>
        <v>40229.030400000003</v>
      </c>
      <c r="S179" s="423">
        <f t="shared" si="168"/>
        <v>0</v>
      </c>
      <c r="T179" s="423">
        <f t="shared" si="169"/>
        <v>0</v>
      </c>
      <c r="U179" s="423"/>
      <c r="V179" s="423">
        <f t="shared" si="171"/>
        <v>94229.030400000003</v>
      </c>
      <c r="W179" s="430">
        <v>12</v>
      </c>
      <c r="X179" s="423">
        <f t="shared" si="172"/>
        <v>7852.4192000000003</v>
      </c>
      <c r="Y179" s="426"/>
      <c r="Z179" s="423">
        <f t="shared" si="173"/>
        <v>7852.4192000000003</v>
      </c>
      <c r="AA179" s="435">
        <v>4227.5237226666704</v>
      </c>
      <c r="AB179" s="435">
        <f t="shared" si="174"/>
        <v>3624.8954773333298</v>
      </c>
      <c r="AC179" s="435"/>
      <c r="AD179" s="435"/>
      <c r="AE179" s="435"/>
    </row>
    <row r="180" spans="1:31" ht="18.75">
      <c r="A180" s="431"/>
      <c r="B180" s="9" t="s">
        <v>317</v>
      </c>
      <c r="C180" s="439">
        <v>115598</v>
      </c>
      <c r="D180" s="422">
        <v>12</v>
      </c>
      <c r="E180" s="423">
        <f t="shared" si="159"/>
        <v>1387176</v>
      </c>
      <c r="F180" s="423"/>
      <c r="G180" s="424">
        <v>87934.080000000002</v>
      </c>
      <c r="H180" s="426"/>
      <c r="I180" s="423">
        <f t="shared" si="160"/>
        <v>1299241.92</v>
      </c>
      <c r="J180" s="423">
        <v>200000</v>
      </c>
      <c r="K180" s="423">
        <v>0.2</v>
      </c>
      <c r="L180" s="423">
        <f t="shared" si="161"/>
        <v>259848.38399999999</v>
      </c>
      <c r="M180" s="423">
        <f t="shared" si="162"/>
        <v>459848.38400000002</v>
      </c>
      <c r="N180" s="423">
        <f t="shared" si="163"/>
        <v>547782.46400000004</v>
      </c>
      <c r="O180" s="423">
        <f t="shared" si="164"/>
        <v>839393.53599999996</v>
      </c>
      <c r="P180" s="423">
        <f t="shared" si="165"/>
        <v>21000</v>
      </c>
      <c r="Q180" s="423">
        <f t="shared" si="166"/>
        <v>33000</v>
      </c>
      <c r="R180" s="423">
        <f t="shared" si="167"/>
        <v>35909.030400000003</v>
      </c>
      <c r="S180" s="423">
        <f t="shared" si="168"/>
        <v>0</v>
      </c>
      <c r="T180" s="423">
        <f t="shared" si="169"/>
        <v>0</v>
      </c>
      <c r="U180" s="423"/>
      <c r="V180" s="423">
        <f t="shared" si="171"/>
        <v>89909.030400000003</v>
      </c>
      <c r="W180" s="430">
        <v>12</v>
      </c>
      <c r="X180" s="423">
        <f t="shared" si="172"/>
        <v>7492.4192000000003</v>
      </c>
      <c r="Y180" s="426"/>
      <c r="Z180" s="423">
        <f t="shared" si="173"/>
        <v>7492.4192000000003</v>
      </c>
      <c r="AA180" s="435">
        <v>3963.52372266667</v>
      </c>
      <c r="AB180" s="435">
        <f t="shared" si="174"/>
        <v>3528.8954773333298</v>
      </c>
      <c r="AC180" s="435"/>
      <c r="AD180" s="435"/>
      <c r="AE180" s="435"/>
    </row>
    <row r="181" spans="1:31" ht="18.75">
      <c r="A181" s="431"/>
      <c r="B181" s="9" t="s">
        <v>318</v>
      </c>
      <c r="C181" s="439">
        <v>118598</v>
      </c>
      <c r="D181" s="422">
        <v>12</v>
      </c>
      <c r="E181" s="423">
        <f t="shared" si="159"/>
        <v>1423176</v>
      </c>
      <c r="F181" s="423"/>
      <c r="G181" s="424">
        <v>87934.080000000002</v>
      </c>
      <c r="H181" s="426"/>
      <c r="I181" s="423">
        <f t="shared" si="160"/>
        <v>1335241.92</v>
      </c>
      <c r="J181" s="423">
        <v>200000</v>
      </c>
      <c r="K181" s="423">
        <v>0.2</v>
      </c>
      <c r="L181" s="423">
        <f t="shared" si="161"/>
        <v>267048.38400000002</v>
      </c>
      <c r="M181" s="423">
        <f t="shared" si="162"/>
        <v>467048.38400000002</v>
      </c>
      <c r="N181" s="423">
        <f t="shared" si="163"/>
        <v>554982.46400000004</v>
      </c>
      <c r="O181" s="423">
        <f t="shared" si="164"/>
        <v>868193.53599999996</v>
      </c>
      <c r="P181" s="423">
        <f t="shared" si="165"/>
        <v>21000</v>
      </c>
      <c r="Q181" s="423">
        <f t="shared" si="166"/>
        <v>33000</v>
      </c>
      <c r="R181" s="423">
        <f t="shared" si="167"/>
        <v>40229.030400000003</v>
      </c>
      <c r="S181" s="423">
        <f t="shared" si="168"/>
        <v>0</v>
      </c>
      <c r="T181" s="423">
        <f t="shared" si="169"/>
        <v>0</v>
      </c>
      <c r="U181" s="423"/>
      <c r="V181" s="423">
        <f t="shared" si="171"/>
        <v>94229.030400000003</v>
      </c>
      <c r="W181" s="430">
        <v>12</v>
      </c>
      <c r="X181" s="423">
        <f t="shared" si="172"/>
        <v>7852.4192000000003</v>
      </c>
      <c r="Y181" s="426"/>
      <c r="Z181" s="423">
        <f t="shared" si="173"/>
        <v>7852.4192000000003</v>
      </c>
      <c r="AA181" s="435">
        <v>4227.5237226666704</v>
      </c>
      <c r="AB181" s="435">
        <f t="shared" si="174"/>
        <v>3624.8954773333298</v>
      </c>
    </row>
    <row r="182" spans="1:31" ht="18.75">
      <c r="B182" s="16" t="s">
        <v>319</v>
      </c>
      <c r="C182" s="435">
        <v>115598</v>
      </c>
      <c r="D182" s="422">
        <v>12</v>
      </c>
      <c r="E182" s="423">
        <f t="shared" si="159"/>
        <v>1387176</v>
      </c>
      <c r="G182" s="424">
        <v>87934.080000000002</v>
      </c>
      <c r="I182" s="423">
        <f t="shared" si="160"/>
        <v>1299241.92</v>
      </c>
      <c r="J182" s="423">
        <v>200000</v>
      </c>
      <c r="K182" s="423">
        <v>0.2</v>
      </c>
      <c r="L182" s="423">
        <f t="shared" si="161"/>
        <v>259848.38399999999</v>
      </c>
      <c r="M182" s="423">
        <f t="shared" si="162"/>
        <v>459848.38400000002</v>
      </c>
      <c r="N182" s="423">
        <f t="shared" si="163"/>
        <v>547782.46400000004</v>
      </c>
      <c r="O182" s="423">
        <f t="shared" si="164"/>
        <v>839393.53599999996</v>
      </c>
      <c r="P182" s="423">
        <f t="shared" si="165"/>
        <v>21000</v>
      </c>
      <c r="Q182" s="423">
        <f t="shared" si="166"/>
        <v>33000</v>
      </c>
      <c r="R182" s="423">
        <f t="shared" si="167"/>
        <v>35909.030400000003</v>
      </c>
      <c r="S182" s="423">
        <f t="shared" si="168"/>
        <v>0</v>
      </c>
      <c r="T182" s="423">
        <f t="shared" si="169"/>
        <v>0</v>
      </c>
      <c r="U182" s="423"/>
      <c r="V182" s="423">
        <f t="shared" si="171"/>
        <v>89909.030400000003</v>
      </c>
      <c r="W182" s="430">
        <v>12</v>
      </c>
      <c r="X182" s="423">
        <f t="shared" si="172"/>
        <v>7492.4192000000003</v>
      </c>
      <c r="Z182" s="423">
        <f t="shared" si="173"/>
        <v>7492.4192000000003</v>
      </c>
      <c r="AA182" s="435">
        <v>3963.52372266667</v>
      </c>
      <c r="AB182" s="435">
        <f t="shared" si="174"/>
        <v>3528.8954773333298</v>
      </c>
    </row>
    <row r="183" spans="1:31" ht="18.75">
      <c r="B183" s="16" t="s">
        <v>320</v>
      </c>
      <c r="C183" s="435">
        <v>118598</v>
      </c>
      <c r="D183" s="422">
        <v>12</v>
      </c>
      <c r="E183" s="423">
        <f t="shared" si="159"/>
        <v>1423176</v>
      </c>
      <c r="G183" s="424">
        <v>87934.080000000002</v>
      </c>
      <c r="I183" s="423">
        <f t="shared" si="160"/>
        <v>1335241.92</v>
      </c>
      <c r="J183" s="423">
        <v>200000</v>
      </c>
      <c r="K183" s="423">
        <v>0.2</v>
      </c>
      <c r="L183" s="423">
        <f t="shared" si="161"/>
        <v>267048.38400000002</v>
      </c>
      <c r="M183" s="423">
        <f t="shared" si="162"/>
        <v>467048.38400000002</v>
      </c>
      <c r="N183" s="423">
        <f t="shared" si="163"/>
        <v>554982.46400000004</v>
      </c>
      <c r="O183" s="423">
        <f t="shared" si="164"/>
        <v>868193.53599999996</v>
      </c>
      <c r="P183" s="423">
        <f t="shared" si="165"/>
        <v>21000</v>
      </c>
      <c r="Q183" s="423">
        <f t="shared" si="166"/>
        <v>33000</v>
      </c>
      <c r="R183" s="423">
        <f t="shared" si="167"/>
        <v>40229.030400000003</v>
      </c>
      <c r="S183" s="423">
        <f t="shared" si="168"/>
        <v>0</v>
      </c>
      <c r="T183" s="423">
        <f t="shared" si="169"/>
        <v>0</v>
      </c>
      <c r="U183" s="423"/>
      <c r="V183" s="423">
        <f t="shared" si="171"/>
        <v>94229.030400000003</v>
      </c>
      <c r="W183" s="430">
        <v>12</v>
      </c>
      <c r="X183" s="423">
        <f t="shared" si="172"/>
        <v>7852.4192000000003</v>
      </c>
      <c r="Z183" s="423">
        <f t="shared" si="173"/>
        <v>7852.4192000000003</v>
      </c>
      <c r="AA183" s="435">
        <v>4227.5237226666704</v>
      </c>
      <c r="AB183" s="435">
        <f t="shared" si="174"/>
        <v>3624.8954773333298</v>
      </c>
    </row>
    <row r="184" spans="1:31" ht="18.75">
      <c r="B184" s="9" t="s">
        <v>321</v>
      </c>
      <c r="C184" s="435">
        <v>118598</v>
      </c>
      <c r="D184" s="422">
        <v>12</v>
      </c>
      <c r="E184" s="423">
        <f t="shared" si="159"/>
        <v>1423176</v>
      </c>
      <c r="G184" s="424">
        <v>87934.080000000002</v>
      </c>
      <c r="I184" s="423">
        <f t="shared" si="160"/>
        <v>1335241.92</v>
      </c>
      <c r="J184" s="423">
        <v>200000</v>
      </c>
      <c r="K184" s="423">
        <v>0.2</v>
      </c>
      <c r="L184" s="423">
        <f t="shared" si="161"/>
        <v>267048.38400000002</v>
      </c>
      <c r="M184" s="423">
        <f t="shared" si="162"/>
        <v>467048.38400000002</v>
      </c>
      <c r="N184" s="423">
        <f t="shared" si="163"/>
        <v>554982.46400000004</v>
      </c>
      <c r="O184" s="423">
        <f t="shared" si="164"/>
        <v>868193.53599999996</v>
      </c>
      <c r="P184" s="423">
        <f t="shared" si="165"/>
        <v>21000</v>
      </c>
      <c r="Q184" s="423">
        <f t="shared" si="166"/>
        <v>33000</v>
      </c>
      <c r="R184" s="423">
        <f t="shared" si="167"/>
        <v>40229.030400000003</v>
      </c>
      <c r="S184" s="423">
        <f t="shared" si="168"/>
        <v>0</v>
      </c>
      <c r="T184" s="423">
        <f t="shared" si="169"/>
        <v>0</v>
      </c>
      <c r="V184" s="423">
        <f t="shared" si="171"/>
        <v>94229.030400000003</v>
      </c>
      <c r="W184" s="430">
        <v>12</v>
      </c>
      <c r="X184" s="423">
        <f t="shared" si="172"/>
        <v>7852.4192000000003</v>
      </c>
      <c r="Z184" s="423">
        <f t="shared" si="173"/>
        <v>7852.4192000000003</v>
      </c>
      <c r="AA184" s="435">
        <v>4089.7166906666698</v>
      </c>
      <c r="AB184" s="435">
        <f t="shared" si="174"/>
        <v>3762.70250933333</v>
      </c>
    </row>
    <row r="185" spans="1:31" ht="18.75">
      <c r="B185" s="9" t="s">
        <v>322</v>
      </c>
      <c r="C185" s="435">
        <v>118598</v>
      </c>
      <c r="D185" s="422">
        <v>12</v>
      </c>
      <c r="E185" s="423">
        <f t="shared" si="159"/>
        <v>1423176</v>
      </c>
      <c r="G185" s="424">
        <v>87934.080000000002</v>
      </c>
      <c r="I185" s="423">
        <f t="shared" si="160"/>
        <v>1335241.92</v>
      </c>
      <c r="J185" s="423">
        <v>200000</v>
      </c>
      <c r="K185" s="423">
        <v>0.2</v>
      </c>
      <c r="L185" s="423">
        <f t="shared" si="161"/>
        <v>267048.38400000002</v>
      </c>
      <c r="M185" s="423">
        <f t="shared" si="162"/>
        <v>467048.38400000002</v>
      </c>
      <c r="N185" s="423">
        <f t="shared" si="163"/>
        <v>554982.46400000004</v>
      </c>
      <c r="O185" s="423">
        <f t="shared" si="164"/>
        <v>868193.53599999996</v>
      </c>
      <c r="P185" s="423">
        <f t="shared" si="165"/>
        <v>21000</v>
      </c>
      <c r="Q185" s="423">
        <f t="shared" si="166"/>
        <v>33000</v>
      </c>
      <c r="R185" s="423">
        <f t="shared" si="167"/>
        <v>40229.030400000003</v>
      </c>
      <c r="S185" s="423">
        <f t="shared" si="168"/>
        <v>0</v>
      </c>
      <c r="T185" s="423">
        <f t="shared" si="169"/>
        <v>0</v>
      </c>
      <c r="V185" s="423">
        <f t="shared" si="171"/>
        <v>94229.030400000003</v>
      </c>
      <c r="W185" s="430">
        <v>12</v>
      </c>
      <c r="X185" s="423">
        <f t="shared" si="172"/>
        <v>7852.4192000000003</v>
      </c>
      <c r="Z185" s="423">
        <f t="shared" si="173"/>
        <v>7852.4192000000003</v>
      </c>
      <c r="AA185" s="435">
        <v>4227.5237226666704</v>
      </c>
      <c r="AB185" s="435">
        <f t="shared" si="174"/>
        <v>3624.8954773333298</v>
      </c>
    </row>
    <row r="186" spans="1:31" ht="18.75">
      <c r="B186" s="16" t="s">
        <v>323</v>
      </c>
      <c r="C186" s="435">
        <v>116050.25</v>
      </c>
      <c r="D186" s="422">
        <v>12</v>
      </c>
      <c r="E186" s="423">
        <f t="shared" si="159"/>
        <v>1392603</v>
      </c>
      <c r="G186" s="424">
        <v>85488.24</v>
      </c>
      <c r="I186" s="423">
        <f t="shared" si="160"/>
        <v>1307114.76</v>
      </c>
      <c r="J186" s="423">
        <v>200000</v>
      </c>
      <c r="K186" s="423">
        <v>0.2</v>
      </c>
      <c r="L186" s="423">
        <f t="shared" si="161"/>
        <v>261422.95199999999</v>
      </c>
      <c r="M186" s="423">
        <f t="shared" si="162"/>
        <v>461422.95199999999</v>
      </c>
      <c r="N186" s="423">
        <f t="shared" si="163"/>
        <v>546911.19200000004</v>
      </c>
      <c r="O186" s="423">
        <f t="shared" si="164"/>
        <v>845691.80799999996</v>
      </c>
      <c r="P186" s="423">
        <f t="shared" si="165"/>
        <v>21000</v>
      </c>
      <c r="Q186" s="423">
        <f t="shared" si="166"/>
        <v>33000</v>
      </c>
      <c r="R186" s="423">
        <f t="shared" si="167"/>
        <v>36853.771200000003</v>
      </c>
      <c r="S186" s="423">
        <f t="shared" si="168"/>
        <v>0</v>
      </c>
      <c r="T186" s="423">
        <f t="shared" si="169"/>
        <v>0</v>
      </c>
      <c r="V186" s="423">
        <f t="shared" si="171"/>
        <v>90853.771200000003</v>
      </c>
      <c r="W186" s="430">
        <v>12</v>
      </c>
      <c r="X186" s="423">
        <f t="shared" si="172"/>
        <v>7571.1476000000002</v>
      </c>
      <c r="Z186" s="423">
        <f t="shared" si="173"/>
        <v>7571.1476000000002</v>
      </c>
      <c r="AA186" s="435">
        <v>4089.7166906666698</v>
      </c>
      <c r="AB186" s="435">
        <f t="shared" si="174"/>
        <v>3481.43090933333</v>
      </c>
    </row>
    <row r="187" spans="1:31" ht="18.75">
      <c r="B187" s="16" t="s">
        <v>328</v>
      </c>
      <c r="C187" s="435">
        <v>102926.91666666701</v>
      </c>
      <c r="D187" s="422">
        <v>12</v>
      </c>
      <c r="E187" s="423">
        <f t="shared" si="159"/>
        <v>1235123</v>
      </c>
      <c r="G187" s="424">
        <v>77689.84</v>
      </c>
      <c r="I187" s="423">
        <f t="shared" si="160"/>
        <v>1157433.1599999999</v>
      </c>
      <c r="J187" s="423">
        <v>200000</v>
      </c>
      <c r="K187" s="423">
        <v>0.2</v>
      </c>
      <c r="L187" s="423">
        <f t="shared" si="161"/>
        <v>231486.632000001</v>
      </c>
      <c r="M187" s="423">
        <f t="shared" si="162"/>
        <v>431486.63200000097</v>
      </c>
      <c r="N187" s="423">
        <f t="shared" si="163"/>
        <v>509176.472000001</v>
      </c>
      <c r="O187" s="423">
        <f t="shared" si="164"/>
        <v>725946.52800000296</v>
      </c>
      <c r="P187" s="423">
        <f t="shared" si="165"/>
        <v>21000</v>
      </c>
      <c r="Q187" s="423">
        <f t="shared" si="166"/>
        <v>33000</v>
      </c>
      <c r="R187" s="423">
        <f t="shared" si="167"/>
        <v>18891.9792000005</v>
      </c>
      <c r="S187" s="423">
        <f t="shared" si="168"/>
        <v>0</v>
      </c>
      <c r="T187" s="423">
        <f t="shared" si="169"/>
        <v>0</v>
      </c>
      <c r="V187" s="423">
        <f t="shared" si="171"/>
        <v>72891.979200000496</v>
      </c>
      <c r="W187" s="430">
        <v>12</v>
      </c>
      <c r="X187" s="423">
        <f t="shared" si="172"/>
        <v>6074.3316000000405</v>
      </c>
      <c r="Z187" s="423">
        <f t="shared" si="173"/>
        <v>6074.3316000000405</v>
      </c>
      <c r="AA187" s="435">
        <v>3210.1544048666701</v>
      </c>
      <c r="AB187" s="435">
        <f t="shared" si="174"/>
        <v>2864.1771951333699</v>
      </c>
    </row>
    <row r="188" spans="1:31" ht="18.75">
      <c r="B188" s="16" t="s">
        <v>329</v>
      </c>
      <c r="C188" s="435">
        <v>95540.75</v>
      </c>
      <c r="D188" s="422">
        <v>12</v>
      </c>
      <c r="E188" s="423">
        <f t="shared" si="159"/>
        <v>1146489</v>
      </c>
      <c r="G188" s="424">
        <f t="shared" ref="G188:G190" si="176">6123.26*12</f>
        <v>73479.12</v>
      </c>
      <c r="I188" s="423">
        <f t="shared" si="160"/>
        <v>1073009.8799999999</v>
      </c>
      <c r="J188" s="423">
        <v>200000</v>
      </c>
      <c r="K188" s="423">
        <v>0.2</v>
      </c>
      <c r="L188" s="423">
        <f t="shared" si="161"/>
        <v>214601.976</v>
      </c>
      <c r="M188" s="423">
        <f t="shared" si="162"/>
        <v>414601.97600000002</v>
      </c>
      <c r="N188" s="423">
        <f t="shared" si="163"/>
        <v>488081.09600000002</v>
      </c>
      <c r="O188" s="423">
        <f t="shared" si="164"/>
        <v>658407.90399999998</v>
      </c>
      <c r="P188" s="423">
        <f t="shared" si="165"/>
        <v>21000</v>
      </c>
      <c r="Q188" s="423">
        <f t="shared" si="166"/>
        <v>33000</v>
      </c>
      <c r="R188" s="423">
        <f t="shared" si="167"/>
        <v>8761.1856000000007</v>
      </c>
      <c r="S188" s="423">
        <f t="shared" si="168"/>
        <v>0</v>
      </c>
      <c r="T188" s="423">
        <f t="shared" si="169"/>
        <v>0</v>
      </c>
      <c r="V188" s="423">
        <f t="shared" si="171"/>
        <v>62761.185599999997</v>
      </c>
      <c r="W188" s="430">
        <v>12</v>
      </c>
      <c r="X188" s="423">
        <f t="shared" si="172"/>
        <v>5230.0987999999998</v>
      </c>
      <c r="Z188" s="423">
        <f t="shared" si="173"/>
        <v>5230.0987999999998</v>
      </c>
      <c r="AA188" s="435">
        <v>2708.9136406666698</v>
      </c>
      <c r="AB188" s="435">
        <f t="shared" si="174"/>
        <v>2521.1851593333299</v>
      </c>
    </row>
    <row r="189" spans="1:31" ht="18.75">
      <c r="B189" s="16" t="s">
        <v>332</v>
      </c>
      <c r="C189" s="435">
        <v>95540.75</v>
      </c>
      <c r="D189" s="422">
        <v>12</v>
      </c>
      <c r="E189" s="423">
        <f t="shared" si="159"/>
        <v>1146489</v>
      </c>
      <c r="G189" s="424">
        <f t="shared" si="176"/>
        <v>73479.12</v>
      </c>
      <c r="I189" s="423">
        <f t="shared" si="160"/>
        <v>1073009.8799999999</v>
      </c>
      <c r="J189" s="423">
        <v>200000</v>
      </c>
      <c r="K189" s="423">
        <v>0.2</v>
      </c>
      <c r="L189" s="423">
        <f t="shared" si="161"/>
        <v>214601.976</v>
      </c>
      <c r="M189" s="423">
        <f t="shared" si="162"/>
        <v>414601.97600000002</v>
      </c>
      <c r="N189" s="423">
        <f t="shared" si="163"/>
        <v>488081.09600000002</v>
      </c>
      <c r="O189" s="423">
        <f t="shared" si="164"/>
        <v>658407.90399999998</v>
      </c>
      <c r="P189" s="423">
        <f t="shared" si="165"/>
        <v>21000</v>
      </c>
      <c r="Q189" s="423">
        <f t="shared" si="166"/>
        <v>33000</v>
      </c>
      <c r="R189" s="423">
        <f t="shared" si="167"/>
        <v>8761.1856000000007</v>
      </c>
      <c r="S189" s="423">
        <f t="shared" si="168"/>
        <v>0</v>
      </c>
      <c r="T189" s="423">
        <f t="shared" si="169"/>
        <v>0</v>
      </c>
      <c r="V189" s="423">
        <f t="shared" si="171"/>
        <v>62761.185599999997</v>
      </c>
      <c r="W189" s="430">
        <v>12</v>
      </c>
      <c r="X189" s="423">
        <f t="shared" si="172"/>
        <v>5230.0987999999998</v>
      </c>
      <c r="Z189" s="423">
        <f t="shared" si="173"/>
        <v>5230.0987999999998</v>
      </c>
      <c r="AA189" s="435">
        <v>2708.9136406666698</v>
      </c>
      <c r="AB189" s="435">
        <f t="shared" si="174"/>
        <v>2521.1851593333299</v>
      </c>
    </row>
    <row r="190" spans="1:31" ht="18.75">
      <c r="B190" s="16" t="s">
        <v>333</v>
      </c>
      <c r="C190" s="435">
        <v>95540.75</v>
      </c>
      <c r="D190" s="422">
        <v>12</v>
      </c>
      <c r="E190" s="423">
        <f t="shared" si="159"/>
        <v>1146489</v>
      </c>
      <c r="G190" s="424">
        <f t="shared" si="176"/>
        <v>73479.12</v>
      </c>
      <c r="I190" s="423">
        <f t="shared" si="160"/>
        <v>1073009.8799999999</v>
      </c>
      <c r="J190" s="423">
        <v>200000</v>
      </c>
      <c r="K190" s="423">
        <v>0.2</v>
      </c>
      <c r="L190" s="423">
        <f t="shared" si="161"/>
        <v>214601.976</v>
      </c>
      <c r="M190" s="423">
        <f t="shared" si="162"/>
        <v>414601.97600000002</v>
      </c>
      <c r="N190" s="423">
        <f t="shared" si="163"/>
        <v>488081.09600000002</v>
      </c>
      <c r="O190" s="423">
        <f t="shared" si="164"/>
        <v>658407.90399999998</v>
      </c>
      <c r="P190" s="423">
        <f t="shared" si="165"/>
        <v>21000</v>
      </c>
      <c r="Q190" s="423">
        <f t="shared" si="166"/>
        <v>33000</v>
      </c>
      <c r="R190" s="423">
        <f t="shared" si="167"/>
        <v>8761.1856000000007</v>
      </c>
      <c r="S190" s="423">
        <f t="shared" si="168"/>
        <v>0</v>
      </c>
      <c r="T190" s="423">
        <f t="shared" si="169"/>
        <v>0</v>
      </c>
      <c r="V190" s="423">
        <f t="shared" si="171"/>
        <v>62761.185599999997</v>
      </c>
      <c r="W190" s="430">
        <v>12</v>
      </c>
      <c r="X190" s="423">
        <f t="shared" si="172"/>
        <v>5230.0987999999998</v>
      </c>
      <c r="Z190" s="423">
        <f t="shared" si="173"/>
        <v>5230.0987999999998</v>
      </c>
      <c r="AA190" s="435">
        <v>2708.9136406666698</v>
      </c>
      <c r="AB190" s="435">
        <f t="shared" si="174"/>
        <v>2521.1851593333299</v>
      </c>
    </row>
    <row r="191" spans="1:31" ht="18.75">
      <c r="B191" s="440" t="s">
        <v>334</v>
      </c>
      <c r="C191" s="435">
        <v>108502.5</v>
      </c>
      <c r="D191" s="441">
        <v>12</v>
      </c>
      <c r="E191" s="442">
        <f t="shared" si="159"/>
        <v>1302030</v>
      </c>
      <c r="G191" s="443">
        <f>6920.2*12</f>
        <v>83042.399999999994</v>
      </c>
      <c r="I191" s="442">
        <f t="shared" si="160"/>
        <v>1218987.6000000001</v>
      </c>
      <c r="J191" s="423">
        <v>200000</v>
      </c>
      <c r="K191" s="423">
        <v>0.2</v>
      </c>
      <c r="L191" s="423">
        <f t="shared" si="161"/>
        <v>243797.52</v>
      </c>
      <c r="M191" s="423">
        <f t="shared" si="162"/>
        <v>443797.52</v>
      </c>
      <c r="N191" s="423">
        <f t="shared" si="163"/>
        <v>526839.92000000004</v>
      </c>
      <c r="O191" s="423">
        <f t="shared" si="164"/>
        <v>775190.08</v>
      </c>
      <c r="P191" s="423">
        <f t="shared" si="165"/>
        <v>21000</v>
      </c>
      <c r="Q191" s="423">
        <f t="shared" si="166"/>
        <v>33000</v>
      </c>
      <c r="R191" s="423">
        <f t="shared" si="167"/>
        <v>26278.511999999999</v>
      </c>
      <c r="S191" s="423">
        <f t="shared" si="168"/>
        <v>0</v>
      </c>
      <c r="T191" s="423">
        <f t="shared" si="169"/>
        <v>0</v>
      </c>
      <c r="V191" s="423">
        <f t="shared" si="171"/>
        <v>80278.512000000002</v>
      </c>
      <c r="W191" s="430">
        <v>12</v>
      </c>
      <c r="X191" s="423">
        <f t="shared" si="172"/>
        <v>6689.8760000000002</v>
      </c>
      <c r="Z191" s="423">
        <f t="shared" si="173"/>
        <v>6689.8760000000002</v>
      </c>
      <c r="AA191" s="435">
        <v>3511.7966226666699</v>
      </c>
      <c r="AB191" s="435">
        <f t="shared" si="174"/>
        <v>3178.0793773333298</v>
      </c>
    </row>
    <row r="192" spans="1:31" ht="18.75">
      <c r="B192" s="440" t="s">
        <v>337</v>
      </c>
      <c r="C192" s="444">
        <v>108502.5</v>
      </c>
      <c r="D192" s="441">
        <v>12</v>
      </c>
      <c r="E192" s="442">
        <f t="shared" si="159"/>
        <v>1302030</v>
      </c>
      <c r="F192" s="445"/>
      <c r="G192" s="443">
        <f>6920.2*12</f>
        <v>83042.399999999994</v>
      </c>
      <c r="H192" s="445"/>
      <c r="I192" s="442">
        <f t="shared" si="160"/>
        <v>1218987.6000000001</v>
      </c>
      <c r="J192" s="442">
        <v>200000</v>
      </c>
      <c r="K192" s="442">
        <v>0.2</v>
      </c>
      <c r="L192" s="442">
        <f t="shared" si="161"/>
        <v>243797.52</v>
      </c>
      <c r="M192" s="442">
        <f t="shared" si="162"/>
        <v>443797.52</v>
      </c>
      <c r="N192" s="442">
        <f t="shared" si="163"/>
        <v>526839.92000000004</v>
      </c>
      <c r="O192" s="442">
        <f t="shared" si="164"/>
        <v>775190.08</v>
      </c>
      <c r="P192" s="442">
        <f t="shared" si="165"/>
        <v>21000</v>
      </c>
      <c r="Q192" s="442">
        <f t="shared" si="166"/>
        <v>33000</v>
      </c>
      <c r="R192" s="442">
        <f t="shared" si="167"/>
        <v>26278.511999999999</v>
      </c>
      <c r="S192" s="442">
        <f t="shared" si="168"/>
        <v>0</v>
      </c>
      <c r="T192" s="442">
        <f t="shared" si="169"/>
        <v>0</v>
      </c>
      <c r="V192" s="442">
        <f t="shared" si="171"/>
        <v>80278.512000000002</v>
      </c>
      <c r="W192" s="456">
        <v>12</v>
      </c>
      <c r="X192" s="442">
        <f t="shared" si="172"/>
        <v>6689.8760000000002</v>
      </c>
      <c r="Z192" s="442">
        <f t="shared" si="173"/>
        <v>6689.8760000000002</v>
      </c>
      <c r="AA192" s="435">
        <v>3511.7966226666699</v>
      </c>
      <c r="AB192" s="435">
        <f t="shared" si="174"/>
        <v>3178.0793773333298</v>
      </c>
    </row>
    <row r="193" spans="2:28" ht="35.25" customHeight="1">
      <c r="B193" s="6" t="s">
        <v>484</v>
      </c>
      <c r="C193" s="568">
        <f>SUM(C6:C192)</f>
        <v>71132716.639271602</v>
      </c>
      <c r="D193" s="569"/>
      <c r="E193" s="425"/>
      <c r="F193" s="570">
        <f>SUM(F6:F192)</f>
        <v>276375.74700000009</v>
      </c>
      <c r="G193" s="570">
        <f>SUM(G6:G192)</f>
        <v>56238065.283200003</v>
      </c>
      <c r="H193" s="571"/>
      <c r="I193" s="571"/>
      <c r="J193" s="571"/>
      <c r="K193" s="571"/>
      <c r="L193" s="571"/>
      <c r="M193" s="571"/>
      <c r="N193" s="571"/>
      <c r="O193" s="571"/>
      <c r="P193" s="571"/>
      <c r="Q193" s="571"/>
      <c r="R193" s="571"/>
      <c r="S193" s="571"/>
      <c r="T193" s="571"/>
      <c r="U193" s="571"/>
      <c r="V193" s="570">
        <f>SUM(V6:V192)</f>
        <v>116900305.45564322</v>
      </c>
      <c r="W193" s="570"/>
      <c r="X193" s="570">
        <f>SUM(X6:X192)</f>
        <v>9741692.1213036273</v>
      </c>
      <c r="Y193" s="570"/>
      <c r="Z193" s="570">
        <f>SUM(Z6:Z192)</f>
        <v>9741692.1213036273</v>
      </c>
      <c r="AA193" s="571"/>
      <c r="AB193" s="571"/>
    </row>
    <row r="194" spans="2:28" ht="26.25" customHeight="1">
      <c r="B194" s="28" t="s">
        <v>485</v>
      </c>
      <c r="C194" s="568"/>
      <c r="D194" s="569"/>
      <c r="E194" s="569"/>
      <c r="F194" s="572">
        <f>F193/12</f>
        <v>23031.312250000006</v>
      </c>
      <c r="G194" s="572">
        <f>G193/12</f>
        <v>4686505.4402666604</v>
      </c>
      <c r="H194" s="571"/>
      <c r="I194" s="571"/>
      <c r="J194" s="571"/>
      <c r="K194" s="571"/>
      <c r="L194" s="571"/>
      <c r="M194" s="571"/>
      <c r="N194" s="571"/>
      <c r="O194" s="571"/>
      <c r="P194" s="571"/>
      <c r="Q194" s="571"/>
      <c r="R194" s="571"/>
      <c r="S194" s="571"/>
      <c r="T194" s="571"/>
      <c r="U194" s="571"/>
      <c r="V194" s="572">
        <f>V193/12</f>
        <v>9741692.1213036012</v>
      </c>
      <c r="W194" s="569"/>
      <c r="X194" s="569"/>
      <c r="Y194" s="569"/>
      <c r="Z194" s="569"/>
      <c r="AA194" s="571"/>
      <c r="AB194" s="571"/>
    </row>
    <row r="195" spans="2:28" ht="18.75">
      <c r="B195" s="31"/>
      <c r="C195" s="435"/>
      <c r="F195" s="454"/>
    </row>
    <row r="196" spans="2:28">
      <c r="F196" s="455"/>
      <c r="Z196" s="570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39" t="s">
        <v>2</v>
      </c>
      <c r="C4" s="640" t="s">
        <v>3</v>
      </c>
      <c r="D4" s="641" t="s">
        <v>4</v>
      </c>
      <c r="E4" s="633" t="s">
        <v>5</v>
      </c>
      <c r="F4" s="633" t="s">
        <v>7</v>
      </c>
      <c r="G4" s="633" t="s">
        <v>8</v>
      </c>
      <c r="H4" s="642" t="s">
        <v>9</v>
      </c>
      <c r="I4" s="633" t="s">
        <v>523</v>
      </c>
      <c r="J4" s="633" t="s">
        <v>15</v>
      </c>
      <c r="K4" s="643" t="s">
        <v>16</v>
      </c>
      <c r="L4" s="644" t="s">
        <v>524</v>
      </c>
    </row>
    <row r="5" spans="1:13" s="1" customFormat="1" ht="37.5" customHeight="1">
      <c r="A5" s="1">
        <v>1</v>
      </c>
      <c r="B5" s="312" t="s">
        <v>326</v>
      </c>
      <c r="C5" s="68" t="s">
        <v>324</v>
      </c>
      <c r="D5" s="13" t="s">
        <v>327</v>
      </c>
      <c r="E5" s="70">
        <v>83955</v>
      </c>
      <c r="F5" s="186">
        <f>20000</f>
        <v>20000</v>
      </c>
      <c r="G5" s="70">
        <f>4000+3000</f>
        <v>7000</v>
      </c>
      <c r="H5" s="465">
        <f>SUM(E5:G5)</f>
        <v>110955</v>
      </c>
      <c r="I5" s="70">
        <v>5719.04</v>
      </c>
      <c r="J5" s="70"/>
      <c r="K5" s="466">
        <v>5719.04</v>
      </c>
      <c r="L5" s="465">
        <f>H5-K5</f>
        <v>105235.96</v>
      </c>
      <c r="M5" s="11"/>
    </row>
    <row r="6" spans="1:13" ht="32.25">
      <c r="B6" s="312" t="s">
        <v>525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5">
        <f>SUM(E6:G6)*(12/31)</f>
        <v>42950.322580645203</v>
      </c>
      <c r="I6" s="70">
        <v>3127.74</v>
      </c>
      <c r="J6" s="70">
        <v>0</v>
      </c>
      <c r="K6" s="466">
        <v>3127.74</v>
      </c>
      <c r="L6" s="465">
        <f t="shared" ref="L6:L7" si="1">H6-K6</f>
        <v>39822.582580645198</v>
      </c>
    </row>
    <row r="7" spans="1:13" ht="32.25">
      <c r="A7" s="1">
        <v>2</v>
      </c>
      <c r="B7" s="312" t="s">
        <v>87</v>
      </c>
      <c r="C7" s="68" t="s">
        <v>74</v>
      </c>
      <c r="D7" s="13" t="s">
        <v>526</v>
      </c>
      <c r="E7" s="70">
        <v>255849</v>
      </c>
      <c r="F7" s="186">
        <v>60000</v>
      </c>
      <c r="G7" s="70"/>
      <c r="H7" s="465">
        <f>SUM(E7:G7)</f>
        <v>315849</v>
      </c>
      <c r="I7" s="70">
        <f>36790.6881</f>
        <v>36790.688099999999</v>
      </c>
      <c r="J7" s="70">
        <f>'DECEMBER 2024'!P34</f>
        <v>20467.919999999998</v>
      </c>
      <c r="K7" s="466">
        <f>I7+J7</f>
        <v>57258.608099999998</v>
      </c>
      <c r="L7" s="465">
        <f t="shared" si="1"/>
        <v>258590.39189999999</v>
      </c>
    </row>
    <row r="8" spans="1:13" ht="28.5" customHeight="1">
      <c r="A8" s="1"/>
      <c r="B8" s="20" t="s">
        <v>96</v>
      </c>
      <c r="C8" s="10"/>
      <c r="D8" s="13"/>
      <c r="E8" s="70"/>
      <c r="F8" s="186"/>
      <c r="G8" s="70"/>
      <c r="H8" s="465"/>
      <c r="I8" s="70"/>
      <c r="J8" s="70"/>
      <c r="K8" s="466"/>
      <c r="L8" s="472">
        <f>SUM(L6:L7)</f>
        <v>298412.97448064497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803" t="s">
        <v>527</v>
      </c>
      <c r="B1" s="803"/>
      <c r="C1" s="803"/>
      <c r="D1" s="803"/>
      <c r="E1" s="803"/>
      <c r="F1" s="803"/>
    </row>
    <row r="2" spans="1:6" ht="48.95" customHeight="1">
      <c r="A2" s="55" t="s">
        <v>20</v>
      </c>
      <c r="B2" s="40" t="s">
        <v>462</v>
      </c>
      <c r="C2" s="637" t="s">
        <v>4</v>
      </c>
      <c r="D2" s="225" t="s">
        <v>528</v>
      </c>
      <c r="E2" s="225" t="s">
        <v>529</v>
      </c>
      <c r="F2" s="225" t="s">
        <v>530</v>
      </c>
    </row>
    <row r="3" spans="1:6" ht="30" customHeight="1">
      <c r="A3" s="45">
        <v>1</v>
      </c>
      <c r="B3" s="41" t="s">
        <v>531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532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533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534</v>
      </c>
      <c r="C6" s="775" t="s">
        <v>535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536</v>
      </c>
      <c r="C7" s="775" t="s">
        <v>537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538</v>
      </c>
      <c r="C8" s="775" t="s">
        <v>537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539</v>
      </c>
      <c r="C9" s="775" t="s">
        <v>537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540</v>
      </c>
      <c r="C10" s="775" t="s">
        <v>537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96</v>
      </c>
      <c r="C11" s="40"/>
      <c r="D11" s="638">
        <f>SUM(D3:D10)</f>
        <v>4760000</v>
      </c>
      <c r="E11" s="638">
        <f t="shared" ref="E11:F11" si="3">SUM(E3:E10)</f>
        <v>725370.68</v>
      </c>
      <c r="F11" s="638">
        <f t="shared" si="3"/>
        <v>4034629.32</v>
      </c>
    </row>
    <row r="14" spans="1:6" ht="56.25">
      <c r="A14" s="55" t="s">
        <v>20</v>
      </c>
      <c r="B14" s="40" t="s">
        <v>462</v>
      </c>
      <c r="C14" s="637" t="s">
        <v>4</v>
      </c>
      <c r="D14" s="225" t="s">
        <v>528</v>
      </c>
      <c r="E14" s="225" t="s">
        <v>529</v>
      </c>
      <c r="F14" s="225" t="s">
        <v>530</v>
      </c>
    </row>
    <row r="15" spans="1:6" ht="37.5">
      <c r="B15" s="164" t="s">
        <v>541</v>
      </c>
      <c r="C15" s="775" t="s">
        <v>535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542</v>
      </c>
      <c r="C16" s="775" t="s">
        <v>543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96</v>
      </c>
      <c r="C17" s="40"/>
      <c r="D17" s="638">
        <f>SUM(D15:D16)</f>
        <v>840000</v>
      </c>
      <c r="E17" s="638">
        <f t="shared" ref="E17:F17" si="8">SUM(E15:E16)</f>
        <v>117459.55</v>
      </c>
      <c r="F17" s="638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1" t="s">
        <v>20</v>
      </c>
      <c r="B1" s="75" t="s">
        <v>2</v>
      </c>
      <c r="C1" s="75" t="s">
        <v>3</v>
      </c>
      <c r="D1" s="622" t="s">
        <v>4</v>
      </c>
      <c r="E1" s="75" t="s">
        <v>544</v>
      </c>
      <c r="F1" s="622" t="s">
        <v>545</v>
      </c>
      <c r="G1" s="622" t="s">
        <v>457</v>
      </c>
      <c r="H1" s="622" t="s">
        <v>9</v>
      </c>
      <c r="I1" s="804" t="s">
        <v>360</v>
      </c>
      <c r="J1" s="804"/>
      <c r="K1" s="804"/>
      <c r="L1" s="804"/>
      <c r="M1" s="804"/>
      <c r="N1" s="805" t="s">
        <v>546</v>
      </c>
    </row>
    <row r="2" spans="1:14" ht="54.95" customHeight="1">
      <c r="A2" s="621"/>
      <c r="B2" s="75"/>
      <c r="C2" s="75"/>
      <c r="D2" s="75"/>
      <c r="E2" s="75"/>
      <c r="F2" s="622"/>
      <c r="G2" s="622"/>
      <c r="H2" s="75"/>
      <c r="I2" s="633" t="s">
        <v>547</v>
      </c>
      <c r="J2" s="633" t="s">
        <v>548</v>
      </c>
      <c r="K2" s="633" t="s">
        <v>549</v>
      </c>
      <c r="L2" s="633" t="s">
        <v>550</v>
      </c>
      <c r="M2" s="633" t="s">
        <v>16</v>
      </c>
      <c r="N2" s="805"/>
    </row>
    <row r="3" spans="1:14" ht="18.75">
      <c r="A3" s="7"/>
      <c r="B3" s="3"/>
      <c r="C3" s="3"/>
      <c r="D3" s="3"/>
      <c r="E3" s="3"/>
      <c r="F3" s="623"/>
      <c r="G3" s="623"/>
      <c r="H3" s="624"/>
      <c r="I3" s="623"/>
      <c r="J3" s="623"/>
      <c r="K3" s="623"/>
      <c r="L3" s="623"/>
      <c r="M3" s="623"/>
      <c r="N3" s="634"/>
    </row>
    <row r="4" spans="1:14" ht="18.75">
      <c r="A4" s="2"/>
      <c r="B4" s="2"/>
      <c r="C4" s="2"/>
      <c r="D4" s="2"/>
      <c r="E4" s="625" t="s">
        <v>19</v>
      </c>
      <c r="F4" s="625" t="s">
        <v>19</v>
      </c>
      <c r="G4" s="625" t="s">
        <v>19</v>
      </c>
      <c r="H4" s="626" t="s">
        <v>19</v>
      </c>
      <c r="I4" s="625" t="s">
        <v>19</v>
      </c>
      <c r="J4" s="625" t="s">
        <v>19</v>
      </c>
      <c r="K4" s="625" t="s">
        <v>19</v>
      </c>
      <c r="L4" s="625" t="s">
        <v>19</v>
      </c>
      <c r="M4" s="625" t="s">
        <v>19</v>
      </c>
      <c r="N4" s="626" t="s">
        <v>19</v>
      </c>
    </row>
    <row r="5" spans="1:14" ht="37.5">
      <c r="A5" s="2">
        <v>1</v>
      </c>
      <c r="B5" s="9" t="s">
        <v>551</v>
      </c>
      <c r="C5" s="41" t="s">
        <v>552</v>
      </c>
      <c r="D5" s="45" t="s">
        <v>95</v>
      </c>
      <c r="E5" s="627">
        <f>'[3]Annual &amp; Monthly'!$H$36</f>
        <v>218287.58333333299</v>
      </c>
      <c r="F5" s="628">
        <v>50000</v>
      </c>
      <c r="G5" s="628"/>
      <c r="H5" s="629">
        <f t="shared" ref="H5:H8" si="0">E5+F5+G5</f>
        <v>268287.58333333302</v>
      </c>
      <c r="I5" s="635"/>
      <c r="J5" s="635"/>
      <c r="K5" s="635">
        <v>29305.195546666699</v>
      </c>
      <c r="L5" s="636">
        <v>17463.006666666599</v>
      </c>
      <c r="M5" s="636">
        <f>I5+J5+K5+L5</f>
        <v>46768.202213333301</v>
      </c>
      <c r="N5" s="630">
        <f t="shared" ref="N5:N8" si="1">H5-M5</f>
        <v>221519.38111999971</v>
      </c>
    </row>
    <row r="6" spans="1:14" ht="18.75">
      <c r="A6" s="2">
        <v>2</v>
      </c>
      <c r="B6" s="9" t="s">
        <v>553</v>
      </c>
      <c r="C6" s="41" t="s">
        <v>554</v>
      </c>
      <c r="D6" s="45" t="s">
        <v>95</v>
      </c>
      <c r="E6" s="627">
        <f>'[3]Annual &amp; Monthly'!$H$36</f>
        <v>218287.58333333299</v>
      </c>
      <c r="F6" s="628">
        <v>50000</v>
      </c>
      <c r="G6" s="628"/>
      <c r="H6" s="630">
        <f t="shared" si="0"/>
        <v>268287.58333333302</v>
      </c>
      <c r="I6" s="635"/>
      <c r="J6" s="635"/>
      <c r="K6" s="635">
        <v>29305.195546666699</v>
      </c>
      <c r="L6" s="636">
        <f t="shared" ref="L6:L7" si="2">218287.583333333*0.08</f>
        <v>17463.006666666599</v>
      </c>
      <c r="M6" s="636">
        <f t="shared" ref="M6:M8" si="3">I6+J6+K6+L6</f>
        <v>46768.202213333301</v>
      </c>
      <c r="N6" s="630">
        <f t="shared" si="1"/>
        <v>221519.38111999971</v>
      </c>
    </row>
    <row r="7" spans="1:14" ht="18.75">
      <c r="A7" s="2">
        <v>3</v>
      </c>
      <c r="B7" s="9" t="s">
        <v>555</v>
      </c>
      <c r="C7" s="41" t="s">
        <v>556</v>
      </c>
      <c r="D7" s="45" t="s">
        <v>95</v>
      </c>
      <c r="E7" s="627">
        <f>'[3]Annual &amp; Monthly'!$H$36</f>
        <v>218287.58333333299</v>
      </c>
      <c r="F7" s="628">
        <v>50000</v>
      </c>
      <c r="G7" s="628"/>
      <c r="H7" s="630">
        <f t="shared" si="0"/>
        <v>268287.58333333302</v>
      </c>
      <c r="I7" s="635"/>
      <c r="J7" s="635"/>
      <c r="K7" s="635">
        <v>29305.195546666699</v>
      </c>
      <c r="L7" s="636">
        <f t="shared" si="2"/>
        <v>17463.006666666599</v>
      </c>
      <c r="M7" s="636">
        <f t="shared" si="3"/>
        <v>46768.202213333301</v>
      </c>
      <c r="N7" s="630">
        <f t="shared" si="1"/>
        <v>221519.38111999971</v>
      </c>
    </row>
    <row r="8" spans="1:14" ht="19.5" customHeight="1">
      <c r="A8" s="2">
        <v>5</v>
      </c>
      <c r="B8" s="9" t="s">
        <v>557</v>
      </c>
      <c r="C8" s="9" t="s">
        <v>558</v>
      </c>
      <c r="D8" s="8" t="s">
        <v>39</v>
      </c>
      <c r="E8" s="70">
        <v>582118.08333333302</v>
      </c>
      <c r="F8" s="70">
        <v>160000</v>
      </c>
      <c r="G8" s="186"/>
      <c r="H8" s="630">
        <f t="shared" si="0"/>
        <v>742118.08333333302</v>
      </c>
      <c r="J8" s="70"/>
      <c r="K8" s="70">
        <v>112212.004906667</v>
      </c>
      <c r="L8" s="70">
        <v>46569.446666666699</v>
      </c>
      <c r="M8" s="636">
        <f t="shared" si="3"/>
        <v>158781.451573333</v>
      </c>
      <c r="N8" s="630">
        <f t="shared" si="1"/>
        <v>583336.63176000002</v>
      </c>
    </row>
    <row r="9" spans="1:14" ht="24" customHeight="1">
      <c r="A9" s="8"/>
      <c r="B9" s="631" t="s">
        <v>96</v>
      </c>
      <c r="C9" s="18"/>
      <c r="D9" s="18"/>
      <c r="E9" s="632">
        <f t="shared" ref="E9:N9" si="4">SUM(E5:E8)</f>
        <v>1236980.8333333321</v>
      </c>
      <c r="F9" s="632">
        <f t="shared" si="4"/>
        <v>310000</v>
      </c>
      <c r="G9" s="632">
        <f t="shared" si="4"/>
        <v>0</v>
      </c>
      <c r="H9" s="632">
        <f t="shared" si="4"/>
        <v>1546980.8333333321</v>
      </c>
      <c r="I9" s="632">
        <f t="shared" si="4"/>
        <v>0</v>
      </c>
      <c r="J9" s="632">
        <f t="shared" si="4"/>
        <v>0</v>
      </c>
      <c r="K9" s="632">
        <f t="shared" si="4"/>
        <v>200127.59154666701</v>
      </c>
      <c r="L9" s="632">
        <f t="shared" si="4"/>
        <v>98958.466666666602</v>
      </c>
      <c r="M9" s="632">
        <f t="shared" si="4"/>
        <v>299086.05821333302</v>
      </c>
      <c r="N9" s="632">
        <f t="shared" si="4"/>
        <v>1247894.7751199992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1" t="s">
        <v>20</v>
      </c>
      <c r="B1" s="75" t="s">
        <v>2</v>
      </c>
      <c r="C1" s="75" t="s">
        <v>3</v>
      </c>
      <c r="D1" s="622" t="s">
        <v>4</v>
      </c>
      <c r="E1" s="75" t="s">
        <v>544</v>
      </c>
      <c r="F1" s="622" t="s">
        <v>545</v>
      </c>
      <c r="G1" s="622" t="s">
        <v>457</v>
      </c>
      <c r="H1" s="622" t="s">
        <v>9</v>
      </c>
      <c r="I1" s="804" t="s">
        <v>360</v>
      </c>
      <c r="J1" s="804"/>
      <c r="K1" s="804"/>
      <c r="L1" s="804"/>
      <c r="M1" s="804"/>
      <c r="N1" s="805" t="s">
        <v>546</v>
      </c>
    </row>
    <row r="2" spans="1:14" ht="54.95" customHeight="1">
      <c r="A2" s="621"/>
      <c r="B2" s="75"/>
      <c r="C2" s="75"/>
      <c r="D2" s="75"/>
      <c r="E2" s="75"/>
      <c r="F2" s="622"/>
      <c r="G2" s="622"/>
      <c r="H2" s="75"/>
      <c r="I2" s="633" t="s">
        <v>547</v>
      </c>
      <c r="J2" s="633" t="s">
        <v>548</v>
      </c>
      <c r="K2" s="633" t="s">
        <v>549</v>
      </c>
      <c r="L2" s="633" t="s">
        <v>550</v>
      </c>
      <c r="M2" s="633" t="s">
        <v>16</v>
      </c>
      <c r="N2" s="805"/>
    </row>
    <row r="3" spans="1:14" ht="18.75">
      <c r="A3" s="7"/>
      <c r="B3" s="3"/>
      <c r="C3" s="3"/>
      <c r="D3" s="3"/>
      <c r="E3" s="3"/>
      <c r="F3" s="623"/>
      <c r="G3" s="623"/>
      <c r="H3" s="624"/>
      <c r="I3" s="623"/>
      <c r="J3" s="623"/>
      <c r="K3" s="623"/>
      <c r="L3" s="623"/>
      <c r="M3" s="623"/>
      <c r="N3" s="634"/>
    </row>
    <row r="4" spans="1:14" ht="18.75">
      <c r="A4" s="2"/>
      <c r="B4" s="2"/>
      <c r="C4" s="2"/>
      <c r="D4" s="2"/>
      <c r="E4" s="625" t="s">
        <v>19</v>
      </c>
      <c r="F4" s="625" t="s">
        <v>19</v>
      </c>
      <c r="G4" s="625" t="s">
        <v>19</v>
      </c>
      <c r="H4" s="626" t="s">
        <v>19</v>
      </c>
      <c r="I4" s="625" t="s">
        <v>19</v>
      </c>
      <c r="J4" s="625" t="s">
        <v>19</v>
      </c>
      <c r="K4" s="625" t="s">
        <v>19</v>
      </c>
      <c r="L4" s="625" t="s">
        <v>19</v>
      </c>
      <c r="M4" s="625" t="s">
        <v>19</v>
      </c>
      <c r="N4" s="626" t="s">
        <v>19</v>
      </c>
    </row>
    <row r="5" spans="1:14" ht="37.5">
      <c r="A5" s="2">
        <v>1</v>
      </c>
      <c r="B5" s="9" t="s">
        <v>551</v>
      </c>
      <c r="C5" s="41" t="s">
        <v>552</v>
      </c>
      <c r="D5" s="45" t="s">
        <v>95</v>
      </c>
      <c r="E5" s="627">
        <f>'[3]Annual &amp; Monthly'!$H$36</f>
        <v>218287.58333333299</v>
      </c>
      <c r="F5" s="628">
        <v>50000</v>
      </c>
      <c r="G5" s="628"/>
      <c r="H5" s="629">
        <f t="shared" ref="H5:H9" si="0">E5+F5+G5</f>
        <v>268287.58333333302</v>
      </c>
      <c r="I5" s="635"/>
      <c r="J5" s="635"/>
      <c r="K5" s="635">
        <v>29305.195546666699</v>
      </c>
      <c r="L5" s="636">
        <v>17463.006666666599</v>
      </c>
      <c r="M5" s="636">
        <f>I5+J5+K5+L5</f>
        <v>46768.202213333301</v>
      </c>
      <c r="N5" s="630">
        <f t="shared" ref="N5:N9" si="1">H5-M5</f>
        <v>221519.38111999971</v>
      </c>
    </row>
    <row r="6" spans="1:14" ht="18.75">
      <c r="A6" s="2">
        <v>2</v>
      </c>
      <c r="B6" s="9" t="s">
        <v>553</v>
      </c>
      <c r="C6" s="41" t="s">
        <v>554</v>
      </c>
      <c r="D6" s="45" t="s">
        <v>95</v>
      </c>
      <c r="E6" s="627">
        <f>'[3]Annual &amp; Monthly'!$H$36</f>
        <v>218287.58333333299</v>
      </c>
      <c r="F6" s="628">
        <v>50000</v>
      </c>
      <c r="G6" s="628"/>
      <c r="H6" s="630">
        <f t="shared" si="0"/>
        <v>268287.58333333302</v>
      </c>
      <c r="I6" s="635"/>
      <c r="J6" s="635"/>
      <c r="K6" s="635">
        <v>29305.195546666699</v>
      </c>
      <c r="L6" s="636">
        <f t="shared" ref="L6:L8" si="2">218287.583333333*0.08</f>
        <v>17463.006666666599</v>
      </c>
      <c r="M6" s="636">
        <f t="shared" ref="M6:M9" si="3">I6+J6+K6+L6</f>
        <v>46768.202213333301</v>
      </c>
      <c r="N6" s="630">
        <f t="shared" si="1"/>
        <v>221519.38111999971</v>
      </c>
    </row>
    <row r="7" spans="1:14" ht="18.75">
      <c r="A7" s="2">
        <v>3</v>
      </c>
      <c r="B7" s="9" t="s">
        <v>555</v>
      </c>
      <c r="C7" s="41" t="s">
        <v>556</v>
      </c>
      <c r="D7" s="45" t="s">
        <v>95</v>
      </c>
      <c r="E7" s="627">
        <f>'[3]Annual &amp; Monthly'!$H$36</f>
        <v>218287.58333333299</v>
      </c>
      <c r="F7" s="628">
        <v>50000</v>
      </c>
      <c r="G7" s="628"/>
      <c r="H7" s="630">
        <f t="shared" si="0"/>
        <v>268287.58333333302</v>
      </c>
      <c r="I7" s="635"/>
      <c r="J7" s="635"/>
      <c r="K7" s="635">
        <v>29305.195546666699</v>
      </c>
      <c r="L7" s="636">
        <f t="shared" si="2"/>
        <v>17463.006666666599</v>
      </c>
      <c r="M7" s="636">
        <f t="shared" si="3"/>
        <v>46768.202213333301</v>
      </c>
      <c r="N7" s="630">
        <f t="shared" si="1"/>
        <v>221519.38111999971</v>
      </c>
    </row>
    <row r="8" spans="1:14" ht="37.5">
      <c r="A8" s="2">
        <v>4</v>
      </c>
      <c r="B8" s="9" t="s">
        <v>559</v>
      </c>
      <c r="C8" s="41" t="s">
        <v>560</v>
      </c>
      <c r="D8" s="45" t="s">
        <v>95</v>
      </c>
      <c r="E8" s="627">
        <f>'[3]Annual &amp; Monthly'!$H$36</f>
        <v>218287.58333333299</v>
      </c>
      <c r="F8" s="628">
        <v>50000</v>
      </c>
      <c r="G8" s="628"/>
      <c r="H8" s="630">
        <f t="shared" si="0"/>
        <v>268287.58333333302</v>
      </c>
      <c r="I8" s="635"/>
      <c r="J8" s="635"/>
      <c r="K8" s="635">
        <v>29305.195546666699</v>
      </c>
      <c r="L8" s="636">
        <f t="shared" si="2"/>
        <v>17463.006666666599</v>
      </c>
      <c r="M8" s="636">
        <f t="shared" si="3"/>
        <v>46768.202213333301</v>
      </c>
      <c r="N8" s="630">
        <f t="shared" si="1"/>
        <v>221519.38111999971</v>
      </c>
    </row>
    <row r="9" spans="1:14" ht="19.5" customHeight="1">
      <c r="A9" s="2">
        <v>5</v>
      </c>
      <c r="B9" s="9" t="s">
        <v>557</v>
      </c>
      <c r="C9" s="9" t="s">
        <v>558</v>
      </c>
      <c r="D9" s="8" t="s">
        <v>39</v>
      </c>
      <c r="E9" s="70">
        <v>582118.08333333302</v>
      </c>
      <c r="F9" s="70">
        <v>160000</v>
      </c>
      <c r="G9" s="186"/>
      <c r="H9" s="630">
        <f t="shared" si="0"/>
        <v>742118.08333333302</v>
      </c>
      <c r="J9" s="70"/>
      <c r="K9" s="70">
        <v>112212.004906667</v>
      </c>
      <c r="L9" s="70">
        <v>46569.446666666699</v>
      </c>
      <c r="M9" s="636">
        <f t="shared" si="3"/>
        <v>158781.451573333</v>
      </c>
      <c r="N9" s="630">
        <f t="shared" si="1"/>
        <v>583336.63176000002</v>
      </c>
    </row>
    <row r="10" spans="1:14" ht="24" customHeight="1">
      <c r="A10" s="8"/>
      <c r="B10" s="631" t="s">
        <v>96</v>
      </c>
      <c r="C10" s="18"/>
      <c r="D10" s="18"/>
      <c r="E10" s="632">
        <f>SUM(E5:E9)</f>
        <v>1455268.4166666651</v>
      </c>
      <c r="F10" s="632">
        <f t="shared" ref="F10:N10" si="4">SUM(F5:F9)</f>
        <v>360000</v>
      </c>
      <c r="G10" s="632">
        <f t="shared" si="4"/>
        <v>0</v>
      </c>
      <c r="H10" s="632">
        <f t="shared" si="4"/>
        <v>1815268.4166666651</v>
      </c>
      <c r="I10" s="632">
        <f t="shared" si="4"/>
        <v>0</v>
      </c>
      <c r="J10" s="632">
        <f t="shared" si="4"/>
        <v>0</v>
      </c>
      <c r="K10" s="632">
        <f t="shared" si="4"/>
        <v>229432.787093333</v>
      </c>
      <c r="L10" s="632">
        <f t="shared" si="4"/>
        <v>116421.47333333299</v>
      </c>
      <c r="M10" s="632">
        <f t="shared" si="4"/>
        <v>345854.260426667</v>
      </c>
      <c r="N10" s="632">
        <f t="shared" si="4"/>
        <v>1469414.156239999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1"/>
    </row>
    <row r="2" spans="1:29" hidden="1">
      <c r="A2" s="796" t="s">
        <v>459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1"/>
    </row>
    <row r="3" spans="1:29" hidden="1">
      <c r="A3" s="797" t="s">
        <v>460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1"/>
    </row>
    <row r="4" spans="1:29" ht="83.25" customHeight="1">
      <c r="A4" s="417" t="s">
        <v>461</v>
      </c>
      <c r="B4" s="418" t="s">
        <v>462</v>
      </c>
      <c r="C4" s="419" t="s">
        <v>463</v>
      </c>
      <c r="D4" s="418" t="s">
        <v>456</v>
      </c>
      <c r="E4" s="419" t="s">
        <v>464</v>
      </c>
      <c r="F4" s="419" t="s">
        <v>465</v>
      </c>
      <c r="G4" s="419" t="s">
        <v>466</v>
      </c>
      <c r="H4" s="419" t="s">
        <v>467</v>
      </c>
      <c r="I4" s="419" t="s">
        <v>468</v>
      </c>
      <c r="J4" s="419"/>
      <c r="K4" s="419"/>
      <c r="L4" s="419"/>
      <c r="M4" s="419" t="s">
        <v>469</v>
      </c>
      <c r="N4" s="419" t="s">
        <v>470</v>
      </c>
      <c r="O4" s="419" t="s">
        <v>471</v>
      </c>
      <c r="P4" s="419" t="s">
        <v>472</v>
      </c>
      <c r="Q4" s="419" t="s">
        <v>473</v>
      </c>
      <c r="R4" s="419" t="s">
        <v>474</v>
      </c>
      <c r="S4" s="419" t="s">
        <v>475</v>
      </c>
      <c r="T4" s="419" t="s">
        <v>476</v>
      </c>
      <c r="U4" s="419" t="s">
        <v>477</v>
      </c>
      <c r="V4" s="419" t="s">
        <v>478</v>
      </c>
      <c r="W4" s="419"/>
      <c r="X4" s="419" t="s">
        <v>479</v>
      </c>
      <c r="Y4" s="419" t="s">
        <v>480</v>
      </c>
      <c r="Z4" s="432" t="s">
        <v>481</v>
      </c>
    </row>
    <row r="5" spans="1:29" ht="18.75">
      <c r="A5" s="420">
        <v>1</v>
      </c>
      <c r="B5" s="6"/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34"/>
      <c r="AA5" s="435"/>
      <c r="AB5" s="435"/>
      <c r="AC5" s="435"/>
    </row>
    <row r="6" spans="1:29" ht="18.75">
      <c r="A6" s="420">
        <v>3</v>
      </c>
      <c r="B6" s="9" t="s">
        <v>561</v>
      </c>
      <c r="C6" s="421">
        <v>268287.58333333302</v>
      </c>
      <c r="D6" s="422">
        <v>12</v>
      </c>
      <c r="E6" s="423">
        <f>C6*D6</f>
        <v>3219451</v>
      </c>
      <c r="F6" s="423"/>
      <c r="G6" s="423">
        <v>209556.08</v>
      </c>
      <c r="H6" s="423"/>
      <c r="I6" s="423">
        <f t="shared" ref="I6:I13" si="0">E6-F6-G6-H6</f>
        <v>3009894.92</v>
      </c>
      <c r="J6" s="423">
        <v>200000</v>
      </c>
      <c r="K6" s="423">
        <v>0.2</v>
      </c>
      <c r="L6" s="423">
        <f t="shared" ref="L6:L13" si="1">I6*K6</f>
        <v>601978.98400000005</v>
      </c>
      <c r="M6" s="423">
        <f t="shared" ref="M6:M13" si="2">J6+L6</f>
        <v>801978.98400000005</v>
      </c>
      <c r="N6" s="423">
        <f t="shared" ref="N6:N13" si="3">F6+G6+H6+M6</f>
        <v>1011535.064</v>
      </c>
      <c r="O6" s="423">
        <f t="shared" ref="O6:O13" si="4">E6-N6</f>
        <v>2207915.9360000002</v>
      </c>
      <c r="P6" s="423">
        <f t="shared" ref="P6:P13" si="5">IF(O6&lt;300000,0.07*O6,21000)</f>
        <v>21000</v>
      </c>
      <c r="Q6" s="423">
        <f t="shared" ref="Q6:Q13" si="6">IF((O6-300000)&lt;0,0,IF((O6-300000)&lt;300000,0.11*(O6-300000),33000))</f>
        <v>33000</v>
      </c>
      <c r="R6" s="423">
        <f t="shared" ref="R6:R13" si="7">IF((O6-600000)&lt;0,0,IF((O6-600000)&lt;500000,0.15*(O6-600000),75000))</f>
        <v>75000</v>
      </c>
      <c r="S6" s="423">
        <f t="shared" ref="S6:S13" si="8">IF((O6-1100000)&lt;0,0,IF((O6-1100000)&lt;500000,0.19*(O6-1100000),95000))</f>
        <v>95000</v>
      </c>
      <c r="T6" s="423">
        <f t="shared" ref="T6:T13" si="9">IF((O6-1600000)&lt;0,0,IF((O6-1600000)&lt;1600000,0.21*(O6-1600000),336000))</f>
        <v>127662.34656000001</v>
      </c>
      <c r="U6" s="423"/>
      <c r="V6" s="423">
        <f t="shared" ref="V6:V13" si="10">P6+Q6+R6+S6+T6+U6</f>
        <v>351662.34655999998</v>
      </c>
      <c r="W6" s="430">
        <v>12</v>
      </c>
      <c r="X6" s="423">
        <f t="shared" ref="X6:X13" si="11">V6/W6</f>
        <v>29305.195546666699</v>
      </c>
      <c r="Y6" s="423"/>
      <c r="Z6" s="434">
        <f t="shared" ref="Z6:Z13" si="12">X6</f>
        <v>29305.195546666699</v>
      </c>
      <c r="AA6" s="435"/>
      <c r="AB6" s="435"/>
      <c r="AC6" s="435"/>
    </row>
    <row r="7" spans="1:29" s="605" customFormat="1" ht="18.75">
      <c r="A7" s="606">
        <v>4</v>
      </c>
      <c r="B7" s="9" t="s">
        <v>532</v>
      </c>
      <c r="C7" s="607">
        <v>460248.91666666698</v>
      </c>
      <c r="D7" s="608">
        <v>12</v>
      </c>
      <c r="E7" s="609">
        <f t="shared" ref="E7:E13" si="13">C7*D7</f>
        <v>5522987</v>
      </c>
      <c r="F7" s="609"/>
      <c r="G7" s="609">
        <v>374638.96</v>
      </c>
      <c r="H7" s="609"/>
      <c r="I7" s="609">
        <f t="shared" si="0"/>
        <v>5148348.04</v>
      </c>
      <c r="J7" s="609">
        <v>200000</v>
      </c>
      <c r="K7" s="609">
        <v>0.2</v>
      </c>
      <c r="L7" s="609">
        <f t="shared" si="1"/>
        <v>1029669.608</v>
      </c>
      <c r="M7" s="609">
        <f t="shared" si="2"/>
        <v>1229669.608</v>
      </c>
      <c r="N7" s="609">
        <f t="shared" si="3"/>
        <v>1604308.568</v>
      </c>
      <c r="O7" s="609">
        <f t="shared" si="4"/>
        <v>3918678.432</v>
      </c>
      <c r="P7" s="609">
        <f t="shared" si="5"/>
        <v>21000</v>
      </c>
      <c r="Q7" s="609">
        <f t="shared" si="6"/>
        <v>33000</v>
      </c>
      <c r="R7" s="609">
        <f t="shared" si="7"/>
        <v>75000</v>
      </c>
      <c r="S7" s="609">
        <f t="shared" si="8"/>
        <v>95000</v>
      </c>
      <c r="T7" s="609">
        <f t="shared" si="9"/>
        <v>336000</v>
      </c>
      <c r="U7" s="609">
        <f t="shared" ref="U7:U11" si="14">24%*(O7-3200000)</f>
        <v>172482.82368</v>
      </c>
      <c r="V7" s="609">
        <f t="shared" si="10"/>
        <v>732482.82368000003</v>
      </c>
      <c r="W7" s="619">
        <v>12</v>
      </c>
      <c r="X7" s="609">
        <f t="shared" si="11"/>
        <v>61040.235306666698</v>
      </c>
      <c r="Y7" s="609"/>
      <c r="Z7" s="434">
        <f t="shared" si="12"/>
        <v>61040.235306666698</v>
      </c>
      <c r="AA7" s="620"/>
      <c r="AB7" s="620"/>
      <c r="AC7" s="620"/>
    </row>
    <row r="8" spans="1:29" s="605" customFormat="1" ht="18.75">
      <c r="A8" s="606">
        <v>5</v>
      </c>
      <c r="B8" s="9" t="s">
        <v>562</v>
      </c>
      <c r="C8" s="607">
        <v>315849</v>
      </c>
      <c r="D8" s="608">
        <v>12</v>
      </c>
      <c r="E8" s="609">
        <f t="shared" si="13"/>
        <v>3790188</v>
      </c>
      <c r="F8" s="609"/>
      <c r="G8" s="609">
        <v>245615.04</v>
      </c>
      <c r="H8" s="609"/>
      <c r="I8" s="609">
        <f t="shared" si="0"/>
        <v>3544572.96</v>
      </c>
      <c r="J8" s="609">
        <v>200000</v>
      </c>
      <c r="K8" s="609">
        <v>0.2</v>
      </c>
      <c r="L8" s="609">
        <f t="shared" si="1"/>
        <v>708914.59199999995</v>
      </c>
      <c r="M8" s="609">
        <f t="shared" si="2"/>
        <v>908914.59199999995</v>
      </c>
      <c r="N8" s="609">
        <f t="shared" si="3"/>
        <v>1154529.632</v>
      </c>
      <c r="O8" s="609">
        <f t="shared" si="4"/>
        <v>2635658.3679999998</v>
      </c>
      <c r="P8" s="609">
        <f t="shared" si="5"/>
        <v>21000</v>
      </c>
      <c r="Q8" s="609">
        <f t="shared" si="6"/>
        <v>33000</v>
      </c>
      <c r="R8" s="609">
        <f t="shared" si="7"/>
        <v>75000</v>
      </c>
      <c r="S8" s="609">
        <f t="shared" si="8"/>
        <v>95000</v>
      </c>
      <c r="T8" s="609">
        <f t="shared" si="9"/>
        <v>217488.25727999999</v>
      </c>
      <c r="U8" s="609"/>
      <c r="V8" s="609">
        <f t="shared" si="10"/>
        <v>441488.25728000002</v>
      </c>
      <c r="W8" s="619">
        <v>12</v>
      </c>
      <c r="X8" s="609">
        <f t="shared" si="11"/>
        <v>36790.688106666697</v>
      </c>
      <c r="Y8" s="609"/>
      <c r="Z8" s="434">
        <f t="shared" si="12"/>
        <v>36790.688106666697</v>
      </c>
      <c r="AA8" s="620"/>
      <c r="AB8" s="620"/>
      <c r="AC8" s="620"/>
    </row>
    <row r="9" spans="1:29" ht="18.75">
      <c r="A9" s="420">
        <v>6</v>
      </c>
      <c r="B9" s="9" t="s">
        <v>563</v>
      </c>
      <c r="C9" s="421">
        <v>268287.58333333302</v>
      </c>
      <c r="D9" s="422">
        <v>12</v>
      </c>
      <c r="E9" s="423">
        <f t="shared" si="13"/>
        <v>3219451</v>
      </c>
      <c r="F9" s="423"/>
      <c r="G9" s="423">
        <v>209556.08</v>
      </c>
      <c r="H9" s="423"/>
      <c r="I9" s="423">
        <f t="shared" si="0"/>
        <v>3009894.92</v>
      </c>
      <c r="J9" s="423">
        <v>200000</v>
      </c>
      <c r="K9" s="423">
        <v>0.2</v>
      </c>
      <c r="L9" s="423">
        <f t="shared" si="1"/>
        <v>601978.98400000005</v>
      </c>
      <c r="M9" s="423">
        <f t="shared" si="2"/>
        <v>801978.98400000005</v>
      </c>
      <c r="N9" s="423">
        <f t="shared" si="3"/>
        <v>1011535.064</v>
      </c>
      <c r="O9" s="423">
        <f t="shared" si="4"/>
        <v>2207915.9360000002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127662.34656000001</v>
      </c>
      <c r="U9" s="423"/>
      <c r="V9" s="423">
        <f t="shared" si="10"/>
        <v>351662.34655999998</v>
      </c>
      <c r="W9" s="430">
        <v>12</v>
      </c>
      <c r="X9" s="423">
        <f t="shared" si="11"/>
        <v>29305.195546666699</v>
      </c>
      <c r="Y9" s="423"/>
      <c r="Z9" s="434">
        <f t="shared" si="12"/>
        <v>29305.195546666699</v>
      </c>
      <c r="AA9" s="435"/>
      <c r="AB9" s="435"/>
      <c r="AC9" s="435"/>
    </row>
    <row r="10" spans="1:29" s="605" customFormat="1" ht="18.75">
      <c r="A10" s="606">
        <v>7</v>
      </c>
      <c r="B10" s="9" t="s">
        <v>564</v>
      </c>
      <c r="C10" s="607">
        <v>353029.66666666698</v>
      </c>
      <c r="D10" s="608">
        <v>12</v>
      </c>
      <c r="E10" s="609">
        <f t="shared" si="13"/>
        <v>4236356</v>
      </c>
      <c r="F10" s="609"/>
      <c r="G10" s="609">
        <v>281308.48</v>
      </c>
      <c r="H10" s="609"/>
      <c r="I10" s="609">
        <f t="shared" si="0"/>
        <v>3955047.52</v>
      </c>
      <c r="J10" s="609">
        <v>200000</v>
      </c>
      <c r="K10" s="609">
        <v>0.2</v>
      </c>
      <c r="L10" s="609">
        <f t="shared" si="1"/>
        <v>791009.50399999996</v>
      </c>
      <c r="M10" s="609">
        <f t="shared" si="2"/>
        <v>991009.50399999996</v>
      </c>
      <c r="N10" s="609">
        <f t="shared" si="3"/>
        <v>1272317.9839999999</v>
      </c>
      <c r="O10" s="609">
        <f t="shared" si="4"/>
        <v>2964038.0159999998</v>
      </c>
      <c r="P10" s="609">
        <f t="shared" si="5"/>
        <v>21000</v>
      </c>
      <c r="Q10" s="609">
        <f t="shared" si="6"/>
        <v>33000</v>
      </c>
      <c r="R10" s="609">
        <f t="shared" si="7"/>
        <v>75000</v>
      </c>
      <c r="S10" s="609">
        <f t="shared" si="8"/>
        <v>95000</v>
      </c>
      <c r="T10" s="609">
        <f t="shared" si="9"/>
        <v>286447.98336000001</v>
      </c>
      <c r="U10" s="609"/>
      <c r="V10" s="609">
        <f t="shared" si="10"/>
        <v>510447.98336000001</v>
      </c>
      <c r="W10" s="619">
        <v>12</v>
      </c>
      <c r="X10" s="609">
        <f t="shared" si="11"/>
        <v>42537.331946666702</v>
      </c>
      <c r="Y10" s="609"/>
      <c r="Z10" s="434">
        <f t="shared" si="12"/>
        <v>42537.331946666702</v>
      </c>
      <c r="AA10" s="620"/>
      <c r="AB10" s="620"/>
      <c r="AC10" s="620"/>
    </row>
    <row r="11" spans="1:29" s="605" customFormat="1" ht="18.75">
      <c r="A11" s="606">
        <v>8</v>
      </c>
      <c r="B11" s="9" t="s">
        <v>565</v>
      </c>
      <c r="C11" s="607">
        <v>510248.91666666698</v>
      </c>
      <c r="D11" s="608">
        <v>12</v>
      </c>
      <c r="E11" s="609">
        <f t="shared" si="13"/>
        <v>6122987</v>
      </c>
      <c r="F11" s="609"/>
      <c r="G11" s="609">
        <v>374638.96</v>
      </c>
      <c r="H11" s="609"/>
      <c r="I11" s="609">
        <f t="shared" si="0"/>
        <v>5748348.04</v>
      </c>
      <c r="J11" s="609">
        <v>200000</v>
      </c>
      <c r="K11" s="609">
        <v>0.2</v>
      </c>
      <c r="L11" s="609">
        <f t="shared" si="1"/>
        <v>1149669.608</v>
      </c>
      <c r="M11" s="609">
        <f t="shared" si="2"/>
        <v>1349669.608</v>
      </c>
      <c r="N11" s="609">
        <f t="shared" si="3"/>
        <v>1724308.568</v>
      </c>
      <c r="O11" s="609">
        <f t="shared" si="4"/>
        <v>4398678.432</v>
      </c>
      <c r="P11" s="609">
        <f t="shared" si="5"/>
        <v>21000</v>
      </c>
      <c r="Q11" s="609">
        <f t="shared" si="6"/>
        <v>33000</v>
      </c>
      <c r="R11" s="609">
        <f t="shared" si="7"/>
        <v>75000</v>
      </c>
      <c r="S11" s="609">
        <f t="shared" si="8"/>
        <v>95000</v>
      </c>
      <c r="T11" s="609">
        <f t="shared" si="9"/>
        <v>336000</v>
      </c>
      <c r="U11" s="609">
        <f t="shared" si="14"/>
        <v>287682.82367999997</v>
      </c>
      <c r="V11" s="609">
        <f t="shared" si="10"/>
        <v>847682.82368000003</v>
      </c>
      <c r="W11" s="619">
        <v>12</v>
      </c>
      <c r="X11" s="609">
        <f t="shared" si="11"/>
        <v>70640.235306666698</v>
      </c>
      <c r="Y11" s="609"/>
      <c r="Z11" s="434">
        <f t="shared" si="12"/>
        <v>70640.235306666698</v>
      </c>
      <c r="AA11" s="620"/>
      <c r="AB11" s="620"/>
      <c r="AC11" s="620"/>
    </row>
    <row r="12" spans="1:29" ht="18.75">
      <c r="A12" s="420">
        <v>9</v>
      </c>
      <c r="B12" s="9" t="s">
        <v>539</v>
      </c>
      <c r="C12" s="421">
        <v>268287.58333333302</v>
      </c>
      <c r="D12" s="422">
        <v>12</v>
      </c>
      <c r="E12" s="423">
        <f t="shared" si="13"/>
        <v>3219451</v>
      </c>
      <c r="F12" s="423"/>
      <c r="G12" s="423">
        <v>209556.08</v>
      </c>
      <c r="H12" s="423"/>
      <c r="I12" s="423">
        <f t="shared" si="0"/>
        <v>3009894.92</v>
      </c>
      <c r="J12" s="423">
        <v>200000</v>
      </c>
      <c r="K12" s="423">
        <v>0.2</v>
      </c>
      <c r="L12" s="423">
        <f t="shared" si="1"/>
        <v>601978.98399999901</v>
      </c>
      <c r="M12" s="423">
        <f t="shared" si="2"/>
        <v>801978.98399999901</v>
      </c>
      <c r="N12" s="423">
        <f t="shared" si="3"/>
        <v>1011535.064</v>
      </c>
      <c r="O12" s="423">
        <f t="shared" si="4"/>
        <v>2207915.9360000002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127662.346559999</v>
      </c>
      <c r="U12" s="423"/>
      <c r="V12" s="423">
        <f t="shared" si="10"/>
        <v>351662.34655999899</v>
      </c>
      <c r="W12" s="430">
        <v>12</v>
      </c>
      <c r="X12" s="423">
        <f t="shared" si="11"/>
        <v>29305.1955466666</v>
      </c>
      <c r="Y12" s="423"/>
      <c r="Z12" s="434">
        <f t="shared" si="12"/>
        <v>29305.1955466666</v>
      </c>
      <c r="AA12" s="435"/>
      <c r="AB12" s="435"/>
      <c r="AC12" s="435"/>
    </row>
    <row r="13" spans="1:29" s="605" customFormat="1" ht="18.75">
      <c r="A13" s="606">
        <v>10</v>
      </c>
      <c r="B13" s="9" t="s">
        <v>540</v>
      </c>
      <c r="C13" s="607">
        <v>268287.58333333302</v>
      </c>
      <c r="D13" s="608">
        <v>12</v>
      </c>
      <c r="E13" s="609">
        <f t="shared" si="13"/>
        <v>3219451</v>
      </c>
      <c r="F13" s="609"/>
      <c r="G13" s="609">
        <v>209556.08</v>
      </c>
      <c r="H13" s="609"/>
      <c r="I13" s="609">
        <f t="shared" si="0"/>
        <v>3009894.92</v>
      </c>
      <c r="J13" s="609">
        <v>200000</v>
      </c>
      <c r="K13" s="609">
        <v>0.2</v>
      </c>
      <c r="L13" s="609">
        <f t="shared" si="1"/>
        <v>601978.98399999901</v>
      </c>
      <c r="M13" s="609">
        <f t="shared" si="2"/>
        <v>801978.98399999901</v>
      </c>
      <c r="N13" s="609">
        <f t="shared" si="3"/>
        <v>1011535.064</v>
      </c>
      <c r="O13" s="609">
        <f t="shared" si="4"/>
        <v>2207915.9360000002</v>
      </c>
      <c r="P13" s="609">
        <f t="shared" si="5"/>
        <v>21000</v>
      </c>
      <c r="Q13" s="609">
        <f t="shared" si="6"/>
        <v>33000</v>
      </c>
      <c r="R13" s="609">
        <f t="shared" si="7"/>
        <v>75000</v>
      </c>
      <c r="S13" s="609">
        <f t="shared" si="8"/>
        <v>95000</v>
      </c>
      <c r="T13" s="609">
        <f t="shared" si="9"/>
        <v>127662.346559999</v>
      </c>
      <c r="U13" s="609"/>
      <c r="V13" s="609">
        <f t="shared" si="10"/>
        <v>351662.34655999899</v>
      </c>
      <c r="W13" s="619">
        <v>12</v>
      </c>
      <c r="X13" s="609">
        <f t="shared" si="11"/>
        <v>29305.1955466666</v>
      </c>
      <c r="Y13" s="609"/>
      <c r="Z13" s="434">
        <f t="shared" si="12"/>
        <v>29305.1955466666</v>
      </c>
      <c r="AA13" s="620"/>
      <c r="AB13" s="620"/>
      <c r="AC13" s="620"/>
    </row>
    <row r="14" spans="1:29" ht="26.25" customHeight="1">
      <c r="B14" s="452" t="s">
        <v>485</v>
      </c>
      <c r="C14" s="447"/>
      <c r="D14" s="448"/>
      <c r="E14" s="448"/>
      <c r="F14" s="453"/>
      <c r="G14" s="453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3"/>
      <c r="W14" s="448"/>
      <c r="X14" s="448"/>
      <c r="Y14" s="448"/>
      <c r="Z14" s="450">
        <f>SUM(Z6:Z13)</f>
        <v>328229.27285333298</v>
      </c>
    </row>
    <row r="15" spans="1:29" ht="26.25" customHeight="1">
      <c r="B15" s="610"/>
      <c r="C15" s="611"/>
      <c r="D15" s="612"/>
      <c r="E15" s="612"/>
      <c r="F15" s="613"/>
      <c r="G15" s="613"/>
      <c r="H15" s="614"/>
      <c r="I15" s="614"/>
      <c r="J15" s="614"/>
      <c r="K15" s="614"/>
      <c r="L15" s="614"/>
      <c r="M15" s="614"/>
      <c r="N15" s="614"/>
      <c r="O15" s="614"/>
      <c r="P15" s="614"/>
      <c r="Q15" s="614"/>
      <c r="R15" s="614"/>
      <c r="S15" s="614"/>
      <c r="T15" s="614"/>
      <c r="U15" s="614"/>
      <c r="V15" s="613"/>
      <c r="W15" s="612"/>
      <c r="X15" s="612"/>
      <c r="Y15" s="612"/>
      <c r="Z15" s="612"/>
    </row>
    <row r="16" spans="1:29" ht="18.75">
      <c r="B16" s="31"/>
      <c r="C16" s="258" t="s">
        <v>566</v>
      </c>
      <c r="D16" s="258">
        <v>12</v>
      </c>
      <c r="E16" s="435" t="s">
        <v>567</v>
      </c>
      <c r="F16" s="454"/>
    </row>
    <row r="17" spans="1:26" ht="18.75">
      <c r="A17" s="571"/>
      <c r="B17" s="9" t="s">
        <v>561</v>
      </c>
      <c r="C17" s="615">
        <f>218287.583333333*0.08</f>
        <v>17463.006666666599</v>
      </c>
      <c r="D17" s="616">
        <v>12</v>
      </c>
      <c r="E17" s="617">
        <f>C17*D17</f>
        <v>209556.08</v>
      </c>
      <c r="F17" s="455"/>
      <c r="Z17" s="450"/>
    </row>
    <row r="18" spans="1:26" ht="18.75">
      <c r="A18" s="571"/>
      <c r="B18" s="9" t="s">
        <v>532</v>
      </c>
      <c r="C18" s="592">
        <f>390248.916666667*0.08</f>
        <v>31219.913333333399</v>
      </c>
      <c r="D18" s="616">
        <v>12</v>
      </c>
      <c r="E18" s="617">
        <f t="shared" ref="E18:E24" si="15">C18*D18</f>
        <v>374638.96</v>
      </c>
    </row>
    <row r="19" spans="1:26" ht="18.75">
      <c r="A19" s="571"/>
      <c r="B19" s="9" t="s">
        <v>562</v>
      </c>
      <c r="C19" s="615">
        <f>255849*0.08</f>
        <v>20467.919999999998</v>
      </c>
      <c r="D19" s="616">
        <v>12</v>
      </c>
      <c r="E19" s="617">
        <f t="shared" si="15"/>
        <v>245615.04</v>
      </c>
    </row>
    <row r="20" spans="1:26" ht="18.75">
      <c r="A20" s="571"/>
      <c r="B20" s="9" t="s">
        <v>563</v>
      </c>
      <c r="C20" s="615">
        <f>218287.583333333*0.08</f>
        <v>17463.006666666599</v>
      </c>
      <c r="D20" s="616">
        <v>12</v>
      </c>
      <c r="E20" s="617">
        <f t="shared" si="15"/>
        <v>209556.08</v>
      </c>
    </row>
    <row r="21" spans="1:26" ht="18.75">
      <c r="A21" s="571"/>
      <c r="B21" s="9" t="s">
        <v>564</v>
      </c>
      <c r="C21" s="615">
        <f>293029.666666667*0.08</f>
        <v>23442.373333333398</v>
      </c>
      <c r="D21" s="616">
        <v>12</v>
      </c>
      <c r="E21" s="617">
        <f t="shared" si="15"/>
        <v>281308.48</v>
      </c>
    </row>
    <row r="22" spans="1:26" ht="18.75">
      <c r="A22" s="571"/>
      <c r="B22" s="9" t="s">
        <v>565</v>
      </c>
      <c r="C22" s="592">
        <f>390248.916666667*0.08</f>
        <v>31219.913333333399</v>
      </c>
      <c r="D22" s="616">
        <v>12</v>
      </c>
      <c r="E22" s="617">
        <f t="shared" si="15"/>
        <v>374638.96</v>
      </c>
    </row>
    <row r="23" spans="1:26" ht="18.75">
      <c r="A23" s="571"/>
      <c r="B23" s="9" t="s">
        <v>539</v>
      </c>
      <c r="C23" s="615">
        <f t="shared" ref="C23:C24" si="16">218287.583333333*0.08</f>
        <v>17463.006666666599</v>
      </c>
      <c r="D23" s="616">
        <v>12</v>
      </c>
      <c r="E23" s="617">
        <f t="shared" si="15"/>
        <v>209556.08</v>
      </c>
    </row>
    <row r="24" spans="1:26" ht="18.75">
      <c r="A24" s="571"/>
      <c r="B24" s="9" t="s">
        <v>540</v>
      </c>
      <c r="C24" s="615">
        <f t="shared" si="16"/>
        <v>17463.006666666599</v>
      </c>
      <c r="D24" s="616">
        <v>12</v>
      </c>
      <c r="E24" s="617">
        <f t="shared" si="15"/>
        <v>209556.08</v>
      </c>
    </row>
    <row r="25" spans="1:26" ht="15">
      <c r="C25" s="618"/>
      <c r="D25" s="618"/>
      <c r="E25" s="618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88" t="s">
        <v>3</v>
      </c>
      <c r="D3" s="64" t="s">
        <v>4</v>
      </c>
      <c r="E3" s="589" t="s">
        <v>5</v>
      </c>
      <c r="F3" s="589" t="s">
        <v>6</v>
      </c>
      <c r="G3" s="589" t="s">
        <v>7</v>
      </c>
      <c r="H3" s="589" t="s">
        <v>7</v>
      </c>
      <c r="I3" s="589" t="s">
        <v>8</v>
      </c>
      <c r="J3" s="596" t="s">
        <v>9</v>
      </c>
      <c r="K3" s="589" t="s">
        <v>10</v>
      </c>
      <c r="L3" s="589" t="s">
        <v>11</v>
      </c>
      <c r="M3" s="589" t="s">
        <v>12</v>
      </c>
      <c r="N3" s="589" t="s">
        <v>13</v>
      </c>
      <c r="O3" s="597" t="s">
        <v>14</v>
      </c>
      <c r="P3" s="589" t="s">
        <v>15</v>
      </c>
      <c r="Q3" s="601" t="s">
        <v>16</v>
      </c>
      <c r="R3" s="281" t="s">
        <v>568</v>
      </c>
      <c r="S3" s="602" t="s">
        <v>569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3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4" t="s">
        <v>19</v>
      </c>
      <c r="R4" s="67" t="s">
        <v>19</v>
      </c>
      <c r="S4" s="463" t="s">
        <v>19</v>
      </c>
    </row>
    <row r="5" spans="1:20" s="1" customFormat="1" ht="20.100000000000001" customHeight="1">
      <c r="A5" s="80">
        <v>1</v>
      </c>
      <c r="B5" s="590" t="s">
        <v>518</v>
      </c>
      <c r="C5" s="71" t="s">
        <v>570</v>
      </c>
      <c r="D5" s="591" t="s">
        <v>571</v>
      </c>
      <c r="E5" s="592">
        <v>601396.83333333302</v>
      </c>
      <c r="F5" s="592"/>
      <c r="G5" s="593">
        <f>160000</f>
        <v>160000</v>
      </c>
      <c r="H5" s="593"/>
      <c r="I5" s="598">
        <v>0</v>
      </c>
      <c r="J5" s="599">
        <f t="shared" ref="J5:J6" si="0">SUM(E5:I5)</f>
        <v>761396.83333333302</v>
      </c>
      <c r="K5" s="592"/>
      <c r="L5" s="592"/>
      <c r="M5" s="592"/>
      <c r="N5" s="592">
        <v>0</v>
      </c>
      <c r="O5" s="592">
        <v>124854.858666667</v>
      </c>
      <c r="P5" s="592"/>
      <c r="Q5" s="603">
        <f t="shared" ref="Q5:Q8" si="1">O5+N5+M5+L5+K5+P5</f>
        <v>124854.858666667</v>
      </c>
      <c r="R5" s="592">
        <v>636541.97466666705</v>
      </c>
      <c r="S5" s="599">
        <f t="shared" ref="S5:S8" si="2">J5-Q5</f>
        <v>636541.97466666705</v>
      </c>
      <c r="T5" s="11"/>
    </row>
    <row r="6" spans="1:20" s="1" customFormat="1" ht="32.1" customHeight="1">
      <c r="A6" s="80">
        <v>2</v>
      </c>
      <c r="B6" s="312" t="s">
        <v>519</v>
      </c>
      <c r="C6" s="68" t="s">
        <v>572</v>
      </c>
      <c r="D6" s="80" t="s">
        <v>127</v>
      </c>
      <c r="E6" s="592">
        <v>620675.58333333302</v>
      </c>
      <c r="F6" s="592"/>
      <c r="G6" s="593">
        <v>160000</v>
      </c>
      <c r="H6" s="593"/>
      <c r="I6" s="598">
        <v>0</v>
      </c>
      <c r="J6" s="599">
        <f t="shared" si="0"/>
        <v>780675.58333333302</v>
      </c>
      <c r="K6" s="592"/>
      <c r="L6" s="592">
        <f>50000</f>
        <v>50000</v>
      </c>
      <c r="M6" s="592">
        <f>59583.33</f>
        <v>59583.33</v>
      </c>
      <c r="N6" s="592"/>
      <c r="O6" s="592">
        <f>128556.38</f>
        <v>128556.38</v>
      </c>
      <c r="P6" s="592"/>
      <c r="Q6" s="603">
        <f t="shared" si="1"/>
        <v>238139.71</v>
      </c>
      <c r="R6" s="592">
        <v>542535.87333333294</v>
      </c>
      <c r="S6" s="599">
        <f t="shared" si="2"/>
        <v>542535.87333333294</v>
      </c>
      <c r="T6" s="11"/>
    </row>
    <row r="7" spans="1:20" s="587" customFormat="1" ht="29.1" customHeight="1">
      <c r="A7" s="80">
        <v>3</v>
      </c>
      <c r="B7" s="590" t="s">
        <v>521</v>
      </c>
      <c r="C7" s="68" t="s">
        <v>221</v>
      </c>
      <c r="D7" s="591" t="s">
        <v>39</v>
      </c>
      <c r="E7" s="592">
        <v>582118.08333333302</v>
      </c>
      <c r="F7" s="592"/>
      <c r="G7" s="593"/>
      <c r="H7" s="593">
        <f>80000</f>
        <v>80000</v>
      </c>
      <c r="I7" s="592">
        <v>0</v>
      </c>
      <c r="J7" s="599">
        <f t="shared" ref="J7" si="3">SUM(E7:I7)</f>
        <v>662118.08333333302</v>
      </c>
      <c r="K7" s="592"/>
      <c r="L7" s="592">
        <f>100000</f>
        <v>100000</v>
      </c>
      <c r="M7" s="592">
        <f>103000</f>
        <v>103000</v>
      </c>
      <c r="N7" s="592">
        <v>0</v>
      </c>
      <c r="O7" s="592">
        <v>105793.338666667</v>
      </c>
      <c r="P7" s="592"/>
      <c r="Q7" s="603">
        <f t="shared" si="1"/>
        <v>308793.338666667</v>
      </c>
      <c r="R7" s="592">
        <v>353324.74466666701</v>
      </c>
      <c r="S7" s="599">
        <f t="shared" si="2"/>
        <v>353324.74466666701</v>
      </c>
      <c r="T7" s="604"/>
    </row>
    <row r="8" spans="1:20" s="587" customFormat="1" ht="20.100000000000001" customHeight="1">
      <c r="A8" s="80">
        <v>4</v>
      </c>
      <c r="B8" s="594" t="s">
        <v>522</v>
      </c>
      <c r="C8" s="68" t="s">
        <v>573</v>
      </c>
      <c r="D8" s="591" t="s">
        <v>191</v>
      </c>
      <c r="E8" s="592">
        <v>762373.16666666698</v>
      </c>
      <c r="F8" s="592"/>
      <c r="G8" s="593"/>
      <c r="H8" s="593">
        <v>90000</v>
      </c>
      <c r="I8" s="592"/>
      <c r="J8" s="599">
        <f t="shared" ref="J8" si="4">SUM(E8:I8)</f>
        <v>852373.16666666698</v>
      </c>
      <c r="K8" s="592"/>
      <c r="L8" s="600">
        <v>50000</v>
      </c>
      <c r="M8" s="600">
        <v>200000</v>
      </c>
      <c r="O8" s="592">
        <v>142322.31466666699</v>
      </c>
      <c r="P8" s="592"/>
      <c r="Q8" s="603">
        <f t="shared" si="1"/>
        <v>392322.31466666702</v>
      </c>
      <c r="R8" s="592">
        <v>460050.85200000001</v>
      </c>
      <c r="S8" s="599">
        <f t="shared" si="2"/>
        <v>460050.85200000001</v>
      </c>
      <c r="T8" s="604"/>
    </row>
    <row r="9" spans="1:20" ht="29.1" customHeight="1">
      <c r="E9" s="595">
        <f>SUM(E5:E8)</f>
        <v>2566563.6666666698</v>
      </c>
      <c r="F9" s="595">
        <f t="shared" ref="F9:S9" si="5">SUM(F5:F8)</f>
        <v>0</v>
      </c>
      <c r="G9" s="595">
        <f t="shared" si="5"/>
        <v>320000</v>
      </c>
      <c r="H9" s="595">
        <f t="shared" si="5"/>
        <v>170000</v>
      </c>
      <c r="I9" s="595">
        <f t="shared" si="5"/>
        <v>0</v>
      </c>
      <c r="J9" s="595">
        <f t="shared" si="5"/>
        <v>3056563.6666666698</v>
      </c>
      <c r="K9" s="595">
        <f t="shared" si="5"/>
        <v>0</v>
      </c>
      <c r="L9" s="595">
        <f t="shared" si="5"/>
        <v>200000</v>
      </c>
      <c r="M9" s="595">
        <f t="shared" si="5"/>
        <v>362583.33</v>
      </c>
      <c r="N9" s="595">
        <f t="shared" si="5"/>
        <v>0</v>
      </c>
      <c r="O9" s="595">
        <f t="shared" si="5"/>
        <v>501526.89199999999</v>
      </c>
      <c r="P9" s="595">
        <f t="shared" si="5"/>
        <v>0</v>
      </c>
      <c r="Q9" s="595">
        <f t="shared" si="5"/>
        <v>1064110.2220000001</v>
      </c>
      <c r="R9" s="595">
        <f t="shared" si="5"/>
        <v>1992453.4446666699</v>
      </c>
      <c r="S9" s="595">
        <f t="shared" si="5"/>
        <v>1992453.4446666699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1" t="s">
        <v>9</v>
      </c>
      <c r="K3" s="184" t="s">
        <v>10</v>
      </c>
      <c r="L3" s="184" t="s">
        <v>11</v>
      </c>
      <c r="M3" s="184" t="s">
        <v>12</v>
      </c>
      <c r="N3" s="184" t="s">
        <v>13</v>
      </c>
      <c r="O3" s="22" t="s">
        <v>14</v>
      </c>
      <c r="P3" s="184" t="s">
        <v>15</v>
      </c>
      <c r="Q3" s="462" t="s">
        <v>16</v>
      </c>
      <c r="R3" s="65" t="s">
        <v>568</v>
      </c>
      <c r="S3" s="586" t="s">
        <v>569</v>
      </c>
    </row>
    <row r="4" spans="1:20" ht="18.75">
      <c r="A4" s="1"/>
      <c r="B4" s="1"/>
      <c r="C4" s="6"/>
      <c r="D4" s="6"/>
      <c r="E4" s="67" t="s">
        <v>19</v>
      </c>
      <c r="F4" s="67" t="s">
        <v>19</v>
      </c>
      <c r="G4" s="67" t="s">
        <v>19</v>
      </c>
      <c r="H4" s="67" t="s">
        <v>19</v>
      </c>
      <c r="I4" s="67" t="s">
        <v>19</v>
      </c>
      <c r="J4" s="463" t="s">
        <v>19</v>
      </c>
      <c r="K4" s="67" t="s">
        <v>19</v>
      </c>
      <c r="L4" s="67" t="s">
        <v>19</v>
      </c>
      <c r="M4" s="67" t="s">
        <v>19</v>
      </c>
      <c r="N4" s="67" t="s">
        <v>19</v>
      </c>
      <c r="O4" s="67" t="s">
        <v>19</v>
      </c>
      <c r="P4" s="67" t="s">
        <v>19</v>
      </c>
      <c r="Q4" s="464" t="s">
        <v>19</v>
      </c>
      <c r="R4" s="67" t="s">
        <v>19</v>
      </c>
      <c r="S4" s="463" t="s">
        <v>19</v>
      </c>
    </row>
    <row r="5" spans="1:20" s="1" customFormat="1" ht="20.100000000000001" customHeight="1">
      <c r="A5" s="8">
        <v>6</v>
      </c>
      <c r="B5" s="16" t="s">
        <v>574</v>
      </c>
      <c r="C5" s="15" t="s">
        <v>575</v>
      </c>
      <c r="D5" s="8" t="s">
        <v>27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5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6">
        <f t="shared" ref="Q5" si="1">O5+N5+M5+L5+K5+P5</f>
        <v>141666.67000000001</v>
      </c>
      <c r="R5" s="70">
        <v>729984.18200000003</v>
      </c>
      <c r="S5" s="465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806" t="s">
        <v>0</v>
      </c>
      <c r="B1" s="806"/>
      <c r="C1" s="806"/>
      <c r="D1" s="806"/>
    </row>
    <row r="2" spans="1:6" ht="33.75" customHeight="1">
      <c r="A2" s="202" t="s">
        <v>576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3" t="s">
        <v>500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579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579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579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579">
        <v>180000</v>
      </c>
      <c r="F10" s="11"/>
    </row>
    <row r="11" spans="1:6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579">
        <v>180000</v>
      </c>
      <c r="F11" s="11"/>
    </row>
    <row r="12" spans="1:6" ht="20.100000000000001" customHeight="1">
      <c r="A12" s="8">
        <v>6</v>
      </c>
      <c r="B12" s="16" t="s">
        <v>574</v>
      </c>
      <c r="C12" s="15" t="s">
        <v>575</v>
      </c>
      <c r="D12" s="8" t="s">
        <v>27</v>
      </c>
      <c r="E12" s="579">
        <v>180000</v>
      </c>
      <c r="F12" s="11"/>
    </row>
    <row r="13" spans="1:6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579">
        <v>126000</v>
      </c>
      <c r="F13" s="11"/>
    </row>
    <row r="14" spans="1:6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579">
        <v>126000</v>
      </c>
      <c r="F14" s="11"/>
    </row>
    <row r="15" spans="1:6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579">
        <v>90000</v>
      </c>
      <c r="F15" s="11"/>
    </row>
    <row r="16" spans="1:6" ht="20.100000000000001" customHeight="1">
      <c r="A16" s="8">
        <v>10</v>
      </c>
      <c r="B16" s="12" t="s">
        <v>43</v>
      </c>
      <c r="C16" s="15" t="s">
        <v>135</v>
      </c>
      <c r="D16" s="13" t="s">
        <v>224</v>
      </c>
      <c r="E16" s="579">
        <v>90000</v>
      </c>
      <c r="F16" s="11"/>
    </row>
    <row r="17" spans="1:6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579">
        <v>90000</v>
      </c>
      <c r="F17" s="11"/>
    </row>
    <row r="18" spans="1:6" ht="20.100000000000001" customHeight="1">
      <c r="A18" s="8">
        <v>12</v>
      </c>
      <c r="B18" s="9" t="s">
        <v>48</v>
      </c>
      <c r="C18" s="2" t="s">
        <v>577</v>
      </c>
      <c r="D18" s="8" t="s">
        <v>194</v>
      </c>
      <c r="E18" s="579">
        <v>90000</v>
      </c>
    </row>
    <row r="19" spans="1:6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579">
        <v>90000</v>
      </c>
      <c r="F19" s="11"/>
    </row>
    <row r="20" spans="1:6" ht="20.100000000000001" customHeight="1">
      <c r="A20" s="8">
        <v>14</v>
      </c>
      <c r="B20" s="16" t="s">
        <v>53</v>
      </c>
      <c r="C20" s="2" t="s">
        <v>54</v>
      </c>
      <c r="D20" s="13" t="s">
        <v>55</v>
      </c>
      <c r="E20" s="579">
        <v>90000</v>
      </c>
      <c r="F20" s="11"/>
    </row>
    <row r="21" spans="1:6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579">
        <v>68000</v>
      </c>
      <c r="F21" s="11"/>
    </row>
    <row r="22" spans="1:6" ht="20.100000000000001" customHeight="1">
      <c r="A22" s="8">
        <v>16</v>
      </c>
      <c r="B22" s="12" t="s">
        <v>63</v>
      </c>
      <c r="C22" s="15" t="s">
        <v>64</v>
      </c>
      <c r="D22" s="8" t="s">
        <v>65</v>
      </c>
      <c r="E22" s="579">
        <v>68000</v>
      </c>
      <c r="F22" s="11"/>
    </row>
    <row r="23" spans="1:6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579">
        <v>68000</v>
      </c>
      <c r="F23" s="11"/>
    </row>
    <row r="24" spans="1:6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579">
        <v>68000</v>
      </c>
      <c r="F24" s="11"/>
    </row>
    <row r="25" spans="1:6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579">
        <v>54000</v>
      </c>
      <c r="F25" s="11"/>
    </row>
    <row r="26" spans="1:6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579">
        <v>54000</v>
      </c>
      <c r="F26" s="11"/>
    </row>
    <row r="27" spans="1:6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579">
        <v>54000</v>
      </c>
      <c r="F27" s="11"/>
    </row>
    <row r="28" spans="1:6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579">
        <v>54000</v>
      </c>
      <c r="F28" s="11"/>
    </row>
    <row r="29" spans="1:6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579">
        <v>54000</v>
      </c>
      <c r="F29" s="11"/>
    </row>
    <row r="30" spans="1:6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579">
        <v>54000</v>
      </c>
      <c r="F30" s="11"/>
    </row>
    <row r="31" spans="1:6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579">
        <v>54000</v>
      </c>
      <c r="F31" s="11"/>
    </row>
    <row r="32" spans="1:6" ht="18.75" customHeight="1">
      <c r="A32" s="8">
        <v>26</v>
      </c>
      <c r="B32" s="16" t="s">
        <v>88</v>
      </c>
      <c r="C32" s="2" t="s">
        <v>89</v>
      </c>
      <c r="D32" s="8" t="s">
        <v>173</v>
      </c>
      <c r="E32" s="579">
        <v>54000</v>
      </c>
      <c r="F32" s="11"/>
    </row>
    <row r="33" spans="1:6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579">
        <v>54000</v>
      </c>
      <c r="F33" s="11"/>
    </row>
    <row r="34" spans="1:6" ht="21" customHeight="1">
      <c r="A34" s="8"/>
      <c r="B34" s="18" t="s">
        <v>96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0"/>
      <c r="F35" s="11"/>
    </row>
    <row r="36" spans="1:6" ht="18.75" customHeight="1">
      <c r="A36" s="8"/>
      <c r="B36" s="18" t="s">
        <v>97</v>
      </c>
      <c r="C36" s="2"/>
      <c r="D36" s="13"/>
      <c r="E36" s="579"/>
      <c r="F36" s="11"/>
    </row>
    <row r="37" spans="1:6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579">
        <v>270000</v>
      </c>
      <c r="F37" s="11"/>
    </row>
    <row r="38" spans="1:6" ht="18.75" customHeight="1">
      <c r="A38" s="8">
        <v>2</v>
      </c>
      <c r="B38" s="16" t="s">
        <v>101</v>
      </c>
      <c r="C38" s="2" t="s">
        <v>102</v>
      </c>
      <c r="D38" s="8" t="s">
        <v>70</v>
      </c>
      <c r="E38" s="579">
        <v>68000</v>
      </c>
      <c r="F38" s="11"/>
    </row>
    <row r="39" spans="1:6" ht="18.75" customHeight="1">
      <c r="A39" s="8">
        <v>3</v>
      </c>
      <c r="B39" s="9" t="s">
        <v>103</v>
      </c>
      <c r="C39" s="2" t="s">
        <v>102</v>
      </c>
      <c r="D39" s="13" t="s">
        <v>104</v>
      </c>
      <c r="E39" s="579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79"/>
      <c r="F41" s="11"/>
    </row>
    <row r="42" spans="1:6" ht="20.100000000000001" customHeight="1">
      <c r="A42" s="8"/>
      <c r="B42" s="21" t="s">
        <v>107</v>
      </c>
      <c r="C42" s="3"/>
      <c r="D42" s="22"/>
      <c r="E42" s="579"/>
      <c r="F42" s="11"/>
    </row>
    <row r="43" spans="1:6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579">
        <v>270000</v>
      </c>
      <c r="F43" s="11"/>
    </row>
    <row r="44" spans="1:6" ht="20.100000000000001" customHeight="1">
      <c r="A44" s="8">
        <v>2</v>
      </c>
      <c r="B44" s="9" t="s">
        <v>491</v>
      </c>
      <c r="C44" s="2" t="s">
        <v>44</v>
      </c>
      <c r="D44" s="8" t="s">
        <v>36</v>
      </c>
      <c r="E44" s="579">
        <v>126000</v>
      </c>
      <c r="F44" s="11"/>
    </row>
    <row r="45" spans="1:6" ht="20.100000000000001" customHeight="1">
      <c r="A45" s="8">
        <v>3</v>
      </c>
      <c r="B45" s="9" t="s">
        <v>110</v>
      </c>
      <c r="C45" s="2" t="s">
        <v>111</v>
      </c>
      <c r="D45" s="8" t="s">
        <v>112</v>
      </c>
      <c r="E45" s="579">
        <v>180000</v>
      </c>
      <c r="F45" s="11"/>
    </row>
    <row r="46" spans="1:6" ht="20.100000000000001" customHeight="1">
      <c r="A46" s="8">
        <v>4</v>
      </c>
      <c r="B46" s="9" t="s">
        <v>113</v>
      </c>
      <c r="C46" s="2" t="s">
        <v>114</v>
      </c>
      <c r="D46" s="8" t="s">
        <v>36</v>
      </c>
      <c r="E46" s="579">
        <v>126000</v>
      </c>
      <c r="F46" s="11"/>
    </row>
    <row r="47" spans="1:6" ht="20.100000000000001" customHeight="1">
      <c r="A47" s="8">
        <v>5</v>
      </c>
      <c r="B47" s="9" t="s">
        <v>115</v>
      </c>
      <c r="C47" s="2" t="s">
        <v>114</v>
      </c>
      <c r="D47" s="8" t="s">
        <v>36</v>
      </c>
      <c r="E47" s="579">
        <v>126000</v>
      </c>
      <c r="F47" s="11"/>
    </row>
    <row r="48" spans="1:6" ht="20.100000000000001" customHeight="1">
      <c r="A48" s="8">
        <v>6</v>
      </c>
      <c r="B48" s="9" t="s">
        <v>116</v>
      </c>
      <c r="C48" s="2" t="s">
        <v>114</v>
      </c>
      <c r="D48" s="8" t="s">
        <v>39</v>
      </c>
      <c r="E48" s="579">
        <v>126000</v>
      </c>
      <c r="F48" s="11"/>
    </row>
    <row r="49" spans="1:6" ht="20.100000000000001" customHeight="1">
      <c r="A49" s="8">
        <v>7</v>
      </c>
      <c r="B49" s="12" t="s">
        <v>117</v>
      </c>
      <c r="C49" s="2" t="s">
        <v>135</v>
      </c>
      <c r="D49" s="14" t="s">
        <v>224</v>
      </c>
      <c r="E49" s="579">
        <v>90000</v>
      </c>
      <c r="F49" s="11"/>
    </row>
    <row r="50" spans="1:6" ht="20.100000000000001" customHeight="1">
      <c r="A50" s="8">
        <v>8</v>
      </c>
      <c r="B50" s="9" t="s">
        <v>118</v>
      </c>
      <c r="C50" s="2" t="s">
        <v>119</v>
      </c>
      <c r="D50" s="8" t="s">
        <v>104</v>
      </c>
      <c r="E50" s="579">
        <v>68000</v>
      </c>
      <c r="F50" s="11"/>
    </row>
    <row r="51" spans="1:6" ht="20.100000000000001" customHeight="1">
      <c r="A51" s="8">
        <v>9</v>
      </c>
      <c r="B51" s="9" t="s">
        <v>120</v>
      </c>
      <c r="C51" s="2" t="s">
        <v>119</v>
      </c>
      <c r="D51" s="8" t="s">
        <v>80</v>
      </c>
      <c r="E51" s="579">
        <v>54000</v>
      </c>
      <c r="F51" s="11"/>
    </row>
    <row r="52" spans="1:6" ht="20.100000000000001" customHeight="1">
      <c r="A52" s="8">
        <v>10</v>
      </c>
      <c r="B52" s="9" t="s">
        <v>578</v>
      </c>
      <c r="C52" s="2" t="s">
        <v>119</v>
      </c>
      <c r="D52" s="8" t="s">
        <v>80</v>
      </c>
      <c r="E52" s="579">
        <v>54000</v>
      </c>
      <c r="F52" s="11"/>
    </row>
    <row r="53" spans="1:6" ht="20.100000000000001" customHeight="1">
      <c r="A53" s="8">
        <v>11</v>
      </c>
      <c r="B53" s="9" t="s">
        <v>121</v>
      </c>
      <c r="C53" s="2" t="s">
        <v>119</v>
      </c>
      <c r="D53" s="8" t="s">
        <v>80</v>
      </c>
      <c r="E53" s="579">
        <v>54000</v>
      </c>
      <c r="F53" s="11"/>
    </row>
    <row r="54" spans="1:6" ht="25.5" customHeight="1">
      <c r="A54" s="8"/>
      <c r="B54" s="18" t="s">
        <v>96</v>
      </c>
      <c r="C54" s="19">
        <v>11</v>
      </c>
      <c r="D54" s="19"/>
      <c r="E54" s="581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2"/>
      <c r="F55" s="11"/>
    </row>
    <row r="56" spans="1:6" ht="20.100000000000001" customHeight="1">
      <c r="A56" s="8"/>
      <c r="B56" s="18" t="s">
        <v>122</v>
      </c>
      <c r="C56" s="19"/>
      <c r="D56" s="19"/>
      <c r="E56" s="582"/>
      <c r="F56" s="11"/>
    </row>
    <row r="57" spans="1:6" ht="20.100000000000001" customHeight="1">
      <c r="A57" s="8">
        <v>1</v>
      </c>
      <c r="B57" s="9" t="s">
        <v>501</v>
      </c>
      <c r="C57" s="10" t="s">
        <v>124</v>
      </c>
      <c r="D57" s="13" t="s">
        <v>100</v>
      </c>
      <c r="E57" s="579">
        <v>270000</v>
      </c>
      <c r="F57" s="11"/>
    </row>
    <row r="58" spans="1:6" ht="20.100000000000001" customHeight="1">
      <c r="A58" s="8">
        <v>2</v>
      </c>
      <c r="B58" s="9" t="s">
        <v>125</v>
      </c>
      <c r="C58" s="10" t="s">
        <v>126</v>
      </c>
      <c r="D58" s="13" t="s">
        <v>127</v>
      </c>
      <c r="E58" s="579">
        <v>126000</v>
      </c>
      <c r="F58" s="11"/>
    </row>
    <row r="59" spans="1:6" ht="20.100000000000001" customHeight="1">
      <c r="A59" s="8"/>
      <c r="B59" s="18" t="s">
        <v>96</v>
      </c>
      <c r="C59" s="19">
        <v>2</v>
      </c>
      <c r="D59" s="19"/>
      <c r="E59" s="581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2"/>
      <c r="F60" s="11"/>
    </row>
    <row r="61" spans="1:6" ht="20.100000000000001" customHeight="1">
      <c r="A61" s="8"/>
      <c r="B61" s="18" t="s">
        <v>128</v>
      </c>
      <c r="C61" s="19"/>
      <c r="D61" s="19"/>
      <c r="E61" s="582"/>
      <c r="F61" s="11"/>
    </row>
    <row r="62" spans="1:6" ht="20.100000000000001" customHeight="1">
      <c r="A62" s="8">
        <v>1</v>
      </c>
      <c r="B62" s="9" t="s">
        <v>129</v>
      </c>
      <c r="C62" s="15" t="s">
        <v>130</v>
      </c>
      <c r="D62" s="8" t="s">
        <v>100</v>
      </c>
      <c r="E62" s="579">
        <v>270000</v>
      </c>
      <c r="F62" s="11"/>
    </row>
    <row r="63" spans="1:6" ht="20.100000000000001" customHeight="1">
      <c r="A63" s="8">
        <v>2</v>
      </c>
      <c r="B63" s="312" t="s">
        <v>131</v>
      </c>
      <c r="C63" s="15" t="s">
        <v>132</v>
      </c>
      <c r="D63" s="13" t="s">
        <v>133</v>
      </c>
      <c r="E63" s="579">
        <v>126000</v>
      </c>
      <c r="F63" s="11"/>
    </row>
    <row r="64" spans="1:6" ht="20.100000000000001" customHeight="1">
      <c r="A64" s="8">
        <v>3</v>
      </c>
      <c r="B64" s="9" t="s">
        <v>134</v>
      </c>
      <c r="C64" s="2" t="s">
        <v>135</v>
      </c>
      <c r="D64" s="8" t="s">
        <v>47</v>
      </c>
      <c r="E64" s="579">
        <v>90000</v>
      </c>
      <c r="F64" s="11"/>
    </row>
    <row r="65" spans="1:6" ht="20.100000000000001" customHeight="1">
      <c r="A65" s="8">
        <v>4</v>
      </c>
      <c r="B65" s="16" t="s">
        <v>487</v>
      </c>
      <c r="C65" s="15" t="s">
        <v>167</v>
      </c>
      <c r="D65" s="13" t="s">
        <v>52</v>
      </c>
      <c r="E65" s="579">
        <v>90000</v>
      </c>
      <c r="F65" s="11"/>
    </row>
    <row r="66" spans="1:6" ht="20.100000000000001" customHeight="1">
      <c r="A66" s="8">
        <v>5</v>
      </c>
      <c r="B66" s="12" t="s">
        <v>517</v>
      </c>
      <c r="C66" s="15" t="s">
        <v>135</v>
      </c>
      <c r="D66" s="13" t="s">
        <v>42</v>
      </c>
      <c r="E66" s="579">
        <v>90000</v>
      </c>
      <c r="F66" s="11"/>
    </row>
    <row r="67" spans="1:6" ht="20.100000000000001" customHeight="1">
      <c r="A67" s="8">
        <v>7</v>
      </c>
      <c r="B67" s="9" t="s">
        <v>136</v>
      </c>
      <c r="C67" s="2" t="s">
        <v>119</v>
      </c>
      <c r="D67" s="8" t="s">
        <v>137</v>
      </c>
      <c r="E67" s="579">
        <v>68000</v>
      </c>
      <c r="F67" s="11"/>
    </row>
    <row r="68" spans="1:6" ht="20.100000000000001" customHeight="1">
      <c r="A68" s="8">
        <v>8</v>
      </c>
      <c r="B68" s="9" t="s">
        <v>138</v>
      </c>
      <c r="C68" s="15" t="s">
        <v>67</v>
      </c>
      <c r="D68" s="8" t="s">
        <v>137</v>
      </c>
      <c r="E68" s="579">
        <v>68000</v>
      </c>
      <c r="F68" s="11"/>
    </row>
    <row r="69" spans="1:6" ht="20.100000000000001" customHeight="1">
      <c r="A69" s="8">
        <v>9</v>
      </c>
      <c r="B69" s="9" t="s">
        <v>139</v>
      </c>
      <c r="C69" s="15" t="s">
        <v>67</v>
      </c>
      <c r="D69" s="8" t="s">
        <v>137</v>
      </c>
      <c r="E69" s="579">
        <v>68000</v>
      </c>
      <c r="F69" s="11"/>
    </row>
    <row r="70" spans="1:6" ht="20.100000000000001" customHeight="1">
      <c r="A70" s="8">
        <v>10</v>
      </c>
      <c r="B70" s="9" t="s">
        <v>140</v>
      </c>
      <c r="C70" s="2" t="s">
        <v>141</v>
      </c>
      <c r="D70" s="8" t="s">
        <v>62</v>
      </c>
      <c r="E70" s="579">
        <v>68000</v>
      </c>
      <c r="F70" s="11"/>
    </row>
    <row r="71" spans="1:6" ht="21.6" customHeight="1">
      <c r="A71" s="8">
        <v>11</v>
      </c>
      <c r="B71" s="9" t="s">
        <v>142</v>
      </c>
      <c r="C71" s="2" t="s">
        <v>119</v>
      </c>
      <c r="D71" s="8" t="s">
        <v>104</v>
      </c>
      <c r="E71" s="579">
        <v>68000</v>
      </c>
    </row>
    <row r="72" spans="1:6" ht="27" customHeight="1">
      <c r="A72" s="8"/>
      <c r="B72" s="18" t="s">
        <v>96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2"/>
      <c r="F73" s="11"/>
    </row>
    <row r="74" spans="1:6" ht="20.100000000000001" customHeight="1">
      <c r="A74" s="8"/>
      <c r="B74" s="18" t="s">
        <v>143</v>
      </c>
      <c r="C74" s="19"/>
      <c r="D74" s="19"/>
      <c r="E74" s="582"/>
      <c r="F74" s="11"/>
    </row>
    <row r="75" spans="1:6" ht="20.100000000000001" customHeight="1">
      <c r="A75" s="8">
        <v>1</v>
      </c>
      <c r="B75" s="9" t="s">
        <v>144</v>
      </c>
      <c r="C75" s="2" t="s">
        <v>145</v>
      </c>
      <c r="D75" s="8" t="s">
        <v>100</v>
      </c>
      <c r="E75" s="579">
        <v>270000</v>
      </c>
      <c r="F75" s="11"/>
    </row>
    <row r="76" spans="1:6" ht="20.100000000000001" customHeight="1">
      <c r="A76" s="8">
        <v>2</v>
      </c>
      <c r="B76" s="12" t="s">
        <v>518</v>
      </c>
      <c r="C76" s="2" t="s">
        <v>570</v>
      </c>
      <c r="D76" s="13" t="s">
        <v>571</v>
      </c>
      <c r="E76" s="579">
        <v>126000</v>
      </c>
      <c r="F76" s="11"/>
    </row>
    <row r="77" spans="1:6" ht="20.100000000000001" customHeight="1">
      <c r="A77" s="8">
        <v>3</v>
      </c>
      <c r="B77" s="16" t="s">
        <v>519</v>
      </c>
      <c r="C77" s="10" t="s">
        <v>572</v>
      </c>
      <c r="D77" s="8" t="s">
        <v>127</v>
      </c>
      <c r="E77" s="579">
        <v>126000</v>
      </c>
      <c r="F77" s="11"/>
    </row>
    <row r="78" spans="1:6" ht="20.100000000000001" customHeight="1">
      <c r="A78" s="8">
        <v>4</v>
      </c>
      <c r="B78" s="9" t="s">
        <v>148</v>
      </c>
      <c r="C78" s="2" t="s">
        <v>149</v>
      </c>
      <c r="D78" s="13" t="s">
        <v>150</v>
      </c>
      <c r="E78" s="579">
        <v>90000</v>
      </c>
      <c r="F78" s="11"/>
    </row>
    <row r="79" spans="1:6" ht="20.100000000000001" customHeight="1">
      <c r="A79" s="8">
        <v>5</v>
      </c>
      <c r="B79" s="9" t="s">
        <v>151</v>
      </c>
      <c r="C79" s="2" t="s">
        <v>154</v>
      </c>
      <c r="D79" s="8" t="s">
        <v>267</v>
      </c>
      <c r="E79" s="579">
        <v>68000</v>
      </c>
      <c r="F79" s="11"/>
    </row>
    <row r="80" spans="1:6" ht="20.100000000000001" customHeight="1">
      <c r="A80" s="8">
        <v>6</v>
      </c>
      <c r="B80" s="9" t="s">
        <v>153</v>
      </c>
      <c r="C80" s="2" t="s">
        <v>154</v>
      </c>
      <c r="D80" s="8" t="s">
        <v>80</v>
      </c>
      <c r="E80" s="579">
        <v>54000</v>
      </c>
      <c r="F80" s="11"/>
    </row>
    <row r="81" spans="1:6" ht="20.100000000000001" customHeight="1">
      <c r="A81" s="8">
        <v>7</v>
      </c>
      <c r="B81" s="9" t="s">
        <v>155</v>
      </c>
      <c r="C81" s="2" t="s">
        <v>156</v>
      </c>
      <c r="D81" s="8" t="s">
        <v>92</v>
      </c>
      <c r="E81" s="579">
        <v>54000</v>
      </c>
      <c r="F81" s="11"/>
    </row>
    <row r="82" spans="1:6" ht="20.100000000000001" customHeight="1">
      <c r="A82" s="8"/>
      <c r="B82" s="18" t="s">
        <v>96</v>
      </c>
      <c r="C82" s="19">
        <v>7</v>
      </c>
      <c r="D82" s="19"/>
      <c r="E82" s="581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79"/>
      <c r="F83" s="11"/>
    </row>
    <row r="84" spans="1:6" ht="20.100000000000001" customHeight="1">
      <c r="A84" s="8"/>
      <c r="B84" s="18" t="s">
        <v>157</v>
      </c>
      <c r="C84" s="23"/>
      <c r="D84" s="19"/>
      <c r="E84" s="579"/>
      <c r="F84" s="11"/>
    </row>
    <row r="85" spans="1:6" ht="20.100000000000001" customHeight="1">
      <c r="A85" s="8">
        <v>1</v>
      </c>
      <c r="B85" s="9" t="s">
        <v>158</v>
      </c>
      <c r="C85" s="2" t="s">
        <v>114</v>
      </c>
      <c r="D85" s="8" t="s">
        <v>36</v>
      </c>
      <c r="E85" s="579">
        <v>126000</v>
      </c>
      <c r="F85" s="11"/>
    </row>
    <row r="86" spans="1:6" ht="20.100000000000001" customHeight="1">
      <c r="A86" s="8">
        <v>2</v>
      </c>
      <c r="B86" s="9" t="s">
        <v>159</v>
      </c>
      <c r="C86" s="2" t="s">
        <v>114</v>
      </c>
      <c r="D86" s="8" t="s">
        <v>36</v>
      </c>
      <c r="E86" s="579">
        <v>126000</v>
      </c>
      <c r="F86" s="11"/>
    </row>
    <row r="87" spans="1:6" ht="20.100000000000001" customHeight="1">
      <c r="A87" s="8">
        <v>3</v>
      </c>
      <c r="B87" s="9" t="s">
        <v>160</v>
      </c>
      <c r="C87" s="2" t="s">
        <v>114</v>
      </c>
      <c r="D87" s="8" t="s">
        <v>39</v>
      </c>
      <c r="E87" s="579">
        <v>126000</v>
      </c>
      <c r="F87" s="11"/>
    </row>
    <row r="88" spans="1:6" ht="21.6" customHeight="1">
      <c r="A88" s="8">
        <v>4</v>
      </c>
      <c r="B88" s="9" t="s">
        <v>161</v>
      </c>
      <c r="C88" s="2" t="s">
        <v>458</v>
      </c>
      <c r="D88" s="13" t="s">
        <v>194</v>
      </c>
      <c r="E88" s="579">
        <v>90000</v>
      </c>
      <c r="F88" s="11"/>
    </row>
    <row r="89" spans="1:6" ht="21.6" customHeight="1">
      <c r="A89" s="8">
        <v>5</v>
      </c>
      <c r="B89" s="9" t="s">
        <v>162</v>
      </c>
      <c r="C89" s="10" t="s">
        <v>167</v>
      </c>
      <c r="D89" s="13" t="s">
        <v>52</v>
      </c>
      <c r="E89" s="579">
        <v>90000</v>
      </c>
      <c r="F89" s="11"/>
    </row>
    <row r="90" spans="1:6" ht="21.6" customHeight="1">
      <c r="A90" s="8">
        <v>6</v>
      </c>
      <c r="B90" s="9" t="s">
        <v>163</v>
      </c>
      <c r="C90" s="10" t="s">
        <v>135</v>
      </c>
      <c r="D90" s="13" t="s">
        <v>164</v>
      </c>
      <c r="E90" s="579">
        <v>90000</v>
      </c>
      <c r="F90" s="11"/>
    </row>
    <row r="91" spans="1:6" ht="21.6" customHeight="1">
      <c r="A91" s="8">
        <v>7</v>
      </c>
      <c r="B91" s="9" t="s">
        <v>165</v>
      </c>
      <c r="C91" s="15" t="s">
        <v>67</v>
      </c>
      <c r="D91" s="13" t="s">
        <v>137</v>
      </c>
      <c r="E91" s="579">
        <v>68000</v>
      </c>
      <c r="F91" s="11"/>
    </row>
    <row r="92" spans="1:6" ht="21.6" customHeight="1">
      <c r="A92" s="8">
        <v>8</v>
      </c>
      <c r="B92" s="9" t="s">
        <v>166</v>
      </c>
      <c r="C92" s="15" t="s">
        <v>167</v>
      </c>
      <c r="D92" s="13" t="s">
        <v>168</v>
      </c>
      <c r="E92" s="579">
        <v>90000</v>
      </c>
      <c r="F92" s="11"/>
    </row>
    <row r="93" spans="1:6" ht="21.6" customHeight="1">
      <c r="A93" s="8">
        <v>9</v>
      </c>
      <c r="B93" s="9" t="s">
        <v>169</v>
      </c>
      <c r="C93" s="2" t="s">
        <v>170</v>
      </c>
      <c r="D93" s="8" t="s">
        <v>104</v>
      </c>
      <c r="E93" s="579">
        <v>68000</v>
      </c>
      <c r="F93" s="11"/>
    </row>
    <row r="94" spans="1:6" ht="21.6" customHeight="1">
      <c r="A94" s="8">
        <v>10</v>
      </c>
      <c r="B94" s="9" t="s">
        <v>171</v>
      </c>
      <c r="C94" s="15" t="s">
        <v>172</v>
      </c>
      <c r="D94" s="13" t="s">
        <v>173</v>
      </c>
      <c r="E94" s="579">
        <v>54000</v>
      </c>
      <c r="F94" s="11"/>
    </row>
    <row r="95" spans="1:6" ht="20.100000000000001" customHeight="1">
      <c r="A95" s="8"/>
      <c r="B95" s="18" t="s">
        <v>96</v>
      </c>
      <c r="C95" s="19">
        <v>11</v>
      </c>
      <c r="D95" s="19"/>
      <c r="E95" s="581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2"/>
      <c r="F96" s="11"/>
    </row>
    <row r="97" spans="1:6" ht="20.100000000000001" customHeight="1">
      <c r="A97" s="8"/>
      <c r="B97" s="18" t="s">
        <v>174</v>
      </c>
      <c r="C97" s="19"/>
      <c r="D97" s="19"/>
      <c r="E97" s="582"/>
      <c r="F97" s="11"/>
    </row>
    <row r="98" spans="1:6" ht="20.100000000000001" customHeight="1">
      <c r="A98" s="8">
        <v>1</v>
      </c>
      <c r="B98" s="12" t="s">
        <v>175</v>
      </c>
      <c r="C98" s="2" t="s">
        <v>176</v>
      </c>
      <c r="D98" s="14" t="s">
        <v>177</v>
      </c>
      <c r="E98" s="579">
        <v>270000</v>
      </c>
      <c r="F98" s="11"/>
    </row>
    <row r="99" spans="1:6" ht="20.100000000000001" customHeight="1">
      <c r="A99" s="8">
        <v>2</v>
      </c>
      <c r="B99" s="9" t="s">
        <v>178</v>
      </c>
      <c r="C99" s="2" t="s">
        <v>179</v>
      </c>
      <c r="D99" s="13" t="s">
        <v>150</v>
      </c>
      <c r="E99" s="579">
        <v>90000</v>
      </c>
      <c r="F99" s="11"/>
    </row>
    <row r="100" spans="1:6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579">
        <v>68000</v>
      </c>
      <c r="F100" s="11"/>
    </row>
    <row r="101" spans="1:6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579">
        <v>68000</v>
      </c>
      <c r="F101" s="11"/>
    </row>
    <row r="102" spans="1:6" ht="20.100000000000001" customHeight="1">
      <c r="A102" s="2"/>
      <c r="B102" s="18" t="s">
        <v>96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2"/>
      <c r="F103" s="11"/>
    </row>
    <row r="104" spans="1:6" ht="20.100000000000001" customHeight="1">
      <c r="A104" s="2"/>
      <c r="B104" s="18" t="s">
        <v>186</v>
      </c>
      <c r="C104" s="2"/>
      <c r="D104" s="2"/>
      <c r="E104" s="583"/>
      <c r="F104" s="11"/>
    </row>
    <row r="105" spans="1:6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579">
        <v>270000</v>
      </c>
      <c r="F105" s="11"/>
    </row>
    <row r="106" spans="1:6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579">
        <v>180000</v>
      </c>
      <c r="F106" s="11"/>
    </row>
    <row r="107" spans="1:6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579">
        <v>90000</v>
      </c>
      <c r="F107" s="11"/>
    </row>
    <row r="108" spans="1:6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579">
        <v>90000</v>
      </c>
      <c r="F108" s="11"/>
    </row>
    <row r="109" spans="1:6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579">
        <v>54000</v>
      </c>
      <c r="F109" s="11"/>
    </row>
    <row r="110" spans="1:6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579">
        <v>54000</v>
      </c>
      <c r="F110" s="11"/>
    </row>
    <row r="111" spans="1:6" ht="20.100000000000001" customHeight="1">
      <c r="A111" s="2">
        <v>7</v>
      </c>
      <c r="B111" s="16" t="s">
        <v>201</v>
      </c>
      <c r="C111" s="2" t="s">
        <v>197</v>
      </c>
      <c r="D111" s="13" t="s">
        <v>173</v>
      </c>
      <c r="E111" s="579">
        <v>54000</v>
      </c>
      <c r="F111" s="11"/>
    </row>
    <row r="112" spans="1:6" ht="25.5" customHeight="1">
      <c r="A112" s="2"/>
      <c r="B112" s="18" t="s">
        <v>96</v>
      </c>
      <c r="C112" s="19">
        <v>7</v>
      </c>
      <c r="D112" s="2"/>
      <c r="E112" s="584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4"/>
      <c r="F113" s="11"/>
    </row>
    <row r="114" spans="1:6" ht="20.100000000000001" customHeight="1">
      <c r="A114" s="8"/>
      <c r="B114" s="18" t="s">
        <v>202</v>
      </c>
      <c r="C114" s="19"/>
      <c r="D114" s="19"/>
      <c r="E114" s="582"/>
      <c r="F114" s="11"/>
    </row>
    <row r="115" spans="1:6" ht="20.100000000000001" customHeight="1">
      <c r="A115" s="8">
        <v>1</v>
      </c>
      <c r="B115" s="12" t="s">
        <v>203</v>
      </c>
      <c r="C115" s="2" t="s">
        <v>114</v>
      </c>
      <c r="D115" s="8" t="s">
        <v>133</v>
      </c>
      <c r="E115" s="579">
        <v>126000</v>
      </c>
      <c r="F115" s="11"/>
    </row>
    <row r="116" spans="1:6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579">
        <v>68000</v>
      </c>
      <c r="F116" s="11"/>
    </row>
    <row r="117" spans="1:6" ht="20.100000000000001" customHeight="1">
      <c r="A117" s="8">
        <v>3</v>
      </c>
      <c r="B117" s="9" t="s">
        <v>206</v>
      </c>
      <c r="C117" s="10" t="s">
        <v>579</v>
      </c>
      <c r="D117" s="13" t="s">
        <v>255</v>
      </c>
      <c r="E117" s="579">
        <v>68000</v>
      </c>
      <c r="F117" s="11"/>
    </row>
    <row r="118" spans="1:6" ht="24.75" customHeight="1">
      <c r="A118" s="2"/>
      <c r="B118" s="18" t="s">
        <v>96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5"/>
      <c r="F119" s="11"/>
    </row>
    <row r="120" spans="1:6" ht="20.100000000000001" customHeight="1">
      <c r="A120" s="2"/>
      <c r="B120" s="18" t="s">
        <v>215</v>
      </c>
      <c r="C120" s="19"/>
      <c r="D120" s="19"/>
      <c r="E120" s="579"/>
      <c r="F120" s="11"/>
    </row>
    <row r="121" spans="1:6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579">
        <v>270000</v>
      </c>
      <c r="F121" s="11"/>
    </row>
    <row r="122" spans="1:6" ht="20.100000000000001" customHeight="1">
      <c r="A122" s="2">
        <v>2</v>
      </c>
      <c r="B122" s="9" t="s">
        <v>218</v>
      </c>
      <c r="C122" s="10" t="s">
        <v>219</v>
      </c>
      <c r="D122" s="13" t="s">
        <v>112</v>
      </c>
      <c r="E122" s="579">
        <v>180000</v>
      </c>
      <c r="F122" s="11"/>
    </row>
    <row r="123" spans="1:6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579">
        <v>126000</v>
      </c>
      <c r="F123" s="11"/>
    </row>
    <row r="124" spans="1:6" ht="20.100000000000001" customHeight="1">
      <c r="A124" s="2">
        <v>4</v>
      </c>
      <c r="B124" s="12" t="s">
        <v>521</v>
      </c>
      <c r="C124" s="10" t="s">
        <v>221</v>
      </c>
      <c r="D124" s="13" t="s">
        <v>39</v>
      </c>
      <c r="E124" s="579">
        <v>126000</v>
      </c>
      <c r="F124" s="11"/>
    </row>
    <row r="125" spans="1:6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579">
        <v>90000</v>
      </c>
      <c r="F125" s="11"/>
    </row>
    <row r="126" spans="1:6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579">
        <v>90000</v>
      </c>
      <c r="F126" s="11"/>
    </row>
    <row r="127" spans="1:6" ht="20.100000000000001" customHeight="1">
      <c r="A127" s="2">
        <v>7</v>
      </c>
      <c r="B127" s="9" t="s">
        <v>227</v>
      </c>
      <c r="C127" s="10" t="s">
        <v>223</v>
      </c>
      <c r="D127" s="13" t="s">
        <v>150</v>
      </c>
      <c r="E127" s="579">
        <v>90000</v>
      </c>
      <c r="F127" s="11"/>
    </row>
    <row r="128" spans="1:6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579">
        <v>54000</v>
      </c>
      <c r="F128" s="11"/>
    </row>
    <row r="129" spans="1:6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579">
        <v>54000</v>
      </c>
      <c r="F129" s="11"/>
    </row>
    <row r="130" spans="1:6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579">
        <v>54000</v>
      </c>
      <c r="F130" s="11"/>
    </row>
    <row r="131" spans="1:6" ht="28.5" customHeight="1">
      <c r="A131" s="2"/>
      <c r="B131" s="18" t="s">
        <v>96</v>
      </c>
      <c r="C131" s="24" t="s">
        <v>235</v>
      </c>
      <c r="D131" s="13"/>
      <c r="E131" s="582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2"/>
      <c r="F132" s="11"/>
    </row>
    <row r="133" spans="1:6" ht="20.100000000000001" customHeight="1">
      <c r="A133" s="2"/>
      <c r="B133" s="18" t="s">
        <v>236</v>
      </c>
      <c r="C133" s="10"/>
      <c r="D133" s="13"/>
      <c r="E133" s="579"/>
      <c r="F133" s="11"/>
    </row>
    <row r="134" spans="1:6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579">
        <v>270000</v>
      </c>
      <c r="F134" s="11"/>
    </row>
    <row r="135" spans="1:6" ht="20.100000000000001" customHeight="1">
      <c r="A135" s="25">
        <v>2</v>
      </c>
      <c r="B135" s="9" t="s">
        <v>522</v>
      </c>
      <c r="C135" s="10" t="s">
        <v>573</v>
      </c>
      <c r="D135" s="13" t="s">
        <v>191</v>
      </c>
      <c r="E135" s="579">
        <v>180000</v>
      </c>
      <c r="F135" s="11"/>
    </row>
    <row r="136" spans="1:6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579">
        <v>180000</v>
      </c>
      <c r="F136" s="11"/>
    </row>
    <row r="137" spans="1:6" ht="20.100000000000001" customHeight="1">
      <c r="A137" s="25">
        <v>4</v>
      </c>
      <c r="B137" s="9" t="s">
        <v>241</v>
      </c>
      <c r="C137" s="10" t="s">
        <v>580</v>
      </c>
      <c r="D137" s="13" t="s">
        <v>42</v>
      </c>
      <c r="E137" s="579">
        <v>90000</v>
      </c>
      <c r="F137" s="11"/>
    </row>
    <row r="138" spans="1:6" ht="20.100000000000001" customHeight="1">
      <c r="A138" s="25">
        <v>5</v>
      </c>
      <c r="B138" s="9" t="s">
        <v>243</v>
      </c>
      <c r="C138" s="2" t="s">
        <v>581</v>
      </c>
      <c r="D138" s="13" t="s">
        <v>42</v>
      </c>
      <c r="E138" s="579">
        <v>90000</v>
      </c>
      <c r="F138" s="11"/>
    </row>
    <row r="139" spans="1:6" ht="20.100000000000001" customHeight="1">
      <c r="A139" s="25">
        <v>6</v>
      </c>
      <c r="B139" s="9" t="s">
        <v>245</v>
      </c>
      <c r="C139" s="2" t="s">
        <v>581</v>
      </c>
      <c r="D139" s="13" t="s">
        <v>42</v>
      </c>
      <c r="E139" s="579">
        <v>90000</v>
      </c>
      <c r="F139" s="11"/>
    </row>
    <row r="140" spans="1:6" ht="20.100000000000001" customHeight="1">
      <c r="A140" s="25">
        <v>7</v>
      </c>
      <c r="B140" s="9" t="s">
        <v>180</v>
      </c>
      <c r="C140" s="10" t="s">
        <v>582</v>
      </c>
      <c r="D140" s="13" t="s">
        <v>255</v>
      </c>
      <c r="E140" s="579">
        <v>68000</v>
      </c>
      <c r="F140" s="11"/>
    </row>
    <row r="141" spans="1:6" ht="20.100000000000001" customHeight="1">
      <c r="A141" s="25">
        <v>8</v>
      </c>
      <c r="B141" s="9" t="s">
        <v>246</v>
      </c>
      <c r="C141" s="10" t="s">
        <v>582</v>
      </c>
      <c r="D141" s="13" t="s">
        <v>255</v>
      </c>
      <c r="E141" s="579">
        <v>68000</v>
      </c>
      <c r="F141" s="11"/>
    </row>
    <row r="142" spans="1:6" ht="20.100000000000001" customHeight="1">
      <c r="A142" s="25">
        <v>9</v>
      </c>
      <c r="B142" s="9" t="s">
        <v>247</v>
      </c>
      <c r="C142" s="2" t="s">
        <v>583</v>
      </c>
      <c r="D142" s="13" t="s">
        <v>255</v>
      </c>
      <c r="E142" s="579">
        <v>68000</v>
      </c>
      <c r="F142" s="11"/>
    </row>
    <row r="143" spans="1:6" ht="20.100000000000001" customHeight="1">
      <c r="A143" s="25">
        <v>10</v>
      </c>
      <c r="B143" s="9" t="s">
        <v>249</v>
      </c>
      <c r="C143" s="10" t="s">
        <v>250</v>
      </c>
      <c r="D143" s="13" t="s">
        <v>62</v>
      </c>
      <c r="E143" s="579">
        <v>68000</v>
      </c>
      <c r="F143" s="11"/>
    </row>
    <row r="144" spans="1:6" ht="20.100000000000001" customHeight="1">
      <c r="A144" s="25">
        <v>11</v>
      </c>
      <c r="B144" s="9" t="s">
        <v>251</v>
      </c>
      <c r="C144" s="10" t="s">
        <v>252</v>
      </c>
      <c r="D144" s="13" t="s">
        <v>137</v>
      </c>
      <c r="E144" s="579">
        <v>68000</v>
      </c>
      <c r="F144" s="11"/>
    </row>
    <row r="145" spans="1:6" ht="20.100000000000001" customHeight="1">
      <c r="A145" s="25">
        <v>12</v>
      </c>
      <c r="B145" s="9" t="s">
        <v>253</v>
      </c>
      <c r="C145" s="10" t="s">
        <v>254</v>
      </c>
      <c r="D145" s="13" t="s">
        <v>255</v>
      </c>
      <c r="E145" s="579">
        <v>68000</v>
      </c>
      <c r="F145" s="11"/>
    </row>
    <row r="146" spans="1:6" ht="20.100000000000001" customHeight="1">
      <c r="A146" s="25">
        <v>13</v>
      </c>
      <c r="B146" s="16" t="s">
        <v>256</v>
      </c>
      <c r="C146" s="2" t="s">
        <v>257</v>
      </c>
      <c r="D146" s="13" t="s">
        <v>65</v>
      </c>
      <c r="E146" s="579">
        <v>68000</v>
      </c>
      <c r="F146" s="11"/>
    </row>
    <row r="147" spans="1:6" ht="20.100000000000001" customHeight="1">
      <c r="A147" s="25">
        <v>14</v>
      </c>
      <c r="B147" s="9" t="s">
        <v>258</v>
      </c>
      <c r="C147" s="2" t="s">
        <v>584</v>
      </c>
      <c r="D147" s="13" t="s">
        <v>267</v>
      </c>
      <c r="E147" s="579">
        <v>68000</v>
      </c>
      <c r="F147" s="11"/>
    </row>
    <row r="148" spans="1:6" ht="20.100000000000001" customHeight="1">
      <c r="A148" s="25">
        <v>15</v>
      </c>
      <c r="B148" s="9" t="s">
        <v>259</v>
      </c>
      <c r="C148" s="2" t="s">
        <v>584</v>
      </c>
      <c r="D148" s="13" t="s">
        <v>585</v>
      </c>
      <c r="E148" s="579">
        <v>68000</v>
      </c>
      <c r="F148" s="11"/>
    </row>
    <row r="149" spans="1:6" ht="20.100000000000001" customHeight="1">
      <c r="A149" s="25">
        <v>16</v>
      </c>
      <c r="B149" s="9" t="s">
        <v>260</v>
      </c>
      <c r="C149" s="2" t="s">
        <v>584</v>
      </c>
      <c r="D149" s="13" t="s">
        <v>585</v>
      </c>
      <c r="E149" s="579">
        <v>68000</v>
      </c>
      <c r="F149" s="11"/>
    </row>
    <row r="150" spans="1:6" ht="20.100000000000001" customHeight="1">
      <c r="A150" s="25">
        <v>17</v>
      </c>
      <c r="B150" s="9" t="s">
        <v>261</v>
      </c>
      <c r="C150" s="10" t="s">
        <v>262</v>
      </c>
      <c r="D150" s="13" t="s">
        <v>104</v>
      </c>
      <c r="E150" s="579">
        <v>68000</v>
      </c>
      <c r="F150" s="11"/>
    </row>
    <row r="151" spans="1:6" ht="20.100000000000001" customHeight="1">
      <c r="A151" s="25">
        <v>18</v>
      </c>
      <c r="B151" s="9" t="s">
        <v>263</v>
      </c>
      <c r="C151" s="10" t="s">
        <v>264</v>
      </c>
      <c r="D151" s="8" t="s">
        <v>80</v>
      </c>
      <c r="E151" s="579">
        <v>54000</v>
      </c>
      <c r="F151" s="11"/>
    </row>
    <row r="152" spans="1:6" ht="20.100000000000001" customHeight="1">
      <c r="A152" s="25">
        <v>19</v>
      </c>
      <c r="B152" s="9" t="s">
        <v>265</v>
      </c>
      <c r="C152" s="10" t="s">
        <v>266</v>
      </c>
      <c r="D152" s="13" t="s">
        <v>267</v>
      </c>
      <c r="E152" s="579">
        <v>68000</v>
      </c>
      <c r="F152" s="11"/>
    </row>
    <row r="153" spans="1:6" ht="20.100000000000001" customHeight="1">
      <c r="A153" s="25">
        <v>20</v>
      </c>
      <c r="B153" s="9" t="s">
        <v>268</v>
      </c>
      <c r="C153" s="10" t="s">
        <v>269</v>
      </c>
      <c r="D153" s="13" t="s">
        <v>75</v>
      </c>
      <c r="E153" s="579">
        <v>54000</v>
      </c>
      <c r="F153" s="11"/>
    </row>
    <row r="154" spans="1:6" ht="20.100000000000001" customHeight="1">
      <c r="A154" s="25">
        <v>21</v>
      </c>
      <c r="B154" s="9" t="s">
        <v>270</v>
      </c>
      <c r="C154" s="10" t="s">
        <v>271</v>
      </c>
      <c r="D154" s="13" t="s">
        <v>267</v>
      </c>
      <c r="E154" s="579">
        <v>68000</v>
      </c>
      <c r="F154" s="11"/>
    </row>
    <row r="155" spans="1:6" ht="20.100000000000001" customHeight="1">
      <c r="A155" s="25">
        <v>22</v>
      </c>
      <c r="B155" s="9" t="s">
        <v>272</v>
      </c>
      <c r="C155" s="10" t="s">
        <v>273</v>
      </c>
      <c r="D155" s="13" t="s">
        <v>75</v>
      </c>
      <c r="E155" s="579">
        <v>54000</v>
      </c>
      <c r="F155" s="11"/>
    </row>
    <row r="156" spans="1:6" ht="20.100000000000001" customHeight="1">
      <c r="A156" s="25">
        <v>23</v>
      </c>
      <c r="B156" s="16" t="s">
        <v>274</v>
      </c>
      <c r="C156" s="10" t="s">
        <v>275</v>
      </c>
      <c r="D156" s="13" t="s">
        <v>83</v>
      </c>
      <c r="E156" s="579">
        <v>54000</v>
      </c>
      <c r="F156" s="11"/>
    </row>
    <row r="157" spans="1:6" ht="20.100000000000001" customHeight="1">
      <c r="A157" s="25">
        <v>24</v>
      </c>
      <c r="B157" s="16" t="s">
        <v>277</v>
      </c>
      <c r="C157" s="10" t="s">
        <v>278</v>
      </c>
      <c r="D157" s="13" t="s">
        <v>92</v>
      </c>
      <c r="E157" s="579">
        <v>54000</v>
      </c>
      <c r="F157" s="11"/>
    </row>
    <row r="158" spans="1:6" ht="20.100000000000001" customHeight="1">
      <c r="A158" s="25">
        <v>25</v>
      </c>
      <c r="B158" s="16" t="s">
        <v>279</v>
      </c>
      <c r="C158" s="10" t="s">
        <v>280</v>
      </c>
      <c r="D158" s="13" t="s">
        <v>92</v>
      </c>
      <c r="E158" s="579">
        <v>54000</v>
      </c>
      <c r="F158" s="11"/>
    </row>
    <row r="159" spans="1:6" ht="20.100000000000001" customHeight="1">
      <c r="A159" s="25">
        <v>26</v>
      </c>
      <c r="B159" s="16" t="s">
        <v>281</v>
      </c>
      <c r="C159" s="10" t="s">
        <v>282</v>
      </c>
      <c r="D159" s="13" t="s">
        <v>92</v>
      </c>
      <c r="E159" s="579">
        <v>54000</v>
      </c>
      <c r="F159" s="11"/>
    </row>
    <row r="160" spans="1:6" ht="20.100000000000001" customHeight="1">
      <c r="A160" s="25">
        <v>27</v>
      </c>
      <c r="B160" s="16" t="s">
        <v>283</v>
      </c>
      <c r="C160" s="10" t="s">
        <v>284</v>
      </c>
      <c r="D160" s="13" t="s">
        <v>173</v>
      </c>
      <c r="E160" s="579">
        <v>54000</v>
      </c>
      <c r="F160" s="11"/>
    </row>
    <row r="161" spans="1:6" ht="20.100000000000001" customHeight="1">
      <c r="A161" s="25">
        <v>28</v>
      </c>
      <c r="B161" s="16" t="s">
        <v>285</v>
      </c>
      <c r="C161" s="10" t="s">
        <v>280</v>
      </c>
      <c r="D161" s="13" t="s">
        <v>92</v>
      </c>
      <c r="E161" s="579">
        <v>54000</v>
      </c>
      <c r="F161" s="11"/>
    </row>
    <row r="162" spans="1:6" ht="20.100000000000001" customHeight="1">
      <c r="A162" s="25">
        <v>29</v>
      </c>
      <c r="B162" s="9" t="s">
        <v>289</v>
      </c>
      <c r="C162" s="10" t="s">
        <v>290</v>
      </c>
      <c r="D162" s="13" t="s">
        <v>291</v>
      </c>
      <c r="E162" s="579">
        <v>36000</v>
      </c>
      <c r="F162" s="11"/>
    </row>
    <row r="163" spans="1:6" ht="20.100000000000001" customHeight="1">
      <c r="A163" s="25">
        <v>30</v>
      </c>
      <c r="B163" s="9" t="s">
        <v>292</v>
      </c>
      <c r="C163" s="10" t="s">
        <v>290</v>
      </c>
      <c r="D163" s="13" t="s">
        <v>291</v>
      </c>
      <c r="E163" s="579">
        <v>36000</v>
      </c>
      <c r="F163" s="11"/>
    </row>
    <row r="164" spans="1:6" ht="20.100000000000001" customHeight="1">
      <c r="A164" s="25">
        <v>31</v>
      </c>
      <c r="B164" s="9" t="s">
        <v>293</v>
      </c>
      <c r="C164" s="10" t="s">
        <v>290</v>
      </c>
      <c r="D164" s="13" t="s">
        <v>291</v>
      </c>
      <c r="E164" s="579">
        <v>36000</v>
      </c>
      <c r="F164" s="11"/>
    </row>
    <row r="165" spans="1:6" ht="20.100000000000001" customHeight="1">
      <c r="A165" s="25">
        <v>32</v>
      </c>
      <c r="B165" s="9" t="s">
        <v>294</v>
      </c>
      <c r="C165" s="10" t="s">
        <v>290</v>
      </c>
      <c r="D165" s="13" t="s">
        <v>291</v>
      </c>
      <c r="E165" s="579">
        <v>36000</v>
      </c>
      <c r="F165" s="11"/>
    </row>
    <row r="166" spans="1:6" ht="20.100000000000001" customHeight="1">
      <c r="A166" s="25">
        <v>33</v>
      </c>
      <c r="B166" s="9" t="s">
        <v>295</v>
      </c>
      <c r="C166" s="10" t="s">
        <v>290</v>
      </c>
      <c r="D166" s="13" t="s">
        <v>291</v>
      </c>
      <c r="E166" s="579">
        <v>36000</v>
      </c>
      <c r="F166" s="11"/>
    </row>
    <row r="167" spans="1:6" ht="20.100000000000001" customHeight="1">
      <c r="A167" s="25">
        <v>34</v>
      </c>
      <c r="B167" s="9" t="s">
        <v>296</v>
      </c>
      <c r="C167" s="10" t="s">
        <v>290</v>
      </c>
      <c r="D167" s="13" t="s">
        <v>297</v>
      </c>
      <c r="E167" s="579">
        <v>36000</v>
      </c>
      <c r="F167" s="11"/>
    </row>
    <row r="168" spans="1:6" ht="20.100000000000001" customHeight="1">
      <c r="A168" s="25">
        <v>35</v>
      </c>
      <c r="B168" s="9" t="s">
        <v>298</v>
      </c>
      <c r="C168" s="10" t="s">
        <v>290</v>
      </c>
      <c r="D168" s="13" t="s">
        <v>297</v>
      </c>
      <c r="E168" s="579">
        <v>36000</v>
      </c>
      <c r="F168" s="11"/>
    </row>
    <row r="169" spans="1:6" ht="20.100000000000001" customHeight="1">
      <c r="A169" s="25">
        <v>36</v>
      </c>
      <c r="B169" s="12" t="s">
        <v>299</v>
      </c>
      <c r="C169" s="10" t="s">
        <v>290</v>
      </c>
      <c r="D169" s="13" t="s">
        <v>297</v>
      </c>
      <c r="E169" s="579">
        <v>36000</v>
      </c>
      <c r="F169" s="11"/>
    </row>
    <row r="170" spans="1:6" ht="20.100000000000001" customHeight="1">
      <c r="A170" s="25">
        <v>37</v>
      </c>
      <c r="B170" s="9" t="s">
        <v>300</v>
      </c>
      <c r="C170" s="10" t="s">
        <v>290</v>
      </c>
      <c r="D170" s="13" t="s">
        <v>297</v>
      </c>
      <c r="E170" s="579">
        <v>36000</v>
      </c>
      <c r="F170" s="11"/>
    </row>
    <row r="171" spans="1:6" ht="20.100000000000001" customHeight="1">
      <c r="A171" s="25">
        <v>38</v>
      </c>
      <c r="B171" s="16" t="s">
        <v>301</v>
      </c>
      <c r="C171" s="10" t="s">
        <v>290</v>
      </c>
      <c r="D171" s="13" t="s">
        <v>297</v>
      </c>
      <c r="E171" s="579">
        <v>36000</v>
      </c>
      <c r="F171" s="11"/>
    </row>
    <row r="172" spans="1:6" ht="20.100000000000001" customHeight="1">
      <c r="A172" s="25">
        <v>39</v>
      </c>
      <c r="B172" s="16" t="s">
        <v>302</v>
      </c>
      <c r="C172" s="10" t="s">
        <v>290</v>
      </c>
      <c r="D172" s="13" t="s">
        <v>297</v>
      </c>
      <c r="E172" s="579">
        <v>36000</v>
      </c>
      <c r="F172" s="11"/>
    </row>
    <row r="173" spans="1:6" ht="20.100000000000001" customHeight="1">
      <c r="A173" s="25">
        <v>40</v>
      </c>
      <c r="B173" s="9" t="s">
        <v>303</v>
      </c>
      <c r="C173" s="10" t="s">
        <v>304</v>
      </c>
      <c r="D173" s="13" t="s">
        <v>305</v>
      </c>
      <c r="E173" s="579">
        <v>36000</v>
      </c>
      <c r="F173" s="11"/>
    </row>
    <row r="174" spans="1:6" ht="20.100000000000001" customHeight="1">
      <c r="A174" s="25">
        <v>41</v>
      </c>
      <c r="B174" s="9" t="s">
        <v>306</v>
      </c>
      <c r="C174" s="10" t="s">
        <v>304</v>
      </c>
      <c r="D174" s="13" t="s">
        <v>305</v>
      </c>
      <c r="E174" s="579">
        <v>36000</v>
      </c>
      <c r="F174" s="11"/>
    </row>
    <row r="175" spans="1:6" ht="20.100000000000001" customHeight="1">
      <c r="A175" s="25">
        <v>42</v>
      </c>
      <c r="B175" s="16" t="s">
        <v>307</v>
      </c>
      <c r="C175" s="10" t="s">
        <v>304</v>
      </c>
      <c r="D175" s="13" t="s">
        <v>308</v>
      </c>
      <c r="E175" s="579">
        <v>36000</v>
      </c>
      <c r="F175" s="11"/>
    </row>
    <row r="176" spans="1:6" ht="20.100000000000001" customHeight="1">
      <c r="A176" s="25">
        <v>43</v>
      </c>
      <c r="B176" s="9" t="s">
        <v>309</v>
      </c>
      <c r="C176" s="10" t="s">
        <v>310</v>
      </c>
      <c r="D176" s="13" t="s">
        <v>311</v>
      </c>
      <c r="E176" s="579">
        <v>36000</v>
      </c>
      <c r="F176" s="11"/>
    </row>
    <row r="177" spans="1:6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579">
        <v>36000</v>
      </c>
      <c r="F177" s="11"/>
    </row>
    <row r="178" spans="1:6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579">
        <v>36000</v>
      </c>
      <c r="F178" s="11"/>
    </row>
    <row r="179" spans="1:6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579">
        <v>36000</v>
      </c>
      <c r="F179" s="11"/>
    </row>
    <row r="180" spans="1:6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579">
        <v>36000</v>
      </c>
      <c r="F180" s="11"/>
    </row>
    <row r="181" spans="1:6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579">
        <v>36000</v>
      </c>
      <c r="F181" s="11"/>
    </row>
    <row r="182" spans="1:6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579">
        <v>36000</v>
      </c>
      <c r="F182" s="11"/>
    </row>
    <row r="183" spans="1:6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579">
        <v>36000</v>
      </c>
      <c r="F183" s="11"/>
    </row>
    <row r="184" spans="1:6" ht="20.100000000000001" customHeight="1">
      <c r="A184" s="25">
        <v>51</v>
      </c>
      <c r="B184" s="9" t="s">
        <v>321</v>
      </c>
      <c r="C184" s="10" t="s">
        <v>310</v>
      </c>
      <c r="D184" s="13" t="s">
        <v>314</v>
      </c>
      <c r="E184" s="579">
        <v>36000</v>
      </c>
      <c r="F184" s="11"/>
    </row>
    <row r="185" spans="1:6" ht="20.100000000000001" customHeight="1">
      <c r="A185" s="25">
        <v>52</v>
      </c>
      <c r="B185" s="9" t="s">
        <v>322</v>
      </c>
      <c r="C185" s="10" t="s">
        <v>310</v>
      </c>
      <c r="D185" s="13" t="s">
        <v>314</v>
      </c>
      <c r="E185" s="579">
        <v>36000</v>
      </c>
      <c r="F185" s="11"/>
    </row>
    <row r="186" spans="1:6" ht="20.100000000000001" customHeight="1">
      <c r="A186" s="25">
        <v>53</v>
      </c>
      <c r="B186" s="16" t="s">
        <v>323</v>
      </c>
      <c r="C186" s="10" t="s">
        <v>324</v>
      </c>
      <c r="D186" s="13" t="s">
        <v>325</v>
      </c>
      <c r="E186" s="579">
        <v>36000</v>
      </c>
      <c r="F186" s="11"/>
    </row>
    <row r="187" spans="1:6" ht="20.100000000000001" customHeight="1">
      <c r="A187" s="25">
        <v>54</v>
      </c>
      <c r="B187" s="16" t="s">
        <v>328</v>
      </c>
      <c r="C187" s="10" t="s">
        <v>313</v>
      </c>
      <c r="D187" s="13" t="s">
        <v>586</v>
      </c>
      <c r="E187" s="579">
        <v>36000</v>
      </c>
      <c r="F187" s="11"/>
    </row>
    <row r="188" spans="1:6" ht="20.100000000000001" customHeight="1">
      <c r="A188" s="25">
        <v>55</v>
      </c>
      <c r="B188" s="16" t="s">
        <v>329</v>
      </c>
      <c r="C188" s="10" t="s">
        <v>330</v>
      </c>
      <c r="D188" s="13" t="s">
        <v>331</v>
      </c>
      <c r="E188" s="579">
        <v>36000</v>
      </c>
      <c r="F188" s="11"/>
    </row>
    <row r="189" spans="1:6" ht="20.100000000000001" customHeight="1">
      <c r="A189" s="25">
        <v>56</v>
      </c>
      <c r="B189" s="16" t="s">
        <v>332</v>
      </c>
      <c r="C189" s="10" t="s">
        <v>330</v>
      </c>
      <c r="D189" s="13" t="s">
        <v>331</v>
      </c>
      <c r="E189" s="579">
        <v>36000</v>
      </c>
      <c r="F189" s="11"/>
    </row>
    <row r="190" spans="1:6" ht="20.100000000000001" customHeight="1">
      <c r="A190" s="25">
        <v>57</v>
      </c>
      <c r="B190" s="16" t="s">
        <v>333</v>
      </c>
      <c r="C190" s="10" t="s">
        <v>330</v>
      </c>
      <c r="D190" s="13" t="s">
        <v>331</v>
      </c>
      <c r="E190" s="579">
        <v>36000</v>
      </c>
      <c r="F190" s="11"/>
    </row>
    <row r="191" spans="1:6" ht="20.100000000000001" customHeight="1">
      <c r="A191" s="25">
        <v>58</v>
      </c>
      <c r="B191" s="16" t="s">
        <v>334</v>
      </c>
      <c r="C191" s="10" t="s">
        <v>335</v>
      </c>
      <c r="D191" s="13" t="s">
        <v>336</v>
      </c>
      <c r="E191" s="579">
        <v>36000</v>
      </c>
      <c r="F191" s="11"/>
    </row>
    <row r="192" spans="1:6" ht="20.100000000000001" customHeight="1">
      <c r="A192" s="25">
        <v>59</v>
      </c>
      <c r="B192" s="16" t="s">
        <v>337</v>
      </c>
      <c r="C192" s="10" t="s">
        <v>335</v>
      </c>
      <c r="D192" s="13" t="s">
        <v>336</v>
      </c>
      <c r="E192" s="579">
        <v>36000</v>
      </c>
      <c r="F192" s="11"/>
    </row>
    <row r="193" spans="1:6" ht="30.75" customHeight="1">
      <c r="A193" s="25"/>
      <c r="B193" s="6" t="s">
        <v>96</v>
      </c>
      <c r="C193" s="26" t="s">
        <v>587</v>
      </c>
      <c r="D193" s="27"/>
      <c r="E193" s="581">
        <f t="shared" ref="E193" si="7">SUM(E134:E192)</f>
        <v>3386000</v>
      </c>
      <c r="F193" s="11"/>
    </row>
    <row r="194" spans="1:6" ht="35.25" customHeight="1">
      <c r="A194" s="2"/>
      <c r="B194" s="28" t="s">
        <v>339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6">
        <v>1</v>
      </c>
      <c r="B2" s="576" t="s">
        <v>504</v>
      </c>
      <c r="C2" s="577">
        <f>'Welfare June'!E194</f>
        <v>13858000</v>
      </c>
      <c r="D2" s="576"/>
      <c r="E2" s="576"/>
    </row>
    <row r="3" spans="1:5" ht="20.25">
      <c r="A3" s="576">
        <v>2</v>
      </c>
      <c r="B3" s="576" t="s">
        <v>506</v>
      </c>
      <c r="C3" s="577">
        <f>'[7]CONTRACT Welfare'!$E$26</f>
        <v>1688000</v>
      </c>
      <c r="D3" s="576"/>
      <c r="E3" s="576"/>
    </row>
    <row r="4" spans="1:5" ht="20.25">
      <c r="A4" s="576">
        <v>3</v>
      </c>
      <c r="B4" s="576" t="s">
        <v>508</v>
      </c>
      <c r="C4" s="577">
        <f>'[7]CAS. SABB. NYSC Welfare'!$D$58</f>
        <v>1791000</v>
      </c>
      <c r="D4" s="576"/>
      <c r="E4" s="576"/>
    </row>
    <row r="5" spans="1:5" ht="20.25">
      <c r="A5" s="576">
        <v>4</v>
      </c>
      <c r="B5" s="576" t="s">
        <v>515</v>
      </c>
      <c r="C5" s="577">
        <f>'[7]CONSULTANCY Welfare'!$D$31</f>
        <v>1746000</v>
      </c>
      <c r="D5" s="576"/>
      <c r="E5" s="576"/>
    </row>
    <row r="6" spans="1:5" ht="20.25">
      <c r="A6" s="576">
        <v>5</v>
      </c>
      <c r="B6" s="576" t="s">
        <v>588</v>
      </c>
      <c r="C6" s="577">
        <f>'[7]Welfare Others'!$C$92</f>
        <v>1225000</v>
      </c>
      <c r="D6" s="576"/>
      <c r="E6" s="576"/>
    </row>
    <row r="7" spans="1:5" ht="27" customHeight="1">
      <c r="A7" s="576"/>
      <c r="B7" s="576"/>
      <c r="C7" s="578">
        <f>SUM(C2:C6)</f>
        <v>20308000</v>
      </c>
      <c r="D7" s="576"/>
      <c r="E7" s="576"/>
    </row>
    <row r="8" spans="1:5" ht="20.25">
      <c r="A8" s="576"/>
      <c r="B8" s="576"/>
      <c r="C8" s="576"/>
      <c r="D8" s="576"/>
      <c r="E8" s="576"/>
    </row>
    <row r="9" spans="1:5" ht="20.25">
      <c r="A9" s="576"/>
      <c r="B9" s="576"/>
      <c r="C9" s="576"/>
      <c r="D9" s="576"/>
      <c r="E9" s="576"/>
    </row>
    <row r="10" spans="1:5" ht="20.25">
      <c r="A10" s="576"/>
      <c r="B10" s="576"/>
      <c r="C10" s="576"/>
      <c r="D10" s="576"/>
      <c r="E10" s="576"/>
    </row>
    <row r="11" spans="1:5" ht="20.25">
      <c r="A11" s="576"/>
      <c r="B11" s="576"/>
      <c r="C11" s="576"/>
      <c r="D11" s="576"/>
      <c r="E11" s="576"/>
    </row>
    <row r="12" spans="1:5" ht="20.25">
      <c r="A12" s="576"/>
      <c r="B12" s="576"/>
      <c r="C12" s="576"/>
      <c r="D12" s="576"/>
      <c r="E12" s="576"/>
    </row>
    <row r="13" spans="1:5" ht="20.25">
      <c r="A13" s="576"/>
      <c r="B13" s="576"/>
      <c r="C13" s="576"/>
      <c r="D13" s="576"/>
      <c r="E13" s="576"/>
    </row>
    <row r="14" spans="1:5" ht="20.25">
      <c r="A14" s="576"/>
      <c r="B14" s="576"/>
      <c r="C14" s="576"/>
      <c r="D14" s="576"/>
      <c r="E14" s="576"/>
    </row>
    <row r="15" spans="1:5" ht="20.25">
      <c r="A15" s="576"/>
      <c r="B15" s="576"/>
      <c r="C15" s="576"/>
      <c r="D15" s="576"/>
      <c r="E15" s="576"/>
    </row>
    <row r="16" spans="1:5" ht="20.25">
      <c r="A16" s="576"/>
      <c r="B16" s="576"/>
      <c r="C16" s="576"/>
      <c r="D16" s="576"/>
      <c r="E16" s="576"/>
    </row>
    <row r="17" spans="1:5" ht="20.25">
      <c r="A17" s="576"/>
      <c r="B17" s="576"/>
      <c r="C17" s="576"/>
      <c r="D17" s="576"/>
      <c r="E17" s="576"/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4" t="s">
        <v>589</v>
      </c>
      <c r="E1" s="575" t="s">
        <v>590</v>
      </c>
      <c r="F1" s="575" t="s">
        <v>591</v>
      </c>
      <c r="G1" s="575" t="s">
        <v>592</v>
      </c>
      <c r="H1" s="575" t="s">
        <v>593</v>
      </c>
      <c r="I1" s="575" t="s">
        <v>594</v>
      </c>
    </row>
    <row r="2" spans="1:9" s="1" customFormat="1" ht="33" customHeight="1">
      <c r="A2" s="16" t="s">
        <v>519</v>
      </c>
      <c r="B2" s="16" t="s">
        <v>572</v>
      </c>
      <c r="C2" s="8" t="s">
        <v>127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793" t="s">
        <v>0</v>
      </c>
      <c r="B1" s="793"/>
      <c r="C1" s="793"/>
      <c r="D1" s="793"/>
      <c r="E1" s="793"/>
      <c r="F1" s="793"/>
      <c r="G1" s="183"/>
      <c r="H1" s="183"/>
      <c r="I1" s="183"/>
    </row>
    <row r="2" spans="1:22" ht="33.75" customHeight="1">
      <c r="A2" s="61" t="s">
        <v>595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22" t="s">
        <v>453</v>
      </c>
      <c r="Q4" s="22" t="s">
        <v>591</v>
      </c>
      <c r="R4" s="184" t="s">
        <v>15</v>
      </c>
      <c r="S4" s="309" t="s">
        <v>16</v>
      </c>
      <c r="T4" s="65" t="s">
        <v>596</v>
      </c>
      <c r="U4" s="283" t="s">
        <v>597</v>
      </c>
    </row>
    <row r="5" spans="1:22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67" t="s">
        <v>19</v>
      </c>
      <c r="S5" s="408" t="s">
        <v>19</v>
      </c>
      <c r="T5" s="67" t="s">
        <v>19</v>
      </c>
      <c r="U5" s="196" t="s">
        <v>19</v>
      </c>
    </row>
    <row r="6" spans="1:22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8"/>
      <c r="T6" s="67"/>
      <c r="U6" s="196"/>
    </row>
    <row r="7" spans="1:22" ht="20.100000000000001" customHeight="1">
      <c r="A7" s="8">
        <v>1</v>
      </c>
      <c r="B7" s="9" t="s">
        <v>25</v>
      </c>
      <c r="C7" s="10" t="s">
        <v>26</v>
      </c>
      <c r="D7" s="8" t="s">
        <v>27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19200.000000000098</v>
      </c>
      <c r="R7" s="70">
        <v>60989.853333333303</v>
      </c>
      <c r="S7" s="301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28</v>
      </c>
      <c r="C8" s="2" t="s">
        <v>29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19200.0000000006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32</v>
      </c>
      <c r="C9" s="2" t="s">
        <v>33</v>
      </c>
      <c r="D9" s="8" t="s">
        <v>27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'[2]OCTOBER 2023 '!$D$193</f>
        <v>230499.8</v>
      </c>
      <c r="N9" s="70">
        <v>1066.32925</v>
      </c>
      <c r="O9" s="70">
        <v>159207.52761066699</v>
      </c>
      <c r="P9" s="70">
        <f>'March New PAYE '!Z10</f>
        <v>178407.52761066667</v>
      </c>
      <c r="Q9" s="70">
        <f t="shared" si="3"/>
        <v>19199.99999999968</v>
      </c>
      <c r="R9" s="70">
        <v>60989.853333333303</v>
      </c>
      <c r="S9" s="301">
        <f t="shared" si="1"/>
        <v>531763.51019400032</v>
      </c>
      <c r="T9" s="70">
        <v>470609.656472667</v>
      </c>
      <c r="U9" s="197">
        <f t="shared" si="2"/>
        <v>470609.65647266968</v>
      </c>
      <c r="V9" s="11"/>
    </row>
    <row r="10" spans="1:22" ht="20.100000000000001" customHeight="1">
      <c r="A10" s="8">
        <v>4</v>
      </c>
      <c r="B10" s="16" t="s">
        <v>574</v>
      </c>
      <c r="C10" s="8" t="s">
        <v>575</v>
      </c>
      <c r="D10" s="8" t="s">
        <v>27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158</v>
      </c>
      <c r="C11" s="2" t="s">
        <v>114</v>
      </c>
      <c r="D11" s="8" t="s">
        <v>36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19199.999999999902</v>
      </c>
      <c r="R11" s="70">
        <v>49654.046666666698</v>
      </c>
      <c r="S11" s="301">
        <f t="shared" si="1"/>
        <v>187876.84837333299</v>
      </c>
      <c r="T11" s="70">
        <v>692798.73496000003</v>
      </c>
      <c r="U11" s="197">
        <f t="shared" si="2"/>
        <v>692798.73496000003</v>
      </c>
      <c r="V11" s="11"/>
    </row>
    <row r="12" spans="1:22" ht="20.100000000000001" customHeight="1">
      <c r="A12" s="8">
        <v>6</v>
      </c>
      <c r="B12" s="9" t="s">
        <v>37</v>
      </c>
      <c r="C12" s="2" t="s">
        <v>38</v>
      </c>
      <c r="D12" s="8" t="s">
        <v>39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150463.10967466666</v>
      </c>
      <c r="Q12" s="70">
        <f t="shared" si="3"/>
        <v>19199.999999999651</v>
      </c>
      <c r="R12" s="70">
        <v>46569.446666666699</v>
      </c>
      <c r="S12" s="301">
        <f t="shared" si="1"/>
        <v>178608.05234133301</v>
      </c>
      <c r="T12" s="70">
        <v>663510.03099200001</v>
      </c>
      <c r="U12" s="197">
        <f t="shared" si="2"/>
        <v>663510.03099200001</v>
      </c>
      <c r="V12" s="11"/>
    </row>
    <row r="13" spans="1:22" ht="20.100000000000001" customHeight="1">
      <c r="A13" s="8">
        <v>7</v>
      </c>
      <c r="B13" s="9" t="s">
        <v>45</v>
      </c>
      <c r="C13" s="2" t="s">
        <v>46</v>
      </c>
      <c r="D13" s="8" t="s">
        <v>47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19200</v>
      </c>
      <c r="R13" s="70">
        <v>35419.72</v>
      </c>
      <c r="S13" s="301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53</v>
      </c>
      <c r="C14" s="2" t="s">
        <v>54</v>
      </c>
      <c r="D14" s="13" t="s">
        <v>55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63</v>
      </c>
      <c r="C15" s="15" t="s">
        <v>64</v>
      </c>
      <c r="D15" s="8" t="s">
        <v>65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1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68</v>
      </c>
      <c r="C16" s="15" t="s">
        <v>69</v>
      </c>
      <c r="D16" s="8" t="s">
        <v>70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19200.000000000098</v>
      </c>
      <c r="R16" s="70">
        <v>23442.3733333333</v>
      </c>
      <c r="S16" s="301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96</v>
      </c>
      <c r="C17" s="26" t="s">
        <v>235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1441037.1846986685</v>
      </c>
      <c r="Q17" s="78">
        <f t="shared" si="5"/>
        <v>192000.00000000003</v>
      </c>
      <c r="R17" s="78">
        <v>1130905.06</v>
      </c>
      <c r="S17" s="573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598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E191"/>
  <sheetViews>
    <sheetView topLeftCell="A4" workbookViewId="0">
      <selection activeCell="I189" sqref="I18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1"/>
    </row>
    <row r="2" spans="1:31" hidden="1">
      <c r="A2" s="796" t="s">
        <v>459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1"/>
    </row>
    <row r="3" spans="1:31" hidden="1">
      <c r="A3" s="797" t="s">
        <v>460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1"/>
    </row>
    <row r="4" spans="1:31" ht="83.25" customHeight="1">
      <c r="A4" s="417" t="s">
        <v>461</v>
      </c>
      <c r="B4" s="418" t="s">
        <v>462</v>
      </c>
      <c r="C4" s="419" t="s">
        <v>463</v>
      </c>
      <c r="D4" s="418" t="s">
        <v>456</v>
      </c>
      <c r="E4" s="419" t="s">
        <v>464</v>
      </c>
      <c r="F4" s="419" t="s">
        <v>465</v>
      </c>
      <c r="G4" s="419" t="s">
        <v>466</v>
      </c>
      <c r="H4" s="419" t="s">
        <v>467</v>
      </c>
      <c r="I4" s="419" t="s">
        <v>468</v>
      </c>
      <c r="J4" s="419"/>
      <c r="K4" s="419"/>
      <c r="L4" s="419"/>
      <c r="M4" s="419" t="s">
        <v>469</v>
      </c>
      <c r="N4" s="419" t="s">
        <v>470</v>
      </c>
      <c r="O4" s="419" t="s">
        <v>471</v>
      </c>
      <c r="P4" s="419" t="s">
        <v>472</v>
      </c>
      <c r="Q4" s="419" t="s">
        <v>473</v>
      </c>
      <c r="R4" s="419" t="s">
        <v>474</v>
      </c>
      <c r="S4" s="419" t="s">
        <v>475</v>
      </c>
      <c r="T4" s="419" t="s">
        <v>476</v>
      </c>
      <c r="U4" s="419" t="s">
        <v>477</v>
      </c>
      <c r="V4" s="419" t="s">
        <v>478</v>
      </c>
      <c r="W4" s="419"/>
      <c r="X4" s="419" t="s">
        <v>479</v>
      </c>
      <c r="Y4" s="419" t="s">
        <v>480</v>
      </c>
      <c r="Z4" s="419" t="s">
        <v>481</v>
      </c>
      <c r="AA4" s="433"/>
      <c r="AB4" s="433" t="s">
        <v>516</v>
      </c>
    </row>
    <row r="5" spans="1:31" ht="18.75">
      <c r="A5" s="420">
        <v>1</v>
      </c>
      <c r="B5" s="6" t="s">
        <v>21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22</v>
      </c>
      <c r="C6" s="421">
        <v>1934986.1669999999</v>
      </c>
      <c r="D6" s="422">
        <v>12</v>
      </c>
      <c r="E6" s="423">
        <f>C6*D6</f>
        <v>23219834.004000001</v>
      </c>
      <c r="F6" s="423"/>
      <c r="G6" s="423"/>
      <c r="H6" s="423"/>
      <c r="I6" s="423">
        <f t="shared" ref="I6:I32" si="0">E6-F6-G6-H6</f>
        <v>23219834.004000001</v>
      </c>
      <c r="J6" s="423">
        <v>200000</v>
      </c>
      <c r="K6" s="423">
        <v>0.2</v>
      </c>
      <c r="L6" s="423">
        <f t="shared" ref="L6:L75" si="1">I6*K6</f>
        <v>4643966.8008000003</v>
      </c>
      <c r="M6" s="423">
        <f t="shared" ref="M6:M75" si="2">J6+L6</f>
        <v>4843966.8008000003</v>
      </c>
      <c r="N6" s="423">
        <f t="shared" ref="N6:N32" si="3">F6+G6+H6+M6</f>
        <v>4843966.8008000003</v>
      </c>
      <c r="O6" s="423">
        <f t="shared" ref="O6:O32" si="4">E6-N6</f>
        <v>18375867.203200001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3642208.1287679998</v>
      </c>
      <c r="V6" s="423">
        <f t="shared" ref="V6:V75" si="11">P6+Q6+R6+S6+T6+U6</f>
        <v>4202208.1287679998</v>
      </c>
      <c r="W6" s="430">
        <v>12</v>
      </c>
      <c r="X6" s="423">
        <f t="shared" ref="X6:X75" si="12">V6/W6</f>
        <v>350184.01073066698</v>
      </c>
      <c r="Y6" s="423"/>
      <c r="Z6" s="423">
        <f t="shared" ref="Z6:Z75" si="13">X6</f>
        <v>350184.01073066698</v>
      </c>
      <c r="AA6" s="435">
        <v>201165.83594666701</v>
      </c>
      <c r="AB6" s="435">
        <f>Z6-AA6</f>
        <v>149018.174784</v>
      </c>
      <c r="AC6" s="435"/>
      <c r="AD6" s="435"/>
      <c r="AE6" s="435"/>
    </row>
    <row r="7" spans="1:31" ht="18.75">
      <c r="A7" s="420">
        <v>4</v>
      </c>
      <c r="B7" s="9" t="s">
        <v>25</v>
      </c>
      <c r="C7" s="421">
        <f>852373.166666667+100000</f>
        <v>952373.16666666698</v>
      </c>
      <c r="D7" s="422">
        <v>12</v>
      </c>
      <c r="E7" s="423">
        <f t="shared" ref="E7:E32" si="14">C7*D7</f>
        <v>11428478</v>
      </c>
      <c r="F7" s="423"/>
      <c r="G7" s="423">
        <v>731878.24</v>
      </c>
      <c r="H7" s="423"/>
      <c r="I7" s="423">
        <f t="shared" si="0"/>
        <v>10696599.76</v>
      </c>
      <c r="J7" s="423">
        <v>200000</v>
      </c>
      <c r="K7" s="423">
        <v>0.2</v>
      </c>
      <c r="L7" s="423">
        <f t="shared" si="1"/>
        <v>2139319.952</v>
      </c>
      <c r="M7" s="423">
        <f t="shared" si="2"/>
        <v>2339319.952</v>
      </c>
      <c r="N7" s="423">
        <f t="shared" si="3"/>
        <v>3071198.1919999998</v>
      </c>
      <c r="O7" s="423">
        <f t="shared" si="4"/>
        <v>8357279.8080000002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1237747.15392</v>
      </c>
      <c r="V7" s="423">
        <f t="shared" si="11"/>
        <v>1797747.15392</v>
      </c>
      <c r="W7" s="430">
        <v>12</v>
      </c>
      <c r="X7" s="423">
        <f t="shared" si="12"/>
        <v>149812.26282666699</v>
      </c>
      <c r="Y7" s="423"/>
      <c r="Z7" s="423">
        <f t="shared" si="13"/>
        <v>149812.26282666699</v>
      </c>
      <c r="AA7" s="435">
        <v>82627.951418666693</v>
      </c>
      <c r="AB7" s="435">
        <f t="shared" ref="AB7:AB32" si="15">Z7-AA7</f>
        <v>67184.311408000096</v>
      </c>
      <c r="AC7" s="435"/>
      <c r="AD7" s="435"/>
      <c r="AE7" s="435"/>
    </row>
    <row r="8" spans="1:31" ht="18.75">
      <c r="A8" s="420">
        <v>5</v>
      </c>
      <c r="B8" s="12" t="s">
        <v>28</v>
      </c>
      <c r="C8" s="421">
        <f>1052373.16666667+100000</f>
        <v>1152373.16666667</v>
      </c>
      <c r="D8" s="422">
        <v>12</v>
      </c>
      <c r="E8" s="423">
        <f t="shared" si="14"/>
        <v>13828478</v>
      </c>
      <c r="F8" s="423"/>
      <c r="G8" s="423">
        <v>0</v>
      </c>
      <c r="H8" s="423"/>
      <c r="I8" s="423">
        <f t="shared" si="0"/>
        <v>13828478</v>
      </c>
      <c r="J8" s="423">
        <v>200000</v>
      </c>
      <c r="K8" s="423">
        <v>0.2</v>
      </c>
      <c r="L8" s="423">
        <f t="shared" si="1"/>
        <v>2765695.6000000099</v>
      </c>
      <c r="M8" s="423">
        <f t="shared" si="2"/>
        <v>2965695.6000000099</v>
      </c>
      <c r="N8" s="423">
        <f t="shared" si="3"/>
        <v>2965695.6000000099</v>
      </c>
      <c r="O8" s="423">
        <f t="shared" si="4"/>
        <v>10862782.4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1839067.7760000101</v>
      </c>
      <c r="V8" s="423">
        <f t="shared" si="11"/>
        <v>2399067.7760000098</v>
      </c>
      <c r="W8" s="430">
        <v>12</v>
      </c>
      <c r="X8" s="423">
        <f t="shared" si="12"/>
        <v>199922.31466666699</v>
      </c>
      <c r="Y8" s="423"/>
      <c r="Z8" s="423">
        <f t="shared" si="13"/>
        <v>199922.31466666699</v>
      </c>
      <c r="AA8" s="435">
        <v>121027.951418667</v>
      </c>
      <c r="AB8" s="435">
        <f t="shared" si="15"/>
        <v>78894.363248000605</v>
      </c>
      <c r="AC8" s="435"/>
      <c r="AD8" s="435"/>
      <c r="AE8" s="435"/>
    </row>
    <row r="9" spans="1:31" ht="18.75">
      <c r="A9" s="420">
        <v>6</v>
      </c>
      <c r="B9" s="9" t="s">
        <v>30</v>
      </c>
      <c r="C9" s="421">
        <v>942373.16666666698</v>
      </c>
      <c r="D9" s="422">
        <v>12</v>
      </c>
      <c r="E9" s="423">
        <f t="shared" si="14"/>
        <v>11308478</v>
      </c>
      <c r="F9" s="423">
        <f>'[6]JANUARY 2024'!$V$10*12</f>
        <v>12795.951000000001</v>
      </c>
      <c r="G9" s="423">
        <v>731878.24</v>
      </c>
      <c r="H9" s="423"/>
      <c r="I9" s="423">
        <f t="shared" si="0"/>
        <v>10563803.809</v>
      </c>
      <c r="J9" s="423">
        <v>200000</v>
      </c>
      <c r="K9" s="423">
        <v>0.2</v>
      </c>
      <c r="L9" s="423">
        <f t="shared" si="1"/>
        <v>2112760.7618</v>
      </c>
      <c r="M9" s="423">
        <f t="shared" si="2"/>
        <v>2312760.7618</v>
      </c>
      <c r="N9" s="423">
        <f t="shared" si="3"/>
        <v>3057434.9528000001</v>
      </c>
      <c r="O9" s="423">
        <f t="shared" si="4"/>
        <v>8251043.0471999999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1212250.3313279999</v>
      </c>
      <c r="V9" s="423">
        <f t="shared" si="11"/>
        <v>1772250.3313279999</v>
      </c>
      <c r="W9" s="430">
        <v>12</v>
      </c>
      <c r="X9" s="423">
        <f t="shared" si="12"/>
        <v>147687.52761066667</v>
      </c>
      <c r="Y9" s="423"/>
      <c r="Z9" s="423">
        <f t="shared" si="13"/>
        <v>147687.52761066667</v>
      </c>
      <c r="AA9" s="435">
        <v>99703.216202666707</v>
      </c>
      <c r="AB9" s="435">
        <f t="shared" si="15"/>
        <v>47984.311407999965</v>
      </c>
      <c r="AC9" s="435"/>
      <c r="AD9" s="435"/>
      <c r="AE9" s="435"/>
    </row>
    <row r="10" spans="1:31" ht="18.75">
      <c r="A10" s="420">
        <v>7</v>
      </c>
      <c r="B10" s="12" t="s">
        <v>32</v>
      </c>
      <c r="C10" s="421">
        <f>1002373.16666667+100000</f>
        <v>1102373.16666667</v>
      </c>
      <c r="D10" s="422">
        <v>12</v>
      </c>
      <c r="E10" s="423">
        <f t="shared" si="14"/>
        <v>13228478</v>
      </c>
      <c r="F10" s="423">
        <f>'[6]JANUARY 2024'!$V$10*12</f>
        <v>12795.951000000001</v>
      </c>
      <c r="G10" s="423">
        <v>731878.24</v>
      </c>
      <c r="H10" s="423"/>
      <c r="I10" s="423">
        <f t="shared" si="0"/>
        <v>12483803.809</v>
      </c>
      <c r="J10" s="423">
        <v>200000</v>
      </c>
      <c r="K10" s="423">
        <v>0.2</v>
      </c>
      <c r="L10" s="423">
        <f t="shared" si="1"/>
        <v>2496760.7618</v>
      </c>
      <c r="M10" s="423">
        <f t="shared" si="2"/>
        <v>2696760.7618</v>
      </c>
      <c r="N10" s="423">
        <f t="shared" si="3"/>
        <v>3441434.9528000001</v>
      </c>
      <c r="O10" s="423">
        <f t="shared" si="4"/>
        <v>9787043.0471999999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1580890.3313279999</v>
      </c>
      <c r="V10" s="423">
        <f t="shared" si="11"/>
        <v>2140890.3313279999</v>
      </c>
      <c r="W10" s="430">
        <v>12</v>
      </c>
      <c r="X10" s="423">
        <f t="shared" si="12"/>
        <v>178407.52761066667</v>
      </c>
      <c r="Y10" s="423"/>
      <c r="Z10" s="423">
        <f t="shared" si="13"/>
        <v>178407.52761066667</v>
      </c>
      <c r="AA10" s="435">
        <v>111223.216202667</v>
      </c>
      <c r="AB10" s="435">
        <f t="shared" si="15"/>
        <v>67184.311407999674</v>
      </c>
      <c r="AC10" s="435"/>
      <c r="AD10" s="435"/>
      <c r="AE10" s="435"/>
    </row>
    <row r="11" spans="1:31" ht="18.75">
      <c r="A11" s="420">
        <v>8</v>
      </c>
      <c r="B11" s="16" t="s">
        <v>574</v>
      </c>
      <c r="C11" s="421">
        <f>952373.166666667+100000</f>
        <v>1052373.16666667</v>
      </c>
      <c r="D11" s="422">
        <v>12</v>
      </c>
      <c r="E11" s="423">
        <f t="shared" si="14"/>
        <v>12628478</v>
      </c>
      <c r="F11" s="423"/>
      <c r="G11" s="423">
        <v>0</v>
      </c>
      <c r="H11" s="423"/>
      <c r="I11" s="423">
        <f t="shared" si="0"/>
        <v>12628478</v>
      </c>
      <c r="J11" s="423">
        <v>200000</v>
      </c>
      <c r="K11" s="423">
        <v>0.2</v>
      </c>
      <c r="L11" s="423">
        <f t="shared" si="1"/>
        <v>2525695.6</v>
      </c>
      <c r="M11" s="423">
        <f t="shared" si="2"/>
        <v>2725695.6</v>
      </c>
      <c r="N11" s="423">
        <f t="shared" si="3"/>
        <v>2725695.6</v>
      </c>
      <c r="O11" s="423">
        <f t="shared" si="4"/>
        <v>9902782.4000000004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1608667.7760000001</v>
      </c>
      <c r="V11" s="423">
        <f t="shared" si="11"/>
        <v>2168667.7760000001</v>
      </c>
      <c r="W11" s="430">
        <v>12</v>
      </c>
      <c r="X11" s="423">
        <f t="shared" si="12"/>
        <v>180722.31466666699</v>
      </c>
      <c r="Y11" s="423"/>
      <c r="Z11" s="423">
        <f t="shared" si="13"/>
        <v>180722.31466666699</v>
      </c>
      <c r="AA11" s="435">
        <v>101827.951418667</v>
      </c>
      <c r="AB11" s="435">
        <f t="shared" si="15"/>
        <v>78894.363247999994</v>
      </c>
      <c r="AC11" s="435"/>
      <c r="AD11" s="435"/>
      <c r="AE11" s="435"/>
    </row>
    <row r="12" spans="1:31" ht="18.75">
      <c r="A12" s="420">
        <v>9</v>
      </c>
      <c r="B12" s="9" t="s">
        <v>34</v>
      </c>
      <c r="C12" s="421">
        <v>750675.58333333302</v>
      </c>
      <c r="D12" s="422">
        <v>12</v>
      </c>
      <c r="E12" s="423">
        <f t="shared" si="14"/>
        <v>9008107</v>
      </c>
      <c r="F12" s="423">
        <f>'[6]JANUARY 2024'!$V$13*12</f>
        <v>10052.25</v>
      </c>
      <c r="G12" s="423">
        <v>595848.56000000006</v>
      </c>
      <c r="H12" s="423"/>
      <c r="I12" s="423">
        <f t="shared" si="0"/>
        <v>8402206.1899999995</v>
      </c>
      <c r="J12" s="423">
        <v>200000</v>
      </c>
      <c r="K12" s="423">
        <v>0.2</v>
      </c>
      <c r="L12" s="423">
        <f t="shared" si="1"/>
        <v>1680441.2379999999</v>
      </c>
      <c r="M12" s="423">
        <f t="shared" si="2"/>
        <v>1880441.2379999999</v>
      </c>
      <c r="N12" s="423">
        <f t="shared" si="3"/>
        <v>2486342.048</v>
      </c>
      <c r="O12" s="423">
        <f t="shared" si="4"/>
        <v>6521764.9519999996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797223.58847999992</v>
      </c>
      <c r="V12" s="423">
        <f t="shared" si="11"/>
        <v>1357223.5884799999</v>
      </c>
      <c r="W12" s="430">
        <v>12</v>
      </c>
      <c r="X12" s="423">
        <f t="shared" si="12"/>
        <v>113101.96570666666</v>
      </c>
      <c r="Y12" s="423"/>
      <c r="Z12" s="423">
        <f t="shared" si="13"/>
        <v>113101.96570666666</v>
      </c>
      <c r="AA12" s="435">
        <v>74036.103146666705</v>
      </c>
      <c r="AB12" s="435">
        <f t="shared" si="15"/>
        <v>39065.86255999995</v>
      </c>
      <c r="AC12" s="435"/>
      <c r="AD12" s="435"/>
      <c r="AE12" s="435"/>
    </row>
    <row r="13" spans="1:31" ht="18.75">
      <c r="A13" s="420">
        <v>10</v>
      </c>
      <c r="B13" s="9" t="s">
        <v>37</v>
      </c>
      <c r="C13" s="421">
        <f>842118.083333333+100000</f>
        <v>942118.08333333302</v>
      </c>
      <c r="D13" s="422">
        <v>12</v>
      </c>
      <c r="E13" s="423">
        <f t="shared" si="14"/>
        <v>11305417</v>
      </c>
      <c r="F13" s="423">
        <f>'[6]JANUARY 2024'!$V$14*12</f>
        <v>9305.9519999999993</v>
      </c>
      <c r="G13" s="423">
        <v>558833.36</v>
      </c>
      <c r="H13" s="423"/>
      <c r="I13" s="423">
        <f t="shared" si="0"/>
        <v>10737277.688000001</v>
      </c>
      <c r="J13" s="423">
        <v>200000</v>
      </c>
      <c r="K13" s="423">
        <v>0.2</v>
      </c>
      <c r="L13" s="423">
        <f t="shared" si="1"/>
        <v>2147455.5376000004</v>
      </c>
      <c r="M13" s="423">
        <f t="shared" si="2"/>
        <v>2347455.5376000004</v>
      </c>
      <c r="N13" s="423">
        <f t="shared" si="3"/>
        <v>2915594.8496000003</v>
      </c>
      <c r="O13" s="423">
        <f t="shared" si="4"/>
        <v>8389822.1503999997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1245557.3160959999</v>
      </c>
      <c r="V13" s="423">
        <f t="shared" si="11"/>
        <v>1805557.3160959999</v>
      </c>
      <c r="W13" s="430">
        <v>12</v>
      </c>
      <c r="X13" s="423">
        <f t="shared" si="12"/>
        <v>150463.10967466666</v>
      </c>
      <c r="Y13" s="423"/>
      <c r="Z13" s="423">
        <f t="shared" si="13"/>
        <v>150463.10967466666</v>
      </c>
      <c r="AA13" s="435">
        <v>94625.782058666693</v>
      </c>
      <c r="AB13" s="435">
        <f t="shared" si="15"/>
        <v>55837.327615999966</v>
      </c>
      <c r="AC13" s="435"/>
      <c r="AD13" s="435"/>
      <c r="AE13" s="435"/>
    </row>
    <row r="14" spans="1:31" ht="18.75">
      <c r="A14" s="420">
        <v>11</v>
      </c>
      <c r="B14" s="9" t="s">
        <v>40</v>
      </c>
      <c r="C14" s="421">
        <v>554373.75</v>
      </c>
      <c r="D14" s="422">
        <v>12</v>
      </c>
      <c r="E14" s="423">
        <f t="shared" si="14"/>
        <v>6652485</v>
      </c>
      <c r="F14" s="423"/>
      <c r="G14" s="423">
        <v>464998.8</v>
      </c>
      <c r="H14" s="423"/>
      <c r="I14" s="423">
        <f t="shared" si="0"/>
        <v>6187486.2000000002</v>
      </c>
      <c r="J14" s="423">
        <v>200000</v>
      </c>
      <c r="K14" s="423">
        <v>0.2</v>
      </c>
      <c r="L14" s="423">
        <f t="shared" si="1"/>
        <v>1237497.24</v>
      </c>
      <c r="M14" s="423">
        <f t="shared" si="2"/>
        <v>1437497.24</v>
      </c>
      <c r="N14" s="423">
        <f t="shared" si="3"/>
        <v>1902496.04</v>
      </c>
      <c r="O14" s="423">
        <f t="shared" si="4"/>
        <v>4749988.96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336000</v>
      </c>
      <c r="U14" s="423">
        <f t="shared" si="10"/>
        <v>371997.3504</v>
      </c>
      <c r="V14" s="423">
        <f t="shared" si="11"/>
        <v>931997.3504</v>
      </c>
      <c r="W14" s="430">
        <v>12</v>
      </c>
      <c r="X14" s="423">
        <f t="shared" si="12"/>
        <v>77666.445866666705</v>
      </c>
      <c r="Y14" s="423"/>
      <c r="Z14" s="423">
        <f t="shared" si="13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43</v>
      </c>
      <c r="C15" s="421">
        <f>660498</f>
        <v>660498</v>
      </c>
      <c r="D15" s="422">
        <v>12</v>
      </c>
      <c r="E15" s="423">
        <f t="shared" si="14"/>
        <v>7925976</v>
      </c>
      <c r="F15" s="423"/>
      <c r="G15" s="424">
        <v>451678.08</v>
      </c>
      <c r="H15" s="423"/>
      <c r="I15" s="423">
        <f t="shared" si="0"/>
        <v>7474297.9199999999</v>
      </c>
      <c r="J15" s="423">
        <v>200000</v>
      </c>
      <c r="K15" s="423">
        <v>0.2</v>
      </c>
      <c r="L15" s="423">
        <f t="shared" si="1"/>
        <v>1494859.584</v>
      </c>
      <c r="M15" s="423">
        <f t="shared" si="2"/>
        <v>1694859.584</v>
      </c>
      <c r="N15" s="423">
        <f t="shared" si="3"/>
        <v>2146537.6639999999</v>
      </c>
      <c r="O15" s="423">
        <f t="shared" si="4"/>
        <v>5779438.3360000001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619065.20064000005</v>
      </c>
      <c r="V15" s="423">
        <f t="shared" si="11"/>
        <v>1179065.2006399999</v>
      </c>
      <c r="W15" s="430">
        <v>12</v>
      </c>
      <c r="X15" s="423">
        <f t="shared" si="12"/>
        <v>98255.4333866667</v>
      </c>
      <c r="Y15" s="423"/>
      <c r="Z15" s="423">
        <f t="shared" si="13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45</v>
      </c>
      <c r="C16" s="421">
        <f>732746.5+100000</f>
        <v>832746.5</v>
      </c>
      <c r="D16" s="422">
        <v>12</v>
      </c>
      <c r="E16" s="423">
        <f t="shared" si="14"/>
        <v>9992958</v>
      </c>
      <c r="F16" s="423"/>
      <c r="G16" s="423">
        <v>425036.64</v>
      </c>
      <c r="H16" s="423"/>
      <c r="I16" s="423">
        <f t="shared" si="0"/>
        <v>9567921.3599999994</v>
      </c>
      <c r="J16" s="423">
        <v>200000</v>
      </c>
      <c r="K16" s="423">
        <v>0.2</v>
      </c>
      <c r="L16" s="423">
        <f t="shared" si="1"/>
        <v>1913584.2720000001</v>
      </c>
      <c r="M16" s="423">
        <f t="shared" si="2"/>
        <v>2113584.2719999999</v>
      </c>
      <c r="N16" s="423">
        <f t="shared" si="3"/>
        <v>2538620.912</v>
      </c>
      <c r="O16" s="423">
        <f t="shared" si="4"/>
        <v>7454337.0880000005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1021040.9011200001</v>
      </c>
      <c r="V16" s="423">
        <f t="shared" si="11"/>
        <v>1581040.9011200001</v>
      </c>
      <c r="W16" s="430">
        <v>12</v>
      </c>
      <c r="X16" s="423">
        <f t="shared" si="12"/>
        <v>131753.40842666701</v>
      </c>
      <c r="Y16" s="423"/>
      <c r="Z16" s="423">
        <f t="shared" si="13"/>
        <v>131753.40842666701</v>
      </c>
      <c r="AA16" s="435">
        <v>46666.666666666701</v>
      </c>
      <c r="AB16" s="435">
        <f t="shared" si="15"/>
        <v>85086.741760000004</v>
      </c>
      <c r="AC16" s="435"/>
      <c r="AD16" s="435"/>
      <c r="AE16" s="435"/>
    </row>
    <row r="17" spans="1:31" ht="18.75">
      <c r="A17" s="420">
        <v>14</v>
      </c>
      <c r="B17" s="9" t="s">
        <v>48</v>
      </c>
      <c r="C17" s="421">
        <v>511804.91666666698</v>
      </c>
      <c r="D17" s="422">
        <v>12</v>
      </c>
      <c r="E17" s="423">
        <f t="shared" si="14"/>
        <v>6141659</v>
      </c>
      <c r="F17" s="423"/>
      <c r="G17" s="423">
        <v>424132.72</v>
      </c>
      <c r="H17" s="423"/>
      <c r="I17" s="423">
        <f t="shared" si="0"/>
        <v>5717526.2800000003</v>
      </c>
      <c r="J17" s="423">
        <v>200000</v>
      </c>
      <c r="K17" s="423">
        <v>0.2</v>
      </c>
      <c r="L17" s="423">
        <f t="shared" si="1"/>
        <v>1143505.2560000001</v>
      </c>
      <c r="M17" s="423">
        <f t="shared" si="2"/>
        <v>1343505.2560000001</v>
      </c>
      <c r="N17" s="423">
        <f t="shared" si="3"/>
        <v>1767637.976</v>
      </c>
      <c r="O17" s="423">
        <f t="shared" si="4"/>
        <v>4374021.0240000002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336000</v>
      </c>
      <c r="U17" s="423">
        <f t="shared" si="10"/>
        <v>281765.04576000001</v>
      </c>
      <c r="V17" s="423">
        <f t="shared" si="11"/>
        <v>841765.04576000001</v>
      </c>
      <c r="W17" s="430">
        <v>12</v>
      </c>
      <c r="X17" s="423">
        <f t="shared" si="12"/>
        <v>70147.087146666701</v>
      </c>
      <c r="Y17" s="423"/>
      <c r="Z17" s="423">
        <f t="shared" si="13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50</v>
      </c>
      <c r="C18" s="421">
        <v>548915.91666666698</v>
      </c>
      <c r="D18" s="422">
        <v>12</v>
      </c>
      <c r="E18" s="423">
        <f t="shared" si="14"/>
        <v>6586991</v>
      </c>
      <c r="F18" s="423"/>
      <c r="G18" s="423">
        <v>411759.28</v>
      </c>
      <c r="H18" s="423"/>
      <c r="I18" s="423">
        <f t="shared" si="0"/>
        <v>6175231.7199999997</v>
      </c>
      <c r="J18" s="423">
        <v>200000</v>
      </c>
      <c r="K18" s="423">
        <v>0.2</v>
      </c>
      <c r="L18" s="423">
        <f t="shared" si="1"/>
        <v>1235046.344</v>
      </c>
      <c r="M18" s="423">
        <f t="shared" si="2"/>
        <v>1435046.344</v>
      </c>
      <c r="N18" s="423">
        <f t="shared" si="3"/>
        <v>1846805.6240000001</v>
      </c>
      <c r="O18" s="423">
        <f t="shared" si="4"/>
        <v>4740185.3760000002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369644.49024000001</v>
      </c>
      <c r="V18" s="423">
        <f t="shared" si="11"/>
        <v>929644.49023999996</v>
      </c>
      <c r="W18" s="430">
        <v>12</v>
      </c>
      <c r="X18" s="423">
        <f t="shared" si="12"/>
        <v>77470.374186666697</v>
      </c>
      <c r="Y18" s="423"/>
      <c r="Z18" s="423">
        <f t="shared" si="13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53</v>
      </c>
      <c r="C19" s="421">
        <f>636026.916666667+100000</f>
        <v>736026.91666666698</v>
      </c>
      <c r="D19" s="422">
        <v>12</v>
      </c>
      <c r="E19" s="423">
        <f t="shared" si="14"/>
        <v>8832323</v>
      </c>
      <c r="F19" s="423">
        <f>618.53*12</f>
        <v>7422.36</v>
      </c>
      <c r="G19" s="423">
        <v>399385.84</v>
      </c>
      <c r="H19" s="423"/>
      <c r="I19" s="423">
        <f t="shared" si="0"/>
        <v>8425514.8000000007</v>
      </c>
      <c r="J19" s="423">
        <v>200000</v>
      </c>
      <c r="K19" s="423">
        <v>0.2</v>
      </c>
      <c r="L19" s="423">
        <f t="shared" si="1"/>
        <v>1685102.96</v>
      </c>
      <c r="M19" s="423">
        <f t="shared" si="2"/>
        <v>1885102.96</v>
      </c>
      <c r="N19" s="423">
        <f t="shared" si="3"/>
        <v>2291911.16</v>
      </c>
      <c r="O19" s="423">
        <f t="shared" si="4"/>
        <v>6540411.8399999999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801698.84160000097</v>
      </c>
      <c r="V19" s="423">
        <f t="shared" si="11"/>
        <v>1361698.8415999999</v>
      </c>
      <c r="W19" s="430">
        <v>12</v>
      </c>
      <c r="X19" s="423">
        <f t="shared" si="12"/>
        <v>113474.903466667</v>
      </c>
      <c r="Y19" s="423"/>
      <c r="Z19" s="423">
        <f t="shared" si="13"/>
        <v>113474.903466667</v>
      </c>
      <c r="AA19" s="435">
        <v>46666.666666666701</v>
      </c>
      <c r="AB19" s="435">
        <f t="shared" si="15"/>
        <v>66808.236799999999</v>
      </c>
      <c r="AC19" s="435"/>
      <c r="AD19" s="435"/>
      <c r="AE19" s="435"/>
    </row>
    <row r="20" spans="1:31" ht="18.75">
      <c r="A20" s="420">
        <v>17</v>
      </c>
      <c r="B20" s="9" t="s">
        <v>60</v>
      </c>
      <c r="C20" s="421">
        <v>537895.16666666698</v>
      </c>
      <c r="D20" s="422">
        <v>12</v>
      </c>
      <c r="E20" s="423">
        <f t="shared" si="14"/>
        <v>6454742</v>
      </c>
      <c r="F20" s="423"/>
      <c r="G20" s="423">
        <v>362779.36</v>
      </c>
      <c r="H20" s="423"/>
      <c r="I20" s="423">
        <f t="shared" si="0"/>
        <v>6091962.6399999997</v>
      </c>
      <c r="J20" s="423">
        <v>200000</v>
      </c>
      <c r="K20" s="423">
        <v>0.2</v>
      </c>
      <c r="L20" s="423">
        <f t="shared" si="1"/>
        <v>1218392.5279999999</v>
      </c>
      <c r="M20" s="423">
        <f t="shared" si="2"/>
        <v>1418392.5279999999</v>
      </c>
      <c r="N20" s="423">
        <f t="shared" si="3"/>
        <v>1781171.888</v>
      </c>
      <c r="O20" s="423">
        <f t="shared" si="4"/>
        <v>4673570.1119999997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353656.82688000001</v>
      </c>
      <c r="V20" s="423">
        <f t="shared" si="11"/>
        <v>913656.82687999995</v>
      </c>
      <c r="W20" s="430">
        <v>12</v>
      </c>
      <c r="X20" s="423">
        <f t="shared" si="12"/>
        <v>76138.068906666696</v>
      </c>
      <c r="Y20" s="423"/>
      <c r="Z20" s="423">
        <f t="shared" si="13"/>
        <v>76138.068906666696</v>
      </c>
      <c r="AA20" s="435">
        <v>52497.770378666602</v>
      </c>
      <c r="AB20" s="435">
        <f t="shared" si="15"/>
        <v>23640.298527999999</v>
      </c>
      <c r="AC20" s="435"/>
      <c r="AD20" s="435"/>
      <c r="AE20" s="435"/>
    </row>
    <row r="21" spans="1:31" ht="18.75">
      <c r="A21" s="420">
        <v>18</v>
      </c>
      <c r="B21" s="12" t="s">
        <v>63</v>
      </c>
      <c r="C21" s="421">
        <f>553512.5+100000</f>
        <v>653512.5</v>
      </c>
      <c r="D21" s="422">
        <v>12</v>
      </c>
      <c r="E21" s="423">
        <f t="shared" si="14"/>
        <v>7842150</v>
      </c>
      <c r="F21" s="423"/>
      <c r="G21" s="423">
        <v>339372</v>
      </c>
      <c r="H21" s="423"/>
      <c r="I21" s="423">
        <f t="shared" si="0"/>
        <v>7502778</v>
      </c>
      <c r="J21" s="423">
        <v>200000</v>
      </c>
      <c r="K21" s="423">
        <v>0.2</v>
      </c>
      <c r="L21" s="423">
        <f t="shared" si="1"/>
        <v>1500555.6</v>
      </c>
      <c r="M21" s="423">
        <f t="shared" si="2"/>
        <v>1700555.6</v>
      </c>
      <c r="N21" s="423">
        <f t="shared" si="3"/>
        <v>2039927.6</v>
      </c>
      <c r="O21" s="423">
        <f t="shared" si="4"/>
        <v>5802222.4000000004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624533.37600000005</v>
      </c>
      <c r="V21" s="423">
        <f t="shared" si="11"/>
        <v>1184533.3759999999</v>
      </c>
      <c r="W21" s="430">
        <v>12</v>
      </c>
      <c r="X21" s="423">
        <f t="shared" si="12"/>
        <v>98711.114666666705</v>
      </c>
      <c r="Y21" s="423"/>
      <c r="Z21" s="423">
        <f t="shared" si="13"/>
        <v>98711.114666666705</v>
      </c>
      <c r="AA21" s="435">
        <v>46666.666666666701</v>
      </c>
      <c r="AB21" s="435">
        <f t="shared" si="15"/>
        <v>52044.447999999997</v>
      </c>
      <c r="AC21" s="435"/>
      <c r="AD21" s="435"/>
      <c r="AE21" s="435"/>
    </row>
    <row r="22" spans="1:31" ht="18.75">
      <c r="A22" s="420">
        <v>19</v>
      </c>
      <c r="B22" s="9" t="s">
        <v>66</v>
      </c>
      <c r="C22" s="421">
        <v>463512.5</v>
      </c>
      <c r="D22" s="422">
        <v>12</v>
      </c>
      <c r="E22" s="423">
        <f t="shared" si="14"/>
        <v>5562150</v>
      </c>
      <c r="F22" s="423"/>
      <c r="G22" s="423">
        <v>339372</v>
      </c>
      <c r="H22" s="423"/>
      <c r="I22" s="423">
        <f t="shared" si="0"/>
        <v>5222778</v>
      </c>
      <c r="J22" s="423">
        <v>200000</v>
      </c>
      <c r="K22" s="423">
        <v>0.2</v>
      </c>
      <c r="L22" s="423">
        <f t="shared" si="1"/>
        <v>1044555.6</v>
      </c>
      <c r="M22" s="423">
        <f t="shared" si="2"/>
        <v>1244555.6000000001</v>
      </c>
      <c r="N22" s="423">
        <f t="shared" si="3"/>
        <v>1583927.6</v>
      </c>
      <c r="O22" s="423">
        <f t="shared" si="4"/>
        <v>3978222.4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336000</v>
      </c>
      <c r="U22" s="423">
        <f t="shared" si="10"/>
        <v>186773.37599999999</v>
      </c>
      <c r="V22" s="423">
        <f t="shared" si="11"/>
        <v>746773.37600000005</v>
      </c>
      <c r="W22" s="430">
        <v>12</v>
      </c>
      <c r="X22" s="423">
        <f t="shared" si="12"/>
        <v>62231.114666666697</v>
      </c>
      <c r="Y22" s="423"/>
      <c r="Z22" s="423">
        <f t="shared" si="13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68</v>
      </c>
      <c r="C23" s="421">
        <f>453029.666666667+100000</f>
        <v>553029.66666666698</v>
      </c>
      <c r="D23" s="422">
        <v>12</v>
      </c>
      <c r="E23" s="423">
        <f t="shared" si="14"/>
        <v>6636356</v>
      </c>
      <c r="F23" s="423"/>
      <c r="G23" s="423">
        <v>281308.48</v>
      </c>
      <c r="H23" s="423"/>
      <c r="I23" s="423">
        <f t="shared" si="0"/>
        <v>6355047.5199999996</v>
      </c>
      <c r="J23" s="423">
        <v>200000</v>
      </c>
      <c r="K23" s="423">
        <v>0.2</v>
      </c>
      <c r="L23" s="423">
        <f t="shared" si="1"/>
        <v>1271009.504</v>
      </c>
      <c r="M23" s="423">
        <f t="shared" si="2"/>
        <v>1471009.504</v>
      </c>
      <c r="N23" s="423">
        <f t="shared" si="3"/>
        <v>1752317.9839999999</v>
      </c>
      <c r="O23" s="423">
        <f t="shared" si="4"/>
        <v>4884038.0159999998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336000</v>
      </c>
      <c r="U23" s="423">
        <f t="shared" si="10"/>
        <v>404169.123840001</v>
      </c>
      <c r="V23" s="423">
        <f t="shared" si="11"/>
        <v>964169.12384000095</v>
      </c>
      <c r="W23" s="430">
        <v>12</v>
      </c>
      <c r="X23" s="423">
        <f t="shared" si="12"/>
        <v>80347.426986666702</v>
      </c>
      <c r="Y23" s="423"/>
      <c r="Z23" s="423">
        <f t="shared" si="13"/>
        <v>80347.426986666702</v>
      </c>
      <c r="AA23" s="435">
        <v>42371.815728666697</v>
      </c>
      <c r="AB23" s="435">
        <f t="shared" si="15"/>
        <v>37975.611257999997</v>
      </c>
      <c r="AC23" s="435"/>
      <c r="AD23" s="435"/>
      <c r="AE23" s="435"/>
    </row>
    <row r="24" spans="1:31" ht="18.75">
      <c r="A24" s="420">
        <v>21</v>
      </c>
      <c r="B24" s="2" t="s">
        <v>73</v>
      </c>
      <c r="C24" s="421">
        <v>330481.66666666698</v>
      </c>
      <c r="D24" s="422">
        <v>12</v>
      </c>
      <c r="E24" s="423">
        <f t="shared" si="14"/>
        <v>3965780</v>
      </c>
      <c r="F24" s="423"/>
      <c r="G24" s="423">
        <v>259662.4</v>
      </c>
      <c r="H24" s="423"/>
      <c r="I24" s="423">
        <f t="shared" si="0"/>
        <v>3706117.6</v>
      </c>
      <c r="J24" s="423">
        <v>200000</v>
      </c>
      <c r="K24" s="423">
        <v>0.2</v>
      </c>
      <c r="L24" s="423">
        <f t="shared" si="1"/>
        <v>741223.52</v>
      </c>
      <c r="M24" s="423">
        <f t="shared" si="2"/>
        <v>941223.52</v>
      </c>
      <c r="N24" s="423">
        <f t="shared" si="3"/>
        <v>1200885.92</v>
      </c>
      <c r="O24" s="423">
        <f t="shared" si="4"/>
        <v>2764894.08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244627.7568</v>
      </c>
      <c r="U24" s="423"/>
      <c r="V24" s="423">
        <f t="shared" si="11"/>
        <v>468627.75679999997</v>
      </c>
      <c r="W24" s="430">
        <v>12</v>
      </c>
      <c r="X24" s="423">
        <f t="shared" si="12"/>
        <v>39052.313066666698</v>
      </c>
      <c r="Y24" s="423"/>
      <c r="Z24" s="423">
        <f t="shared" si="13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76</v>
      </c>
      <c r="C25" s="421">
        <v>330481.66666666698</v>
      </c>
      <c r="D25" s="422">
        <v>12</v>
      </c>
      <c r="E25" s="423">
        <f t="shared" si="14"/>
        <v>3965780</v>
      </c>
      <c r="F25" s="423"/>
      <c r="G25" s="423">
        <v>259662.4</v>
      </c>
      <c r="H25" s="423"/>
      <c r="I25" s="423">
        <f t="shared" si="0"/>
        <v>3706117.6</v>
      </c>
      <c r="J25" s="423">
        <v>200000</v>
      </c>
      <c r="K25" s="423">
        <v>0.2</v>
      </c>
      <c r="L25" s="423">
        <f t="shared" si="1"/>
        <v>741223.52</v>
      </c>
      <c r="M25" s="423">
        <f t="shared" si="2"/>
        <v>941223.52</v>
      </c>
      <c r="N25" s="423">
        <f t="shared" si="3"/>
        <v>1200885.92</v>
      </c>
      <c r="O25" s="423">
        <f t="shared" si="4"/>
        <v>2764894.08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244627.7568</v>
      </c>
      <c r="U25" s="423"/>
      <c r="V25" s="423">
        <f t="shared" si="11"/>
        <v>468627.75679999997</v>
      </c>
      <c r="W25" s="430">
        <v>12</v>
      </c>
      <c r="X25" s="423">
        <f t="shared" si="12"/>
        <v>39052.313066666698</v>
      </c>
      <c r="Y25" s="423"/>
      <c r="Z25" s="423">
        <f t="shared" si="13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77</v>
      </c>
      <c r="C26" s="421">
        <v>370481.66666666698</v>
      </c>
      <c r="D26" s="422">
        <v>12</v>
      </c>
      <c r="E26" s="423">
        <f t="shared" si="14"/>
        <v>4445780</v>
      </c>
      <c r="F26" s="423"/>
      <c r="G26" s="423">
        <v>259662.4</v>
      </c>
      <c r="H26" s="423"/>
      <c r="I26" s="423">
        <f t="shared" si="0"/>
        <v>4186117.6</v>
      </c>
      <c r="J26" s="423">
        <v>200000</v>
      </c>
      <c r="K26" s="423">
        <v>0.2</v>
      </c>
      <c r="L26" s="423">
        <f t="shared" si="1"/>
        <v>837223.52</v>
      </c>
      <c r="M26" s="423">
        <f t="shared" si="2"/>
        <v>1037223.52</v>
      </c>
      <c r="N26" s="423">
        <f t="shared" si="3"/>
        <v>1296885.92</v>
      </c>
      <c r="O26" s="423">
        <f t="shared" si="4"/>
        <v>3148894.08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325267.75679999997</v>
      </c>
      <c r="U26" s="423"/>
      <c r="V26" s="423">
        <f t="shared" si="11"/>
        <v>549267.75679999997</v>
      </c>
      <c r="W26" s="430">
        <v>12</v>
      </c>
      <c r="X26" s="423">
        <f t="shared" si="12"/>
        <v>45772.313066666698</v>
      </c>
      <c r="Y26" s="423"/>
      <c r="Z26" s="423">
        <f t="shared" si="13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78</v>
      </c>
      <c r="C27" s="421">
        <v>323165.33333333302</v>
      </c>
      <c r="D27" s="422">
        <v>12</v>
      </c>
      <c r="E27" s="423">
        <f t="shared" si="14"/>
        <v>3877984</v>
      </c>
      <c r="F27" s="423"/>
      <c r="G27" s="423">
        <v>252638.72</v>
      </c>
      <c r="H27" s="423"/>
      <c r="I27" s="423">
        <f t="shared" si="0"/>
        <v>3625345.28</v>
      </c>
      <c r="J27" s="423">
        <v>200000</v>
      </c>
      <c r="K27" s="423">
        <v>0.2</v>
      </c>
      <c r="L27" s="423">
        <f t="shared" ref="L27" si="16">I27*K27</f>
        <v>725069.05599999998</v>
      </c>
      <c r="M27" s="423">
        <f t="shared" ref="M27" si="17">J27+L27</f>
        <v>925069.05599999998</v>
      </c>
      <c r="N27" s="423">
        <f t="shared" si="3"/>
        <v>1177707.7760000001</v>
      </c>
      <c r="O27" s="423">
        <f t="shared" si="4"/>
        <v>2700276.2239999999</v>
      </c>
      <c r="P27" s="423">
        <f t="shared" ref="P27" si="18">IF(O27&lt;300000,0.07*O27,21000)</f>
        <v>21000</v>
      </c>
      <c r="Q27" s="423">
        <f t="shared" ref="Q27" si="19">IF((O27-300000)&lt;0,0,IF((O27-300000)&lt;300000,0.11*(O27-300000),33000))</f>
        <v>33000</v>
      </c>
      <c r="R27" s="423">
        <f t="shared" ref="R27" si="20">IF((O27-600000)&lt;0,0,IF((O27-600000)&lt;500000,0.15*(O27-600000),75000))</f>
        <v>75000</v>
      </c>
      <c r="S27" s="423">
        <f t="shared" ref="S27" si="21">IF((O27-1100000)&lt;0,0,IF((O27-1100000)&lt;500000,0.19*(O27-1100000),95000))</f>
        <v>95000</v>
      </c>
      <c r="T27" s="423">
        <f t="shared" ref="T27" si="22">IF((O27-1600000)&lt;0,0,IF((O27-1600000)&lt;1600000,0.21*(O27-1600000),336000))</f>
        <v>231058.00704</v>
      </c>
      <c r="U27" s="423"/>
      <c r="V27" s="423">
        <f t="shared" ref="V27" si="23">P27+Q27+R27+S27+T27+U27</f>
        <v>455058.00704</v>
      </c>
      <c r="W27" s="430">
        <v>12</v>
      </c>
      <c r="X27" s="423">
        <f t="shared" ref="X27" si="24">V27/W27</f>
        <v>37921.500586666698</v>
      </c>
      <c r="Y27" s="423"/>
      <c r="Z27" s="423">
        <f t="shared" ref="Z27" si="25">X27</f>
        <v>37921.500586666698</v>
      </c>
      <c r="AA27" s="435">
        <v>22338.4826046667</v>
      </c>
      <c r="AB27" s="435">
        <f t="shared" si="15"/>
        <v>15583.017981999999</v>
      </c>
      <c r="AC27" s="435"/>
      <c r="AD27" s="435"/>
      <c r="AE27" s="435"/>
    </row>
    <row r="28" spans="1:31" ht="18.75">
      <c r="A28" s="420">
        <v>25</v>
      </c>
      <c r="B28" s="16" t="s">
        <v>81</v>
      </c>
      <c r="C28" s="421">
        <v>315849</v>
      </c>
      <c r="D28" s="422">
        <v>12</v>
      </c>
      <c r="E28" s="423">
        <f t="shared" si="14"/>
        <v>3790188</v>
      </c>
      <c r="F28" s="423"/>
      <c r="G28" s="423">
        <v>245615.04</v>
      </c>
      <c r="H28" s="423"/>
      <c r="I28" s="423">
        <f t="shared" si="0"/>
        <v>3544572.96</v>
      </c>
      <c r="J28" s="423">
        <v>200000</v>
      </c>
      <c r="K28" s="423">
        <v>0.2</v>
      </c>
      <c r="L28" s="423">
        <f t="shared" si="1"/>
        <v>708914.59199999995</v>
      </c>
      <c r="M28" s="423">
        <f t="shared" si="2"/>
        <v>908914.59199999995</v>
      </c>
      <c r="N28" s="423">
        <f t="shared" si="3"/>
        <v>1154529.632</v>
      </c>
      <c r="O28" s="423">
        <f t="shared" si="4"/>
        <v>2635658.3679999998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217488.25727999999</v>
      </c>
      <c r="U28" s="423"/>
      <c r="V28" s="423">
        <f t="shared" si="11"/>
        <v>441488.25728000002</v>
      </c>
      <c r="W28" s="430">
        <v>12</v>
      </c>
      <c r="X28" s="423">
        <f t="shared" si="12"/>
        <v>36790.688106666697</v>
      </c>
      <c r="Y28" s="423"/>
      <c r="Z28" s="423">
        <f t="shared" si="13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84</v>
      </c>
      <c r="C29" s="421">
        <v>315849</v>
      </c>
      <c r="D29" s="422">
        <v>12</v>
      </c>
      <c r="E29" s="423">
        <f t="shared" si="14"/>
        <v>3790188</v>
      </c>
      <c r="F29" s="423"/>
      <c r="G29" s="423">
        <v>245615.04</v>
      </c>
      <c r="H29" s="423"/>
      <c r="I29" s="423">
        <f t="shared" si="0"/>
        <v>3544572.96</v>
      </c>
      <c r="J29" s="423">
        <v>200000</v>
      </c>
      <c r="K29" s="423">
        <v>0.2</v>
      </c>
      <c r="L29" s="423">
        <f t="shared" si="1"/>
        <v>708914.59199999995</v>
      </c>
      <c r="M29" s="423">
        <f t="shared" si="2"/>
        <v>908914.59199999995</v>
      </c>
      <c r="N29" s="423">
        <f t="shared" si="3"/>
        <v>1154529.632</v>
      </c>
      <c r="O29" s="423">
        <f t="shared" si="4"/>
        <v>2635658.3679999998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217488.25727999999</v>
      </c>
      <c r="U29" s="423"/>
      <c r="V29" s="423">
        <f t="shared" si="11"/>
        <v>441488.25728000002</v>
      </c>
      <c r="W29" s="430">
        <v>12</v>
      </c>
      <c r="X29" s="423">
        <f t="shared" si="12"/>
        <v>36790.688106666697</v>
      </c>
      <c r="Y29" s="423"/>
      <c r="Z29" s="423">
        <f t="shared" si="13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85</v>
      </c>
      <c r="C30" s="421">
        <v>330481.66666666698</v>
      </c>
      <c r="D30" s="422">
        <v>12</v>
      </c>
      <c r="E30" s="423">
        <f t="shared" si="14"/>
        <v>3965780</v>
      </c>
      <c r="F30" s="423"/>
      <c r="G30" s="423">
        <v>259662.4</v>
      </c>
      <c r="H30" s="423"/>
      <c r="I30" s="423">
        <f t="shared" si="0"/>
        <v>3706117.6</v>
      </c>
      <c r="J30" s="423">
        <v>200000</v>
      </c>
      <c r="K30" s="423">
        <v>0.2</v>
      </c>
      <c r="L30" s="423">
        <f t="shared" si="1"/>
        <v>741223.52</v>
      </c>
      <c r="M30" s="423">
        <f t="shared" si="2"/>
        <v>941223.52</v>
      </c>
      <c r="N30" s="423">
        <f t="shared" si="3"/>
        <v>1200885.92</v>
      </c>
      <c r="O30" s="423">
        <f t="shared" si="4"/>
        <v>2764894.08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244627.7568</v>
      </c>
      <c r="U30" s="423"/>
      <c r="V30" s="423">
        <f t="shared" si="11"/>
        <v>468627.75679999997</v>
      </c>
      <c r="W30" s="430">
        <v>12</v>
      </c>
      <c r="X30" s="423">
        <f t="shared" si="12"/>
        <v>39052.313066666698</v>
      </c>
      <c r="Y30" s="423"/>
      <c r="Z30" s="423">
        <f t="shared" si="13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88</v>
      </c>
      <c r="C31" s="421">
        <v>280631.91666666698</v>
      </c>
      <c r="D31" s="422">
        <v>12</v>
      </c>
      <c r="E31" s="423">
        <f t="shared" si="14"/>
        <v>3367583</v>
      </c>
      <c r="F31" s="423"/>
      <c r="G31" s="424">
        <v>221406.64</v>
      </c>
      <c r="H31" s="423"/>
      <c r="I31" s="423">
        <f t="shared" si="0"/>
        <v>3146176.36</v>
      </c>
      <c r="J31" s="423">
        <v>200000</v>
      </c>
      <c r="K31" s="423">
        <v>0.2</v>
      </c>
      <c r="L31" s="423">
        <f t="shared" si="1"/>
        <v>629235.272</v>
      </c>
      <c r="M31" s="423">
        <f t="shared" si="2"/>
        <v>829235.272</v>
      </c>
      <c r="N31" s="423">
        <f t="shared" si="3"/>
        <v>1050641.912</v>
      </c>
      <c r="O31" s="423">
        <f t="shared" si="4"/>
        <v>2316941.088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95000</v>
      </c>
      <c r="T31" s="423">
        <f t="shared" si="9"/>
        <v>150557.62848000001</v>
      </c>
      <c r="U31" s="423"/>
      <c r="V31" s="423">
        <f t="shared" si="11"/>
        <v>374557.62848000001</v>
      </c>
      <c r="W31" s="430">
        <v>12</v>
      </c>
      <c r="X31" s="423">
        <f t="shared" si="12"/>
        <v>31213.135706666701</v>
      </c>
      <c r="Y31" s="423"/>
      <c r="Z31" s="423">
        <f t="shared" si="13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90</v>
      </c>
      <c r="C32" s="421">
        <v>274459.75</v>
      </c>
      <c r="D32" s="422">
        <v>12</v>
      </c>
      <c r="E32" s="423">
        <f t="shared" si="14"/>
        <v>3293517</v>
      </c>
      <c r="F32" s="423"/>
      <c r="G32" s="424">
        <f>17956.78*12</f>
        <v>215481.36</v>
      </c>
      <c r="H32" s="423"/>
      <c r="I32" s="423">
        <f t="shared" si="0"/>
        <v>3078035.64</v>
      </c>
      <c r="J32" s="423">
        <v>200000</v>
      </c>
      <c r="K32" s="423">
        <v>0.2</v>
      </c>
      <c r="L32" s="423">
        <f t="shared" si="1"/>
        <v>615607.12800000003</v>
      </c>
      <c r="M32" s="423">
        <f t="shared" si="2"/>
        <v>815607.12800000003</v>
      </c>
      <c r="N32" s="423">
        <f t="shared" si="3"/>
        <v>1031088.488</v>
      </c>
      <c r="O32" s="423">
        <f t="shared" si="4"/>
        <v>2262428.5120000001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95000</v>
      </c>
      <c r="T32" s="423">
        <f t="shared" si="9"/>
        <v>139109.98752</v>
      </c>
      <c r="U32" s="423"/>
      <c r="V32" s="423">
        <f t="shared" si="11"/>
        <v>363109.98752000002</v>
      </c>
      <c r="W32" s="430">
        <v>12</v>
      </c>
      <c r="X32" s="423">
        <f t="shared" si="12"/>
        <v>30259.165626666701</v>
      </c>
      <c r="Y32" s="423"/>
      <c r="Z32" s="423">
        <f t="shared" si="13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97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435"/>
      <c r="AB34" s="435"/>
      <c r="AC34" s="435"/>
      <c r="AD34" s="435"/>
      <c r="AE34" s="435"/>
    </row>
    <row r="35" spans="1:31" ht="18.75">
      <c r="A35" s="420"/>
      <c r="B35" s="16" t="s">
        <v>98</v>
      </c>
      <c r="C35" s="427">
        <v>1535720</v>
      </c>
      <c r="D35" s="423">
        <v>12</v>
      </c>
      <c r="E35" s="423">
        <f>C35*D35</f>
        <v>18428640</v>
      </c>
      <c r="F35" s="423"/>
      <c r="G35" s="424">
        <v>1378291.2</v>
      </c>
      <c r="H35" s="423"/>
      <c r="I35" s="423">
        <f>E35-F35-G35-H35</f>
        <v>17050348.800000001</v>
      </c>
      <c r="J35" s="423">
        <v>200000</v>
      </c>
      <c r="K35" s="423">
        <v>0.2</v>
      </c>
      <c r="L35" s="423">
        <f>I35*K35</f>
        <v>3410069.76</v>
      </c>
      <c r="M35" s="423">
        <f>J35+L35</f>
        <v>3610069.76</v>
      </c>
      <c r="N35" s="423">
        <f>F35+G35+H35+M35</f>
        <v>4988360.96</v>
      </c>
      <c r="O35" s="423">
        <f>E35-N35</f>
        <v>13440279.039999999</v>
      </c>
      <c r="P35" s="423">
        <f t="shared" si="5"/>
        <v>21000</v>
      </c>
      <c r="Q35" s="423">
        <f t="shared" ref="Q35:Q37" si="26">IF((O35-300000)&lt;0,0,IF((O35-300000)&lt;300000,0.11*(O35-300000),33000))</f>
        <v>33000</v>
      </c>
      <c r="R35" s="423">
        <f t="shared" ref="R35:R37" si="27">IF((O35-600000)&lt;0,0,IF((O35-600000)&lt;500000,0.15*(O35-600000),75000))</f>
        <v>75000</v>
      </c>
      <c r="S35" s="423">
        <f t="shared" ref="S35:S37" si="28">IF((O35-1100000)&lt;0,0,IF((O35-1100000)&lt;500000,0.19*(O35-1100000),95000))</f>
        <v>95000</v>
      </c>
      <c r="T35" s="423">
        <f t="shared" ref="T35:T37" si="29">IF((O35-1600000)&lt;0,0,IF((O35-1600000)&lt;1600000,0.21*(O35-1600000),336000))</f>
        <v>336000</v>
      </c>
      <c r="U35" s="423">
        <f t="shared" si="10"/>
        <v>2457666.9696</v>
      </c>
      <c r="V35" s="423">
        <f>P35+Q35+R35+S35+T35+U35</f>
        <v>3017666.9696</v>
      </c>
      <c r="W35" s="423">
        <v>12</v>
      </c>
      <c r="X35" s="423">
        <f>V35/W35</f>
        <v>251472.247466667</v>
      </c>
      <c r="Y35" s="423"/>
      <c r="Z35" s="423">
        <f>X35</f>
        <v>251472.247466667</v>
      </c>
      <c r="AA35" s="423">
        <v>161106.806858667</v>
      </c>
      <c r="AB35" s="423">
        <f>Z35-AA35</f>
        <v>90365.440607999903</v>
      </c>
      <c r="AC35" s="435"/>
      <c r="AD35" s="435"/>
      <c r="AE35" s="435"/>
    </row>
    <row r="36" spans="1:31" ht="18.75">
      <c r="A36" s="420"/>
      <c r="B36" s="16" t="s">
        <v>101</v>
      </c>
      <c r="C36" s="423">
        <v>353029.66666666698</v>
      </c>
      <c r="D36" s="422">
        <v>12</v>
      </c>
      <c r="E36" s="423">
        <f>C36*D36</f>
        <v>4236356</v>
      </c>
      <c r="F36" s="423"/>
      <c r="G36" s="424">
        <v>281308.48</v>
      </c>
      <c r="H36" s="423"/>
      <c r="I36" s="423">
        <f>E36-F36-G36-H36</f>
        <v>3955047.52</v>
      </c>
      <c r="J36" s="423">
        <v>200000</v>
      </c>
      <c r="K36" s="423">
        <v>0.2</v>
      </c>
      <c r="L36" s="423">
        <f>I36*K36</f>
        <v>791009.50399999996</v>
      </c>
      <c r="M36" s="423">
        <f>J36+L36</f>
        <v>991009.50399999996</v>
      </c>
      <c r="N36" s="423">
        <f>F36+G36+H36+M36</f>
        <v>1272317.9839999999</v>
      </c>
      <c r="O36" s="423">
        <f>E36-N36</f>
        <v>2964038.0159999998</v>
      </c>
      <c r="P36" s="423">
        <f t="shared" si="5"/>
        <v>21000</v>
      </c>
      <c r="Q36" s="423">
        <f t="shared" si="26"/>
        <v>33000</v>
      </c>
      <c r="R36" s="423">
        <f t="shared" si="27"/>
        <v>75000</v>
      </c>
      <c r="S36" s="423">
        <f t="shared" si="28"/>
        <v>95000</v>
      </c>
      <c r="T36" s="423">
        <f t="shared" si="29"/>
        <v>286447.98336000001</v>
      </c>
      <c r="U36" s="423"/>
      <c r="V36" s="423">
        <f>P36+Q36+R36+S36+T36+U36</f>
        <v>510447.98336000001</v>
      </c>
      <c r="W36" s="423">
        <v>12</v>
      </c>
      <c r="X36" s="423">
        <f>V36/W36</f>
        <v>42537.331946666702</v>
      </c>
      <c r="Y36" s="423"/>
      <c r="Z36" s="423">
        <f>X36</f>
        <v>42537.331946666702</v>
      </c>
      <c r="AA36" s="435">
        <v>17042.713866666702</v>
      </c>
      <c r="AB36" s="423">
        <f t="shared" ref="AB36:AB37" si="30">Z36-AA36</f>
        <v>25494.61808</v>
      </c>
      <c r="AC36" s="435"/>
      <c r="AD36" s="435"/>
      <c r="AE36" s="435"/>
    </row>
    <row r="37" spans="1:31" ht="18.75">
      <c r="A37" s="420">
        <v>33</v>
      </c>
      <c r="B37" s="9" t="s">
        <v>103</v>
      </c>
      <c r="C37" s="421">
        <v>360965.58333333302</v>
      </c>
      <c r="D37" s="422">
        <v>12</v>
      </c>
      <c r="E37" s="423">
        <f>C37*D37</f>
        <v>4331587</v>
      </c>
      <c r="F37" s="423"/>
      <c r="G37" s="424">
        <v>288926.96000000002</v>
      </c>
      <c r="H37" s="423"/>
      <c r="I37" s="423">
        <f>E37-F37-G37-H37</f>
        <v>4042660.04</v>
      </c>
      <c r="J37" s="423">
        <v>200000</v>
      </c>
      <c r="K37" s="423">
        <v>0.2</v>
      </c>
      <c r="L37" s="423">
        <f>I37*K37</f>
        <v>808532.00800000003</v>
      </c>
      <c r="M37" s="423">
        <f>J37+L37</f>
        <v>1008532.008</v>
      </c>
      <c r="N37" s="423">
        <f>F37+G37+H37+M37</f>
        <v>1297458.9680000001</v>
      </c>
      <c r="O37" s="423">
        <f>E37-N37</f>
        <v>3034128.0320000001</v>
      </c>
      <c r="P37" s="423">
        <f t="shared" si="5"/>
        <v>21000</v>
      </c>
      <c r="Q37" s="423">
        <f t="shared" si="26"/>
        <v>33000</v>
      </c>
      <c r="R37" s="423">
        <f t="shared" si="27"/>
        <v>75000</v>
      </c>
      <c r="S37" s="423">
        <f t="shared" si="28"/>
        <v>95000</v>
      </c>
      <c r="T37" s="423">
        <f t="shared" si="29"/>
        <v>301166.88672000001</v>
      </c>
      <c r="U37" s="423"/>
      <c r="V37" s="423">
        <f>P37+Q37+R37+S37+T37+U37</f>
        <v>525166.88671999995</v>
      </c>
      <c r="W37" s="423">
        <v>12</v>
      </c>
      <c r="X37" s="423">
        <f>V37/W37</f>
        <v>43763.907226666699</v>
      </c>
      <c r="Y37" s="423"/>
      <c r="Z37" s="423">
        <f>X37</f>
        <v>43763.907226666699</v>
      </c>
      <c r="AA37" s="435">
        <v>26339.0784066667</v>
      </c>
      <c r="AB37" s="423">
        <f t="shared" si="30"/>
        <v>17424.828819999999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21" t="s">
        <v>107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108</v>
      </c>
      <c r="C40" s="421">
        <v>1635720</v>
      </c>
      <c r="D40" s="422">
        <v>12</v>
      </c>
      <c r="E40" s="423">
        <f>C40*D40</f>
        <v>19628640</v>
      </c>
      <c r="F40" s="423"/>
      <c r="G40" s="424">
        <v>1378291.2</v>
      </c>
      <c r="H40" s="423"/>
      <c r="I40" s="423">
        <f t="shared" ref="I40:I50" si="31">E40-F40-G40-H40</f>
        <v>18250348.800000001</v>
      </c>
      <c r="J40" s="423">
        <v>200000</v>
      </c>
      <c r="K40" s="423">
        <v>0.2</v>
      </c>
      <c r="L40" s="423">
        <f>I40*K40</f>
        <v>3650069.76</v>
      </c>
      <c r="M40" s="423">
        <f>J40+L40</f>
        <v>3850069.76</v>
      </c>
      <c r="N40" s="423">
        <f t="shared" ref="N40:N50" si="32">F40+G40+H40+M40</f>
        <v>5228360.96</v>
      </c>
      <c r="O40" s="423">
        <f t="shared" ref="O40:O50" si="33">E40-N40</f>
        <v>14400279.039999999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2688066.9696</v>
      </c>
      <c r="V40" s="423">
        <f>P40+Q40+R40+S40+T40+U40</f>
        <v>3248066.9696</v>
      </c>
      <c r="W40" s="430">
        <v>12</v>
      </c>
      <c r="X40" s="423">
        <f>V40/W40</f>
        <v>270672.24746666697</v>
      </c>
      <c r="Y40" s="423"/>
      <c r="Z40" s="423">
        <f>X40</f>
        <v>270672.24746666697</v>
      </c>
      <c r="AA40" s="435">
        <v>180306.806858667</v>
      </c>
      <c r="AB40" s="435">
        <f>Z40-AA40</f>
        <v>90365.440607999903</v>
      </c>
      <c r="AC40" s="435"/>
      <c r="AD40" s="435"/>
      <c r="AE40" s="435"/>
    </row>
    <row r="41" spans="1:31" ht="18.75">
      <c r="A41" s="420">
        <v>36</v>
      </c>
      <c r="B41" s="9" t="s">
        <v>491</v>
      </c>
      <c r="C41" s="423">
        <v>780675.58333333302</v>
      </c>
      <c r="D41" s="422">
        <v>12</v>
      </c>
      <c r="E41" s="423">
        <f t="shared" ref="E41:E50" si="34">C41*D41</f>
        <v>9368107</v>
      </c>
      <c r="F41" s="426"/>
      <c r="G41" s="424">
        <v>595848.56000000006</v>
      </c>
      <c r="H41" s="426"/>
      <c r="I41" s="423">
        <f t="shared" si="31"/>
        <v>8772258.4399999995</v>
      </c>
      <c r="J41" s="423">
        <v>200000</v>
      </c>
      <c r="K41" s="423">
        <v>0.2</v>
      </c>
      <c r="L41" s="423">
        <f t="shared" si="1"/>
        <v>1754451.6880000001</v>
      </c>
      <c r="M41" s="423">
        <f t="shared" si="2"/>
        <v>1954451.6880000001</v>
      </c>
      <c r="N41" s="423">
        <f t="shared" si="32"/>
        <v>2550300.2480000001</v>
      </c>
      <c r="O41" s="423">
        <f t="shared" si="33"/>
        <v>6817806.7520000003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868273.62048000004</v>
      </c>
      <c r="V41" s="423">
        <f t="shared" si="11"/>
        <v>1428273.62048</v>
      </c>
      <c r="W41" s="430">
        <v>12</v>
      </c>
      <c r="X41" s="423">
        <f t="shared" si="12"/>
        <v>119022.801706667</v>
      </c>
      <c r="Y41" s="426"/>
      <c r="Z41" s="423">
        <f t="shared" si="13"/>
        <v>119022.801706667</v>
      </c>
      <c r="AA41" s="435">
        <v>79956.9391466667</v>
      </c>
      <c r="AB41" s="435">
        <f t="shared" ref="AB41:AB50" si="35">Z41-AA41</f>
        <v>39065.862560000001</v>
      </c>
      <c r="AC41" s="435"/>
      <c r="AD41" s="435"/>
      <c r="AE41" s="435"/>
    </row>
    <row r="42" spans="1:31" ht="18.75">
      <c r="A42" s="420">
        <v>37</v>
      </c>
      <c r="B42" s="9" t="s">
        <v>110</v>
      </c>
      <c r="C42" s="423">
        <v>919203.58333333302</v>
      </c>
      <c r="D42" s="422">
        <v>12</v>
      </c>
      <c r="E42" s="423">
        <f t="shared" si="34"/>
        <v>11030443</v>
      </c>
      <c r="F42" s="426"/>
      <c r="G42" s="424">
        <v>709635.44</v>
      </c>
      <c r="H42" s="426"/>
      <c r="I42" s="423">
        <f t="shared" si="31"/>
        <v>10320807.560000001</v>
      </c>
      <c r="J42" s="423">
        <v>200000</v>
      </c>
      <c r="K42" s="423">
        <v>0.2</v>
      </c>
      <c r="L42" s="423">
        <f t="shared" si="1"/>
        <v>2064161.5120000001</v>
      </c>
      <c r="M42" s="423">
        <f t="shared" si="2"/>
        <v>2264161.5120000001</v>
      </c>
      <c r="N42" s="423">
        <f t="shared" si="32"/>
        <v>2973796.952</v>
      </c>
      <c r="O42" s="423">
        <f t="shared" si="33"/>
        <v>8056646.0480000004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1165595.05152</v>
      </c>
      <c r="V42" s="423">
        <f t="shared" si="11"/>
        <v>1725595.05152</v>
      </c>
      <c r="W42" s="430">
        <v>12</v>
      </c>
      <c r="X42" s="423">
        <f t="shared" si="12"/>
        <v>143799.58762666699</v>
      </c>
      <c r="Y42" s="426"/>
      <c r="Z42" s="423">
        <f t="shared" si="13"/>
        <v>143799.58762666699</v>
      </c>
      <c r="AA42" s="435">
        <v>97273.513850666699</v>
      </c>
      <c r="AB42" s="435">
        <f t="shared" si="35"/>
        <v>46526.073775999997</v>
      </c>
      <c r="AC42" s="435"/>
      <c r="AD42" s="435"/>
      <c r="AE42" s="435"/>
    </row>
    <row r="43" spans="1:31" ht="18.75">
      <c r="A43" s="420">
        <v>38</v>
      </c>
      <c r="B43" s="9" t="s">
        <v>113</v>
      </c>
      <c r="C43" s="423">
        <v>780675.58333333302</v>
      </c>
      <c r="D43" s="422">
        <v>12</v>
      </c>
      <c r="E43" s="423">
        <f t="shared" si="34"/>
        <v>9368107</v>
      </c>
      <c r="F43" s="426"/>
      <c r="G43" s="424">
        <v>595848.56000000006</v>
      </c>
      <c r="H43" s="426"/>
      <c r="I43" s="423">
        <f t="shared" si="31"/>
        <v>8772258.4399999995</v>
      </c>
      <c r="J43" s="423">
        <v>200000</v>
      </c>
      <c r="K43" s="423">
        <v>0.2</v>
      </c>
      <c r="L43" s="423">
        <f t="shared" si="1"/>
        <v>1754451.6880000001</v>
      </c>
      <c r="M43" s="423">
        <f t="shared" si="2"/>
        <v>1954451.6880000001</v>
      </c>
      <c r="N43" s="423">
        <f t="shared" si="32"/>
        <v>2550300.2480000001</v>
      </c>
      <c r="O43" s="423">
        <f t="shared" si="33"/>
        <v>6817806.7520000003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868273.62048000004</v>
      </c>
      <c r="V43" s="423">
        <f t="shared" si="11"/>
        <v>1428273.62048</v>
      </c>
      <c r="W43" s="430">
        <v>12</v>
      </c>
      <c r="X43" s="423">
        <f t="shared" si="12"/>
        <v>119022.801706667</v>
      </c>
      <c r="Y43" s="426"/>
      <c r="Z43" s="423">
        <f t="shared" si="13"/>
        <v>119022.801706667</v>
      </c>
      <c r="AA43" s="435">
        <v>79956.9391466667</v>
      </c>
      <c r="AB43" s="435">
        <f t="shared" si="35"/>
        <v>39065.862560000001</v>
      </c>
      <c r="AC43" s="435"/>
      <c r="AD43" s="435"/>
      <c r="AE43" s="435"/>
    </row>
    <row r="44" spans="1:31" ht="18.75">
      <c r="A44" s="420">
        <v>39</v>
      </c>
      <c r="B44" s="9" t="s">
        <v>115</v>
      </c>
      <c r="C44" s="423">
        <v>780675.58333333302</v>
      </c>
      <c r="D44" s="422">
        <v>12</v>
      </c>
      <c r="E44" s="423">
        <f t="shared" si="34"/>
        <v>9368107</v>
      </c>
      <c r="F44" s="423">
        <f>'[6]JANUARY 2024'!$V$47*12</f>
        <v>10052.25</v>
      </c>
      <c r="G44" s="424">
        <v>595848.56000000006</v>
      </c>
      <c r="H44" s="426"/>
      <c r="I44" s="423">
        <f t="shared" si="31"/>
        <v>8762206.1899999995</v>
      </c>
      <c r="J44" s="423">
        <v>200000</v>
      </c>
      <c r="K44" s="423">
        <v>0.2</v>
      </c>
      <c r="L44" s="423">
        <f t="shared" si="1"/>
        <v>1752441.2379999999</v>
      </c>
      <c r="M44" s="423">
        <f t="shared" si="2"/>
        <v>1952441.2379999999</v>
      </c>
      <c r="N44" s="423">
        <f t="shared" si="32"/>
        <v>2558342.048</v>
      </c>
      <c r="O44" s="423">
        <f t="shared" si="33"/>
        <v>6809764.9519999996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866343.58847999992</v>
      </c>
      <c r="V44" s="423">
        <f t="shared" si="11"/>
        <v>1426343.5884799999</v>
      </c>
      <c r="W44" s="430">
        <v>12</v>
      </c>
      <c r="X44" s="423">
        <f t="shared" si="12"/>
        <v>118861.96570666666</v>
      </c>
      <c r="Y44" s="426"/>
      <c r="Z44" s="423">
        <f t="shared" si="13"/>
        <v>118861.96570666666</v>
      </c>
      <c r="AA44" s="435">
        <v>79796.103146666603</v>
      </c>
      <c r="AB44" s="435">
        <f t="shared" si="35"/>
        <v>39065.862560000052</v>
      </c>
      <c r="AC44" s="435"/>
      <c r="AD44" s="435"/>
      <c r="AE44" s="435"/>
    </row>
    <row r="45" spans="1:31" ht="18.75">
      <c r="A45" s="420">
        <v>40</v>
      </c>
      <c r="B45" s="9" t="s">
        <v>116</v>
      </c>
      <c r="C45" s="423">
        <v>742118.08333333302</v>
      </c>
      <c r="D45" s="422">
        <v>12</v>
      </c>
      <c r="E45" s="423">
        <f t="shared" si="34"/>
        <v>8905417</v>
      </c>
      <c r="F45" s="423"/>
      <c r="G45" s="424">
        <v>558833.36</v>
      </c>
      <c r="H45" s="426"/>
      <c r="I45" s="423">
        <f t="shared" si="31"/>
        <v>8346583.6399999997</v>
      </c>
      <c r="J45" s="423">
        <v>200000</v>
      </c>
      <c r="K45" s="423">
        <v>0.2</v>
      </c>
      <c r="L45" s="423">
        <f t="shared" si="1"/>
        <v>1669316.7279999999</v>
      </c>
      <c r="M45" s="423">
        <f t="shared" si="2"/>
        <v>1869316.7279999999</v>
      </c>
      <c r="N45" s="423">
        <f t="shared" si="32"/>
        <v>2428150.088</v>
      </c>
      <c r="O45" s="423">
        <f t="shared" si="33"/>
        <v>6477266.9119999995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786544.05888000003</v>
      </c>
      <c r="V45" s="423">
        <f t="shared" si="11"/>
        <v>1346544.0588799999</v>
      </c>
      <c r="W45" s="430">
        <v>12</v>
      </c>
      <c r="X45" s="423">
        <f t="shared" si="12"/>
        <v>112212.004906667</v>
      </c>
      <c r="Y45" s="426"/>
      <c r="Z45" s="423">
        <f t="shared" si="13"/>
        <v>112212.004906667</v>
      </c>
      <c r="AA45" s="435">
        <v>75572.915690666705</v>
      </c>
      <c r="AB45" s="435">
        <f t="shared" si="35"/>
        <v>36639.089216</v>
      </c>
      <c r="AC45" s="435"/>
      <c r="AD45" s="435"/>
      <c r="AE45" s="435"/>
    </row>
    <row r="46" spans="1:31" ht="18.75">
      <c r="A46" s="420">
        <v>41</v>
      </c>
      <c r="B46" s="12" t="s">
        <v>117</v>
      </c>
      <c r="C46" s="423">
        <v>610498</v>
      </c>
      <c r="D46" s="422">
        <v>12</v>
      </c>
      <c r="E46" s="423">
        <f t="shared" si="34"/>
        <v>7325976</v>
      </c>
      <c r="F46" s="423"/>
      <c r="G46" s="424">
        <v>451678.08</v>
      </c>
      <c r="H46" s="426"/>
      <c r="I46" s="423">
        <f t="shared" si="31"/>
        <v>6874297.9199999999</v>
      </c>
      <c r="J46" s="423">
        <v>200000</v>
      </c>
      <c r="K46" s="423">
        <v>0.2</v>
      </c>
      <c r="L46" s="423">
        <f t="shared" si="1"/>
        <v>1374859.584</v>
      </c>
      <c r="M46" s="423">
        <f t="shared" si="2"/>
        <v>1574859.584</v>
      </c>
      <c r="N46" s="423">
        <f t="shared" si="32"/>
        <v>2026537.6640000001</v>
      </c>
      <c r="O46" s="423">
        <f t="shared" si="33"/>
        <v>5299438.3360000001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503865.20064</v>
      </c>
      <c r="V46" s="423">
        <f t="shared" si="11"/>
        <v>1063865.2006399999</v>
      </c>
      <c r="W46" s="430">
        <v>12</v>
      </c>
      <c r="X46" s="423">
        <f t="shared" si="12"/>
        <v>88655.4333866667</v>
      </c>
      <c r="Y46" s="426"/>
      <c r="Z46" s="423">
        <f t="shared" si="13"/>
        <v>88655.4333866667</v>
      </c>
      <c r="AA46" s="435">
        <v>58026.609434666701</v>
      </c>
      <c r="AB46" s="435">
        <f t="shared" si="3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118</v>
      </c>
      <c r="C47" s="423">
        <v>400965.58333333302</v>
      </c>
      <c r="D47" s="422">
        <v>12</v>
      </c>
      <c r="E47" s="423">
        <f t="shared" si="34"/>
        <v>4811587</v>
      </c>
      <c r="F47" s="423"/>
      <c r="G47" s="424">
        <v>288926.96000000002</v>
      </c>
      <c r="H47" s="426"/>
      <c r="I47" s="423">
        <f t="shared" si="31"/>
        <v>4522660.04</v>
      </c>
      <c r="J47" s="423">
        <v>200000</v>
      </c>
      <c r="K47" s="423">
        <v>0.2</v>
      </c>
      <c r="L47" s="423">
        <f t="shared" si="1"/>
        <v>904532.00800000003</v>
      </c>
      <c r="M47" s="423">
        <f t="shared" si="2"/>
        <v>1104532.0079999999</v>
      </c>
      <c r="N47" s="423">
        <f t="shared" si="32"/>
        <v>1393458.9680000001</v>
      </c>
      <c r="O47" s="423">
        <f t="shared" si="33"/>
        <v>3418128.0320000001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336000</v>
      </c>
      <c r="U47" s="423">
        <f t="shared" si="10"/>
        <v>52350.727680000004</v>
      </c>
      <c r="V47" s="423">
        <f t="shared" si="11"/>
        <v>612350.72768000001</v>
      </c>
      <c r="W47" s="430">
        <v>12</v>
      </c>
      <c r="X47" s="423">
        <f t="shared" si="12"/>
        <v>51029.227306666697</v>
      </c>
      <c r="Y47" s="426"/>
      <c r="Z47" s="423">
        <f t="shared" si="13"/>
        <v>51029.227306666697</v>
      </c>
      <c r="AA47" s="435">
        <v>33059.078406666697</v>
      </c>
      <c r="AB47" s="435">
        <f t="shared" si="35"/>
        <v>17970.1489</v>
      </c>
      <c r="AC47" s="435"/>
      <c r="AD47" s="435"/>
      <c r="AE47" s="435"/>
    </row>
    <row r="48" spans="1:31" ht="18.75">
      <c r="A48" s="420">
        <v>43</v>
      </c>
      <c r="B48" s="9" t="s">
        <v>120</v>
      </c>
      <c r="C48" s="423">
        <v>363165.33333333302</v>
      </c>
      <c r="D48" s="422">
        <v>12</v>
      </c>
      <c r="E48" s="423">
        <f t="shared" si="34"/>
        <v>4357984</v>
      </c>
      <c r="F48" s="423"/>
      <c r="G48" s="424">
        <v>252638.72</v>
      </c>
      <c r="H48" s="426"/>
      <c r="I48" s="423">
        <f t="shared" si="31"/>
        <v>4105345.28</v>
      </c>
      <c r="J48" s="423">
        <v>200000</v>
      </c>
      <c r="K48" s="423">
        <v>0.2</v>
      </c>
      <c r="L48" s="423">
        <f t="shared" si="1"/>
        <v>821069.05599999998</v>
      </c>
      <c r="M48" s="423">
        <f t="shared" si="2"/>
        <v>1021069.056</v>
      </c>
      <c r="N48" s="423">
        <f t="shared" si="32"/>
        <v>1273707.7760000001</v>
      </c>
      <c r="O48" s="423">
        <f t="shared" si="33"/>
        <v>3084276.2239999999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311698.00704</v>
      </c>
      <c r="U48" s="423"/>
      <c r="V48" s="423">
        <f t="shared" si="11"/>
        <v>535698.00704000005</v>
      </c>
      <c r="W48" s="430">
        <v>12</v>
      </c>
      <c r="X48" s="423">
        <f t="shared" si="12"/>
        <v>44641.500586666698</v>
      </c>
      <c r="Y48" s="426"/>
      <c r="Z48" s="423">
        <f t="shared" si="13"/>
        <v>44641.500586666698</v>
      </c>
      <c r="AA48" s="435">
        <v>29058.4826046667</v>
      </c>
      <c r="AB48" s="435">
        <f t="shared" si="35"/>
        <v>15583.017981999999</v>
      </c>
      <c r="AC48" s="435"/>
      <c r="AD48" s="435"/>
      <c r="AE48" s="435"/>
    </row>
    <row r="49" spans="1:31" ht="18.75">
      <c r="A49" s="420">
        <v>44</v>
      </c>
      <c r="B49" s="9" t="s">
        <v>578</v>
      </c>
      <c r="C49" s="423">
        <v>363165.33333333302</v>
      </c>
      <c r="D49" s="422">
        <v>12</v>
      </c>
      <c r="E49" s="423">
        <f t="shared" si="34"/>
        <v>4357984</v>
      </c>
      <c r="F49" s="423"/>
      <c r="G49" s="424">
        <v>252638.72</v>
      </c>
      <c r="H49" s="426"/>
      <c r="I49" s="423">
        <f t="shared" si="31"/>
        <v>4105345.28</v>
      </c>
      <c r="J49" s="423">
        <v>200000</v>
      </c>
      <c r="K49" s="423">
        <v>0.2</v>
      </c>
      <c r="L49" s="423">
        <f t="shared" si="1"/>
        <v>821069.05599999998</v>
      </c>
      <c r="M49" s="423">
        <f t="shared" si="2"/>
        <v>1021069.056</v>
      </c>
      <c r="N49" s="423">
        <f t="shared" si="32"/>
        <v>1273707.7760000001</v>
      </c>
      <c r="O49" s="423">
        <f t="shared" si="33"/>
        <v>3084276.2239999999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311698.00704</v>
      </c>
      <c r="U49" s="423"/>
      <c r="V49" s="423">
        <f t="shared" si="11"/>
        <v>535698.00704000005</v>
      </c>
      <c r="W49" s="430">
        <v>12</v>
      </c>
      <c r="X49" s="423">
        <f t="shared" si="12"/>
        <v>44641.500586666698</v>
      </c>
      <c r="Y49" s="426"/>
      <c r="Z49" s="423">
        <f t="shared" si="13"/>
        <v>44641.500586666698</v>
      </c>
      <c r="AA49" s="435">
        <v>28360.952862666702</v>
      </c>
      <c r="AB49" s="435">
        <f t="shared" si="35"/>
        <v>16280.547724</v>
      </c>
      <c r="AC49" s="435"/>
      <c r="AD49" s="435"/>
      <c r="AE49" s="435"/>
    </row>
    <row r="50" spans="1:31" ht="18.75">
      <c r="A50" s="420">
        <v>45</v>
      </c>
      <c r="B50" s="9" t="s">
        <v>121</v>
      </c>
      <c r="C50" s="423">
        <v>363165.33333333302</v>
      </c>
      <c r="D50" s="422">
        <v>12</v>
      </c>
      <c r="E50" s="423">
        <f t="shared" si="34"/>
        <v>4357984</v>
      </c>
      <c r="F50" s="423"/>
      <c r="G50" s="424">
        <v>252638.72</v>
      </c>
      <c r="H50" s="426"/>
      <c r="I50" s="423">
        <f t="shared" si="31"/>
        <v>4105345.28</v>
      </c>
      <c r="J50" s="423">
        <v>200000</v>
      </c>
      <c r="K50" s="423">
        <v>0.2</v>
      </c>
      <c r="L50" s="423">
        <f t="shared" si="1"/>
        <v>821069.05599999998</v>
      </c>
      <c r="M50" s="423">
        <f t="shared" si="2"/>
        <v>1021069.056</v>
      </c>
      <c r="N50" s="423">
        <f t="shared" si="32"/>
        <v>1273707.7760000001</v>
      </c>
      <c r="O50" s="423">
        <f t="shared" si="33"/>
        <v>3084276.2239999999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311698.00704</v>
      </c>
      <c r="U50" s="423"/>
      <c r="V50" s="423">
        <f t="shared" si="11"/>
        <v>535698.00704000005</v>
      </c>
      <c r="W50" s="430">
        <v>12</v>
      </c>
      <c r="X50" s="423">
        <f t="shared" si="12"/>
        <v>44641.500586666698</v>
      </c>
      <c r="Y50" s="426"/>
      <c r="Z50" s="423">
        <f t="shared" si="13"/>
        <v>44641.500586666698</v>
      </c>
      <c r="AA50" s="435">
        <v>29058.4826046667</v>
      </c>
      <c r="AB50" s="435">
        <f t="shared" si="35"/>
        <v>15583.017981999999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435"/>
      <c r="AB51" s="435"/>
      <c r="AC51" s="435"/>
      <c r="AD51" s="435"/>
      <c r="AE51" s="435"/>
    </row>
    <row r="52" spans="1:31" ht="18.75">
      <c r="A52" s="420"/>
      <c r="B52" s="18" t="s">
        <v>122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123</v>
      </c>
      <c r="C53" s="423">
        <v>1635720</v>
      </c>
      <c r="D53" s="422">
        <v>12</v>
      </c>
      <c r="E53" s="423">
        <f>C53*D53</f>
        <v>19628640</v>
      </c>
      <c r="F53" s="423"/>
      <c r="G53" s="424">
        <v>1378291.2</v>
      </c>
      <c r="H53" s="426"/>
      <c r="I53" s="423">
        <f>E53-F53-G53-H53</f>
        <v>18250348.800000001</v>
      </c>
      <c r="J53" s="423">
        <v>200000</v>
      </c>
      <c r="K53" s="423">
        <v>0.2</v>
      </c>
      <c r="L53" s="423">
        <f t="shared" si="1"/>
        <v>3650069.76</v>
      </c>
      <c r="M53" s="423">
        <f t="shared" si="2"/>
        <v>3850069.76</v>
      </c>
      <c r="N53" s="423">
        <f>F53+G53+H53+M53</f>
        <v>5228360.96</v>
      </c>
      <c r="O53" s="423">
        <f>E53-N53</f>
        <v>14400279.039999999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2688066.9696</v>
      </c>
      <c r="V53" s="423">
        <f t="shared" si="11"/>
        <v>3248066.9696</v>
      </c>
      <c r="W53" s="430">
        <v>12</v>
      </c>
      <c r="X53" s="423">
        <f t="shared" si="12"/>
        <v>270672.24746666697</v>
      </c>
      <c r="Y53" s="426"/>
      <c r="Z53" s="423">
        <f t="shared" si="13"/>
        <v>270672.24746666697</v>
      </c>
      <c r="AA53" s="435">
        <v>180306.806858667</v>
      </c>
      <c r="AB53" s="435">
        <f>Z53-AA53</f>
        <v>90365.440607999903</v>
      </c>
      <c r="AC53" s="435"/>
      <c r="AD53" s="435"/>
      <c r="AE53" s="435"/>
    </row>
    <row r="54" spans="1:31" ht="18.75">
      <c r="A54" s="420">
        <v>48</v>
      </c>
      <c r="B54" s="9" t="s">
        <v>125</v>
      </c>
      <c r="C54" s="423">
        <v>700675.58333333302</v>
      </c>
      <c r="D54" s="422">
        <v>12</v>
      </c>
      <c r="E54" s="423">
        <f>C54*D54</f>
        <v>8408107</v>
      </c>
      <c r="F54" s="423"/>
      <c r="G54" s="423">
        <v>595848.56000000006</v>
      </c>
      <c r="H54" s="426"/>
      <c r="I54" s="423">
        <f>E54-F54-G54-H54</f>
        <v>7812258.4400000004</v>
      </c>
      <c r="J54" s="423">
        <v>200000</v>
      </c>
      <c r="K54" s="423">
        <v>0.2</v>
      </c>
      <c r="L54" s="423">
        <f t="shared" si="1"/>
        <v>1562451.6880000001</v>
      </c>
      <c r="M54" s="423">
        <f t="shared" si="2"/>
        <v>1762451.6880000001</v>
      </c>
      <c r="N54" s="423">
        <f>F54+G54+H54+M54</f>
        <v>2358300.2480000001</v>
      </c>
      <c r="O54" s="423">
        <f>E54-N54</f>
        <v>6049806.7520000003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683953.62048000004</v>
      </c>
      <c r="V54" s="423">
        <f t="shared" si="11"/>
        <v>1243953.62048</v>
      </c>
      <c r="W54" s="430">
        <v>12</v>
      </c>
      <c r="X54" s="423">
        <f t="shared" si="12"/>
        <v>103662.801706667</v>
      </c>
      <c r="Y54" s="426"/>
      <c r="Z54" s="423">
        <f t="shared" si="13"/>
        <v>103662.801706667</v>
      </c>
      <c r="AA54" s="435">
        <v>64596.9391466667</v>
      </c>
      <c r="AB54" s="435">
        <f>Z54-AA54</f>
        <v>39065.862560000001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128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129</v>
      </c>
      <c r="C57" s="423">
        <v>1635720</v>
      </c>
      <c r="D57" s="422">
        <v>12</v>
      </c>
      <c r="E57" s="423">
        <f>C57*D57</f>
        <v>19628640</v>
      </c>
      <c r="F57" s="423"/>
      <c r="G57" s="424">
        <v>0</v>
      </c>
      <c r="H57" s="426"/>
      <c r="I57" s="423">
        <f t="shared" ref="I57:I66" si="36">E57-F57-G57-H57</f>
        <v>19628640</v>
      </c>
      <c r="J57" s="423">
        <v>200000</v>
      </c>
      <c r="K57" s="423">
        <v>0.2</v>
      </c>
      <c r="L57" s="423">
        <f t="shared" si="1"/>
        <v>3925728</v>
      </c>
      <c r="M57" s="423">
        <f t="shared" si="2"/>
        <v>4125728</v>
      </c>
      <c r="N57" s="423">
        <f t="shared" ref="N57:N66" si="37">F57+G57+H57+M57</f>
        <v>4125728</v>
      </c>
      <c r="O57" s="423">
        <f t="shared" ref="O57:O66" si="38">E57-N57</f>
        <v>15502912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2952698.88</v>
      </c>
      <c r="V57" s="423">
        <f t="shared" si="11"/>
        <v>3512698.8799999999</v>
      </c>
      <c r="W57" s="430">
        <v>12</v>
      </c>
      <c r="X57" s="423">
        <f t="shared" si="12"/>
        <v>292724.90666666703</v>
      </c>
      <c r="Y57" s="426"/>
      <c r="Z57" s="423">
        <f t="shared" si="13"/>
        <v>292724.90666666703</v>
      </c>
      <c r="AA57" s="435">
        <v>180306.806858667</v>
      </c>
      <c r="AB57" s="435">
        <f>Z57-AA57</f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131</v>
      </c>
      <c r="C58" s="423">
        <v>761396.83333333302</v>
      </c>
      <c r="D58" s="422">
        <v>12</v>
      </c>
      <c r="E58" s="423">
        <f t="shared" ref="E58:E66" si="39">C58*D58</f>
        <v>9136762</v>
      </c>
      <c r="F58" s="423"/>
      <c r="G58" s="429">
        <f>48111.7466666667*12</f>
        <v>577340.96</v>
      </c>
      <c r="H58" s="426"/>
      <c r="I58" s="423">
        <f t="shared" si="36"/>
        <v>8559421.0399999991</v>
      </c>
      <c r="J58" s="423">
        <v>200000</v>
      </c>
      <c r="K58" s="423">
        <v>0.2</v>
      </c>
      <c r="L58" s="423">
        <f t="shared" si="1"/>
        <v>1711884.2080000001</v>
      </c>
      <c r="M58" s="423">
        <f t="shared" si="2"/>
        <v>1911884.2080000001</v>
      </c>
      <c r="N58" s="423">
        <f t="shared" si="37"/>
        <v>2489225.1680000001</v>
      </c>
      <c r="O58" s="423">
        <f t="shared" si="38"/>
        <v>6647536.8320000004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827408.83967999998</v>
      </c>
      <c r="V58" s="423">
        <f t="shared" si="11"/>
        <v>1387408.83968</v>
      </c>
      <c r="W58" s="430">
        <v>12</v>
      </c>
      <c r="X58" s="423">
        <f t="shared" si="12"/>
        <v>115617.40330666699</v>
      </c>
      <c r="Y58" s="426"/>
      <c r="Z58" s="423">
        <f t="shared" si="13"/>
        <v>115617.40330666699</v>
      </c>
      <c r="AA58" s="435">
        <v>77764.980266666695</v>
      </c>
      <c r="AB58" s="435">
        <f t="shared" ref="AB58:AB66" si="40">Z58-AA58</f>
        <v>37852.423040000001</v>
      </c>
      <c r="AC58" s="435"/>
      <c r="AD58" s="435"/>
      <c r="AE58" s="435"/>
    </row>
    <row r="59" spans="1:31" ht="18.75">
      <c r="A59" s="420">
        <v>52</v>
      </c>
      <c r="B59" s="9" t="s">
        <v>134</v>
      </c>
      <c r="C59" s="423">
        <v>582746.5</v>
      </c>
      <c r="D59" s="422">
        <v>12</v>
      </c>
      <c r="E59" s="423">
        <f t="shared" si="39"/>
        <v>6992958</v>
      </c>
      <c r="F59" s="423"/>
      <c r="G59" s="424">
        <v>425036.64</v>
      </c>
      <c r="H59" s="426"/>
      <c r="I59" s="423">
        <f t="shared" si="36"/>
        <v>6567921.3600000003</v>
      </c>
      <c r="J59" s="423">
        <v>200000</v>
      </c>
      <c r="K59" s="423">
        <v>0.2</v>
      </c>
      <c r="L59" s="423">
        <f t="shared" si="1"/>
        <v>1313584.2720000001</v>
      </c>
      <c r="M59" s="423">
        <f t="shared" si="2"/>
        <v>1513584.2720000001</v>
      </c>
      <c r="N59" s="423">
        <f t="shared" si="37"/>
        <v>1938620.912</v>
      </c>
      <c r="O59" s="423">
        <f t="shared" si="38"/>
        <v>5054337.0880000005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445040.90111999999</v>
      </c>
      <c r="V59" s="423">
        <f t="shared" si="11"/>
        <v>1005040.9011200001</v>
      </c>
      <c r="W59" s="430">
        <v>12</v>
      </c>
      <c r="X59" s="423">
        <f t="shared" si="12"/>
        <v>83753.408426666603</v>
      </c>
      <c r="Y59" s="426"/>
      <c r="Z59" s="423">
        <f t="shared" si="13"/>
        <v>83753.408426666603</v>
      </c>
      <c r="AA59" s="435">
        <v>54931.249226666703</v>
      </c>
      <c r="AB59" s="435">
        <f t="shared" si="40"/>
        <v>28822.159199999998</v>
      </c>
      <c r="AC59" s="435"/>
      <c r="AD59" s="435"/>
      <c r="AE59" s="435"/>
    </row>
    <row r="60" spans="1:31" ht="18.75">
      <c r="A60" s="420">
        <v>53</v>
      </c>
      <c r="B60" s="16" t="s">
        <v>487</v>
      </c>
      <c r="C60" s="423">
        <v>548915.91666666698</v>
      </c>
      <c r="D60" s="422">
        <v>12</v>
      </c>
      <c r="E60" s="423">
        <f t="shared" si="39"/>
        <v>6586991</v>
      </c>
      <c r="F60" s="423"/>
      <c r="G60" s="424">
        <v>411759.28</v>
      </c>
      <c r="H60" s="426"/>
      <c r="I60" s="423">
        <f t="shared" si="36"/>
        <v>6175231.7199999997</v>
      </c>
      <c r="J60" s="423">
        <v>200000</v>
      </c>
      <c r="K60" s="423">
        <v>0.2</v>
      </c>
      <c r="L60" s="423">
        <f t="shared" si="1"/>
        <v>1235046.344</v>
      </c>
      <c r="M60" s="423">
        <f t="shared" si="2"/>
        <v>1435046.344</v>
      </c>
      <c r="N60" s="423">
        <f t="shared" si="37"/>
        <v>1846805.6240000001</v>
      </c>
      <c r="O60" s="423">
        <f t="shared" si="38"/>
        <v>4740185.3760000002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369644.49024000001</v>
      </c>
      <c r="V60" s="423">
        <f t="shared" si="11"/>
        <v>929644.49023999996</v>
      </c>
      <c r="W60" s="430">
        <v>12</v>
      </c>
      <c r="X60" s="423">
        <f t="shared" si="12"/>
        <v>77470.374186666697</v>
      </c>
      <c r="Y60" s="426"/>
      <c r="Z60" s="423">
        <f t="shared" si="13"/>
        <v>77470.374186666697</v>
      </c>
      <c r="AA60" s="435">
        <v>49548.776186666699</v>
      </c>
      <c r="AB60" s="435">
        <f t="shared" si="40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517</v>
      </c>
      <c r="C61" s="423">
        <v>624373.75</v>
      </c>
      <c r="D61" s="422">
        <v>12</v>
      </c>
      <c r="E61" s="423">
        <f t="shared" si="39"/>
        <v>7492485</v>
      </c>
      <c r="F61" s="423"/>
      <c r="G61" s="424">
        <v>464998.8</v>
      </c>
      <c r="H61" s="426"/>
      <c r="I61" s="423">
        <f t="shared" si="36"/>
        <v>7027486.2000000002</v>
      </c>
      <c r="J61" s="423">
        <v>200000</v>
      </c>
      <c r="K61" s="423">
        <v>0.2</v>
      </c>
      <c r="L61" s="423">
        <f t="shared" si="1"/>
        <v>1405497.24</v>
      </c>
      <c r="M61" s="423">
        <f t="shared" si="2"/>
        <v>1605497.24</v>
      </c>
      <c r="N61" s="423">
        <f t="shared" si="37"/>
        <v>2070496.04</v>
      </c>
      <c r="O61" s="423">
        <f t="shared" si="38"/>
        <v>5421988.96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533277.3504</v>
      </c>
      <c r="V61" s="423">
        <f t="shared" si="11"/>
        <v>1093277.3504000001</v>
      </c>
      <c r="W61" s="430">
        <v>12</v>
      </c>
      <c r="X61" s="423">
        <f t="shared" si="12"/>
        <v>91106.445866666705</v>
      </c>
      <c r="Y61" s="426"/>
      <c r="Z61" s="423">
        <f t="shared" si="13"/>
        <v>91106.445866666705</v>
      </c>
      <c r="AA61" s="435">
        <v>46666.666666666701</v>
      </c>
      <c r="AB61" s="435">
        <f t="shared" si="40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136</v>
      </c>
      <c r="C62" s="423">
        <v>475703.83333333302</v>
      </c>
      <c r="D62" s="422">
        <v>12</v>
      </c>
      <c r="E62" s="423">
        <f t="shared" si="39"/>
        <v>5708446</v>
      </c>
      <c r="F62" s="423"/>
      <c r="G62" s="424">
        <v>351075.68</v>
      </c>
      <c r="H62" s="426"/>
      <c r="I62" s="423">
        <f t="shared" si="36"/>
        <v>5357370.32</v>
      </c>
      <c r="J62" s="423">
        <v>200000</v>
      </c>
      <c r="K62" s="423">
        <v>0.2</v>
      </c>
      <c r="L62" s="423">
        <f t="shared" si="1"/>
        <v>1071474.064</v>
      </c>
      <c r="M62" s="423">
        <f t="shared" si="2"/>
        <v>1271474.064</v>
      </c>
      <c r="N62" s="423">
        <f t="shared" si="37"/>
        <v>1622549.7439999999</v>
      </c>
      <c r="O62" s="423">
        <f t="shared" si="38"/>
        <v>4085896.2560000001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336000</v>
      </c>
      <c r="U62" s="423">
        <f t="shared" si="10"/>
        <v>212615.10144</v>
      </c>
      <c r="V62" s="423">
        <f t="shared" si="11"/>
        <v>772615.10144</v>
      </c>
      <c r="W62" s="430">
        <v>12</v>
      </c>
      <c r="X62" s="423">
        <f t="shared" si="12"/>
        <v>64384.591786666701</v>
      </c>
      <c r="Y62" s="426"/>
      <c r="Z62" s="423">
        <f t="shared" si="13"/>
        <v>64384.591786666701</v>
      </c>
      <c r="AA62" s="435">
        <v>41338.951098666701</v>
      </c>
      <c r="AB62" s="435">
        <f t="shared" si="40"/>
        <v>23045.640687999999</v>
      </c>
      <c r="AC62" s="435"/>
      <c r="AD62" s="435"/>
      <c r="AE62" s="435"/>
    </row>
    <row r="63" spans="1:31" ht="18.75">
      <c r="A63" s="420">
        <v>56</v>
      </c>
      <c r="B63" s="9" t="s">
        <v>138</v>
      </c>
      <c r="C63" s="423">
        <v>475703.83333333302</v>
      </c>
      <c r="D63" s="422">
        <v>12</v>
      </c>
      <c r="E63" s="423">
        <f t="shared" si="39"/>
        <v>5708446</v>
      </c>
      <c r="F63" s="423"/>
      <c r="G63" s="424">
        <v>351075.68</v>
      </c>
      <c r="H63" s="426"/>
      <c r="I63" s="423">
        <f t="shared" si="36"/>
        <v>5357370.32</v>
      </c>
      <c r="J63" s="423">
        <v>200000</v>
      </c>
      <c r="K63" s="423">
        <v>0.2</v>
      </c>
      <c r="L63" s="423">
        <f t="shared" si="1"/>
        <v>1071474.064</v>
      </c>
      <c r="M63" s="423">
        <f t="shared" si="2"/>
        <v>1271474.064</v>
      </c>
      <c r="N63" s="423">
        <f t="shared" si="37"/>
        <v>1622549.7439999999</v>
      </c>
      <c r="O63" s="423">
        <f t="shared" si="38"/>
        <v>4085896.2560000001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336000</v>
      </c>
      <c r="U63" s="423">
        <f t="shared" si="10"/>
        <v>212615.10144</v>
      </c>
      <c r="V63" s="423">
        <f t="shared" si="11"/>
        <v>772615.10144</v>
      </c>
      <c r="W63" s="430">
        <v>12</v>
      </c>
      <c r="X63" s="423">
        <f t="shared" si="12"/>
        <v>64384.591786666701</v>
      </c>
      <c r="Y63" s="426"/>
      <c r="Z63" s="423">
        <f t="shared" si="13"/>
        <v>64384.591786666701</v>
      </c>
      <c r="AA63" s="435">
        <v>41338.951098666701</v>
      </c>
      <c r="AB63" s="435">
        <f t="shared" si="40"/>
        <v>23045.640687999999</v>
      </c>
      <c r="AC63" s="435"/>
      <c r="AD63" s="435"/>
      <c r="AE63" s="435"/>
    </row>
    <row r="64" spans="1:31" ht="18.75">
      <c r="A64" s="420">
        <v>57</v>
      </c>
      <c r="B64" s="9" t="s">
        <v>139</v>
      </c>
      <c r="C64" s="423">
        <v>475703.83333333302</v>
      </c>
      <c r="D64" s="422">
        <v>12</v>
      </c>
      <c r="E64" s="423">
        <f t="shared" si="39"/>
        <v>5708446</v>
      </c>
      <c r="F64" s="423"/>
      <c r="G64" s="424">
        <v>351075.68</v>
      </c>
      <c r="H64" s="426"/>
      <c r="I64" s="423">
        <f t="shared" si="36"/>
        <v>5357370.32</v>
      </c>
      <c r="J64" s="423">
        <v>200000</v>
      </c>
      <c r="K64" s="423">
        <v>0.2</v>
      </c>
      <c r="L64" s="423">
        <f t="shared" si="1"/>
        <v>1071474.064</v>
      </c>
      <c r="M64" s="423">
        <f t="shared" si="2"/>
        <v>1271474.064</v>
      </c>
      <c r="N64" s="423">
        <f t="shared" si="37"/>
        <v>1622549.7439999999</v>
      </c>
      <c r="O64" s="423">
        <f t="shared" si="38"/>
        <v>4085896.2560000001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336000</v>
      </c>
      <c r="U64" s="423">
        <f t="shared" si="10"/>
        <v>212615.10144</v>
      </c>
      <c r="V64" s="423">
        <f t="shared" si="11"/>
        <v>772615.10144</v>
      </c>
      <c r="W64" s="430">
        <v>12</v>
      </c>
      <c r="X64" s="423">
        <f t="shared" si="12"/>
        <v>64384.591786666701</v>
      </c>
      <c r="Y64" s="426"/>
      <c r="Z64" s="423">
        <f t="shared" si="13"/>
        <v>64384.591786666701</v>
      </c>
      <c r="AA64" s="435">
        <v>41338.951098666701</v>
      </c>
      <c r="AB64" s="435">
        <f t="shared" si="40"/>
        <v>23045.640687999999</v>
      </c>
      <c r="AC64" s="435"/>
      <c r="AD64" s="435"/>
      <c r="AE64" s="435"/>
    </row>
    <row r="65" spans="1:31" ht="18.75">
      <c r="A65" s="420">
        <v>58</v>
      </c>
      <c r="B65" s="9" t="s">
        <v>140</v>
      </c>
      <c r="C65" s="423">
        <v>487895.16666666698</v>
      </c>
      <c r="D65" s="422">
        <v>12</v>
      </c>
      <c r="E65" s="423">
        <f t="shared" si="39"/>
        <v>5854742</v>
      </c>
      <c r="F65" s="423"/>
      <c r="G65" s="424">
        <v>362779.36</v>
      </c>
      <c r="H65" s="426"/>
      <c r="I65" s="423">
        <f t="shared" si="36"/>
        <v>5491962.6399999997</v>
      </c>
      <c r="J65" s="423">
        <v>200000</v>
      </c>
      <c r="K65" s="423">
        <v>0.2</v>
      </c>
      <c r="L65" s="423">
        <f t="shared" si="1"/>
        <v>1098392.5279999999</v>
      </c>
      <c r="M65" s="423">
        <f t="shared" si="2"/>
        <v>1298392.5279999999</v>
      </c>
      <c r="N65" s="423">
        <f t="shared" si="37"/>
        <v>1661171.888</v>
      </c>
      <c r="O65" s="423">
        <f t="shared" si="38"/>
        <v>4193570.1120000002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336000</v>
      </c>
      <c r="U65" s="423">
        <f t="shared" si="10"/>
        <v>238456.82688000001</v>
      </c>
      <c r="V65" s="423">
        <f t="shared" si="11"/>
        <v>798456.82687999995</v>
      </c>
      <c r="W65" s="430">
        <v>12</v>
      </c>
      <c r="X65" s="423">
        <f t="shared" si="12"/>
        <v>66538.068906666696</v>
      </c>
      <c r="Y65" s="426"/>
      <c r="Z65" s="423">
        <f t="shared" si="13"/>
        <v>66538.068906666696</v>
      </c>
      <c r="AA65" s="435">
        <v>43368.882414666703</v>
      </c>
      <c r="AB65" s="435">
        <f t="shared" si="40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142</v>
      </c>
      <c r="C66" s="423">
        <v>400965.58333333302</v>
      </c>
      <c r="D66" s="422">
        <v>12</v>
      </c>
      <c r="E66" s="423">
        <f t="shared" si="39"/>
        <v>4811587</v>
      </c>
      <c r="F66" s="423"/>
      <c r="G66" s="428">
        <v>288926.96000000002</v>
      </c>
      <c r="H66" s="426"/>
      <c r="I66" s="423">
        <f t="shared" si="36"/>
        <v>4522660.04</v>
      </c>
      <c r="J66" s="423">
        <v>200000</v>
      </c>
      <c r="K66" s="423">
        <v>0.2</v>
      </c>
      <c r="L66" s="423">
        <f t="shared" si="1"/>
        <v>904532.00800000003</v>
      </c>
      <c r="M66" s="423">
        <f t="shared" si="2"/>
        <v>1104532.0079999999</v>
      </c>
      <c r="N66" s="423">
        <f t="shared" si="37"/>
        <v>1393458.9680000001</v>
      </c>
      <c r="O66" s="423">
        <f t="shared" si="38"/>
        <v>3418128.0320000001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336000</v>
      </c>
      <c r="U66" s="423">
        <f t="shared" si="10"/>
        <v>52350.727680000004</v>
      </c>
      <c r="V66" s="423">
        <f t="shared" si="11"/>
        <v>612350.72768000001</v>
      </c>
      <c r="W66" s="430">
        <v>12</v>
      </c>
      <c r="X66" s="423">
        <f t="shared" si="12"/>
        <v>51029.227306666697</v>
      </c>
      <c r="Y66" s="426"/>
      <c r="Z66" s="423">
        <f t="shared" si="13"/>
        <v>51029.227306666697</v>
      </c>
      <c r="AA66" s="435">
        <v>33825.986562666702</v>
      </c>
      <c r="AB66" s="435">
        <f t="shared" si="40"/>
        <v>17203.240743999999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435"/>
      <c r="AB68" s="435"/>
      <c r="AC68" s="435"/>
      <c r="AD68" s="435"/>
      <c r="AE68" s="435"/>
    </row>
    <row r="69" spans="1:31" ht="18.75">
      <c r="A69" s="420"/>
      <c r="B69" s="18" t="s">
        <v>143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435"/>
      <c r="AB69" s="435"/>
      <c r="AC69" s="435"/>
      <c r="AD69" s="435"/>
      <c r="AE69" s="435"/>
    </row>
    <row r="70" spans="1:31" ht="18.75">
      <c r="A70" s="420"/>
      <c r="B70" s="9" t="s">
        <v>144</v>
      </c>
      <c r="C70" s="423">
        <v>1635720</v>
      </c>
      <c r="D70" s="422">
        <v>12</v>
      </c>
      <c r="E70" s="423">
        <f>C70*D70</f>
        <v>19628640</v>
      </c>
      <c r="F70" s="423"/>
      <c r="G70" s="424">
        <v>1378291.2</v>
      </c>
      <c r="H70" s="426"/>
      <c r="I70" s="423">
        <f t="shared" ref="I70:I76" si="41">E70-F70-G70-H70</f>
        <v>18250348.800000001</v>
      </c>
      <c r="J70" s="423">
        <v>200000</v>
      </c>
      <c r="K70" s="423">
        <v>0.2</v>
      </c>
      <c r="L70" s="423">
        <f t="shared" ref="L70" si="42">I70*K70</f>
        <v>3650069.76</v>
      </c>
      <c r="M70" s="423">
        <f t="shared" ref="M70" si="43">J70+L70</f>
        <v>3850069.76</v>
      </c>
      <c r="N70" s="423">
        <f t="shared" ref="N70:N76" si="44">F70+G70+H70+M70</f>
        <v>5228360.96</v>
      </c>
      <c r="O70" s="423">
        <f t="shared" ref="O70:O76" si="45">E70-N70</f>
        <v>14400279.039999999</v>
      </c>
      <c r="P70" s="423">
        <f t="shared" ref="P70" si="46">IF(O70&lt;300000,0.07*O70,21000)</f>
        <v>21000</v>
      </c>
      <c r="Q70" s="423">
        <f t="shared" ref="Q70" si="47">IF((O70-300000)&lt;0,0,IF((O70-300000)&lt;300000,0.11*(O70-300000),33000))</f>
        <v>33000</v>
      </c>
      <c r="R70" s="423">
        <f t="shared" ref="R70" si="48">IF((O70-600000)&lt;0,0,IF((O70-600000)&lt;500000,0.15*(O70-600000),75000))</f>
        <v>75000</v>
      </c>
      <c r="S70" s="423">
        <f t="shared" ref="S70" si="49">IF((O70-1100000)&lt;0,0,IF((O70-1100000)&lt;500000,0.19*(O70-1100000),95000))</f>
        <v>95000</v>
      </c>
      <c r="T70" s="423">
        <f t="shared" ref="T70" si="50">IF((O70-1600000)&lt;0,0,IF((O70-1600000)&lt;1600000,0.21*(O70-1600000),336000))</f>
        <v>336000</v>
      </c>
      <c r="U70" s="423">
        <f t="shared" ref="U70" si="51">24%*(O70-3200000)</f>
        <v>2688066.9696</v>
      </c>
      <c r="V70" s="423">
        <f t="shared" ref="V70" si="52">P70+Q70+R70+S70+T70+U70</f>
        <v>3248066.9696</v>
      </c>
      <c r="W70" s="430">
        <v>12</v>
      </c>
      <c r="X70" s="423">
        <f t="shared" ref="X70" si="53">V70/W70</f>
        <v>270672.24746666697</v>
      </c>
      <c r="Y70" s="426"/>
      <c r="Z70" s="423">
        <f t="shared" ref="Z70" si="54">X70</f>
        <v>270672.24746666697</v>
      </c>
      <c r="AA70" s="435">
        <v>180306.806858667</v>
      </c>
      <c r="AB70" s="435">
        <f>Z70-AA70</f>
        <v>90365.440607999903</v>
      </c>
      <c r="AC70" s="435"/>
      <c r="AD70" s="435"/>
      <c r="AE70" s="435"/>
    </row>
    <row r="71" spans="1:31" ht="18.75">
      <c r="A71" s="420">
        <v>62</v>
      </c>
      <c r="B71" s="12" t="s">
        <v>518</v>
      </c>
      <c r="C71" s="423">
        <v>761396.83333333302</v>
      </c>
      <c r="D71" s="422">
        <v>12</v>
      </c>
      <c r="E71" s="423">
        <f t="shared" ref="E71:E76" si="55">C71*D71</f>
        <v>9136762</v>
      </c>
      <c r="F71" s="423"/>
      <c r="G71" s="424">
        <v>0</v>
      </c>
      <c r="H71" s="426"/>
      <c r="I71" s="423">
        <f t="shared" si="41"/>
        <v>9136762</v>
      </c>
      <c r="J71" s="423">
        <v>200000</v>
      </c>
      <c r="K71" s="423">
        <v>0.2</v>
      </c>
      <c r="L71" s="423">
        <f t="shared" si="1"/>
        <v>1827352.4</v>
      </c>
      <c r="M71" s="423">
        <f t="shared" si="2"/>
        <v>2027352.4</v>
      </c>
      <c r="N71" s="423">
        <f t="shared" si="44"/>
        <v>2027352.4</v>
      </c>
      <c r="O71" s="423">
        <f t="shared" si="45"/>
        <v>7109409.5999999996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938258.304</v>
      </c>
      <c r="V71" s="423">
        <f t="shared" si="11"/>
        <v>1498258.304</v>
      </c>
      <c r="W71" s="430">
        <v>12</v>
      </c>
      <c r="X71" s="423">
        <f t="shared" si="12"/>
        <v>124854.858666667</v>
      </c>
      <c r="Y71" s="426"/>
      <c r="Z71" s="423">
        <f t="shared" si="13"/>
        <v>124854.858666667</v>
      </c>
      <c r="AA71" s="435">
        <v>77764.980266666695</v>
      </c>
      <c r="AB71" s="435">
        <f t="shared" ref="AB71:AB76" si="56">Z71-AA71</f>
        <v>47089.878400000001</v>
      </c>
      <c r="AC71" s="435"/>
      <c r="AD71" s="435"/>
      <c r="AE71" s="435"/>
    </row>
    <row r="72" spans="1:31" ht="37.5">
      <c r="A72" s="420">
        <v>63</v>
      </c>
      <c r="B72" s="16" t="s">
        <v>519</v>
      </c>
      <c r="C72" s="423">
        <f>700675.583333333+80000</f>
        <v>780675.58333333302</v>
      </c>
      <c r="D72" s="422">
        <v>12</v>
      </c>
      <c r="E72" s="423">
        <f t="shared" si="55"/>
        <v>9368107</v>
      </c>
      <c r="F72" s="423"/>
      <c r="G72" s="424">
        <v>0</v>
      </c>
      <c r="H72" s="426"/>
      <c r="I72" s="423">
        <f t="shared" si="41"/>
        <v>9368107</v>
      </c>
      <c r="J72" s="423">
        <v>200000</v>
      </c>
      <c r="K72" s="423">
        <v>0.2</v>
      </c>
      <c r="L72" s="423">
        <f t="shared" si="1"/>
        <v>1873621.4</v>
      </c>
      <c r="M72" s="423">
        <f t="shared" si="2"/>
        <v>2073621.4</v>
      </c>
      <c r="N72" s="423">
        <f t="shared" si="44"/>
        <v>2073621.4</v>
      </c>
      <c r="O72" s="423">
        <f t="shared" si="45"/>
        <v>7294485.5999999996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982676.54399999895</v>
      </c>
      <c r="V72" s="423">
        <f t="shared" si="11"/>
        <v>1542676.544</v>
      </c>
      <c r="W72" s="430">
        <v>12</v>
      </c>
      <c r="X72" s="423">
        <f t="shared" si="12"/>
        <v>128556.37866666701</v>
      </c>
      <c r="Y72" s="426"/>
      <c r="Z72" s="423">
        <f t="shared" si="13"/>
        <v>128556.37866666701</v>
      </c>
      <c r="AA72" s="435">
        <v>64596.9391466667</v>
      </c>
      <c r="AB72" s="435">
        <f t="shared" si="56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148</v>
      </c>
      <c r="C73" s="423">
        <v>596622.25</v>
      </c>
      <c r="D73" s="422">
        <v>12</v>
      </c>
      <c r="E73" s="423">
        <f t="shared" si="55"/>
        <v>7159467</v>
      </c>
      <c r="F73" s="423">
        <f>'[6]JANUARY 2024'!$V$78*12</f>
        <v>8019.7950000000001</v>
      </c>
      <c r="G73" s="424">
        <v>438357.36</v>
      </c>
      <c r="H73" s="426"/>
      <c r="I73" s="423">
        <f t="shared" si="41"/>
        <v>6713089.8449999997</v>
      </c>
      <c r="J73" s="423">
        <v>200000</v>
      </c>
      <c r="K73" s="423">
        <v>0.2</v>
      </c>
      <c r="L73" s="423">
        <f t="shared" si="1"/>
        <v>1342617.969</v>
      </c>
      <c r="M73" s="423">
        <f t="shared" si="2"/>
        <v>1542617.969</v>
      </c>
      <c r="N73" s="423">
        <f t="shared" si="44"/>
        <v>1988995.1240000001</v>
      </c>
      <c r="O73" s="423">
        <f t="shared" si="45"/>
        <v>5170471.8760000002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472913.25024000002</v>
      </c>
      <c r="V73" s="423">
        <f t="shared" si="11"/>
        <v>1032913.25024</v>
      </c>
      <c r="W73" s="430">
        <v>12</v>
      </c>
      <c r="X73" s="423">
        <f t="shared" si="12"/>
        <v>86076.104186666664</v>
      </c>
      <c r="Y73" s="426"/>
      <c r="Z73" s="423">
        <f t="shared" si="13"/>
        <v>86076.104186666664</v>
      </c>
      <c r="AA73" s="435">
        <v>56350.586186666696</v>
      </c>
      <c r="AB73" s="435">
        <f t="shared" si="56"/>
        <v>29725.517999999967</v>
      </c>
      <c r="AC73" s="435"/>
      <c r="AD73" s="435"/>
      <c r="AE73" s="435"/>
    </row>
    <row r="74" spans="1:31" ht="18.75">
      <c r="A74" s="420">
        <v>65</v>
      </c>
      <c r="B74" s="9" t="s">
        <v>151</v>
      </c>
      <c r="C74" s="423">
        <v>408901.5</v>
      </c>
      <c r="D74" s="422">
        <v>12</v>
      </c>
      <c r="E74" s="423">
        <f t="shared" si="55"/>
        <v>4906818</v>
      </c>
      <c r="F74" s="423"/>
      <c r="G74" s="424">
        <v>296545.44</v>
      </c>
      <c r="H74" s="426"/>
      <c r="I74" s="423">
        <f t="shared" si="41"/>
        <v>4610272.5599999996</v>
      </c>
      <c r="J74" s="423">
        <v>200000</v>
      </c>
      <c r="K74" s="423">
        <v>0.2</v>
      </c>
      <c r="L74" s="423">
        <f t="shared" si="1"/>
        <v>922054.51199999999</v>
      </c>
      <c r="M74" s="423">
        <f t="shared" si="2"/>
        <v>1122054.5120000001</v>
      </c>
      <c r="N74" s="423">
        <f t="shared" si="44"/>
        <v>1418599.952</v>
      </c>
      <c r="O74" s="423">
        <f t="shared" si="45"/>
        <v>3488218.048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336000</v>
      </c>
      <c r="U74" s="423">
        <f>0.24*(O74-3200000)</f>
        <v>69172.331520000007</v>
      </c>
      <c r="V74" s="423">
        <f t="shared" si="11"/>
        <v>629172.33152000001</v>
      </c>
      <c r="W74" s="430">
        <v>12</v>
      </c>
      <c r="X74" s="423">
        <f t="shared" si="12"/>
        <v>52431.027626666699</v>
      </c>
      <c r="Y74" s="426"/>
      <c r="Z74" s="423">
        <f t="shared" si="13"/>
        <v>52431.027626666699</v>
      </c>
      <c r="AA74" s="435">
        <v>17507.548966666702</v>
      </c>
      <c r="AB74" s="435">
        <f t="shared" si="56"/>
        <v>34923.478660000001</v>
      </c>
      <c r="AC74" s="435"/>
      <c r="AD74" s="435"/>
      <c r="AE74" s="435"/>
    </row>
    <row r="75" spans="1:31" ht="24.75" customHeight="1">
      <c r="A75" s="420"/>
      <c r="B75" s="9" t="s">
        <v>153</v>
      </c>
      <c r="C75" s="423">
        <v>363165.33333333302</v>
      </c>
      <c r="D75" s="422">
        <v>12</v>
      </c>
      <c r="E75" s="423">
        <f t="shared" si="55"/>
        <v>4357984</v>
      </c>
      <c r="F75" s="423"/>
      <c r="G75" s="424">
        <v>252638.72</v>
      </c>
      <c r="H75" s="426"/>
      <c r="I75" s="423">
        <f t="shared" si="41"/>
        <v>4105345.28</v>
      </c>
      <c r="J75" s="423">
        <v>200000</v>
      </c>
      <c r="K75" s="423">
        <v>0.2</v>
      </c>
      <c r="L75" s="423">
        <f t="shared" si="1"/>
        <v>821069.05599999998</v>
      </c>
      <c r="M75" s="423">
        <f t="shared" si="2"/>
        <v>1021069.056</v>
      </c>
      <c r="N75" s="423">
        <f t="shared" si="44"/>
        <v>1273707.7760000001</v>
      </c>
      <c r="O75" s="423">
        <f t="shared" si="45"/>
        <v>3084276.2239999999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311698.00704</v>
      </c>
      <c r="U75" s="423"/>
      <c r="V75" s="423">
        <f t="shared" si="11"/>
        <v>535698.00704000005</v>
      </c>
      <c r="W75" s="430">
        <v>12</v>
      </c>
      <c r="X75" s="423">
        <f t="shared" si="12"/>
        <v>44641.500586666698</v>
      </c>
      <c r="Y75" s="426"/>
      <c r="Z75" s="423">
        <f t="shared" si="13"/>
        <v>44641.500586666698</v>
      </c>
      <c r="AA75" s="435">
        <v>29058.4826046667</v>
      </c>
      <c r="AB75" s="435">
        <f t="shared" si="56"/>
        <v>15583.017981999999</v>
      </c>
      <c r="AC75" s="435"/>
      <c r="AD75" s="435"/>
      <c r="AE75" s="435"/>
    </row>
    <row r="76" spans="1:31" ht="18.75">
      <c r="A76" s="420"/>
      <c r="B76" s="9" t="s">
        <v>155</v>
      </c>
      <c r="C76" s="423">
        <v>324459.75</v>
      </c>
      <c r="D76" s="422">
        <v>12</v>
      </c>
      <c r="E76" s="423">
        <f t="shared" si="55"/>
        <v>3893517</v>
      </c>
      <c r="F76" s="423"/>
      <c r="G76" s="424">
        <v>215481.36</v>
      </c>
      <c r="H76" s="426"/>
      <c r="I76" s="423">
        <f t="shared" si="41"/>
        <v>3678035.64</v>
      </c>
      <c r="J76" s="423">
        <v>200000</v>
      </c>
      <c r="K76" s="423">
        <v>0.2</v>
      </c>
      <c r="L76" s="423">
        <f t="shared" ref="L76" si="57">I76*K76</f>
        <v>735607.12800000003</v>
      </c>
      <c r="M76" s="423">
        <f t="shared" ref="M76" si="58">J76+L76</f>
        <v>935607.12800000003</v>
      </c>
      <c r="N76" s="423">
        <f t="shared" si="44"/>
        <v>1151088.4879999999</v>
      </c>
      <c r="O76" s="423">
        <f t="shared" si="45"/>
        <v>2742428.5120000001</v>
      </c>
      <c r="P76" s="423">
        <f t="shared" ref="P76" si="59">IF(O76&lt;300000,0.07*O76,21000)</f>
        <v>21000</v>
      </c>
      <c r="Q76" s="423">
        <f t="shared" ref="Q76" si="60">IF((O76-300000)&lt;0,0,IF((O76-300000)&lt;300000,0.11*(O76-300000),33000))</f>
        <v>33000</v>
      </c>
      <c r="R76" s="423">
        <f t="shared" ref="R76" si="61">IF((O76-600000)&lt;0,0,IF((O76-600000)&lt;500000,0.15*(O76-600000),75000))</f>
        <v>75000</v>
      </c>
      <c r="S76" s="423">
        <f t="shared" ref="S76" si="62">IF((O76-1100000)&lt;0,0,IF((O76-1100000)&lt;500000,0.19*(O76-1100000),95000))</f>
        <v>95000</v>
      </c>
      <c r="T76" s="423">
        <f t="shared" ref="T76" si="63">IF((O76-1600000)&lt;0,0,IF((O76-1600000)&lt;1600000,0.21*(O76-1600000),336000))</f>
        <v>239909.98752</v>
      </c>
      <c r="U76" s="423"/>
      <c r="V76" s="423">
        <f t="shared" ref="V76" si="64">P76+Q76+R76+S76+T76+U76</f>
        <v>463909.98752000002</v>
      </c>
      <c r="W76" s="430">
        <v>12</v>
      </c>
      <c r="X76" s="423">
        <f t="shared" ref="X76" si="65">V76/W76</f>
        <v>38659.165626666698</v>
      </c>
      <c r="Y76" s="426"/>
      <c r="Z76" s="423">
        <f t="shared" ref="Z76" si="66">X76</f>
        <v>38659.165626666698</v>
      </c>
      <c r="AA76" s="435">
        <v>24751.170462666701</v>
      </c>
      <c r="AB76" s="435">
        <f t="shared" si="56"/>
        <v>13907.995164</v>
      </c>
      <c r="AC76" s="435"/>
      <c r="AD76" s="435"/>
      <c r="AE76" s="435"/>
    </row>
    <row r="77" spans="1:31" ht="18.75">
      <c r="A77" s="420"/>
      <c r="B77" s="18" t="s">
        <v>96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157</v>
      </c>
      <c r="C79" s="423"/>
      <c r="AB79" s="258" t="s">
        <v>520</v>
      </c>
      <c r="AC79" s="435"/>
      <c r="AD79" s="435"/>
      <c r="AE79" s="435"/>
    </row>
    <row r="80" spans="1:31" ht="18.75">
      <c r="A80" s="420">
        <v>68</v>
      </c>
      <c r="B80" s="9" t="s">
        <v>158</v>
      </c>
      <c r="C80" s="423">
        <f>880675.583333333+100000</f>
        <v>980675.58333333302</v>
      </c>
      <c r="D80" s="422">
        <v>12</v>
      </c>
      <c r="E80" s="423">
        <f>C80*D80</f>
        <v>11768107</v>
      </c>
      <c r="F80" s="423"/>
      <c r="G80" s="424">
        <v>595848.56000000006</v>
      </c>
      <c r="H80" s="426"/>
      <c r="I80" s="423">
        <f t="shared" ref="I80:I89" si="67">E80-F80-G80-H80</f>
        <v>11172258.439999999</v>
      </c>
      <c r="J80" s="423">
        <v>200000</v>
      </c>
      <c r="K80" s="423">
        <v>0.2</v>
      </c>
      <c r="L80" s="423">
        <f t="shared" ref="L80:L89" si="68">I80*K80</f>
        <v>2234451.6880000001</v>
      </c>
      <c r="M80" s="423">
        <f t="shared" ref="M80:M89" si="69">J80+L80</f>
        <v>2434451.6880000001</v>
      </c>
      <c r="N80" s="423">
        <f t="shared" ref="N80:N89" si="70">F80+G80+H80+M80</f>
        <v>3030300.2480000001</v>
      </c>
      <c r="O80" s="423">
        <f t="shared" ref="O80:O89" si="71">E80-N80</f>
        <v>8737806.7520000003</v>
      </c>
      <c r="P80" s="423">
        <f t="shared" ref="P80:P89" si="72">IF(O80&lt;300000,0.07*O80,21000)</f>
        <v>21000</v>
      </c>
      <c r="Q80" s="423">
        <f t="shared" ref="Q80:Q89" si="73">IF((O80-300000)&lt;0,0,IF((O80-300000)&lt;300000,0.11*(O80-300000),33000))</f>
        <v>33000</v>
      </c>
      <c r="R80" s="423">
        <f t="shared" ref="R80:R89" si="74">IF((O80-600000)&lt;0,0,IF((O80-600000)&lt;500000,0.15*(O80-600000),75000))</f>
        <v>75000</v>
      </c>
      <c r="S80" s="423">
        <f t="shared" ref="S80:S89" si="75">IF((O80-1100000)&lt;0,0,IF((O80-1100000)&lt;500000,0.19*(O80-1100000),95000))</f>
        <v>95000</v>
      </c>
      <c r="T80" s="423">
        <f t="shared" ref="T80:T89" si="76">IF((O80-1600000)&lt;0,0,IF((O80-1600000)&lt;1600000,0.21*(O80-1600000),336000))</f>
        <v>336000</v>
      </c>
      <c r="U80" s="423">
        <f t="shared" ref="U80:U88" si="77">24%*(O80-3200000)</f>
        <v>1329073.62048</v>
      </c>
      <c r="V80" s="423">
        <f t="shared" ref="V80:V89" si="78">P80+Q80+R80+S80+T80+U80</f>
        <v>1889073.62048</v>
      </c>
      <c r="W80" s="430">
        <v>12</v>
      </c>
      <c r="X80" s="423">
        <f t="shared" ref="X80:X89" si="79">V80/W80</f>
        <v>157422.801706667</v>
      </c>
      <c r="Y80" s="426"/>
      <c r="Z80" s="423">
        <f t="shared" ref="Z80:Z89" si="80">X80</f>
        <v>157422.801706667</v>
      </c>
      <c r="AA80" s="423">
        <v>99156.9391466667</v>
      </c>
      <c r="AB80" s="435">
        <f>Z80-AA80</f>
        <v>58265.8625599999</v>
      </c>
      <c r="AC80" s="435" t="s">
        <v>158</v>
      </c>
      <c r="AD80" s="435"/>
      <c r="AE80" s="435"/>
    </row>
    <row r="81" spans="1:31" ht="18.75">
      <c r="A81" s="420">
        <v>69</v>
      </c>
      <c r="B81" s="9" t="s">
        <v>159</v>
      </c>
      <c r="C81" s="423">
        <v>780675.58333333302</v>
      </c>
      <c r="D81" s="422">
        <v>12</v>
      </c>
      <c r="E81" s="423">
        <f t="shared" ref="E81:E87" si="81">C81*D81</f>
        <v>9368107</v>
      </c>
      <c r="F81" s="423">
        <f>'[6]JANUARY 2024'!$V$86*12</f>
        <v>10052.25</v>
      </c>
      <c r="G81" s="424">
        <v>595848.56000000006</v>
      </c>
      <c r="H81" s="426"/>
      <c r="I81" s="423">
        <f t="shared" si="67"/>
        <v>8762206.1899999995</v>
      </c>
      <c r="J81" s="423">
        <v>200000</v>
      </c>
      <c r="K81" s="423">
        <v>0.2</v>
      </c>
      <c r="L81" s="423">
        <f t="shared" si="68"/>
        <v>1752441.2379999999</v>
      </c>
      <c r="M81" s="423">
        <f t="shared" si="69"/>
        <v>1952441.2379999999</v>
      </c>
      <c r="N81" s="423">
        <f t="shared" si="70"/>
        <v>2558342.048</v>
      </c>
      <c r="O81" s="423">
        <f t="shared" si="71"/>
        <v>6809764.9519999996</v>
      </c>
      <c r="P81" s="423">
        <f t="shared" si="72"/>
        <v>21000</v>
      </c>
      <c r="Q81" s="423">
        <f t="shared" si="73"/>
        <v>33000</v>
      </c>
      <c r="R81" s="423">
        <f t="shared" si="74"/>
        <v>75000</v>
      </c>
      <c r="S81" s="423">
        <f t="shared" si="75"/>
        <v>95000</v>
      </c>
      <c r="T81" s="423">
        <f t="shared" si="76"/>
        <v>336000</v>
      </c>
      <c r="U81" s="423">
        <f t="shared" si="77"/>
        <v>866343.58847999992</v>
      </c>
      <c r="V81" s="423">
        <f t="shared" si="78"/>
        <v>1426343.5884799999</v>
      </c>
      <c r="W81" s="430">
        <v>12</v>
      </c>
      <c r="X81" s="423">
        <f t="shared" si="79"/>
        <v>118861.96570666666</v>
      </c>
      <c r="Y81" s="426"/>
      <c r="Z81" s="423">
        <f t="shared" si="80"/>
        <v>118861.96570666666</v>
      </c>
      <c r="AA81" s="423">
        <v>98996.103146666705</v>
      </c>
      <c r="AB81" s="435">
        <f t="shared" ref="AB81:AB87" si="82">Z81-AA81</f>
        <v>19865.86255999995</v>
      </c>
      <c r="AC81" s="435" t="s">
        <v>159</v>
      </c>
      <c r="AD81" s="435"/>
      <c r="AE81" s="435"/>
    </row>
    <row r="82" spans="1:31" ht="37.5">
      <c r="A82" s="420">
        <v>70</v>
      </c>
      <c r="B82" s="9" t="s">
        <v>160</v>
      </c>
      <c r="C82" s="423">
        <v>587895.16666666698</v>
      </c>
      <c r="D82" s="422">
        <v>12</v>
      </c>
      <c r="E82" s="423">
        <f t="shared" si="81"/>
        <v>7054742</v>
      </c>
      <c r="F82" s="423"/>
      <c r="G82" s="424">
        <v>558833.36</v>
      </c>
      <c r="H82" s="426"/>
      <c r="I82" s="423">
        <f t="shared" si="67"/>
        <v>6495908.6399999997</v>
      </c>
      <c r="J82" s="423">
        <v>200000</v>
      </c>
      <c r="K82" s="423">
        <v>0.2</v>
      </c>
      <c r="L82" s="423">
        <f t="shared" si="68"/>
        <v>1299181.7279999999</v>
      </c>
      <c r="M82" s="423">
        <f t="shared" si="69"/>
        <v>1499181.7279999999</v>
      </c>
      <c r="N82" s="423">
        <f t="shared" si="70"/>
        <v>2058015.088</v>
      </c>
      <c r="O82" s="423">
        <f t="shared" si="71"/>
        <v>4996726.9119999995</v>
      </c>
      <c r="P82" s="423">
        <f t="shared" si="72"/>
        <v>21000</v>
      </c>
      <c r="Q82" s="423">
        <f t="shared" si="73"/>
        <v>33000</v>
      </c>
      <c r="R82" s="423">
        <f t="shared" si="74"/>
        <v>75000</v>
      </c>
      <c r="S82" s="423">
        <f t="shared" si="75"/>
        <v>95000</v>
      </c>
      <c r="T82" s="423">
        <f t="shared" si="76"/>
        <v>336000</v>
      </c>
      <c r="U82" s="423">
        <f t="shared" si="77"/>
        <v>431214.45887999999</v>
      </c>
      <c r="V82" s="423">
        <f t="shared" si="78"/>
        <v>991214.45888000005</v>
      </c>
      <c r="W82" s="430">
        <v>12</v>
      </c>
      <c r="X82" s="423">
        <f t="shared" si="79"/>
        <v>82601.204906666695</v>
      </c>
      <c r="Y82" s="426"/>
      <c r="Z82" s="423">
        <f t="shared" si="80"/>
        <v>82601.204906666695</v>
      </c>
      <c r="AA82" s="423">
        <v>79956.9391466667</v>
      </c>
      <c r="AB82" s="435">
        <f t="shared" si="82"/>
        <v>2644.2657600000098</v>
      </c>
      <c r="AC82" s="435" t="s">
        <v>160</v>
      </c>
      <c r="AD82" s="435"/>
      <c r="AE82" s="435"/>
    </row>
    <row r="83" spans="1:31" ht="18.75">
      <c r="A83" s="420">
        <v>71</v>
      </c>
      <c r="B83" s="9" t="s">
        <v>161</v>
      </c>
      <c r="C83" s="423">
        <v>582746.5</v>
      </c>
      <c r="D83" s="422">
        <v>12</v>
      </c>
      <c r="E83" s="423">
        <f t="shared" si="81"/>
        <v>6992958</v>
      </c>
      <c r="F83" s="423"/>
      <c r="G83" s="424">
        <v>424132.72</v>
      </c>
      <c r="H83" s="426"/>
      <c r="I83" s="423">
        <f t="shared" si="67"/>
        <v>6568825.2800000003</v>
      </c>
      <c r="J83" s="423">
        <v>200000</v>
      </c>
      <c r="K83" s="423">
        <v>0.2</v>
      </c>
      <c r="L83" s="423">
        <f t="shared" si="68"/>
        <v>1313765.0560000001</v>
      </c>
      <c r="M83" s="423">
        <f t="shared" si="69"/>
        <v>1513765.0560000001</v>
      </c>
      <c r="N83" s="423">
        <f t="shared" si="70"/>
        <v>1937897.7760000001</v>
      </c>
      <c r="O83" s="423">
        <f t="shared" si="71"/>
        <v>5055060.2240000004</v>
      </c>
      <c r="P83" s="423">
        <f t="shared" si="72"/>
        <v>21000</v>
      </c>
      <c r="Q83" s="423">
        <f t="shared" si="73"/>
        <v>33000</v>
      </c>
      <c r="R83" s="423">
        <f t="shared" si="74"/>
        <v>75000</v>
      </c>
      <c r="S83" s="423">
        <f t="shared" si="75"/>
        <v>95000</v>
      </c>
      <c r="T83" s="423">
        <f t="shared" si="76"/>
        <v>336000</v>
      </c>
      <c r="U83" s="423">
        <f t="shared" si="77"/>
        <v>445214.45376</v>
      </c>
      <c r="V83" s="423">
        <f t="shared" si="78"/>
        <v>1005214.4537599999</v>
      </c>
      <c r="W83" s="430">
        <v>12</v>
      </c>
      <c r="X83" s="423">
        <f t="shared" si="79"/>
        <v>83767.871146666701</v>
      </c>
      <c r="Y83" s="426"/>
      <c r="Z83" s="423">
        <f t="shared" si="80"/>
        <v>83767.871146666701</v>
      </c>
      <c r="AA83" s="423">
        <v>75574.677290666703</v>
      </c>
      <c r="AB83" s="435">
        <f t="shared" si="82"/>
        <v>8193.1938559999708</v>
      </c>
      <c r="AC83" s="435" t="s">
        <v>161</v>
      </c>
      <c r="AD83" s="435"/>
      <c r="AE83" s="435"/>
    </row>
    <row r="84" spans="1:31" ht="18.75">
      <c r="A84" s="420">
        <v>72</v>
      </c>
      <c r="B84" s="9" t="s">
        <v>162</v>
      </c>
      <c r="C84" s="423">
        <v>548915.91666666698</v>
      </c>
      <c r="D84" s="422">
        <v>12</v>
      </c>
      <c r="E84" s="423">
        <f t="shared" si="81"/>
        <v>6586991</v>
      </c>
      <c r="F84" s="423"/>
      <c r="G84" s="424">
        <v>411759.28</v>
      </c>
      <c r="H84" s="426"/>
      <c r="I84" s="423">
        <f t="shared" si="67"/>
        <v>6175231.7199999997</v>
      </c>
      <c r="J84" s="423">
        <v>200000</v>
      </c>
      <c r="K84" s="423">
        <v>0.2</v>
      </c>
      <c r="L84" s="423">
        <f t="shared" si="68"/>
        <v>1235046.344</v>
      </c>
      <c r="M84" s="423">
        <f t="shared" si="69"/>
        <v>1435046.344</v>
      </c>
      <c r="N84" s="423">
        <f t="shared" si="70"/>
        <v>1846805.6240000001</v>
      </c>
      <c r="O84" s="423">
        <f t="shared" si="71"/>
        <v>4740185.3760000002</v>
      </c>
      <c r="P84" s="423">
        <f t="shared" si="72"/>
        <v>21000</v>
      </c>
      <c r="Q84" s="423">
        <f t="shared" si="73"/>
        <v>33000</v>
      </c>
      <c r="R84" s="423">
        <f t="shared" si="74"/>
        <v>75000</v>
      </c>
      <c r="S84" s="423">
        <f t="shared" si="75"/>
        <v>95000</v>
      </c>
      <c r="T84" s="423">
        <f t="shared" si="76"/>
        <v>336000</v>
      </c>
      <c r="U84" s="423">
        <f t="shared" si="77"/>
        <v>369644.49024000001</v>
      </c>
      <c r="V84" s="423">
        <f t="shared" si="78"/>
        <v>929644.49023999996</v>
      </c>
      <c r="W84" s="430">
        <v>12</v>
      </c>
      <c r="X84" s="423">
        <f t="shared" si="79"/>
        <v>77470.374186666697</v>
      </c>
      <c r="Y84" s="426"/>
      <c r="Z84" s="423">
        <f t="shared" si="80"/>
        <v>77470.374186666697</v>
      </c>
      <c r="AA84" s="423">
        <v>50985.977546666698</v>
      </c>
      <c r="AB84" s="435">
        <f t="shared" si="82"/>
        <v>26484.396639999999</v>
      </c>
      <c r="AC84" s="435" t="s">
        <v>162</v>
      </c>
      <c r="AD84" s="435"/>
      <c r="AE84" s="435"/>
    </row>
    <row r="85" spans="1:31" ht="37.5">
      <c r="A85" s="420">
        <v>73</v>
      </c>
      <c r="B85" s="9" t="s">
        <v>163</v>
      </c>
      <c r="C85" s="423">
        <v>568870.75</v>
      </c>
      <c r="D85" s="422">
        <v>12</v>
      </c>
      <c r="E85" s="423">
        <f t="shared" si="81"/>
        <v>6826449</v>
      </c>
      <c r="F85" s="423"/>
      <c r="G85" s="424">
        <v>411715.92</v>
      </c>
      <c r="H85" s="426"/>
      <c r="I85" s="423">
        <f t="shared" si="67"/>
        <v>6414733.0800000001</v>
      </c>
      <c r="J85" s="423">
        <v>200000</v>
      </c>
      <c r="K85" s="423">
        <v>0.2</v>
      </c>
      <c r="L85" s="423">
        <f t="shared" si="68"/>
        <v>1282946.6159999999</v>
      </c>
      <c r="M85" s="423">
        <f t="shared" si="69"/>
        <v>1482946.6159999999</v>
      </c>
      <c r="N85" s="423">
        <f t="shared" si="70"/>
        <v>1894662.5360000001</v>
      </c>
      <c r="O85" s="423">
        <f t="shared" si="71"/>
        <v>4931786.4639999997</v>
      </c>
      <c r="P85" s="423">
        <f t="shared" si="72"/>
        <v>21000</v>
      </c>
      <c r="Q85" s="423">
        <f t="shared" si="73"/>
        <v>33000</v>
      </c>
      <c r="R85" s="423">
        <f t="shared" si="74"/>
        <v>75000</v>
      </c>
      <c r="S85" s="423">
        <f t="shared" si="75"/>
        <v>95000</v>
      </c>
      <c r="T85" s="423">
        <f t="shared" si="76"/>
        <v>336000</v>
      </c>
      <c r="U85" s="423">
        <f t="shared" si="77"/>
        <v>415628.75135999999</v>
      </c>
      <c r="V85" s="423">
        <f t="shared" si="78"/>
        <v>975628.75135999999</v>
      </c>
      <c r="W85" s="430">
        <v>12</v>
      </c>
      <c r="X85" s="423">
        <f t="shared" si="79"/>
        <v>81302.3959466667</v>
      </c>
      <c r="Y85" s="426"/>
      <c r="Z85" s="423">
        <f t="shared" si="80"/>
        <v>81302.3959466667</v>
      </c>
      <c r="AA85" s="423">
        <v>49548.776186666699</v>
      </c>
      <c r="AB85" s="435">
        <f t="shared" si="82"/>
        <v>31753.619760000001</v>
      </c>
      <c r="AC85" s="435" t="s">
        <v>163</v>
      </c>
      <c r="AD85" s="435"/>
      <c r="AE85" s="435"/>
    </row>
    <row r="86" spans="1:31" ht="18.75">
      <c r="A86" s="420">
        <v>74</v>
      </c>
      <c r="B86" s="9" t="s">
        <v>165</v>
      </c>
      <c r="C86" s="423">
        <v>475703.83333333302</v>
      </c>
      <c r="D86" s="422">
        <v>12</v>
      </c>
      <c r="E86" s="423">
        <f t="shared" si="81"/>
        <v>5708446</v>
      </c>
      <c r="F86" s="423"/>
      <c r="G86" s="429">
        <f>29256.3066666667*12</f>
        <v>351075.68</v>
      </c>
      <c r="H86" s="426"/>
      <c r="I86" s="423">
        <f t="shared" si="67"/>
        <v>5357370.32</v>
      </c>
      <c r="J86" s="423">
        <v>200000</v>
      </c>
      <c r="K86" s="423">
        <v>0.2</v>
      </c>
      <c r="L86" s="423">
        <f t="shared" si="68"/>
        <v>1071474.064</v>
      </c>
      <c r="M86" s="423">
        <f t="shared" si="69"/>
        <v>1271474.064</v>
      </c>
      <c r="N86" s="423">
        <f t="shared" si="70"/>
        <v>1622549.7439999999</v>
      </c>
      <c r="O86" s="423">
        <f t="shared" si="71"/>
        <v>4085896.2560000001</v>
      </c>
      <c r="P86" s="423">
        <f t="shared" si="72"/>
        <v>21000</v>
      </c>
      <c r="Q86" s="423">
        <f t="shared" si="73"/>
        <v>33000</v>
      </c>
      <c r="R86" s="423">
        <f t="shared" si="74"/>
        <v>75000</v>
      </c>
      <c r="S86" s="423">
        <f t="shared" si="75"/>
        <v>95000</v>
      </c>
      <c r="T86" s="423">
        <f t="shared" si="76"/>
        <v>336000</v>
      </c>
      <c r="U86" s="423">
        <f t="shared" si="77"/>
        <v>212615.10144</v>
      </c>
      <c r="V86" s="423">
        <f t="shared" si="78"/>
        <v>772615.10144</v>
      </c>
      <c r="W86" s="430">
        <v>12</v>
      </c>
      <c r="X86" s="423">
        <f t="shared" si="79"/>
        <v>64384.591786666701</v>
      </c>
      <c r="Y86" s="426"/>
      <c r="Z86" s="423">
        <f t="shared" si="80"/>
        <v>64384.591786666701</v>
      </c>
      <c r="AA86" s="423">
        <v>53384.053562666697</v>
      </c>
      <c r="AB86" s="435">
        <f t="shared" si="82"/>
        <v>11000.538224</v>
      </c>
      <c r="AC86" s="435" t="s">
        <v>165</v>
      </c>
      <c r="AD86" s="435"/>
      <c r="AE86" s="435"/>
    </row>
    <row r="87" spans="1:31" ht="24" customHeight="1">
      <c r="A87" s="420">
        <v>75</v>
      </c>
      <c r="B87" s="9" t="s">
        <v>166</v>
      </c>
      <c r="C87" s="423">
        <v>510248.91666666698</v>
      </c>
      <c r="D87" s="422">
        <v>12</v>
      </c>
      <c r="E87" s="423">
        <f t="shared" si="81"/>
        <v>6122987</v>
      </c>
      <c r="F87" s="423">
        <f>'[6]JANUARY 2024'!$V$92*12</f>
        <v>6922.4969999999994</v>
      </c>
      <c r="G87" s="424">
        <v>374638.96</v>
      </c>
      <c r="H87" s="426"/>
      <c r="I87" s="423">
        <f t="shared" si="67"/>
        <v>5741425.5429999996</v>
      </c>
      <c r="J87" s="423">
        <v>200000</v>
      </c>
      <c r="K87" s="423">
        <v>0.2</v>
      </c>
      <c r="L87" s="423">
        <f t="shared" si="68"/>
        <v>1148285.1085999999</v>
      </c>
      <c r="M87" s="423">
        <f t="shared" si="69"/>
        <v>1348285.1085999999</v>
      </c>
      <c r="N87" s="423">
        <f t="shared" si="70"/>
        <v>1729846.5655999999</v>
      </c>
      <c r="O87" s="423">
        <f t="shared" si="71"/>
        <v>4393140.4343999997</v>
      </c>
      <c r="P87" s="423">
        <f t="shared" si="72"/>
        <v>21000</v>
      </c>
      <c r="Q87" s="423">
        <f t="shared" si="73"/>
        <v>33000</v>
      </c>
      <c r="R87" s="423">
        <f t="shared" si="74"/>
        <v>75000</v>
      </c>
      <c r="S87" s="423">
        <f t="shared" si="75"/>
        <v>95000</v>
      </c>
      <c r="T87" s="423">
        <f t="shared" si="76"/>
        <v>336000</v>
      </c>
      <c r="U87" s="423">
        <f t="shared" si="77"/>
        <v>286353.70425599994</v>
      </c>
      <c r="V87" s="423">
        <f t="shared" si="78"/>
        <v>846353.704256</v>
      </c>
      <c r="W87" s="430">
        <v>12</v>
      </c>
      <c r="X87" s="423">
        <f t="shared" si="79"/>
        <v>70529.475354666662</v>
      </c>
      <c r="Y87" s="426"/>
      <c r="Z87" s="423">
        <f t="shared" si="80"/>
        <v>70529.475354666662</v>
      </c>
      <c r="AA87" s="423">
        <v>41242.0361406667</v>
      </c>
      <c r="AB87" s="435">
        <f t="shared" si="82"/>
        <v>29287.439213999962</v>
      </c>
      <c r="AC87" s="435" t="s">
        <v>166</v>
      </c>
      <c r="AD87" s="435"/>
      <c r="AE87" s="435"/>
    </row>
    <row r="88" spans="1:31" ht="18.75">
      <c r="A88" s="420">
        <v>76</v>
      </c>
      <c r="B88" s="9" t="s">
        <v>169</v>
      </c>
      <c r="C88" s="423">
        <v>400965.58333333302</v>
      </c>
      <c r="D88" s="422">
        <v>12</v>
      </c>
      <c r="E88" s="423">
        <f t="shared" ref="E88:E89" si="83">C88*D88</f>
        <v>4811587</v>
      </c>
      <c r="F88" s="423"/>
      <c r="G88" s="424">
        <v>288926.96000000002</v>
      </c>
      <c r="H88" s="426"/>
      <c r="I88" s="423">
        <f t="shared" si="67"/>
        <v>4522660.04</v>
      </c>
      <c r="J88" s="423">
        <v>200000</v>
      </c>
      <c r="K88" s="423">
        <v>0.2</v>
      </c>
      <c r="L88" s="423">
        <f t="shared" si="68"/>
        <v>904532.00800000003</v>
      </c>
      <c r="M88" s="423">
        <f t="shared" si="69"/>
        <v>1104532.0079999999</v>
      </c>
      <c r="N88" s="423">
        <f t="shared" si="70"/>
        <v>1393458.9680000001</v>
      </c>
      <c r="O88" s="423">
        <f t="shared" si="71"/>
        <v>3418128.0320000001</v>
      </c>
      <c r="P88" s="423">
        <f t="shared" si="72"/>
        <v>21000</v>
      </c>
      <c r="Q88" s="423">
        <f t="shared" si="73"/>
        <v>33000</v>
      </c>
      <c r="R88" s="423">
        <f t="shared" si="74"/>
        <v>75000</v>
      </c>
      <c r="S88" s="423">
        <f t="shared" si="75"/>
        <v>95000</v>
      </c>
      <c r="T88" s="423">
        <f t="shared" si="76"/>
        <v>336000</v>
      </c>
      <c r="U88" s="423">
        <f t="shared" si="77"/>
        <v>52350.727680000004</v>
      </c>
      <c r="V88" s="423">
        <f t="shared" si="78"/>
        <v>612350.72768000001</v>
      </c>
      <c r="W88" s="430">
        <v>12</v>
      </c>
      <c r="X88" s="423">
        <f t="shared" si="79"/>
        <v>51029.227306666697</v>
      </c>
      <c r="Y88" s="426"/>
      <c r="Z88" s="423">
        <f t="shared" si="80"/>
        <v>51029.227306666697</v>
      </c>
      <c r="AA88" s="423">
        <v>45414.4562526667</v>
      </c>
      <c r="AB88" s="435">
        <f t="shared" ref="AB88:AB89" si="84">Z88-AA88</f>
        <v>5614.7710539999998</v>
      </c>
      <c r="AC88" s="435" t="s">
        <v>169</v>
      </c>
      <c r="AD88" s="435"/>
      <c r="AE88" s="435"/>
    </row>
    <row r="89" spans="1:31" ht="18.75">
      <c r="A89" s="420"/>
      <c r="B89" s="9" t="s">
        <v>171</v>
      </c>
      <c r="C89" s="423">
        <v>330631.91666666698</v>
      </c>
      <c r="D89" s="422">
        <v>12</v>
      </c>
      <c r="E89" s="423">
        <f t="shared" si="83"/>
        <v>3967583</v>
      </c>
      <c r="F89" s="423"/>
      <c r="G89" s="424">
        <v>221406.64</v>
      </c>
      <c r="H89" s="426"/>
      <c r="I89" s="423">
        <f t="shared" si="67"/>
        <v>3746176.36</v>
      </c>
      <c r="J89" s="423">
        <v>200000</v>
      </c>
      <c r="K89" s="423">
        <v>0.2</v>
      </c>
      <c r="L89" s="423">
        <f t="shared" si="68"/>
        <v>749235.272</v>
      </c>
      <c r="M89" s="423">
        <f t="shared" si="69"/>
        <v>949235.272</v>
      </c>
      <c r="N89" s="423">
        <f t="shared" si="70"/>
        <v>1170641.912</v>
      </c>
      <c r="O89" s="423">
        <f t="shared" si="71"/>
        <v>2796941.088</v>
      </c>
      <c r="P89" s="423">
        <f t="shared" si="72"/>
        <v>21000</v>
      </c>
      <c r="Q89" s="423">
        <f t="shared" si="73"/>
        <v>33000</v>
      </c>
      <c r="R89" s="423">
        <f t="shared" si="74"/>
        <v>75000</v>
      </c>
      <c r="S89" s="423">
        <f t="shared" si="75"/>
        <v>95000</v>
      </c>
      <c r="T89" s="423">
        <f t="shared" si="76"/>
        <v>251357.62848000001</v>
      </c>
      <c r="U89" s="423"/>
      <c r="V89" s="423">
        <f t="shared" si="78"/>
        <v>475357.62848000001</v>
      </c>
      <c r="W89" s="430">
        <v>12</v>
      </c>
      <c r="X89" s="423">
        <f t="shared" si="79"/>
        <v>39613.135706666697</v>
      </c>
      <c r="Y89" s="426"/>
      <c r="Z89" s="423">
        <f t="shared" si="80"/>
        <v>39613.135706666697</v>
      </c>
      <c r="AA89" s="423">
        <v>33825.986562666702</v>
      </c>
      <c r="AB89" s="435">
        <f t="shared" si="84"/>
        <v>5787.149144</v>
      </c>
      <c r="AC89" s="435" t="s">
        <v>171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174</v>
      </c>
      <c r="C92" s="423"/>
      <c r="AC92" s="435"/>
      <c r="AD92" s="435"/>
      <c r="AE92" s="435"/>
    </row>
    <row r="93" spans="1:31" ht="37.5">
      <c r="A93" s="420">
        <v>79</v>
      </c>
      <c r="B93" s="12" t="s">
        <v>175</v>
      </c>
      <c r="C93" s="423">
        <v>1452042.67</v>
      </c>
      <c r="D93" s="422">
        <v>12</v>
      </c>
      <c r="E93" s="423">
        <f>C93*D93</f>
        <v>17424512.039999999</v>
      </c>
      <c r="F93" s="423">
        <f>'[6]JANUARY 2024'!$V$98*12</f>
        <v>12795.951000000001</v>
      </c>
      <c r="G93" s="424">
        <f>(0.08*1352042.67)*12</f>
        <v>1297960.9632000001</v>
      </c>
      <c r="H93" s="426"/>
      <c r="I93" s="423">
        <f>E93-F93-G93-H93</f>
        <v>16113755.125799999</v>
      </c>
      <c r="J93" s="423">
        <v>200000</v>
      </c>
      <c r="K93" s="423">
        <v>0.2</v>
      </c>
      <c r="L93" s="423">
        <f>I93*K93</f>
        <v>3222751.0251599997</v>
      </c>
      <c r="M93" s="423">
        <f>J93+L93</f>
        <v>3422751.0251599997</v>
      </c>
      <c r="N93" s="423">
        <f>F93+G93+H93+M93</f>
        <v>4733507.9393600002</v>
      </c>
      <c r="O93" s="423">
        <f>E93-N93</f>
        <v>12691004.100639999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2277840.9841535995</v>
      </c>
      <c r="V93" s="423">
        <f>P93+Q93+R93+S93+T93+U93</f>
        <v>2837840.9841535995</v>
      </c>
      <c r="W93" s="430">
        <v>12</v>
      </c>
      <c r="X93" s="423">
        <f>V93/W93</f>
        <v>236486.74867946663</v>
      </c>
      <c r="Y93" s="426"/>
      <c r="Z93" s="423">
        <f>X93</f>
        <v>236486.74867946663</v>
      </c>
      <c r="AA93" s="435">
        <v>82423.216202666707</v>
      </c>
      <c r="AB93" s="435">
        <f>Z93-AA93</f>
        <v>154063.53247679991</v>
      </c>
      <c r="AC93" s="435" t="s">
        <v>175</v>
      </c>
      <c r="AD93" s="435"/>
      <c r="AE93" s="435"/>
    </row>
    <row r="94" spans="1:31" ht="18.75">
      <c r="A94" s="420">
        <v>80</v>
      </c>
      <c r="B94" s="9" t="s">
        <v>178</v>
      </c>
      <c r="C94" s="423">
        <v>526622.25</v>
      </c>
      <c r="D94" s="422">
        <v>12</v>
      </c>
      <c r="E94" s="423">
        <f t="shared" ref="E94:E96" si="85">C94*D94</f>
        <v>6319467</v>
      </c>
      <c r="F94" s="423"/>
      <c r="G94" s="424">
        <v>438357.36</v>
      </c>
      <c r="H94" s="426"/>
      <c r="I94" s="423">
        <f>E94-F94-G94-H94</f>
        <v>5881109.6399999997</v>
      </c>
      <c r="J94" s="423">
        <v>200000</v>
      </c>
      <c r="K94" s="423">
        <v>0.2</v>
      </c>
      <c r="L94" s="423">
        <f>I94*K94</f>
        <v>1176221.9280000001</v>
      </c>
      <c r="M94" s="423">
        <f>J94+L94</f>
        <v>1376221.9280000001</v>
      </c>
      <c r="N94" s="423">
        <f>F94+G94+H94+M94</f>
        <v>1814579.2879999999</v>
      </c>
      <c r="O94" s="423">
        <f>E94-N94</f>
        <v>4504887.7120000003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336000</v>
      </c>
      <c r="U94" s="423">
        <f t="shared" ref="U94:U95" si="86">24%*(O94-3200000)</f>
        <v>313173.05088</v>
      </c>
      <c r="V94" s="423">
        <f>P94+Q94+R94+S94+T94+U94</f>
        <v>873173.05088</v>
      </c>
      <c r="W94" s="430">
        <v>12</v>
      </c>
      <c r="X94" s="423">
        <f>V94/W94</f>
        <v>72764.420906666695</v>
      </c>
      <c r="Y94" s="426"/>
      <c r="Z94" s="423">
        <f>X94</f>
        <v>72764.420906666695</v>
      </c>
      <c r="AA94" s="435">
        <v>82627.951418666693</v>
      </c>
      <c r="AB94" s="435">
        <f t="shared" ref="AB94:AB96" si="87">Z94-AA94</f>
        <v>-9863.5305120000303</v>
      </c>
      <c r="AC94" s="435" t="s">
        <v>178</v>
      </c>
      <c r="AD94" s="435"/>
      <c r="AE94" s="435"/>
    </row>
    <row r="95" spans="1:31" ht="37.5">
      <c r="A95" s="420">
        <v>81</v>
      </c>
      <c r="B95" s="9" t="s">
        <v>182</v>
      </c>
      <c r="C95" s="423">
        <v>437895.16666666698</v>
      </c>
      <c r="D95" s="422">
        <v>12</v>
      </c>
      <c r="E95" s="423">
        <f t="shared" si="85"/>
        <v>5254742</v>
      </c>
      <c r="F95" s="423"/>
      <c r="G95" s="424">
        <v>362779.36</v>
      </c>
      <c r="H95" s="426"/>
      <c r="I95" s="423">
        <f>E95-F95-G95-H95</f>
        <v>4891962.6399999997</v>
      </c>
      <c r="J95" s="423">
        <v>200000</v>
      </c>
      <c r="K95" s="423">
        <v>0.2</v>
      </c>
      <c r="L95" s="423">
        <f>I95*K95</f>
        <v>978392.52800000005</v>
      </c>
      <c r="M95" s="423">
        <f>J95+L95</f>
        <v>1178392.5279999999</v>
      </c>
      <c r="N95" s="423">
        <f>F95+G95+H95+M95</f>
        <v>1541171.888</v>
      </c>
      <c r="O95" s="423">
        <f>E95-N95</f>
        <v>3713570.1120000002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336000</v>
      </c>
      <c r="U95" s="423">
        <f t="shared" si="86"/>
        <v>123256.82687999999</v>
      </c>
      <c r="V95" s="423">
        <f>P95+Q95+R95+S95+T95+U95</f>
        <v>683256.82687999995</v>
      </c>
      <c r="W95" s="430">
        <v>12</v>
      </c>
      <c r="X95" s="423">
        <f>V95/W95</f>
        <v>56938.068906666696</v>
      </c>
      <c r="Y95" s="426"/>
      <c r="Z95" s="423">
        <f>X95</f>
        <v>56938.068906666696</v>
      </c>
      <c r="AA95" s="435">
        <v>43492.373376666699</v>
      </c>
      <c r="AB95" s="435">
        <f t="shared" si="87"/>
        <v>13445.695530000001</v>
      </c>
      <c r="AC95" s="435" t="s">
        <v>182</v>
      </c>
      <c r="AD95" s="435"/>
      <c r="AE95" s="435"/>
    </row>
    <row r="96" spans="1:31" ht="18.75">
      <c r="A96" s="420"/>
      <c r="B96" s="9" t="s">
        <v>184</v>
      </c>
      <c r="C96" s="423">
        <v>360965.58333333302</v>
      </c>
      <c r="D96" s="422">
        <v>12</v>
      </c>
      <c r="E96" s="423">
        <f t="shared" si="85"/>
        <v>4331587</v>
      </c>
      <c r="F96" s="423"/>
      <c r="G96" s="424">
        <v>288926.96000000002</v>
      </c>
      <c r="H96" s="426"/>
      <c r="I96" s="423">
        <f>E96-F96-G96-H96</f>
        <v>4042660.04</v>
      </c>
      <c r="J96" s="423">
        <v>200000</v>
      </c>
      <c r="K96" s="423">
        <v>0.2</v>
      </c>
      <c r="L96" s="423">
        <f>I96*K96</f>
        <v>808532.00800000003</v>
      </c>
      <c r="M96" s="423">
        <f>J96+L96</f>
        <v>1008532.008</v>
      </c>
      <c r="N96" s="423">
        <f>F96+G96+H96+M96</f>
        <v>1297458.9680000001</v>
      </c>
      <c r="O96" s="423">
        <f>E96-N96</f>
        <v>3034128.0320000001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301166.88672000001</v>
      </c>
      <c r="U96" s="423"/>
      <c r="V96" s="423">
        <f>P96+Q96+R96+S96+T96+U96</f>
        <v>525166.88671999995</v>
      </c>
      <c r="W96" s="430">
        <v>12</v>
      </c>
      <c r="X96" s="423">
        <f>V96/W96</f>
        <v>43763.907226666699</v>
      </c>
      <c r="Y96" s="426"/>
      <c r="Z96" s="423">
        <f>X96</f>
        <v>43763.907226666699</v>
      </c>
      <c r="AA96" s="435">
        <v>34968.882414666703</v>
      </c>
      <c r="AB96" s="435">
        <f t="shared" si="87"/>
        <v>8795.0248119999997</v>
      </c>
      <c r="AC96" s="435" t="s">
        <v>184</v>
      </c>
      <c r="AD96" s="435"/>
      <c r="AE96" s="435"/>
    </row>
    <row r="97" spans="1:31" ht="18.75">
      <c r="A97" s="420"/>
      <c r="B97" s="18" t="s">
        <v>96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AC98" s="435"/>
      <c r="AD98" s="435"/>
      <c r="AE98" s="435"/>
    </row>
    <row r="99" spans="1:31" ht="37.5">
      <c r="A99" s="420">
        <v>84</v>
      </c>
      <c r="B99" s="18" t="s">
        <v>186</v>
      </c>
      <c r="C99" s="423"/>
      <c r="G99" s="258">
        <v>0</v>
      </c>
      <c r="AB99" s="258" t="s">
        <v>516</v>
      </c>
      <c r="AC99" s="435"/>
      <c r="AD99" s="435"/>
      <c r="AE99" s="435"/>
    </row>
    <row r="100" spans="1:31" ht="18.75">
      <c r="A100" s="420">
        <v>85</v>
      </c>
      <c r="B100" s="9" t="s">
        <v>187</v>
      </c>
      <c r="C100" s="423">
        <v>1635720</v>
      </c>
      <c r="D100" s="422">
        <v>12</v>
      </c>
      <c r="E100" s="423">
        <f>C100*D100</f>
        <v>19628640</v>
      </c>
      <c r="F100" s="423"/>
      <c r="G100" s="424">
        <v>1378291.2</v>
      </c>
      <c r="H100" s="426"/>
      <c r="I100" s="423">
        <f t="shared" ref="I100:I105" si="88">E100-F100-G100-H100</f>
        <v>18250348.800000001</v>
      </c>
      <c r="J100" s="423">
        <v>200000</v>
      </c>
      <c r="K100" s="423">
        <v>0.2</v>
      </c>
      <c r="L100" s="423">
        <f t="shared" ref="L100:L106" si="89">I100*K100</f>
        <v>3650069.76</v>
      </c>
      <c r="M100" s="423">
        <f t="shared" ref="M100:M106" si="90">J100+L100</f>
        <v>3850069.76</v>
      </c>
      <c r="N100" s="423">
        <f t="shared" ref="N100:N105" si="91">F100+G100+H100+M100</f>
        <v>5228360.96</v>
      </c>
      <c r="O100" s="423">
        <f t="shared" ref="O100:O106" si="92">E100-N100</f>
        <v>14400279.039999999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2688066.9696</v>
      </c>
      <c r="V100" s="423">
        <f t="shared" ref="V100:V106" si="98">P100+Q100+R100+S100+T100+U100</f>
        <v>3248066.9696</v>
      </c>
      <c r="W100" s="430">
        <v>12</v>
      </c>
      <c r="X100" s="423">
        <f t="shared" ref="X100:X106" si="99">V100/W100</f>
        <v>270672.24746666697</v>
      </c>
      <c r="Y100" s="426"/>
      <c r="Z100" s="423">
        <f t="shared" ref="Z100:Z106" si="100">X100</f>
        <v>270672.24746666697</v>
      </c>
      <c r="AA100" s="435">
        <v>180306.806858667</v>
      </c>
      <c r="AB100" s="435">
        <f>Z100-AA100</f>
        <v>90365.440607999903</v>
      </c>
      <c r="AC100" s="435" t="s">
        <v>187</v>
      </c>
      <c r="AD100" s="435"/>
      <c r="AE100" s="435"/>
    </row>
    <row r="101" spans="1:31" ht="18.75">
      <c r="A101" s="420">
        <v>86</v>
      </c>
      <c r="B101" s="9" t="s">
        <v>189</v>
      </c>
      <c r="C101" s="423">
        <v>942373.16666666698</v>
      </c>
      <c r="D101" s="422">
        <v>12</v>
      </c>
      <c r="E101" s="423">
        <f t="shared" ref="E101:E106" si="101">C101*D101</f>
        <v>11308478</v>
      </c>
      <c r="F101" s="423">
        <f>'[6]JANUARY 2024'!$V$106*12</f>
        <v>12795.951000000001</v>
      </c>
      <c r="G101" s="424">
        <v>731878.24</v>
      </c>
      <c r="H101" s="426"/>
      <c r="I101" s="423">
        <f t="shared" si="88"/>
        <v>10563803.809</v>
      </c>
      <c r="J101" s="423">
        <v>200000</v>
      </c>
      <c r="K101" s="423">
        <v>0.2</v>
      </c>
      <c r="L101" s="423">
        <f t="shared" si="89"/>
        <v>2112760.7618</v>
      </c>
      <c r="M101" s="423">
        <f t="shared" si="90"/>
        <v>2312760.7618</v>
      </c>
      <c r="N101" s="423">
        <f t="shared" si="91"/>
        <v>3057434.9528000001</v>
      </c>
      <c r="O101" s="423">
        <f t="shared" si="92"/>
        <v>8251043.0471999999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1212250.3313279999</v>
      </c>
      <c r="V101" s="423">
        <f t="shared" si="98"/>
        <v>1772250.3313279999</v>
      </c>
      <c r="W101" s="430">
        <v>12</v>
      </c>
      <c r="X101" s="423">
        <f t="shared" si="99"/>
        <v>147687.52761066667</v>
      </c>
      <c r="Y101" s="426"/>
      <c r="Z101" s="423">
        <f t="shared" si="100"/>
        <v>147687.52761066667</v>
      </c>
      <c r="AA101" s="435">
        <v>99703.216202666707</v>
      </c>
      <c r="AB101" s="435">
        <f t="shared" ref="AB101:AB106" si="102">Z101-AA101</f>
        <v>47984.311407999965</v>
      </c>
      <c r="AC101" s="435" t="s">
        <v>189</v>
      </c>
      <c r="AD101" s="435"/>
      <c r="AE101" s="435"/>
    </row>
    <row r="102" spans="1:31" ht="18.75">
      <c r="A102" s="420">
        <v>87</v>
      </c>
      <c r="B102" s="9" t="s">
        <v>192</v>
      </c>
      <c r="C102" s="423">
        <v>603237.85519166698</v>
      </c>
      <c r="D102" s="422">
        <v>12</v>
      </c>
      <c r="E102" s="423">
        <f t="shared" si="101"/>
        <v>7238854.2622999996</v>
      </c>
      <c r="F102" s="423">
        <f>'[6]JANUARY 2024'!$V$107*12</f>
        <v>7901.7899999999991</v>
      </c>
      <c r="G102" s="424">
        <v>424132.72</v>
      </c>
      <c r="H102" s="426"/>
      <c r="I102" s="423">
        <f t="shared" si="88"/>
        <v>6806819.7522999998</v>
      </c>
      <c r="J102" s="423">
        <v>200000</v>
      </c>
      <c r="K102" s="423">
        <v>0.2</v>
      </c>
      <c r="L102" s="423">
        <f t="shared" si="89"/>
        <v>1361363.95046</v>
      </c>
      <c r="M102" s="423">
        <f t="shared" si="90"/>
        <v>1561363.95046</v>
      </c>
      <c r="N102" s="423">
        <f t="shared" si="91"/>
        <v>1993398.46046</v>
      </c>
      <c r="O102" s="423">
        <f t="shared" si="92"/>
        <v>5245455.8018399999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490909.39244159992</v>
      </c>
      <c r="V102" s="423">
        <f t="shared" si="98"/>
        <v>1050909.3924415999</v>
      </c>
      <c r="W102" s="430">
        <v>12</v>
      </c>
      <c r="X102" s="423">
        <f t="shared" si="99"/>
        <v>87575.782703466655</v>
      </c>
      <c r="Y102" s="426"/>
      <c r="Z102" s="423">
        <f t="shared" si="100"/>
        <v>87575.782703466655</v>
      </c>
      <c r="AA102" s="435">
        <v>180180.378218667</v>
      </c>
      <c r="AB102" s="435">
        <f t="shared" si="102"/>
        <v>-92604.595515200344</v>
      </c>
      <c r="AC102" s="435" t="s">
        <v>192</v>
      </c>
      <c r="AD102" s="435"/>
      <c r="AE102" s="435"/>
    </row>
    <row r="103" spans="1:31" ht="18.75">
      <c r="A103" s="420">
        <v>88</v>
      </c>
      <c r="B103" s="9" t="s">
        <v>195</v>
      </c>
      <c r="C103" s="423">
        <v>601625.033321667</v>
      </c>
      <c r="D103" s="422">
        <v>12</v>
      </c>
      <c r="E103" s="423">
        <f t="shared" si="101"/>
        <v>7219500.3998600002</v>
      </c>
      <c r="F103" s="423"/>
      <c r="G103" s="424">
        <v>424132.72</v>
      </c>
      <c r="H103" s="426"/>
      <c r="I103" s="423">
        <f t="shared" si="88"/>
        <v>6795367.6798599996</v>
      </c>
      <c r="J103" s="423">
        <v>200000</v>
      </c>
      <c r="K103" s="423">
        <v>0.2</v>
      </c>
      <c r="L103" s="423">
        <f t="shared" si="89"/>
        <v>1359073.5359720001</v>
      </c>
      <c r="M103" s="423">
        <f t="shared" si="90"/>
        <v>1559073.5359720001</v>
      </c>
      <c r="N103" s="423">
        <f t="shared" si="91"/>
        <v>1983206.2559720001</v>
      </c>
      <c r="O103" s="423">
        <f t="shared" si="92"/>
        <v>5236294.1438880004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488710.59453311999</v>
      </c>
      <c r="V103" s="423">
        <f t="shared" si="98"/>
        <v>1048710.59453312</v>
      </c>
      <c r="W103" s="430">
        <v>12</v>
      </c>
      <c r="X103" s="423">
        <f t="shared" si="99"/>
        <v>87392.5495444267</v>
      </c>
      <c r="Y103" s="426"/>
      <c r="Z103" s="423">
        <f t="shared" si="100"/>
        <v>87392.5495444267</v>
      </c>
      <c r="AA103" s="435">
        <v>99907.951418666693</v>
      </c>
      <c r="AB103" s="435">
        <f t="shared" si="102"/>
        <v>-12515.40187424</v>
      </c>
      <c r="AC103" s="435" t="s">
        <v>195</v>
      </c>
      <c r="AD103" s="435"/>
      <c r="AE103" s="435"/>
    </row>
    <row r="104" spans="1:31" ht="18.75">
      <c r="A104" s="420">
        <v>89</v>
      </c>
      <c r="B104" s="9" t="s">
        <v>196</v>
      </c>
      <c r="C104" s="423">
        <v>374481.86414666701</v>
      </c>
      <c r="D104" s="422">
        <v>12</v>
      </c>
      <c r="E104" s="423">
        <f t="shared" si="101"/>
        <v>4493782.3697600001</v>
      </c>
      <c r="F104" s="423"/>
      <c r="G104" s="424">
        <v>239182.48</v>
      </c>
      <c r="H104" s="426"/>
      <c r="I104" s="423">
        <f t="shared" si="88"/>
        <v>4254599.8897599997</v>
      </c>
      <c r="J104" s="423">
        <v>200000</v>
      </c>
      <c r="K104" s="423">
        <v>0.2</v>
      </c>
      <c r="L104" s="423">
        <f t="shared" si="89"/>
        <v>850919.97795199999</v>
      </c>
      <c r="M104" s="423">
        <f t="shared" si="90"/>
        <v>1050919.977952</v>
      </c>
      <c r="N104" s="423">
        <f t="shared" si="91"/>
        <v>1290102.457952</v>
      </c>
      <c r="O104" s="423">
        <f t="shared" si="92"/>
        <v>3203679.9118079999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336000</v>
      </c>
      <c r="U104" s="423">
        <f>0.24*(O104-3200000)</f>
        <v>883.17883391987505</v>
      </c>
      <c r="V104" s="423">
        <f t="shared" si="98"/>
        <v>560883.17883392004</v>
      </c>
      <c r="W104" s="430">
        <v>12</v>
      </c>
      <c r="X104" s="423">
        <f t="shared" si="99"/>
        <v>46740.264902826697</v>
      </c>
      <c r="Y104" s="426"/>
      <c r="Z104" s="423">
        <f t="shared" si="100"/>
        <v>46740.264902826697</v>
      </c>
      <c r="AA104" s="435">
        <v>58941.101743466701</v>
      </c>
      <c r="AB104" s="435">
        <f t="shared" si="102"/>
        <v>-12200.83684064</v>
      </c>
      <c r="AC104" s="435" t="s">
        <v>196</v>
      </c>
      <c r="AD104" s="435"/>
      <c r="AE104" s="435"/>
    </row>
    <row r="105" spans="1:31" ht="37.5">
      <c r="A105" s="420"/>
      <c r="B105" s="16" t="s">
        <v>199</v>
      </c>
      <c r="C105" s="423">
        <v>367926.02100000001</v>
      </c>
      <c r="D105" s="422">
        <v>12</v>
      </c>
      <c r="E105" s="423">
        <f t="shared" si="101"/>
        <v>4415112.2520000003</v>
      </c>
      <c r="F105" s="423"/>
      <c r="G105" s="424">
        <v>233257.2</v>
      </c>
      <c r="H105" s="426"/>
      <c r="I105" s="423">
        <f t="shared" si="88"/>
        <v>4181855.0520000001</v>
      </c>
      <c r="J105" s="423">
        <v>200000</v>
      </c>
      <c r="K105" s="423">
        <v>0.2</v>
      </c>
      <c r="L105" s="423">
        <f t="shared" si="89"/>
        <v>836371.01040000003</v>
      </c>
      <c r="M105" s="423">
        <f t="shared" si="90"/>
        <v>1036371.0104</v>
      </c>
      <c r="N105" s="423">
        <f t="shared" si="91"/>
        <v>1269628.2104</v>
      </c>
      <c r="O105" s="423">
        <f t="shared" si="92"/>
        <v>3145484.0416000001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324551.648736</v>
      </c>
      <c r="U105" s="423"/>
      <c r="V105" s="423">
        <f t="shared" si="98"/>
        <v>548551.64873599994</v>
      </c>
      <c r="W105" s="430">
        <v>12</v>
      </c>
      <c r="X105" s="423">
        <f t="shared" si="99"/>
        <v>45712.637394666701</v>
      </c>
      <c r="Y105" s="426"/>
      <c r="Z105" s="423">
        <f t="shared" si="100"/>
        <v>45712.637394666701</v>
      </c>
      <c r="AA105" s="435">
        <v>58631.439944426696</v>
      </c>
      <c r="AB105" s="435">
        <f t="shared" si="102"/>
        <v>-12918.802549759999</v>
      </c>
      <c r="AC105" s="435" t="s">
        <v>199</v>
      </c>
      <c r="AD105" s="435"/>
      <c r="AE105" s="435"/>
    </row>
    <row r="106" spans="1:31" ht="18.75">
      <c r="A106" s="420"/>
      <c r="B106" s="16" t="s">
        <v>201</v>
      </c>
      <c r="C106" s="423">
        <v>355198.112111667</v>
      </c>
      <c r="D106" s="422">
        <v>12</v>
      </c>
      <c r="E106" s="423">
        <f t="shared" si="10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89"/>
        <v>808194.141068</v>
      </c>
      <c r="M106" s="423">
        <f t="shared" si="90"/>
        <v>1008194.141068</v>
      </c>
      <c r="N106" s="423">
        <f>F107+G106+H106+M106</f>
        <v>1229600.781068</v>
      </c>
      <c r="O106" s="423">
        <f t="shared" si="92"/>
        <v>3032776.564272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300883.07849712</v>
      </c>
      <c r="U106" s="423"/>
      <c r="V106" s="423">
        <f t="shared" si="98"/>
        <v>524883.07849711995</v>
      </c>
      <c r="W106" s="430">
        <v>12</v>
      </c>
      <c r="X106" s="423">
        <f t="shared" si="99"/>
        <v>43740.256541426701</v>
      </c>
      <c r="Y106" s="426"/>
      <c r="Z106" s="423">
        <f t="shared" si="100"/>
        <v>43740.256541426701</v>
      </c>
      <c r="AA106" s="435">
        <v>31871.335203306699</v>
      </c>
      <c r="AB106" s="435">
        <f t="shared" si="102"/>
        <v>11868.921338120001</v>
      </c>
      <c r="AC106" s="435" t="s">
        <v>201</v>
      </c>
      <c r="AD106" s="435"/>
      <c r="AE106" s="435"/>
    </row>
    <row r="107" spans="1:31" ht="18.75">
      <c r="A107" s="420"/>
      <c r="B107" s="18" t="s">
        <v>96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AC108" s="435"/>
      <c r="AD108" s="435"/>
      <c r="AE108" s="435"/>
    </row>
    <row r="109" spans="1:31" ht="37.5">
      <c r="A109" s="420">
        <v>91</v>
      </c>
      <c r="B109" s="18" t="s">
        <v>202</v>
      </c>
      <c r="C109" s="423"/>
      <c r="G109" s="424"/>
      <c r="U109" s="423"/>
      <c r="AC109" s="435"/>
      <c r="AD109" s="435"/>
      <c r="AE109" s="435"/>
    </row>
    <row r="110" spans="1:31" ht="37.5">
      <c r="A110" s="420">
        <v>92</v>
      </c>
      <c r="B110" s="12" t="s">
        <v>203</v>
      </c>
      <c r="C110" s="423">
        <v>761396.83333333302</v>
      </c>
      <c r="D110" s="422">
        <v>12</v>
      </c>
      <c r="E110" s="423">
        <f>C110*D110</f>
        <v>9136762</v>
      </c>
      <c r="F110" s="423">
        <f>'[6]JANUARY 2024'!$V$115*12</f>
        <v>9678.9600000000009</v>
      </c>
      <c r="G110" s="424">
        <v>577340.96</v>
      </c>
      <c r="H110" s="426"/>
      <c r="I110" s="423">
        <f>E110-F110-G110-H110</f>
        <v>8549742.0799999982</v>
      </c>
      <c r="J110" s="423">
        <v>200000</v>
      </c>
      <c r="K110" s="423">
        <v>0.2</v>
      </c>
      <c r="L110" s="423">
        <f>I110*K110</f>
        <v>1709948.4159999997</v>
      </c>
      <c r="M110" s="423">
        <f>J110+L110</f>
        <v>1909948.4159999997</v>
      </c>
      <c r="N110" s="423">
        <f>F110+G110+H110+M110</f>
        <v>2496968.3359999997</v>
      </c>
      <c r="O110" s="423">
        <f>E110-N110</f>
        <v>6639793.6640000008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41" si="103">0.24*(O110-3200000)</f>
        <v>825550.47936000011</v>
      </c>
      <c r="V110" s="423">
        <f>P110+Q110+R110+S110+T110+U110</f>
        <v>1385550.4793600002</v>
      </c>
      <c r="W110" s="430">
        <v>12</v>
      </c>
      <c r="X110" s="423">
        <f>V110/W110</f>
        <v>115462.53994666669</v>
      </c>
      <c r="Y110" s="426"/>
      <c r="Z110" s="423">
        <f>X110</f>
        <v>115462.53994666669</v>
      </c>
      <c r="AA110" s="435">
        <v>77610.116906666706</v>
      </c>
      <c r="AB110" s="435">
        <f>Z110-AA110</f>
        <v>37852.42303999998</v>
      </c>
      <c r="AC110" s="435"/>
      <c r="AD110" s="435"/>
      <c r="AE110" s="435"/>
    </row>
    <row r="111" spans="1:31" ht="18.75">
      <c r="A111" s="420">
        <v>93</v>
      </c>
      <c r="B111" s="9" t="s">
        <v>204</v>
      </c>
      <c r="C111" s="423">
        <v>487895.16666666698</v>
      </c>
      <c r="D111" s="422">
        <v>12</v>
      </c>
      <c r="E111" s="423">
        <f t="shared" ref="E111:E112" si="104">C111*D111</f>
        <v>5854742</v>
      </c>
      <c r="F111" s="423"/>
      <c r="G111" s="424">
        <v>362779.36</v>
      </c>
      <c r="H111" s="426"/>
      <c r="I111" s="423">
        <f>E111-F111-G111-H111</f>
        <v>5491962.6399999997</v>
      </c>
      <c r="J111" s="423">
        <v>200000</v>
      </c>
      <c r="K111" s="423">
        <v>0.2</v>
      </c>
      <c r="L111" s="423">
        <f>I111*K111</f>
        <v>1098392.5279999999</v>
      </c>
      <c r="M111" s="423">
        <f>J111+L111</f>
        <v>1298392.5279999999</v>
      </c>
      <c r="N111" s="423">
        <f>F111+G111+H111+M111</f>
        <v>1661171.888</v>
      </c>
      <c r="O111" s="423">
        <f>E111-N111</f>
        <v>4193570.1120000002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336000</v>
      </c>
      <c r="U111" s="423">
        <f t="shared" si="103"/>
        <v>238456.82688000001</v>
      </c>
      <c r="V111" s="423">
        <f>P111+Q111+R111+S111+T111+U111</f>
        <v>798456.82687999995</v>
      </c>
      <c r="W111" s="430">
        <v>12</v>
      </c>
      <c r="X111" s="423">
        <f>V111/W111</f>
        <v>66538.068906666696</v>
      </c>
      <c r="Y111" s="426"/>
      <c r="Z111" s="423">
        <f>X111</f>
        <v>66538.068906666696</v>
      </c>
      <c r="AA111" s="435">
        <v>43368.882414666703</v>
      </c>
      <c r="AB111" s="435">
        <f t="shared" ref="AB111:AB112" si="105">Z111-AA111</f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206</v>
      </c>
      <c r="C112" s="429">
        <v>450086.5</v>
      </c>
      <c r="D112" s="422">
        <v>12</v>
      </c>
      <c r="E112" s="423">
        <f t="shared" si="104"/>
        <v>5401038</v>
      </c>
      <c r="F112" s="423">
        <f>'[6]JANUARY 2024'!$V$117*12</f>
        <v>6919.4549999999999</v>
      </c>
      <c r="G112" s="424">
        <v>374483.04</v>
      </c>
      <c r="H112" s="426"/>
      <c r="I112" s="423">
        <f>E112-F112-G112-H112</f>
        <v>5019635.5049999999</v>
      </c>
      <c r="J112" s="423">
        <v>200000</v>
      </c>
      <c r="K112" s="423">
        <v>0.2</v>
      </c>
      <c r="L112" s="423">
        <f>I112*K112</f>
        <v>1003927.101</v>
      </c>
      <c r="M112" s="423">
        <f>J112+L112</f>
        <v>1203927.101</v>
      </c>
      <c r="N112" s="423">
        <f>F112+G112+H112+M112</f>
        <v>1585329.5959999999</v>
      </c>
      <c r="O112" s="423">
        <f>E112-N112</f>
        <v>3815708.4040000001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336000</v>
      </c>
      <c r="U112" s="423">
        <f t="shared" si="103"/>
        <v>147770.01696000001</v>
      </c>
      <c r="V112" s="423">
        <f>P112+Q112+R112+S112+T112+U112</f>
        <v>707770.01696000004</v>
      </c>
      <c r="W112" s="430">
        <v>12</v>
      </c>
      <c r="X112" s="423">
        <f>V112/W112</f>
        <v>58980.834746666667</v>
      </c>
      <c r="Y112" s="426"/>
      <c r="Z112" s="423">
        <f>X112</f>
        <v>58980.834746666667</v>
      </c>
      <c r="AA112" s="435">
        <v>35221.954086666701</v>
      </c>
      <c r="AB112" s="435">
        <f t="shared" si="105"/>
        <v>23758.880659999966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AC114" s="435"/>
      <c r="AD114" s="435"/>
      <c r="AE114" s="435"/>
    </row>
    <row r="115" spans="1:31" ht="18.75">
      <c r="A115" s="420">
        <v>97</v>
      </c>
      <c r="B115" s="18" t="s">
        <v>215</v>
      </c>
      <c r="C115" s="423"/>
      <c r="U115" s="436"/>
      <c r="AC115" s="435"/>
      <c r="AD115" s="435"/>
      <c r="AE115" s="435"/>
    </row>
    <row r="116" spans="1:31" ht="18.75">
      <c r="A116" s="420">
        <v>98</v>
      </c>
      <c r="B116" s="9" t="s">
        <v>216</v>
      </c>
      <c r="C116" s="423">
        <v>1635720</v>
      </c>
      <c r="D116" s="422">
        <v>12</v>
      </c>
      <c r="E116" s="423">
        <f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06">E116-F116-G116-H116</f>
        <v>18225826.794</v>
      </c>
      <c r="J116" s="423">
        <v>200000</v>
      </c>
      <c r="K116" s="423">
        <v>0.2</v>
      </c>
      <c r="L116" s="423">
        <f>I116*K116</f>
        <v>3645165.3588</v>
      </c>
      <c r="M116" s="423">
        <f>J116+L116</f>
        <v>3845165.3588</v>
      </c>
      <c r="N116" s="423">
        <f t="shared" ref="N116:N125" si="107">F116+G116+H116+M116</f>
        <v>5247978.5647999998</v>
      </c>
      <c r="O116" s="423">
        <f t="shared" ref="O116:O125" si="108">E116-N116</f>
        <v>14380661.4352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2683358.7444480001</v>
      </c>
      <c r="V116" s="423">
        <f>P116+Q116+R116+S116+T116+U116</f>
        <v>3243358.7444480001</v>
      </c>
      <c r="W116" s="430">
        <v>12</v>
      </c>
      <c r="X116" s="423">
        <f>V116/W116</f>
        <v>270279.89537066699</v>
      </c>
      <c r="Y116" s="426"/>
      <c r="Z116" s="423">
        <f>X116</f>
        <v>270279.89537066699</v>
      </c>
      <c r="AA116" s="435">
        <v>179914.45476266701</v>
      </c>
      <c r="AB116" s="435">
        <f>Z116-AA116</f>
        <v>90365.440608000004</v>
      </c>
      <c r="AC116" s="435"/>
      <c r="AD116" s="435"/>
      <c r="AE116" s="435"/>
    </row>
    <row r="117" spans="1:31" ht="18.75">
      <c r="A117" s="420">
        <v>99</v>
      </c>
      <c r="B117" s="9" t="s">
        <v>218</v>
      </c>
      <c r="C117" s="423">
        <v>929203.58333333302</v>
      </c>
      <c r="D117" s="422">
        <v>12</v>
      </c>
      <c r="E117" s="423">
        <f t="shared" ref="E117:E125" si="109">C117*D117</f>
        <v>11150443</v>
      </c>
      <c r="F117" s="423">
        <f>1028.94225*12</f>
        <v>12347.307000000001</v>
      </c>
      <c r="G117" s="424">
        <v>709635.44</v>
      </c>
      <c r="H117" s="426"/>
      <c r="I117" s="423">
        <f t="shared" si="106"/>
        <v>10428460.253</v>
      </c>
      <c r="J117" s="423">
        <v>200000</v>
      </c>
      <c r="K117" s="423">
        <v>0.2</v>
      </c>
      <c r="L117" s="423">
        <f>I117*K117</f>
        <v>2085692.0506</v>
      </c>
      <c r="M117" s="423">
        <f>J117+L117</f>
        <v>2285692.0506000002</v>
      </c>
      <c r="N117" s="423">
        <f t="shared" si="107"/>
        <v>3007674.7976000002</v>
      </c>
      <c r="O117" s="423">
        <f t="shared" si="108"/>
        <v>8142768.2023999998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1186264.368576</v>
      </c>
      <c r="V117" s="423">
        <f>P117+Q117+R117+S117+T117+U117</f>
        <v>1746264.368576</v>
      </c>
      <c r="W117" s="430">
        <v>12</v>
      </c>
      <c r="X117" s="423">
        <f>V117/W117</f>
        <v>145522.03071466699</v>
      </c>
      <c r="Y117" s="426"/>
      <c r="Z117" s="423">
        <f>X117</f>
        <v>145522.03071466699</v>
      </c>
      <c r="AA117" s="435">
        <v>98995.956938666699</v>
      </c>
      <c r="AB117" s="435">
        <f t="shared" ref="AB117:AB125" si="110">Z117-AA117</f>
        <v>46526.073775999997</v>
      </c>
      <c r="AC117" s="435"/>
      <c r="AD117" s="435"/>
      <c r="AE117" s="435"/>
    </row>
    <row r="118" spans="1:31" ht="18.75">
      <c r="A118" s="420"/>
      <c r="B118" s="12" t="s">
        <v>220</v>
      </c>
      <c r="C118" s="423">
        <v>830675.58333333302</v>
      </c>
      <c r="D118" s="422">
        <v>12</v>
      </c>
      <c r="E118" s="423">
        <f t="shared" si="109"/>
        <v>9968107</v>
      </c>
      <c r="F118" s="423">
        <f>837.6875*12</f>
        <v>10052.25</v>
      </c>
      <c r="G118" s="424">
        <v>595848.56000000006</v>
      </c>
      <c r="H118" s="426"/>
      <c r="I118" s="423">
        <f t="shared" si="106"/>
        <v>9362206.1899999995</v>
      </c>
      <c r="J118" s="423">
        <v>200000</v>
      </c>
      <c r="K118" s="423">
        <v>0.2</v>
      </c>
      <c r="L118" s="423">
        <f>I118*K118</f>
        <v>1872441.2379999999</v>
      </c>
      <c r="M118" s="423">
        <f>J118+L118</f>
        <v>2072441.2379999999</v>
      </c>
      <c r="N118" s="423">
        <f t="shared" si="107"/>
        <v>2678342.048</v>
      </c>
      <c r="O118" s="423">
        <f t="shared" si="108"/>
        <v>7289764.9519999996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981543.58848000003</v>
      </c>
      <c r="V118" s="423">
        <f>P118+Q118+R118+S118+T118+U118</f>
        <v>1541543.5884799999</v>
      </c>
      <c r="W118" s="430">
        <v>12</v>
      </c>
      <c r="X118" s="423">
        <f>V118/W118</f>
        <v>128461.965706667</v>
      </c>
      <c r="Y118" s="426"/>
      <c r="Z118" s="423">
        <f>X118</f>
        <v>128461.965706667</v>
      </c>
      <c r="AA118" s="435">
        <v>89396.103146666603</v>
      </c>
      <c r="AB118" s="435">
        <f t="shared" si="110"/>
        <v>39065.862560000001</v>
      </c>
      <c r="AC118" s="435"/>
      <c r="AD118" s="435"/>
      <c r="AE118" s="435"/>
    </row>
    <row r="119" spans="1:31" ht="18.75">
      <c r="A119" s="420"/>
      <c r="B119" s="12" t="s">
        <v>521</v>
      </c>
      <c r="C119" s="423">
        <v>662118.08333333302</v>
      </c>
      <c r="D119" s="422">
        <v>12</v>
      </c>
      <c r="E119" s="423">
        <f t="shared" si="109"/>
        <v>7945417</v>
      </c>
      <c r="F119" s="423"/>
      <c r="G119" s="424">
        <v>0</v>
      </c>
      <c r="H119" s="426"/>
      <c r="I119" s="423">
        <f t="shared" si="106"/>
        <v>7945417</v>
      </c>
      <c r="J119" s="423">
        <v>200000</v>
      </c>
      <c r="K119" s="423">
        <v>0.2</v>
      </c>
      <c r="L119" s="423">
        <f>I119*K119</f>
        <v>1589083.4</v>
      </c>
      <c r="M119" s="423">
        <f>J119+L119</f>
        <v>1789083.4</v>
      </c>
      <c r="N119" s="423">
        <f t="shared" si="107"/>
        <v>1789083.4</v>
      </c>
      <c r="O119" s="423">
        <f t="shared" si="108"/>
        <v>6156333.5999999996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709520.06400000001</v>
      </c>
      <c r="V119" s="423">
        <f>P119+Q119+R119+S119+T119+U119</f>
        <v>1269520.064</v>
      </c>
      <c r="W119" s="430">
        <v>12</v>
      </c>
      <c r="X119" s="423">
        <f>V119/W119</f>
        <v>105793.338666667</v>
      </c>
      <c r="Y119" s="426"/>
      <c r="Z119" s="423">
        <f>X119</f>
        <v>105793.338666667</v>
      </c>
      <c r="AA119" s="435">
        <v>60214.677290666703</v>
      </c>
      <c r="AB119" s="435">
        <f t="shared" si="110"/>
        <v>45578.661375999996</v>
      </c>
      <c r="AC119" s="435"/>
      <c r="AD119" s="435"/>
      <c r="AE119" s="435"/>
    </row>
    <row r="120" spans="1:31" ht="18.75">
      <c r="A120" s="420">
        <v>101</v>
      </c>
      <c r="B120" s="9" t="s">
        <v>222</v>
      </c>
      <c r="C120" s="423">
        <v>540498</v>
      </c>
      <c r="D120" s="422">
        <v>12</v>
      </c>
      <c r="E120" s="423">
        <f t="shared" si="109"/>
        <v>6485976</v>
      </c>
      <c r="F120" s="423"/>
      <c r="G120" s="424">
        <v>451678.08</v>
      </c>
      <c r="H120" s="426"/>
      <c r="I120" s="423">
        <f t="shared" si="106"/>
        <v>6034297.9199999999</v>
      </c>
      <c r="J120" s="423">
        <v>200000</v>
      </c>
      <c r="K120" s="423">
        <v>0.2</v>
      </c>
      <c r="L120" s="423">
        <f t="shared" ref="L120:L125" si="111">I120*K120</f>
        <v>1206859.584</v>
      </c>
      <c r="M120" s="423">
        <f t="shared" ref="M120:M125" si="112">J120+L120</f>
        <v>1406859.584</v>
      </c>
      <c r="N120" s="423">
        <f t="shared" si="107"/>
        <v>1858537.6640000001</v>
      </c>
      <c r="O120" s="423">
        <f t="shared" si="108"/>
        <v>4627438.3360000001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336000</v>
      </c>
      <c r="U120" s="423">
        <f t="shared" si="103"/>
        <v>342585.20064</v>
      </c>
      <c r="V120" s="423">
        <f t="shared" ref="V120:V125" si="118">P120+Q120+R120+S120+T120+U120</f>
        <v>902585.20064000005</v>
      </c>
      <c r="W120" s="430">
        <v>12</v>
      </c>
      <c r="X120" s="423">
        <f t="shared" ref="X120:X125" si="119">V120/W120</f>
        <v>75215.4333866667</v>
      </c>
      <c r="Y120" s="426"/>
      <c r="Z120" s="423">
        <f t="shared" ref="Z120:Z125" si="120">X120</f>
        <v>75215.4333866667</v>
      </c>
      <c r="AA120" s="435">
        <v>44846.6165886667</v>
      </c>
      <c r="AB120" s="435">
        <f t="shared" si="110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225</v>
      </c>
      <c r="C121" s="423">
        <v>512746.5</v>
      </c>
      <c r="D121" s="422">
        <v>12</v>
      </c>
      <c r="E121" s="423">
        <f t="shared" si="109"/>
        <v>6152958</v>
      </c>
      <c r="F121" s="429">
        <f>646.3525*12</f>
        <v>7756.23</v>
      </c>
      <c r="G121" s="424">
        <v>425036.64</v>
      </c>
      <c r="H121" s="426"/>
      <c r="I121" s="423">
        <f t="shared" si="106"/>
        <v>5720165.1299999999</v>
      </c>
      <c r="J121" s="423">
        <v>200000</v>
      </c>
      <c r="K121" s="423">
        <v>0.2</v>
      </c>
      <c r="L121" s="423">
        <f t="shared" si="111"/>
        <v>1144033.0260000001</v>
      </c>
      <c r="M121" s="423">
        <f t="shared" si="112"/>
        <v>1344033.0260000001</v>
      </c>
      <c r="N121" s="423">
        <f t="shared" si="107"/>
        <v>1776825.8959999999</v>
      </c>
      <c r="O121" s="423">
        <f t="shared" si="108"/>
        <v>4376132.1040000003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336000</v>
      </c>
      <c r="U121" s="423">
        <f t="shared" si="103"/>
        <v>282271.70496</v>
      </c>
      <c r="V121" s="423">
        <f t="shared" si="118"/>
        <v>842271.70496</v>
      </c>
      <c r="W121" s="430">
        <v>12</v>
      </c>
      <c r="X121" s="423">
        <f t="shared" si="119"/>
        <v>70189.308746666706</v>
      </c>
      <c r="Y121" s="426"/>
      <c r="Z121" s="423">
        <f t="shared" si="120"/>
        <v>70189.308746666706</v>
      </c>
      <c r="AA121" s="435">
        <v>42029.589186666701</v>
      </c>
      <c r="AB121" s="435">
        <f t="shared" si="110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227</v>
      </c>
      <c r="C122" s="423">
        <v>526622.25</v>
      </c>
      <c r="D122" s="422">
        <v>12</v>
      </c>
      <c r="E122" s="423">
        <f t="shared" si="109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06"/>
        <v>5873089.8449999997</v>
      </c>
      <c r="J122" s="423">
        <v>200000</v>
      </c>
      <c r="K122" s="423">
        <v>0.2</v>
      </c>
      <c r="L122" s="423">
        <f t="shared" si="111"/>
        <v>1174617.969</v>
      </c>
      <c r="M122" s="423">
        <f t="shared" si="112"/>
        <v>1374617.969</v>
      </c>
      <c r="N122" s="423">
        <f t="shared" si="107"/>
        <v>1820995.1240000001</v>
      </c>
      <c r="O122" s="423">
        <f t="shared" si="108"/>
        <v>4498471.8760000002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336000</v>
      </c>
      <c r="U122" s="423">
        <f t="shared" si="103"/>
        <v>311633.25024000002</v>
      </c>
      <c r="V122" s="423">
        <f t="shared" si="118"/>
        <v>871633.25023999996</v>
      </c>
      <c r="W122" s="430">
        <v>12</v>
      </c>
      <c r="X122" s="423">
        <f t="shared" si="119"/>
        <v>72636.104186666693</v>
      </c>
      <c r="Y122" s="426"/>
      <c r="Z122" s="423">
        <f t="shared" si="120"/>
        <v>72636.104186666693</v>
      </c>
      <c r="AA122" s="435">
        <v>43380.096246666697</v>
      </c>
      <c r="AB122" s="435">
        <f t="shared" si="110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228</v>
      </c>
      <c r="C123" s="423">
        <v>330481.66666666698</v>
      </c>
      <c r="D123" s="422">
        <v>12</v>
      </c>
      <c r="E123" s="423">
        <f t="shared" si="109"/>
        <v>3965780</v>
      </c>
      <c r="F123" s="423"/>
      <c r="G123" s="424">
        <v>259662.4</v>
      </c>
      <c r="H123" s="426"/>
      <c r="I123" s="423">
        <f t="shared" si="106"/>
        <v>3706117.6</v>
      </c>
      <c r="J123" s="423">
        <v>200000</v>
      </c>
      <c r="K123" s="423">
        <v>0.2</v>
      </c>
      <c r="L123" s="423">
        <f t="shared" si="111"/>
        <v>741223.52</v>
      </c>
      <c r="M123" s="423">
        <f t="shared" si="112"/>
        <v>941223.52</v>
      </c>
      <c r="N123" s="423">
        <f t="shared" si="107"/>
        <v>1200885.92</v>
      </c>
      <c r="O123" s="423">
        <f t="shared" si="108"/>
        <v>2764894.08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244627.7568</v>
      </c>
      <c r="U123" s="423"/>
      <c r="V123" s="423">
        <f t="shared" si="118"/>
        <v>468627.75679999997</v>
      </c>
      <c r="W123" s="430">
        <v>12</v>
      </c>
      <c r="X123" s="423">
        <f t="shared" si="119"/>
        <v>39052.313066666698</v>
      </c>
      <c r="Y123" s="426"/>
      <c r="Z123" s="423">
        <f t="shared" si="120"/>
        <v>39052.313066666698</v>
      </c>
      <c r="AA123" s="435">
        <v>23036.012346666699</v>
      </c>
      <c r="AB123" s="435">
        <f t="shared" si="110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230</v>
      </c>
      <c r="C124" s="423">
        <v>274459.75</v>
      </c>
      <c r="D124" s="422">
        <v>12</v>
      </c>
      <c r="E124" s="423">
        <f t="shared" si="109"/>
        <v>3293517</v>
      </c>
      <c r="F124" s="423"/>
      <c r="G124" s="424">
        <v>215481.36</v>
      </c>
      <c r="H124" s="426"/>
      <c r="I124" s="423">
        <f t="shared" si="106"/>
        <v>3078035.64</v>
      </c>
      <c r="J124" s="423">
        <v>200000</v>
      </c>
      <c r="K124" s="423">
        <v>0.2</v>
      </c>
      <c r="L124" s="423">
        <f t="shared" si="111"/>
        <v>615607.12800000003</v>
      </c>
      <c r="M124" s="423">
        <f t="shared" si="112"/>
        <v>815607.12800000003</v>
      </c>
      <c r="N124" s="423">
        <f t="shared" si="107"/>
        <v>1031088.488</v>
      </c>
      <c r="O124" s="423">
        <f t="shared" si="108"/>
        <v>2262428.5120000001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95000</v>
      </c>
      <c r="T124" s="423">
        <f t="shared" si="117"/>
        <v>139109.98752</v>
      </c>
      <c r="U124" s="423"/>
      <c r="V124" s="423">
        <f t="shared" si="118"/>
        <v>363109.98752000002</v>
      </c>
      <c r="W124" s="430">
        <v>12</v>
      </c>
      <c r="X124" s="423">
        <f t="shared" si="119"/>
        <v>30259.165626666701</v>
      </c>
      <c r="Y124" s="426"/>
      <c r="Z124" s="423">
        <f t="shared" si="120"/>
        <v>30259.165626666701</v>
      </c>
      <c r="AA124" s="435">
        <v>17042.713866666702</v>
      </c>
      <c r="AB124" s="435">
        <f t="shared" si="110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232</v>
      </c>
      <c r="C125" s="423">
        <v>274459.75</v>
      </c>
      <c r="D125" s="422">
        <v>12</v>
      </c>
      <c r="E125" s="423">
        <f t="shared" si="109"/>
        <v>3293517</v>
      </c>
      <c r="F125" s="423"/>
      <c r="G125" s="424">
        <v>215481.36</v>
      </c>
      <c r="H125" s="426"/>
      <c r="I125" s="423">
        <f t="shared" si="106"/>
        <v>3078035.64</v>
      </c>
      <c r="J125" s="423">
        <v>200000</v>
      </c>
      <c r="K125" s="423">
        <v>0.2</v>
      </c>
      <c r="L125" s="423">
        <f t="shared" si="111"/>
        <v>615607.12800000003</v>
      </c>
      <c r="M125" s="423">
        <f t="shared" si="112"/>
        <v>815607.12800000003</v>
      </c>
      <c r="N125" s="423">
        <f t="shared" si="107"/>
        <v>1031088.488</v>
      </c>
      <c r="O125" s="423">
        <f t="shared" si="108"/>
        <v>2262428.5120000001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95000</v>
      </c>
      <c r="T125" s="423">
        <f t="shared" si="117"/>
        <v>139109.98752</v>
      </c>
      <c r="U125" s="423"/>
      <c r="V125" s="423">
        <f t="shared" si="118"/>
        <v>363109.98752000002</v>
      </c>
      <c r="W125" s="430">
        <v>12</v>
      </c>
      <c r="X125" s="423">
        <f t="shared" si="119"/>
        <v>30259.165626666701</v>
      </c>
      <c r="Y125" s="426"/>
      <c r="Z125" s="423">
        <f t="shared" si="120"/>
        <v>30259.165626666701</v>
      </c>
      <c r="AA125" s="435">
        <v>17042.713866666702</v>
      </c>
      <c r="AB125" s="435">
        <f t="shared" si="110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96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AC127" s="435"/>
      <c r="AD127" s="435"/>
      <c r="AE127" s="435"/>
    </row>
    <row r="128" spans="1:31" ht="37.5">
      <c r="A128" s="420">
        <v>111</v>
      </c>
      <c r="B128" s="18" t="s">
        <v>236</v>
      </c>
      <c r="C128" s="423"/>
      <c r="U128" s="436"/>
      <c r="AC128" s="435"/>
      <c r="AD128" s="435"/>
      <c r="AE128" s="435"/>
    </row>
    <row r="129" spans="1:31" ht="18.75">
      <c r="A129" s="420">
        <v>112</v>
      </c>
      <c r="B129" s="9" t="s">
        <v>237</v>
      </c>
      <c r="C129" s="423">
        <v>1535720</v>
      </c>
      <c r="D129" s="422">
        <v>12</v>
      </c>
      <c r="E129" s="423">
        <f>C129*D129</f>
        <v>18428640</v>
      </c>
      <c r="F129" s="423"/>
      <c r="G129" s="424">
        <v>1378291.2</v>
      </c>
      <c r="H129" s="426"/>
      <c r="I129" s="423">
        <f t="shared" ref="I129:I187" si="121">E129-F129-G129-H129</f>
        <v>17050348.800000001</v>
      </c>
      <c r="J129" s="423">
        <v>200000</v>
      </c>
      <c r="K129" s="423">
        <v>0.2</v>
      </c>
      <c r="L129" s="423">
        <f t="shared" ref="L129:L187" si="122">I129*K129</f>
        <v>3410069.76</v>
      </c>
      <c r="M129" s="423">
        <f t="shared" ref="M129:M187" si="123">J129+L129</f>
        <v>3610069.76</v>
      </c>
      <c r="N129" s="423">
        <f t="shared" ref="N129:N187" si="124">F129+G129+H129+M129</f>
        <v>4988360.96</v>
      </c>
      <c r="O129" s="423">
        <f t="shared" ref="O129:O187" si="125">E129-N129</f>
        <v>13440279.039999999</v>
      </c>
      <c r="P129" s="423">
        <f t="shared" ref="P129:P187" si="126">IF(O129&lt;300000,0.07*O129,21000)</f>
        <v>21000</v>
      </c>
      <c r="Q129" s="423">
        <f t="shared" ref="Q129:Q187" si="127">IF((O129-300000)&lt;0,0,IF((O129-300000)&lt;300000,0.11*(O129-300000),33000))</f>
        <v>33000</v>
      </c>
      <c r="R129" s="423">
        <f t="shared" ref="R129:R187" si="128">IF((O129-600000)&lt;0,0,IF((O129-600000)&lt;500000,0.15*(O129-600000),75000))</f>
        <v>75000</v>
      </c>
      <c r="S129" s="423">
        <f t="shared" ref="S129:S187" si="129">IF((O129-1100000)&lt;0,0,IF((O129-1100000)&lt;500000,0.19*(O129-1100000),95000))</f>
        <v>95000</v>
      </c>
      <c r="T129" s="423">
        <f t="shared" ref="T129:T187" si="130">IF((O129-1600000)&lt;0,0,IF((O129-1600000)&lt;1600000,0.21*(O129-1600000),336000))</f>
        <v>336000</v>
      </c>
      <c r="U129" s="423">
        <f t="shared" si="103"/>
        <v>2457666.9696</v>
      </c>
      <c r="V129" s="423">
        <f>P129+Q129+R129+S129+T129+U129</f>
        <v>3017666.9696</v>
      </c>
      <c r="W129" s="430">
        <v>12</v>
      </c>
      <c r="X129" s="423">
        <f t="shared" ref="X129:X187" si="131">V129/W129</f>
        <v>251472.247466667</v>
      </c>
      <c r="Y129" s="426"/>
      <c r="Z129" s="423">
        <f t="shared" ref="Z129:Z187" si="132">X129</f>
        <v>251472.247466667</v>
      </c>
      <c r="AA129" s="435">
        <v>161106.806858667</v>
      </c>
      <c r="AB129" s="435">
        <f>Z129-AA129</f>
        <v>90365.440607999903</v>
      </c>
      <c r="AC129" s="435"/>
      <c r="AD129" s="435"/>
      <c r="AE129" s="435"/>
    </row>
    <row r="130" spans="1:31" ht="18.75">
      <c r="A130" s="420">
        <v>113</v>
      </c>
      <c r="B130" s="9" t="s">
        <v>522</v>
      </c>
      <c r="C130" s="423">
        <v>852373.16666666698</v>
      </c>
      <c r="D130" s="422">
        <v>12</v>
      </c>
      <c r="E130" s="423">
        <f t="shared" ref="E130:E187" si="133">C130*D130</f>
        <v>10228478</v>
      </c>
      <c r="F130" s="423"/>
      <c r="G130" s="424">
        <v>0</v>
      </c>
      <c r="H130" s="426"/>
      <c r="I130" s="423">
        <f t="shared" si="121"/>
        <v>10228478</v>
      </c>
      <c r="J130" s="423">
        <v>200000</v>
      </c>
      <c r="K130" s="423">
        <v>0.2</v>
      </c>
      <c r="L130" s="423">
        <f t="shared" si="122"/>
        <v>2045695.6</v>
      </c>
      <c r="M130" s="423">
        <f t="shared" si="123"/>
        <v>2245695.6</v>
      </c>
      <c r="N130" s="423">
        <f t="shared" si="124"/>
        <v>2245695.6</v>
      </c>
      <c r="O130" s="423">
        <f t="shared" si="125"/>
        <v>7982782.4000000004</v>
      </c>
      <c r="P130" s="423">
        <f t="shared" si="126"/>
        <v>21000</v>
      </c>
      <c r="Q130" s="423">
        <f t="shared" si="127"/>
        <v>33000</v>
      </c>
      <c r="R130" s="423">
        <f t="shared" si="128"/>
        <v>75000</v>
      </c>
      <c r="S130" s="423">
        <f t="shared" si="129"/>
        <v>95000</v>
      </c>
      <c r="T130" s="423">
        <f t="shared" si="130"/>
        <v>336000</v>
      </c>
      <c r="U130" s="423">
        <f t="shared" si="103"/>
        <v>1147867.7760000001</v>
      </c>
      <c r="V130" s="423">
        <f>P130+Q130+R130+S130+T130+U130</f>
        <v>1707867.7760000001</v>
      </c>
      <c r="W130" s="430">
        <v>12</v>
      </c>
      <c r="X130" s="423">
        <f t="shared" si="131"/>
        <v>142322.31466666699</v>
      </c>
      <c r="Y130" s="426"/>
      <c r="Z130" s="423">
        <f t="shared" si="132"/>
        <v>142322.31466666699</v>
      </c>
      <c r="AA130" s="435">
        <v>82627.951418666693</v>
      </c>
      <c r="AB130" s="435">
        <f t="shared" ref="AB130:AB187" si="134">Z130-AA130</f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239</v>
      </c>
      <c r="C131" s="423">
        <v>902373.16666666698</v>
      </c>
      <c r="D131" s="422">
        <v>12</v>
      </c>
      <c r="E131" s="423">
        <f t="shared" si="133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21"/>
        <v>10083803.809</v>
      </c>
      <c r="J131" s="423">
        <v>200000</v>
      </c>
      <c r="K131" s="423">
        <v>0.2</v>
      </c>
      <c r="L131" s="423">
        <f t="shared" si="122"/>
        <v>2016760.7618</v>
      </c>
      <c r="M131" s="423">
        <f t="shared" si="123"/>
        <v>2216760.7618</v>
      </c>
      <c r="N131" s="423">
        <f t="shared" si="124"/>
        <v>2961434.9528000001</v>
      </c>
      <c r="O131" s="423">
        <f t="shared" si="125"/>
        <v>7867043.0471999999</v>
      </c>
      <c r="P131" s="423">
        <f t="shared" si="126"/>
        <v>21000</v>
      </c>
      <c r="Q131" s="423">
        <f t="shared" si="127"/>
        <v>33000</v>
      </c>
      <c r="R131" s="423">
        <f t="shared" si="128"/>
        <v>75000</v>
      </c>
      <c r="S131" s="423">
        <f t="shared" si="129"/>
        <v>95000</v>
      </c>
      <c r="T131" s="423">
        <f t="shared" si="130"/>
        <v>336000</v>
      </c>
      <c r="U131" s="423">
        <f t="shared" si="103"/>
        <v>1120090.3313279999</v>
      </c>
      <c r="V131" s="423">
        <f>P131+Q131+R131+S131+T131+U131</f>
        <v>1680090.3313279999</v>
      </c>
      <c r="W131" s="430">
        <v>12</v>
      </c>
      <c r="X131" s="423">
        <f t="shared" si="131"/>
        <v>140007.52761066699</v>
      </c>
      <c r="Y131" s="426"/>
      <c r="Z131" s="423">
        <f t="shared" si="132"/>
        <v>140007.52761066699</v>
      </c>
      <c r="AA131" s="435">
        <v>92023.216202666707</v>
      </c>
      <c r="AB131" s="435">
        <f t="shared" si="13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241</v>
      </c>
      <c r="C132" s="423">
        <v>554373.75</v>
      </c>
      <c r="D132" s="422">
        <v>12</v>
      </c>
      <c r="E132" s="423">
        <f t="shared" si="133"/>
        <v>6652485</v>
      </c>
      <c r="F132" s="423">
        <f>712.24525*12</f>
        <v>8546.9429999999993</v>
      </c>
      <c r="G132" s="424">
        <v>464998.8</v>
      </c>
      <c r="H132" s="426"/>
      <c r="I132" s="423">
        <f t="shared" si="121"/>
        <v>6178939.2570000002</v>
      </c>
      <c r="J132" s="423">
        <v>200000</v>
      </c>
      <c r="K132" s="423">
        <v>0.2</v>
      </c>
      <c r="L132" s="423">
        <f t="shared" si="122"/>
        <v>1235787.8514</v>
      </c>
      <c r="M132" s="423">
        <f t="shared" si="123"/>
        <v>1435787.8514</v>
      </c>
      <c r="N132" s="423">
        <f t="shared" si="124"/>
        <v>1909333.5944000001</v>
      </c>
      <c r="O132" s="423">
        <f t="shared" si="125"/>
        <v>4743151.4056000002</v>
      </c>
      <c r="P132" s="423">
        <f t="shared" si="126"/>
        <v>21000</v>
      </c>
      <c r="Q132" s="423">
        <f t="shared" si="127"/>
        <v>33000</v>
      </c>
      <c r="R132" s="423">
        <f t="shared" si="128"/>
        <v>75000</v>
      </c>
      <c r="S132" s="423">
        <f t="shared" si="129"/>
        <v>95000</v>
      </c>
      <c r="T132" s="423">
        <f t="shared" si="130"/>
        <v>336000</v>
      </c>
      <c r="U132" s="423">
        <f t="shared" si="103"/>
        <v>370356.337344</v>
      </c>
      <c r="V132" s="423">
        <f t="shared" ref="V132:V187" si="135">P132+Q132+R132+S132+T132+U132</f>
        <v>930356.337344</v>
      </c>
      <c r="W132" s="430">
        <v>12</v>
      </c>
      <c r="X132" s="423">
        <f t="shared" si="131"/>
        <v>77529.694778666701</v>
      </c>
      <c r="Y132" s="426"/>
      <c r="Z132" s="423">
        <f t="shared" si="132"/>
        <v>77529.694778666701</v>
      </c>
      <c r="AA132" s="435">
        <v>46081.202598666699</v>
      </c>
      <c r="AB132" s="435">
        <f t="shared" si="13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243</v>
      </c>
      <c r="C133" s="423">
        <v>554373.75</v>
      </c>
      <c r="D133" s="422">
        <v>12</v>
      </c>
      <c r="E133" s="423">
        <f t="shared" si="133"/>
        <v>6652485</v>
      </c>
      <c r="F133" s="423">
        <f>712.24525*12</f>
        <v>8546.9429999999993</v>
      </c>
      <c r="G133" s="424">
        <v>464998.8</v>
      </c>
      <c r="H133" s="426"/>
      <c r="I133" s="423">
        <f t="shared" si="121"/>
        <v>6178939.2570000002</v>
      </c>
      <c r="J133" s="423">
        <v>200000</v>
      </c>
      <c r="K133" s="423">
        <v>0.2</v>
      </c>
      <c r="L133" s="423">
        <f t="shared" si="122"/>
        <v>1235787.8514</v>
      </c>
      <c r="M133" s="423">
        <f t="shared" si="123"/>
        <v>1435787.8514</v>
      </c>
      <c r="N133" s="423">
        <f t="shared" si="124"/>
        <v>1909333.5944000001</v>
      </c>
      <c r="O133" s="423">
        <f t="shared" si="125"/>
        <v>4743151.4056000002</v>
      </c>
      <c r="P133" s="423">
        <f t="shared" si="126"/>
        <v>21000</v>
      </c>
      <c r="Q133" s="423">
        <f t="shared" si="127"/>
        <v>33000</v>
      </c>
      <c r="R133" s="423">
        <f t="shared" si="128"/>
        <v>75000</v>
      </c>
      <c r="S133" s="423">
        <f t="shared" si="129"/>
        <v>95000</v>
      </c>
      <c r="T133" s="423">
        <f t="shared" si="130"/>
        <v>336000</v>
      </c>
      <c r="U133" s="423">
        <f t="shared" si="103"/>
        <v>370356.337344</v>
      </c>
      <c r="V133" s="423">
        <f t="shared" si="135"/>
        <v>930356.337344</v>
      </c>
      <c r="W133" s="430">
        <v>12</v>
      </c>
      <c r="X133" s="423">
        <f t="shared" si="131"/>
        <v>77529.694778666701</v>
      </c>
      <c r="Y133" s="426"/>
      <c r="Z133" s="423">
        <f t="shared" si="132"/>
        <v>77529.694778666701</v>
      </c>
      <c r="AA133" s="435">
        <v>46081.202598666699</v>
      </c>
      <c r="AB133" s="435">
        <f t="shared" si="13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245</v>
      </c>
      <c r="C134" s="423">
        <v>554373.75</v>
      </c>
      <c r="D134" s="422">
        <v>12</v>
      </c>
      <c r="E134" s="423">
        <f t="shared" si="133"/>
        <v>6652485</v>
      </c>
      <c r="F134" s="423">
        <f>712.24525*12</f>
        <v>8546.9429999999993</v>
      </c>
      <c r="G134" s="424">
        <v>464998.8</v>
      </c>
      <c r="H134" s="426"/>
      <c r="I134" s="423">
        <f t="shared" si="121"/>
        <v>6178939.2570000002</v>
      </c>
      <c r="J134" s="423">
        <v>200000</v>
      </c>
      <c r="K134" s="423">
        <v>0.2</v>
      </c>
      <c r="L134" s="423">
        <f t="shared" si="122"/>
        <v>1235787.8514</v>
      </c>
      <c r="M134" s="423">
        <f t="shared" si="123"/>
        <v>1435787.8514</v>
      </c>
      <c r="N134" s="423">
        <f t="shared" si="124"/>
        <v>1909333.5944000001</v>
      </c>
      <c r="O134" s="423">
        <f t="shared" si="125"/>
        <v>4743151.4056000002</v>
      </c>
      <c r="P134" s="423">
        <f t="shared" si="126"/>
        <v>21000</v>
      </c>
      <c r="Q134" s="423">
        <f t="shared" si="127"/>
        <v>33000</v>
      </c>
      <c r="R134" s="423">
        <f t="shared" si="128"/>
        <v>75000</v>
      </c>
      <c r="S134" s="423">
        <f t="shared" si="129"/>
        <v>95000</v>
      </c>
      <c r="T134" s="423">
        <f t="shared" si="130"/>
        <v>336000</v>
      </c>
      <c r="U134" s="423">
        <f t="shared" si="103"/>
        <v>370356.337344</v>
      </c>
      <c r="V134" s="423">
        <f t="shared" si="135"/>
        <v>930356.337344</v>
      </c>
      <c r="W134" s="430">
        <v>12</v>
      </c>
      <c r="X134" s="423">
        <f t="shared" si="131"/>
        <v>77529.694778666701</v>
      </c>
      <c r="Y134" s="426"/>
      <c r="Z134" s="423">
        <f t="shared" si="132"/>
        <v>77529.694778666701</v>
      </c>
      <c r="AA134" s="435">
        <v>46081.202598666699</v>
      </c>
      <c r="AB134" s="435">
        <f t="shared" si="13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180</v>
      </c>
      <c r="C135" s="423">
        <v>450086.5</v>
      </c>
      <c r="D135" s="422">
        <v>12</v>
      </c>
      <c r="E135" s="423">
        <f t="shared" si="133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21"/>
        <v>5019635.5049999999</v>
      </c>
      <c r="J135" s="423">
        <v>200000</v>
      </c>
      <c r="K135" s="423">
        <v>0.2</v>
      </c>
      <c r="L135" s="423">
        <f t="shared" si="122"/>
        <v>1003927.101</v>
      </c>
      <c r="M135" s="423">
        <f t="shared" si="123"/>
        <v>1203927.101</v>
      </c>
      <c r="N135" s="423">
        <f t="shared" si="124"/>
        <v>1585329.5959999999</v>
      </c>
      <c r="O135" s="423">
        <f t="shared" si="125"/>
        <v>3815708.4040000001</v>
      </c>
      <c r="P135" s="423">
        <f t="shared" si="126"/>
        <v>21000</v>
      </c>
      <c r="Q135" s="423">
        <f t="shared" si="127"/>
        <v>33000</v>
      </c>
      <c r="R135" s="423">
        <f t="shared" si="128"/>
        <v>75000</v>
      </c>
      <c r="S135" s="423">
        <f t="shared" si="129"/>
        <v>95000</v>
      </c>
      <c r="T135" s="423">
        <f t="shared" si="130"/>
        <v>336000</v>
      </c>
      <c r="U135" s="423">
        <f t="shared" si="103"/>
        <v>147770.01696000001</v>
      </c>
      <c r="V135" s="423">
        <f t="shared" si="135"/>
        <v>707770.01696000004</v>
      </c>
      <c r="W135" s="430">
        <v>12</v>
      </c>
      <c r="X135" s="423">
        <f t="shared" si="131"/>
        <v>58980.834746666696</v>
      </c>
      <c r="Y135" s="426"/>
      <c r="Z135" s="423">
        <f t="shared" si="132"/>
        <v>58980.834746666696</v>
      </c>
      <c r="AA135" s="435">
        <v>35221.954086666701</v>
      </c>
      <c r="AB135" s="435">
        <f t="shared" si="13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246</v>
      </c>
      <c r="C136" s="423">
        <v>450086.5</v>
      </c>
      <c r="D136" s="422">
        <v>12</v>
      </c>
      <c r="E136" s="423">
        <f t="shared" si="133"/>
        <v>5401038</v>
      </c>
      <c r="F136" s="423"/>
      <c r="G136" s="424">
        <v>374483.04</v>
      </c>
      <c r="H136" s="426"/>
      <c r="I136" s="423">
        <f t="shared" si="121"/>
        <v>5026554.96</v>
      </c>
      <c r="J136" s="423">
        <v>200000</v>
      </c>
      <c r="K136" s="423">
        <v>0.2</v>
      </c>
      <c r="L136" s="423">
        <f t="shared" si="122"/>
        <v>1005310.992</v>
      </c>
      <c r="M136" s="423">
        <f t="shared" si="123"/>
        <v>1205310.9920000001</v>
      </c>
      <c r="N136" s="423">
        <f t="shared" si="124"/>
        <v>1579794.0319999999</v>
      </c>
      <c r="O136" s="423">
        <f t="shared" si="125"/>
        <v>3821243.9679999999</v>
      </c>
      <c r="P136" s="423">
        <f t="shared" si="126"/>
        <v>21000</v>
      </c>
      <c r="Q136" s="423">
        <f t="shared" si="127"/>
        <v>33000</v>
      </c>
      <c r="R136" s="423">
        <f t="shared" si="128"/>
        <v>75000</v>
      </c>
      <c r="S136" s="423">
        <f t="shared" si="129"/>
        <v>95000</v>
      </c>
      <c r="T136" s="423">
        <f t="shared" si="130"/>
        <v>336000</v>
      </c>
      <c r="U136" s="423">
        <f t="shared" si="103"/>
        <v>149098.55231999999</v>
      </c>
      <c r="V136" s="423">
        <f t="shared" si="135"/>
        <v>709098.55232000002</v>
      </c>
      <c r="W136" s="430">
        <v>12</v>
      </c>
      <c r="X136" s="423">
        <f t="shared" si="131"/>
        <v>59091.5460266667</v>
      </c>
      <c r="Y136" s="426"/>
      <c r="Z136" s="423">
        <f t="shared" si="132"/>
        <v>59091.5460266667</v>
      </c>
      <c r="AA136" s="435">
        <v>35318.826456666699</v>
      </c>
      <c r="AB136" s="435">
        <f t="shared" si="13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247</v>
      </c>
      <c r="C137" s="423">
        <v>450086.5</v>
      </c>
      <c r="D137" s="422">
        <v>12</v>
      </c>
      <c r="E137" s="423">
        <f t="shared" si="133"/>
        <v>5401038</v>
      </c>
      <c r="F137" s="423"/>
      <c r="G137" s="424">
        <v>374483.04</v>
      </c>
      <c r="H137" s="426"/>
      <c r="I137" s="423">
        <f t="shared" si="121"/>
        <v>5026554.96</v>
      </c>
      <c r="J137" s="423">
        <v>200000</v>
      </c>
      <c r="K137" s="423">
        <v>0.2</v>
      </c>
      <c r="L137" s="423">
        <f t="shared" si="122"/>
        <v>1005310.992</v>
      </c>
      <c r="M137" s="423">
        <f t="shared" si="123"/>
        <v>1205310.9920000001</v>
      </c>
      <c r="N137" s="423">
        <f t="shared" si="124"/>
        <v>1579794.0319999999</v>
      </c>
      <c r="O137" s="423">
        <f t="shared" si="125"/>
        <v>3821243.9679999999</v>
      </c>
      <c r="P137" s="423">
        <f t="shared" si="126"/>
        <v>21000</v>
      </c>
      <c r="Q137" s="423">
        <f t="shared" si="127"/>
        <v>33000</v>
      </c>
      <c r="R137" s="423">
        <f t="shared" si="128"/>
        <v>75000</v>
      </c>
      <c r="S137" s="423">
        <f t="shared" si="129"/>
        <v>95000</v>
      </c>
      <c r="T137" s="423">
        <f t="shared" si="130"/>
        <v>336000</v>
      </c>
      <c r="U137" s="423">
        <f t="shared" si="103"/>
        <v>149098.55231999999</v>
      </c>
      <c r="V137" s="423">
        <f t="shared" si="135"/>
        <v>709098.55232000002</v>
      </c>
      <c r="W137" s="430">
        <v>12</v>
      </c>
      <c r="X137" s="423">
        <f t="shared" si="131"/>
        <v>59091.5460266667</v>
      </c>
      <c r="Y137" s="426"/>
      <c r="Z137" s="423">
        <f t="shared" si="132"/>
        <v>59091.5460266667</v>
      </c>
      <c r="AA137" s="435">
        <v>35318.826456666699</v>
      </c>
      <c r="AB137" s="435">
        <f t="shared" si="134"/>
        <v>23772.719570000001</v>
      </c>
      <c r="AC137" s="435"/>
      <c r="AD137" s="435"/>
      <c r="AE137" s="435"/>
    </row>
    <row r="138" spans="1:31" ht="37.5">
      <c r="A138" s="420">
        <v>121</v>
      </c>
      <c r="B138" s="9" t="s">
        <v>249</v>
      </c>
      <c r="C138" s="423">
        <v>437895.16666666698</v>
      </c>
      <c r="D138" s="422">
        <v>12</v>
      </c>
      <c r="E138" s="423">
        <f t="shared" si="133"/>
        <v>5254742</v>
      </c>
      <c r="F138" s="423"/>
      <c r="G138" s="424">
        <v>362779.36</v>
      </c>
      <c r="H138" s="426"/>
      <c r="I138" s="423">
        <f t="shared" si="121"/>
        <v>4891962.6399999997</v>
      </c>
      <c r="J138" s="423">
        <v>200000</v>
      </c>
      <c r="K138" s="423">
        <v>0.2</v>
      </c>
      <c r="L138" s="423">
        <f t="shared" si="122"/>
        <v>978392.52800000005</v>
      </c>
      <c r="M138" s="423">
        <f t="shared" si="123"/>
        <v>1178392.5279999999</v>
      </c>
      <c r="N138" s="423">
        <f t="shared" si="124"/>
        <v>1541171.888</v>
      </c>
      <c r="O138" s="423">
        <f t="shared" si="125"/>
        <v>3713570.1120000002</v>
      </c>
      <c r="P138" s="423">
        <f t="shared" si="126"/>
        <v>21000</v>
      </c>
      <c r="Q138" s="423">
        <f t="shared" si="127"/>
        <v>33000</v>
      </c>
      <c r="R138" s="423">
        <f t="shared" si="128"/>
        <v>75000</v>
      </c>
      <c r="S138" s="423">
        <f t="shared" si="129"/>
        <v>95000</v>
      </c>
      <c r="T138" s="423">
        <f t="shared" si="130"/>
        <v>336000</v>
      </c>
      <c r="U138" s="423">
        <f t="shared" si="103"/>
        <v>123256.82687999999</v>
      </c>
      <c r="V138" s="423">
        <f t="shared" si="135"/>
        <v>683256.82687999995</v>
      </c>
      <c r="W138" s="430">
        <v>12</v>
      </c>
      <c r="X138" s="423">
        <f t="shared" si="131"/>
        <v>56938.068906666696</v>
      </c>
      <c r="Y138" s="426"/>
      <c r="Z138" s="423">
        <f t="shared" si="132"/>
        <v>56938.068906666696</v>
      </c>
      <c r="AA138" s="435">
        <v>34968.882414666703</v>
      </c>
      <c r="AB138" s="435">
        <f t="shared" si="13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251</v>
      </c>
      <c r="C139" s="423">
        <v>425703.83333333302</v>
      </c>
      <c r="D139" s="422">
        <v>12</v>
      </c>
      <c r="E139" s="423">
        <f t="shared" si="133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21"/>
        <v>4750914.0559999999</v>
      </c>
      <c r="J139" s="423">
        <v>200000</v>
      </c>
      <c r="K139" s="423">
        <v>0.2</v>
      </c>
      <c r="L139" s="423">
        <f t="shared" si="122"/>
        <v>950182.8112</v>
      </c>
      <c r="M139" s="423">
        <f t="shared" si="123"/>
        <v>1150182.8112000001</v>
      </c>
      <c r="N139" s="423">
        <f t="shared" si="124"/>
        <v>1507714.7552</v>
      </c>
      <c r="O139" s="423">
        <f t="shared" si="125"/>
        <v>3600731.2448</v>
      </c>
      <c r="P139" s="423">
        <f t="shared" si="126"/>
        <v>21000</v>
      </c>
      <c r="Q139" s="423">
        <f t="shared" si="127"/>
        <v>33000</v>
      </c>
      <c r="R139" s="423">
        <f t="shared" si="128"/>
        <v>75000</v>
      </c>
      <c r="S139" s="423">
        <f t="shared" si="129"/>
        <v>95000</v>
      </c>
      <c r="T139" s="423">
        <f t="shared" si="130"/>
        <v>336000</v>
      </c>
      <c r="U139" s="423">
        <f t="shared" si="103"/>
        <v>96175.498752</v>
      </c>
      <c r="V139" s="423">
        <f t="shared" si="135"/>
        <v>656175.49875200004</v>
      </c>
      <c r="W139" s="430">
        <v>12</v>
      </c>
      <c r="X139" s="423">
        <f t="shared" si="131"/>
        <v>54681.291562666702</v>
      </c>
      <c r="Y139" s="426"/>
      <c r="Z139" s="423">
        <f t="shared" si="132"/>
        <v>54681.291562666702</v>
      </c>
      <c r="AA139" s="435">
        <v>32848.563402666703</v>
      </c>
      <c r="AB139" s="435">
        <f t="shared" si="134"/>
        <v>21832.728159999999</v>
      </c>
      <c r="AC139" s="435"/>
      <c r="AD139" s="435"/>
      <c r="AE139" s="435"/>
    </row>
    <row r="140" spans="1:31" ht="37.5">
      <c r="A140" s="420">
        <v>123</v>
      </c>
      <c r="B140" s="9" t="s">
        <v>253</v>
      </c>
      <c r="C140" s="423">
        <v>450086.5</v>
      </c>
      <c r="D140" s="422">
        <v>12</v>
      </c>
      <c r="E140" s="423">
        <f t="shared" si="133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21"/>
        <v>5019635.5049999999</v>
      </c>
      <c r="J140" s="423">
        <v>200000</v>
      </c>
      <c r="K140" s="423">
        <v>0.2</v>
      </c>
      <c r="L140" s="423">
        <f t="shared" si="122"/>
        <v>1003927.101</v>
      </c>
      <c r="M140" s="423">
        <f t="shared" si="123"/>
        <v>1203927.101</v>
      </c>
      <c r="N140" s="423">
        <f t="shared" si="124"/>
        <v>1585329.5959999999</v>
      </c>
      <c r="O140" s="423">
        <f t="shared" si="125"/>
        <v>3815708.4040000001</v>
      </c>
      <c r="P140" s="423">
        <f t="shared" si="126"/>
        <v>21000</v>
      </c>
      <c r="Q140" s="423">
        <f t="shared" si="127"/>
        <v>33000</v>
      </c>
      <c r="R140" s="423">
        <f t="shared" si="128"/>
        <v>75000</v>
      </c>
      <c r="S140" s="423">
        <f t="shared" si="129"/>
        <v>95000</v>
      </c>
      <c r="T140" s="423">
        <f t="shared" si="130"/>
        <v>336000</v>
      </c>
      <c r="U140" s="423">
        <f t="shared" si="103"/>
        <v>147770.01696000001</v>
      </c>
      <c r="V140" s="423">
        <f t="shared" si="135"/>
        <v>707770.01696000004</v>
      </c>
      <c r="W140" s="430">
        <v>12</v>
      </c>
      <c r="X140" s="423">
        <f t="shared" si="131"/>
        <v>58980.834746666696</v>
      </c>
      <c r="Y140" s="426"/>
      <c r="Z140" s="423">
        <f t="shared" si="132"/>
        <v>58980.834746666696</v>
      </c>
      <c r="AA140" s="435">
        <v>35221.954086666701</v>
      </c>
      <c r="AB140" s="435">
        <f t="shared" si="134"/>
        <v>23758.880659999999</v>
      </c>
      <c r="AC140" s="435"/>
      <c r="AD140" s="435"/>
      <c r="AE140" s="435"/>
    </row>
    <row r="141" spans="1:31" ht="18.75">
      <c r="A141" s="420">
        <v>124</v>
      </c>
      <c r="B141" s="16" t="s">
        <v>256</v>
      </c>
      <c r="C141" s="423">
        <v>413512.5</v>
      </c>
      <c r="D141" s="422">
        <v>12</v>
      </c>
      <c r="E141" s="423">
        <f t="shared" si="133"/>
        <v>4962150</v>
      </c>
      <c r="F141" s="423">
        <v>0</v>
      </c>
      <c r="G141" s="424">
        <v>339372</v>
      </c>
      <c r="H141" s="426"/>
      <c r="I141" s="423">
        <f t="shared" si="121"/>
        <v>4622778</v>
      </c>
      <c r="J141" s="423">
        <v>200000</v>
      </c>
      <c r="K141" s="423">
        <v>0.2</v>
      </c>
      <c r="L141" s="423">
        <f t="shared" si="122"/>
        <v>924555.6</v>
      </c>
      <c r="M141" s="423">
        <f t="shared" si="123"/>
        <v>1124555.6000000001</v>
      </c>
      <c r="N141" s="423">
        <f t="shared" si="124"/>
        <v>1463927.6</v>
      </c>
      <c r="O141" s="423">
        <f t="shared" si="125"/>
        <v>3498222.4</v>
      </c>
      <c r="P141" s="423">
        <f t="shared" si="126"/>
        <v>21000</v>
      </c>
      <c r="Q141" s="423">
        <f t="shared" si="127"/>
        <v>33000</v>
      </c>
      <c r="R141" s="423">
        <f t="shared" si="128"/>
        <v>75000</v>
      </c>
      <c r="S141" s="423">
        <f t="shared" si="129"/>
        <v>95000</v>
      </c>
      <c r="T141" s="423">
        <f t="shared" si="130"/>
        <v>336000</v>
      </c>
      <c r="U141" s="423">
        <f t="shared" si="103"/>
        <v>71573.376000000004</v>
      </c>
      <c r="V141" s="423">
        <f t="shared" si="135"/>
        <v>631573.37600000005</v>
      </c>
      <c r="W141" s="430">
        <v>12</v>
      </c>
      <c r="X141" s="423">
        <f t="shared" si="131"/>
        <v>52631.114666666697</v>
      </c>
      <c r="Y141" s="426"/>
      <c r="Z141" s="423">
        <f t="shared" si="132"/>
        <v>52631.114666666697</v>
      </c>
      <c r="AA141" s="435">
        <v>31749.175266666702</v>
      </c>
      <c r="AB141" s="435">
        <f t="shared" si="13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258</v>
      </c>
      <c r="C142" s="423">
        <v>368901.5</v>
      </c>
      <c r="D142" s="422">
        <v>12</v>
      </c>
      <c r="E142" s="423">
        <f t="shared" si="133"/>
        <v>4426818</v>
      </c>
      <c r="F142" s="423"/>
      <c r="G142" s="424">
        <v>296545.44</v>
      </c>
      <c r="H142" s="426"/>
      <c r="I142" s="423">
        <f t="shared" si="121"/>
        <v>4130272.56</v>
      </c>
      <c r="J142" s="423">
        <v>200000</v>
      </c>
      <c r="K142" s="423">
        <v>0.2</v>
      </c>
      <c r="L142" s="423">
        <f t="shared" si="122"/>
        <v>826054.51199999999</v>
      </c>
      <c r="M142" s="423">
        <f t="shared" si="123"/>
        <v>1026054.512</v>
      </c>
      <c r="N142" s="423">
        <f t="shared" si="124"/>
        <v>1322599.952</v>
      </c>
      <c r="O142" s="423">
        <f t="shared" si="125"/>
        <v>3104218.048</v>
      </c>
      <c r="P142" s="423">
        <f t="shared" si="126"/>
        <v>21000</v>
      </c>
      <c r="Q142" s="423">
        <f t="shared" si="127"/>
        <v>33000</v>
      </c>
      <c r="R142" s="423">
        <f t="shared" si="128"/>
        <v>75000</v>
      </c>
      <c r="S142" s="423">
        <f t="shared" si="129"/>
        <v>95000</v>
      </c>
      <c r="T142" s="423">
        <f t="shared" si="130"/>
        <v>315885.79008000001</v>
      </c>
      <c r="U142" s="423"/>
      <c r="V142" s="423">
        <f t="shared" si="135"/>
        <v>539885.79007999995</v>
      </c>
      <c r="W142" s="430">
        <v>12</v>
      </c>
      <c r="X142" s="423">
        <f t="shared" si="131"/>
        <v>44990.482506666704</v>
      </c>
      <c r="Y142" s="426"/>
      <c r="Z142" s="423">
        <f t="shared" si="132"/>
        <v>44990.482506666704</v>
      </c>
      <c r="AA142" s="435">
        <v>27105.986562666702</v>
      </c>
      <c r="AB142" s="435">
        <f t="shared" si="13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259</v>
      </c>
      <c r="C143" s="423">
        <v>376837.41666666698</v>
      </c>
      <c r="D143" s="422">
        <v>12</v>
      </c>
      <c r="E143" s="423">
        <f t="shared" si="133"/>
        <v>4522049</v>
      </c>
      <c r="F143" s="423">
        <f>469.4825*12</f>
        <v>5633.79</v>
      </c>
      <c r="G143" s="424">
        <v>304163.92</v>
      </c>
      <c r="H143" s="426"/>
      <c r="I143" s="423">
        <f t="shared" si="121"/>
        <v>4212251.29</v>
      </c>
      <c r="J143" s="423">
        <v>200000</v>
      </c>
      <c r="K143" s="423">
        <v>0.2</v>
      </c>
      <c r="L143" s="423">
        <f t="shared" si="122"/>
        <v>842450.25800000003</v>
      </c>
      <c r="M143" s="423">
        <f t="shared" si="123"/>
        <v>1042450.258</v>
      </c>
      <c r="N143" s="423">
        <f t="shared" si="124"/>
        <v>1352247.9680000001</v>
      </c>
      <c r="O143" s="423">
        <f t="shared" si="125"/>
        <v>3169801.0320000001</v>
      </c>
      <c r="P143" s="423">
        <f t="shared" si="126"/>
        <v>21000</v>
      </c>
      <c r="Q143" s="423">
        <f t="shared" si="127"/>
        <v>33000</v>
      </c>
      <c r="R143" s="423">
        <f t="shared" si="128"/>
        <v>75000</v>
      </c>
      <c r="S143" s="423">
        <f t="shared" si="129"/>
        <v>95000</v>
      </c>
      <c r="T143" s="423">
        <f t="shared" si="130"/>
        <v>329658.21672000003</v>
      </c>
      <c r="U143" s="423"/>
      <c r="V143" s="423">
        <f t="shared" si="135"/>
        <v>553658.21672000003</v>
      </c>
      <c r="W143" s="430">
        <v>12</v>
      </c>
      <c r="X143" s="423">
        <f t="shared" si="131"/>
        <v>46138.184726666703</v>
      </c>
      <c r="Y143" s="426"/>
      <c r="Z143" s="423">
        <f t="shared" si="132"/>
        <v>46138.184726666703</v>
      </c>
      <c r="AA143" s="435">
        <v>27794.206626666699</v>
      </c>
      <c r="AB143" s="435">
        <f t="shared" si="13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260</v>
      </c>
      <c r="C144" s="423">
        <v>376837.41666666698</v>
      </c>
      <c r="D144" s="422">
        <v>12</v>
      </c>
      <c r="E144" s="423">
        <f t="shared" si="133"/>
        <v>4522049</v>
      </c>
      <c r="F144" s="423"/>
      <c r="G144" s="424">
        <v>304163.92</v>
      </c>
      <c r="H144" s="426"/>
      <c r="I144" s="423">
        <f t="shared" si="121"/>
        <v>4217885.08</v>
      </c>
      <c r="J144" s="423">
        <v>200000</v>
      </c>
      <c r="K144" s="423">
        <v>0.2</v>
      </c>
      <c r="L144" s="423">
        <f t="shared" si="122"/>
        <v>843577.01599999995</v>
      </c>
      <c r="M144" s="423">
        <f t="shared" si="123"/>
        <v>1043577.0159999999</v>
      </c>
      <c r="N144" s="423">
        <f t="shared" si="124"/>
        <v>1347740.936</v>
      </c>
      <c r="O144" s="423">
        <f t="shared" si="125"/>
        <v>3174308.0639999998</v>
      </c>
      <c r="P144" s="423">
        <f t="shared" si="126"/>
        <v>21000</v>
      </c>
      <c r="Q144" s="423">
        <f t="shared" si="127"/>
        <v>33000</v>
      </c>
      <c r="R144" s="423">
        <f t="shared" si="128"/>
        <v>75000</v>
      </c>
      <c r="S144" s="423">
        <f t="shared" si="129"/>
        <v>95000</v>
      </c>
      <c r="T144" s="423">
        <f t="shared" si="130"/>
        <v>330604.69344</v>
      </c>
      <c r="U144" s="423"/>
      <c r="V144" s="423">
        <f t="shared" si="135"/>
        <v>554604.69343999994</v>
      </c>
      <c r="W144" s="430">
        <v>12</v>
      </c>
      <c r="X144" s="423">
        <f t="shared" si="131"/>
        <v>46217.057786666701</v>
      </c>
      <c r="Y144" s="426"/>
      <c r="Z144" s="423">
        <f t="shared" si="132"/>
        <v>46217.057786666701</v>
      </c>
      <c r="AA144" s="435">
        <v>27873.079686666701</v>
      </c>
      <c r="AB144" s="435">
        <f t="shared" si="13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261</v>
      </c>
      <c r="C145" s="423">
        <v>360965.58333333302</v>
      </c>
      <c r="D145" s="422">
        <v>12</v>
      </c>
      <c r="E145" s="423">
        <f t="shared" si="133"/>
        <v>4331587</v>
      </c>
      <c r="F145" s="423"/>
      <c r="G145" s="424">
        <v>288926.96000000002</v>
      </c>
      <c r="H145" s="426"/>
      <c r="I145" s="423">
        <f t="shared" si="121"/>
        <v>4042660.04</v>
      </c>
      <c r="J145" s="423">
        <v>200000</v>
      </c>
      <c r="K145" s="423">
        <v>0.2</v>
      </c>
      <c r="L145" s="423">
        <f t="shared" si="122"/>
        <v>808532.00800000003</v>
      </c>
      <c r="M145" s="423">
        <f t="shared" si="123"/>
        <v>1008532.008</v>
      </c>
      <c r="N145" s="423">
        <f t="shared" si="124"/>
        <v>1297458.9680000001</v>
      </c>
      <c r="O145" s="423">
        <f t="shared" si="125"/>
        <v>3034128.0320000001</v>
      </c>
      <c r="P145" s="423">
        <f t="shared" si="126"/>
        <v>21000</v>
      </c>
      <c r="Q145" s="423">
        <f t="shared" si="127"/>
        <v>33000</v>
      </c>
      <c r="R145" s="423">
        <f t="shared" si="128"/>
        <v>75000</v>
      </c>
      <c r="S145" s="423">
        <f t="shared" si="129"/>
        <v>95000</v>
      </c>
      <c r="T145" s="423">
        <f t="shared" si="130"/>
        <v>301166.88672000001</v>
      </c>
      <c r="U145" s="423"/>
      <c r="V145" s="423">
        <f t="shared" si="135"/>
        <v>525166.88671999995</v>
      </c>
      <c r="W145" s="430">
        <v>12</v>
      </c>
      <c r="X145" s="423">
        <f t="shared" si="131"/>
        <v>43763.907226666699</v>
      </c>
      <c r="Y145" s="426"/>
      <c r="Z145" s="423">
        <f t="shared" si="132"/>
        <v>43763.907226666699</v>
      </c>
      <c r="AA145" s="435">
        <v>27105.986562666702</v>
      </c>
      <c r="AB145" s="435">
        <f t="shared" si="134"/>
        <v>16657.920664000001</v>
      </c>
      <c r="AC145" s="435"/>
      <c r="AD145" s="435"/>
      <c r="AE145" s="435"/>
    </row>
    <row r="146" spans="1:31" ht="37.5">
      <c r="A146" s="420">
        <v>129</v>
      </c>
      <c r="B146" s="9" t="s">
        <v>263</v>
      </c>
      <c r="C146" s="423">
        <v>323165.33333333302</v>
      </c>
      <c r="D146" s="422">
        <v>12</v>
      </c>
      <c r="E146" s="423">
        <f t="shared" si="133"/>
        <v>3877984</v>
      </c>
      <c r="F146" s="423"/>
      <c r="G146" s="424">
        <v>252638.72</v>
      </c>
      <c r="H146" s="426"/>
      <c r="I146" s="423">
        <f t="shared" si="121"/>
        <v>3625345.28</v>
      </c>
      <c r="J146" s="423">
        <v>200000</v>
      </c>
      <c r="K146" s="423">
        <v>0.2</v>
      </c>
      <c r="L146" s="423">
        <f t="shared" si="122"/>
        <v>725069.05599999998</v>
      </c>
      <c r="M146" s="423">
        <f t="shared" si="123"/>
        <v>925069.05599999998</v>
      </c>
      <c r="N146" s="423">
        <f t="shared" si="124"/>
        <v>1177707.7760000001</v>
      </c>
      <c r="O146" s="423">
        <f t="shared" si="125"/>
        <v>2700276.2239999999</v>
      </c>
      <c r="P146" s="423">
        <f t="shared" si="126"/>
        <v>21000</v>
      </c>
      <c r="Q146" s="423">
        <f t="shared" si="127"/>
        <v>33000</v>
      </c>
      <c r="R146" s="423">
        <f t="shared" si="128"/>
        <v>75000</v>
      </c>
      <c r="S146" s="423">
        <f t="shared" si="129"/>
        <v>95000</v>
      </c>
      <c r="T146" s="423">
        <f t="shared" si="130"/>
        <v>231058.00704</v>
      </c>
      <c r="U146" s="423"/>
      <c r="V146" s="423">
        <f t="shared" si="135"/>
        <v>455058.00704</v>
      </c>
      <c r="W146" s="430">
        <v>12</v>
      </c>
      <c r="X146" s="423">
        <f t="shared" si="131"/>
        <v>37921.500586666698</v>
      </c>
      <c r="Y146" s="426"/>
      <c r="Z146" s="423">
        <f t="shared" si="132"/>
        <v>37921.500586666698</v>
      </c>
      <c r="AA146" s="435">
        <v>22338.4826046667</v>
      </c>
      <c r="AB146" s="435">
        <f t="shared" si="134"/>
        <v>15583.017981999999</v>
      </c>
      <c r="AC146" s="435"/>
      <c r="AD146" s="435"/>
      <c r="AE146" s="435"/>
    </row>
    <row r="147" spans="1:31" ht="18.75">
      <c r="A147" s="420">
        <v>130</v>
      </c>
      <c r="B147" s="9" t="s">
        <v>265</v>
      </c>
      <c r="C147" s="423">
        <v>368901.5</v>
      </c>
      <c r="D147" s="422">
        <v>12</v>
      </c>
      <c r="E147" s="423">
        <f t="shared" si="133"/>
        <v>4426818</v>
      </c>
      <c r="F147" s="423"/>
      <c r="G147" s="424">
        <v>296545.44</v>
      </c>
      <c r="H147" s="426"/>
      <c r="I147" s="423">
        <f t="shared" si="121"/>
        <v>4130272.56</v>
      </c>
      <c r="J147" s="423">
        <v>200000</v>
      </c>
      <c r="K147" s="423">
        <v>0.2</v>
      </c>
      <c r="L147" s="423">
        <f t="shared" si="122"/>
        <v>826054.51199999999</v>
      </c>
      <c r="M147" s="423">
        <f t="shared" si="123"/>
        <v>1026054.512</v>
      </c>
      <c r="N147" s="423">
        <f t="shared" si="124"/>
        <v>1322599.952</v>
      </c>
      <c r="O147" s="423">
        <f t="shared" si="125"/>
        <v>3104218.048</v>
      </c>
      <c r="P147" s="423">
        <f t="shared" si="126"/>
        <v>21000</v>
      </c>
      <c r="Q147" s="423">
        <f t="shared" si="127"/>
        <v>33000</v>
      </c>
      <c r="R147" s="423">
        <f t="shared" si="128"/>
        <v>75000</v>
      </c>
      <c r="S147" s="423">
        <f t="shared" si="129"/>
        <v>95000</v>
      </c>
      <c r="T147" s="423">
        <f t="shared" si="130"/>
        <v>315885.79008000001</v>
      </c>
      <c r="U147" s="423"/>
      <c r="V147" s="423">
        <f t="shared" si="135"/>
        <v>539885.79007999995</v>
      </c>
      <c r="W147" s="430">
        <v>12</v>
      </c>
      <c r="X147" s="423">
        <f t="shared" si="131"/>
        <v>44990.482506666704</v>
      </c>
      <c r="Y147" s="426"/>
      <c r="Z147" s="423">
        <f t="shared" si="132"/>
        <v>44990.482506666704</v>
      </c>
      <c r="AA147" s="435">
        <v>27105.986562666702</v>
      </c>
      <c r="AB147" s="435">
        <f t="shared" si="13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268</v>
      </c>
      <c r="C148" s="423">
        <v>330481.66666666698</v>
      </c>
      <c r="D148" s="422">
        <v>12</v>
      </c>
      <c r="E148" s="423">
        <f t="shared" si="133"/>
        <v>3965780</v>
      </c>
      <c r="F148" s="423"/>
      <c r="G148" s="424">
        <v>259662.4</v>
      </c>
      <c r="H148" s="426"/>
      <c r="I148" s="423">
        <f t="shared" si="121"/>
        <v>3706117.6</v>
      </c>
      <c r="J148" s="423">
        <v>200000</v>
      </c>
      <c r="K148" s="423">
        <v>0.2</v>
      </c>
      <c r="L148" s="423">
        <f t="shared" si="122"/>
        <v>741223.52</v>
      </c>
      <c r="M148" s="423">
        <f t="shared" si="123"/>
        <v>941223.52</v>
      </c>
      <c r="N148" s="423">
        <f t="shared" si="124"/>
        <v>1200885.92</v>
      </c>
      <c r="O148" s="423">
        <f t="shared" si="125"/>
        <v>2764894.08</v>
      </c>
      <c r="P148" s="423">
        <f t="shared" si="126"/>
        <v>21000</v>
      </c>
      <c r="Q148" s="423">
        <f t="shared" si="127"/>
        <v>33000</v>
      </c>
      <c r="R148" s="423">
        <f t="shared" si="128"/>
        <v>75000</v>
      </c>
      <c r="S148" s="423">
        <f t="shared" si="129"/>
        <v>95000</v>
      </c>
      <c r="T148" s="423">
        <f t="shared" si="130"/>
        <v>244627.7568</v>
      </c>
      <c r="U148" s="423"/>
      <c r="V148" s="423">
        <f t="shared" si="135"/>
        <v>468627.75679999997</v>
      </c>
      <c r="W148" s="430">
        <v>12</v>
      </c>
      <c r="X148" s="423">
        <f t="shared" si="131"/>
        <v>39052.313066666698</v>
      </c>
      <c r="Y148" s="426"/>
      <c r="Z148" s="423">
        <f t="shared" si="132"/>
        <v>39052.313066666698</v>
      </c>
      <c r="AA148" s="435">
        <v>23036.012346666699</v>
      </c>
      <c r="AB148" s="435">
        <f t="shared" si="13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270</v>
      </c>
      <c r="C149" s="423">
        <v>368901.5</v>
      </c>
      <c r="D149" s="422">
        <v>12</v>
      </c>
      <c r="E149" s="423">
        <f t="shared" si="133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21"/>
        <v>4124788.068</v>
      </c>
      <c r="J149" s="423">
        <v>200000</v>
      </c>
      <c r="K149" s="423">
        <v>0.2</v>
      </c>
      <c r="L149" s="423">
        <f t="shared" si="122"/>
        <v>824957.61360000004</v>
      </c>
      <c r="M149" s="423">
        <f t="shared" si="123"/>
        <v>1024957.6136</v>
      </c>
      <c r="N149" s="423">
        <f t="shared" si="124"/>
        <v>1326987.5456000001</v>
      </c>
      <c r="O149" s="423">
        <f t="shared" si="125"/>
        <v>3099830.4544000002</v>
      </c>
      <c r="P149" s="423">
        <f t="shared" si="126"/>
        <v>21000</v>
      </c>
      <c r="Q149" s="423">
        <f t="shared" si="127"/>
        <v>33000</v>
      </c>
      <c r="R149" s="423">
        <f t="shared" si="128"/>
        <v>75000</v>
      </c>
      <c r="S149" s="423">
        <f t="shared" si="129"/>
        <v>95000</v>
      </c>
      <c r="T149" s="423">
        <f t="shared" si="130"/>
        <v>314964.39542399999</v>
      </c>
      <c r="U149" s="423"/>
      <c r="V149" s="423">
        <f t="shared" si="135"/>
        <v>538964.39542399999</v>
      </c>
      <c r="W149" s="430">
        <v>12</v>
      </c>
      <c r="X149" s="423">
        <f t="shared" si="131"/>
        <v>44913.699618666702</v>
      </c>
      <c r="Y149" s="426"/>
      <c r="Z149" s="423">
        <f t="shared" si="132"/>
        <v>44913.699618666702</v>
      </c>
      <c r="AA149" s="435">
        <v>27029.2036746667</v>
      </c>
      <c r="AB149" s="435">
        <f t="shared" si="13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272</v>
      </c>
      <c r="C150" s="423">
        <v>330481.66666666698</v>
      </c>
      <c r="D150" s="422">
        <v>12</v>
      </c>
      <c r="E150" s="423">
        <f t="shared" si="133"/>
        <v>3965780</v>
      </c>
      <c r="F150" s="423"/>
      <c r="G150" s="424">
        <v>259662.4</v>
      </c>
      <c r="H150" s="426"/>
      <c r="I150" s="423">
        <f t="shared" si="121"/>
        <v>3706117.6</v>
      </c>
      <c r="J150" s="423">
        <v>200000</v>
      </c>
      <c r="K150" s="423">
        <v>0.2</v>
      </c>
      <c r="L150" s="423">
        <f t="shared" si="122"/>
        <v>741223.52</v>
      </c>
      <c r="M150" s="423">
        <f t="shared" si="123"/>
        <v>941223.52</v>
      </c>
      <c r="N150" s="423">
        <f t="shared" si="124"/>
        <v>1200885.92</v>
      </c>
      <c r="O150" s="423">
        <f t="shared" si="125"/>
        <v>2764894.08</v>
      </c>
      <c r="P150" s="423">
        <f t="shared" si="126"/>
        <v>21000</v>
      </c>
      <c r="Q150" s="423">
        <f t="shared" si="127"/>
        <v>33000</v>
      </c>
      <c r="R150" s="423">
        <f t="shared" si="128"/>
        <v>75000</v>
      </c>
      <c r="S150" s="423">
        <f t="shared" si="129"/>
        <v>95000</v>
      </c>
      <c r="T150" s="423">
        <f t="shared" si="130"/>
        <v>244627.7568</v>
      </c>
      <c r="U150" s="423"/>
      <c r="V150" s="423">
        <f t="shared" si="135"/>
        <v>468627.75679999997</v>
      </c>
      <c r="W150" s="430">
        <v>12</v>
      </c>
      <c r="X150" s="423">
        <f t="shared" si="131"/>
        <v>39052.313066666698</v>
      </c>
      <c r="Y150" s="426"/>
      <c r="Z150" s="423">
        <f t="shared" si="132"/>
        <v>39052.313066666698</v>
      </c>
      <c r="AA150" s="435">
        <v>22338.4826046667</v>
      </c>
      <c r="AB150" s="435">
        <f t="shared" si="13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274</v>
      </c>
      <c r="C151" s="423">
        <v>315849</v>
      </c>
      <c r="D151" s="422">
        <v>12</v>
      </c>
      <c r="E151" s="423">
        <f t="shared" si="133"/>
        <v>3790188</v>
      </c>
      <c r="F151" s="423"/>
      <c r="G151" s="424">
        <v>245615.04</v>
      </c>
      <c r="H151" s="426"/>
      <c r="I151" s="423">
        <f t="shared" si="121"/>
        <v>3544572.96</v>
      </c>
      <c r="J151" s="423">
        <v>200000</v>
      </c>
      <c r="K151" s="423">
        <v>0.2</v>
      </c>
      <c r="L151" s="423">
        <f t="shared" si="122"/>
        <v>708914.59199999995</v>
      </c>
      <c r="M151" s="423">
        <f t="shared" si="123"/>
        <v>908914.59199999995</v>
      </c>
      <c r="N151" s="423">
        <f t="shared" si="124"/>
        <v>1154529.632</v>
      </c>
      <c r="O151" s="423">
        <f t="shared" si="125"/>
        <v>2635658.3679999998</v>
      </c>
      <c r="P151" s="423">
        <f t="shared" si="126"/>
        <v>21000</v>
      </c>
      <c r="Q151" s="423">
        <f t="shared" si="127"/>
        <v>33000</v>
      </c>
      <c r="R151" s="423">
        <f t="shared" si="128"/>
        <v>75000</v>
      </c>
      <c r="S151" s="423">
        <f t="shared" si="129"/>
        <v>95000</v>
      </c>
      <c r="T151" s="423">
        <f t="shared" si="130"/>
        <v>217488.25727999999</v>
      </c>
      <c r="U151" s="423"/>
      <c r="V151" s="423">
        <f t="shared" si="135"/>
        <v>441488.25728000002</v>
      </c>
      <c r="W151" s="430">
        <v>12</v>
      </c>
      <c r="X151" s="423">
        <f t="shared" si="131"/>
        <v>36790.688106666697</v>
      </c>
      <c r="Y151" s="426"/>
      <c r="Z151" s="423">
        <f t="shared" si="132"/>
        <v>36790.688106666697</v>
      </c>
      <c r="AA151" s="435">
        <v>21640.952862666702</v>
      </c>
      <c r="AB151" s="435">
        <f t="shared" si="13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277</v>
      </c>
      <c r="C152" s="423">
        <v>274459.75</v>
      </c>
      <c r="D152" s="422">
        <v>12</v>
      </c>
      <c r="E152" s="423">
        <f t="shared" si="133"/>
        <v>3293517</v>
      </c>
      <c r="F152" s="423">
        <v>0</v>
      </c>
      <c r="G152" s="424">
        <v>215481.36</v>
      </c>
      <c r="H152" s="426"/>
      <c r="I152" s="423">
        <f t="shared" si="121"/>
        <v>3078035.64</v>
      </c>
      <c r="J152" s="423">
        <v>200000</v>
      </c>
      <c r="K152" s="423">
        <v>0.2</v>
      </c>
      <c r="L152" s="423">
        <f t="shared" si="122"/>
        <v>615607.12800000003</v>
      </c>
      <c r="M152" s="423">
        <f t="shared" si="123"/>
        <v>815607.12800000003</v>
      </c>
      <c r="N152" s="423">
        <f t="shared" si="124"/>
        <v>1031088.488</v>
      </c>
      <c r="O152" s="423">
        <f t="shared" si="125"/>
        <v>2262428.5120000001</v>
      </c>
      <c r="P152" s="423">
        <f t="shared" si="126"/>
        <v>21000</v>
      </c>
      <c r="Q152" s="423">
        <f t="shared" si="127"/>
        <v>33000</v>
      </c>
      <c r="R152" s="423">
        <f t="shared" si="128"/>
        <v>75000</v>
      </c>
      <c r="S152" s="423">
        <f t="shared" si="129"/>
        <v>95000</v>
      </c>
      <c r="T152" s="423">
        <f t="shared" si="130"/>
        <v>139109.98752</v>
      </c>
      <c r="U152" s="423"/>
      <c r="V152" s="423">
        <f t="shared" si="135"/>
        <v>363109.98752000002</v>
      </c>
      <c r="W152" s="430">
        <v>12</v>
      </c>
      <c r="X152" s="423">
        <f t="shared" si="131"/>
        <v>30259.165626666701</v>
      </c>
      <c r="Y152" s="426"/>
      <c r="Z152" s="423">
        <f t="shared" si="132"/>
        <v>30259.165626666701</v>
      </c>
      <c r="AA152" s="435">
        <v>17042.713866666702</v>
      </c>
      <c r="AB152" s="435">
        <f t="shared" si="13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279</v>
      </c>
      <c r="C153" s="423">
        <v>274459.75</v>
      </c>
      <c r="D153" s="422">
        <v>12</v>
      </c>
      <c r="E153" s="423">
        <f t="shared" si="133"/>
        <v>3293517</v>
      </c>
      <c r="F153" s="423">
        <v>0</v>
      </c>
      <c r="G153" s="424">
        <v>215481.36</v>
      </c>
      <c r="H153" s="426"/>
      <c r="I153" s="423">
        <f t="shared" si="121"/>
        <v>3078035.64</v>
      </c>
      <c r="J153" s="423">
        <v>200000</v>
      </c>
      <c r="K153" s="423">
        <v>0.2</v>
      </c>
      <c r="L153" s="423">
        <f t="shared" si="122"/>
        <v>615607.12800000003</v>
      </c>
      <c r="M153" s="423">
        <f t="shared" si="123"/>
        <v>815607.12800000003</v>
      </c>
      <c r="N153" s="423">
        <f t="shared" si="124"/>
        <v>1031088.488</v>
      </c>
      <c r="O153" s="423">
        <f t="shared" si="125"/>
        <v>2262428.5120000001</v>
      </c>
      <c r="P153" s="423">
        <f t="shared" si="126"/>
        <v>21000</v>
      </c>
      <c r="Q153" s="423">
        <f t="shared" si="127"/>
        <v>33000</v>
      </c>
      <c r="R153" s="423">
        <f t="shared" si="128"/>
        <v>75000</v>
      </c>
      <c r="S153" s="423">
        <f t="shared" si="129"/>
        <v>95000</v>
      </c>
      <c r="T153" s="423">
        <f t="shared" si="130"/>
        <v>139109.98752</v>
      </c>
      <c r="U153" s="423"/>
      <c r="V153" s="423">
        <f t="shared" si="135"/>
        <v>363109.98752000002</v>
      </c>
      <c r="W153" s="430">
        <v>12</v>
      </c>
      <c r="X153" s="423">
        <f t="shared" si="131"/>
        <v>30259.165626666701</v>
      </c>
      <c r="Y153" s="426"/>
      <c r="Z153" s="423">
        <f t="shared" si="132"/>
        <v>30259.165626666701</v>
      </c>
      <c r="AA153" s="435">
        <v>17042.713866666702</v>
      </c>
      <c r="AB153" s="435">
        <f t="shared" si="13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281</v>
      </c>
      <c r="C154" s="423">
        <v>274459.75</v>
      </c>
      <c r="D154" s="422">
        <v>12</v>
      </c>
      <c r="E154" s="423">
        <f t="shared" si="133"/>
        <v>3293517</v>
      </c>
      <c r="F154" s="423">
        <v>0</v>
      </c>
      <c r="G154" s="424">
        <v>215481.36</v>
      </c>
      <c r="H154" s="426"/>
      <c r="I154" s="423">
        <f t="shared" si="121"/>
        <v>3078035.64</v>
      </c>
      <c r="J154" s="423">
        <v>200000</v>
      </c>
      <c r="K154" s="423">
        <v>0.2</v>
      </c>
      <c r="L154" s="423">
        <f t="shared" si="122"/>
        <v>615607.12800000003</v>
      </c>
      <c r="M154" s="423">
        <f t="shared" si="123"/>
        <v>815607.12800000003</v>
      </c>
      <c r="N154" s="423">
        <f t="shared" si="124"/>
        <v>1031088.488</v>
      </c>
      <c r="O154" s="423">
        <f t="shared" si="125"/>
        <v>2262428.5120000001</v>
      </c>
      <c r="P154" s="423">
        <f t="shared" si="126"/>
        <v>21000</v>
      </c>
      <c r="Q154" s="423">
        <f t="shared" si="127"/>
        <v>33000</v>
      </c>
      <c r="R154" s="423">
        <f t="shared" si="128"/>
        <v>75000</v>
      </c>
      <c r="S154" s="423">
        <f t="shared" si="129"/>
        <v>95000</v>
      </c>
      <c r="T154" s="423">
        <f t="shared" si="130"/>
        <v>139109.98752</v>
      </c>
      <c r="U154" s="423"/>
      <c r="V154" s="423">
        <f t="shared" si="135"/>
        <v>363109.98752000002</v>
      </c>
      <c r="W154" s="430">
        <v>12</v>
      </c>
      <c r="X154" s="423">
        <f t="shared" si="131"/>
        <v>30259.165626666701</v>
      </c>
      <c r="Y154" s="426"/>
      <c r="Z154" s="423">
        <f t="shared" si="132"/>
        <v>30259.165626666701</v>
      </c>
      <c r="AA154" s="435">
        <v>17042.713866666702</v>
      </c>
      <c r="AB154" s="435">
        <f t="shared" si="13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283</v>
      </c>
      <c r="C155" s="423">
        <v>280631.91666666698</v>
      </c>
      <c r="D155" s="422">
        <v>12</v>
      </c>
      <c r="E155" s="423">
        <f t="shared" si="133"/>
        <v>3367583</v>
      </c>
      <c r="F155" s="423">
        <v>0</v>
      </c>
      <c r="G155" s="424">
        <v>221406.64</v>
      </c>
      <c r="H155" s="426"/>
      <c r="I155" s="423">
        <f t="shared" si="121"/>
        <v>3146176.36</v>
      </c>
      <c r="J155" s="423">
        <v>200000</v>
      </c>
      <c r="K155" s="423">
        <v>0.2</v>
      </c>
      <c r="L155" s="423">
        <f t="shared" si="122"/>
        <v>629235.272</v>
      </c>
      <c r="M155" s="423">
        <f t="shared" si="123"/>
        <v>829235.272</v>
      </c>
      <c r="N155" s="423">
        <f t="shared" si="124"/>
        <v>1050641.912</v>
      </c>
      <c r="O155" s="423">
        <f t="shared" si="125"/>
        <v>2316941.088</v>
      </c>
      <c r="P155" s="423">
        <f t="shared" si="126"/>
        <v>21000</v>
      </c>
      <c r="Q155" s="423">
        <f t="shared" si="127"/>
        <v>33000</v>
      </c>
      <c r="R155" s="423">
        <f t="shared" si="128"/>
        <v>75000</v>
      </c>
      <c r="S155" s="423">
        <f t="shared" si="129"/>
        <v>95000</v>
      </c>
      <c r="T155" s="423">
        <f t="shared" si="130"/>
        <v>150557.62848000001</v>
      </c>
      <c r="U155" s="423"/>
      <c r="V155" s="423">
        <f t="shared" si="135"/>
        <v>374557.62848000001</v>
      </c>
      <c r="W155" s="430">
        <v>12</v>
      </c>
      <c r="X155" s="423">
        <f t="shared" si="131"/>
        <v>31213.135706666701</v>
      </c>
      <c r="Y155" s="426"/>
      <c r="Z155" s="423">
        <f t="shared" si="132"/>
        <v>31213.135706666701</v>
      </c>
      <c r="AA155" s="435">
        <v>17572.885002666699</v>
      </c>
      <c r="AB155" s="435">
        <f t="shared" si="13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285</v>
      </c>
      <c r="C156" s="423">
        <v>274459.75</v>
      </c>
      <c r="D156" s="422">
        <v>12</v>
      </c>
      <c r="E156" s="423">
        <f t="shared" si="133"/>
        <v>3293517</v>
      </c>
      <c r="F156" s="423">
        <v>0</v>
      </c>
      <c r="G156" s="424">
        <v>215481.36</v>
      </c>
      <c r="H156" s="426"/>
      <c r="I156" s="423">
        <f t="shared" si="121"/>
        <v>3078035.64</v>
      </c>
      <c r="J156" s="423">
        <v>200000</v>
      </c>
      <c r="K156" s="423">
        <v>0.2</v>
      </c>
      <c r="L156" s="423">
        <f t="shared" si="122"/>
        <v>615607.12800000003</v>
      </c>
      <c r="M156" s="423">
        <f t="shared" si="123"/>
        <v>815607.12800000003</v>
      </c>
      <c r="N156" s="423">
        <f t="shared" si="124"/>
        <v>1031088.488</v>
      </c>
      <c r="O156" s="423">
        <f t="shared" si="125"/>
        <v>2262428.5120000001</v>
      </c>
      <c r="P156" s="423">
        <f t="shared" si="126"/>
        <v>21000</v>
      </c>
      <c r="Q156" s="423">
        <f t="shared" si="127"/>
        <v>33000</v>
      </c>
      <c r="R156" s="423">
        <f t="shared" si="128"/>
        <v>75000</v>
      </c>
      <c r="S156" s="423">
        <f t="shared" si="129"/>
        <v>95000</v>
      </c>
      <c r="T156" s="423">
        <f t="shared" si="130"/>
        <v>139109.98752</v>
      </c>
      <c r="U156" s="423"/>
      <c r="V156" s="423">
        <f t="shared" si="135"/>
        <v>363109.98752000002</v>
      </c>
      <c r="W156" s="430">
        <v>12</v>
      </c>
      <c r="X156" s="423">
        <f t="shared" si="131"/>
        <v>30259.165626666701</v>
      </c>
      <c r="Y156" s="426"/>
      <c r="Z156" s="423">
        <f t="shared" si="132"/>
        <v>30259.165626666701</v>
      </c>
      <c r="AA156" s="435">
        <v>17042.713866666702</v>
      </c>
      <c r="AB156" s="435">
        <f t="shared" si="13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289</v>
      </c>
      <c r="C157" s="423">
        <v>202598.16666666701</v>
      </c>
      <c r="D157" s="422">
        <v>12</v>
      </c>
      <c r="E157" s="423">
        <f t="shared" si="133"/>
        <v>2431178</v>
      </c>
      <c r="F157" s="423">
        <f>263.19*12</f>
        <v>3158.28</v>
      </c>
      <c r="G157" s="424">
        <v>161854.24</v>
      </c>
      <c r="H157" s="426"/>
      <c r="I157" s="423">
        <f t="shared" si="121"/>
        <v>2266165.48</v>
      </c>
      <c r="J157" s="423">
        <v>200000</v>
      </c>
      <c r="K157" s="423">
        <v>0.2</v>
      </c>
      <c r="L157" s="423">
        <f t="shared" si="122"/>
        <v>453233.09600000002</v>
      </c>
      <c r="M157" s="423">
        <f t="shared" si="123"/>
        <v>653233.09600000002</v>
      </c>
      <c r="N157" s="423">
        <f t="shared" si="124"/>
        <v>818245.61600000004</v>
      </c>
      <c r="O157" s="423">
        <f t="shared" si="125"/>
        <v>1612932.3840000001</v>
      </c>
      <c r="P157" s="423">
        <f t="shared" si="126"/>
        <v>21000</v>
      </c>
      <c r="Q157" s="423">
        <f t="shared" si="127"/>
        <v>33000</v>
      </c>
      <c r="R157" s="423">
        <f t="shared" si="128"/>
        <v>75000</v>
      </c>
      <c r="S157" s="423">
        <f t="shared" si="129"/>
        <v>95000</v>
      </c>
      <c r="T157" s="423">
        <f t="shared" si="130"/>
        <v>2715.8006399999699</v>
      </c>
      <c r="U157" s="423"/>
      <c r="V157" s="423">
        <f t="shared" si="135"/>
        <v>226715.80064</v>
      </c>
      <c r="W157" s="430">
        <v>12</v>
      </c>
      <c r="X157" s="423">
        <f t="shared" si="131"/>
        <v>18892.9833866667</v>
      </c>
      <c r="Y157" s="426"/>
      <c r="Z157" s="423">
        <f t="shared" si="132"/>
        <v>18892.9833866667</v>
      </c>
      <c r="AA157" s="435">
        <v>10739.3048</v>
      </c>
      <c r="AB157" s="435">
        <f t="shared" si="134"/>
        <v>8153.6785866666696</v>
      </c>
      <c r="AC157" s="435"/>
      <c r="AD157" s="435"/>
      <c r="AE157" s="435"/>
    </row>
    <row r="158" spans="1:31" ht="18.75">
      <c r="A158" s="420">
        <v>141</v>
      </c>
      <c r="B158" s="9" t="s">
        <v>292</v>
      </c>
      <c r="C158" s="423">
        <v>205598.16666666701</v>
      </c>
      <c r="D158" s="422">
        <v>12</v>
      </c>
      <c r="E158" s="423">
        <f t="shared" si="133"/>
        <v>2467178</v>
      </c>
      <c r="F158" s="423"/>
      <c r="G158" s="424">
        <v>161854.24</v>
      </c>
      <c r="H158" s="426"/>
      <c r="I158" s="423">
        <f t="shared" si="121"/>
        <v>2305323.7599999998</v>
      </c>
      <c r="J158" s="423">
        <v>200000</v>
      </c>
      <c r="K158" s="423">
        <v>0.2</v>
      </c>
      <c r="L158" s="423">
        <f t="shared" si="122"/>
        <v>461064.75199999998</v>
      </c>
      <c r="M158" s="423">
        <f t="shared" si="123"/>
        <v>661064.75199999998</v>
      </c>
      <c r="N158" s="423">
        <f t="shared" si="124"/>
        <v>822918.99199999997</v>
      </c>
      <c r="O158" s="423">
        <f t="shared" si="125"/>
        <v>1644259.0079999999</v>
      </c>
      <c r="P158" s="423">
        <f t="shared" si="126"/>
        <v>21000</v>
      </c>
      <c r="Q158" s="423">
        <f t="shared" si="127"/>
        <v>33000</v>
      </c>
      <c r="R158" s="423">
        <f t="shared" si="128"/>
        <v>75000</v>
      </c>
      <c r="S158" s="423">
        <f t="shared" si="129"/>
        <v>95000</v>
      </c>
      <c r="T158" s="423">
        <f t="shared" si="130"/>
        <v>9294.3916799999806</v>
      </c>
      <c r="U158" s="423"/>
      <c r="V158" s="423">
        <f t="shared" si="135"/>
        <v>233294.39168</v>
      </c>
      <c r="W158" s="430">
        <v>12</v>
      </c>
      <c r="X158" s="423">
        <f t="shared" si="131"/>
        <v>19441.199306666698</v>
      </c>
      <c r="Y158" s="426"/>
      <c r="Z158" s="423">
        <f t="shared" si="132"/>
        <v>19441.199306666698</v>
      </c>
      <c r="AA158" s="435">
        <v>11232.457626666701</v>
      </c>
      <c r="AB158" s="435">
        <f t="shared" si="134"/>
        <v>8208.7416799999992</v>
      </c>
      <c r="AC158" s="435"/>
      <c r="AD158" s="435"/>
      <c r="AE158" s="435"/>
    </row>
    <row r="159" spans="1:31" ht="15.75" customHeight="1">
      <c r="A159" s="420">
        <v>142</v>
      </c>
      <c r="B159" s="9" t="s">
        <v>293</v>
      </c>
      <c r="C159" s="423">
        <v>202598.16666666701</v>
      </c>
      <c r="D159" s="422">
        <v>12</v>
      </c>
      <c r="E159" s="423">
        <f t="shared" si="133"/>
        <v>2431178</v>
      </c>
      <c r="F159" s="423"/>
      <c r="G159" s="424">
        <v>161854.24</v>
      </c>
      <c r="H159" s="426"/>
      <c r="I159" s="423">
        <f t="shared" si="121"/>
        <v>2269323.7599999998</v>
      </c>
      <c r="J159" s="423">
        <v>200000</v>
      </c>
      <c r="K159" s="423">
        <v>0.2</v>
      </c>
      <c r="L159" s="423">
        <f t="shared" si="122"/>
        <v>453864.75199999998</v>
      </c>
      <c r="M159" s="423">
        <f t="shared" si="123"/>
        <v>653864.75199999998</v>
      </c>
      <c r="N159" s="423">
        <f t="shared" si="124"/>
        <v>815718.99199999997</v>
      </c>
      <c r="O159" s="423">
        <f t="shared" si="125"/>
        <v>1615459.0079999999</v>
      </c>
      <c r="P159" s="423">
        <f t="shared" si="126"/>
        <v>21000</v>
      </c>
      <c r="Q159" s="423">
        <f t="shared" si="127"/>
        <v>33000</v>
      </c>
      <c r="R159" s="423">
        <f t="shared" si="128"/>
        <v>75000</v>
      </c>
      <c r="S159" s="423">
        <f t="shared" si="129"/>
        <v>95000</v>
      </c>
      <c r="T159" s="423">
        <f t="shared" si="130"/>
        <v>3246.3916799999802</v>
      </c>
      <c r="U159" s="423"/>
      <c r="V159" s="423">
        <f t="shared" si="135"/>
        <v>227246.39168</v>
      </c>
      <c r="W159" s="430">
        <v>12</v>
      </c>
      <c r="X159" s="423">
        <f t="shared" si="131"/>
        <v>18937.199306666698</v>
      </c>
      <c r="Y159" s="426"/>
      <c r="Z159" s="423">
        <f t="shared" si="132"/>
        <v>18937.199306666698</v>
      </c>
      <c r="AA159" s="435">
        <v>10776.457626666701</v>
      </c>
      <c r="AB159" s="435">
        <f t="shared" si="134"/>
        <v>8160.7416800000001</v>
      </c>
      <c r="AC159" s="435"/>
      <c r="AD159" s="435"/>
      <c r="AE159" s="435"/>
    </row>
    <row r="160" spans="1:31" ht="18.75">
      <c r="A160" s="420">
        <v>143</v>
      </c>
      <c r="B160" s="9" t="s">
        <v>294</v>
      </c>
      <c r="C160" s="423">
        <v>202598.16666666701</v>
      </c>
      <c r="D160" s="422">
        <v>12</v>
      </c>
      <c r="E160" s="423">
        <f t="shared" si="133"/>
        <v>2431178</v>
      </c>
      <c r="F160" s="423">
        <f>263.19*12</f>
        <v>3158.28</v>
      </c>
      <c r="G160" s="424">
        <v>161854.24</v>
      </c>
      <c r="H160" s="426"/>
      <c r="I160" s="423">
        <f t="shared" si="121"/>
        <v>2266165.48</v>
      </c>
      <c r="J160" s="423">
        <v>200000</v>
      </c>
      <c r="K160" s="423">
        <v>0.2</v>
      </c>
      <c r="L160" s="423">
        <f t="shared" si="122"/>
        <v>453233.09600000002</v>
      </c>
      <c r="M160" s="423">
        <f t="shared" si="123"/>
        <v>653233.09600000002</v>
      </c>
      <c r="N160" s="423">
        <f t="shared" si="124"/>
        <v>818245.61600000004</v>
      </c>
      <c r="O160" s="423">
        <f t="shared" si="125"/>
        <v>1612932.3840000001</v>
      </c>
      <c r="P160" s="423">
        <f t="shared" si="126"/>
        <v>21000</v>
      </c>
      <c r="Q160" s="423">
        <f t="shared" si="127"/>
        <v>33000</v>
      </c>
      <c r="R160" s="423">
        <f t="shared" si="128"/>
        <v>75000</v>
      </c>
      <c r="S160" s="423">
        <f t="shared" si="129"/>
        <v>95000</v>
      </c>
      <c r="T160" s="423">
        <f t="shared" si="130"/>
        <v>2715.8006399999699</v>
      </c>
      <c r="U160" s="423"/>
      <c r="V160" s="423">
        <f t="shared" si="135"/>
        <v>226715.80064</v>
      </c>
      <c r="W160" s="430">
        <v>12</v>
      </c>
      <c r="X160" s="423">
        <f t="shared" si="131"/>
        <v>18892.9833866667</v>
      </c>
      <c r="Y160" s="426"/>
      <c r="Z160" s="423">
        <f t="shared" si="132"/>
        <v>18892.9833866667</v>
      </c>
      <c r="AA160" s="435">
        <v>10739.3048</v>
      </c>
      <c r="AB160" s="435">
        <f t="shared" si="134"/>
        <v>8153.6785866666696</v>
      </c>
      <c r="AC160" s="435"/>
      <c r="AD160" s="435"/>
      <c r="AE160" s="435"/>
    </row>
    <row r="161" spans="1:31" ht="18.75">
      <c r="A161" s="420">
        <v>144</v>
      </c>
      <c r="B161" s="9" t="s">
        <v>295</v>
      </c>
      <c r="C161" s="423">
        <v>202598.16666666701</v>
      </c>
      <c r="D161" s="422">
        <v>12</v>
      </c>
      <c r="E161" s="423">
        <f t="shared" si="133"/>
        <v>2431178</v>
      </c>
      <c r="F161" s="423"/>
      <c r="G161" s="424">
        <v>161854.24</v>
      </c>
      <c r="H161" s="426"/>
      <c r="I161" s="423">
        <f t="shared" si="121"/>
        <v>2269323.7599999998</v>
      </c>
      <c r="J161" s="423">
        <v>200000</v>
      </c>
      <c r="K161" s="423">
        <v>0.2</v>
      </c>
      <c r="L161" s="423">
        <f t="shared" si="122"/>
        <v>453864.75199999998</v>
      </c>
      <c r="M161" s="423">
        <f t="shared" si="123"/>
        <v>653864.75199999998</v>
      </c>
      <c r="N161" s="423">
        <f t="shared" si="124"/>
        <v>815718.99199999997</v>
      </c>
      <c r="O161" s="423">
        <f t="shared" si="125"/>
        <v>1615459.0079999999</v>
      </c>
      <c r="P161" s="423">
        <f t="shared" si="126"/>
        <v>21000</v>
      </c>
      <c r="Q161" s="423">
        <f t="shared" si="127"/>
        <v>33000</v>
      </c>
      <c r="R161" s="423">
        <f t="shared" si="128"/>
        <v>75000</v>
      </c>
      <c r="S161" s="423">
        <f t="shared" si="129"/>
        <v>95000</v>
      </c>
      <c r="T161" s="423">
        <f t="shared" si="130"/>
        <v>3246.3916799999802</v>
      </c>
      <c r="U161" s="423"/>
      <c r="V161" s="423">
        <f t="shared" si="135"/>
        <v>227246.39168</v>
      </c>
      <c r="W161" s="430">
        <v>12</v>
      </c>
      <c r="X161" s="423">
        <f t="shared" si="131"/>
        <v>18937.199306666698</v>
      </c>
      <c r="Y161" s="426"/>
      <c r="Z161" s="423">
        <f t="shared" si="132"/>
        <v>18937.199306666698</v>
      </c>
      <c r="AA161" s="435">
        <v>10776.457626666701</v>
      </c>
      <c r="AB161" s="435">
        <f t="shared" si="134"/>
        <v>8160.7416800000001</v>
      </c>
      <c r="AC161" s="435"/>
      <c r="AD161" s="435"/>
      <c r="AE161" s="435"/>
    </row>
    <row r="162" spans="1:31" ht="18.75">
      <c r="A162" s="420">
        <v>145</v>
      </c>
      <c r="B162" s="9" t="s">
        <v>296</v>
      </c>
      <c r="C162" s="423">
        <v>200336.83333333299</v>
      </c>
      <c r="D162" s="422">
        <v>12</v>
      </c>
      <c r="E162" s="423">
        <f t="shared" si="133"/>
        <v>2404042</v>
      </c>
      <c r="F162" s="423"/>
      <c r="G162" s="424">
        <v>156803.35999999999</v>
      </c>
      <c r="H162" s="426"/>
      <c r="I162" s="423">
        <f t="shared" si="121"/>
        <v>2247238.64</v>
      </c>
      <c r="J162" s="423">
        <v>200000</v>
      </c>
      <c r="K162" s="423">
        <v>0.2</v>
      </c>
      <c r="L162" s="423">
        <f t="shared" si="122"/>
        <v>449447.728</v>
      </c>
      <c r="M162" s="423">
        <f t="shared" si="123"/>
        <v>649447.728</v>
      </c>
      <c r="N162" s="423">
        <f t="shared" si="124"/>
        <v>806251.08799999999</v>
      </c>
      <c r="O162" s="423">
        <f t="shared" si="125"/>
        <v>1597790.912</v>
      </c>
      <c r="P162" s="423">
        <f t="shared" si="126"/>
        <v>21000</v>
      </c>
      <c r="Q162" s="423">
        <f t="shared" si="127"/>
        <v>33000</v>
      </c>
      <c r="R162" s="423">
        <f t="shared" si="128"/>
        <v>75000</v>
      </c>
      <c r="S162" s="423">
        <f t="shared" si="129"/>
        <v>94580.273279999994</v>
      </c>
      <c r="T162" s="423">
        <f t="shared" si="130"/>
        <v>0</v>
      </c>
      <c r="U162" s="423"/>
      <c r="V162" s="423">
        <f t="shared" si="135"/>
        <v>223580.27327999999</v>
      </c>
      <c r="W162" s="430">
        <v>12</v>
      </c>
      <c r="X162" s="423">
        <f t="shared" si="131"/>
        <v>18631.689439999998</v>
      </c>
      <c r="Y162" s="426"/>
      <c r="Z162" s="423">
        <f t="shared" si="132"/>
        <v>18631.689439999998</v>
      </c>
      <c r="AA162" s="435">
        <v>11232.457626666701</v>
      </c>
      <c r="AB162" s="435">
        <f t="shared" si="134"/>
        <v>7399.2318133333401</v>
      </c>
      <c r="AC162" s="435"/>
      <c r="AD162" s="435"/>
      <c r="AE162" s="435"/>
    </row>
    <row r="163" spans="1:31" ht="18.75">
      <c r="A163" s="420">
        <v>146</v>
      </c>
      <c r="B163" s="9" t="s">
        <v>298</v>
      </c>
      <c r="C163" s="423">
        <v>197336.83333333299</v>
      </c>
      <c r="D163" s="422">
        <v>12</v>
      </c>
      <c r="E163" s="423">
        <f t="shared" si="133"/>
        <v>2368042</v>
      </c>
      <c r="F163" s="423"/>
      <c r="G163" s="424">
        <v>156803.35999999999</v>
      </c>
      <c r="H163" s="426"/>
      <c r="I163" s="423">
        <f t="shared" si="121"/>
        <v>2211238.64</v>
      </c>
      <c r="J163" s="423">
        <v>200000</v>
      </c>
      <c r="K163" s="423">
        <v>0.2</v>
      </c>
      <c r="L163" s="423">
        <f t="shared" si="122"/>
        <v>442247.728</v>
      </c>
      <c r="M163" s="423">
        <f t="shared" si="123"/>
        <v>642247.728</v>
      </c>
      <c r="N163" s="423">
        <f t="shared" si="124"/>
        <v>799051.08799999999</v>
      </c>
      <c r="O163" s="423">
        <f t="shared" si="125"/>
        <v>1568990.912</v>
      </c>
      <c r="P163" s="423">
        <f t="shared" si="126"/>
        <v>21000</v>
      </c>
      <c r="Q163" s="423">
        <f t="shared" si="127"/>
        <v>33000</v>
      </c>
      <c r="R163" s="423">
        <f t="shared" si="128"/>
        <v>75000</v>
      </c>
      <c r="S163" s="423">
        <f t="shared" si="129"/>
        <v>89108.273279999994</v>
      </c>
      <c r="T163" s="423">
        <f t="shared" si="130"/>
        <v>0</v>
      </c>
      <c r="U163" s="423"/>
      <c r="V163" s="423">
        <f t="shared" si="135"/>
        <v>218108.27327999999</v>
      </c>
      <c r="W163" s="430">
        <v>12</v>
      </c>
      <c r="X163" s="423">
        <f t="shared" si="131"/>
        <v>18175.689439999998</v>
      </c>
      <c r="Y163" s="426"/>
      <c r="Z163" s="423">
        <f t="shared" si="132"/>
        <v>18175.689439999998</v>
      </c>
      <c r="AA163" s="435">
        <v>10776.457626666701</v>
      </c>
      <c r="AB163" s="435">
        <f t="shared" si="134"/>
        <v>7399.2318133333401</v>
      </c>
      <c r="AC163" s="435"/>
      <c r="AD163" s="435"/>
      <c r="AE163" s="435"/>
    </row>
    <row r="164" spans="1:31" ht="18.75">
      <c r="A164" s="420">
        <v>147</v>
      </c>
      <c r="B164" s="12" t="s">
        <v>299</v>
      </c>
      <c r="C164" s="423">
        <v>200336.83333333299</v>
      </c>
      <c r="D164" s="422">
        <v>12</v>
      </c>
      <c r="E164" s="423">
        <f t="shared" si="133"/>
        <v>2404042</v>
      </c>
      <c r="F164" s="423"/>
      <c r="G164" s="424">
        <v>156803.35999999999</v>
      </c>
      <c r="H164" s="426"/>
      <c r="I164" s="423">
        <f t="shared" si="121"/>
        <v>2247238.64</v>
      </c>
      <c r="J164" s="423">
        <v>200000</v>
      </c>
      <c r="K164" s="423">
        <v>0.2</v>
      </c>
      <c r="L164" s="423">
        <f t="shared" si="122"/>
        <v>449447.728</v>
      </c>
      <c r="M164" s="423">
        <f t="shared" si="123"/>
        <v>649447.728</v>
      </c>
      <c r="N164" s="423">
        <f t="shared" si="124"/>
        <v>806251.08799999999</v>
      </c>
      <c r="O164" s="423">
        <f t="shared" si="125"/>
        <v>1597790.912</v>
      </c>
      <c r="P164" s="423">
        <f t="shared" si="126"/>
        <v>21000</v>
      </c>
      <c r="Q164" s="423">
        <f t="shared" si="127"/>
        <v>33000</v>
      </c>
      <c r="R164" s="423">
        <f t="shared" si="128"/>
        <v>75000</v>
      </c>
      <c r="S164" s="423">
        <f t="shared" si="129"/>
        <v>94580.273279999994</v>
      </c>
      <c r="T164" s="423">
        <f t="shared" si="130"/>
        <v>0</v>
      </c>
      <c r="U164" s="423"/>
      <c r="V164" s="423">
        <f t="shared" si="135"/>
        <v>223580.27327999999</v>
      </c>
      <c r="W164" s="430">
        <v>12</v>
      </c>
      <c r="X164" s="423">
        <f t="shared" si="131"/>
        <v>18631.689439999998</v>
      </c>
      <c r="Y164" s="426"/>
      <c r="Z164" s="423">
        <f t="shared" si="132"/>
        <v>18631.689439999998</v>
      </c>
      <c r="AA164" s="435">
        <v>11232.457626666701</v>
      </c>
      <c r="AB164" s="435">
        <f t="shared" si="134"/>
        <v>7399.2318133333401</v>
      </c>
      <c r="AC164" s="435"/>
      <c r="AD164" s="435"/>
      <c r="AE164" s="435"/>
    </row>
    <row r="165" spans="1:31" ht="18.75">
      <c r="A165" s="420">
        <v>148</v>
      </c>
      <c r="B165" s="9" t="s">
        <v>300</v>
      </c>
      <c r="C165" s="423">
        <v>197336.83333333299</v>
      </c>
      <c r="D165" s="422">
        <v>12</v>
      </c>
      <c r="E165" s="423">
        <f t="shared" si="133"/>
        <v>2368042</v>
      </c>
      <c r="F165" s="423"/>
      <c r="G165" s="424">
        <v>156803.35999999999</v>
      </c>
      <c r="H165" s="426"/>
      <c r="I165" s="423">
        <f t="shared" si="121"/>
        <v>2211238.64</v>
      </c>
      <c r="J165" s="423">
        <v>200000</v>
      </c>
      <c r="K165" s="423">
        <v>0.2</v>
      </c>
      <c r="L165" s="423">
        <f t="shared" si="122"/>
        <v>442247.728</v>
      </c>
      <c r="M165" s="423">
        <f t="shared" si="123"/>
        <v>642247.728</v>
      </c>
      <c r="N165" s="423">
        <f t="shared" si="124"/>
        <v>799051.08799999999</v>
      </c>
      <c r="O165" s="423">
        <f t="shared" si="125"/>
        <v>1568990.912</v>
      </c>
      <c r="P165" s="423">
        <f t="shared" si="126"/>
        <v>21000</v>
      </c>
      <c r="Q165" s="423">
        <f t="shared" si="127"/>
        <v>33000</v>
      </c>
      <c r="R165" s="423">
        <f t="shared" si="128"/>
        <v>75000</v>
      </c>
      <c r="S165" s="423">
        <f t="shared" si="129"/>
        <v>89108.273279999994</v>
      </c>
      <c r="T165" s="423">
        <f t="shared" si="130"/>
        <v>0</v>
      </c>
      <c r="U165" s="423"/>
      <c r="V165" s="423">
        <f t="shared" si="135"/>
        <v>218108.27327999999</v>
      </c>
      <c r="W165" s="430">
        <v>12</v>
      </c>
      <c r="X165" s="423">
        <f t="shared" si="131"/>
        <v>18175.689439999998</v>
      </c>
      <c r="Y165" s="426"/>
      <c r="Z165" s="423">
        <f t="shared" si="132"/>
        <v>18175.689439999998</v>
      </c>
      <c r="AA165" s="435">
        <v>10776.457626666701</v>
      </c>
      <c r="AB165" s="435">
        <f t="shared" si="134"/>
        <v>7399.2318133333401</v>
      </c>
      <c r="AC165" s="435"/>
      <c r="AD165" s="435"/>
      <c r="AE165" s="435"/>
    </row>
    <row r="166" spans="1:31" ht="18.75">
      <c r="A166" s="420">
        <v>149</v>
      </c>
      <c r="B166" s="16" t="s">
        <v>301</v>
      </c>
      <c r="C166" s="423">
        <v>197336.83333333299</v>
      </c>
      <c r="D166" s="422">
        <v>12</v>
      </c>
      <c r="E166" s="423">
        <f t="shared" si="133"/>
        <v>2368042</v>
      </c>
      <c r="F166" s="423"/>
      <c r="G166" s="424">
        <v>156803.35999999999</v>
      </c>
      <c r="H166" s="426"/>
      <c r="I166" s="423">
        <f t="shared" si="121"/>
        <v>2211238.64</v>
      </c>
      <c r="J166" s="423">
        <v>200000</v>
      </c>
      <c r="K166" s="423">
        <v>0.2</v>
      </c>
      <c r="L166" s="423">
        <f t="shared" si="122"/>
        <v>442247.728</v>
      </c>
      <c r="M166" s="423">
        <f t="shared" si="123"/>
        <v>642247.728</v>
      </c>
      <c r="N166" s="423">
        <f t="shared" si="124"/>
        <v>799051.08799999999</v>
      </c>
      <c r="O166" s="423">
        <f t="shared" si="125"/>
        <v>1568990.912</v>
      </c>
      <c r="P166" s="423">
        <f t="shared" si="126"/>
        <v>21000</v>
      </c>
      <c r="Q166" s="423">
        <f t="shared" si="127"/>
        <v>33000</v>
      </c>
      <c r="R166" s="423">
        <f t="shared" si="128"/>
        <v>75000</v>
      </c>
      <c r="S166" s="423">
        <f t="shared" si="129"/>
        <v>89108.273279999994</v>
      </c>
      <c r="T166" s="423">
        <f t="shared" si="130"/>
        <v>0</v>
      </c>
      <c r="U166" s="423"/>
      <c r="V166" s="423">
        <f t="shared" si="135"/>
        <v>218108.27327999999</v>
      </c>
      <c r="W166" s="430">
        <v>12</v>
      </c>
      <c r="X166" s="423">
        <f t="shared" si="131"/>
        <v>18175.689439999998</v>
      </c>
      <c r="Y166" s="426"/>
      <c r="Z166" s="423">
        <f t="shared" si="132"/>
        <v>18175.689439999998</v>
      </c>
      <c r="AA166" s="435">
        <v>10776.457626666701</v>
      </c>
      <c r="AB166" s="435">
        <f t="shared" si="134"/>
        <v>7399.2318133333401</v>
      </c>
      <c r="AC166" s="435"/>
      <c r="AD166" s="435"/>
      <c r="AE166" s="435"/>
    </row>
    <row r="167" spans="1:31" ht="18.75">
      <c r="A167" s="420">
        <v>150</v>
      </c>
      <c r="B167" s="16" t="s">
        <v>302</v>
      </c>
      <c r="C167" s="423">
        <v>200336.83333333299</v>
      </c>
      <c r="D167" s="422">
        <v>12</v>
      </c>
      <c r="E167" s="423">
        <f t="shared" si="133"/>
        <v>2404042</v>
      </c>
      <c r="F167" s="423"/>
      <c r="G167" s="424">
        <v>156803.35999999999</v>
      </c>
      <c r="H167" s="426"/>
      <c r="I167" s="423">
        <f t="shared" si="121"/>
        <v>2247238.64</v>
      </c>
      <c r="J167" s="423">
        <v>200000</v>
      </c>
      <c r="K167" s="423">
        <v>0.2</v>
      </c>
      <c r="L167" s="423">
        <f t="shared" si="122"/>
        <v>449447.728</v>
      </c>
      <c r="M167" s="423">
        <f t="shared" si="123"/>
        <v>649447.728</v>
      </c>
      <c r="N167" s="423">
        <f t="shared" si="124"/>
        <v>806251.08799999999</v>
      </c>
      <c r="O167" s="423">
        <f t="shared" si="125"/>
        <v>1597790.912</v>
      </c>
      <c r="P167" s="423">
        <f t="shared" si="126"/>
        <v>21000</v>
      </c>
      <c r="Q167" s="423">
        <f t="shared" si="127"/>
        <v>33000</v>
      </c>
      <c r="R167" s="423">
        <f t="shared" si="128"/>
        <v>75000</v>
      </c>
      <c r="S167" s="423">
        <f t="shared" si="129"/>
        <v>94580.273279999994</v>
      </c>
      <c r="T167" s="423">
        <f t="shared" si="130"/>
        <v>0</v>
      </c>
      <c r="U167" s="423"/>
      <c r="V167" s="423">
        <f t="shared" si="135"/>
        <v>223580.27327999999</v>
      </c>
      <c r="W167" s="430">
        <v>12</v>
      </c>
      <c r="X167" s="423">
        <f t="shared" si="131"/>
        <v>18631.689439999998</v>
      </c>
      <c r="Y167" s="426"/>
      <c r="Z167" s="423">
        <f t="shared" si="132"/>
        <v>18631.689439999998</v>
      </c>
      <c r="AA167" s="435">
        <v>11232.457626666701</v>
      </c>
      <c r="AB167" s="435">
        <f t="shared" si="134"/>
        <v>7399.2318133333401</v>
      </c>
      <c r="AC167" s="435"/>
      <c r="AD167" s="435"/>
      <c r="AE167" s="435"/>
    </row>
    <row r="168" spans="1:31" ht="37.5">
      <c r="A168" s="420">
        <v>151</v>
      </c>
      <c r="B168" s="9" t="s">
        <v>303</v>
      </c>
      <c r="C168" s="423">
        <v>189814.16666666701</v>
      </c>
      <c r="D168" s="422">
        <v>12</v>
      </c>
      <c r="E168" s="423">
        <f t="shared" si="133"/>
        <v>2277770</v>
      </c>
      <c r="F168" s="423"/>
      <c r="G168" s="424">
        <v>146701.6</v>
      </c>
      <c r="H168" s="426"/>
      <c r="I168" s="423">
        <f t="shared" si="121"/>
        <v>2131068.4</v>
      </c>
      <c r="J168" s="423">
        <v>200000</v>
      </c>
      <c r="K168" s="423">
        <v>0.2</v>
      </c>
      <c r="L168" s="423">
        <f t="shared" si="122"/>
        <v>426213.68</v>
      </c>
      <c r="M168" s="423">
        <f t="shared" si="123"/>
        <v>626213.68000000005</v>
      </c>
      <c r="N168" s="423">
        <f t="shared" si="124"/>
        <v>772915.28</v>
      </c>
      <c r="O168" s="423">
        <f t="shared" si="125"/>
        <v>1504854.72</v>
      </c>
      <c r="P168" s="423">
        <f t="shared" si="126"/>
        <v>21000</v>
      </c>
      <c r="Q168" s="423">
        <f t="shared" si="127"/>
        <v>33000</v>
      </c>
      <c r="R168" s="423">
        <f t="shared" si="128"/>
        <v>75000</v>
      </c>
      <c r="S168" s="423">
        <f t="shared" si="129"/>
        <v>76922.396800000002</v>
      </c>
      <c r="T168" s="423">
        <f t="shared" si="130"/>
        <v>0</v>
      </c>
      <c r="U168" s="423"/>
      <c r="V168" s="423">
        <f t="shared" si="135"/>
        <v>205922.39679999999</v>
      </c>
      <c r="W168" s="430">
        <v>12</v>
      </c>
      <c r="X168" s="423">
        <f t="shared" si="131"/>
        <v>17160.199733333298</v>
      </c>
      <c r="Y168" s="426"/>
      <c r="Z168" s="423">
        <f t="shared" si="132"/>
        <v>17160.199733333298</v>
      </c>
      <c r="AA168" s="435">
        <v>9152.5997900000002</v>
      </c>
      <c r="AB168" s="435">
        <f t="shared" si="134"/>
        <v>8007.59994333334</v>
      </c>
      <c r="AC168" s="435"/>
      <c r="AD168" s="435"/>
      <c r="AE168" s="435"/>
    </row>
    <row r="169" spans="1:31" ht="18.75">
      <c r="A169" s="420">
        <v>152</v>
      </c>
      <c r="B169" s="9" t="s">
        <v>306</v>
      </c>
      <c r="C169" s="423">
        <v>189814.16666666701</v>
      </c>
      <c r="D169" s="422">
        <v>12</v>
      </c>
      <c r="E169" s="423">
        <f t="shared" si="133"/>
        <v>2277770</v>
      </c>
      <c r="F169" s="423"/>
      <c r="G169" s="424">
        <v>146701.6</v>
      </c>
      <c r="H169" s="426"/>
      <c r="I169" s="423">
        <f t="shared" si="121"/>
        <v>2131068.4</v>
      </c>
      <c r="J169" s="423">
        <v>200000</v>
      </c>
      <c r="K169" s="423">
        <v>0.2</v>
      </c>
      <c r="L169" s="423">
        <f t="shared" si="122"/>
        <v>426213.68</v>
      </c>
      <c r="M169" s="423">
        <f t="shared" si="123"/>
        <v>626213.68000000005</v>
      </c>
      <c r="N169" s="423">
        <f t="shared" si="124"/>
        <v>772915.28</v>
      </c>
      <c r="O169" s="423">
        <f t="shared" si="125"/>
        <v>1504854.72</v>
      </c>
      <c r="P169" s="423">
        <f t="shared" si="126"/>
        <v>21000</v>
      </c>
      <c r="Q169" s="423">
        <f t="shared" si="127"/>
        <v>33000</v>
      </c>
      <c r="R169" s="423">
        <f t="shared" si="128"/>
        <v>75000</v>
      </c>
      <c r="S169" s="423">
        <f t="shared" si="129"/>
        <v>76922.396800000002</v>
      </c>
      <c r="T169" s="423">
        <f t="shared" si="130"/>
        <v>0</v>
      </c>
      <c r="U169" s="423"/>
      <c r="V169" s="423">
        <f t="shared" si="135"/>
        <v>205922.39679999999</v>
      </c>
      <c r="W169" s="430">
        <v>12</v>
      </c>
      <c r="X169" s="423">
        <f t="shared" si="131"/>
        <v>17160.199733333298</v>
      </c>
      <c r="Y169" s="426"/>
      <c r="Z169" s="423">
        <f t="shared" si="132"/>
        <v>17160.199733333298</v>
      </c>
      <c r="AA169" s="435">
        <v>9152.5997900000002</v>
      </c>
      <c r="AB169" s="435">
        <f t="shared" si="134"/>
        <v>8007.59994333334</v>
      </c>
      <c r="AC169" s="435"/>
      <c r="AD169" s="435"/>
      <c r="AE169" s="435"/>
    </row>
    <row r="170" spans="1:31" ht="18.75">
      <c r="A170" s="420">
        <v>153</v>
      </c>
      <c r="B170" s="16" t="s">
        <v>307</v>
      </c>
      <c r="C170" s="423">
        <v>195075.5</v>
      </c>
      <c r="D170" s="422">
        <v>12</v>
      </c>
      <c r="E170" s="423">
        <f t="shared" si="133"/>
        <v>2340906</v>
      </c>
      <c r="F170" s="423"/>
      <c r="G170" s="424">
        <v>151752.48000000001</v>
      </c>
      <c r="H170" s="426"/>
      <c r="I170" s="423">
        <f t="shared" si="121"/>
        <v>2189153.52</v>
      </c>
      <c r="J170" s="423">
        <v>200000</v>
      </c>
      <c r="K170" s="423">
        <v>0.2</v>
      </c>
      <c r="L170" s="423">
        <f t="shared" si="122"/>
        <v>437830.70400000003</v>
      </c>
      <c r="M170" s="423">
        <f t="shared" si="123"/>
        <v>637830.70400000003</v>
      </c>
      <c r="N170" s="423">
        <f t="shared" si="124"/>
        <v>789583.18400000001</v>
      </c>
      <c r="O170" s="423">
        <f t="shared" si="125"/>
        <v>1551322.8160000001</v>
      </c>
      <c r="P170" s="423">
        <f t="shared" si="126"/>
        <v>21000</v>
      </c>
      <c r="Q170" s="423">
        <f t="shared" si="127"/>
        <v>33000</v>
      </c>
      <c r="R170" s="423">
        <f t="shared" si="128"/>
        <v>75000</v>
      </c>
      <c r="S170" s="423">
        <f t="shared" si="129"/>
        <v>85751.335040000005</v>
      </c>
      <c r="T170" s="423">
        <f t="shared" si="130"/>
        <v>0</v>
      </c>
      <c r="U170" s="423"/>
      <c r="V170" s="423">
        <f t="shared" si="135"/>
        <v>214751.33504000001</v>
      </c>
      <c r="W170" s="430">
        <v>12</v>
      </c>
      <c r="X170" s="423">
        <f t="shared" si="131"/>
        <v>17895.944586666701</v>
      </c>
      <c r="Y170" s="426"/>
      <c r="Z170" s="423">
        <f t="shared" si="132"/>
        <v>17895.944586666701</v>
      </c>
      <c r="AA170" s="435">
        <v>9504.2041399999998</v>
      </c>
      <c r="AB170" s="435">
        <f t="shared" si="13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309</v>
      </c>
      <c r="C171" s="423">
        <v>121145.75</v>
      </c>
      <c r="D171" s="422">
        <v>12</v>
      </c>
      <c r="E171" s="423">
        <f t="shared" si="133"/>
        <v>1453749</v>
      </c>
      <c r="F171" s="423"/>
      <c r="G171" s="424">
        <v>90379.92</v>
      </c>
      <c r="H171" s="426"/>
      <c r="I171" s="423">
        <f t="shared" si="121"/>
        <v>1363369.08</v>
      </c>
      <c r="J171" s="423">
        <v>200000</v>
      </c>
      <c r="K171" s="423">
        <v>0.2</v>
      </c>
      <c r="L171" s="423">
        <f t="shared" si="122"/>
        <v>272673.81599999999</v>
      </c>
      <c r="M171" s="423">
        <f t="shared" si="123"/>
        <v>472673.81599999999</v>
      </c>
      <c r="N171" s="423">
        <f t="shared" si="124"/>
        <v>563053.73600000003</v>
      </c>
      <c r="O171" s="423">
        <f t="shared" si="125"/>
        <v>890695.26399999997</v>
      </c>
      <c r="P171" s="423">
        <f t="shared" si="126"/>
        <v>21000</v>
      </c>
      <c r="Q171" s="423">
        <f t="shared" si="127"/>
        <v>33000</v>
      </c>
      <c r="R171" s="423">
        <f t="shared" si="128"/>
        <v>43604.289599999996</v>
      </c>
      <c r="S171" s="423">
        <f t="shared" si="129"/>
        <v>0</v>
      </c>
      <c r="T171" s="423">
        <f t="shared" si="130"/>
        <v>0</v>
      </c>
      <c r="U171" s="423"/>
      <c r="V171" s="423">
        <f t="shared" si="135"/>
        <v>97604.289600000004</v>
      </c>
      <c r="W171" s="430">
        <v>12</v>
      </c>
      <c r="X171" s="423">
        <f t="shared" si="131"/>
        <v>8133.6908000000003</v>
      </c>
      <c r="Y171" s="426"/>
      <c r="Z171" s="423">
        <f t="shared" si="132"/>
        <v>8133.6908000000003</v>
      </c>
      <c r="AA171" s="435">
        <v>4365.3307546666701</v>
      </c>
      <c r="AB171" s="435">
        <f t="shared" si="13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312</v>
      </c>
      <c r="C172" s="423">
        <v>118598</v>
      </c>
      <c r="D172" s="422">
        <v>12</v>
      </c>
      <c r="E172" s="423">
        <f t="shared" si="133"/>
        <v>1423176</v>
      </c>
      <c r="F172" s="423"/>
      <c r="G172" s="424">
        <v>87934.080000000002</v>
      </c>
      <c r="H172" s="426"/>
      <c r="I172" s="423">
        <f t="shared" si="121"/>
        <v>1335241.92</v>
      </c>
      <c r="J172" s="423">
        <v>200000</v>
      </c>
      <c r="K172" s="423">
        <v>0.2</v>
      </c>
      <c r="L172" s="423">
        <f t="shared" si="122"/>
        <v>267048.38400000002</v>
      </c>
      <c r="M172" s="423">
        <f t="shared" si="123"/>
        <v>467048.38400000002</v>
      </c>
      <c r="N172" s="423">
        <f t="shared" si="124"/>
        <v>554982.46400000004</v>
      </c>
      <c r="O172" s="423">
        <f t="shared" si="125"/>
        <v>868193.53599999996</v>
      </c>
      <c r="P172" s="423">
        <f t="shared" si="126"/>
        <v>21000</v>
      </c>
      <c r="Q172" s="423">
        <f t="shared" si="127"/>
        <v>33000</v>
      </c>
      <c r="R172" s="423">
        <f t="shared" si="128"/>
        <v>40229.030400000003</v>
      </c>
      <c r="S172" s="423">
        <f t="shared" si="129"/>
        <v>0</v>
      </c>
      <c r="T172" s="423">
        <f t="shared" si="130"/>
        <v>0</v>
      </c>
      <c r="U172" s="423"/>
      <c r="V172" s="423">
        <f t="shared" si="135"/>
        <v>94229.030400000003</v>
      </c>
      <c r="W172" s="430">
        <v>12</v>
      </c>
      <c r="X172" s="423">
        <f t="shared" si="131"/>
        <v>7852.4192000000003</v>
      </c>
      <c r="Y172" s="426"/>
      <c r="Z172" s="423">
        <f t="shared" si="132"/>
        <v>7852.4192000000003</v>
      </c>
      <c r="AA172" s="435">
        <v>4227.5237226666704</v>
      </c>
      <c r="AB172" s="435">
        <f t="shared" si="13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315</v>
      </c>
      <c r="C173" s="423">
        <v>115598</v>
      </c>
      <c r="D173" s="422">
        <v>12</v>
      </c>
      <c r="E173" s="423">
        <f t="shared" si="133"/>
        <v>1387176</v>
      </c>
      <c r="F173" s="423"/>
      <c r="G173" s="424">
        <v>87934.080000000002</v>
      </c>
      <c r="H173" s="426"/>
      <c r="I173" s="423">
        <f t="shared" si="121"/>
        <v>1299241.92</v>
      </c>
      <c r="J173" s="423">
        <v>200000</v>
      </c>
      <c r="K173" s="423">
        <v>0.2</v>
      </c>
      <c r="L173" s="423">
        <f t="shared" si="122"/>
        <v>259848.38399999999</v>
      </c>
      <c r="M173" s="423">
        <f t="shared" si="123"/>
        <v>459848.38400000002</v>
      </c>
      <c r="N173" s="423">
        <f t="shared" si="124"/>
        <v>547782.46400000004</v>
      </c>
      <c r="O173" s="423">
        <f t="shared" si="125"/>
        <v>839393.53599999996</v>
      </c>
      <c r="P173" s="423">
        <f t="shared" si="126"/>
        <v>21000</v>
      </c>
      <c r="Q173" s="423">
        <f t="shared" si="127"/>
        <v>33000</v>
      </c>
      <c r="R173" s="423">
        <f t="shared" si="128"/>
        <v>35909.030400000003</v>
      </c>
      <c r="S173" s="423">
        <f t="shared" si="129"/>
        <v>0</v>
      </c>
      <c r="T173" s="423">
        <f t="shared" si="130"/>
        <v>0</v>
      </c>
      <c r="U173" s="423"/>
      <c r="V173" s="423">
        <f t="shared" si="135"/>
        <v>89909.030400000003</v>
      </c>
      <c r="W173" s="430">
        <v>12</v>
      </c>
      <c r="X173" s="423">
        <f t="shared" si="131"/>
        <v>7492.4192000000003</v>
      </c>
      <c r="Y173" s="426"/>
      <c r="Z173" s="423">
        <f t="shared" si="132"/>
        <v>7492.4192000000003</v>
      </c>
      <c r="AA173" s="435">
        <v>3963.52372266667</v>
      </c>
      <c r="AB173" s="435">
        <f t="shared" si="13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316</v>
      </c>
      <c r="C174" s="423">
        <v>118598</v>
      </c>
      <c r="D174" s="422">
        <v>12</v>
      </c>
      <c r="E174" s="423">
        <f t="shared" si="133"/>
        <v>1423176</v>
      </c>
      <c r="F174" s="423"/>
      <c r="G174" s="424">
        <v>87934.080000000002</v>
      </c>
      <c r="H174" s="426"/>
      <c r="I174" s="423">
        <f t="shared" si="121"/>
        <v>1335241.92</v>
      </c>
      <c r="J174" s="423">
        <v>200000</v>
      </c>
      <c r="K174" s="423">
        <v>0.2</v>
      </c>
      <c r="L174" s="423">
        <f t="shared" si="122"/>
        <v>267048.38400000002</v>
      </c>
      <c r="M174" s="423">
        <f t="shared" si="123"/>
        <v>467048.38400000002</v>
      </c>
      <c r="N174" s="423">
        <f t="shared" si="124"/>
        <v>554982.46400000004</v>
      </c>
      <c r="O174" s="423">
        <f t="shared" si="125"/>
        <v>868193.53599999996</v>
      </c>
      <c r="P174" s="423">
        <f t="shared" si="126"/>
        <v>21000</v>
      </c>
      <c r="Q174" s="423">
        <f t="shared" si="127"/>
        <v>33000</v>
      </c>
      <c r="R174" s="423">
        <f t="shared" si="128"/>
        <v>40229.030400000003</v>
      </c>
      <c r="S174" s="423">
        <f t="shared" si="129"/>
        <v>0</v>
      </c>
      <c r="T174" s="423">
        <f t="shared" si="130"/>
        <v>0</v>
      </c>
      <c r="U174" s="423"/>
      <c r="V174" s="423">
        <f t="shared" si="135"/>
        <v>94229.030400000003</v>
      </c>
      <c r="W174" s="430">
        <v>12</v>
      </c>
      <c r="X174" s="423">
        <f t="shared" si="131"/>
        <v>7852.4192000000003</v>
      </c>
      <c r="Y174" s="426"/>
      <c r="Z174" s="423">
        <f t="shared" si="132"/>
        <v>7852.4192000000003</v>
      </c>
      <c r="AA174" s="435">
        <v>4227.5237226666704</v>
      </c>
      <c r="AB174" s="435">
        <f t="shared" si="134"/>
        <v>3624.8954773333298</v>
      </c>
      <c r="AC174" s="435"/>
      <c r="AD174" s="435"/>
      <c r="AE174" s="435"/>
    </row>
    <row r="175" spans="1:31" ht="18.75">
      <c r="A175" s="431"/>
      <c r="B175" s="9" t="s">
        <v>317</v>
      </c>
      <c r="C175" s="439">
        <v>115598</v>
      </c>
      <c r="D175" s="422">
        <v>12</v>
      </c>
      <c r="E175" s="423">
        <f t="shared" si="133"/>
        <v>1387176</v>
      </c>
      <c r="F175" s="423"/>
      <c r="G175" s="424">
        <v>87934.080000000002</v>
      </c>
      <c r="H175" s="426"/>
      <c r="I175" s="423">
        <f t="shared" si="121"/>
        <v>1299241.92</v>
      </c>
      <c r="J175" s="423">
        <v>200000</v>
      </c>
      <c r="K175" s="423">
        <v>0.2</v>
      </c>
      <c r="L175" s="423">
        <f t="shared" si="122"/>
        <v>259848.38399999999</v>
      </c>
      <c r="M175" s="423">
        <f t="shared" si="123"/>
        <v>459848.38400000002</v>
      </c>
      <c r="N175" s="423">
        <f t="shared" si="124"/>
        <v>547782.46400000004</v>
      </c>
      <c r="O175" s="423">
        <f t="shared" si="125"/>
        <v>839393.53599999996</v>
      </c>
      <c r="P175" s="423">
        <f t="shared" si="126"/>
        <v>21000</v>
      </c>
      <c r="Q175" s="423">
        <f t="shared" si="127"/>
        <v>33000</v>
      </c>
      <c r="R175" s="423">
        <f t="shared" si="128"/>
        <v>35909.030400000003</v>
      </c>
      <c r="S175" s="423">
        <f t="shared" si="129"/>
        <v>0</v>
      </c>
      <c r="T175" s="423">
        <f t="shared" si="130"/>
        <v>0</v>
      </c>
      <c r="U175" s="423"/>
      <c r="V175" s="423">
        <f t="shared" si="135"/>
        <v>89909.030400000003</v>
      </c>
      <c r="W175" s="430">
        <v>12</v>
      </c>
      <c r="X175" s="423">
        <f t="shared" si="131"/>
        <v>7492.4192000000003</v>
      </c>
      <c r="Y175" s="426"/>
      <c r="Z175" s="423">
        <f t="shared" si="132"/>
        <v>7492.4192000000003</v>
      </c>
      <c r="AA175" s="435">
        <v>3963.52372266667</v>
      </c>
      <c r="AB175" s="435">
        <f t="shared" si="134"/>
        <v>3528.8954773333298</v>
      </c>
      <c r="AC175" s="435"/>
      <c r="AD175" s="435"/>
      <c r="AE175" s="435"/>
    </row>
    <row r="176" spans="1:31" ht="18.75">
      <c r="A176" s="431"/>
      <c r="B176" s="9" t="s">
        <v>318</v>
      </c>
      <c r="C176" s="439">
        <v>118598</v>
      </c>
      <c r="D176" s="422">
        <v>12</v>
      </c>
      <c r="E176" s="423">
        <f t="shared" si="133"/>
        <v>1423176</v>
      </c>
      <c r="F176" s="423"/>
      <c r="G176" s="424">
        <v>87934.080000000002</v>
      </c>
      <c r="H176" s="426"/>
      <c r="I176" s="423">
        <f t="shared" si="121"/>
        <v>1335241.92</v>
      </c>
      <c r="J176" s="423">
        <v>200000</v>
      </c>
      <c r="K176" s="423">
        <v>0.2</v>
      </c>
      <c r="L176" s="423">
        <f t="shared" si="122"/>
        <v>267048.38400000002</v>
      </c>
      <c r="M176" s="423">
        <f t="shared" si="123"/>
        <v>467048.38400000002</v>
      </c>
      <c r="N176" s="423">
        <f t="shared" si="124"/>
        <v>554982.46400000004</v>
      </c>
      <c r="O176" s="423">
        <f t="shared" si="125"/>
        <v>868193.53599999996</v>
      </c>
      <c r="P176" s="423">
        <f t="shared" si="126"/>
        <v>21000</v>
      </c>
      <c r="Q176" s="423">
        <f t="shared" si="127"/>
        <v>33000</v>
      </c>
      <c r="R176" s="423">
        <f t="shared" si="128"/>
        <v>40229.030400000003</v>
      </c>
      <c r="S176" s="423">
        <f t="shared" si="129"/>
        <v>0</v>
      </c>
      <c r="T176" s="423">
        <f t="shared" si="130"/>
        <v>0</v>
      </c>
      <c r="U176" s="423"/>
      <c r="V176" s="423">
        <f t="shared" si="135"/>
        <v>94229.030400000003</v>
      </c>
      <c r="W176" s="430">
        <v>12</v>
      </c>
      <c r="X176" s="423">
        <f t="shared" si="131"/>
        <v>7852.4192000000003</v>
      </c>
      <c r="Y176" s="426"/>
      <c r="Z176" s="423">
        <f t="shared" si="132"/>
        <v>7852.4192000000003</v>
      </c>
      <c r="AA176" s="435">
        <v>4227.5237226666704</v>
      </c>
      <c r="AB176" s="435">
        <f t="shared" si="134"/>
        <v>3624.8954773333298</v>
      </c>
    </row>
    <row r="177" spans="2:28" ht="18.75">
      <c r="B177" s="16" t="s">
        <v>319</v>
      </c>
      <c r="C177" s="435">
        <v>115598</v>
      </c>
      <c r="D177" s="422">
        <v>12</v>
      </c>
      <c r="E177" s="423">
        <f t="shared" si="133"/>
        <v>1387176</v>
      </c>
      <c r="G177" s="424">
        <v>87934.080000000002</v>
      </c>
      <c r="I177" s="423">
        <f t="shared" si="121"/>
        <v>1299241.92</v>
      </c>
      <c r="J177" s="423">
        <v>200000</v>
      </c>
      <c r="K177" s="423">
        <v>0.2</v>
      </c>
      <c r="L177" s="423">
        <f t="shared" si="122"/>
        <v>259848.38399999999</v>
      </c>
      <c r="M177" s="423">
        <f t="shared" si="123"/>
        <v>459848.38400000002</v>
      </c>
      <c r="N177" s="423">
        <f t="shared" si="124"/>
        <v>547782.46400000004</v>
      </c>
      <c r="O177" s="423">
        <f t="shared" si="125"/>
        <v>839393.53599999996</v>
      </c>
      <c r="P177" s="423">
        <f t="shared" si="126"/>
        <v>21000</v>
      </c>
      <c r="Q177" s="423">
        <f t="shared" si="127"/>
        <v>33000</v>
      </c>
      <c r="R177" s="423">
        <f t="shared" si="128"/>
        <v>35909.030400000003</v>
      </c>
      <c r="S177" s="423">
        <f t="shared" si="129"/>
        <v>0</v>
      </c>
      <c r="T177" s="423">
        <f t="shared" si="130"/>
        <v>0</v>
      </c>
      <c r="U177" s="423"/>
      <c r="V177" s="423">
        <f t="shared" si="135"/>
        <v>89909.030400000003</v>
      </c>
      <c r="W177" s="430">
        <v>12</v>
      </c>
      <c r="X177" s="423">
        <f t="shared" si="131"/>
        <v>7492.4192000000003</v>
      </c>
      <c r="Z177" s="423">
        <f t="shared" si="132"/>
        <v>7492.4192000000003</v>
      </c>
      <c r="AA177" s="435">
        <v>3963.52372266667</v>
      </c>
      <c r="AB177" s="435">
        <f t="shared" si="134"/>
        <v>3528.8954773333298</v>
      </c>
    </row>
    <row r="178" spans="2:28" ht="18.75">
      <c r="B178" s="16" t="s">
        <v>320</v>
      </c>
      <c r="C178" s="435">
        <v>118598</v>
      </c>
      <c r="D178" s="422">
        <v>12</v>
      </c>
      <c r="E178" s="423">
        <f t="shared" si="133"/>
        <v>1423176</v>
      </c>
      <c r="G178" s="424">
        <v>87934.080000000002</v>
      </c>
      <c r="I178" s="423">
        <f t="shared" si="121"/>
        <v>1335241.92</v>
      </c>
      <c r="J178" s="423">
        <v>200000</v>
      </c>
      <c r="K178" s="423">
        <v>0.2</v>
      </c>
      <c r="L178" s="423">
        <f t="shared" si="122"/>
        <v>267048.38400000002</v>
      </c>
      <c r="M178" s="423">
        <f t="shared" si="123"/>
        <v>467048.38400000002</v>
      </c>
      <c r="N178" s="423">
        <f t="shared" si="124"/>
        <v>554982.46400000004</v>
      </c>
      <c r="O178" s="423">
        <f t="shared" si="125"/>
        <v>868193.53599999996</v>
      </c>
      <c r="P178" s="423">
        <f t="shared" si="126"/>
        <v>21000</v>
      </c>
      <c r="Q178" s="423">
        <f t="shared" si="127"/>
        <v>33000</v>
      </c>
      <c r="R178" s="423">
        <f t="shared" si="128"/>
        <v>40229.030400000003</v>
      </c>
      <c r="S178" s="423">
        <f t="shared" si="129"/>
        <v>0</v>
      </c>
      <c r="T178" s="423">
        <f t="shared" si="130"/>
        <v>0</v>
      </c>
      <c r="U178" s="423"/>
      <c r="V178" s="423">
        <f t="shared" si="135"/>
        <v>94229.030400000003</v>
      </c>
      <c r="W178" s="430">
        <v>12</v>
      </c>
      <c r="X178" s="423">
        <f t="shared" si="131"/>
        <v>7852.4192000000003</v>
      </c>
      <c r="Z178" s="423">
        <f t="shared" si="132"/>
        <v>7852.4192000000003</v>
      </c>
      <c r="AA178" s="435">
        <v>4227.5237226666704</v>
      </c>
      <c r="AB178" s="435">
        <f t="shared" si="134"/>
        <v>3624.8954773333298</v>
      </c>
    </row>
    <row r="179" spans="2:28" ht="18.75">
      <c r="B179" s="9" t="s">
        <v>321</v>
      </c>
      <c r="C179" s="435">
        <v>118598</v>
      </c>
      <c r="D179" s="422">
        <v>12</v>
      </c>
      <c r="E179" s="423">
        <f t="shared" si="133"/>
        <v>1423176</v>
      </c>
      <c r="G179" s="424">
        <v>87934.080000000002</v>
      </c>
      <c r="I179" s="423">
        <f t="shared" si="121"/>
        <v>1335241.92</v>
      </c>
      <c r="J179" s="423">
        <v>200000</v>
      </c>
      <c r="K179" s="423">
        <v>0.2</v>
      </c>
      <c r="L179" s="423">
        <f t="shared" si="122"/>
        <v>267048.38400000002</v>
      </c>
      <c r="M179" s="423">
        <f t="shared" si="123"/>
        <v>467048.38400000002</v>
      </c>
      <c r="N179" s="423">
        <f t="shared" si="124"/>
        <v>554982.46400000004</v>
      </c>
      <c r="O179" s="423">
        <f t="shared" si="125"/>
        <v>868193.53599999996</v>
      </c>
      <c r="P179" s="423">
        <f t="shared" si="126"/>
        <v>21000</v>
      </c>
      <c r="Q179" s="423">
        <f t="shared" si="127"/>
        <v>33000</v>
      </c>
      <c r="R179" s="423">
        <f t="shared" si="128"/>
        <v>40229.030400000003</v>
      </c>
      <c r="S179" s="423">
        <f t="shared" si="129"/>
        <v>0</v>
      </c>
      <c r="T179" s="423">
        <f t="shared" si="130"/>
        <v>0</v>
      </c>
      <c r="V179" s="423">
        <f t="shared" si="135"/>
        <v>94229.030400000003</v>
      </c>
      <c r="W179" s="430">
        <v>12</v>
      </c>
      <c r="X179" s="423">
        <f t="shared" si="131"/>
        <v>7852.4192000000003</v>
      </c>
      <c r="Z179" s="423">
        <f t="shared" si="132"/>
        <v>7852.4192000000003</v>
      </c>
      <c r="AA179" s="435">
        <v>4089.7166906666698</v>
      </c>
      <c r="AB179" s="435">
        <f t="shared" si="134"/>
        <v>3762.70250933333</v>
      </c>
    </row>
    <row r="180" spans="2:28" ht="18.75">
      <c r="B180" s="9" t="s">
        <v>322</v>
      </c>
      <c r="C180" s="435">
        <v>118598</v>
      </c>
      <c r="D180" s="422">
        <v>12</v>
      </c>
      <c r="E180" s="423">
        <f t="shared" si="133"/>
        <v>1423176</v>
      </c>
      <c r="G180" s="424">
        <v>87934.080000000002</v>
      </c>
      <c r="I180" s="423">
        <f t="shared" si="121"/>
        <v>1335241.92</v>
      </c>
      <c r="J180" s="423">
        <v>200000</v>
      </c>
      <c r="K180" s="423">
        <v>0.2</v>
      </c>
      <c r="L180" s="423">
        <f t="shared" si="122"/>
        <v>267048.38400000002</v>
      </c>
      <c r="M180" s="423">
        <f t="shared" si="123"/>
        <v>467048.38400000002</v>
      </c>
      <c r="N180" s="423">
        <f t="shared" si="124"/>
        <v>554982.46400000004</v>
      </c>
      <c r="O180" s="423">
        <f t="shared" si="125"/>
        <v>868193.53599999996</v>
      </c>
      <c r="P180" s="423">
        <f t="shared" si="126"/>
        <v>21000</v>
      </c>
      <c r="Q180" s="423">
        <f t="shared" si="127"/>
        <v>33000</v>
      </c>
      <c r="R180" s="423">
        <f t="shared" si="128"/>
        <v>40229.030400000003</v>
      </c>
      <c r="S180" s="423">
        <f t="shared" si="129"/>
        <v>0</v>
      </c>
      <c r="T180" s="423">
        <f t="shared" si="130"/>
        <v>0</v>
      </c>
      <c r="V180" s="423">
        <f t="shared" si="135"/>
        <v>94229.030400000003</v>
      </c>
      <c r="W180" s="430">
        <v>12</v>
      </c>
      <c r="X180" s="423">
        <f t="shared" si="131"/>
        <v>7852.4192000000003</v>
      </c>
      <c r="Z180" s="423">
        <f t="shared" si="132"/>
        <v>7852.4192000000003</v>
      </c>
      <c r="AA180" s="435">
        <v>4227.5237226666704</v>
      </c>
      <c r="AB180" s="435">
        <f t="shared" si="134"/>
        <v>3624.8954773333298</v>
      </c>
    </row>
    <row r="181" spans="2:28" ht="18.75">
      <c r="B181" s="16" t="s">
        <v>323</v>
      </c>
      <c r="C181" s="435">
        <v>116050.25</v>
      </c>
      <c r="D181" s="422">
        <v>12</v>
      </c>
      <c r="E181" s="423">
        <f t="shared" si="133"/>
        <v>1392603</v>
      </c>
      <c r="G181" s="424">
        <v>85488.24</v>
      </c>
      <c r="I181" s="423">
        <f t="shared" si="121"/>
        <v>1307114.76</v>
      </c>
      <c r="J181" s="423">
        <v>200000</v>
      </c>
      <c r="K181" s="423">
        <v>0.2</v>
      </c>
      <c r="L181" s="423">
        <f t="shared" si="122"/>
        <v>261422.95199999999</v>
      </c>
      <c r="M181" s="423">
        <f t="shared" si="123"/>
        <v>461422.95199999999</v>
      </c>
      <c r="N181" s="423">
        <f t="shared" si="124"/>
        <v>546911.19200000004</v>
      </c>
      <c r="O181" s="423">
        <f t="shared" si="125"/>
        <v>845691.80799999996</v>
      </c>
      <c r="P181" s="423">
        <f t="shared" si="126"/>
        <v>21000</v>
      </c>
      <c r="Q181" s="423">
        <f t="shared" si="127"/>
        <v>33000</v>
      </c>
      <c r="R181" s="423">
        <f t="shared" si="128"/>
        <v>36853.771200000003</v>
      </c>
      <c r="S181" s="423">
        <f t="shared" si="129"/>
        <v>0</v>
      </c>
      <c r="T181" s="423">
        <f t="shared" si="130"/>
        <v>0</v>
      </c>
      <c r="V181" s="423">
        <f t="shared" si="135"/>
        <v>90853.771200000003</v>
      </c>
      <c r="W181" s="430">
        <v>12</v>
      </c>
      <c r="X181" s="423">
        <f t="shared" si="131"/>
        <v>7571.1476000000002</v>
      </c>
      <c r="Z181" s="423">
        <f t="shared" si="132"/>
        <v>7571.1476000000002</v>
      </c>
      <c r="AA181" s="435">
        <v>4089.7166906666698</v>
      </c>
      <c r="AB181" s="435">
        <f t="shared" si="134"/>
        <v>3481.43090933333</v>
      </c>
    </row>
    <row r="182" spans="2:28" ht="18.75">
      <c r="B182" s="16" t="s">
        <v>328</v>
      </c>
      <c r="C182" s="435">
        <v>102926.91666666701</v>
      </c>
      <c r="D182" s="422">
        <v>12</v>
      </c>
      <c r="E182" s="423">
        <f t="shared" si="133"/>
        <v>1235123</v>
      </c>
      <c r="G182" s="424">
        <v>77689.84</v>
      </c>
      <c r="I182" s="423">
        <f t="shared" si="121"/>
        <v>1157433.1599999999</v>
      </c>
      <c r="J182" s="423">
        <v>200000</v>
      </c>
      <c r="K182" s="423">
        <v>0.2</v>
      </c>
      <c r="L182" s="423">
        <f t="shared" si="122"/>
        <v>231486.63200000001</v>
      </c>
      <c r="M182" s="423">
        <f t="shared" si="123"/>
        <v>431486.63199999998</v>
      </c>
      <c r="N182" s="423">
        <f t="shared" si="124"/>
        <v>509176.47200000001</v>
      </c>
      <c r="O182" s="423">
        <f t="shared" si="125"/>
        <v>725946.52800000005</v>
      </c>
      <c r="P182" s="423">
        <f t="shared" si="126"/>
        <v>21000</v>
      </c>
      <c r="Q182" s="423">
        <f t="shared" si="127"/>
        <v>33000</v>
      </c>
      <c r="R182" s="423">
        <f t="shared" si="128"/>
        <v>18891.979200000002</v>
      </c>
      <c r="S182" s="423">
        <f t="shared" si="129"/>
        <v>0</v>
      </c>
      <c r="T182" s="423">
        <f t="shared" si="130"/>
        <v>0</v>
      </c>
      <c r="V182" s="423">
        <f t="shared" si="135"/>
        <v>72891.979200000002</v>
      </c>
      <c r="W182" s="430">
        <v>12</v>
      </c>
      <c r="X182" s="423">
        <f t="shared" si="131"/>
        <v>6074.3316000000004</v>
      </c>
      <c r="Z182" s="423">
        <f t="shared" si="132"/>
        <v>6074.3316000000004</v>
      </c>
      <c r="AA182" s="435">
        <v>3210.1544048666701</v>
      </c>
      <c r="AB182" s="435">
        <f t="shared" si="134"/>
        <v>2864.1771951333299</v>
      </c>
    </row>
    <row r="183" spans="2:28" ht="18.75">
      <c r="B183" s="16" t="s">
        <v>329</v>
      </c>
      <c r="C183" s="435">
        <v>95540.75</v>
      </c>
      <c r="D183" s="422">
        <v>12</v>
      </c>
      <c r="E183" s="423">
        <f t="shared" si="133"/>
        <v>1146489</v>
      </c>
      <c r="G183" s="424">
        <f>6123.26*12</f>
        <v>73479.12</v>
      </c>
      <c r="I183" s="423">
        <f t="shared" si="121"/>
        <v>1073009.8799999999</v>
      </c>
      <c r="J183" s="423">
        <v>200000</v>
      </c>
      <c r="K183" s="423">
        <v>0.2</v>
      </c>
      <c r="L183" s="423">
        <f t="shared" si="122"/>
        <v>214601.976</v>
      </c>
      <c r="M183" s="423">
        <f t="shared" si="123"/>
        <v>414601.97600000002</v>
      </c>
      <c r="N183" s="423">
        <f t="shared" si="124"/>
        <v>488081.09600000002</v>
      </c>
      <c r="O183" s="423">
        <f t="shared" si="125"/>
        <v>658407.90399999998</v>
      </c>
      <c r="P183" s="423">
        <f t="shared" si="126"/>
        <v>21000</v>
      </c>
      <c r="Q183" s="423">
        <f t="shared" si="127"/>
        <v>33000</v>
      </c>
      <c r="R183" s="423">
        <f t="shared" si="128"/>
        <v>8761.1856000000007</v>
      </c>
      <c r="S183" s="423">
        <f t="shared" si="129"/>
        <v>0</v>
      </c>
      <c r="T183" s="423">
        <f t="shared" si="130"/>
        <v>0</v>
      </c>
      <c r="V183" s="423">
        <f t="shared" si="135"/>
        <v>62761.185599999997</v>
      </c>
      <c r="W183" s="430">
        <v>12</v>
      </c>
      <c r="X183" s="423">
        <f t="shared" si="131"/>
        <v>5230.0987999999998</v>
      </c>
      <c r="Z183" s="423">
        <f t="shared" si="132"/>
        <v>5230.0987999999998</v>
      </c>
      <c r="AA183" s="435">
        <v>2708.9136406666698</v>
      </c>
      <c r="AB183" s="435">
        <f t="shared" si="134"/>
        <v>2521.1851593333299</v>
      </c>
    </row>
    <row r="184" spans="2:28" ht="18.75">
      <c r="B184" s="16" t="s">
        <v>332</v>
      </c>
      <c r="C184" s="435">
        <v>95540.75</v>
      </c>
      <c r="D184" s="422">
        <v>12</v>
      </c>
      <c r="E184" s="423">
        <f t="shared" si="133"/>
        <v>1146489</v>
      </c>
      <c r="G184" s="424">
        <f t="shared" ref="G184:G185" si="136">6123.26*12</f>
        <v>73479.12</v>
      </c>
      <c r="I184" s="423">
        <f t="shared" si="121"/>
        <v>1073009.8799999999</v>
      </c>
      <c r="J184" s="423">
        <v>200000</v>
      </c>
      <c r="K184" s="423">
        <v>0.2</v>
      </c>
      <c r="L184" s="423">
        <f t="shared" si="122"/>
        <v>214601.976</v>
      </c>
      <c r="M184" s="423">
        <f t="shared" si="123"/>
        <v>414601.97600000002</v>
      </c>
      <c r="N184" s="423">
        <f t="shared" si="124"/>
        <v>488081.09600000002</v>
      </c>
      <c r="O184" s="423">
        <f t="shared" si="125"/>
        <v>658407.90399999998</v>
      </c>
      <c r="P184" s="423">
        <f t="shared" si="126"/>
        <v>21000</v>
      </c>
      <c r="Q184" s="423">
        <f t="shared" si="127"/>
        <v>33000</v>
      </c>
      <c r="R184" s="423">
        <f t="shared" si="128"/>
        <v>8761.1856000000007</v>
      </c>
      <c r="S184" s="423">
        <f t="shared" si="129"/>
        <v>0</v>
      </c>
      <c r="T184" s="423">
        <f t="shared" si="130"/>
        <v>0</v>
      </c>
      <c r="V184" s="423">
        <f t="shared" si="135"/>
        <v>62761.185599999997</v>
      </c>
      <c r="W184" s="430">
        <v>12</v>
      </c>
      <c r="X184" s="423">
        <f t="shared" si="131"/>
        <v>5230.0987999999998</v>
      </c>
      <c r="Z184" s="423">
        <f t="shared" si="132"/>
        <v>5230.0987999999998</v>
      </c>
      <c r="AA184" s="435">
        <v>2708.9136406666698</v>
      </c>
      <c r="AB184" s="435">
        <f t="shared" si="134"/>
        <v>2521.1851593333299</v>
      </c>
    </row>
    <row r="185" spans="2:28" ht="18.75">
      <c r="B185" s="16" t="s">
        <v>333</v>
      </c>
      <c r="C185" s="435">
        <v>95540.75</v>
      </c>
      <c r="D185" s="422">
        <v>12</v>
      </c>
      <c r="E185" s="423">
        <f t="shared" si="133"/>
        <v>1146489</v>
      </c>
      <c r="G185" s="424">
        <f t="shared" si="136"/>
        <v>73479.12</v>
      </c>
      <c r="I185" s="423">
        <f t="shared" si="121"/>
        <v>1073009.8799999999</v>
      </c>
      <c r="J185" s="423">
        <v>200000</v>
      </c>
      <c r="K185" s="423">
        <v>0.2</v>
      </c>
      <c r="L185" s="423">
        <f t="shared" si="122"/>
        <v>214601.976</v>
      </c>
      <c r="M185" s="423">
        <f t="shared" si="123"/>
        <v>414601.97600000002</v>
      </c>
      <c r="N185" s="423">
        <f t="shared" si="124"/>
        <v>488081.09600000002</v>
      </c>
      <c r="O185" s="423">
        <f t="shared" si="125"/>
        <v>658407.90399999998</v>
      </c>
      <c r="P185" s="423">
        <f t="shared" si="126"/>
        <v>21000</v>
      </c>
      <c r="Q185" s="423">
        <f t="shared" si="127"/>
        <v>33000</v>
      </c>
      <c r="R185" s="423">
        <f t="shared" si="128"/>
        <v>8761.1856000000007</v>
      </c>
      <c r="S185" s="423">
        <f t="shared" si="129"/>
        <v>0</v>
      </c>
      <c r="T185" s="423">
        <f t="shared" si="130"/>
        <v>0</v>
      </c>
      <c r="V185" s="423">
        <f t="shared" si="135"/>
        <v>62761.185599999997</v>
      </c>
      <c r="W185" s="430">
        <v>12</v>
      </c>
      <c r="X185" s="423">
        <f t="shared" si="131"/>
        <v>5230.0987999999998</v>
      </c>
      <c r="Z185" s="423">
        <f t="shared" si="132"/>
        <v>5230.0987999999998</v>
      </c>
      <c r="AA185" s="435">
        <v>2708.9136406666698</v>
      </c>
      <c r="AB185" s="435">
        <f t="shared" si="134"/>
        <v>2521.1851593333299</v>
      </c>
    </row>
    <row r="186" spans="2:28" ht="18.75">
      <c r="B186" s="440" t="s">
        <v>334</v>
      </c>
      <c r="C186" s="435">
        <v>108502.5</v>
      </c>
      <c r="D186" s="441">
        <v>12</v>
      </c>
      <c r="E186" s="442">
        <f t="shared" si="133"/>
        <v>1302030</v>
      </c>
      <c r="G186" s="443">
        <f>6920.2*12</f>
        <v>83042.399999999994</v>
      </c>
      <c r="I186" s="442">
        <f t="shared" si="121"/>
        <v>1218987.6000000001</v>
      </c>
      <c r="J186" s="423">
        <v>200000</v>
      </c>
      <c r="K186" s="423">
        <v>0.2</v>
      </c>
      <c r="L186" s="423">
        <f t="shared" si="122"/>
        <v>243797.52</v>
      </c>
      <c r="M186" s="423">
        <f t="shared" si="123"/>
        <v>443797.52</v>
      </c>
      <c r="N186" s="423">
        <f t="shared" si="124"/>
        <v>526839.92000000004</v>
      </c>
      <c r="O186" s="423">
        <f t="shared" si="125"/>
        <v>775190.08</v>
      </c>
      <c r="P186" s="423">
        <f t="shared" si="126"/>
        <v>21000</v>
      </c>
      <c r="Q186" s="423">
        <f t="shared" si="127"/>
        <v>33000</v>
      </c>
      <c r="R186" s="423">
        <f t="shared" si="128"/>
        <v>26278.511999999999</v>
      </c>
      <c r="S186" s="423">
        <f t="shared" si="129"/>
        <v>0</v>
      </c>
      <c r="T186" s="423">
        <f t="shared" si="130"/>
        <v>0</v>
      </c>
      <c r="V186" s="423">
        <f t="shared" si="135"/>
        <v>80278.512000000002</v>
      </c>
      <c r="W186" s="430">
        <v>12</v>
      </c>
      <c r="X186" s="423">
        <f t="shared" si="131"/>
        <v>6689.8760000000002</v>
      </c>
      <c r="Z186" s="423">
        <f t="shared" si="132"/>
        <v>6689.8760000000002</v>
      </c>
      <c r="AA186" s="435">
        <v>3511.7966226666699</v>
      </c>
      <c r="AB186" s="435">
        <f t="shared" si="134"/>
        <v>3178.0793773333298</v>
      </c>
    </row>
    <row r="187" spans="2:28" ht="18.75">
      <c r="B187" s="440" t="s">
        <v>337</v>
      </c>
      <c r="C187" s="444">
        <v>108502.5</v>
      </c>
      <c r="D187" s="441">
        <v>12</v>
      </c>
      <c r="E187" s="442">
        <f t="shared" si="133"/>
        <v>1302030</v>
      </c>
      <c r="F187" s="445"/>
      <c r="G187" s="443">
        <f>6920.2*12</f>
        <v>83042.399999999994</v>
      </c>
      <c r="H187" s="445"/>
      <c r="I187" s="442">
        <f t="shared" si="121"/>
        <v>1218987.6000000001</v>
      </c>
      <c r="J187" s="442">
        <v>200000</v>
      </c>
      <c r="K187" s="442">
        <v>0.2</v>
      </c>
      <c r="L187" s="442">
        <f t="shared" si="122"/>
        <v>243797.52</v>
      </c>
      <c r="M187" s="442">
        <f t="shared" si="123"/>
        <v>443797.52</v>
      </c>
      <c r="N187" s="442">
        <f t="shared" si="124"/>
        <v>526839.92000000004</v>
      </c>
      <c r="O187" s="442">
        <f t="shared" si="125"/>
        <v>775190.08</v>
      </c>
      <c r="P187" s="442">
        <f t="shared" si="126"/>
        <v>21000</v>
      </c>
      <c r="Q187" s="442">
        <f t="shared" si="127"/>
        <v>33000</v>
      </c>
      <c r="R187" s="442">
        <f t="shared" si="128"/>
        <v>26278.511999999999</v>
      </c>
      <c r="S187" s="442">
        <f t="shared" si="129"/>
        <v>0</v>
      </c>
      <c r="T187" s="442">
        <f t="shared" si="130"/>
        <v>0</v>
      </c>
      <c r="V187" s="442">
        <f t="shared" si="135"/>
        <v>80278.512000000002</v>
      </c>
      <c r="W187" s="456">
        <v>12</v>
      </c>
      <c r="X187" s="442">
        <f t="shared" si="131"/>
        <v>6689.8760000000002</v>
      </c>
      <c r="Z187" s="442">
        <f t="shared" si="132"/>
        <v>6689.8760000000002</v>
      </c>
      <c r="AA187" s="435">
        <v>3511.7966226666699</v>
      </c>
      <c r="AB187" s="435">
        <f t="shared" si="134"/>
        <v>3178.0793773333298</v>
      </c>
    </row>
    <row r="188" spans="2:28" ht="35.25" customHeight="1">
      <c r="B188" s="6" t="s">
        <v>484</v>
      </c>
      <c r="C188" s="568">
        <f>SUM(C6:C187)</f>
        <v>80678516.056105003</v>
      </c>
      <c r="D188" s="569"/>
      <c r="E188" s="425"/>
      <c r="F188" s="570">
        <f>SUM(F6:F187)</f>
        <v>276375.74700000009</v>
      </c>
      <c r="G188" s="570">
        <f>SUM(G6:G187)</f>
        <v>55339851.603200004</v>
      </c>
      <c r="H188" s="571"/>
      <c r="I188" s="571"/>
      <c r="J188" s="571"/>
      <c r="K188" s="571"/>
      <c r="L188" s="571"/>
      <c r="M188" s="571"/>
      <c r="N188" s="571"/>
      <c r="O188" s="571"/>
      <c r="P188" s="571"/>
      <c r="Q188" s="571"/>
      <c r="R188" s="571"/>
      <c r="S188" s="571"/>
      <c r="T188" s="571"/>
      <c r="U188" s="571"/>
      <c r="V188" s="570">
        <f>SUM(V6:V187)</f>
        <v>138901804.04325941</v>
      </c>
      <c r="W188" s="570"/>
      <c r="X188" s="570">
        <f t="shared" ref="X188" si="137">SUM(X6:X187)</f>
        <v>11575150.336938296</v>
      </c>
      <c r="Y188" s="570"/>
      <c r="Z188" s="570">
        <f t="shared" ref="Z188" si="138">SUM(Z6:Z187)</f>
        <v>11575150.336938296</v>
      </c>
      <c r="AA188" s="571"/>
      <c r="AB188" s="571"/>
    </row>
    <row r="189" spans="2:28" ht="26.25" customHeight="1">
      <c r="B189" s="28" t="s">
        <v>485</v>
      </c>
      <c r="C189" s="568"/>
      <c r="D189" s="569"/>
      <c r="E189" s="569"/>
      <c r="F189" s="572">
        <f>F188/12</f>
        <v>23031.312250000006</v>
      </c>
      <c r="G189" s="572">
        <f>G188/12</f>
        <v>4611654.3002666598</v>
      </c>
      <c r="H189" s="571"/>
      <c r="I189" s="571"/>
      <c r="J189" s="571"/>
      <c r="K189" s="571"/>
      <c r="L189" s="571"/>
      <c r="M189" s="571"/>
      <c r="N189" s="571"/>
      <c r="O189" s="571"/>
      <c r="P189" s="571"/>
      <c r="Q189" s="571"/>
      <c r="R189" s="571"/>
      <c r="S189" s="571"/>
      <c r="T189" s="571"/>
      <c r="U189" s="571"/>
      <c r="V189" s="572">
        <f>V188/12</f>
        <v>11575150.336938284</v>
      </c>
      <c r="W189" s="569"/>
      <c r="X189" s="569"/>
      <c r="Y189" s="569"/>
      <c r="Z189" s="569"/>
      <c r="AA189" s="571"/>
      <c r="AB189" s="571"/>
    </row>
    <row r="190" spans="2:28" ht="18.75">
      <c r="B190" s="31"/>
      <c r="C190" s="435"/>
      <c r="F190" s="454"/>
    </row>
    <row r="191" spans="2:28">
      <c r="F191" s="455"/>
      <c r="Z191" s="570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793" t="s">
        <v>0</v>
      </c>
      <c r="B1" s="793"/>
      <c r="C1" s="793"/>
      <c r="D1" s="793"/>
      <c r="E1" s="793"/>
      <c r="F1" s="793"/>
      <c r="G1" s="183"/>
      <c r="H1" s="183"/>
      <c r="I1" s="183"/>
    </row>
    <row r="2" spans="1:20" ht="33.75" customHeight="1">
      <c r="A2" s="61" t="s">
        <v>599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309" t="s">
        <v>16</v>
      </c>
      <c r="R4" s="65" t="s">
        <v>596</v>
      </c>
      <c r="S4" s="283" t="s">
        <v>597</v>
      </c>
    </row>
    <row r="5" spans="1:20" ht="17.25" customHeight="1"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269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408" t="s">
        <v>19</v>
      </c>
      <c r="R5" s="67" t="s">
        <v>19</v>
      </c>
      <c r="S5" s="196" t="s">
        <v>19</v>
      </c>
    </row>
    <row r="6" spans="1:20" ht="20.100000000000001" customHeight="1">
      <c r="A6" s="8"/>
      <c r="B6" s="18" t="s">
        <v>174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9"/>
      <c r="R6" s="122"/>
      <c r="S6" s="199"/>
      <c r="T6" s="11"/>
    </row>
    <row r="7" spans="1:20" ht="20.100000000000001" customHeight="1">
      <c r="A7" s="8">
        <v>1</v>
      </c>
      <c r="B7" s="12" t="s">
        <v>175</v>
      </c>
      <c r="C7" s="2" t="s">
        <v>176</v>
      </c>
      <c r="D7" s="14" t="s">
        <v>191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175</v>
      </c>
      <c r="C8" s="2" t="s">
        <v>176</v>
      </c>
      <c r="D8" s="13" t="s">
        <v>177</v>
      </c>
      <c r="E8" s="70">
        <f>'[3]Annual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236486.74867946663</v>
      </c>
      <c r="P8" s="70">
        <v>114857.60000000001</v>
      </c>
      <c r="Q8" s="301">
        <f>O8+N8+M8+L8+K8+P8</f>
        <v>352410.67792946665</v>
      </c>
      <c r="R8" s="70">
        <v>659909.45647266705</v>
      </c>
      <c r="S8" s="197">
        <f t="shared" ref="S8" si="0">J8-Q8</f>
        <v>1099631.9887372034</v>
      </c>
      <c r="T8" s="567">
        <f>R8-S8</f>
        <v>-439722.53226453636</v>
      </c>
    </row>
    <row r="9" spans="1:20" ht="35.25" customHeight="1">
      <c r="A9" s="2"/>
      <c r="B9" s="28" t="s">
        <v>591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106079.22106879963</v>
      </c>
      <c r="P9" s="193">
        <f t="shared" si="1"/>
        <v>53867.746666666702</v>
      </c>
      <c r="Q9" s="193">
        <f t="shared" si="1"/>
        <v>159946.96773546663</v>
      </c>
      <c r="R9" s="193">
        <f t="shared" si="1"/>
        <v>0</v>
      </c>
      <c r="S9" s="193">
        <f t="shared" si="1"/>
        <v>439722.53226453636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807" t="s">
        <v>0</v>
      </c>
      <c r="B1" s="807"/>
      <c r="C1" s="807"/>
      <c r="D1" s="807"/>
      <c r="E1" s="807"/>
      <c r="F1" s="807"/>
      <c r="G1" s="807"/>
    </row>
    <row r="2" spans="1:9" ht="20.25" customHeight="1">
      <c r="A2" s="807" t="s">
        <v>600</v>
      </c>
      <c r="B2" s="807"/>
      <c r="C2" s="807"/>
      <c r="D2" s="807"/>
      <c r="E2" s="807"/>
      <c r="F2" s="807"/>
      <c r="G2" s="807"/>
    </row>
    <row r="3" spans="1:9" ht="9.75" customHeight="1">
      <c r="A3" s="807"/>
      <c r="B3" s="807"/>
      <c r="C3" s="807"/>
      <c r="D3" s="807"/>
      <c r="E3" s="807"/>
      <c r="F3" s="807"/>
      <c r="G3" s="807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601</v>
      </c>
      <c r="F5" s="184" t="s">
        <v>602</v>
      </c>
      <c r="G5" s="184" t="s">
        <v>603</v>
      </c>
      <c r="H5" s="184" t="s">
        <v>604</v>
      </c>
      <c r="I5" s="184" t="s">
        <v>591</v>
      </c>
    </row>
    <row r="6" spans="1:9" ht="17.25" customHeight="1"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</row>
    <row r="7" spans="1:9" ht="20.100000000000001" customHeight="1">
      <c r="A7" s="7" t="s">
        <v>20</v>
      </c>
      <c r="B7" s="6" t="s">
        <v>21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f>'[8]NASS New Structure'!$J$20</f>
        <v>4940831</v>
      </c>
      <c r="F11" s="70">
        <f t="shared" si="0"/>
        <v>411735.91666666669</v>
      </c>
      <c r="G11" s="70">
        <f>F11*0.025</f>
        <v>10293.397916666669</v>
      </c>
      <c r="H11" s="70">
        <v>1066.32925</v>
      </c>
      <c r="I11" s="70">
        <f t="shared" si="2"/>
        <v>9227.0686666666679</v>
      </c>
    </row>
    <row r="12" spans="1:9" ht="20.100000000000001" customHeight="1">
      <c r="A12" s="8">
        <v>5</v>
      </c>
      <c r="B12" s="12" t="s">
        <v>32</v>
      </c>
      <c r="C12" s="2" t="s">
        <v>605</v>
      </c>
      <c r="D12" s="8" t="s">
        <v>27</v>
      </c>
      <c r="E12" s="70">
        <f>'[8]NASS New Structure'!$J$20</f>
        <v>4940831</v>
      </c>
      <c r="F12" s="70">
        <f t="shared" si="0"/>
        <v>411735.91666666669</v>
      </c>
      <c r="G12" s="70">
        <f t="shared" ref="G12:G15" si="3">F12*0.025</f>
        <v>10293.397916666669</v>
      </c>
      <c r="H12" s="70">
        <v>1066.32925</v>
      </c>
      <c r="I12" s="70">
        <f t="shared" si="2"/>
        <v>9227.0686666666679</v>
      </c>
    </row>
    <row r="13" spans="1:9" ht="20.100000000000001" customHeight="1">
      <c r="A13" s="8">
        <v>6</v>
      </c>
      <c r="B13" s="16" t="s">
        <v>574</v>
      </c>
      <c r="C13" s="8" t="s">
        <v>575</v>
      </c>
      <c r="D13" s="8" t="s">
        <v>27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34</v>
      </c>
      <c r="C14" s="10" t="s">
        <v>35</v>
      </c>
      <c r="D14" s="13" t="s">
        <v>36</v>
      </c>
      <c r="E14" s="70">
        <f>'[8]NASS New Structure'!$J$19</f>
        <v>4022509</v>
      </c>
      <c r="F14" s="70">
        <f t="shared" si="0"/>
        <v>335209.08333333331</v>
      </c>
      <c r="G14" s="70">
        <f t="shared" si="3"/>
        <v>8380.2270833333332</v>
      </c>
      <c r="H14" s="70">
        <v>837.6875</v>
      </c>
      <c r="I14" s="70">
        <f t="shared" si="2"/>
        <v>7542.5395833333332</v>
      </c>
    </row>
    <row r="15" spans="1:9" ht="20.100000000000001" customHeight="1">
      <c r="A15" s="8">
        <v>8</v>
      </c>
      <c r="B15" s="9" t="s">
        <v>37</v>
      </c>
      <c r="C15" s="2" t="s">
        <v>38</v>
      </c>
      <c r="D15" s="8" t="s">
        <v>39</v>
      </c>
      <c r="E15" s="70">
        <f>'[8]NASS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40</v>
      </c>
      <c r="C16" s="2" t="s">
        <v>41</v>
      </c>
      <c r="D16" s="13" t="s">
        <v>42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43</v>
      </c>
      <c r="C17" s="15" t="s">
        <v>135</v>
      </c>
      <c r="D17" s="13" t="s">
        <v>224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45</v>
      </c>
      <c r="C18" s="2" t="s">
        <v>46</v>
      </c>
      <c r="D18" s="8" t="s">
        <v>47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48</v>
      </c>
      <c r="C19" s="2" t="s">
        <v>577</v>
      </c>
      <c r="D19" s="8" t="s">
        <v>194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50</v>
      </c>
      <c r="C20" s="10" t="s">
        <v>51</v>
      </c>
      <c r="D20" s="13" t="s">
        <v>52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53</v>
      </c>
      <c r="C21" s="2" t="s">
        <v>606</v>
      </c>
      <c r="D21" s="13" t="s">
        <v>55</v>
      </c>
      <c r="E21" s="70">
        <f>'[8]NASS New Structure'!$J$17</f>
        <v>2691445</v>
      </c>
      <c r="F21" s="70">
        <f t="shared" si="0"/>
        <v>224287.08333333334</v>
      </c>
      <c r="G21" s="70">
        <f>F21*0.025</f>
        <v>5607.1770833333339</v>
      </c>
      <c r="H21" s="70">
        <v>618.53150000000005</v>
      </c>
      <c r="I21" s="70">
        <f t="shared" si="2"/>
        <v>4988.6455833333339</v>
      </c>
    </row>
    <row r="22" spans="1:9" ht="18.75" customHeight="1">
      <c r="A22" s="8">
        <v>15</v>
      </c>
      <c r="B22" s="9" t="s">
        <v>60</v>
      </c>
      <c r="C22" s="10" t="s">
        <v>61</v>
      </c>
      <c r="D22" s="13" t="s">
        <v>62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63</v>
      </c>
      <c r="C23" s="15" t="s">
        <v>607</v>
      </c>
      <c r="D23" s="8" t="s">
        <v>65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66</v>
      </c>
      <c r="C24" s="15" t="s">
        <v>67</v>
      </c>
      <c r="D24" s="13" t="s">
        <v>65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68</v>
      </c>
      <c r="C25" s="15" t="s">
        <v>69</v>
      </c>
      <c r="D25" s="8" t="s">
        <v>70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73</v>
      </c>
      <c r="C26" s="2" t="s">
        <v>74</v>
      </c>
      <c r="D26" s="8" t="s">
        <v>75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76</v>
      </c>
      <c r="C27" s="10" t="s">
        <v>74</v>
      </c>
      <c r="D27" s="13" t="s">
        <v>75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77</v>
      </c>
      <c r="C28" s="15" t="s">
        <v>64</v>
      </c>
      <c r="D28" s="8" t="s">
        <v>75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78</v>
      </c>
      <c r="C29" s="10" t="s">
        <v>79</v>
      </c>
      <c r="D29" s="13" t="s">
        <v>80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81</v>
      </c>
      <c r="C30" s="2" t="s">
        <v>82</v>
      </c>
      <c r="D30" s="8" t="s">
        <v>83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84</v>
      </c>
      <c r="C31" s="2" t="s">
        <v>82</v>
      </c>
      <c r="D31" s="8" t="s">
        <v>83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85</v>
      </c>
      <c r="C32" s="15" t="s">
        <v>86</v>
      </c>
      <c r="D32" s="13" t="s">
        <v>75</v>
      </c>
      <c r="E32" s="70">
        <f>'[9]NASS New Structure'!$J$14</f>
        <v>1753681</v>
      </c>
      <c r="F32" s="70">
        <f t="shared" si="0"/>
        <v>146140.08333333334</v>
      </c>
      <c r="G32" s="70">
        <f>F32*0.025</f>
        <v>3653.5020833333338</v>
      </c>
      <c r="H32" s="70"/>
      <c r="I32" s="70">
        <f t="shared" si="2"/>
        <v>3653.5020833333338</v>
      </c>
    </row>
    <row r="33" spans="1:9" ht="18.75" customHeight="1">
      <c r="A33" s="8">
        <v>26</v>
      </c>
      <c r="B33" s="16" t="s">
        <v>88</v>
      </c>
      <c r="C33" s="2" t="s">
        <v>89</v>
      </c>
      <c r="D33" s="8" t="s">
        <v>173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90</v>
      </c>
      <c r="C34" s="10" t="s">
        <v>91</v>
      </c>
      <c r="D34" s="13" t="s">
        <v>92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96</v>
      </c>
      <c r="C35" s="19">
        <v>27</v>
      </c>
      <c r="D35" s="13"/>
      <c r="E35" s="187">
        <f>SUM(E8:E34)</f>
        <v>22121920</v>
      </c>
      <c r="F35" s="187">
        <f>SUM(F8:F34)</f>
        <v>1843493.3333333333</v>
      </c>
      <c r="G35" s="187">
        <f t="shared" ref="G35:I35" si="4">SUM(G8:G34)</f>
        <v>46087.333333333336</v>
      </c>
      <c r="H35" s="187">
        <f t="shared" si="4"/>
        <v>4364.3734999999997</v>
      </c>
      <c r="I35" s="187">
        <f t="shared" si="4"/>
        <v>41722.959833333334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97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101</v>
      </c>
      <c r="C39" s="2" t="s">
        <v>608</v>
      </c>
      <c r="D39" s="8" t="s">
        <v>70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103</v>
      </c>
      <c r="C40" s="10" t="s">
        <v>609</v>
      </c>
      <c r="D40" s="13" t="s">
        <v>104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107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108</v>
      </c>
      <c r="C44" s="2" t="s">
        <v>109</v>
      </c>
      <c r="D44" s="8" t="s">
        <v>100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491</v>
      </c>
      <c r="C45" s="2" t="s">
        <v>44</v>
      </c>
      <c r="D45" s="8" t="s">
        <v>36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110</v>
      </c>
      <c r="C46" s="2" t="s">
        <v>111</v>
      </c>
      <c r="D46" s="8" t="s">
        <v>112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113</v>
      </c>
      <c r="C47" s="2" t="s">
        <v>114</v>
      </c>
      <c r="D47" s="8" t="s">
        <v>36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115</v>
      </c>
      <c r="C48" s="2" t="s">
        <v>114</v>
      </c>
      <c r="D48" s="8" t="s">
        <v>36</v>
      </c>
      <c r="E48" s="70">
        <f>'[8]NASS New Structure'!$J$19</f>
        <v>4022509</v>
      </c>
      <c r="F48" s="70">
        <f>E48/12</f>
        <v>335209.08333333331</v>
      </c>
      <c r="G48" s="70">
        <f>F48*0.025</f>
        <v>8380.2270833333332</v>
      </c>
      <c r="H48" s="70">
        <v>837.6875</v>
      </c>
      <c r="I48" s="70">
        <f>G48-H48</f>
        <v>7542.5395833333332</v>
      </c>
    </row>
    <row r="49" spans="1:9" ht="20.100000000000001" customHeight="1">
      <c r="A49" s="8">
        <v>6</v>
      </c>
      <c r="B49" s="9" t="s">
        <v>116</v>
      </c>
      <c r="C49" s="2" t="s">
        <v>114</v>
      </c>
      <c r="D49" s="8" t="s">
        <v>39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117</v>
      </c>
      <c r="C50" s="2" t="s">
        <v>135</v>
      </c>
      <c r="D50" s="14" t="s">
        <v>224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118</v>
      </c>
      <c r="C51" s="2" t="s">
        <v>119</v>
      </c>
      <c r="D51" s="8" t="s">
        <v>104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120</v>
      </c>
      <c r="C52" s="2" t="s">
        <v>119</v>
      </c>
      <c r="D52" s="8" t="s">
        <v>80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578</v>
      </c>
      <c r="C53" s="2" t="s">
        <v>119</v>
      </c>
      <c r="D53" s="8" t="s">
        <v>80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121</v>
      </c>
      <c r="C54" s="2" t="s">
        <v>119</v>
      </c>
      <c r="D54" s="8" t="s">
        <v>80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96</v>
      </c>
      <c r="C55" s="19">
        <v>11</v>
      </c>
      <c r="D55" s="19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122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501</v>
      </c>
      <c r="C58" s="10" t="s">
        <v>124</v>
      </c>
      <c r="D58" s="13" t="s">
        <v>100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125</v>
      </c>
      <c r="C59" s="10" t="s">
        <v>126</v>
      </c>
      <c r="D59" s="13" t="s">
        <v>127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96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128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129</v>
      </c>
      <c r="C63" s="15" t="s">
        <v>130</v>
      </c>
      <c r="D63" s="8" t="s">
        <v>100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131</v>
      </c>
      <c r="C64" s="15" t="s">
        <v>132</v>
      </c>
      <c r="D64" s="13" t="s">
        <v>133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134</v>
      </c>
      <c r="C65" s="2" t="s">
        <v>135</v>
      </c>
      <c r="D65" s="8" t="s">
        <v>47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487</v>
      </c>
      <c r="C66" s="15" t="s">
        <v>167</v>
      </c>
      <c r="D66" s="13" t="s">
        <v>52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517</v>
      </c>
      <c r="C67" s="15" t="s">
        <v>135</v>
      </c>
      <c r="D67" s="13" t="s">
        <v>42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136</v>
      </c>
      <c r="C68" s="2" t="s">
        <v>119</v>
      </c>
      <c r="D68" s="8" t="s">
        <v>137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138</v>
      </c>
      <c r="C69" s="15" t="s">
        <v>67</v>
      </c>
      <c r="D69" s="8" t="s">
        <v>137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139</v>
      </c>
      <c r="C70" s="15" t="s">
        <v>67</v>
      </c>
      <c r="D70" s="8" t="s">
        <v>137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140</v>
      </c>
      <c r="C71" s="2" t="s">
        <v>141</v>
      </c>
      <c r="D71" s="8" t="s">
        <v>62</v>
      </c>
      <c r="E71" s="416"/>
      <c r="F71" s="416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142</v>
      </c>
      <c r="C72" s="2" t="s">
        <v>119</v>
      </c>
      <c r="D72" s="8" t="s">
        <v>104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96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143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144</v>
      </c>
      <c r="C76" s="2" t="s">
        <v>145</v>
      </c>
      <c r="D76" s="8" t="s">
        <v>100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518</v>
      </c>
      <c r="C77" s="2" t="s">
        <v>570</v>
      </c>
      <c r="D77" s="13" t="s">
        <v>571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519</v>
      </c>
      <c r="C78" s="10" t="s">
        <v>572</v>
      </c>
      <c r="D78" s="8" t="s">
        <v>127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148</v>
      </c>
      <c r="C79" s="2" t="s">
        <v>149</v>
      </c>
      <c r="D79" s="13" t="s">
        <v>150</v>
      </c>
      <c r="E79" s="70">
        <f>'[8]NASS New Structure'!$J$18</f>
        <v>2954075</v>
      </c>
      <c r="F79" s="70">
        <f>E79/12</f>
        <v>246172.91666666666</v>
      </c>
      <c r="G79" s="70">
        <f>F79*0.025</f>
        <v>6154.322916666667</v>
      </c>
      <c r="H79" s="70">
        <v>668.31624999999997</v>
      </c>
      <c r="I79" s="70">
        <f>G79-H79</f>
        <v>5486.0066666666671</v>
      </c>
    </row>
    <row r="80" spans="1:9" ht="20.100000000000001" customHeight="1">
      <c r="A80" s="8">
        <v>5</v>
      </c>
      <c r="B80" s="9" t="s">
        <v>151</v>
      </c>
      <c r="C80" s="2" t="s">
        <v>154</v>
      </c>
      <c r="D80" s="8" t="s">
        <v>267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153</v>
      </c>
      <c r="C81" s="2" t="s">
        <v>154</v>
      </c>
      <c r="D81" s="8" t="s">
        <v>80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155</v>
      </c>
      <c r="C82" s="2" t="s">
        <v>156</v>
      </c>
      <c r="D82" s="8" t="s">
        <v>92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96</v>
      </c>
      <c r="C83" s="19">
        <v>7</v>
      </c>
      <c r="D83" s="19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668.31624999999997</v>
      </c>
      <c r="I83" s="78">
        <f t="shared" si="18"/>
        <v>5486.0066666666671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157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158</v>
      </c>
      <c r="C86" s="2" t="s">
        <v>114</v>
      </c>
      <c r="D86" s="8" t="s">
        <v>36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159</v>
      </c>
      <c r="C87" s="2" t="s">
        <v>114</v>
      </c>
      <c r="D87" s="8" t="s">
        <v>36</v>
      </c>
      <c r="E87" s="70">
        <f>'[8]NASS New Structure'!$J$19</f>
        <v>4022509</v>
      </c>
      <c r="F87" s="70">
        <f>E87/12</f>
        <v>335209.08333333331</v>
      </c>
      <c r="G87" s="70">
        <f>F87*0.025</f>
        <v>8380.2270833333332</v>
      </c>
      <c r="H87" s="70">
        <v>837.6875</v>
      </c>
      <c r="I87" s="70">
        <f>G87-H87</f>
        <v>7542.5395833333332</v>
      </c>
    </row>
    <row r="88" spans="1:9" ht="20.100000000000001" customHeight="1">
      <c r="A88" s="8">
        <v>3</v>
      </c>
      <c r="B88" s="9" t="s">
        <v>160</v>
      </c>
      <c r="C88" s="2" t="s">
        <v>114</v>
      </c>
      <c r="D88" s="8" t="s">
        <v>39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161</v>
      </c>
      <c r="C89" s="2" t="s">
        <v>458</v>
      </c>
      <c r="D89" s="13" t="s">
        <v>194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162</v>
      </c>
      <c r="C90" s="10" t="s">
        <v>167</v>
      </c>
      <c r="D90" s="13" t="s">
        <v>52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163</v>
      </c>
      <c r="C91" s="10" t="s">
        <v>135</v>
      </c>
      <c r="D91" s="13" t="s">
        <v>164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165</v>
      </c>
      <c r="C92" s="15" t="s">
        <v>67</v>
      </c>
      <c r="D92" s="13" t="s">
        <v>137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166</v>
      </c>
      <c r="C93" s="15" t="s">
        <v>167</v>
      </c>
      <c r="D93" s="13" t="s">
        <v>168</v>
      </c>
      <c r="E93" s="70">
        <f>'[8]NASS New Structure'!$H$17</f>
        <v>2524677</v>
      </c>
      <c r="F93" s="70">
        <f>E93/12</f>
        <v>210389.75</v>
      </c>
      <c r="G93" s="70">
        <f>F93*0.025</f>
        <v>5259.7437500000005</v>
      </c>
      <c r="H93" s="70">
        <v>576.87474999999995</v>
      </c>
      <c r="I93" s="70">
        <f>G93-H93</f>
        <v>4682.8690000000006</v>
      </c>
    </row>
    <row r="94" spans="1:9" ht="21.6" customHeight="1">
      <c r="A94" s="8">
        <v>9</v>
      </c>
      <c r="B94" s="9" t="s">
        <v>169</v>
      </c>
      <c r="C94" s="2" t="s">
        <v>170</v>
      </c>
      <c r="D94" s="8" t="s">
        <v>104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171</v>
      </c>
      <c r="C95" s="15" t="s">
        <v>172</v>
      </c>
      <c r="D95" s="13" t="s">
        <v>173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96</v>
      </c>
      <c r="C96" s="19">
        <v>11</v>
      </c>
      <c r="D96" s="19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174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175</v>
      </c>
      <c r="C99" s="2" t="s">
        <v>176</v>
      </c>
      <c r="D99" s="14" t="s">
        <v>191</v>
      </c>
      <c r="E99" s="70">
        <f>'[8]NASS New Structure'!$H$21</f>
        <v>8762388</v>
      </c>
      <c r="F99" s="70">
        <f>E99/12</f>
        <v>730199</v>
      </c>
      <c r="G99" s="70">
        <f>F99*0.025</f>
        <v>18254.975000000002</v>
      </c>
      <c r="H99" s="70">
        <f>H12</f>
        <v>1066.32925</v>
      </c>
      <c r="I99" s="70">
        <f>G99-H99</f>
        <v>17188.645750000003</v>
      </c>
    </row>
    <row r="100" spans="1:9" ht="20.100000000000001" customHeight="1">
      <c r="A100" s="8">
        <v>2</v>
      </c>
      <c r="B100" s="9" t="s">
        <v>178</v>
      </c>
      <c r="C100" s="2" t="s">
        <v>179</v>
      </c>
      <c r="D100" s="13" t="s">
        <v>150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182</v>
      </c>
      <c r="C101" s="2" t="s">
        <v>183</v>
      </c>
      <c r="D101" s="13" t="s">
        <v>62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184</v>
      </c>
      <c r="C102" s="2" t="s">
        <v>185</v>
      </c>
      <c r="D102" s="13" t="s">
        <v>104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96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186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187</v>
      </c>
      <c r="C106" s="10" t="s">
        <v>188</v>
      </c>
      <c r="D106" s="13" t="s">
        <v>100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189</v>
      </c>
      <c r="C107" s="2" t="s">
        <v>190</v>
      </c>
      <c r="D107" s="14" t="s">
        <v>191</v>
      </c>
      <c r="E107" s="70">
        <f>'[8]NASS New Structure'!$J$20</f>
        <v>4940831</v>
      </c>
      <c r="F107" s="70">
        <f>E107/12</f>
        <v>411735.91666666669</v>
      </c>
      <c r="G107" s="70">
        <f>F107*0.025</f>
        <v>10293.397916666669</v>
      </c>
      <c r="H107" s="70">
        <v>1066.32925</v>
      </c>
      <c r="I107" s="70">
        <f>G107-H107</f>
        <v>9227.0686666666679</v>
      </c>
    </row>
    <row r="108" spans="1:9" ht="20.100000000000001" customHeight="1">
      <c r="A108" s="2">
        <v>3</v>
      </c>
      <c r="B108" s="9" t="s">
        <v>192</v>
      </c>
      <c r="C108" s="2" t="s">
        <v>193</v>
      </c>
      <c r="D108" s="8" t="s">
        <v>194</v>
      </c>
      <c r="E108" s="70">
        <f>'[8]NASS New Structure'!$L$17</f>
        <v>2858213</v>
      </c>
      <c r="F108" s="70">
        <f>E108/12</f>
        <v>238184.41666666666</v>
      </c>
      <c r="G108" s="70">
        <f>F108*0.025</f>
        <v>5954.6104166666664</v>
      </c>
      <c r="H108" s="70">
        <v>658.48249999999996</v>
      </c>
      <c r="I108" s="70">
        <f>G108-H108</f>
        <v>5296.1279166666664</v>
      </c>
    </row>
    <row r="109" spans="1:9" ht="20.100000000000001" customHeight="1">
      <c r="A109" s="2">
        <v>4</v>
      </c>
      <c r="B109" s="9" t="s">
        <v>195</v>
      </c>
      <c r="C109" s="2" t="s">
        <v>193</v>
      </c>
      <c r="D109" s="8" t="s">
        <v>194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196</v>
      </c>
      <c r="C110" s="2" t="s">
        <v>197</v>
      </c>
      <c r="D110" s="13" t="s">
        <v>198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199</v>
      </c>
      <c r="C111" s="2" t="s">
        <v>197</v>
      </c>
      <c r="D111" s="8" t="s">
        <v>200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201</v>
      </c>
      <c r="C112" s="2" t="s">
        <v>197</v>
      </c>
      <c r="D112" s="13" t="s">
        <v>173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96</v>
      </c>
      <c r="C113" s="19">
        <v>7</v>
      </c>
      <c r="D113" s="2"/>
      <c r="E113" s="189">
        <f>SUM(E106:E112)</f>
        <v>7799044</v>
      </c>
      <c r="F113" s="189">
        <f>SUM(F106:F112)</f>
        <v>649920.33333333337</v>
      </c>
      <c r="G113" s="189">
        <f t="shared" ref="G113:I113" si="28">SUM(G106:G112)</f>
        <v>16248.008333333335</v>
      </c>
      <c r="H113" s="189">
        <f t="shared" si="28"/>
        <v>1724.8117500000001</v>
      </c>
      <c r="I113" s="189">
        <f t="shared" si="28"/>
        <v>14523.196583333334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202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203</v>
      </c>
      <c r="C116" s="2" t="s">
        <v>114</v>
      </c>
      <c r="D116" s="8" t="s">
        <v>133</v>
      </c>
      <c r="E116" s="70">
        <f>'[8]NASS New Structure'!$I$19</f>
        <v>3897566</v>
      </c>
      <c r="F116" s="70">
        <f>E116/12</f>
        <v>324797.16666666669</v>
      </c>
      <c r="G116" s="70">
        <f>F116*0.025</f>
        <v>8119.9291666666677</v>
      </c>
      <c r="H116" s="70">
        <v>806.58</v>
      </c>
      <c r="I116" s="70">
        <f>G116-H116</f>
        <v>7313.3491666666678</v>
      </c>
    </row>
    <row r="117" spans="1:9" ht="18.75" customHeight="1">
      <c r="A117" s="8">
        <v>2</v>
      </c>
      <c r="B117" s="9" t="s">
        <v>204</v>
      </c>
      <c r="C117" s="2" t="s">
        <v>205</v>
      </c>
      <c r="D117" s="13" t="s">
        <v>62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206</v>
      </c>
      <c r="C118" s="10" t="s">
        <v>579</v>
      </c>
      <c r="D118" s="13" t="s">
        <v>255</v>
      </c>
      <c r="E118" s="70">
        <f>'[8]NASS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96</v>
      </c>
      <c r="C119" s="19">
        <v>2</v>
      </c>
      <c r="D119" s="24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215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70">
        <f>'[8]NASS New Structure'!$J$21</f>
        <v>9304688</v>
      </c>
      <c r="F122" s="70">
        <f>E122/12</f>
        <v>775390.66666666663</v>
      </c>
      <c r="G122" s="70">
        <f>F122*0.025</f>
        <v>19384.766666666666</v>
      </c>
      <c r="H122" s="70">
        <v>2043.5005000000001</v>
      </c>
      <c r="I122" s="70">
        <f>G122-H122</f>
        <v>17341.266166666668</v>
      </c>
    </row>
    <row r="123" spans="1:9" ht="20.100000000000001" customHeight="1">
      <c r="A123" s="2">
        <v>2</v>
      </c>
      <c r="B123" s="9" t="s">
        <v>218</v>
      </c>
      <c r="C123" s="10" t="s">
        <v>219</v>
      </c>
      <c r="D123" s="13" t="s">
        <v>112</v>
      </c>
      <c r="E123" s="70">
        <f>'[8]NASS New Structure'!$I$20</f>
        <v>4790672</v>
      </c>
      <c r="F123" s="70">
        <f t="shared" ref="F123:F128" si="32">E123/12</f>
        <v>399222.66666666669</v>
      </c>
      <c r="G123" s="70">
        <f t="shared" ref="G123:G128" si="33">F123*0.025</f>
        <v>9980.5666666666675</v>
      </c>
      <c r="H123" s="70">
        <v>1028.9422500000001</v>
      </c>
      <c r="I123" s="70">
        <f t="shared" ref="I123:I128" si="34">G123-H123</f>
        <v>8951.6244166666675</v>
      </c>
    </row>
    <row r="124" spans="1:9" ht="20.100000000000001" customHeight="1">
      <c r="A124" s="2">
        <v>3</v>
      </c>
      <c r="B124" s="12" t="s">
        <v>220</v>
      </c>
      <c r="C124" s="10" t="s">
        <v>221</v>
      </c>
      <c r="D124" s="13" t="s">
        <v>36</v>
      </c>
      <c r="E124" s="70">
        <f>'[8]NASS New Structure'!$J$19</f>
        <v>4022509</v>
      </c>
      <c r="F124" s="70">
        <f t="shared" si="32"/>
        <v>335209.08333333331</v>
      </c>
      <c r="G124" s="70">
        <f t="shared" si="33"/>
        <v>8380.2270833333332</v>
      </c>
      <c r="H124" s="70">
        <v>837.6875</v>
      </c>
      <c r="I124" s="70">
        <f t="shared" si="34"/>
        <v>7542.5395833333332</v>
      </c>
    </row>
    <row r="125" spans="1:9" ht="20.100000000000001" customHeight="1">
      <c r="A125" s="2">
        <v>4</v>
      </c>
      <c r="B125" s="12" t="s">
        <v>521</v>
      </c>
      <c r="C125" s="10" t="s">
        <v>221</v>
      </c>
      <c r="D125" s="13" t="s">
        <v>39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222</v>
      </c>
      <c r="C126" s="10" t="s">
        <v>223</v>
      </c>
      <c r="D126" s="13" t="s">
        <v>224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225</v>
      </c>
      <c r="C127" s="10" t="s">
        <v>226</v>
      </c>
      <c r="D127" s="13" t="s">
        <v>47</v>
      </c>
      <c r="E127" s="70">
        <f>'[8]NASS New Structure'!$I$18</f>
        <v>2864307</v>
      </c>
      <c r="F127" s="70">
        <f t="shared" si="32"/>
        <v>238692.25</v>
      </c>
      <c r="G127" s="70">
        <f t="shared" si="33"/>
        <v>5967.3062500000005</v>
      </c>
      <c r="H127" s="70">
        <v>646.35249999999996</v>
      </c>
      <c r="I127" s="70">
        <f t="shared" si="34"/>
        <v>5320.9537500000006</v>
      </c>
    </row>
    <row r="128" spans="1:9" ht="20.100000000000001" customHeight="1">
      <c r="A128" s="2">
        <v>7</v>
      </c>
      <c r="B128" s="9" t="s">
        <v>227</v>
      </c>
      <c r="C128" s="10" t="s">
        <v>223</v>
      </c>
      <c r="D128" s="13" t="s">
        <v>150</v>
      </c>
      <c r="E128" s="70">
        <f>'[8]NASS New Structure'!$J$18</f>
        <v>2954075</v>
      </c>
      <c r="F128" s="70">
        <f t="shared" si="32"/>
        <v>246172.91666666666</v>
      </c>
      <c r="G128" s="70">
        <f t="shared" si="33"/>
        <v>6154.322916666667</v>
      </c>
      <c r="H128" s="70">
        <v>668.31624999999997</v>
      </c>
      <c r="I128" s="70">
        <f t="shared" si="34"/>
        <v>5486.0066666666671</v>
      </c>
    </row>
    <row r="129" spans="1:9" ht="20.100000000000001" customHeight="1">
      <c r="A129" s="2">
        <v>8</v>
      </c>
      <c r="B129" s="9" t="s">
        <v>228</v>
      </c>
      <c r="C129" s="10" t="s">
        <v>229</v>
      </c>
      <c r="D129" s="8" t="s">
        <v>75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230</v>
      </c>
      <c r="C130" s="10" t="s">
        <v>231</v>
      </c>
      <c r="D130" s="13" t="s">
        <v>92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232</v>
      </c>
      <c r="C131" s="10" t="s">
        <v>233</v>
      </c>
      <c r="D131" s="13" t="s">
        <v>92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96</v>
      </c>
      <c r="C132" s="24" t="s">
        <v>235</v>
      </c>
      <c r="D132" s="13"/>
      <c r="E132" s="122">
        <f>SUM(E122:E131)</f>
        <v>23936251</v>
      </c>
      <c r="F132" s="122">
        <f>SUM(F122:F131)</f>
        <v>1994687.5833333333</v>
      </c>
      <c r="G132" s="122">
        <f t="shared" ref="G132:I132" si="37">SUM(G122:G131)</f>
        <v>49867.189583333333</v>
      </c>
      <c r="H132" s="122">
        <f t="shared" si="37"/>
        <v>5224.799</v>
      </c>
      <c r="I132" s="122">
        <f t="shared" si="37"/>
        <v>44642.390583333334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236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522</v>
      </c>
      <c r="C136" s="10" t="s">
        <v>573</v>
      </c>
      <c r="D136" s="13" t="s">
        <v>191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239</v>
      </c>
      <c r="C137" s="2" t="s">
        <v>240</v>
      </c>
      <c r="D137" s="14" t="s">
        <v>191</v>
      </c>
      <c r="E137" s="70">
        <f>'[8]NASS New Structure'!$J$20</f>
        <v>4940831</v>
      </c>
      <c r="F137" s="70">
        <f>E137/12</f>
        <v>411735.91666666669</v>
      </c>
      <c r="G137" s="70">
        <f>F137*0.025</f>
        <v>10293.397916666669</v>
      </c>
      <c r="H137" s="70">
        <v>1066.32925</v>
      </c>
      <c r="I137" s="70">
        <f>G137-H137</f>
        <v>9227.0686666666679</v>
      </c>
    </row>
    <row r="138" spans="1:9" ht="20.100000000000001" customHeight="1">
      <c r="A138" s="25">
        <v>4</v>
      </c>
      <c r="B138" s="9" t="s">
        <v>241</v>
      </c>
      <c r="C138" s="10" t="s">
        <v>580</v>
      </c>
      <c r="D138" s="13" t="s">
        <v>42</v>
      </c>
      <c r="E138" s="70">
        <f>'[8]NASS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6528.3562500000007</v>
      </c>
      <c r="H138" s="70">
        <v>712.24525000000006</v>
      </c>
      <c r="I138" s="70">
        <f t="shared" ref="I138:I166" si="41">G138-H138</f>
        <v>5816.1110000000008</v>
      </c>
    </row>
    <row r="139" spans="1:9" ht="20.100000000000001" customHeight="1">
      <c r="A139" s="25">
        <v>5</v>
      </c>
      <c r="B139" s="9" t="s">
        <v>243</v>
      </c>
      <c r="C139" s="2" t="s">
        <v>581</v>
      </c>
      <c r="D139" s="13" t="s">
        <v>42</v>
      </c>
      <c r="E139" s="70">
        <f>'[8]NASS New Structure'!$L$18</f>
        <v>3133611</v>
      </c>
      <c r="F139" s="70">
        <f t="shared" si="39"/>
        <v>261134.25</v>
      </c>
      <c r="G139" s="70">
        <f t="shared" si="40"/>
        <v>6528.3562500000007</v>
      </c>
      <c r="H139" s="70">
        <v>712.24525000000006</v>
      </c>
      <c r="I139" s="70">
        <f t="shared" si="41"/>
        <v>5816.1110000000008</v>
      </c>
    </row>
    <row r="140" spans="1:9" ht="20.100000000000001" customHeight="1">
      <c r="A140" s="25">
        <v>6</v>
      </c>
      <c r="B140" s="9" t="s">
        <v>245</v>
      </c>
      <c r="C140" s="2" t="s">
        <v>581</v>
      </c>
      <c r="D140" s="13" t="s">
        <v>42</v>
      </c>
      <c r="E140" s="70">
        <f>'[8]NASS New Structure'!$L$18</f>
        <v>3133611</v>
      </c>
      <c r="F140" s="70">
        <f t="shared" si="39"/>
        <v>261134.25</v>
      </c>
      <c r="G140" s="70">
        <f t="shared" si="40"/>
        <v>6528.3562500000007</v>
      </c>
      <c r="H140" s="70">
        <v>712.24525000000006</v>
      </c>
      <c r="I140" s="70">
        <f t="shared" si="41"/>
        <v>5816.1110000000008</v>
      </c>
    </row>
    <row r="141" spans="1:9" ht="20.100000000000001" customHeight="1">
      <c r="A141" s="25">
        <v>7</v>
      </c>
      <c r="B141" s="9" t="s">
        <v>180</v>
      </c>
      <c r="C141" s="10" t="s">
        <v>582</v>
      </c>
      <c r="D141" s="13" t="s">
        <v>255</v>
      </c>
      <c r="E141" s="70">
        <f>'[8]NASS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246</v>
      </c>
      <c r="C142" s="10" t="s">
        <v>582</v>
      </c>
      <c r="D142" s="13" t="s">
        <v>255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247</v>
      </c>
      <c r="C143" s="2" t="s">
        <v>583</v>
      </c>
      <c r="D143" s="13" t="s">
        <v>255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249</v>
      </c>
      <c r="C144" s="10" t="s">
        <v>250</v>
      </c>
      <c r="D144" s="13" t="s">
        <v>62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251</v>
      </c>
      <c r="C145" s="10" t="s">
        <v>252</v>
      </c>
      <c r="D145" s="13" t="s">
        <v>137</v>
      </c>
      <c r="E145" s="70">
        <f>'[8]NASS New Structure'!$I$16</f>
        <v>2365888</v>
      </c>
      <c r="F145" s="70">
        <f>E145/12</f>
        <v>197157.33333333334</v>
      </c>
      <c r="G145" s="70">
        <f t="shared" si="40"/>
        <v>4928.9333333333343</v>
      </c>
      <c r="H145" s="70">
        <v>538.02200000000005</v>
      </c>
      <c r="I145" s="70">
        <f t="shared" si="41"/>
        <v>4390.9113333333344</v>
      </c>
    </row>
    <row r="146" spans="1:9" ht="20.100000000000001" customHeight="1">
      <c r="A146" s="25">
        <v>12</v>
      </c>
      <c r="B146" s="9" t="s">
        <v>253</v>
      </c>
      <c r="C146" s="10" t="s">
        <v>254</v>
      </c>
      <c r="D146" s="13" t="s">
        <v>255</v>
      </c>
      <c r="E146" s="70">
        <f>'[8]NASS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256</v>
      </c>
      <c r="C147" s="2" t="s">
        <v>257</v>
      </c>
      <c r="D147" s="13" t="s">
        <v>65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258</v>
      </c>
      <c r="C148" s="2" t="s">
        <v>584</v>
      </c>
      <c r="D148" s="13" t="s">
        <v>267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259</v>
      </c>
      <c r="C149" s="2" t="s">
        <v>584</v>
      </c>
      <c r="D149" s="13" t="s">
        <v>585</v>
      </c>
      <c r="E149" s="186">
        <f>'[8]NASS New Structure'!$K$15</f>
        <v>2030090</v>
      </c>
      <c r="F149" s="70">
        <f t="shared" si="42"/>
        <v>169174.16666666666</v>
      </c>
      <c r="G149" s="70">
        <f t="shared" si="40"/>
        <v>4229.354166666667</v>
      </c>
      <c r="H149" s="70">
        <v>469.48250000000002</v>
      </c>
      <c r="I149" s="70">
        <f t="shared" si="41"/>
        <v>3759.8716666666669</v>
      </c>
    </row>
    <row r="150" spans="1:9" ht="20.100000000000001" customHeight="1">
      <c r="A150" s="25">
        <v>16</v>
      </c>
      <c r="B150" s="9" t="s">
        <v>260</v>
      </c>
      <c r="C150" s="2" t="s">
        <v>584</v>
      </c>
      <c r="D150" s="13" t="s">
        <v>585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261</v>
      </c>
      <c r="C151" s="10" t="s">
        <v>262</v>
      </c>
      <c r="D151" s="13" t="s">
        <v>104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263</v>
      </c>
      <c r="C152" s="10" t="s">
        <v>264</v>
      </c>
      <c r="D152" s="8" t="s">
        <v>80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265</v>
      </c>
      <c r="C153" s="10" t="s">
        <v>266</v>
      </c>
      <c r="D153" s="13" t="s">
        <v>267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268</v>
      </c>
      <c r="C154" s="10" t="s">
        <v>269</v>
      </c>
      <c r="D154" s="13" t="s">
        <v>75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270</v>
      </c>
      <c r="C155" s="10" t="s">
        <v>271</v>
      </c>
      <c r="D155" s="13" t="s">
        <v>267</v>
      </c>
      <c r="E155" s="186">
        <f>'[8]NASS New Structure'!$J$15</f>
        <v>1979242</v>
      </c>
      <c r="F155" s="186">
        <f>E155/12</f>
        <v>164936.83333333334</v>
      </c>
      <c r="G155" s="70">
        <f t="shared" si="40"/>
        <v>4123.4208333333336</v>
      </c>
      <c r="H155" s="70">
        <v>457.041</v>
      </c>
      <c r="I155" s="70">
        <f t="shared" si="41"/>
        <v>3666.3798333333334</v>
      </c>
    </row>
    <row r="156" spans="1:9" ht="20.100000000000001" customHeight="1">
      <c r="A156" s="25">
        <v>22</v>
      </c>
      <c r="B156" s="9" t="s">
        <v>272</v>
      </c>
      <c r="C156" s="10" t="s">
        <v>273</v>
      </c>
      <c r="D156" s="13" t="s">
        <v>75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274</v>
      </c>
      <c r="C157" s="10" t="s">
        <v>275</v>
      </c>
      <c r="D157" s="13" t="s">
        <v>83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277</v>
      </c>
      <c r="C158" s="10" t="s">
        <v>278</v>
      </c>
      <c r="D158" s="13" t="s">
        <v>92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279</v>
      </c>
      <c r="C159" s="10" t="s">
        <v>280</v>
      </c>
      <c r="D159" s="13" t="s">
        <v>92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281</v>
      </c>
      <c r="C160" s="10" t="s">
        <v>282</v>
      </c>
      <c r="D160" s="13" t="s">
        <v>92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283</v>
      </c>
      <c r="C161" s="10" t="s">
        <v>284</v>
      </c>
      <c r="D161" s="13" t="s">
        <v>173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285</v>
      </c>
      <c r="C162" s="10" t="s">
        <v>280</v>
      </c>
      <c r="D162" s="13" t="s">
        <v>92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289</v>
      </c>
      <c r="C163" s="10" t="s">
        <v>290</v>
      </c>
      <c r="D163" s="13" t="s">
        <v>291</v>
      </c>
      <c r="E163" s="192">
        <f>'[8]NASS New Structure'!$G$12</f>
        <v>1110516</v>
      </c>
      <c r="F163" s="192">
        <f>E163/12</f>
        <v>92543</v>
      </c>
      <c r="G163" s="70">
        <f t="shared" si="40"/>
        <v>2313.5750000000003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292</v>
      </c>
      <c r="C164" s="10" t="s">
        <v>290</v>
      </c>
      <c r="D164" s="13" t="s">
        <v>291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293</v>
      </c>
      <c r="C165" s="10" t="s">
        <v>290</v>
      </c>
      <c r="D165" s="13" t="s">
        <v>291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294</v>
      </c>
      <c r="C166" s="10" t="s">
        <v>290</v>
      </c>
      <c r="D166" s="13" t="s">
        <v>291</v>
      </c>
      <c r="E166" s="192">
        <f>'[8]NASS New Structure'!$G$12</f>
        <v>1110516</v>
      </c>
      <c r="F166" s="192">
        <f>E166/12</f>
        <v>92543</v>
      </c>
      <c r="G166" s="70">
        <f t="shared" si="40"/>
        <v>2313.5750000000003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295</v>
      </c>
      <c r="C167" s="10" t="s">
        <v>290</v>
      </c>
      <c r="D167" s="13" t="s">
        <v>291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296</v>
      </c>
      <c r="C168" s="10" t="s">
        <v>290</v>
      </c>
      <c r="D168" s="13" t="s">
        <v>297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298</v>
      </c>
      <c r="C169" s="10" t="s">
        <v>290</v>
      </c>
      <c r="D169" s="13" t="s">
        <v>297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299</v>
      </c>
      <c r="C170" s="10" t="s">
        <v>290</v>
      </c>
      <c r="D170" s="13" t="s">
        <v>297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300</v>
      </c>
      <c r="C171" s="10" t="s">
        <v>290</v>
      </c>
      <c r="D171" s="13" t="s">
        <v>297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301</v>
      </c>
      <c r="C172" s="10" t="s">
        <v>290</v>
      </c>
      <c r="D172" s="13" t="s">
        <v>297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302</v>
      </c>
      <c r="C173" s="10" t="s">
        <v>290</v>
      </c>
      <c r="D173" s="13" t="s">
        <v>297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303</v>
      </c>
      <c r="C174" s="10" t="s">
        <v>304</v>
      </c>
      <c r="D174" s="13" t="s">
        <v>305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306</v>
      </c>
      <c r="C175" s="10" t="s">
        <v>304</v>
      </c>
      <c r="D175" s="13" t="s">
        <v>305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307</v>
      </c>
      <c r="C176" s="10" t="s">
        <v>304</v>
      </c>
      <c r="D176" s="13" t="s">
        <v>308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309</v>
      </c>
      <c r="C177" s="10" t="s">
        <v>310</v>
      </c>
      <c r="D177" s="13" t="s">
        <v>311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312</v>
      </c>
      <c r="C178" s="10" t="s">
        <v>313</v>
      </c>
      <c r="D178" s="13" t="s">
        <v>314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315</v>
      </c>
      <c r="C179" s="10" t="s">
        <v>313</v>
      </c>
      <c r="D179" s="13" t="s">
        <v>314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316</v>
      </c>
      <c r="C180" s="10" t="s">
        <v>313</v>
      </c>
      <c r="D180" s="13" t="s">
        <v>314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317</v>
      </c>
      <c r="C181" s="10" t="s">
        <v>313</v>
      </c>
      <c r="D181" s="13" t="s">
        <v>314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318</v>
      </c>
      <c r="C182" s="10" t="s">
        <v>313</v>
      </c>
      <c r="D182" s="13" t="s">
        <v>314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319</v>
      </c>
      <c r="C183" s="10" t="s">
        <v>313</v>
      </c>
      <c r="D183" s="13" t="s">
        <v>314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320</v>
      </c>
      <c r="C184" s="10" t="s">
        <v>313</v>
      </c>
      <c r="D184" s="13" t="s">
        <v>314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321</v>
      </c>
      <c r="C185" s="10" t="s">
        <v>310</v>
      </c>
      <c r="D185" s="13" t="s">
        <v>314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322</v>
      </c>
      <c r="C186" s="10" t="s">
        <v>310</v>
      </c>
      <c r="D186" s="13" t="s">
        <v>314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323</v>
      </c>
      <c r="C187" s="10" t="s">
        <v>324</v>
      </c>
      <c r="D187" s="13" t="s">
        <v>325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328</v>
      </c>
      <c r="C188" s="10" t="s">
        <v>313</v>
      </c>
      <c r="D188" s="13" t="s">
        <v>586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329</v>
      </c>
      <c r="C189" s="10" t="s">
        <v>330</v>
      </c>
      <c r="D189" s="13" t="s">
        <v>331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332</v>
      </c>
      <c r="C190" s="10" t="s">
        <v>330</v>
      </c>
      <c r="D190" s="13" t="s">
        <v>331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333</v>
      </c>
      <c r="C191" s="10" t="s">
        <v>330</v>
      </c>
      <c r="D191" s="13" t="s">
        <v>331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334</v>
      </c>
      <c r="C192" s="10" t="s">
        <v>335</v>
      </c>
      <c r="D192" s="13" t="s">
        <v>336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337</v>
      </c>
      <c r="C193" s="10" t="s">
        <v>335</v>
      </c>
      <c r="D193" s="13" t="s">
        <v>336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96</v>
      </c>
      <c r="C194" s="26" t="s">
        <v>587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2"/>
      <c r="B195" s="28" t="s">
        <v>339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3" t="s">
        <v>610</v>
      </c>
      <c r="E1" s="563" t="s">
        <v>14</v>
      </c>
      <c r="F1" s="564"/>
      <c r="G1" s="564"/>
    </row>
    <row r="2" spans="1:7" ht="36" customHeight="1">
      <c r="A2" s="16" t="s">
        <v>90</v>
      </c>
      <c r="B2" s="10" t="s">
        <v>91</v>
      </c>
      <c r="C2" s="565" t="s">
        <v>95</v>
      </c>
      <c r="D2" s="563">
        <f>'[6]JANUARY 2024'!$R$33</f>
        <v>173329.04949999999</v>
      </c>
      <c r="E2" s="563">
        <f>'[6]JANUARY 2024'!$W$33</f>
        <v>16512.682190666699</v>
      </c>
      <c r="F2" s="564"/>
      <c r="G2" s="564"/>
    </row>
    <row r="3" spans="1:7" ht="37.5">
      <c r="A3" s="16" t="s">
        <v>90</v>
      </c>
      <c r="B3" s="10" t="s">
        <v>91</v>
      </c>
      <c r="C3" s="565" t="s">
        <v>92</v>
      </c>
      <c r="D3" s="563">
        <f>'[6]JANUARY 2024'!$R$38</f>
        <v>176816.1</v>
      </c>
      <c r="E3" s="563">
        <f>'[6]JANUARY 2024'!$W$38</f>
        <v>17042.713866666702</v>
      </c>
      <c r="F3" s="564"/>
      <c r="G3" s="564"/>
    </row>
    <row r="4" spans="1:7" ht="25.5" customHeight="1">
      <c r="A4" s="256" t="s">
        <v>516</v>
      </c>
      <c r="D4" s="563">
        <f>D3-D2</f>
        <v>3487.0505000000121</v>
      </c>
      <c r="E4" s="563">
        <f>E3-E2</f>
        <v>530.03167600000234</v>
      </c>
      <c r="F4" s="566">
        <f>D4-E4</f>
        <v>2957.0188240000098</v>
      </c>
      <c r="G4" s="564"/>
    </row>
    <row r="5" spans="1:7" ht="15.75">
      <c r="D5" s="564"/>
      <c r="E5" s="564"/>
      <c r="F5" s="564"/>
      <c r="G5" s="564"/>
    </row>
    <row r="6" spans="1:7" ht="15.75">
      <c r="D6" s="564"/>
      <c r="E6" s="564"/>
      <c r="F6" s="564"/>
      <c r="G6" s="564"/>
    </row>
  </sheetData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806" t="s">
        <v>0</v>
      </c>
      <c r="B1" s="806"/>
      <c r="C1" s="806"/>
      <c r="D1" s="806"/>
      <c r="E1" s="806"/>
    </row>
    <row r="2" spans="1:5" ht="33.75" customHeight="1">
      <c r="A2" s="562" t="s">
        <v>611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8" t="s">
        <v>500</v>
      </c>
    </row>
    <row r="5" spans="1:5" ht="17.25" customHeight="1">
      <c r="C5" s="6"/>
      <c r="D5" s="6"/>
      <c r="E5" s="319" t="s">
        <v>19</v>
      </c>
    </row>
    <row r="6" spans="1:5" ht="20.100000000000001" customHeight="1">
      <c r="A6" s="7" t="s">
        <v>20</v>
      </c>
      <c r="B6" s="6" t="s">
        <v>21</v>
      </c>
      <c r="C6" s="6"/>
      <c r="D6" s="6"/>
      <c r="E6" s="67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540000</v>
      </c>
    </row>
    <row r="8" spans="1:5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180000</v>
      </c>
    </row>
    <row r="9" spans="1:5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180000</v>
      </c>
    </row>
    <row r="10" spans="1:5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180000</v>
      </c>
    </row>
    <row r="11" spans="1:5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70">
        <v>180000</v>
      </c>
    </row>
    <row r="12" spans="1:5" ht="20.100000000000001" customHeight="1">
      <c r="A12" s="8">
        <v>6</v>
      </c>
      <c r="B12" s="16" t="s">
        <v>574</v>
      </c>
      <c r="C12" s="8" t="s">
        <v>575</v>
      </c>
      <c r="D12" s="8" t="s">
        <v>27</v>
      </c>
      <c r="E12" s="70">
        <v>180000</v>
      </c>
    </row>
    <row r="13" spans="1:5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70">
        <v>126000</v>
      </c>
    </row>
    <row r="14" spans="1:5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126000</v>
      </c>
    </row>
    <row r="15" spans="1:5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70">
        <v>90000</v>
      </c>
    </row>
    <row r="16" spans="1:5" ht="20.100000000000001" customHeight="1">
      <c r="A16" s="8">
        <v>10</v>
      </c>
      <c r="B16" s="12" t="s">
        <v>43</v>
      </c>
      <c r="C16" s="15" t="s">
        <v>135</v>
      </c>
      <c r="D16" s="13" t="s">
        <v>224</v>
      </c>
      <c r="E16" s="70">
        <v>90000</v>
      </c>
    </row>
    <row r="17" spans="1:5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70">
        <v>90000</v>
      </c>
    </row>
    <row r="18" spans="1:5" ht="20.100000000000001" customHeight="1">
      <c r="A18" s="8">
        <v>12</v>
      </c>
      <c r="B18" s="9" t="s">
        <v>48</v>
      </c>
      <c r="C18" s="2" t="s">
        <v>577</v>
      </c>
      <c r="D18" s="8" t="s">
        <v>194</v>
      </c>
      <c r="E18" s="70">
        <v>90000</v>
      </c>
    </row>
    <row r="19" spans="1:5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70">
        <v>90000</v>
      </c>
    </row>
    <row r="20" spans="1:5" ht="20.100000000000001" customHeight="1">
      <c r="A20" s="8">
        <v>14</v>
      </c>
      <c r="B20" s="16" t="s">
        <v>53</v>
      </c>
      <c r="C20" s="2" t="s">
        <v>54</v>
      </c>
      <c r="D20" s="13" t="s">
        <v>55</v>
      </c>
      <c r="E20" s="70">
        <v>90000</v>
      </c>
    </row>
    <row r="21" spans="1:5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68000</v>
      </c>
    </row>
    <row r="22" spans="1:5" ht="20.100000000000001" customHeight="1">
      <c r="A22" s="8">
        <v>16</v>
      </c>
      <c r="B22" s="12" t="s">
        <v>63</v>
      </c>
      <c r="C22" s="15" t="s">
        <v>64</v>
      </c>
      <c r="D22" s="8" t="s">
        <v>65</v>
      </c>
      <c r="E22" s="70">
        <v>68000</v>
      </c>
    </row>
    <row r="23" spans="1:5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70">
        <v>68000</v>
      </c>
    </row>
    <row r="24" spans="1:5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70">
        <v>68000</v>
      </c>
    </row>
    <row r="25" spans="1:5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70">
        <v>54000</v>
      </c>
    </row>
    <row r="26" spans="1:5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70">
        <v>54000</v>
      </c>
    </row>
    <row r="27" spans="1:5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70">
        <v>54000</v>
      </c>
    </row>
    <row r="28" spans="1:5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70">
        <v>54000</v>
      </c>
    </row>
    <row r="29" spans="1:5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70">
        <v>54000</v>
      </c>
    </row>
    <row r="30" spans="1:5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70">
        <v>54000</v>
      </c>
    </row>
    <row r="31" spans="1:5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70">
        <v>54000</v>
      </c>
    </row>
    <row r="32" spans="1:5" ht="18.75" customHeight="1">
      <c r="A32" s="8">
        <v>26</v>
      </c>
      <c r="B32" s="16" t="s">
        <v>88</v>
      </c>
      <c r="C32" s="2" t="s">
        <v>89</v>
      </c>
      <c r="D32" s="8" t="s">
        <v>173</v>
      </c>
      <c r="E32" s="70">
        <v>54000</v>
      </c>
    </row>
    <row r="33" spans="1:5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70">
        <v>54000</v>
      </c>
    </row>
    <row r="34" spans="1:5" ht="26.25" customHeight="1">
      <c r="A34" s="8"/>
      <c r="B34" s="18" t="s">
        <v>96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97</v>
      </c>
      <c r="C36" s="2"/>
      <c r="D36" s="13"/>
      <c r="E36" s="70"/>
    </row>
    <row r="37" spans="1:5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70">
        <v>270000</v>
      </c>
    </row>
    <row r="38" spans="1:5" ht="18.75" customHeight="1">
      <c r="A38" s="8">
        <v>2</v>
      </c>
      <c r="B38" s="16" t="s">
        <v>101</v>
      </c>
      <c r="C38" s="2" t="s">
        <v>612</v>
      </c>
      <c r="D38" s="8" t="s">
        <v>70</v>
      </c>
      <c r="E38" s="70">
        <v>68000</v>
      </c>
    </row>
    <row r="39" spans="1:5" ht="18.75" customHeight="1">
      <c r="A39" s="8">
        <v>3</v>
      </c>
      <c r="B39" s="9" t="s">
        <v>103</v>
      </c>
      <c r="C39" s="10" t="s">
        <v>609</v>
      </c>
      <c r="D39" s="13" t="s">
        <v>104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107</v>
      </c>
      <c r="C42" s="3"/>
      <c r="D42" s="22"/>
      <c r="E42" s="187"/>
    </row>
    <row r="43" spans="1:5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70">
        <v>270000</v>
      </c>
    </row>
    <row r="44" spans="1:5" ht="20.100000000000001" customHeight="1">
      <c r="A44" s="8">
        <v>2</v>
      </c>
      <c r="B44" s="9" t="s">
        <v>491</v>
      </c>
      <c r="C44" s="2" t="s">
        <v>44</v>
      </c>
      <c r="D44" s="8" t="s">
        <v>36</v>
      </c>
      <c r="E44" s="70">
        <v>126000</v>
      </c>
    </row>
    <row r="45" spans="1:5" ht="20.100000000000001" customHeight="1">
      <c r="A45" s="8">
        <v>3</v>
      </c>
      <c r="B45" s="9" t="s">
        <v>110</v>
      </c>
      <c r="C45" s="2" t="s">
        <v>111</v>
      </c>
      <c r="D45" s="8" t="s">
        <v>112</v>
      </c>
      <c r="E45" s="70">
        <v>180000</v>
      </c>
    </row>
    <row r="46" spans="1:5" ht="20.100000000000001" customHeight="1">
      <c r="A46" s="8">
        <v>4</v>
      </c>
      <c r="B46" s="9" t="s">
        <v>113</v>
      </c>
      <c r="C46" s="2" t="s">
        <v>114</v>
      </c>
      <c r="D46" s="8" t="s">
        <v>36</v>
      </c>
      <c r="E46" s="70">
        <v>126000</v>
      </c>
    </row>
    <row r="47" spans="1:5" ht="20.100000000000001" customHeight="1">
      <c r="A47" s="8">
        <v>5</v>
      </c>
      <c r="B47" s="9" t="s">
        <v>115</v>
      </c>
      <c r="C47" s="2" t="s">
        <v>114</v>
      </c>
      <c r="D47" s="8" t="s">
        <v>36</v>
      </c>
      <c r="E47" s="70">
        <v>126000</v>
      </c>
    </row>
    <row r="48" spans="1:5" ht="20.100000000000001" customHeight="1">
      <c r="A48" s="8">
        <v>6</v>
      </c>
      <c r="B48" s="9" t="s">
        <v>116</v>
      </c>
      <c r="C48" s="2" t="s">
        <v>114</v>
      </c>
      <c r="D48" s="8" t="s">
        <v>39</v>
      </c>
      <c r="E48" s="70">
        <v>126000</v>
      </c>
    </row>
    <row r="49" spans="1:5" ht="20.100000000000001" customHeight="1">
      <c r="A49" s="8">
        <v>7</v>
      </c>
      <c r="B49" s="12" t="s">
        <v>117</v>
      </c>
      <c r="C49" s="2" t="s">
        <v>135</v>
      </c>
      <c r="D49" s="14" t="s">
        <v>224</v>
      </c>
      <c r="E49" s="70">
        <v>90000</v>
      </c>
    </row>
    <row r="50" spans="1:5" ht="20.100000000000001" customHeight="1">
      <c r="A50" s="8">
        <v>8</v>
      </c>
      <c r="B50" s="9" t="s">
        <v>118</v>
      </c>
      <c r="C50" s="2" t="s">
        <v>119</v>
      </c>
      <c r="D50" s="8" t="s">
        <v>104</v>
      </c>
      <c r="E50" s="70">
        <v>68000</v>
      </c>
    </row>
    <row r="51" spans="1:5" ht="20.100000000000001" customHeight="1">
      <c r="A51" s="8">
        <v>9</v>
      </c>
      <c r="B51" s="9" t="s">
        <v>120</v>
      </c>
      <c r="C51" s="2" t="s">
        <v>119</v>
      </c>
      <c r="D51" s="8" t="s">
        <v>80</v>
      </c>
      <c r="E51" s="70">
        <v>54000</v>
      </c>
    </row>
    <row r="52" spans="1:5" ht="20.100000000000001" customHeight="1">
      <c r="A52" s="8">
        <v>10</v>
      </c>
      <c r="B52" s="9" t="s">
        <v>578</v>
      </c>
      <c r="C52" s="2" t="s">
        <v>119</v>
      </c>
      <c r="D52" s="8" t="s">
        <v>80</v>
      </c>
      <c r="E52" s="70">
        <v>54000</v>
      </c>
    </row>
    <row r="53" spans="1:5" ht="20.100000000000001" customHeight="1">
      <c r="A53" s="8">
        <v>11</v>
      </c>
      <c r="B53" s="9" t="s">
        <v>121</v>
      </c>
      <c r="C53" s="2" t="s">
        <v>119</v>
      </c>
      <c r="D53" s="8" t="s">
        <v>80</v>
      </c>
      <c r="E53" s="70">
        <v>54000</v>
      </c>
    </row>
    <row r="54" spans="1:5" ht="25.5" customHeight="1">
      <c r="A54" s="8"/>
      <c r="B54" s="18" t="s">
        <v>96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122</v>
      </c>
      <c r="C56" s="19"/>
      <c r="D56" s="19"/>
      <c r="E56" s="122"/>
    </row>
    <row r="57" spans="1:5" ht="20.100000000000001" customHeight="1">
      <c r="A57" s="8">
        <v>1</v>
      </c>
      <c r="B57" s="9" t="s">
        <v>501</v>
      </c>
      <c r="C57" s="10" t="s">
        <v>124</v>
      </c>
      <c r="D57" s="13" t="s">
        <v>100</v>
      </c>
      <c r="E57" s="70">
        <v>270000</v>
      </c>
    </row>
    <row r="58" spans="1:5" ht="20.100000000000001" customHeight="1">
      <c r="A58" s="8">
        <v>2</v>
      </c>
      <c r="B58" s="9" t="s">
        <v>125</v>
      </c>
      <c r="C58" s="10" t="s">
        <v>126</v>
      </c>
      <c r="D58" s="13" t="s">
        <v>127</v>
      </c>
      <c r="E58" s="70">
        <v>126000</v>
      </c>
    </row>
    <row r="59" spans="1:5" ht="20.100000000000001" customHeight="1">
      <c r="A59" s="8"/>
      <c r="B59" s="18" t="s">
        <v>96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128</v>
      </c>
      <c r="C61" s="19"/>
      <c r="D61" s="19"/>
      <c r="E61" s="122"/>
    </row>
    <row r="62" spans="1:5" ht="20.100000000000001" customHeight="1">
      <c r="A62" s="8">
        <v>1</v>
      </c>
      <c r="B62" s="9" t="s">
        <v>129</v>
      </c>
      <c r="C62" s="15" t="s">
        <v>130</v>
      </c>
      <c r="D62" s="8" t="s">
        <v>100</v>
      </c>
      <c r="E62" s="70">
        <v>270000</v>
      </c>
    </row>
    <row r="63" spans="1:5" ht="20.100000000000001" customHeight="1">
      <c r="A63" s="8">
        <v>2</v>
      </c>
      <c r="B63" s="312" t="s">
        <v>131</v>
      </c>
      <c r="C63" s="15" t="s">
        <v>132</v>
      </c>
      <c r="D63" s="13" t="s">
        <v>133</v>
      </c>
      <c r="E63" s="70">
        <v>126000</v>
      </c>
    </row>
    <row r="64" spans="1:5" ht="20.100000000000001" customHeight="1">
      <c r="A64" s="8">
        <v>3</v>
      </c>
      <c r="B64" s="9" t="s">
        <v>134</v>
      </c>
      <c r="C64" s="2" t="s">
        <v>135</v>
      </c>
      <c r="D64" s="8" t="s">
        <v>47</v>
      </c>
      <c r="E64" s="70">
        <v>90000</v>
      </c>
    </row>
    <row r="65" spans="1:5" ht="20.100000000000001" customHeight="1">
      <c r="A65" s="8">
        <v>4</v>
      </c>
      <c r="B65" s="16" t="s">
        <v>487</v>
      </c>
      <c r="C65" s="15" t="s">
        <v>167</v>
      </c>
      <c r="D65" s="13" t="s">
        <v>52</v>
      </c>
      <c r="E65" s="70">
        <v>90000</v>
      </c>
    </row>
    <row r="66" spans="1:5" ht="20.100000000000001" customHeight="1">
      <c r="A66" s="8">
        <v>5</v>
      </c>
      <c r="B66" s="12" t="s">
        <v>517</v>
      </c>
      <c r="C66" s="15" t="s">
        <v>135</v>
      </c>
      <c r="D66" s="13" t="s">
        <v>42</v>
      </c>
      <c r="E66" s="70">
        <v>90000</v>
      </c>
    </row>
    <row r="67" spans="1:5" ht="20.100000000000001" customHeight="1">
      <c r="A67" s="8">
        <v>7</v>
      </c>
      <c r="B67" s="9" t="s">
        <v>136</v>
      </c>
      <c r="C67" s="2" t="s">
        <v>119</v>
      </c>
      <c r="D67" s="8" t="s">
        <v>137</v>
      </c>
      <c r="E67" s="70">
        <v>68000</v>
      </c>
    </row>
    <row r="68" spans="1:5" ht="20.100000000000001" customHeight="1">
      <c r="A68" s="8">
        <v>8</v>
      </c>
      <c r="B68" s="9" t="s">
        <v>138</v>
      </c>
      <c r="C68" s="15" t="s">
        <v>67</v>
      </c>
      <c r="D68" s="8" t="s">
        <v>137</v>
      </c>
      <c r="E68" s="70">
        <v>68000</v>
      </c>
    </row>
    <row r="69" spans="1:5" ht="20.100000000000001" customHeight="1">
      <c r="A69" s="8">
        <v>9</v>
      </c>
      <c r="B69" s="9" t="s">
        <v>139</v>
      </c>
      <c r="C69" s="15" t="s">
        <v>67</v>
      </c>
      <c r="D69" s="8" t="s">
        <v>137</v>
      </c>
      <c r="E69" s="70">
        <v>68000</v>
      </c>
    </row>
    <row r="70" spans="1:5" ht="20.100000000000001" customHeight="1">
      <c r="A70" s="8">
        <v>10</v>
      </c>
      <c r="B70" s="9" t="s">
        <v>140</v>
      </c>
      <c r="C70" s="2" t="s">
        <v>141</v>
      </c>
      <c r="D70" s="8" t="s">
        <v>62</v>
      </c>
      <c r="E70" s="70">
        <v>68000</v>
      </c>
    </row>
    <row r="71" spans="1:5" ht="21.6" customHeight="1">
      <c r="A71" s="8">
        <v>11</v>
      </c>
      <c r="B71" s="9" t="s">
        <v>142</v>
      </c>
      <c r="C71" s="2" t="s">
        <v>119</v>
      </c>
      <c r="D71" s="8" t="s">
        <v>104</v>
      </c>
      <c r="E71" s="70">
        <v>68000</v>
      </c>
    </row>
    <row r="72" spans="1:5" ht="27" customHeight="1">
      <c r="A72" s="8"/>
      <c r="B72" s="18" t="s">
        <v>96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143</v>
      </c>
      <c r="C74" s="19"/>
      <c r="D74" s="19"/>
      <c r="E74" s="122"/>
    </row>
    <row r="75" spans="1:5" ht="20.100000000000001" customHeight="1">
      <c r="A75" s="8">
        <v>1</v>
      </c>
      <c r="B75" s="9" t="s">
        <v>144</v>
      </c>
      <c r="C75" s="2" t="s">
        <v>145</v>
      </c>
      <c r="D75" s="8" t="s">
        <v>100</v>
      </c>
      <c r="E75" s="70">
        <v>270000</v>
      </c>
    </row>
    <row r="76" spans="1:5" ht="20.100000000000001" customHeight="1">
      <c r="A76" s="8">
        <v>2</v>
      </c>
      <c r="B76" s="12" t="s">
        <v>518</v>
      </c>
      <c r="C76" s="2" t="s">
        <v>570</v>
      </c>
      <c r="D76" s="13" t="s">
        <v>571</v>
      </c>
      <c r="E76" s="70">
        <v>126000</v>
      </c>
    </row>
    <row r="77" spans="1:5" ht="20.100000000000001" customHeight="1">
      <c r="A77" s="8">
        <v>3</v>
      </c>
      <c r="B77" s="16" t="s">
        <v>519</v>
      </c>
      <c r="C77" s="10" t="s">
        <v>572</v>
      </c>
      <c r="D77" s="8" t="s">
        <v>127</v>
      </c>
      <c r="E77" s="70">
        <v>126000</v>
      </c>
    </row>
    <row r="78" spans="1:5" ht="20.100000000000001" customHeight="1">
      <c r="A78" s="8">
        <v>4</v>
      </c>
      <c r="B78" s="9" t="s">
        <v>148</v>
      </c>
      <c r="C78" s="2" t="s">
        <v>149</v>
      </c>
      <c r="D78" s="13" t="s">
        <v>150</v>
      </c>
      <c r="E78" s="70">
        <v>90000</v>
      </c>
    </row>
    <row r="79" spans="1:5" ht="20.100000000000001" customHeight="1">
      <c r="A79" s="8">
        <v>5</v>
      </c>
      <c r="B79" s="9" t="s">
        <v>151</v>
      </c>
      <c r="C79" s="2" t="s">
        <v>154</v>
      </c>
      <c r="D79" s="8" t="s">
        <v>267</v>
      </c>
      <c r="E79" s="70">
        <v>68000</v>
      </c>
    </row>
    <row r="80" spans="1:5" ht="20.100000000000001" customHeight="1">
      <c r="A80" s="8">
        <v>6</v>
      </c>
      <c r="B80" s="9" t="s">
        <v>153</v>
      </c>
      <c r="C80" s="2" t="s">
        <v>154</v>
      </c>
      <c r="D80" s="8" t="s">
        <v>80</v>
      </c>
      <c r="E80" s="70">
        <v>54000</v>
      </c>
    </row>
    <row r="81" spans="1:5" ht="20.100000000000001" customHeight="1">
      <c r="A81" s="8">
        <v>7</v>
      </c>
      <c r="B81" s="9" t="s">
        <v>155</v>
      </c>
      <c r="C81" s="2" t="s">
        <v>156</v>
      </c>
      <c r="D81" s="8" t="s">
        <v>92</v>
      </c>
      <c r="E81" s="70">
        <v>54000</v>
      </c>
    </row>
    <row r="82" spans="1:5" ht="20.100000000000001" customHeight="1">
      <c r="A82" s="8"/>
      <c r="B82" s="18" t="s">
        <v>96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157</v>
      </c>
      <c r="C84" s="23"/>
      <c r="D84" s="19"/>
      <c r="E84" s="122"/>
    </row>
    <row r="85" spans="1:5" ht="20.100000000000001" customHeight="1">
      <c r="A85" s="8">
        <v>1</v>
      </c>
      <c r="B85" s="9" t="s">
        <v>158</v>
      </c>
      <c r="C85" s="2" t="s">
        <v>114</v>
      </c>
      <c r="D85" s="8" t="s">
        <v>36</v>
      </c>
      <c r="E85" s="70">
        <v>126000</v>
      </c>
    </row>
    <row r="86" spans="1:5" ht="20.100000000000001" customHeight="1">
      <c r="A86" s="8">
        <v>2</v>
      </c>
      <c r="B86" s="9" t="s">
        <v>159</v>
      </c>
      <c r="C86" s="2" t="s">
        <v>114</v>
      </c>
      <c r="D86" s="8" t="s">
        <v>36</v>
      </c>
      <c r="E86" s="70">
        <v>126000</v>
      </c>
    </row>
    <row r="87" spans="1:5" ht="20.100000000000001" customHeight="1">
      <c r="A87" s="8">
        <v>3</v>
      </c>
      <c r="B87" s="9" t="s">
        <v>160</v>
      </c>
      <c r="C87" s="2" t="s">
        <v>114</v>
      </c>
      <c r="D87" s="8" t="s">
        <v>39</v>
      </c>
      <c r="E87" s="70">
        <v>126000</v>
      </c>
    </row>
    <row r="88" spans="1:5" ht="21.6" customHeight="1">
      <c r="A88" s="8">
        <v>4</v>
      </c>
      <c r="B88" s="9" t="s">
        <v>161</v>
      </c>
      <c r="C88" s="2" t="s">
        <v>458</v>
      </c>
      <c r="D88" s="13" t="s">
        <v>194</v>
      </c>
      <c r="E88" s="70">
        <v>90000</v>
      </c>
    </row>
    <row r="89" spans="1:5" ht="21.6" customHeight="1">
      <c r="A89" s="8">
        <v>5</v>
      </c>
      <c r="B89" s="9" t="s">
        <v>162</v>
      </c>
      <c r="C89" s="10" t="s">
        <v>167</v>
      </c>
      <c r="D89" s="13" t="s">
        <v>52</v>
      </c>
      <c r="E89" s="70">
        <v>90000</v>
      </c>
    </row>
    <row r="90" spans="1:5" ht="21.6" customHeight="1">
      <c r="A90" s="8">
        <v>6</v>
      </c>
      <c r="B90" s="9" t="s">
        <v>163</v>
      </c>
      <c r="C90" s="10" t="s">
        <v>135</v>
      </c>
      <c r="D90" s="13" t="s">
        <v>164</v>
      </c>
      <c r="E90" s="70">
        <v>90000</v>
      </c>
    </row>
    <row r="91" spans="1:5" ht="21.6" customHeight="1">
      <c r="A91" s="8">
        <v>7</v>
      </c>
      <c r="B91" s="9" t="s">
        <v>165</v>
      </c>
      <c r="C91" s="15" t="s">
        <v>67</v>
      </c>
      <c r="D91" s="13" t="s">
        <v>137</v>
      </c>
      <c r="E91" s="70">
        <v>68000</v>
      </c>
    </row>
    <row r="92" spans="1:5" ht="21.6" customHeight="1">
      <c r="A92" s="8">
        <v>8</v>
      </c>
      <c r="B92" s="9" t="s">
        <v>166</v>
      </c>
      <c r="C92" s="15" t="s">
        <v>167</v>
      </c>
      <c r="D92" s="13" t="s">
        <v>168</v>
      </c>
      <c r="E92" s="70">
        <v>90000</v>
      </c>
    </row>
    <row r="93" spans="1:5" ht="21.6" customHeight="1">
      <c r="A93" s="8">
        <v>9</v>
      </c>
      <c r="B93" s="9" t="s">
        <v>169</v>
      </c>
      <c r="C93" s="2" t="s">
        <v>170</v>
      </c>
      <c r="D93" s="8" t="s">
        <v>104</v>
      </c>
      <c r="E93" s="186">
        <v>66000</v>
      </c>
    </row>
    <row r="94" spans="1:5" ht="21.6" customHeight="1">
      <c r="A94" s="8">
        <v>10</v>
      </c>
      <c r="B94" s="9" t="s">
        <v>171</v>
      </c>
      <c r="C94" s="15" t="s">
        <v>172</v>
      </c>
      <c r="D94" s="13" t="s">
        <v>173</v>
      </c>
      <c r="E94" s="186">
        <v>54000</v>
      </c>
    </row>
    <row r="95" spans="1:5" ht="20.100000000000001" customHeight="1">
      <c r="A95" s="8"/>
      <c r="B95" s="18" t="s">
        <v>96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174</v>
      </c>
      <c r="C97" s="19"/>
      <c r="D97" s="19"/>
      <c r="E97" s="122"/>
    </row>
    <row r="98" spans="1:5" ht="20.100000000000001" customHeight="1">
      <c r="A98" s="8">
        <v>1</v>
      </c>
      <c r="B98" s="12" t="s">
        <v>175</v>
      </c>
      <c r="C98" s="2" t="s">
        <v>176</v>
      </c>
      <c r="D98" s="14" t="s">
        <v>177</v>
      </c>
      <c r="E98" s="70">
        <v>270000</v>
      </c>
    </row>
    <row r="99" spans="1:5" ht="20.100000000000001" customHeight="1">
      <c r="A99" s="8">
        <v>2</v>
      </c>
      <c r="B99" s="9" t="s">
        <v>178</v>
      </c>
      <c r="C99" s="2" t="s">
        <v>179</v>
      </c>
      <c r="D99" s="13" t="s">
        <v>150</v>
      </c>
      <c r="E99" s="70">
        <v>90000</v>
      </c>
    </row>
    <row r="100" spans="1:5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70">
        <v>68000</v>
      </c>
    </row>
    <row r="101" spans="1:5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70">
        <v>68000</v>
      </c>
    </row>
    <row r="102" spans="1:5" ht="20.100000000000001" customHeight="1">
      <c r="A102" s="2"/>
      <c r="B102" s="18" t="s">
        <v>96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186</v>
      </c>
      <c r="C104" s="2"/>
      <c r="D104" s="2"/>
      <c r="E104" s="2"/>
    </row>
    <row r="105" spans="1:5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70">
        <v>270000</v>
      </c>
    </row>
    <row r="106" spans="1:5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70">
        <v>180000</v>
      </c>
    </row>
    <row r="107" spans="1:5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70">
        <v>90000</v>
      </c>
    </row>
    <row r="108" spans="1:5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70">
        <v>90000</v>
      </c>
    </row>
    <row r="109" spans="1:5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186">
        <v>54000</v>
      </c>
    </row>
    <row r="110" spans="1:5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186">
        <v>54000</v>
      </c>
    </row>
    <row r="111" spans="1:5" ht="20.100000000000001" customHeight="1">
      <c r="A111" s="2">
        <v>7</v>
      </c>
      <c r="B111" s="16" t="s">
        <v>201</v>
      </c>
      <c r="C111" s="2" t="s">
        <v>197</v>
      </c>
      <c r="D111" s="13" t="s">
        <v>173</v>
      </c>
      <c r="E111" s="186">
        <v>54000</v>
      </c>
    </row>
    <row r="112" spans="1:5" ht="25.5" customHeight="1">
      <c r="A112" s="2"/>
      <c r="B112" s="18" t="s">
        <v>96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202</v>
      </c>
      <c r="C114" s="19"/>
      <c r="D114" s="19"/>
      <c r="E114" s="122"/>
    </row>
    <row r="115" spans="1:5" ht="20.100000000000001" customHeight="1">
      <c r="A115" s="8">
        <v>1</v>
      </c>
      <c r="B115" s="12" t="s">
        <v>203</v>
      </c>
      <c r="C115" s="2" t="s">
        <v>114</v>
      </c>
      <c r="D115" s="8" t="s">
        <v>133</v>
      </c>
      <c r="E115" s="70">
        <v>126000</v>
      </c>
    </row>
    <row r="116" spans="1:5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70">
        <v>68000</v>
      </c>
    </row>
    <row r="117" spans="1:5" ht="20.100000000000001" customHeight="1">
      <c r="A117" s="8">
        <v>3</v>
      </c>
      <c r="B117" s="9" t="s">
        <v>206</v>
      </c>
      <c r="C117" s="10" t="s">
        <v>579</v>
      </c>
      <c r="D117" s="13" t="s">
        <v>255</v>
      </c>
      <c r="E117" s="70">
        <v>68000</v>
      </c>
    </row>
    <row r="118" spans="1:5" ht="24.75" customHeight="1">
      <c r="A118" s="2"/>
      <c r="B118" s="18" t="s">
        <v>96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215</v>
      </c>
      <c r="C120" s="19"/>
      <c r="D120" s="19"/>
      <c r="E120" s="122"/>
    </row>
    <row r="121" spans="1:5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70">
        <v>270000</v>
      </c>
    </row>
    <row r="122" spans="1:5" ht="20.100000000000001" customHeight="1">
      <c r="A122" s="2">
        <v>2</v>
      </c>
      <c r="B122" s="9" t="s">
        <v>218</v>
      </c>
      <c r="C122" s="10" t="s">
        <v>219</v>
      </c>
      <c r="D122" s="13" t="s">
        <v>112</v>
      </c>
      <c r="E122" s="70">
        <v>180000</v>
      </c>
    </row>
    <row r="123" spans="1:5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70">
        <v>126000</v>
      </c>
    </row>
    <row r="124" spans="1:5" ht="20.100000000000001" customHeight="1">
      <c r="A124" s="2">
        <v>4</v>
      </c>
      <c r="B124" s="12" t="s">
        <v>521</v>
      </c>
      <c r="C124" s="10" t="s">
        <v>221</v>
      </c>
      <c r="D124" s="13" t="s">
        <v>39</v>
      </c>
      <c r="E124" s="70">
        <v>126000</v>
      </c>
    </row>
    <row r="125" spans="1:5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70">
        <v>90000</v>
      </c>
    </row>
    <row r="126" spans="1:5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70">
        <v>90000</v>
      </c>
    </row>
    <row r="127" spans="1:5" ht="20.100000000000001" customHeight="1">
      <c r="A127" s="2">
        <v>7</v>
      </c>
      <c r="B127" s="9" t="s">
        <v>227</v>
      </c>
      <c r="C127" s="10" t="s">
        <v>223</v>
      </c>
      <c r="D127" s="13" t="s">
        <v>150</v>
      </c>
      <c r="E127" s="70">
        <v>90000</v>
      </c>
    </row>
    <row r="128" spans="1:5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70">
        <v>54000</v>
      </c>
    </row>
    <row r="129" spans="1:5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70">
        <v>54000</v>
      </c>
    </row>
    <row r="130" spans="1:5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70">
        <v>54000</v>
      </c>
    </row>
    <row r="131" spans="1:5" ht="28.5" customHeight="1">
      <c r="A131" s="2"/>
      <c r="B131" s="18" t="s">
        <v>96</v>
      </c>
      <c r="C131" s="24" t="s">
        <v>235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236</v>
      </c>
      <c r="C133" s="10"/>
      <c r="D133" s="13"/>
      <c r="E133" s="70"/>
    </row>
    <row r="134" spans="1:5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70">
        <v>270000</v>
      </c>
    </row>
    <row r="135" spans="1:5" ht="20.100000000000001" customHeight="1">
      <c r="A135" s="25">
        <v>2</v>
      </c>
      <c r="B135" s="9" t="s">
        <v>522</v>
      </c>
      <c r="C135" s="10" t="s">
        <v>573</v>
      </c>
      <c r="D135" s="13" t="s">
        <v>191</v>
      </c>
      <c r="E135" s="70">
        <v>180000</v>
      </c>
    </row>
    <row r="136" spans="1:5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70">
        <v>180000</v>
      </c>
    </row>
    <row r="137" spans="1:5" ht="20.100000000000001" customHeight="1">
      <c r="A137" s="25">
        <v>4</v>
      </c>
      <c r="B137" s="9" t="s">
        <v>241</v>
      </c>
      <c r="C137" s="10" t="s">
        <v>580</v>
      </c>
      <c r="D137" s="13" t="s">
        <v>42</v>
      </c>
      <c r="E137" s="70">
        <v>90000</v>
      </c>
    </row>
    <row r="138" spans="1:5" ht="20.100000000000001" customHeight="1">
      <c r="A138" s="25">
        <v>5</v>
      </c>
      <c r="B138" s="9" t="s">
        <v>243</v>
      </c>
      <c r="C138" s="2" t="s">
        <v>581</v>
      </c>
      <c r="D138" s="13" t="s">
        <v>42</v>
      </c>
      <c r="E138" s="70">
        <v>90000</v>
      </c>
    </row>
    <row r="139" spans="1:5" ht="20.100000000000001" customHeight="1">
      <c r="A139" s="25">
        <v>6</v>
      </c>
      <c r="B139" s="9" t="s">
        <v>245</v>
      </c>
      <c r="C139" s="2" t="s">
        <v>581</v>
      </c>
      <c r="D139" s="13" t="s">
        <v>42</v>
      </c>
      <c r="E139" s="70">
        <v>90000</v>
      </c>
    </row>
    <row r="140" spans="1:5" ht="20.100000000000001" customHeight="1">
      <c r="A140" s="25">
        <v>7</v>
      </c>
      <c r="B140" s="9" t="s">
        <v>180</v>
      </c>
      <c r="C140" s="10" t="s">
        <v>582</v>
      </c>
      <c r="D140" s="13" t="s">
        <v>255</v>
      </c>
      <c r="E140" s="70">
        <v>68000</v>
      </c>
    </row>
    <row r="141" spans="1:5" ht="20.100000000000001" customHeight="1">
      <c r="A141" s="25">
        <v>8</v>
      </c>
      <c r="B141" s="9" t="s">
        <v>246</v>
      </c>
      <c r="C141" s="10" t="s">
        <v>582</v>
      </c>
      <c r="D141" s="13" t="s">
        <v>255</v>
      </c>
      <c r="E141" s="70">
        <v>68000</v>
      </c>
    </row>
    <row r="142" spans="1:5" ht="20.100000000000001" customHeight="1">
      <c r="A142" s="25">
        <v>9</v>
      </c>
      <c r="B142" s="9" t="s">
        <v>247</v>
      </c>
      <c r="C142" s="2" t="s">
        <v>583</v>
      </c>
      <c r="D142" s="13" t="s">
        <v>255</v>
      </c>
      <c r="E142" s="70">
        <v>68000</v>
      </c>
    </row>
    <row r="143" spans="1:5" ht="20.100000000000001" customHeight="1">
      <c r="A143" s="25">
        <v>10</v>
      </c>
      <c r="B143" s="9" t="s">
        <v>249</v>
      </c>
      <c r="C143" s="10" t="s">
        <v>250</v>
      </c>
      <c r="D143" s="13" t="s">
        <v>62</v>
      </c>
      <c r="E143" s="70">
        <v>68000</v>
      </c>
    </row>
    <row r="144" spans="1:5" ht="20.100000000000001" customHeight="1">
      <c r="A144" s="25">
        <v>11</v>
      </c>
      <c r="B144" s="9" t="s">
        <v>251</v>
      </c>
      <c r="C144" s="10" t="s">
        <v>252</v>
      </c>
      <c r="D144" s="13" t="s">
        <v>137</v>
      </c>
      <c r="E144" s="70">
        <v>68000</v>
      </c>
    </row>
    <row r="145" spans="1:5" ht="20.100000000000001" customHeight="1">
      <c r="A145" s="25">
        <v>12</v>
      </c>
      <c r="B145" s="9" t="s">
        <v>253</v>
      </c>
      <c r="C145" s="10" t="s">
        <v>254</v>
      </c>
      <c r="D145" s="13" t="s">
        <v>255</v>
      </c>
      <c r="E145" s="70">
        <v>68000</v>
      </c>
    </row>
    <row r="146" spans="1:5" ht="20.100000000000001" customHeight="1">
      <c r="A146" s="25">
        <v>13</v>
      </c>
      <c r="B146" s="16" t="s">
        <v>256</v>
      </c>
      <c r="C146" s="2" t="s">
        <v>257</v>
      </c>
      <c r="D146" s="13" t="s">
        <v>65</v>
      </c>
      <c r="E146" s="70">
        <v>68000</v>
      </c>
    </row>
    <row r="147" spans="1:5" ht="20.100000000000001" customHeight="1">
      <c r="A147" s="25">
        <v>14</v>
      </c>
      <c r="B147" s="9" t="s">
        <v>258</v>
      </c>
      <c r="C147" s="2" t="s">
        <v>584</v>
      </c>
      <c r="D147" s="13" t="s">
        <v>267</v>
      </c>
      <c r="E147" s="70">
        <v>68000</v>
      </c>
    </row>
    <row r="148" spans="1:5" ht="20.100000000000001" customHeight="1">
      <c r="A148" s="25">
        <v>15</v>
      </c>
      <c r="B148" s="9" t="s">
        <v>259</v>
      </c>
      <c r="C148" s="2" t="s">
        <v>584</v>
      </c>
      <c r="D148" s="13" t="s">
        <v>585</v>
      </c>
      <c r="E148" s="70">
        <v>68000</v>
      </c>
    </row>
    <row r="149" spans="1:5" ht="20.100000000000001" customHeight="1">
      <c r="A149" s="25">
        <v>16</v>
      </c>
      <c r="B149" s="9" t="s">
        <v>260</v>
      </c>
      <c r="C149" s="2" t="s">
        <v>584</v>
      </c>
      <c r="D149" s="13" t="s">
        <v>585</v>
      </c>
      <c r="E149" s="70">
        <v>68000</v>
      </c>
    </row>
    <row r="150" spans="1:5" ht="20.100000000000001" customHeight="1">
      <c r="A150" s="25">
        <v>17</v>
      </c>
      <c r="B150" s="9" t="s">
        <v>261</v>
      </c>
      <c r="C150" s="10" t="s">
        <v>262</v>
      </c>
      <c r="D150" s="13" t="s">
        <v>104</v>
      </c>
      <c r="E150" s="70">
        <v>68000</v>
      </c>
    </row>
    <row r="151" spans="1:5" ht="20.100000000000001" customHeight="1">
      <c r="A151" s="25">
        <v>18</v>
      </c>
      <c r="B151" s="9" t="s">
        <v>263</v>
      </c>
      <c r="C151" s="10" t="s">
        <v>264</v>
      </c>
      <c r="D151" s="8" t="s">
        <v>80</v>
      </c>
      <c r="E151" s="70">
        <v>54000</v>
      </c>
    </row>
    <row r="152" spans="1:5" ht="20.100000000000001" customHeight="1">
      <c r="A152" s="25">
        <v>19</v>
      </c>
      <c r="B152" s="9" t="s">
        <v>265</v>
      </c>
      <c r="C152" s="10" t="s">
        <v>266</v>
      </c>
      <c r="D152" s="13" t="s">
        <v>267</v>
      </c>
      <c r="E152" s="186">
        <v>68000</v>
      </c>
    </row>
    <row r="153" spans="1:5" ht="20.100000000000001" customHeight="1">
      <c r="A153" s="25">
        <v>20</v>
      </c>
      <c r="B153" s="9" t="s">
        <v>268</v>
      </c>
      <c r="C153" s="10" t="s">
        <v>269</v>
      </c>
      <c r="D153" s="13" t="s">
        <v>75</v>
      </c>
      <c r="E153" s="186">
        <v>54000</v>
      </c>
    </row>
    <row r="154" spans="1:5" ht="20.100000000000001" customHeight="1">
      <c r="A154" s="25">
        <v>21</v>
      </c>
      <c r="B154" s="9" t="s">
        <v>270</v>
      </c>
      <c r="C154" s="10" t="s">
        <v>271</v>
      </c>
      <c r="D154" s="13" t="s">
        <v>267</v>
      </c>
      <c r="E154" s="186">
        <v>68000</v>
      </c>
    </row>
    <row r="155" spans="1:5" ht="20.100000000000001" customHeight="1">
      <c r="A155" s="25">
        <v>22</v>
      </c>
      <c r="B155" s="9" t="s">
        <v>272</v>
      </c>
      <c r="C155" s="10" t="s">
        <v>273</v>
      </c>
      <c r="D155" s="13" t="s">
        <v>75</v>
      </c>
      <c r="E155" s="186">
        <v>54000</v>
      </c>
    </row>
    <row r="156" spans="1:5" ht="20.100000000000001" customHeight="1">
      <c r="A156" s="25">
        <v>23</v>
      </c>
      <c r="B156" s="16" t="s">
        <v>274</v>
      </c>
      <c r="C156" s="10" t="s">
        <v>275</v>
      </c>
      <c r="D156" s="13" t="s">
        <v>83</v>
      </c>
      <c r="E156" s="186">
        <v>54000</v>
      </c>
    </row>
    <row r="157" spans="1:5" ht="20.100000000000001" customHeight="1">
      <c r="A157" s="25">
        <v>24</v>
      </c>
      <c r="B157" s="16" t="s">
        <v>277</v>
      </c>
      <c r="C157" s="10" t="s">
        <v>278</v>
      </c>
      <c r="D157" s="13" t="s">
        <v>92</v>
      </c>
      <c r="E157" s="186">
        <v>54000</v>
      </c>
    </row>
    <row r="158" spans="1:5" ht="20.100000000000001" customHeight="1">
      <c r="A158" s="25">
        <v>25</v>
      </c>
      <c r="B158" s="16" t="s">
        <v>279</v>
      </c>
      <c r="C158" s="10" t="s">
        <v>280</v>
      </c>
      <c r="D158" s="13" t="s">
        <v>92</v>
      </c>
      <c r="E158" s="186">
        <v>54000</v>
      </c>
    </row>
    <row r="159" spans="1:5" ht="20.100000000000001" customHeight="1">
      <c r="A159" s="25">
        <v>26</v>
      </c>
      <c r="B159" s="16" t="s">
        <v>281</v>
      </c>
      <c r="C159" s="10" t="s">
        <v>282</v>
      </c>
      <c r="D159" s="13" t="s">
        <v>92</v>
      </c>
      <c r="E159" s="186">
        <v>54000</v>
      </c>
    </row>
    <row r="160" spans="1:5" ht="20.100000000000001" customHeight="1">
      <c r="A160" s="25">
        <v>27</v>
      </c>
      <c r="B160" s="16" t="s">
        <v>283</v>
      </c>
      <c r="C160" s="10" t="s">
        <v>284</v>
      </c>
      <c r="D160" s="13" t="s">
        <v>173</v>
      </c>
      <c r="E160" s="186">
        <v>54000</v>
      </c>
    </row>
    <row r="161" spans="1:5" ht="20.100000000000001" customHeight="1">
      <c r="A161" s="25">
        <v>28</v>
      </c>
      <c r="B161" s="16" t="s">
        <v>285</v>
      </c>
      <c r="C161" s="10" t="s">
        <v>280</v>
      </c>
      <c r="D161" s="13" t="s">
        <v>92</v>
      </c>
      <c r="E161" s="186">
        <v>54000</v>
      </c>
    </row>
    <row r="162" spans="1:5" ht="20.100000000000001" customHeight="1">
      <c r="A162" s="25">
        <v>29</v>
      </c>
      <c r="B162" s="9" t="s">
        <v>289</v>
      </c>
      <c r="C162" s="10" t="s">
        <v>290</v>
      </c>
      <c r="D162" s="13" t="s">
        <v>291</v>
      </c>
      <c r="E162" s="192">
        <v>36000</v>
      </c>
    </row>
    <row r="163" spans="1:5" ht="20.100000000000001" customHeight="1">
      <c r="A163" s="25">
        <v>30</v>
      </c>
      <c r="B163" s="9" t="s">
        <v>292</v>
      </c>
      <c r="C163" s="10" t="s">
        <v>290</v>
      </c>
      <c r="D163" s="13" t="s">
        <v>291</v>
      </c>
      <c r="E163" s="192">
        <v>36000</v>
      </c>
    </row>
    <row r="164" spans="1:5" ht="20.100000000000001" customHeight="1">
      <c r="A164" s="25">
        <v>31</v>
      </c>
      <c r="B164" s="9" t="s">
        <v>293</v>
      </c>
      <c r="C164" s="10" t="s">
        <v>290</v>
      </c>
      <c r="D164" s="13" t="s">
        <v>291</v>
      </c>
      <c r="E164" s="192">
        <v>36000</v>
      </c>
    </row>
    <row r="165" spans="1:5" ht="20.100000000000001" customHeight="1">
      <c r="A165" s="25">
        <v>32</v>
      </c>
      <c r="B165" s="9" t="s">
        <v>294</v>
      </c>
      <c r="C165" s="10" t="s">
        <v>290</v>
      </c>
      <c r="D165" s="13" t="s">
        <v>291</v>
      </c>
      <c r="E165" s="192">
        <v>36000</v>
      </c>
    </row>
    <row r="166" spans="1:5" ht="20.100000000000001" customHeight="1">
      <c r="A166" s="25">
        <v>33</v>
      </c>
      <c r="B166" s="9" t="s">
        <v>295</v>
      </c>
      <c r="C166" s="10" t="s">
        <v>290</v>
      </c>
      <c r="D166" s="13" t="s">
        <v>291</v>
      </c>
      <c r="E166" s="192">
        <v>36000</v>
      </c>
    </row>
    <row r="167" spans="1:5" ht="20.100000000000001" customHeight="1">
      <c r="A167" s="25">
        <v>34</v>
      </c>
      <c r="B167" s="9" t="s">
        <v>296</v>
      </c>
      <c r="C167" s="10" t="s">
        <v>290</v>
      </c>
      <c r="D167" s="13" t="s">
        <v>297</v>
      </c>
      <c r="E167" s="192">
        <v>36000</v>
      </c>
    </row>
    <row r="168" spans="1:5" ht="20.100000000000001" customHeight="1">
      <c r="A168" s="25">
        <v>35</v>
      </c>
      <c r="B168" s="9" t="s">
        <v>298</v>
      </c>
      <c r="C168" s="10" t="s">
        <v>290</v>
      </c>
      <c r="D168" s="13" t="s">
        <v>297</v>
      </c>
      <c r="E168" s="192">
        <v>36000</v>
      </c>
    </row>
    <row r="169" spans="1:5" ht="20.100000000000001" customHeight="1">
      <c r="A169" s="25">
        <v>36</v>
      </c>
      <c r="B169" s="12" t="s">
        <v>299</v>
      </c>
      <c r="C169" s="10" t="s">
        <v>290</v>
      </c>
      <c r="D169" s="13" t="s">
        <v>297</v>
      </c>
      <c r="E169" s="192">
        <v>36000</v>
      </c>
    </row>
    <row r="170" spans="1:5" ht="20.100000000000001" customHeight="1">
      <c r="A170" s="25">
        <v>37</v>
      </c>
      <c r="B170" s="9" t="s">
        <v>300</v>
      </c>
      <c r="C170" s="10" t="s">
        <v>290</v>
      </c>
      <c r="D170" s="13" t="s">
        <v>297</v>
      </c>
      <c r="E170" s="192">
        <v>36000</v>
      </c>
    </row>
    <row r="171" spans="1:5" ht="20.100000000000001" customHeight="1">
      <c r="A171" s="25">
        <v>38</v>
      </c>
      <c r="B171" s="16" t="s">
        <v>301</v>
      </c>
      <c r="C171" s="10" t="s">
        <v>290</v>
      </c>
      <c r="D171" s="13" t="s">
        <v>297</v>
      </c>
      <c r="E171" s="192">
        <v>36000</v>
      </c>
    </row>
    <row r="172" spans="1:5" ht="20.100000000000001" customHeight="1">
      <c r="A172" s="25">
        <v>39</v>
      </c>
      <c r="B172" s="16" t="s">
        <v>302</v>
      </c>
      <c r="C172" s="10" t="s">
        <v>290</v>
      </c>
      <c r="D172" s="13" t="s">
        <v>297</v>
      </c>
      <c r="E172" s="192">
        <v>36000</v>
      </c>
    </row>
    <row r="173" spans="1:5" ht="20.100000000000001" customHeight="1">
      <c r="A173" s="25">
        <v>40</v>
      </c>
      <c r="B173" s="9" t="s">
        <v>303</v>
      </c>
      <c r="C173" s="10" t="s">
        <v>304</v>
      </c>
      <c r="D173" s="13" t="s">
        <v>305</v>
      </c>
      <c r="E173" s="192">
        <v>36000</v>
      </c>
    </row>
    <row r="174" spans="1:5" ht="20.100000000000001" customHeight="1">
      <c r="A174" s="25">
        <v>41</v>
      </c>
      <c r="B174" s="9" t="s">
        <v>306</v>
      </c>
      <c r="C174" s="10" t="s">
        <v>304</v>
      </c>
      <c r="D174" s="13" t="s">
        <v>305</v>
      </c>
      <c r="E174" s="192">
        <v>36000</v>
      </c>
    </row>
    <row r="175" spans="1:5" ht="20.100000000000001" customHeight="1">
      <c r="A175" s="25">
        <v>42</v>
      </c>
      <c r="B175" s="16" t="s">
        <v>307</v>
      </c>
      <c r="C175" s="10" t="s">
        <v>304</v>
      </c>
      <c r="D175" s="13" t="s">
        <v>308</v>
      </c>
      <c r="E175" s="192">
        <v>36000</v>
      </c>
    </row>
    <row r="176" spans="1:5" ht="20.100000000000001" customHeight="1">
      <c r="A176" s="25">
        <v>43</v>
      </c>
      <c r="B176" s="9" t="s">
        <v>309</v>
      </c>
      <c r="C176" s="10" t="s">
        <v>310</v>
      </c>
      <c r="D176" s="13" t="s">
        <v>311</v>
      </c>
      <c r="E176" s="70">
        <v>36000</v>
      </c>
    </row>
    <row r="177" spans="1:5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70">
        <v>36000</v>
      </c>
    </row>
    <row r="178" spans="1:5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70">
        <v>36000</v>
      </c>
    </row>
    <row r="179" spans="1:5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70">
        <v>36000</v>
      </c>
    </row>
    <row r="180" spans="1:5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70">
        <v>36000</v>
      </c>
    </row>
    <row r="181" spans="1:5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70">
        <v>36000</v>
      </c>
    </row>
    <row r="182" spans="1:5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70">
        <v>36000</v>
      </c>
    </row>
    <row r="183" spans="1:5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70">
        <v>36000</v>
      </c>
    </row>
    <row r="184" spans="1:5" ht="20.100000000000001" customHeight="1">
      <c r="A184" s="25">
        <v>51</v>
      </c>
      <c r="B184" s="9" t="s">
        <v>321</v>
      </c>
      <c r="C184" s="10" t="s">
        <v>310</v>
      </c>
      <c r="D184" s="13" t="s">
        <v>314</v>
      </c>
      <c r="E184" s="70">
        <v>36000</v>
      </c>
    </row>
    <row r="185" spans="1:5" ht="20.100000000000001" customHeight="1">
      <c r="A185" s="25">
        <v>52</v>
      </c>
      <c r="B185" s="9" t="s">
        <v>322</v>
      </c>
      <c r="C185" s="10" t="s">
        <v>310</v>
      </c>
      <c r="D185" s="13" t="s">
        <v>314</v>
      </c>
      <c r="E185" s="70">
        <v>36000</v>
      </c>
    </row>
    <row r="186" spans="1:5" ht="20.100000000000001" customHeight="1">
      <c r="A186" s="25">
        <v>53</v>
      </c>
      <c r="B186" s="16" t="s">
        <v>323</v>
      </c>
      <c r="C186" s="10" t="s">
        <v>324</v>
      </c>
      <c r="D186" s="13" t="s">
        <v>325</v>
      </c>
      <c r="E186" s="70">
        <v>36000</v>
      </c>
    </row>
    <row r="187" spans="1:5" ht="20.100000000000001" customHeight="1">
      <c r="A187" s="25">
        <v>54</v>
      </c>
      <c r="B187" s="16" t="s">
        <v>328</v>
      </c>
      <c r="C187" s="10" t="s">
        <v>313</v>
      </c>
      <c r="D187" s="13" t="s">
        <v>586</v>
      </c>
      <c r="E187" s="70">
        <v>36000</v>
      </c>
    </row>
    <row r="188" spans="1:5" ht="20.100000000000001" customHeight="1">
      <c r="A188" s="25">
        <v>55</v>
      </c>
      <c r="B188" s="16" t="s">
        <v>329</v>
      </c>
      <c r="C188" s="10" t="s">
        <v>330</v>
      </c>
      <c r="D188" s="13" t="s">
        <v>331</v>
      </c>
      <c r="E188" s="70">
        <v>36000</v>
      </c>
    </row>
    <row r="189" spans="1:5" ht="20.100000000000001" customHeight="1">
      <c r="A189" s="25">
        <v>56</v>
      </c>
      <c r="B189" s="16" t="s">
        <v>332</v>
      </c>
      <c r="C189" s="10" t="s">
        <v>330</v>
      </c>
      <c r="D189" s="13" t="s">
        <v>331</v>
      </c>
      <c r="E189" s="70">
        <v>36000</v>
      </c>
    </row>
    <row r="190" spans="1:5" ht="20.100000000000001" customHeight="1">
      <c r="A190" s="25">
        <v>57</v>
      </c>
      <c r="B190" s="16" t="s">
        <v>333</v>
      </c>
      <c r="C190" s="10" t="s">
        <v>330</v>
      </c>
      <c r="D190" s="13" t="s">
        <v>331</v>
      </c>
      <c r="E190" s="70">
        <v>36000</v>
      </c>
    </row>
    <row r="191" spans="1:5" ht="20.100000000000001" customHeight="1">
      <c r="A191" s="25">
        <v>58</v>
      </c>
      <c r="B191" s="16" t="s">
        <v>334</v>
      </c>
      <c r="C191" s="10" t="s">
        <v>335</v>
      </c>
      <c r="D191" s="13" t="s">
        <v>336</v>
      </c>
      <c r="E191" s="70">
        <v>36000</v>
      </c>
    </row>
    <row r="192" spans="1:5" ht="20.100000000000001" customHeight="1">
      <c r="A192" s="25">
        <v>59</v>
      </c>
      <c r="B192" s="16" t="s">
        <v>337</v>
      </c>
      <c r="C192" s="10" t="s">
        <v>335</v>
      </c>
      <c r="D192" s="13" t="s">
        <v>336</v>
      </c>
      <c r="E192" s="70">
        <v>36000</v>
      </c>
    </row>
    <row r="193" spans="1:5" ht="30.75" customHeight="1">
      <c r="A193" s="25"/>
      <c r="B193" s="6" t="s">
        <v>96</v>
      </c>
      <c r="C193" s="26" t="s">
        <v>587</v>
      </c>
      <c r="D193" s="27"/>
      <c r="E193" s="78">
        <f>SUM(E134:E192)</f>
        <v>3386000</v>
      </c>
    </row>
    <row r="194" spans="1:5" ht="42.75" customHeight="1">
      <c r="A194" s="2"/>
      <c r="B194" s="28" t="s">
        <v>339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808" t="s">
        <v>0</v>
      </c>
      <c r="B1" s="808"/>
      <c r="C1" s="808"/>
      <c r="D1" s="808"/>
      <c r="E1" s="808"/>
      <c r="F1" s="808"/>
      <c r="G1" s="183"/>
      <c r="H1" s="183"/>
      <c r="I1" s="183"/>
      <c r="J1" s="183"/>
      <c r="K1" s="183"/>
      <c r="L1" s="183"/>
    </row>
    <row r="2" spans="1:17" ht="33.75" customHeight="1">
      <c r="A2" s="458" t="s">
        <v>613</v>
      </c>
      <c r="B2" s="459"/>
      <c r="C2" s="458"/>
      <c r="D2" s="458"/>
      <c r="E2" s="460"/>
      <c r="F2" s="460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544</v>
      </c>
      <c r="F4" s="184" t="s">
        <v>614</v>
      </c>
      <c r="G4" s="184" t="s">
        <v>615</v>
      </c>
      <c r="H4" s="184" t="s">
        <v>616</v>
      </c>
      <c r="I4" s="184" t="s">
        <v>8</v>
      </c>
      <c r="J4" s="461" t="s">
        <v>448</v>
      </c>
      <c r="K4" s="461" t="s">
        <v>617</v>
      </c>
      <c r="L4" s="461" t="s">
        <v>618</v>
      </c>
      <c r="M4" s="462" t="s">
        <v>619</v>
      </c>
      <c r="N4" s="521" t="s">
        <v>620</v>
      </c>
      <c r="O4" s="521" t="s">
        <v>621</v>
      </c>
      <c r="P4" s="522"/>
      <c r="Q4" s="540" t="s">
        <v>622</v>
      </c>
    </row>
    <row r="5" spans="1:17" ht="17.25" customHeight="1">
      <c r="C5" s="6"/>
      <c r="D5" s="6"/>
      <c r="L5" s="329" t="s">
        <v>623</v>
      </c>
      <c r="O5" s="523" t="s">
        <v>624</v>
      </c>
      <c r="P5" s="524"/>
      <c r="Q5" s="329" t="s">
        <v>625</v>
      </c>
    </row>
    <row r="6" spans="1:17" ht="20.100000000000001" customHeight="1">
      <c r="A6" s="7" t="s">
        <v>20</v>
      </c>
      <c r="B6" s="6" t="s">
        <v>21</v>
      </c>
      <c r="C6" s="6"/>
      <c r="D6" s="6"/>
      <c r="E6" s="67" t="s">
        <v>19</v>
      </c>
      <c r="F6" s="67" t="s">
        <v>19</v>
      </c>
      <c r="G6" s="67" t="s">
        <v>19</v>
      </c>
      <c r="H6" s="67" t="s">
        <v>19</v>
      </c>
      <c r="I6" s="67" t="s">
        <v>19</v>
      </c>
      <c r="J6" s="67" t="s">
        <v>19</v>
      </c>
      <c r="K6" s="67" t="s">
        <v>19</v>
      </c>
      <c r="L6" s="67" t="s">
        <v>19</v>
      </c>
      <c r="M6" s="67" t="s">
        <v>19</v>
      </c>
      <c r="N6" s="525" t="s">
        <v>19</v>
      </c>
      <c r="O6" s="525" t="s">
        <v>19</v>
      </c>
      <c r="P6" s="526"/>
      <c r="Q6" s="541" t="s">
        <v>19</v>
      </c>
    </row>
    <row r="7" spans="1:1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465">
        <v>1158849.8400000001</v>
      </c>
      <c r="L7" s="465">
        <f>J7-K7</f>
        <v>776136.32700000005</v>
      </c>
      <c r="M7" s="466">
        <v>350184.01073066698</v>
      </c>
      <c r="N7" s="527">
        <v>201165.83594666701</v>
      </c>
      <c r="O7" s="528">
        <f>M7-N7</f>
        <v>149018.174784</v>
      </c>
      <c r="P7" s="529"/>
      <c r="Q7" s="542">
        <f>L7-O7</f>
        <v>627118.15221600002</v>
      </c>
    </row>
    <row r="8" spans="1:1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5">
        <f t="shared" ref="J8:J33" si="0">E8+F8+G8+H8+I8</f>
        <v>852373.16666666698</v>
      </c>
      <c r="K8" s="465">
        <v>541465.02474999998</v>
      </c>
      <c r="L8" s="465">
        <f t="shared" ref="L8:L33" si="1">J8-K8</f>
        <v>310908.14191666699</v>
      </c>
      <c r="M8" s="466">
        <v>130612.26282666701</v>
      </c>
      <c r="N8" s="527">
        <v>82627.951418666693</v>
      </c>
      <c r="O8" s="528">
        <f t="shared" ref="O8:O33" si="2">M8-N8</f>
        <v>47984.311408000001</v>
      </c>
      <c r="P8" s="529"/>
      <c r="Q8" s="542">
        <f t="shared" ref="Q8:Q33" si="3">L8-O8</f>
        <v>262923.83050866699</v>
      </c>
    </row>
    <row r="9" spans="1:1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5">
        <f t="shared" si="0"/>
        <v>1052373.16666667</v>
      </c>
      <c r="K9" s="465">
        <v>741465.02474999998</v>
      </c>
      <c r="L9" s="465">
        <f t="shared" si="1"/>
        <v>310908.14191666601</v>
      </c>
      <c r="M9" s="466">
        <v>180722.31466666699</v>
      </c>
      <c r="N9" s="527">
        <v>121027.951418667</v>
      </c>
      <c r="O9" s="528">
        <f t="shared" si="2"/>
        <v>59694.363248000001</v>
      </c>
      <c r="P9" s="529"/>
      <c r="Q9" s="542">
        <f t="shared" si="3"/>
        <v>251213.778668666</v>
      </c>
    </row>
    <row r="10" spans="1:1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465">
        <v>631465.02474999998</v>
      </c>
      <c r="L10" s="465">
        <f t="shared" si="1"/>
        <v>310908.14191666699</v>
      </c>
      <c r="M10" s="466">
        <v>147687.52761066699</v>
      </c>
      <c r="N10" s="527">
        <v>99703.216202666707</v>
      </c>
      <c r="O10" s="528">
        <f t="shared" si="2"/>
        <v>47984.311408000001</v>
      </c>
      <c r="P10" s="529"/>
      <c r="Q10" s="542">
        <f t="shared" si="3"/>
        <v>262923.83050866699</v>
      </c>
    </row>
    <row r="11" spans="1:17" ht="20.100000000000001" customHeight="1">
      <c r="A11" s="8">
        <v>5</v>
      </c>
      <c r="B11" s="12" t="s">
        <v>32</v>
      </c>
      <c r="C11" s="2" t="s">
        <v>605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5">
        <f t="shared" si="0"/>
        <v>1002373.16666667</v>
      </c>
      <c r="K11" s="465">
        <v>691465.02474999998</v>
      </c>
      <c r="L11" s="465">
        <f t="shared" si="1"/>
        <v>310908.14191666699</v>
      </c>
      <c r="M11" s="466">
        <v>159207.52761066699</v>
      </c>
      <c r="N11" s="527">
        <v>111223.216202667</v>
      </c>
      <c r="O11" s="528">
        <f t="shared" si="2"/>
        <v>47984.311408000001</v>
      </c>
      <c r="P11" s="529"/>
      <c r="Q11" s="542">
        <f t="shared" si="3"/>
        <v>262923.83050866699</v>
      </c>
    </row>
    <row r="12" spans="1:17" ht="20.100000000000001" customHeight="1">
      <c r="A12" s="8">
        <v>6</v>
      </c>
      <c r="B12" s="16" t="s">
        <v>574</v>
      </c>
      <c r="C12" s="8" t="s">
        <v>575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5">
        <f t="shared" si="0"/>
        <v>952373.16666666698</v>
      </c>
      <c r="K12" s="465">
        <v>641465.02474999998</v>
      </c>
      <c r="L12" s="465">
        <f t="shared" si="1"/>
        <v>310908.14191666699</v>
      </c>
      <c r="M12" s="466">
        <v>161522.31466666699</v>
      </c>
      <c r="N12" s="527">
        <v>101827.951418667</v>
      </c>
      <c r="O12" s="528">
        <f t="shared" si="2"/>
        <v>59694.363248000001</v>
      </c>
      <c r="P12" s="529"/>
      <c r="Q12" s="542">
        <f t="shared" si="3"/>
        <v>251213.77866866699</v>
      </c>
    </row>
    <row r="13" spans="1:17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5">
        <f t="shared" si="0"/>
        <v>750675.58333333302</v>
      </c>
      <c r="K13" s="465">
        <v>497553.5025</v>
      </c>
      <c r="L13" s="465">
        <f t="shared" si="1"/>
        <v>253122.08083333299</v>
      </c>
      <c r="M13" s="466">
        <v>113101.965706667</v>
      </c>
      <c r="N13" s="527">
        <v>74036.103146666705</v>
      </c>
      <c r="O13" s="528">
        <f t="shared" si="2"/>
        <v>39065.862560000001</v>
      </c>
      <c r="P13" s="529"/>
      <c r="Q13" s="542">
        <f t="shared" si="3"/>
        <v>214056.21827333301</v>
      </c>
    </row>
    <row r="14" spans="1:17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5">
        <f t="shared" si="0"/>
        <v>842118.08333333302</v>
      </c>
      <c r="K14" s="465">
        <v>604729.22199999995</v>
      </c>
      <c r="L14" s="465">
        <f t="shared" si="1"/>
        <v>237388.86133333301</v>
      </c>
      <c r="M14" s="466">
        <v>131263.10967466701</v>
      </c>
      <c r="N14" s="527">
        <v>94625.782058666693</v>
      </c>
      <c r="O14" s="528">
        <f t="shared" si="2"/>
        <v>36637.327616000002</v>
      </c>
      <c r="P14" s="529"/>
      <c r="Q14" s="542">
        <f t="shared" si="3"/>
        <v>200751.53371733299</v>
      </c>
    </row>
    <row r="15" spans="1:17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5">
        <f t="shared" si="0"/>
        <v>554373.75</v>
      </c>
      <c r="K15" s="465">
        <v>343333.03525000002</v>
      </c>
      <c r="L15" s="465">
        <f t="shared" si="1"/>
        <v>211040.71475000001</v>
      </c>
      <c r="M15" s="466">
        <v>77666.445866666705</v>
      </c>
      <c r="N15" s="527">
        <v>44846.6165886667</v>
      </c>
      <c r="O15" s="528">
        <f t="shared" si="2"/>
        <v>32819.829277999997</v>
      </c>
      <c r="P15" s="529"/>
      <c r="Q15" s="542">
        <f t="shared" si="3"/>
        <v>178220.88547199999</v>
      </c>
    </row>
    <row r="16" spans="1:17" ht="20.100000000000001" customHeight="1">
      <c r="A16" s="8">
        <v>10</v>
      </c>
      <c r="B16" s="12" t="s">
        <v>43</v>
      </c>
      <c r="C16" s="15" t="s">
        <v>135</v>
      </c>
      <c r="D16" s="13" t="s">
        <v>224</v>
      </c>
      <c r="E16" s="70">
        <v>470498</v>
      </c>
      <c r="F16" s="70"/>
      <c r="G16" s="186">
        <v>140000</v>
      </c>
      <c r="H16" s="186"/>
      <c r="I16" s="70">
        <v>50000</v>
      </c>
      <c r="J16" s="465">
        <f t="shared" si="0"/>
        <v>660498</v>
      </c>
      <c r="K16" s="465">
        <v>463333.03525000002</v>
      </c>
      <c r="L16" s="465">
        <f t="shared" si="1"/>
        <v>197164.96475000001</v>
      </c>
      <c r="M16" s="468">
        <v>98255.4333866667</v>
      </c>
      <c r="N16" s="527">
        <v>67626.609434666694</v>
      </c>
      <c r="O16" s="528">
        <f t="shared" si="2"/>
        <v>30628.823951999999</v>
      </c>
      <c r="P16" s="529"/>
      <c r="Q16" s="542">
        <f t="shared" si="3"/>
        <v>166536.14079800001</v>
      </c>
    </row>
    <row r="17" spans="1:17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5">
        <f t="shared" si="0"/>
        <v>732746.5</v>
      </c>
      <c r="K17" s="465">
        <v>547211.36750000005</v>
      </c>
      <c r="L17" s="465">
        <f t="shared" si="1"/>
        <v>185535.13250000001</v>
      </c>
      <c r="M17" s="466">
        <v>112553.408426667</v>
      </c>
      <c r="N17" s="527">
        <v>83731.249226666696</v>
      </c>
      <c r="O17" s="528">
        <f t="shared" si="2"/>
        <v>28822.159199999998</v>
      </c>
      <c r="P17" s="529"/>
      <c r="Q17" s="542">
        <f t="shared" si="3"/>
        <v>156712.97330000001</v>
      </c>
    </row>
    <row r="18" spans="1:17" ht="20.100000000000001" customHeight="1">
      <c r="A18" s="8">
        <v>12</v>
      </c>
      <c r="B18" s="9" t="s">
        <v>48</v>
      </c>
      <c r="C18" s="2" t="s">
        <v>577</v>
      </c>
      <c r="D18" s="8" t="s">
        <v>194</v>
      </c>
      <c r="E18" s="70">
        <v>441804.91666666698</v>
      </c>
      <c r="F18" s="70"/>
      <c r="G18" s="186"/>
      <c r="H18" s="186">
        <v>70000</v>
      </c>
      <c r="I18" s="70"/>
      <c r="J18" s="465">
        <f t="shared" si="0"/>
        <v>511804.91666666698</v>
      </c>
      <c r="K18" s="465">
        <v>326663.07750000001</v>
      </c>
      <c r="L18" s="465">
        <f t="shared" si="1"/>
        <v>185141.83916666699</v>
      </c>
      <c r="M18" s="466">
        <v>70147.087146666701</v>
      </c>
      <c r="N18" s="527">
        <v>42046.063686666697</v>
      </c>
      <c r="O18" s="528">
        <f t="shared" si="2"/>
        <v>28101.02346</v>
      </c>
      <c r="P18" s="529"/>
      <c r="Q18" s="542">
        <f t="shared" si="3"/>
        <v>157040.815706667</v>
      </c>
    </row>
    <row r="19" spans="1:17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5">
        <f t="shared" si="0"/>
        <v>548915.91666666698</v>
      </c>
      <c r="K19" s="465">
        <v>369177.65375</v>
      </c>
      <c r="L19" s="465">
        <f t="shared" si="1"/>
        <v>179738.26291666701</v>
      </c>
      <c r="M19" s="466">
        <v>77470.374186666697</v>
      </c>
      <c r="N19" s="527">
        <v>49548.776186666699</v>
      </c>
      <c r="O19" s="528">
        <f t="shared" si="2"/>
        <v>27921.598000000002</v>
      </c>
      <c r="P19" s="529"/>
      <c r="Q19" s="542">
        <f t="shared" si="3"/>
        <v>151816.66491666701</v>
      </c>
    </row>
    <row r="20" spans="1:17" ht="20.100000000000001" customHeight="1">
      <c r="A20" s="8">
        <v>14</v>
      </c>
      <c r="B20" s="16" t="s">
        <v>53</v>
      </c>
      <c r="C20" s="2" t="s">
        <v>606</v>
      </c>
      <c r="D20" s="13" t="s">
        <v>55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5">
        <f t="shared" si="0"/>
        <v>636026.91666666698</v>
      </c>
      <c r="K20" s="465">
        <v>462001.06050000002</v>
      </c>
      <c r="L20" s="465">
        <f t="shared" si="1"/>
        <v>174025.85616666701</v>
      </c>
      <c r="M20" s="466">
        <v>94274.903466666699</v>
      </c>
      <c r="N20" s="527">
        <v>67370.870282666699</v>
      </c>
      <c r="O20" s="528">
        <f t="shared" si="2"/>
        <v>26904.033184</v>
      </c>
      <c r="P20" s="529"/>
      <c r="Q20" s="542">
        <f t="shared" si="3"/>
        <v>147121.82298266701</v>
      </c>
    </row>
    <row r="21" spans="1:17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5">
        <f t="shared" si="0"/>
        <v>537895.16666666698</v>
      </c>
      <c r="K21" s="465">
        <v>384536.99849999999</v>
      </c>
      <c r="L21" s="465">
        <f t="shared" si="1"/>
        <v>153358.16816666699</v>
      </c>
      <c r="M21" s="466">
        <v>76138.068906666696</v>
      </c>
      <c r="N21" s="527">
        <v>52497.770378666602</v>
      </c>
      <c r="O21" s="528">
        <f t="shared" si="2"/>
        <v>23640.298527999999</v>
      </c>
      <c r="P21" s="529"/>
      <c r="Q21" s="542">
        <f t="shared" si="3"/>
        <v>129717.86963866701</v>
      </c>
    </row>
    <row r="22" spans="1:17" ht="20.100000000000001" customHeight="1">
      <c r="A22" s="8">
        <v>16</v>
      </c>
      <c r="B22" s="12" t="s">
        <v>63</v>
      </c>
      <c r="C22" s="15" t="s">
        <v>607</v>
      </c>
      <c r="D22" s="8" t="s">
        <v>65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5">
        <f t="shared" si="0"/>
        <v>553512.5</v>
      </c>
      <c r="K22" s="465">
        <v>400372.07500000001</v>
      </c>
      <c r="L22" s="465">
        <f t="shared" si="1"/>
        <v>153140.42499999999</v>
      </c>
      <c r="M22" s="466">
        <v>79511.114666666705</v>
      </c>
      <c r="N22" s="527">
        <v>55538.1050666667</v>
      </c>
      <c r="O22" s="528">
        <f t="shared" si="2"/>
        <v>23973.009600000001</v>
      </c>
      <c r="P22" s="529"/>
      <c r="Q22" s="542">
        <f t="shared" si="3"/>
        <v>129167.4154</v>
      </c>
    </row>
    <row r="23" spans="1:17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70">
        <v>353512.5</v>
      </c>
      <c r="F23" s="70"/>
      <c r="G23" s="186">
        <v>110000</v>
      </c>
      <c r="H23" s="186"/>
      <c r="I23" s="70">
        <v>0</v>
      </c>
      <c r="J23" s="465">
        <f t="shared" si="0"/>
        <v>463512.5</v>
      </c>
      <c r="K23" s="465">
        <f>1015372.075-700000</f>
        <v>315372.07500000001</v>
      </c>
      <c r="L23" s="465">
        <f t="shared" si="1"/>
        <v>148140.42499999999</v>
      </c>
      <c r="M23" s="466">
        <v>62231.114666666697</v>
      </c>
      <c r="N23" s="527">
        <v>40149.175266666702</v>
      </c>
      <c r="O23" s="528">
        <f t="shared" si="2"/>
        <v>22081.939399999999</v>
      </c>
      <c r="P23" s="529"/>
      <c r="Q23" s="542">
        <f t="shared" si="3"/>
        <v>126058.4856</v>
      </c>
    </row>
    <row r="24" spans="1:17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5">
        <f t="shared" si="0"/>
        <v>453029.66666666698</v>
      </c>
      <c r="K24" s="465">
        <v>328602.07775</v>
      </c>
      <c r="L24" s="465">
        <f t="shared" si="1"/>
        <v>124427.58891666699</v>
      </c>
      <c r="M24" s="466">
        <v>61147.426986666702</v>
      </c>
      <c r="N24" s="527">
        <v>42371.815728666697</v>
      </c>
      <c r="O24" s="528">
        <f t="shared" si="2"/>
        <v>18775.611258000001</v>
      </c>
      <c r="P24" s="529"/>
      <c r="Q24" s="542">
        <f t="shared" si="3"/>
        <v>105651.97765866701</v>
      </c>
    </row>
    <row r="25" spans="1:17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70">
        <v>270481.66666666698</v>
      </c>
      <c r="F25" s="70"/>
      <c r="G25" s="186"/>
      <c r="H25" s="186">
        <f>50000+10000</f>
        <v>60000</v>
      </c>
      <c r="I25" s="70"/>
      <c r="J25" s="465">
        <f t="shared" si="0"/>
        <v>330481.66666666698</v>
      </c>
      <c r="K25" s="465">
        <v>213508.01</v>
      </c>
      <c r="L25" s="465">
        <f t="shared" si="1"/>
        <v>116973.656666667</v>
      </c>
      <c r="M25" s="468">
        <v>39052.313066666698</v>
      </c>
      <c r="N25" s="527">
        <v>23036.012346666699</v>
      </c>
      <c r="O25" s="528">
        <f t="shared" si="2"/>
        <v>16016.300719999999</v>
      </c>
      <c r="P25" s="529"/>
      <c r="Q25" s="542">
        <f t="shared" si="3"/>
        <v>100957.355946667</v>
      </c>
    </row>
    <row r="26" spans="1:17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70">
        <v>270481.66666666698</v>
      </c>
      <c r="F26" s="70"/>
      <c r="G26" s="186"/>
      <c r="H26" s="186">
        <f>50000+10000</f>
        <v>60000</v>
      </c>
      <c r="I26" s="70"/>
      <c r="J26" s="465">
        <f t="shared" si="0"/>
        <v>330481.66666666698</v>
      </c>
      <c r="K26" s="465">
        <v>213508.01</v>
      </c>
      <c r="L26" s="465">
        <f t="shared" si="1"/>
        <v>116973.656666667</v>
      </c>
      <c r="M26" s="466">
        <v>39052.313066666698</v>
      </c>
      <c r="N26" s="527">
        <v>23036.012346666699</v>
      </c>
      <c r="O26" s="528">
        <f t="shared" si="2"/>
        <v>16016.300719999999</v>
      </c>
      <c r="P26" s="529"/>
      <c r="Q26" s="542">
        <f t="shared" si="3"/>
        <v>100957.355946667</v>
      </c>
    </row>
    <row r="27" spans="1:17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5">
        <f t="shared" si="0"/>
        <v>370481.66666666698</v>
      </c>
      <c r="K27" s="465">
        <v>253508.01</v>
      </c>
      <c r="L27" s="465">
        <f t="shared" si="1"/>
        <v>116973.656666667</v>
      </c>
      <c r="M27" s="466">
        <v>45772.313066666698</v>
      </c>
      <c r="N27" s="527">
        <v>29756.012346666699</v>
      </c>
      <c r="O27" s="528">
        <f t="shared" si="2"/>
        <v>16016.300719999999</v>
      </c>
      <c r="P27" s="529"/>
      <c r="Q27" s="542">
        <f t="shared" si="3"/>
        <v>100957.355946667</v>
      </c>
    </row>
    <row r="28" spans="1:17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70">
        <v>263165.33333333302</v>
      </c>
      <c r="F28" s="70"/>
      <c r="G28" s="186"/>
      <c r="H28" s="186">
        <f>60000</f>
        <v>60000</v>
      </c>
      <c r="I28" s="2"/>
      <c r="J28" s="465">
        <f t="shared" si="0"/>
        <v>323165.33333333302</v>
      </c>
      <c r="K28" s="465">
        <v>209356.04725</v>
      </c>
      <c r="L28" s="465">
        <f t="shared" si="1"/>
        <v>113809.28608333301</v>
      </c>
      <c r="M28" s="466">
        <v>37921.500586666698</v>
      </c>
      <c r="N28" s="527">
        <v>22338.4826046667</v>
      </c>
      <c r="O28" s="528">
        <f t="shared" si="2"/>
        <v>15583.017981999999</v>
      </c>
      <c r="P28" s="529"/>
      <c r="Q28" s="542">
        <f t="shared" si="3"/>
        <v>98226.268101333306</v>
      </c>
    </row>
    <row r="29" spans="1:17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70">
        <v>255849</v>
      </c>
      <c r="F29" s="70"/>
      <c r="G29" s="186"/>
      <c r="H29" s="186">
        <f>60000</f>
        <v>60000</v>
      </c>
      <c r="I29" s="70"/>
      <c r="J29" s="465">
        <f t="shared" si="0"/>
        <v>315849</v>
      </c>
      <c r="K29" s="465">
        <v>205204.0845</v>
      </c>
      <c r="L29" s="465">
        <f t="shared" si="1"/>
        <v>110644.9155</v>
      </c>
      <c r="M29" s="466">
        <v>36790.688106666697</v>
      </c>
      <c r="N29" s="527">
        <v>21640.952862666702</v>
      </c>
      <c r="O29" s="528">
        <f t="shared" si="2"/>
        <v>15149.735244</v>
      </c>
      <c r="P29" s="529"/>
      <c r="Q29" s="542">
        <f t="shared" si="3"/>
        <v>95495.180256000007</v>
      </c>
    </row>
    <row r="30" spans="1:17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70">
        <v>255849</v>
      </c>
      <c r="F30" s="70"/>
      <c r="G30" s="186"/>
      <c r="H30" s="186">
        <f>60000</f>
        <v>60000</v>
      </c>
      <c r="I30" s="70"/>
      <c r="J30" s="465">
        <f t="shared" si="0"/>
        <v>315849</v>
      </c>
      <c r="K30" s="465">
        <v>205204.0845</v>
      </c>
      <c r="L30" s="465">
        <f t="shared" si="1"/>
        <v>110644.9155</v>
      </c>
      <c r="M30" s="466">
        <v>36790.688106666697</v>
      </c>
      <c r="N30" s="527">
        <v>21640.952862666702</v>
      </c>
      <c r="O30" s="528">
        <f t="shared" si="2"/>
        <v>15149.735244</v>
      </c>
      <c r="P30" s="529"/>
      <c r="Q30" s="542">
        <f t="shared" si="3"/>
        <v>95495.180256000007</v>
      </c>
    </row>
    <row r="31" spans="1:17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70">
        <v>270481.66666666698</v>
      </c>
      <c r="F31" s="70"/>
      <c r="G31" s="186"/>
      <c r="H31" s="186">
        <f>60000</f>
        <v>60000</v>
      </c>
      <c r="I31" s="70"/>
      <c r="J31" s="465">
        <f t="shared" si="0"/>
        <v>330481.66666666698</v>
      </c>
      <c r="K31" s="465">
        <v>209356.04725</v>
      </c>
      <c r="L31" s="465">
        <f t="shared" si="1"/>
        <v>121125.619416667</v>
      </c>
      <c r="M31" s="469">
        <v>39052.313066666698</v>
      </c>
      <c r="N31" s="530">
        <v>22338.4826046667</v>
      </c>
      <c r="O31" s="528">
        <f t="shared" si="2"/>
        <v>16713.830462000002</v>
      </c>
      <c r="P31" s="529"/>
      <c r="Q31" s="542">
        <f t="shared" si="3"/>
        <v>104411.788954667</v>
      </c>
    </row>
    <row r="32" spans="1:17" ht="18.75" customHeight="1">
      <c r="A32" s="8">
        <v>26</v>
      </c>
      <c r="B32" s="16" t="s">
        <v>88</v>
      </c>
      <c r="C32" s="2" t="s">
        <v>89</v>
      </c>
      <c r="D32" s="8" t="s">
        <v>173</v>
      </c>
      <c r="E32" s="70">
        <v>230631.91666666701</v>
      </c>
      <c r="F32" s="70"/>
      <c r="G32" s="186"/>
      <c r="H32" s="186">
        <f>50000</f>
        <v>50000</v>
      </c>
      <c r="I32" s="70"/>
      <c r="J32" s="465">
        <f t="shared" si="0"/>
        <v>280631.91666666698</v>
      </c>
      <c r="K32" s="465">
        <v>180304.068</v>
      </c>
      <c r="L32" s="465">
        <f t="shared" si="1"/>
        <v>100327.84866666701</v>
      </c>
      <c r="M32" s="466">
        <v>31213.135706666701</v>
      </c>
      <c r="N32" s="527">
        <v>17572.885002666699</v>
      </c>
      <c r="O32" s="528">
        <f t="shared" si="2"/>
        <v>13640.250704</v>
      </c>
      <c r="P32" s="529"/>
      <c r="Q32" s="542">
        <f t="shared" si="3"/>
        <v>86687.597962666594</v>
      </c>
    </row>
    <row r="33" spans="1:17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70">
        <v>224459.75</v>
      </c>
      <c r="F33" s="70"/>
      <c r="G33" s="186"/>
      <c r="H33" s="186">
        <v>50000</v>
      </c>
      <c r="I33" s="70"/>
      <c r="J33" s="465">
        <f t="shared" si="0"/>
        <v>274459.75</v>
      </c>
      <c r="K33" s="465">
        <v>173329.04949999999</v>
      </c>
      <c r="L33" s="465">
        <f t="shared" si="1"/>
        <v>101130.70050000001</v>
      </c>
      <c r="M33" s="466">
        <v>30259.165626666701</v>
      </c>
      <c r="N33" s="527">
        <v>16512.682190666699</v>
      </c>
      <c r="O33" s="528">
        <f t="shared" si="2"/>
        <v>13746.483436</v>
      </c>
      <c r="P33" s="529"/>
      <c r="Q33" s="542">
        <f t="shared" si="3"/>
        <v>87384.217063999997</v>
      </c>
    </row>
    <row r="34" spans="1:17" ht="26.25" customHeight="1">
      <c r="A34" s="8"/>
      <c r="B34" s="18" t="s">
        <v>96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889763.30677200004</v>
      </c>
      <c r="P34" s="531"/>
      <c r="Q34" s="543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0"/>
      <c r="K35" s="470"/>
      <c r="L35" s="470"/>
      <c r="M35" s="471"/>
      <c r="N35" s="532"/>
      <c r="O35" s="532"/>
      <c r="P35" s="531"/>
      <c r="Q35" s="544"/>
    </row>
    <row r="36" spans="1:17" ht="18.75" customHeight="1">
      <c r="A36" s="8"/>
      <c r="B36" s="18" t="s">
        <v>97</v>
      </c>
      <c r="C36" s="2"/>
      <c r="D36" s="13"/>
      <c r="E36" s="70"/>
      <c r="F36" s="70"/>
      <c r="G36" s="186"/>
      <c r="H36" s="186"/>
      <c r="I36" s="70"/>
      <c r="J36" s="465"/>
      <c r="K36" s="465"/>
      <c r="L36" s="465"/>
      <c r="M36" s="466"/>
      <c r="N36" s="527"/>
      <c r="O36" s="527"/>
      <c r="P36" s="533"/>
      <c r="Q36" s="545"/>
    </row>
    <row r="37" spans="1:17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70">
        <v>1435720</v>
      </c>
      <c r="F37" s="70"/>
      <c r="G37" s="186"/>
      <c r="H37" s="186">
        <f>100000</f>
        <v>100000</v>
      </c>
      <c r="I37" s="70"/>
      <c r="J37" s="465">
        <f>E37+F37+G37+H37+I37</f>
        <v>1535720</v>
      </c>
      <c r="K37" s="465">
        <v>950209.06350000005</v>
      </c>
      <c r="L37" s="465">
        <f>J37-K37</f>
        <v>585510.93649999995</v>
      </c>
      <c r="M37" s="467">
        <v>251472.247466667</v>
      </c>
      <c r="N37" s="527">
        <v>161106.806858667</v>
      </c>
      <c r="O37" s="528">
        <f>M37-N37</f>
        <v>90365.440607999903</v>
      </c>
      <c r="P37" s="529"/>
      <c r="Q37" s="542">
        <f>L37-O37</f>
        <v>495145.49589199998</v>
      </c>
    </row>
    <row r="38" spans="1:17" ht="18.75" customHeight="1">
      <c r="A38" s="8">
        <v>2</v>
      </c>
      <c r="B38" s="16" t="s">
        <v>101</v>
      </c>
      <c r="C38" s="2" t="s">
        <v>608</v>
      </c>
      <c r="D38" s="8" t="s">
        <v>70</v>
      </c>
      <c r="E38" s="70">
        <v>293029.66666666698</v>
      </c>
      <c r="F38" s="70"/>
      <c r="G38" s="186"/>
      <c r="H38" s="186">
        <f>60000</f>
        <v>60000</v>
      </c>
      <c r="I38" s="70"/>
      <c r="J38" s="465">
        <f t="shared" ref="J38:J39" si="10">E38+F38+G38+H38+I38</f>
        <v>353029.66666666698</v>
      </c>
      <c r="K38" s="465">
        <v>176816.1</v>
      </c>
      <c r="L38" s="465">
        <f t="shared" ref="L38:L39" si="11">J38-K38</f>
        <v>176213.566666667</v>
      </c>
      <c r="M38" s="467">
        <v>42537.331946666702</v>
      </c>
      <c r="N38" s="527">
        <v>17042.713866666702</v>
      </c>
      <c r="O38" s="528">
        <f>M38-N38</f>
        <v>25494.61808</v>
      </c>
      <c r="P38" s="529"/>
      <c r="Q38" s="542">
        <f t="shared" ref="Q38:Q39" si="12">L38-O38</f>
        <v>150718.94858666699</v>
      </c>
    </row>
    <row r="39" spans="1:17" ht="18.75" customHeight="1">
      <c r="A39" s="8">
        <v>3</v>
      </c>
      <c r="B39" s="9" t="s">
        <v>103</v>
      </c>
      <c r="C39" s="10" t="s">
        <v>609</v>
      </c>
      <c r="D39" s="13" t="s">
        <v>104</v>
      </c>
      <c r="E39" s="70">
        <v>300965.58333333302</v>
      </c>
      <c r="F39" s="70"/>
      <c r="G39" s="186"/>
      <c r="H39" s="186">
        <f>50000+10000</f>
        <v>60000</v>
      </c>
      <c r="I39" s="70"/>
      <c r="J39" s="465">
        <f t="shared" si="10"/>
        <v>360965.58333333302</v>
      </c>
      <c r="K39" s="465">
        <v>233169.11749999999</v>
      </c>
      <c r="L39" s="465">
        <f t="shared" si="11"/>
        <v>127796.465833333</v>
      </c>
      <c r="M39" s="467">
        <v>43763.907226666699</v>
      </c>
      <c r="N39" s="527">
        <v>26339.0784066667</v>
      </c>
      <c r="O39" s="528">
        <f>M39-N39</f>
        <v>17424.828819999999</v>
      </c>
      <c r="P39" s="529"/>
      <c r="Q39" s="542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4">
        <v>204488.599132</v>
      </c>
      <c r="O40" s="534">
        <f t="shared" si="13"/>
        <v>133284.88750800001</v>
      </c>
      <c r="P40" s="531"/>
      <c r="Q40" s="543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0"/>
      <c r="K41" s="470"/>
      <c r="L41" s="470"/>
      <c r="M41" s="471"/>
      <c r="N41" s="532"/>
      <c r="O41" s="532"/>
      <c r="P41" s="531"/>
      <c r="Q41" s="544"/>
    </row>
    <row r="42" spans="1:17" ht="20.100000000000001" customHeight="1">
      <c r="A42" s="8"/>
      <c r="B42" s="21" t="s">
        <v>107</v>
      </c>
      <c r="C42" s="3"/>
      <c r="D42" s="22"/>
      <c r="E42" s="187"/>
      <c r="F42" s="187"/>
      <c r="G42" s="186"/>
      <c r="H42" s="186"/>
      <c r="I42" s="70"/>
      <c r="J42" s="465"/>
      <c r="K42" s="465"/>
      <c r="L42" s="465"/>
      <c r="M42" s="466"/>
      <c r="N42" s="527"/>
      <c r="O42" s="527"/>
      <c r="P42" s="533"/>
      <c r="Q42" s="545"/>
    </row>
    <row r="43" spans="1:17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70">
        <v>1435720</v>
      </c>
      <c r="F43" s="70"/>
      <c r="G43" s="186">
        <f>200000</f>
        <v>200000</v>
      </c>
      <c r="H43" s="186"/>
      <c r="I43" s="70"/>
      <c r="J43" s="465">
        <f>E43+F43+G43+H43+I43</f>
        <v>1635720</v>
      </c>
      <c r="K43" s="465">
        <v>1050209.0634999999</v>
      </c>
      <c r="L43" s="465">
        <f>J43-K43</f>
        <v>585510.93649999995</v>
      </c>
      <c r="M43" s="467">
        <v>270672.24746666697</v>
      </c>
      <c r="N43" s="527">
        <v>180306.806858667</v>
      </c>
      <c r="O43" s="528">
        <f t="shared" ref="O43:O53" si="14">M43-N43</f>
        <v>90365.440607999903</v>
      </c>
      <c r="P43" s="529"/>
      <c r="Q43" s="542">
        <f>L43-O43</f>
        <v>495145.49589199998</v>
      </c>
    </row>
    <row r="44" spans="1:17" ht="20.100000000000001" customHeight="1">
      <c r="A44" s="8">
        <v>2</v>
      </c>
      <c r="B44" s="9" t="s">
        <v>491</v>
      </c>
      <c r="C44" s="2" t="s">
        <v>44</v>
      </c>
      <c r="D44" s="8" t="s">
        <v>36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5">
        <f t="shared" ref="J44:J53" si="15">E44+F44+G44+H44+I44</f>
        <v>780675.58333333302</v>
      </c>
      <c r="K44" s="465">
        <v>527553.50249999994</v>
      </c>
      <c r="L44" s="465">
        <f t="shared" ref="L44:L53" si="16">J44-K44</f>
        <v>253122.08083333299</v>
      </c>
      <c r="M44" s="467">
        <v>119022.801706667</v>
      </c>
      <c r="N44" s="527">
        <v>79956.9391466667</v>
      </c>
      <c r="O44" s="528">
        <f t="shared" si="14"/>
        <v>39065.862560000001</v>
      </c>
      <c r="P44" s="529"/>
      <c r="Q44" s="542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110</v>
      </c>
      <c r="C45" s="2" t="s">
        <v>111</v>
      </c>
      <c r="D45" s="8" t="s">
        <v>112</v>
      </c>
      <c r="E45" s="70">
        <v>739203.58333333302</v>
      </c>
      <c r="F45" s="70"/>
      <c r="G45" s="186">
        <f>180000</f>
        <v>180000</v>
      </c>
      <c r="H45" s="186"/>
      <c r="I45" s="70"/>
      <c r="J45" s="465">
        <f t="shared" si="15"/>
        <v>919203.58333333302</v>
      </c>
      <c r="K45" s="465">
        <v>617743.99575</v>
      </c>
      <c r="L45" s="465">
        <f t="shared" si="16"/>
        <v>301459.58758333302</v>
      </c>
      <c r="M45" s="467">
        <v>143799.58762666699</v>
      </c>
      <c r="N45" s="527">
        <v>97273.513850666699</v>
      </c>
      <c r="O45" s="528">
        <f t="shared" si="14"/>
        <v>46526.073775999997</v>
      </c>
      <c r="P45" s="529"/>
      <c r="Q45" s="542">
        <f t="shared" si="17"/>
        <v>254933.51380733299</v>
      </c>
    </row>
    <row r="46" spans="1:17" ht="20.100000000000001" customHeight="1">
      <c r="A46" s="8">
        <v>4</v>
      </c>
      <c r="B46" s="9" t="s">
        <v>113</v>
      </c>
      <c r="C46" s="2" t="s">
        <v>114</v>
      </c>
      <c r="D46" s="8" t="s">
        <v>36</v>
      </c>
      <c r="E46" s="70">
        <v>620675.58333333302</v>
      </c>
      <c r="F46" s="70"/>
      <c r="G46" s="186">
        <f>160000</f>
        <v>160000</v>
      </c>
      <c r="H46" s="186"/>
      <c r="I46" s="70"/>
      <c r="J46" s="465">
        <f t="shared" si="15"/>
        <v>780675.58333333302</v>
      </c>
      <c r="K46" s="465">
        <v>527553.50249999994</v>
      </c>
      <c r="L46" s="465">
        <f t="shared" si="16"/>
        <v>253122.08083333299</v>
      </c>
      <c r="M46" s="467">
        <v>119022.801706667</v>
      </c>
      <c r="N46" s="527">
        <v>79956.9391466667</v>
      </c>
      <c r="O46" s="528">
        <f t="shared" si="14"/>
        <v>39065.862560000001</v>
      </c>
      <c r="P46" s="529"/>
      <c r="Q46" s="542">
        <f t="shared" si="17"/>
        <v>214056.21827333301</v>
      </c>
    </row>
    <row r="47" spans="1:17" ht="20.100000000000001" customHeight="1">
      <c r="A47" s="8">
        <v>5</v>
      </c>
      <c r="B47" s="9" t="s">
        <v>115</v>
      </c>
      <c r="C47" s="2" t="s">
        <v>114</v>
      </c>
      <c r="D47" s="8" t="s">
        <v>36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5">
        <f t="shared" si="15"/>
        <v>780675.58333333302</v>
      </c>
      <c r="K47" s="465">
        <v>527553.50249999994</v>
      </c>
      <c r="L47" s="465">
        <f t="shared" si="16"/>
        <v>253122.08083333299</v>
      </c>
      <c r="M47" s="467">
        <v>118861.965706667</v>
      </c>
      <c r="N47" s="527">
        <v>79796.103146666603</v>
      </c>
      <c r="O47" s="528">
        <f t="shared" si="14"/>
        <v>39065.862560000001</v>
      </c>
      <c r="P47" s="529"/>
      <c r="Q47" s="542">
        <f t="shared" si="17"/>
        <v>214056.21827333301</v>
      </c>
    </row>
    <row r="48" spans="1:17" ht="20.100000000000001" customHeight="1">
      <c r="A48" s="8">
        <v>6</v>
      </c>
      <c r="B48" s="9" t="s">
        <v>116</v>
      </c>
      <c r="C48" s="2" t="s">
        <v>114</v>
      </c>
      <c r="D48" s="8" t="s">
        <v>39</v>
      </c>
      <c r="E48" s="70">
        <v>582118.08333333302</v>
      </c>
      <c r="F48" s="70"/>
      <c r="G48" s="186">
        <f>140000+20000</f>
        <v>160000</v>
      </c>
      <c r="H48" s="186"/>
      <c r="I48" s="70"/>
      <c r="J48" s="465">
        <f t="shared" si="15"/>
        <v>742118.08333333302</v>
      </c>
      <c r="K48" s="465">
        <v>504720.04700000002</v>
      </c>
      <c r="L48" s="465">
        <f t="shared" si="16"/>
        <v>237398.036333333</v>
      </c>
      <c r="M48" s="467">
        <v>112212.004906667</v>
      </c>
      <c r="N48" s="527">
        <v>75572.915690666705</v>
      </c>
      <c r="O48" s="528">
        <f t="shared" si="14"/>
        <v>36639.089216</v>
      </c>
      <c r="P48" s="529"/>
      <c r="Q48" s="542">
        <f t="shared" si="17"/>
        <v>200758.94711733301</v>
      </c>
    </row>
    <row r="49" spans="1:17" ht="20.100000000000001" customHeight="1">
      <c r="A49" s="8">
        <v>7</v>
      </c>
      <c r="B49" s="12" t="s">
        <v>117</v>
      </c>
      <c r="C49" s="2" t="s">
        <v>135</v>
      </c>
      <c r="D49" s="14" t="s">
        <v>224</v>
      </c>
      <c r="E49" s="70">
        <v>470498</v>
      </c>
      <c r="F49" s="70"/>
      <c r="G49" s="186">
        <f>140000</f>
        <v>140000</v>
      </c>
      <c r="H49" s="186"/>
      <c r="I49" s="70"/>
      <c r="J49" s="465">
        <f t="shared" si="15"/>
        <v>610498</v>
      </c>
      <c r="K49" s="465">
        <v>413333.03525000002</v>
      </c>
      <c r="L49" s="465">
        <f t="shared" si="16"/>
        <v>197164.96475000001</v>
      </c>
      <c r="M49" s="467">
        <v>88655.4333866667</v>
      </c>
      <c r="N49" s="527">
        <v>58026.609434666701</v>
      </c>
      <c r="O49" s="528">
        <f t="shared" si="14"/>
        <v>30628.823951999999</v>
      </c>
      <c r="P49" s="529"/>
      <c r="Q49" s="542">
        <f t="shared" si="17"/>
        <v>166536.14079800001</v>
      </c>
    </row>
    <row r="50" spans="1:17" ht="20.100000000000001" customHeight="1">
      <c r="A50" s="8">
        <v>8</v>
      </c>
      <c r="B50" s="9" t="s">
        <v>118</v>
      </c>
      <c r="C50" s="2" t="s">
        <v>119</v>
      </c>
      <c r="D50" s="8" t="s">
        <v>104</v>
      </c>
      <c r="E50" s="70">
        <v>300965.58333333302</v>
      </c>
      <c r="F50" s="70"/>
      <c r="G50" s="186">
        <v>100000</v>
      </c>
      <c r="H50" s="186"/>
      <c r="I50" s="70"/>
      <c r="J50" s="465">
        <f t="shared" si="15"/>
        <v>400965.58333333302</v>
      </c>
      <c r="K50" s="465">
        <v>273169.11749999999</v>
      </c>
      <c r="L50" s="465">
        <f t="shared" si="16"/>
        <v>127796.465833333</v>
      </c>
      <c r="M50" s="467">
        <v>51029.227306666697</v>
      </c>
      <c r="N50" s="527">
        <v>33059.078406666697</v>
      </c>
      <c r="O50" s="528">
        <f t="shared" si="14"/>
        <v>17970.1489</v>
      </c>
      <c r="P50" s="529"/>
      <c r="Q50" s="542">
        <f t="shared" si="17"/>
        <v>109826.316933333</v>
      </c>
    </row>
    <row r="51" spans="1:17" ht="20.100000000000001" customHeight="1">
      <c r="A51" s="8">
        <v>9</v>
      </c>
      <c r="B51" s="9" t="s">
        <v>120</v>
      </c>
      <c r="C51" s="2" t="s">
        <v>119</v>
      </c>
      <c r="D51" s="8" t="s">
        <v>80</v>
      </c>
      <c r="E51" s="70">
        <v>263165.33333333302</v>
      </c>
      <c r="F51" s="70"/>
      <c r="G51" s="186">
        <f>100000</f>
        <v>100000</v>
      </c>
      <c r="H51" s="186"/>
      <c r="I51" s="70"/>
      <c r="J51" s="465">
        <f t="shared" si="15"/>
        <v>363165.33333333302</v>
      </c>
      <c r="K51" s="465">
        <v>249356.04725</v>
      </c>
      <c r="L51" s="465">
        <f t="shared" si="16"/>
        <v>113809.28608333301</v>
      </c>
      <c r="M51" s="467">
        <v>44641.500586666698</v>
      </c>
      <c r="N51" s="527">
        <v>29058.4826046667</v>
      </c>
      <c r="O51" s="528">
        <f t="shared" si="14"/>
        <v>15583.017981999999</v>
      </c>
      <c r="P51" s="529"/>
      <c r="Q51" s="542">
        <f t="shared" si="17"/>
        <v>98226.268101333306</v>
      </c>
    </row>
    <row r="52" spans="1:17" ht="20.100000000000001" customHeight="1">
      <c r="A52" s="8">
        <v>10</v>
      </c>
      <c r="B52" s="9" t="s">
        <v>578</v>
      </c>
      <c r="C52" s="2" t="s">
        <v>119</v>
      </c>
      <c r="D52" s="8" t="s">
        <v>80</v>
      </c>
      <c r="E52" s="70">
        <v>263165.33333333302</v>
      </c>
      <c r="F52" s="70"/>
      <c r="G52" s="186">
        <f>100000</f>
        <v>100000</v>
      </c>
      <c r="H52" s="186"/>
      <c r="I52" s="70"/>
      <c r="J52" s="465">
        <f t="shared" si="15"/>
        <v>363165.33333333302</v>
      </c>
      <c r="K52" s="465">
        <v>249356.04725</v>
      </c>
      <c r="L52" s="465">
        <f t="shared" si="16"/>
        <v>113809.28608333301</v>
      </c>
      <c r="M52" s="467">
        <v>44641.500586666698</v>
      </c>
      <c r="N52" s="527">
        <v>28360.952862666702</v>
      </c>
      <c r="O52" s="528">
        <f t="shared" si="14"/>
        <v>16280.547724</v>
      </c>
      <c r="P52" s="529"/>
      <c r="Q52" s="542">
        <f t="shared" si="17"/>
        <v>97528.738359333307</v>
      </c>
    </row>
    <row r="53" spans="1:17" ht="20.100000000000001" customHeight="1">
      <c r="A53" s="8">
        <v>11</v>
      </c>
      <c r="B53" s="9" t="s">
        <v>121</v>
      </c>
      <c r="C53" s="2" t="s">
        <v>119</v>
      </c>
      <c r="D53" s="8" t="s">
        <v>80</v>
      </c>
      <c r="E53" s="70">
        <v>263165.33333333302</v>
      </c>
      <c r="F53" s="70"/>
      <c r="G53" s="186">
        <f>100000</f>
        <v>100000</v>
      </c>
      <c r="H53" s="186"/>
      <c r="I53" s="70"/>
      <c r="J53" s="465">
        <f t="shared" si="15"/>
        <v>363165.33333333302</v>
      </c>
      <c r="K53" s="465">
        <v>249356.04725</v>
      </c>
      <c r="L53" s="465">
        <f t="shared" si="16"/>
        <v>113809.28608333301</v>
      </c>
      <c r="M53" s="467">
        <v>44641.500586666698</v>
      </c>
      <c r="N53" s="527">
        <v>29058.4826046667</v>
      </c>
      <c r="O53" s="528">
        <f t="shared" si="14"/>
        <v>15583.017981999999</v>
      </c>
      <c r="P53" s="529"/>
      <c r="Q53" s="542">
        <f t="shared" si="17"/>
        <v>98226.268101333306</v>
      </c>
    </row>
    <row r="54" spans="1:17" ht="25.5" customHeight="1">
      <c r="A54" s="8"/>
      <c r="B54" s="18" t="s">
        <v>96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1157200.5715733301</v>
      </c>
      <c r="N54" s="535">
        <v>770426.82375333295</v>
      </c>
      <c r="O54" s="535">
        <f t="shared" si="18"/>
        <v>386773.74781999999</v>
      </c>
      <c r="P54" s="536"/>
      <c r="Q54" s="546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2"/>
      <c r="K55" s="472"/>
      <c r="L55" s="472"/>
      <c r="M55" s="473"/>
      <c r="N55" s="537"/>
      <c r="O55" s="537"/>
      <c r="P55" s="538"/>
      <c r="Q55" s="547"/>
    </row>
    <row r="56" spans="1:17" ht="20.100000000000001" customHeight="1">
      <c r="A56" s="8"/>
      <c r="B56" s="18" t="s">
        <v>122</v>
      </c>
      <c r="C56" s="19"/>
      <c r="D56" s="19"/>
      <c r="E56" s="122"/>
      <c r="F56" s="122"/>
      <c r="G56" s="186"/>
      <c r="H56" s="186"/>
      <c r="I56" s="122"/>
      <c r="J56" s="472"/>
      <c r="K56" s="472"/>
      <c r="L56" s="472"/>
      <c r="M56" s="473"/>
      <c r="N56" s="537"/>
      <c r="O56" s="537"/>
      <c r="P56" s="538"/>
      <c r="Q56" s="547"/>
    </row>
    <row r="57" spans="1:17" ht="20.100000000000001" customHeight="1">
      <c r="A57" s="8">
        <v>1</v>
      </c>
      <c r="B57" s="9" t="s">
        <v>501</v>
      </c>
      <c r="C57" s="10" t="s">
        <v>124</v>
      </c>
      <c r="D57" s="13" t="s">
        <v>100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5">
        <f>E57+F57+G57+H57+I57</f>
        <v>1635720</v>
      </c>
      <c r="K57" s="465">
        <v>1050209.0634999999</v>
      </c>
      <c r="L57" s="465">
        <f>J57-K57</f>
        <v>585510.93649999995</v>
      </c>
      <c r="M57" s="467">
        <v>270672.24746666697</v>
      </c>
      <c r="N57" s="539">
        <v>180306.806858667</v>
      </c>
      <c r="O57" s="528">
        <f>M57-N57</f>
        <v>90365.440607999903</v>
      </c>
      <c r="P57" s="529"/>
      <c r="Q57" s="542">
        <f>L57-O57</f>
        <v>495145.49589199998</v>
      </c>
    </row>
    <row r="58" spans="1:17" ht="20.100000000000001" customHeight="1">
      <c r="A58" s="8">
        <v>2</v>
      </c>
      <c r="B58" s="9" t="s">
        <v>125</v>
      </c>
      <c r="C58" s="10" t="s">
        <v>126</v>
      </c>
      <c r="D58" s="13" t="s">
        <v>127</v>
      </c>
      <c r="E58" s="70">
        <v>620675.58333333302</v>
      </c>
      <c r="F58" s="70"/>
      <c r="G58" s="186"/>
      <c r="H58" s="186">
        <v>80000</v>
      </c>
      <c r="I58" s="70"/>
      <c r="J58" s="465">
        <f>E58+F58+G58+H58+I58</f>
        <v>700675.58333333302</v>
      </c>
      <c r="K58" s="465">
        <v>447553.5025</v>
      </c>
      <c r="L58" s="465">
        <f>J58-K58</f>
        <v>253122.08083333299</v>
      </c>
      <c r="M58" s="467">
        <v>103662.801706667</v>
      </c>
      <c r="N58" s="539">
        <v>64596.9391466667</v>
      </c>
      <c r="O58" s="528">
        <f>M58-N58</f>
        <v>39065.862560000001</v>
      </c>
      <c r="P58" s="529"/>
      <c r="Q58" s="542">
        <f>L58-O58</f>
        <v>214056.21827333301</v>
      </c>
    </row>
    <row r="59" spans="1:17" ht="20.100000000000001" customHeight="1">
      <c r="A59" s="8"/>
      <c r="B59" s="18" t="s">
        <v>96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374335.04917333298</v>
      </c>
      <c r="N59" s="535">
        <v>244903.746005333</v>
      </c>
      <c r="O59" s="535">
        <f t="shared" si="19"/>
        <v>129431.303168</v>
      </c>
      <c r="P59" s="536"/>
      <c r="Q59" s="546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2"/>
      <c r="K60" s="472"/>
      <c r="L60" s="472"/>
      <c r="M60" s="473"/>
      <c r="N60" s="537"/>
      <c r="O60" s="537"/>
      <c r="P60" s="538"/>
      <c r="Q60" s="547"/>
    </row>
    <row r="61" spans="1:17" ht="20.100000000000001" customHeight="1">
      <c r="A61" s="8"/>
      <c r="B61" s="18" t="s">
        <v>128</v>
      </c>
      <c r="C61" s="19"/>
      <c r="D61" s="19"/>
      <c r="E61" s="122"/>
      <c r="F61" s="122"/>
      <c r="G61" s="186"/>
      <c r="H61" s="186"/>
      <c r="I61" s="122"/>
      <c r="J61" s="472"/>
      <c r="K61" s="472"/>
      <c r="L61" s="472"/>
      <c r="M61" s="473"/>
      <c r="N61" s="537"/>
      <c r="O61" s="537"/>
      <c r="P61" s="538"/>
      <c r="Q61" s="547"/>
    </row>
    <row r="62" spans="1:17" ht="20.100000000000001" customHeight="1">
      <c r="A62" s="8">
        <v>1</v>
      </c>
      <c r="B62" s="9" t="s">
        <v>129</v>
      </c>
      <c r="C62" s="15" t="s">
        <v>130</v>
      </c>
      <c r="D62" s="8" t="s">
        <v>100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5">
        <f>E62+F62+G62+H62+I62</f>
        <v>1635720</v>
      </c>
      <c r="K62" s="465">
        <v>1050209.0634999999</v>
      </c>
      <c r="L62" s="465">
        <f>J62-K62</f>
        <v>585510.93649999995</v>
      </c>
      <c r="M62" s="467">
        <v>292724.90666666703</v>
      </c>
      <c r="N62" s="527">
        <v>180306.806858667</v>
      </c>
      <c r="O62" s="528">
        <f t="shared" ref="O62:O71" si="20">M62-N62</f>
        <v>112418.099808</v>
      </c>
      <c r="P62" s="529"/>
      <c r="Q62" s="542">
        <f>L62-O62</f>
        <v>473092.83669199998</v>
      </c>
    </row>
    <row r="63" spans="1:17" ht="20.100000000000001" customHeight="1">
      <c r="A63" s="8">
        <v>2</v>
      </c>
      <c r="B63" s="312" t="s">
        <v>131</v>
      </c>
      <c r="C63" s="15" t="s">
        <v>132</v>
      </c>
      <c r="D63" s="13" t="s">
        <v>133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5">
        <f t="shared" ref="J63:J71" si="21">E63+F63+G63+H63+I63</f>
        <v>761396.83333333302</v>
      </c>
      <c r="K63" s="465">
        <v>516137.05</v>
      </c>
      <c r="L63" s="465">
        <f t="shared" ref="L63:L71" si="22">J63-K63</f>
        <v>245259.78333333301</v>
      </c>
      <c r="M63" s="467">
        <v>115617.40330666699</v>
      </c>
      <c r="N63" s="527">
        <v>77764.980266666695</v>
      </c>
      <c r="O63" s="528">
        <f t="shared" si="20"/>
        <v>37852.423040000001</v>
      </c>
      <c r="P63" s="529"/>
      <c r="Q63" s="542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134</v>
      </c>
      <c r="C64" s="2" t="s">
        <v>135</v>
      </c>
      <c r="D64" s="8" t="s">
        <v>47</v>
      </c>
      <c r="E64" s="70">
        <v>442746.5</v>
      </c>
      <c r="F64" s="70"/>
      <c r="G64" s="186">
        <v>140000</v>
      </c>
      <c r="H64" s="186"/>
      <c r="I64" s="70"/>
      <c r="J64" s="465">
        <f t="shared" si="21"/>
        <v>582746.5</v>
      </c>
      <c r="K64" s="465">
        <v>397211.36749999999</v>
      </c>
      <c r="L64" s="465">
        <f t="shared" si="22"/>
        <v>185535.13250000001</v>
      </c>
      <c r="M64" s="467">
        <v>83753.408426666603</v>
      </c>
      <c r="N64" s="527">
        <v>54931.249226666703</v>
      </c>
      <c r="O64" s="528">
        <f t="shared" si="20"/>
        <v>28822.159199999998</v>
      </c>
      <c r="P64" s="529"/>
      <c r="Q64" s="542">
        <f t="shared" si="23"/>
        <v>156712.97330000001</v>
      </c>
    </row>
    <row r="65" spans="1:17" ht="20.100000000000001" customHeight="1">
      <c r="A65" s="8">
        <v>4</v>
      </c>
      <c r="B65" s="16" t="s">
        <v>487</v>
      </c>
      <c r="C65" s="15" t="s">
        <v>167</v>
      </c>
      <c r="D65" s="13" t="s">
        <v>52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5">
        <f t="shared" si="21"/>
        <v>548915.91666666698</v>
      </c>
      <c r="K65" s="465">
        <v>369177.65375</v>
      </c>
      <c r="L65" s="465">
        <f t="shared" si="22"/>
        <v>179738.26291666701</v>
      </c>
      <c r="M65" s="467">
        <v>77470.374186666697</v>
      </c>
      <c r="N65" s="527">
        <v>49548.776186666699</v>
      </c>
      <c r="O65" s="528">
        <f t="shared" si="20"/>
        <v>27921.598000000002</v>
      </c>
      <c r="P65" s="529"/>
      <c r="Q65" s="542">
        <f t="shared" si="23"/>
        <v>151816.66491666701</v>
      </c>
    </row>
    <row r="66" spans="1:17" ht="20.100000000000001" customHeight="1">
      <c r="A66" s="8">
        <v>5</v>
      </c>
      <c r="B66" s="12" t="s">
        <v>517</v>
      </c>
      <c r="C66" s="15" t="s">
        <v>135</v>
      </c>
      <c r="D66" s="13" t="s">
        <v>42</v>
      </c>
      <c r="E66" s="70">
        <v>484373.75</v>
      </c>
      <c r="F66" s="70"/>
      <c r="G66" s="186">
        <f>140000</f>
        <v>140000</v>
      </c>
      <c r="H66" s="186"/>
      <c r="I66" s="70"/>
      <c r="J66" s="465">
        <f t="shared" si="21"/>
        <v>624373.75</v>
      </c>
      <c r="K66" s="465">
        <v>421394.00675</v>
      </c>
      <c r="L66" s="465">
        <f t="shared" si="22"/>
        <v>202979.74325</v>
      </c>
      <c r="M66" s="467">
        <v>91106.445866666705</v>
      </c>
      <c r="N66" s="527">
        <v>59574.315962666697</v>
      </c>
      <c r="O66" s="528">
        <f t="shared" si="20"/>
        <v>31532.129904000001</v>
      </c>
      <c r="P66" s="529"/>
      <c r="Q66" s="542">
        <f t="shared" si="23"/>
        <v>171447.613346</v>
      </c>
    </row>
    <row r="67" spans="1:17" ht="20.100000000000001" customHeight="1">
      <c r="A67" s="8">
        <v>7</v>
      </c>
      <c r="B67" s="9" t="s">
        <v>136</v>
      </c>
      <c r="C67" s="2" t="s">
        <v>119</v>
      </c>
      <c r="D67" s="8" t="s">
        <v>137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5">
        <f t="shared" si="21"/>
        <v>475703.83333333302</v>
      </c>
      <c r="K67" s="465">
        <v>322454.07400000002</v>
      </c>
      <c r="L67" s="465">
        <f t="shared" si="22"/>
        <v>153249.759333333</v>
      </c>
      <c r="M67" s="467">
        <v>64384.591786666701</v>
      </c>
      <c r="N67" s="527">
        <v>41338.951098666701</v>
      </c>
      <c r="O67" s="528">
        <f t="shared" si="20"/>
        <v>23045.640687999999</v>
      </c>
      <c r="P67" s="529"/>
      <c r="Q67" s="542">
        <f t="shared" si="23"/>
        <v>130204.118645333</v>
      </c>
    </row>
    <row r="68" spans="1:17" ht="20.100000000000001" customHeight="1">
      <c r="A68" s="8">
        <v>8</v>
      </c>
      <c r="B68" s="9" t="s">
        <v>138</v>
      </c>
      <c r="C68" s="15" t="s">
        <v>67</v>
      </c>
      <c r="D68" s="8" t="s">
        <v>137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5">
        <f t="shared" si="21"/>
        <v>475703.83333333302</v>
      </c>
      <c r="K68" s="465">
        <v>322454.07400000002</v>
      </c>
      <c r="L68" s="465">
        <f t="shared" si="22"/>
        <v>153249.759333333</v>
      </c>
      <c r="M68" s="467">
        <v>64384.591786666701</v>
      </c>
      <c r="N68" s="527">
        <v>41338.951098666701</v>
      </c>
      <c r="O68" s="528">
        <f t="shared" si="20"/>
        <v>23045.640687999999</v>
      </c>
      <c r="P68" s="529"/>
      <c r="Q68" s="542">
        <f t="shared" si="23"/>
        <v>130204.118645333</v>
      </c>
    </row>
    <row r="69" spans="1:17" ht="20.100000000000001" customHeight="1">
      <c r="A69" s="8">
        <v>9</v>
      </c>
      <c r="B69" s="9" t="s">
        <v>139</v>
      </c>
      <c r="C69" s="15" t="s">
        <v>67</v>
      </c>
      <c r="D69" s="8" t="s">
        <v>137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5">
        <f t="shared" si="21"/>
        <v>475703.83333333302</v>
      </c>
      <c r="K69" s="465">
        <v>322454.07400000002</v>
      </c>
      <c r="L69" s="465">
        <f t="shared" si="22"/>
        <v>153249.759333333</v>
      </c>
      <c r="M69" s="467">
        <v>64384.591786666701</v>
      </c>
      <c r="N69" s="527">
        <v>41338.951098666701</v>
      </c>
      <c r="O69" s="528">
        <f t="shared" si="20"/>
        <v>23045.640687999999</v>
      </c>
      <c r="P69" s="529"/>
      <c r="Q69" s="542">
        <f t="shared" si="23"/>
        <v>130204.118645333</v>
      </c>
    </row>
    <row r="70" spans="1:17" ht="20.100000000000001" customHeight="1">
      <c r="A70" s="8">
        <v>10</v>
      </c>
      <c r="B70" s="9" t="s">
        <v>140</v>
      </c>
      <c r="C70" s="2" t="s">
        <v>141</v>
      </c>
      <c r="D70" s="8" t="s">
        <v>62</v>
      </c>
      <c r="E70" s="416">
        <v>377895.16666666698</v>
      </c>
      <c r="F70" s="70"/>
      <c r="G70" s="186">
        <f t="shared" si="25"/>
        <v>110000</v>
      </c>
      <c r="H70" s="186"/>
      <c r="I70" s="70"/>
      <c r="J70" s="465">
        <f t="shared" si="21"/>
        <v>487895.16666666698</v>
      </c>
      <c r="K70" s="465">
        <v>334536.99849999999</v>
      </c>
      <c r="L70" s="465">
        <f t="shared" si="22"/>
        <v>153358.16816666699</v>
      </c>
      <c r="M70" s="467">
        <v>66538.068906666696</v>
      </c>
      <c r="N70" s="527">
        <v>43368.882414666703</v>
      </c>
      <c r="O70" s="528">
        <f t="shared" si="20"/>
        <v>23169.186492000001</v>
      </c>
      <c r="P70" s="529"/>
      <c r="Q70" s="542">
        <f t="shared" si="23"/>
        <v>130188.981674667</v>
      </c>
    </row>
    <row r="71" spans="1:17" ht="21.6" customHeight="1">
      <c r="A71" s="8">
        <v>11</v>
      </c>
      <c r="B71" s="9" t="s">
        <v>142</v>
      </c>
      <c r="C71" s="2" t="s">
        <v>119</v>
      </c>
      <c r="D71" s="8" t="s">
        <v>104</v>
      </c>
      <c r="E71" s="186">
        <v>300965.58333333302</v>
      </c>
      <c r="F71" s="70"/>
      <c r="G71" s="186">
        <v>100000</v>
      </c>
      <c r="H71" s="186"/>
      <c r="I71" s="70"/>
      <c r="J71" s="465">
        <f t="shared" si="21"/>
        <v>400965.58333333302</v>
      </c>
      <c r="K71" s="465">
        <v>277734.04700000002</v>
      </c>
      <c r="L71" s="465">
        <f t="shared" si="22"/>
        <v>123231.536333333</v>
      </c>
      <c r="M71" s="467">
        <v>51029.227306666697</v>
      </c>
      <c r="N71" s="527">
        <v>33825.986562666702</v>
      </c>
      <c r="O71" s="528">
        <f t="shared" si="20"/>
        <v>17203.240743999999</v>
      </c>
      <c r="P71" s="529"/>
      <c r="Q71" s="542">
        <f t="shared" si="23"/>
        <v>106028.29558933301</v>
      </c>
    </row>
    <row r="72" spans="1:17" ht="27" customHeight="1">
      <c r="A72" s="8"/>
      <c r="B72" s="18" t="s">
        <v>96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5">
        <v>623337.85077466699</v>
      </c>
      <c r="O72" s="535">
        <f t="shared" si="26"/>
        <v>348055.75925200002</v>
      </c>
      <c r="P72" s="536"/>
      <c r="Q72" s="546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2"/>
      <c r="K73" s="472"/>
      <c r="L73" s="472"/>
      <c r="M73" s="473"/>
      <c r="N73" s="537"/>
      <c r="O73" s="537"/>
      <c r="P73" s="538"/>
      <c r="Q73" s="547"/>
    </row>
    <row r="74" spans="1:17" ht="20.100000000000001" customHeight="1">
      <c r="A74" s="8"/>
      <c r="B74" s="18" t="s">
        <v>143</v>
      </c>
      <c r="C74" s="19"/>
      <c r="D74" s="19"/>
      <c r="E74" s="122"/>
      <c r="F74" s="122"/>
      <c r="G74" s="186"/>
      <c r="H74" s="186"/>
      <c r="I74" s="122"/>
      <c r="J74" s="472"/>
      <c r="K74" s="472"/>
      <c r="L74" s="472"/>
      <c r="M74" s="473"/>
      <c r="N74" s="537"/>
      <c r="O74" s="537"/>
      <c r="P74" s="538"/>
      <c r="Q74" s="547"/>
    </row>
    <row r="75" spans="1:17" ht="20.100000000000001" customHeight="1">
      <c r="A75" s="8">
        <v>1</v>
      </c>
      <c r="B75" s="9" t="s">
        <v>144</v>
      </c>
      <c r="C75" s="2" t="s">
        <v>145</v>
      </c>
      <c r="D75" s="8" t="s">
        <v>100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5">
        <f>E75+F75+G75+H75+I75</f>
        <v>1635720</v>
      </c>
      <c r="K75" s="465">
        <v>1050209.0634999999</v>
      </c>
      <c r="L75" s="465">
        <f>J75-K75</f>
        <v>585510.93649999995</v>
      </c>
      <c r="M75" s="467">
        <v>270672.24746666697</v>
      </c>
      <c r="N75" s="527">
        <v>180306.806858667</v>
      </c>
      <c r="O75" s="528">
        <f t="shared" ref="O75:O81" si="27">M75-N75</f>
        <v>90365.440607999903</v>
      </c>
      <c r="P75" s="529"/>
      <c r="Q75" s="542">
        <f>L75-O75</f>
        <v>495145.49589199998</v>
      </c>
    </row>
    <row r="76" spans="1:17" ht="20.100000000000001" customHeight="1">
      <c r="A76" s="8">
        <v>2</v>
      </c>
      <c r="B76" s="12" t="s">
        <v>518</v>
      </c>
      <c r="C76" s="2" t="s">
        <v>570</v>
      </c>
      <c r="D76" s="13" t="s">
        <v>571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5">
        <f t="shared" ref="J76:J81" si="28">E76+F76+G76+H76+I76</f>
        <v>761396.83333333302</v>
      </c>
      <c r="K76" s="465">
        <v>516137.05</v>
      </c>
      <c r="L76" s="465">
        <f t="shared" ref="L76:L81" si="29">J76-K76</f>
        <v>245259.78333333301</v>
      </c>
      <c r="M76" s="467">
        <v>124854.858666667</v>
      </c>
      <c r="N76" s="527">
        <v>77764.980266666695</v>
      </c>
      <c r="O76" s="528">
        <f t="shared" si="27"/>
        <v>47089.878400000001</v>
      </c>
      <c r="P76" s="529"/>
      <c r="Q76" s="542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519</v>
      </c>
      <c r="C77" s="10" t="s">
        <v>572</v>
      </c>
      <c r="D77" s="8" t="s">
        <v>127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5">
        <f t="shared" si="28"/>
        <v>700675.58333333302</v>
      </c>
      <c r="K77" s="465">
        <v>447553.5025</v>
      </c>
      <c r="L77" s="465">
        <f t="shared" si="29"/>
        <v>253122.08083333299</v>
      </c>
      <c r="M77" s="467">
        <v>113196.37866666701</v>
      </c>
      <c r="N77" s="527">
        <v>64596.9391466667</v>
      </c>
      <c r="O77" s="528">
        <f t="shared" si="27"/>
        <v>48599.43952</v>
      </c>
      <c r="P77" s="529"/>
      <c r="Q77" s="542">
        <f t="shared" si="30"/>
        <v>204522.64131333301</v>
      </c>
    </row>
    <row r="78" spans="1:17" ht="20.100000000000001" customHeight="1">
      <c r="A78" s="8">
        <v>4</v>
      </c>
      <c r="B78" s="9" t="s">
        <v>148</v>
      </c>
      <c r="C78" s="2" t="s">
        <v>149</v>
      </c>
      <c r="D78" s="13" t="s">
        <v>150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5">
        <f t="shared" si="28"/>
        <v>596622.25</v>
      </c>
      <c r="K78" s="465">
        <v>405272.06374999997</v>
      </c>
      <c r="L78" s="465">
        <f t="shared" si="29"/>
        <v>191350.18625</v>
      </c>
      <c r="M78" s="467">
        <v>86076.104186666693</v>
      </c>
      <c r="N78" s="527">
        <v>56350.586186666696</v>
      </c>
      <c r="O78" s="528">
        <f t="shared" si="27"/>
        <v>29725.518</v>
      </c>
      <c r="P78" s="529"/>
      <c r="Q78" s="542">
        <f t="shared" si="30"/>
        <v>161624.66824999999</v>
      </c>
    </row>
    <row r="79" spans="1:17" ht="20.100000000000001" customHeight="1">
      <c r="A79" s="8">
        <v>5</v>
      </c>
      <c r="B79" s="9" t="s">
        <v>151</v>
      </c>
      <c r="C79" s="2" t="s">
        <v>154</v>
      </c>
      <c r="D79" s="8" t="s">
        <v>267</v>
      </c>
      <c r="E79" s="70">
        <v>308901.5</v>
      </c>
      <c r="F79" s="70"/>
      <c r="G79" s="186">
        <f>100000</f>
        <v>100000</v>
      </c>
      <c r="H79" s="186"/>
      <c r="I79" s="70"/>
      <c r="J79" s="465">
        <f t="shared" si="28"/>
        <v>408901.5</v>
      </c>
      <c r="K79" s="465">
        <v>273169.11749999999</v>
      </c>
      <c r="L79" s="465">
        <f t="shared" si="29"/>
        <v>135732.38250000001</v>
      </c>
      <c r="M79" s="467">
        <v>52431.027626666699</v>
      </c>
      <c r="N79" s="527">
        <v>33059.078406666697</v>
      </c>
      <c r="O79" s="528">
        <f t="shared" si="27"/>
        <v>19371.949219999999</v>
      </c>
      <c r="P79" s="529"/>
      <c r="Q79" s="542">
        <f t="shared" si="30"/>
        <v>116360.43328</v>
      </c>
    </row>
    <row r="80" spans="1:17" ht="20.100000000000001" customHeight="1">
      <c r="A80" s="8">
        <v>6</v>
      </c>
      <c r="B80" s="9" t="s">
        <v>153</v>
      </c>
      <c r="C80" s="2" t="s">
        <v>154</v>
      </c>
      <c r="D80" s="8" t="s">
        <v>80</v>
      </c>
      <c r="E80" s="70">
        <v>263165.33333333302</v>
      </c>
      <c r="F80" s="70"/>
      <c r="G80" s="186">
        <v>100000</v>
      </c>
      <c r="H80" s="186"/>
      <c r="I80" s="70"/>
      <c r="J80" s="465">
        <f t="shared" si="28"/>
        <v>363165.33333333302</v>
      </c>
      <c r="K80" s="465">
        <v>249356.04725</v>
      </c>
      <c r="L80" s="465">
        <f t="shared" si="29"/>
        <v>113809.28608333301</v>
      </c>
      <c r="M80" s="467">
        <v>44641.500586666698</v>
      </c>
      <c r="N80" s="527">
        <v>29058.4826046667</v>
      </c>
      <c r="O80" s="528">
        <f t="shared" si="27"/>
        <v>15583.017981999999</v>
      </c>
      <c r="P80" s="529"/>
      <c r="Q80" s="542">
        <f t="shared" si="30"/>
        <v>98226.268101333306</v>
      </c>
    </row>
    <row r="81" spans="1:17" ht="20.100000000000001" customHeight="1">
      <c r="A81" s="8">
        <v>7</v>
      </c>
      <c r="B81" s="9" t="s">
        <v>155</v>
      </c>
      <c r="C81" s="2" t="s">
        <v>156</v>
      </c>
      <c r="D81" s="8" t="s">
        <v>92</v>
      </c>
      <c r="E81" s="70">
        <v>224459.75</v>
      </c>
      <c r="F81" s="70"/>
      <c r="G81" s="186">
        <v>100000</v>
      </c>
      <c r="H81" s="186">
        <v>0</v>
      </c>
      <c r="I81" s="70"/>
      <c r="J81" s="465">
        <f t="shared" si="28"/>
        <v>324459.75</v>
      </c>
      <c r="K81" s="465">
        <v>223717.28450000001</v>
      </c>
      <c r="L81" s="465">
        <f t="shared" si="29"/>
        <v>100742.46550000001</v>
      </c>
      <c r="M81" s="467">
        <v>38659.165626666698</v>
      </c>
      <c r="N81" s="527">
        <v>24751.170462666701</v>
      </c>
      <c r="O81" s="528">
        <f t="shared" si="27"/>
        <v>13907.995164</v>
      </c>
      <c r="P81" s="529"/>
      <c r="Q81" s="542">
        <f t="shared" si="30"/>
        <v>86834.470335999998</v>
      </c>
    </row>
    <row r="82" spans="1:17" ht="20.100000000000001" customHeight="1">
      <c r="A82" s="8"/>
      <c r="B82" s="18" t="s">
        <v>96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730531.28282666695</v>
      </c>
      <c r="N82" s="535">
        <v>465888.043932667</v>
      </c>
      <c r="O82" s="535">
        <f t="shared" si="31"/>
        <v>264643.23889400001</v>
      </c>
      <c r="P82" s="536"/>
      <c r="Q82" s="546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2"/>
      <c r="K83" s="472"/>
      <c r="L83" s="472"/>
      <c r="M83" s="473"/>
      <c r="N83" s="537"/>
      <c r="O83" s="537"/>
      <c r="P83" s="538"/>
      <c r="Q83" s="547"/>
    </row>
    <row r="84" spans="1:17" ht="20.100000000000001" customHeight="1">
      <c r="A84" s="8"/>
      <c r="B84" s="18" t="s">
        <v>157</v>
      </c>
      <c r="C84" s="23"/>
      <c r="D84" s="19"/>
      <c r="E84" s="122"/>
      <c r="F84" s="122"/>
      <c r="G84" s="186"/>
      <c r="H84" s="186"/>
      <c r="I84" s="122"/>
      <c r="J84" s="472"/>
      <c r="K84" s="472"/>
      <c r="L84" s="472"/>
      <c r="M84" s="473"/>
      <c r="N84" s="537"/>
      <c r="O84" s="537"/>
      <c r="P84" s="538"/>
      <c r="Q84" s="547"/>
    </row>
    <row r="85" spans="1:17" ht="20.100000000000001" customHeight="1">
      <c r="A85" s="8">
        <v>1</v>
      </c>
      <c r="B85" s="9" t="s">
        <v>158</v>
      </c>
      <c r="C85" s="2" t="s">
        <v>114</v>
      </c>
      <c r="D85" s="8" t="s">
        <v>36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5">
        <f>E85+F85+G85+H85+I85</f>
        <v>880675.58333333302</v>
      </c>
      <c r="K85" s="465">
        <v>627553.50249999994</v>
      </c>
      <c r="L85" s="465">
        <f>J85-K85</f>
        <v>253122.08083333299</v>
      </c>
      <c r="M85" s="467">
        <v>138222.801706667</v>
      </c>
      <c r="N85" s="527">
        <v>99156.9391466667</v>
      </c>
      <c r="O85" s="528">
        <f t="shared" ref="O85:O94" si="32">M85-N85</f>
        <v>39065.862560000001</v>
      </c>
      <c r="P85" s="529"/>
      <c r="Q85" s="542">
        <f>L85-O85</f>
        <v>214056.21827333301</v>
      </c>
    </row>
    <row r="86" spans="1:17" ht="20.100000000000001" customHeight="1">
      <c r="A86" s="8">
        <v>2</v>
      </c>
      <c r="B86" s="9" t="s">
        <v>159</v>
      </c>
      <c r="C86" s="2" t="s">
        <v>114</v>
      </c>
      <c r="D86" s="8" t="s">
        <v>36</v>
      </c>
      <c r="E86" s="70">
        <v>620675.58333333302</v>
      </c>
      <c r="F86" s="70"/>
      <c r="G86" s="186">
        <f>160000</f>
        <v>160000</v>
      </c>
      <c r="H86" s="186"/>
      <c r="I86" s="70"/>
      <c r="J86" s="465">
        <f t="shared" ref="J86:J94" si="33">E86+F86+G86+H86+I86</f>
        <v>780675.58333333302</v>
      </c>
      <c r="K86" s="465">
        <v>527553.50249999994</v>
      </c>
      <c r="L86" s="465">
        <f t="shared" ref="L86:L94" si="34">J86-K86</f>
        <v>253122.08083333299</v>
      </c>
      <c r="M86" s="467">
        <v>118861.965706667</v>
      </c>
      <c r="N86" s="527">
        <v>79796.103146666603</v>
      </c>
      <c r="O86" s="528">
        <f t="shared" si="32"/>
        <v>39065.862560000001</v>
      </c>
      <c r="P86" s="529"/>
      <c r="Q86" s="542">
        <f t="shared" ref="Q86:Q94" si="35">L86-O86</f>
        <v>214056.21827333301</v>
      </c>
    </row>
    <row r="87" spans="1:17" ht="20.100000000000001" customHeight="1">
      <c r="A87" s="8">
        <v>3</v>
      </c>
      <c r="B87" s="9" t="s">
        <v>160</v>
      </c>
      <c r="C87" s="2" t="s">
        <v>114</v>
      </c>
      <c r="D87" s="8" t="s">
        <v>39</v>
      </c>
      <c r="E87" s="70">
        <v>582118.08333333302</v>
      </c>
      <c r="F87" s="70"/>
      <c r="G87" s="186">
        <v>160000</v>
      </c>
      <c r="H87" s="186"/>
      <c r="I87" s="70"/>
      <c r="J87" s="465">
        <f t="shared" si="33"/>
        <v>742118.08333333302</v>
      </c>
      <c r="K87" s="465">
        <v>504729.22200000001</v>
      </c>
      <c r="L87" s="465">
        <f t="shared" si="34"/>
        <v>237388.86133333301</v>
      </c>
      <c r="M87" s="467">
        <v>112212.004906667</v>
      </c>
      <c r="N87" s="527">
        <v>75574.677290666703</v>
      </c>
      <c r="O87" s="528">
        <f t="shared" si="32"/>
        <v>36637.327616000002</v>
      </c>
      <c r="P87" s="529"/>
      <c r="Q87" s="542">
        <f t="shared" si="35"/>
        <v>200751.53371733299</v>
      </c>
    </row>
    <row r="88" spans="1:17" ht="21.6" customHeight="1">
      <c r="A88" s="8">
        <v>4</v>
      </c>
      <c r="B88" s="9" t="s">
        <v>161</v>
      </c>
      <c r="C88" s="2" t="s">
        <v>458</v>
      </c>
      <c r="D88" s="13" t="s">
        <v>194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5">
        <f t="shared" si="33"/>
        <v>561804.91666666698</v>
      </c>
      <c r="K88" s="465">
        <v>376663.07750000001</v>
      </c>
      <c r="L88" s="465">
        <f t="shared" si="34"/>
        <v>185141.83916666699</v>
      </c>
      <c r="M88" s="467">
        <v>79747.087146666701</v>
      </c>
      <c r="N88" s="527">
        <v>50985.977546666698</v>
      </c>
      <c r="O88" s="528">
        <f t="shared" si="32"/>
        <v>28761.1096</v>
      </c>
      <c r="P88" s="529"/>
      <c r="Q88" s="542">
        <f t="shared" si="35"/>
        <v>156380.729566667</v>
      </c>
    </row>
    <row r="89" spans="1:17" ht="21.6" customHeight="1">
      <c r="A89" s="8">
        <v>5</v>
      </c>
      <c r="B89" s="9" t="s">
        <v>162</v>
      </c>
      <c r="C89" s="10" t="s">
        <v>167</v>
      </c>
      <c r="D89" s="13" t="s">
        <v>52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5">
        <f t="shared" si="33"/>
        <v>548915.91666666698</v>
      </c>
      <c r="K89" s="465">
        <v>369177.65375</v>
      </c>
      <c r="L89" s="465">
        <f t="shared" si="34"/>
        <v>179738.26291666701</v>
      </c>
      <c r="M89" s="467">
        <v>77470.374186666697</v>
      </c>
      <c r="N89" s="527">
        <v>49548.776186666699</v>
      </c>
      <c r="O89" s="528">
        <f t="shared" si="32"/>
        <v>27921.598000000002</v>
      </c>
      <c r="P89" s="529"/>
      <c r="Q89" s="542">
        <f t="shared" si="35"/>
        <v>151816.66491666701</v>
      </c>
    </row>
    <row r="90" spans="1:17" ht="21.6" customHeight="1">
      <c r="A90" s="8">
        <v>6</v>
      </c>
      <c r="B90" s="9" t="s">
        <v>163</v>
      </c>
      <c r="C90" s="10" t="s">
        <v>135</v>
      </c>
      <c r="D90" s="13" t="s">
        <v>164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5">
        <f t="shared" si="33"/>
        <v>568870.75</v>
      </c>
      <c r="K90" s="465">
        <v>389153.05674999999</v>
      </c>
      <c r="L90" s="465">
        <f t="shared" si="34"/>
        <v>179717.69325000001</v>
      </c>
      <c r="M90" s="467">
        <v>81302.3959466667</v>
      </c>
      <c r="N90" s="527">
        <v>53384.053562666697</v>
      </c>
      <c r="O90" s="528">
        <f t="shared" si="32"/>
        <v>27918.342384</v>
      </c>
      <c r="P90" s="529"/>
      <c r="Q90" s="542">
        <f t="shared" si="35"/>
        <v>151799.35086599999</v>
      </c>
    </row>
    <row r="91" spans="1:17" ht="21.6" customHeight="1">
      <c r="A91" s="8">
        <v>7</v>
      </c>
      <c r="B91" s="9" t="s">
        <v>165</v>
      </c>
      <c r="C91" s="15" t="s">
        <v>67</v>
      </c>
      <c r="D91" s="13" t="s">
        <v>137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5">
        <f t="shared" si="33"/>
        <v>475703.83333333302</v>
      </c>
      <c r="K91" s="465">
        <v>322454.07400000002</v>
      </c>
      <c r="L91" s="465">
        <f t="shared" si="34"/>
        <v>153249.759333333</v>
      </c>
      <c r="M91" s="467">
        <v>64384.591786666701</v>
      </c>
      <c r="N91" s="527">
        <v>41338.951098666701</v>
      </c>
      <c r="O91" s="528">
        <f t="shared" si="32"/>
        <v>23045.640687999999</v>
      </c>
      <c r="P91" s="529"/>
      <c r="Q91" s="542">
        <f t="shared" si="35"/>
        <v>130204.118645333</v>
      </c>
    </row>
    <row r="92" spans="1:17" ht="21.6" customHeight="1">
      <c r="A92" s="8">
        <v>8</v>
      </c>
      <c r="B92" s="9" t="s">
        <v>166</v>
      </c>
      <c r="C92" s="15" t="s">
        <v>167</v>
      </c>
      <c r="D92" s="13" t="s">
        <v>168</v>
      </c>
      <c r="E92" s="70">
        <v>390248.91666666698</v>
      </c>
      <c r="F92" s="70"/>
      <c r="G92" s="186">
        <v>120000</v>
      </c>
      <c r="H92" s="186"/>
      <c r="I92" s="70">
        <v>0</v>
      </c>
      <c r="J92" s="465">
        <f t="shared" si="33"/>
        <v>510248.91666666698</v>
      </c>
      <c r="K92" s="465">
        <v>346713.03324999998</v>
      </c>
      <c r="L92" s="465">
        <f t="shared" si="34"/>
        <v>163535.883416667</v>
      </c>
      <c r="M92" s="467">
        <v>70529.475354666705</v>
      </c>
      <c r="N92" s="527">
        <v>45317.541294666698</v>
      </c>
      <c r="O92" s="528">
        <f t="shared" si="32"/>
        <v>25211.93406</v>
      </c>
      <c r="P92" s="529"/>
      <c r="Q92" s="542">
        <f t="shared" si="35"/>
        <v>138323.949356667</v>
      </c>
    </row>
    <row r="93" spans="1:17" ht="21.6" customHeight="1">
      <c r="A93" s="8">
        <v>9</v>
      </c>
      <c r="B93" s="9" t="s">
        <v>169</v>
      </c>
      <c r="C93" s="2" t="s">
        <v>170</v>
      </c>
      <c r="D93" s="8" t="s">
        <v>104</v>
      </c>
      <c r="E93" s="186">
        <v>300965.58333333302</v>
      </c>
      <c r="F93" s="70"/>
      <c r="G93" s="186">
        <v>100000</v>
      </c>
      <c r="H93" s="186"/>
      <c r="I93" s="70"/>
      <c r="J93" s="465">
        <f t="shared" si="33"/>
        <v>400965.58333333302</v>
      </c>
      <c r="K93" s="465">
        <v>277734.04700000002</v>
      </c>
      <c r="L93" s="465">
        <f t="shared" si="34"/>
        <v>123231.536333333</v>
      </c>
      <c r="M93" s="467">
        <v>51029.227306666697</v>
      </c>
      <c r="N93" s="527">
        <v>33825.986562666702</v>
      </c>
      <c r="O93" s="528">
        <f t="shared" si="32"/>
        <v>17203.240743999999</v>
      </c>
      <c r="P93" s="529"/>
      <c r="Q93" s="542">
        <f t="shared" si="35"/>
        <v>106028.29558933301</v>
      </c>
    </row>
    <row r="94" spans="1:17" ht="21.6" customHeight="1">
      <c r="A94" s="8">
        <v>10</v>
      </c>
      <c r="B94" s="9" t="s">
        <v>171</v>
      </c>
      <c r="C94" s="15" t="s">
        <v>172</v>
      </c>
      <c r="D94" s="13" t="s">
        <v>173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5">
        <f t="shared" si="33"/>
        <v>330631.91666666698</v>
      </c>
      <c r="K94" s="465">
        <v>254870.26344499999</v>
      </c>
      <c r="L94" s="465">
        <f t="shared" si="34"/>
        <v>75761.653221666595</v>
      </c>
      <c r="M94" s="467">
        <v>39613.135706666697</v>
      </c>
      <c r="N94" s="527">
        <v>29984.870925426701</v>
      </c>
      <c r="O94" s="528">
        <f t="shared" si="32"/>
        <v>9628.26478123999</v>
      </c>
      <c r="P94" s="529"/>
      <c r="Q94" s="555">
        <f t="shared" si="35"/>
        <v>66133.388440426599</v>
      </c>
    </row>
    <row r="95" spans="1:17" ht="20.100000000000001" customHeight="1">
      <c r="A95" s="8"/>
      <c r="B95" s="18" t="s">
        <v>96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833373.05975466699</v>
      </c>
      <c r="N95" s="535">
        <v>558913.87676142703</v>
      </c>
      <c r="O95" s="535">
        <f t="shared" si="39"/>
        <v>274459.18299324001</v>
      </c>
      <c r="P95" s="536"/>
      <c r="Q95" s="546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2"/>
      <c r="K96" s="472"/>
      <c r="L96" s="472"/>
      <c r="M96" s="473"/>
      <c r="N96" s="537"/>
      <c r="O96" s="537"/>
      <c r="P96" s="538"/>
      <c r="Q96" s="547"/>
    </row>
    <row r="97" spans="1:17" ht="20.100000000000001" customHeight="1">
      <c r="A97" s="8"/>
      <c r="B97" s="18" t="s">
        <v>174</v>
      </c>
      <c r="C97" s="19"/>
      <c r="D97" s="19"/>
      <c r="E97" s="122"/>
      <c r="F97" s="122"/>
      <c r="G97" s="186"/>
      <c r="H97" s="186"/>
      <c r="I97" s="122"/>
      <c r="J97" s="472"/>
      <c r="K97" s="472"/>
      <c r="L97" s="472"/>
      <c r="M97" s="473"/>
      <c r="N97" s="537"/>
      <c r="O97" s="537"/>
      <c r="P97" s="538"/>
      <c r="Q97" s="547"/>
    </row>
    <row r="98" spans="1:17" ht="20.100000000000001" customHeight="1">
      <c r="A98" s="8">
        <v>1</v>
      </c>
      <c r="B98" s="12" t="s">
        <v>175</v>
      </c>
      <c r="C98" s="2" t="s">
        <v>176</v>
      </c>
      <c r="D98" s="14" t="s">
        <v>191</v>
      </c>
      <c r="E98" s="70">
        <v>762373.16666666698</v>
      </c>
      <c r="F98" s="70"/>
      <c r="G98" s="186"/>
      <c r="H98" s="186">
        <f>80000+10000</f>
        <v>90000</v>
      </c>
      <c r="I98" s="70"/>
      <c r="J98" s="465">
        <f>E98+F98+G98+H98+I98</f>
        <v>852373.16666666698</v>
      </c>
      <c r="K98" s="465">
        <v>541465.02474999998</v>
      </c>
      <c r="L98" s="465">
        <f>J98-K98</f>
        <v>310908.14191666699</v>
      </c>
      <c r="M98" s="467">
        <v>130407.52761066701</v>
      </c>
      <c r="N98" s="527">
        <v>82423.216202666707</v>
      </c>
      <c r="O98" s="528">
        <f>M98-N98</f>
        <v>47984.311408000001</v>
      </c>
      <c r="P98" s="529"/>
      <c r="Q98" s="542">
        <f>L98-O98</f>
        <v>262923.83050866699</v>
      </c>
    </row>
    <row r="99" spans="1:17" ht="20.100000000000001" customHeight="1">
      <c r="A99" s="8">
        <v>2</v>
      </c>
      <c r="B99" s="9" t="s">
        <v>178</v>
      </c>
      <c r="C99" s="2" t="s">
        <v>179</v>
      </c>
      <c r="D99" s="13" t="s">
        <v>150</v>
      </c>
      <c r="E99" s="70">
        <v>456622.25</v>
      </c>
      <c r="F99" s="70"/>
      <c r="G99" s="186"/>
      <c r="H99" s="186">
        <v>70000</v>
      </c>
      <c r="I99" s="70">
        <v>0</v>
      </c>
      <c r="J99" s="465">
        <f t="shared" ref="J99:J101" si="40">E99+F99+G99+H99+I99</f>
        <v>526622.25</v>
      </c>
      <c r="K99" s="465">
        <v>335272.06374999997</v>
      </c>
      <c r="L99" s="465">
        <f t="shared" ref="L99:L101" si="41">J99-K99</f>
        <v>191350.18625</v>
      </c>
      <c r="M99" s="467">
        <v>72764.420906666695</v>
      </c>
      <c r="N99" s="527">
        <v>43492.373376666699</v>
      </c>
      <c r="O99" s="528">
        <f>M99-N99</f>
        <v>29272.04753</v>
      </c>
      <c r="P99" s="529"/>
      <c r="Q99" s="542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70">
        <v>377895.16666666698</v>
      </c>
      <c r="F100" s="70"/>
      <c r="G100" s="186"/>
      <c r="H100" s="186">
        <f>60000</f>
        <v>60000</v>
      </c>
      <c r="I100" s="70"/>
      <c r="J100" s="465">
        <f t="shared" si="40"/>
        <v>437895.16666666698</v>
      </c>
      <c r="K100" s="465">
        <v>284536.99849999999</v>
      </c>
      <c r="L100" s="465">
        <f t="shared" si="41"/>
        <v>153358.16816666699</v>
      </c>
      <c r="M100" s="467">
        <v>56938.068906666696</v>
      </c>
      <c r="N100" s="527">
        <v>34968.882414666703</v>
      </c>
      <c r="O100" s="528">
        <f>M100-N100</f>
        <v>21969.186492000001</v>
      </c>
      <c r="P100" s="529"/>
      <c r="Q100" s="542">
        <f t="shared" si="42"/>
        <v>131388.98167466701</v>
      </c>
    </row>
    <row r="101" spans="1:17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186">
        <v>300965.58333333302</v>
      </c>
      <c r="F101" s="70"/>
      <c r="G101" s="186"/>
      <c r="H101" s="186">
        <f>60000</f>
        <v>60000</v>
      </c>
      <c r="I101" s="70"/>
      <c r="J101" s="465">
        <f t="shared" si="40"/>
        <v>360965.58333333302</v>
      </c>
      <c r="K101" s="465">
        <v>237734.04699999999</v>
      </c>
      <c r="L101" s="465">
        <f t="shared" si="41"/>
        <v>123231.536333333</v>
      </c>
      <c r="M101" s="467">
        <v>43763.907226666699</v>
      </c>
      <c r="N101" s="527">
        <v>27105.986562666702</v>
      </c>
      <c r="O101" s="528">
        <f>M101-N101</f>
        <v>16657.920664000001</v>
      </c>
      <c r="P101" s="529"/>
      <c r="Q101" s="542">
        <f t="shared" si="42"/>
        <v>106573.615669333</v>
      </c>
    </row>
    <row r="102" spans="1:17" ht="20.100000000000001" customHeight="1">
      <c r="A102" s="2"/>
      <c r="B102" s="18" t="s">
        <v>96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5">
        <v>187990.458556667</v>
      </c>
      <c r="O102" s="535">
        <f t="shared" si="43"/>
        <v>115883.466094</v>
      </c>
      <c r="P102" s="536"/>
      <c r="Q102" s="546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2"/>
      <c r="K103" s="472"/>
      <c r="L103" s="472"/>
      <c r="M103" s="473"/>
      <c r="N103" s="537"/>
      <c r="O103" s="537"/>
      <c r="P103" s="538"/>
      <c r="Q103" s="547"/>
    </row>
    <row r="104" spans="1:17" ht="20.100000000000001" customHeight="1">
      <c r="A104" s="2"/>
      <c r="B104" s="18" t="s">
        <v>186</v>
      </c>
      <c r="C104" s="2"/>
      <c r="D104" s="2"/>
      <c r="E104" s="2"/>
      <c r="F104" s="2"/>
      <c r="G104" s="186"/>
      <c r="H104" s="186"/>
      <c r="I104" s="2"/>
      <c r="J104" s="476"/>
      <c r="K104" s="476"/>
      <c r="L104" s="476"/>
      <c r="M104" s="477"/>
      <c r="N104" s="548"/>
      <c r="O104" s="548"/>
      <c r="P104" s="549"/>
      <c r="Q104" s="556"/>
    </row>
    <row r="105" spans="1:17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5">
        <f>E105+F105+G105+H105+I105</f>
        <v>1635720</v>
      </c>
      <c r="K105" s="465">
        <v>1050209.0634999999</v>
      </c>
      <c r="L105" s="465">
        <f>J105-K105</f>
        <v>585510.93649999995</v>
      </c>
      <c r="M105" s="467">
        <v>270672.24746666697</v>
      </c>
      <c r="N105" s="527">
        <v>180306.806858667</v>
      </c>
      <c r="O105" s="528">
        <f t="shared" ref="O105:O111" si="44">M105-N105</f>
        <v>90365.440607999903</v>
      </c>
      <c r="P105" s="529"/>
      <c r="Q105" s="542">
        <f>L105-O105</f>
        <v>495145.49589199998</v>
      </c>
    </row>
    <row r="106" spans="1:17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5">
        <f t="shared" ref="J106:J111" si="45">E106+F106+G106+H106+I106</f>
        <v>942373.16666666698</v>
      </c>
      <c r="K106" s="465">
        <v>631465.02474999998</v>
      </c>
      <c r="L106" s="465">
        <f t="shared" ref="L106:L111" si="46">J106-K106</f>
        <v>310908.14191666699</v>
      </c>
      <c r="M106" s="467">
        <v>147687.52761066699</v>
      </c>
      <c r="N106" s="527">
        <v>99703.216202666707</v>
      </c>
      <c r="O106" s="528">
        <f t="shared" si="44"/>
        <v>47984.311408000001</v>
      </c>
      <c r="P106" s="529"/>
      <c r="Q106" s="542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5">
        <f t="shared" si="45"/>
        <v>603237.85519166698</v>
      </c>
      <c r="K107" s="465">
        <v>418096.01602500002</v>
      </c>
      <c r="L107" s="465">
        <f t="shared" si="46"/>
        <v>185141.83916666699</v>
      </c>
      <c r="M107" s="467">
        <v>87575.782703466699</v>
      </c>
      <c r="N107" s="527">
        <v>58814.673103466703</v>
      </c>
      <c r="O107" s="528">
        <f t="shared" si="44"/>
        <v>28761.1096</v>
      </c>
      <c r="P107" s="529"/>
      <c r="Q107" s="542">
        <f t="shared" si="47"/>
        <v>156380.729566667</v>
      </c>
    </row>
    <row r="108" spans="1:17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5">
        <f t="shared" si="45"/>
        <v>601625.033321667</v>
      </c>
      <c r="K108" s="465">
        <v>416483.19415499998</v>
      </c>
      <c r="L108" s="465">
        <f t="shared" si="46"/>
        <v>185141.83916666699</v>
      </c>
      <c r="M108" s="467">
        <v>87392.5495444267</v>
      </c>
      <c r="N108" s="527">
        <v>58631.439944426696</v>
      </c>
      <c r="O108" s="528">
        <f t="shared" si="44"/>
        <v>28761.1096</v>
      </c>
      <c r="P108" s="529"/>
      <c r="Q108" s="542">
        <f t="shared" si="47"/>
        <v>156380.729566667</v>
      </c>
    </row>
    <row r="109" spans="1:17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5">
        <f t="shared" si="45"/>
        <v>374481.86414666701</v>
      </c>
      <c r="K109" s="465">
        <v>266099.21747999999</v>
      </c>
      <c r="L109" s="465">
        <f t="shared" si="46"/>
        <v>108382.646666667</v>
      </c>
      <c r="M109" s="467">
        <v>46740.264902826697</v>
      </c>
      <c r="N109" s="527">
        <v>31871.335203306699</v>
      </c>
      <c r="O109" s="528">
        <f t="shared" si="44"/>
        <v>14868.92969952</v>
      </c>
      <c r="P109" s="529"/>
      <c r="Q109" s="542">
        <f t="shared" si="47"/>
        <v>93513.716967146596</v>
      </c>
    </row>
    <row r="110" spans="1:17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5">
        <f t="shared" si="45"/>
        <v>367926.02100000001</v>
      </c>
      <c r="K110" s="465">
        <v>262229.04100000003</v>
      </c>
      <c r="L110" s="465">
        <f t="shared" si="46"/>
        <v>105696.98</v>
      </c>
      <c r="M110" s="467">
        <v>45712.637394666701</v>
      </c>
      <c r="N110" s="527">
        <v>31221.145554666698</v>
      </c>
      <c r="O110" s="528">
        <f t="shared" si="44"/>
        <v>14491.491840000001</v>
      </c>
      <c r="P110" s="529"/>
      <c r="Q110" s="542">
        <f t="shared" si="47"/>
        <v>91205.488159999994</v>
      </c>
    </row>
    <row r="111" spans="1:17" ht="20.100000000000001" customHeight="1">
      <c r="A111" s="2">
        <v>7</v>
      </c>
      <c r="B111" s="16" t="s">
        <v>201</v>
      </c>
      <c r="C111" s="2" t="s">
        <v>197</v>
      </c>
      <c r="D111" s="13" t="s">
        <v>173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5">
        <f t="shared" si="45"/>
        <v>355198.112111667</v>
      </c>
      <c r="K111" s="465">
        <v>254870.26344499999</v>
      </c>
      <c r="L111" s="465">
        <f t="shared" si="46"/>
        <v>100327.84866666701</v>
      </c>
      <c r="M111" s="467">
        <v>43740.256541426701</v>
      </c>
      <c r="N111" s="527">
        <v>29984.870925426701</v>
      </c>
      <c r="O111" s="528">
        <f t="shared" si="44"/>
        <v>13755.385616</v>
      </c>
      <c r="P111" s="529"/>
      <c r="Q111" s="542">
        <f t="shared" si="47"/>
        <v>86572.463050666702</v>
      </c>
    </row>
    <row r="112" spans="1:17" ht="25.5" customHeight="1">
      <c r="A112" s="2"/>
      <c r="B112" s="18" t="s">
        <v>96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4880562.0524383299</v>
      </c>
      <c r="K112" s="189">
        <v>3299451.820355</v>
      </c>
      <c r="L112" s="189">
        <f t="shared" si="49"/>
        <v>1581110.2320833299</v>
      </c>
      <c r="M112" s="189">
        <f t="shared" si="49"/>
        <v>729521.26616414695</v>
      </c>
      <c r="N112" s="550">
        <v>490533.48779262701</v>
      </c>
      <c r="O112" s="550">
        <f t="shared" si="49"/>
        <v>238987.77837151999</v>
      </c>
      <c r="P112" s="551"/>
      <c r="Q112" s="557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4"/>
      <c r="H113" s="474"/>
      <c r="I113" s="189"/>
      <c r="J113" s="478"/>
      <c r="K113" s="478"/>
      <c r="L113" s="478"/>
      <c r="M113" s="479"/>
      <c r="N113" s="552"/>
      <c r="O113" s="552"/>
      <c r="P113" s="551"/>
      <c r="Q113" s="558"/>
    </row>
    <row r="114" spans="1:17" ht="20.100000000000001" customHeight="1">
      <c r="A114" s="8"/>
      <c r="B114" s="18" t="s">
        <v>202</v>
      </c>
      <c r="C114" s="19"/>
      <c r="D114" s="19"/>
      <c r="E114" s="122"/>
      <c r="F114" s="122"/>
      <c r="G114" s="186"/>
      <c r="H114" s="186"/>
      <c r="I114" s="122"/>
      <c r="J114" s="472"/>
      <c r="K114" s="472"/>
      <c r="L114" s="472"/>
      <c r="M114" s="473"/>
      <c r="N114" s="537"/>
      <c r="O114" s="537"/>
      <c r="P114" s="538"/>
      <c r="Q114" s="547"/>
    </row>
    <row r="115" spans="1:17" ht="20.100000000000001" customHeight="1">
      <c r="A115" s="8">
        <v>1</v>
      </c>
      <c r="B115" s="12" t="s">
        <v>203</v>
      </c>
      <c r="C115" s="2" t="s">
        <v>114</v>
      </c>
      <c r="D115" s="8" t="s">
        <v>133</v>
      </c>
      <c r="E115" s="70">
        <v>601396.83333333302</v>
      </c>
      <c r="F115" s="70"/>
      <c r="G115" s="186">
        <v>160000</v>
      </c>
      <c r="H115" s="186"/>
      <c r="I115" s="70">
        <v>0</v>
      </c>
      <c r="J115" s="465">
        <f>E115+F115+G115+H115+I115</f>
        <v>761396.83333333302</v>
      </c>
      <c r="K115" s="465">
        <v>516137.05</v>
      </c>
      <c r="L115" s="465">
        <f>J115-K115</f>
        <v>245259.78333333301</v>
      </c>
      <c r="M115" s="467">
        <v>115462.53994666701</v>
      </c>
      <c r="N115" s="527">
        <v>77610.116906666706</v>
      </c>
      <c r="O115" s="528">
        <f>M115-N115</f>
        <v>37852.423040000001</v>
      </c>
      <c r="P115" s="529"/>
      <c r="Q115" s="542">
        <f>L115-O115</f>
        <v>207407.36029333301</v>
      </c>
    </row>
    <row r="116" spans="1:17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5">
        <f t="shared" ref="J116:J117" si="50">E116+F116+G116+H116+I116</f>
        <v>487895.16666666698</v>
      </c>
      <c r="K116" s="465">
        <v>334536.99849999999</v>
      </c>
      <c r="L116" s="465">
        <f t="shared" ref="L116:L117" si="51">J116-K116</f>
        <v>153358.16816666699</v>
      </c>
      <c r="M116" s="467">
        <v>66538.068906666696</v>
      </c>
      <c r="N116" s="527">
        <v>43368.882414666703</v>
      </c>
      <c r="O116" s="528">
        <f>M116-N116</f>
        <v>23169.186492000001</v>
      </c>
      <c r="P116" s="529"/>
      <c r="Q116" s="542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206</v>
      </c>
      <c r="C117" s="10" t="s">
        <v>579</v>
      </c>
      <c r="D117" s="13" t="s">
        <v>255</v>
      </c>
      <c r="E117" s="70">
        <v>390086.5</v>
      </c>
      <c r="F117" s="70"/>
      <c r="G117" s="186"/>
      <c r="H117" s="186">
        <f>60000</f>
        <v>60000</v>
      </c>
      <c r="I117" s="70"/>
      <c r="J117" s="465">
        <f t="shared" si="50"/>
        <v>450086.5</v>
      </c>
      <c r="K117" s="465">
        <v>286619.99875000003</v>
      </c>
      <c r="L117" s="465">
        <f t="shared" si="51"/>
        <v>163466.50125</v>
      </c>
      <c r="M117" s="467">
        <v>58980.834746666696</v>
      </c>
      <c r="N117" s="527">
        <v>35221.954086666701</v>
      </c>
      <c r="O117" s="528">
        <f>M117-N117</f>
        <v>23758.880659999999</v>
      </c>
      <c r="P117" s="529"/>
      <c r="Q117" s="542">
        <f t="shared" si="52"/>
        <v>139707.62059000001</v>
      </c>
    </row>
    <row r="118" spans="1:17" ht="24.75" customHeight="1">
      <c r="A118" s="2"/>
      <c r="B118" s="18" t="s">
        <v>96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5">
        <v>156200.953408</v>
      </c>
      <c r="O118" s="535">
        <f t="shared" si="53"/>
        <v>84780.490191999997</v>
      </c>
      <c r="P118" s="536"/>
      <c r="Q118" s="546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0"/>
      <c r="K119" s="480"/>
      <c r="L119" s="480"/>
      <c r="M119" s="481"/>
      <c r="N119" s="553"/>
      <c r="O119" s="553"/>
      <c r="P119" s="554"/>
      <c r="Q119" s="559"/>
    </row>
    <row r="120" spans="1:17" ht="20.100000000000001" customHeight="1">
      <c r="A120" s="2"/>
      <c r="B120" s="18" t="s">
        <v>215</v>
      </c>
      <c r="C120" s="19"/>
      <c r="D120" s="19"/>
      <c r="E120" s="122"/>
      <c r="F120" s="122"/>
      <c r="G120" s="186"/>
      <c r="H120" s="186"/>
      <c r="I120" s="122"/>
      <c r="J120" s="472"/>
      <c r="K120" s="472"/>
      <c r="L120" s="472"/>
      <c r="M120" s="473"/>
      <c r="N120" s="537"/>
      <c r="O120" s="537"/>
      <c r="P120" s="538"/>
      <c r="Q120" s="547"/>
    </row>
    <row r="121" spans="1:17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5">
        <f>E121+F121+G121+H121+I121</f>
        <v>1635720</v>
      </c>
      <c r="K121" s="465">
        <v>1050209.0634999999</v>
      </c>
      <c r="L121" s="465">
        <f>J121-K121</f>
        <v>585510.93649999995</v>
      </c>
      <c r="M121" s="467">
        <v>270279.89537066699</v>
      </c>
      <c r="N121" s="527">
        <v>179914.45476266701</v>
      </c>
      <c r="O121" s="528">
        <f t="shared" ref="O121:O130" si="54">M121-N121</f>
        <v>90365.440608000004</v>
      </c>
      <c r="P121" s="529"/>
      <c r="Q121" s="542">
        <f>L121-O121</f>
        <v>495145.49589199998</v>
      </c>
    </row>
    <row r="122" spans="1:17" ht="20.100000000000001" customHeight="1">
      <c r="A122" s="2">
        <v>2</v>
      </c>
      <c r="B122" s="9" t="s">
        <v>218</v>
      </c>
      <c r="C122" s="10" t="s">
        <v>219</v>
      </c>
      <c r="D122" s="13" t="s">
        <v>112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5">
        <f t="shared" ref="J122:J130" si="55">E122+F122+G122+H122+I122</f>
        <v>929203.58333333302</v>
      </c>
      <c r="K122" s="465">
        <v>627743.99575</v>
      </c>
      <c r="L122" s="465">
        <f t="shared" ref="L122:L130" si="56">J122-K122</f>
        <v>301459.58758333302</v>
      </c>
      <c r="M122" s="467">
        <v>145522.03071466699</v>
      </c>
      <c r="N122" s="527">
        <v>98995.956938666699</v>
      </c>
      <c r="O122" s="528">
        <f t="shared" si="54"/>
        <v>46526.073775999997</v>
      </c>
      <c r="P122" s="529"/>
      <c r="Q122" s="542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5">
        <f t="shared" si="55"/>
        <v>830675.58333333302</v>
      </c>
      <c r="K123" s="465">
        <v>577553.50249999994</v>
      </c>
      <c r="L123" s="465">
        <f t="shared" si="56"/>
        <v>253122.08083333299</v>
      </c>
      <c r="M123" s="467">
        <v>128461.965706667</v>
      </c>
      <c r="N123" s="527">
        <v>89396.103146666603</v>
      </c>
      <c r="O123" s="528">
        <f t="shared" si="54"/>
        <v>39065.862560000001</v>
      </c>
      <c r="P123" s="529"/>
      <c r="Q123" s="542">
        <f t="shared" si="57"/>
        <v>214056.21827333301</v>
      </c>
    </row>
    <row r="124" spans="1:17" ht="20.100000000000001" customHeight="1">
      <c r="A124" s="2">
        <v>4</v>
      </c>
      <c r="B124" s="12" t="s">
        <v>521</v>
      </c>
      <c r="C124" s="10" t="s">
        <v>221</v>
      </c>
      <c r="D124" s="13" t="s">
        <v>39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5">
        <f t="shared" si="55"/>
        <v>662118.08333333302</v>
      </c>
      <c r="K124" s="465">
        <v>424729.22200000001</v>
      </c>
      <c r="L124" s="465">
        <f t="shared" si="56"/>
        <v>237388.86133333301</v>
      </c>
      <c r="M124" s="467">
        <v>105793.338666667</v>
      </c>
      <c r="N124" s="527">
        <v>60214.677290666703</v>
      </c>
      <c r="O124" s="528">
        <f t="shared" si="54"/>
        <v>45578.661375999996</v>
      </c>
      <c r="P124" s="529"/>
      <c r="Q124" s="542">
        <f t="shared" si="57"/>
        <v>191810.19995733301</v>
      </c>
    </row>
    <row r="125" spans="1:17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5">
        <f t="shared" si="55"/>
        <v>540498</v>
      </c>
      <c r="K125" s="465">
        <v>343333.03525000002</v>
      </c>
      <c r="L125" s="465">
        <f t="shared" si="56"/>
        <v>197164.96475000001</v>
      </c>
      <c r="M125" s="467">
        <v>75215.4333866667</v>
      </c>
      <c r="N125" s="527">
        <v>44846.6165886667</v>
      </c>
      <c r="O125" s="528">
        <f t="shared" si="54"/>
        <v>30368.816798</v>
      </c>
      <c r="P125" s="529"/>
      <c r="Q125" s="542">
        <f t="shared" si="57"/>
        <v>166796.147952</v>
      </c>
    </row>
    <row r="126" spans="1:17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5">
        <f t="shared" si="55"/>
        <v>512746.5</v>
      </c>
      <c r="K126" s="465">
        <v>327211.36749999999</v>
      </c>
      <c r="L126" s="465">
        <f t="shared" si="56"/>
        <v>185535.13250000001</v>
      </c>
      <c r="M126" s="467">
        <v>70189.308746666706</v>
      </c>
      <c r="N126" s="527">
        <v>42029.589186666701</v>
      </c>
      <c r="O126" s="528">
        <f t="shared" si="54"/>
        <v>28159.719560000001</v>
      </c>
      <c r="P126" s="529"/>
      <c r="Q126" s="542">
        <f t="shared" si="57"/>
        <v>157375.41294000001</v>
      </c>
    </row>
    <row r="127" spans="1:17" ht="20.100000000000001" customHeight="1">
      <c r="A127" s="2">
        <v>7</v>
      </c>
      <c r="B127" s="9" t="s">
        <v>227</v>
      </c>
      <c r="C127" s="10" t="s">
        <v>223</v>
      </c>
      <c r="D127" s="13" t="s">
        <v>150</v>
      </c>
      <c r="E127" s="70">
        <v>456622.25</v>
      </c>
      <c r="F127" s="70"/>
      <c r="G127" s="186"/>
      <c r="H127" s="186">
        <f t="shared" si="58"/>
        <v>70000</v>
      </c>
      <c r="I127" s="70"/>
      <c r="J127" s="465">
        <f t="shared" si="55"/>
        <v>526622.25</v>
      </c>
      <c r="K127" s="465">
        <v>335272.06374999997</v>
      </c>
      <c r="L127" s="465">
        <f t="shared" si="56"/>
        <v>191350.18625</v>
      </c>
      <c r="M127" s="467">
        <v>72636.104186666693</v>
      </c>
      <c r="N127" s="527">
        <v>43380.096246666697</v>
      </c>
      <c r="O127" s="528">
        <f t="shared" si="54"/>
        <v>29256.00794</v>
      </c>
      <c r="P127" s="529"/>
      <c r="Q127" s="542">
        <f t="shared" si="57"/>
        <v>162094.17830999999</v>
      </c>
    </row>
    <row r="128" spans="1:17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70">
        <v>270481.66666666698</v>
      </c>
      <c r="F128" s="70"/>
      <c r="G128" s="186"/>
      <c r="H128" s="186">
        <f>60000</f>
        <v>60000</v>
      </c>
      <c r="I128" s="70"/>
      <c r="J128" s="465">
        <f t="shared" si="55"/>
        <v>330481.66666666698</v>
      </c>
      <c r="K128" s="465">
        <v>213508.01</v>
      </c>
      <c r="L128" s="465">
        <f t="shared" si="56"/>
        <v>116973.656666667</v>
      </c>
      <c r="M128" s="467">
        <v>39052.313066666698</v>
      </c>
      <c r="N128" s="527">
        <v>23036.012346666699</v>
      </c>
      <c r="O128" s="528">
        <f t="shared" si="54"/>
        <v>16016.300719999999</v>
      </c>
      <c r="P128" s="529"/>
      <c r="Q128" s="542">
        <f t="shared" si="57"/>
        <v>100957.355946667</v>
      </c>
    </row>
    <row r="129" spans="1:17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70">
        <v>224459.75</v>
      </c>
      <c r="F129" s="70"/>
      <c r="G129" s="186"/>
      <c r="H129" s="186">
        <f>50000</f>
        <v>50000</v>
      </c>
      <c r="I129" s="70"/>
      <c r="J129" s="465">
        <f t="shared" si="55"/>
        <v>274459.75</v>
      </c>
      <c r="K129" s="465">
        <v>176816.1</v>
      </c>
      <c r="L129" s="465">
        <f t="shared" si="56"/>
        <v>97643.65</v>
      </c>
      <c r="M129" s="467">
        <v>30259.165626666701</v>
      </c>
      <c r="N129" s="527">
        <v>17042.713866666702</v>
      </c>
      <c r="O129" s="528">
        <f t="shared" si="54"/>
        <v>13216.45176</v>
      </c>
      <c r="P129" s="529"/>
      <c r="Q129" s="542">
        <f t="shared" si="57"/>
        <v>84427.198239999998</v>
      </c>
    </row>
    <row r="130" spans="1:17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70">
        <v>224459.75</v>
      </c>
      <c r="F130" s="70"/>
      <c r="G130" s="186"/>
      <c r="H130" s="186">
        <v>50000</v>
      </c>
      <c r="I130" s="70"/>
      <c r="J130" s="465">
        <f t="shared" si="55"/>
        <v>274459.75</v>
      </c>
      <c r="K130" s="465">
        <v>176816.1</v>
      </c>
      <c r="L130" s="465">
        <f t="shared" si="56"/>
        <v>97643.65</v>
      </c>
      <c r="M130" s="467">
        <v>30259.165626666701</v>
      </c>
      <c r="N130" s="527">
        <v>17042.713866666702</v>
      </c>
      <c r="O130" s="528">
        <f t="shared" si="54"/>
        <v>13216.45176</v>
      </c>
      <c r="P130" s="529"/>
      <c r="Q130" s="542">
        <f t="shared" si="57"/>
        <v>84427.198239999998</v>
      </c>
    </row>
    <row r="131" spans="1:17" ht="28.5" customHeight="1">
      <c r="A131" s="2"/>
      <c r="B131" s="18" t="s">
        <v>96</v>
      </c>
      <c r="C131" s="24" t="s">
        <v>235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967668.72109866701</v>
      </c>
      <c r="N131" s="560">
        <v>615898.93424066703</v>
      </c>
      <c r="O131" s="560">
        <f t="shared" si="59"/>
        <v>351769.78685799998</v>
      </c>
      <c r="P131" s="538"/>
      <c r="Q131" s="561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2"/>
      <c r="K132" s="472"/>
      <c r="L132" s="472"/>
      <c r="M132" s="473"/>
      <c r="N132" s="537"/>
      <c r="O132" s="537"/>
      <c r="P132" s="538"/>
      <c r="Q132" s="547"/>
    </row>
    <row r="133" spans="1:17" ht="20.100000000000001" customHeight="1">
      <c r="A133" s="2"/>
      <c r="B133" s="18" t="s">
        <v>236</v>
      </c>
      <c r="C133" s="10"/>
      <c r="D133" s="13"/>
      <c r="E133" s="70"/>
      <c r="F133" s="70"/>
      <c r="G133" s="186"/>
      <c r="H133" s="186"/>
      <c r="I133" s="70"/>
      <c r="J133" s="465"/>
      <c r="K133" s="465"/>
      <c r="L133" s="465"/>
      <c r="M133" s="466"/>
      <c r="N133" s="527"/>
      <c r="O133" s="527"/>
      <c r="P133" s="533"/>
      <c r="Q133" s="545"/>
    </row>
    <row r="134" spans="1:17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5">
        <f>E134+F134+G134+H134+I134</f>
        <v>1535720</v>
      </c>
      <c r="K134" s="465">
        <v>950209.06350000005</v>
      </c>
      <c r="L134" s="465">
        <f>J134-K134</f>
        <v>585510.93649999995</v>
      </c>
      <c r="M134" s="467">
        <v>251472.247466667</v>
      </c>
      <c r="N134" s="527">
        <v>161106.806858667</v>
      </c>
      <c r="O134" s="528">
        <f t="shared" ref="O134:O192" si="60">M134-N134</f>
        <v>90365.440607999903</v>
      </c>
      <c r="P134" s="529"/>
      <c r="Q134" s="542">
        <f>L134-O134</f>
        <v>495145.49589199998</v>
      </c>
    </row>
    <row r="135" spans="1:17" ht="20.100000000000001" customHeight="1">
      <c r="A135" s="25">
        <v>2</v>
      </c>
      <c r="B135" s="9" t="s">
        <v>522</v>
      </c>
      <c r="C135" s="10" t="s">
        <v>573</v>
      </c>
      <c r="D135" s="13" t="s">
        <v>191</v>
      </c>
      <c r="E135" s="70">
        <v>762373.16666666698</v>
      </c>
      <c r="F135" s="70"/>
      <c r="G135" s="186"/>
      <c r="H135" s="186">
        <v>90000</v>
      </c>
      <c r="I135" s="70"/>
      <c r="J135" s="465">
        <f t="shared" ref="J135:J192" si="61">E135+F135+G135+H135+I135</f>
        <v>852373.16666666698</v>
      </c>
      <c r="K135" s="465">
        <v>541465.02474999998</v>
      </c>
      <c r="L135" s="465">
        <f t="shared" ref="L135:L192" si="62">J135-K135</f>
        <v>310908.14191666699</v>
      </c>
      <c r="M135" s="467">
        <v>142322.31466666699</v>
      </c>
      <c r="N135" s="527">
        <v>82627.951418666693</v>
      </c>
      <c r="O135" s="528">
        <f t="shared" si="60"/>
        <v>59694.363248000001</v>
      </c>
      <c r="P135" s="529"/>
      <c r="Q135" s="542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5">
        <f t="shared" si="61"/>
        <v>902373.16666666698</v>
      </c>
      <c r="K136" s="465">
        <v>591465.02474999998</v>
      </c>
      <c r="L136" s="465">
        <f t="shared" si="62"/>
        <v>310908.14191666699</v>
      </c>
      <c r="M136" s="467">
        <v>140007.52761066699</v>
      </c>
      <c r="N136" s="527">
        <v>92023.216202666707</v>
      </c>
      <c r="O136" s="528">
        <f t="shared" si="60"/>
        <v>47984.311408000001</v>
      </c>
      <c r="P136" s="529"/>
      <c r="Q136" s="542">
        <f t="shared" si="63"/>
        <v>262923.83050866699</v>
      </c>
    </row>
    <row r="137" spans="1:17" ht="20.100000000000001" customHeight="1">
      <c r="A137" s="25">
        <v>4</v>
      </c>
      <c r="B137" s="9" t="s">
        <v>241</v>
      </c>
      <c r="C137" s="10" t="s">
        <v>580</v>
      </c>
      <c r="D137" s="13" t="s">
        <v>42</v>
      </c>
      <c r="E137" s="70">
        <v>484373.75</v>
      </c>
      <c r="F137" s="70"/>
      <c r="G137" s="186"/>
      <c r="H137" s="186">
        <v>70000</v>
      </c>
      <c r="I137" s="70"/>
      <c r="J137" s="465">
        <f t="shared" si="61"/>
        <v>554373.75</v>
      </c>
      <c r="K137" s="465">
        <v>351394.00675</v>
      </c>
      <c r="L137" s="465">
        <f t="shared" si="62"/>
        <v>202979.74325</v>
      </c>
      <c r="M137" s="467">
        <v>77529.694778666701</v>
      </c>
      <c r="N137" s="527">
        <v>46081.202598666699</v>
      </c>
      <c r="O137" s="528">
        <f t="shared" si="60"/>
        <v>31448.492180000001</v>
      </c>
      <c r="P137" s="529"/>
      <c r="Q137" s="542">
        <f t="shared" si="63"/>
        <v>171531.25107</v>
      </c>
    </row>
    <row r="138" spans="1:17" ht="20.100000000000001" customHeight="1">
      <c r="A138" s="25">
        <v>5</v>
      </c>
      <c r="B138" s="9" t="s">
        <v>243</v>
      </c>
      <c r="C138" s="2" t="s">
        <v>581</v>
      </c>
      <c r="D138" s="13" t="s">
        <v>42</v>
      </c>
      <c r="E138" s="70">
        <v>484373.75</v>
      </c>
      <c r="F138" s="70"/>
      <c r="G138" s="186"/>
      <c r="H138" s="186">
        <v>70000</v>
      </c>
      <c r="I138" s="70">
        <v>0</v>
      </c>
      <c r="J138" s="465">
        <f t="shared" si="61"/>
        <v>554373.75</v>
      </c>
      <c r="K138" s="465">
        <v>351394.00675</v>
      </c>
      <c r="L138" s="465">
        <f t="shared" si="62"/>
        <v>202979.74325</v>
      </c>
      <c r="M138" s="467">
        <v>77529.694778666701</v>
      </c>
      <c r="N138" s="527">
        <v>46081.202598666699</v>
      </c>
      <c r="O138" s="528">
        <f t="shared" si="60"/>
        <v>31448.492180000001</v>
      </c>
      <c r="P138" s="529"/>
      <c r="Q138" s="542">
        <f t="shared" si="63"/>
        <v>171531.25107</v>
      </c>
    </row>
    <row r="139" spans="1:17" ht="20.100000000000001" customHeight="1">
      <c r="A139" s="25">
        <v>6</v>
      </c>
      <c r="B139" s="9" t="s">
        <v>245</v>
      </c>
      <c r="C139" s="2" t="s">
        <v>581</v>
      </c>
      <c r="D139" s="13" t="s">
        <v>42</v>
      </c>
      <c r="E139" s="70">
        <v>484373.75</v>
      </c>
      <c r="F139" s="70"/>
      <c r="G139" s="186"/>
      <c r="H139" s="186">
        <v>70000</v>
      </c>
      <c r="I139" s="70">
        <v>0</v>
      </c>
      <c r="J139" s="465">
        <f t="shared" si="61"/>
        <v>554373.75</v>
      </c>
      <c r="K139" s="465">
        <v>351394.00675</v>
      </c>
      <c r="L139" s="465">
        <f t="shared" si="62"/>
        <v>202979.74325</v>
      </c>
      <c r="M139" s="467">
        <v>77529.694778666701</v>
      </c>
      <c r="N139" s="527">
        <v>46081.202598666699</v>
      </c>
      <c r="O139" s="528">
        <f t="shared" si="60"/>
        <v>31448.492180000001</v>
      </c>
      <c r="P139" s="529"/>
      <c r="Q139" s="542">
        <f t="shared" si="63"/>
        <v>171531.25107</v>
      </c>
    </row>
    <row r="140" spans="1:17" ht="20.100000000000001" customHeight="1">
      <c r="A140" s="25">
        <v>7</v>
      </c>
      <c r="B140" s="9" t="s">
        <v>180</v>
      </c>
      <c r="C140" s="10" t="s">
        <v>582</v>
      </c>
      <c r="D140" s="13" t="s">
        <v>255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5">
        <f t="shared" si="61"/>
        <v>450086.5</v>
      </c>
      <c r="K140" s="465">
        <v>286619.99875000003</v>
      </c>
      <c r="L140" s="465">
        <f t="shared" si="62"/>
        <v>163466.50125</v>
      </c>
      <c r="M140" s="467">
        <v>58980.834746666696</v>
      </c>
      <c r="N140" s="527">
        <v>35221.954086666701</v>
      </c>
      <c r="O140" s="528">
        <f t="shared" si="60"/>
        <v>23758.880659999999</v>
      </c>
      <c r="P140" s="529"/>
      <c r="Q140" s="542">
        <f t="shared" si="63"/>
        <v>139707.62059000001</v>
      </c>
    </row>
    <row r="141" spans="1:17" ht="20.100000000000001" customHeight="1">
      <c r="A141" s="25">
        <v>8</v>
      </c>
      <c r="B141" s="9" t="s">
        <v>246</v>
      </c>
      <c r="C141" s="10" t="s">
        <v>582</v>
      </c>
      <c r="D141" s="13" t="s">
        <v>255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5">
        <f t="shared" si="61"/>
        <v>450086.5</v>
      </c>
      <c r="K141" s="465">
        <v>286619.99875000003</v>
      </c>
      <c r="L141" s="465">
        <f t="shared" si="62"/>
        <v>163466.50125</v>
      </c>
      <c r="M141" s="467">
        <v>59091.5460266667</v>
      </c>
      <c r="N141" s="527">
        <v>35318.826456666699</v>
      </c>
      <c r="O141" s="528">
        <f t="shared" si="60"/>
        <v>23772.719570000001</v>
      </c>
      <c r="P141" s="529"/>
      <c r="Q141" s="542">
        <f t="shared" si="63"/>
        <v>139693.78167999999</v>
      </c>
    </row>
    <row r="142" spans="1:17" ht="20.100000000000001" customHeight="1">
      <c r="A142" s="25">
        <v>9</v>
      </c>
      <c r="B142" s="9" t="s">
        <v>247</v>
      </c>
      <c r="C142" s="2" t="s">
        <v>583</v>
      </c>
      <c r="D142" s="13" t="s">
        <v>255</v>
      </c>
      <c r="E142" s="70">
        <v>390086.5</v>
      </c>
      <c r="F142" s="70"/>
      <c r="G142" s="186"/>
      <c r="H142" s="186">
        <f t="shared" si="64"/>
        <v>60000</v>
      </c>
      <c r="I142" s="70"/>
      <c r="J142" s="465">
        <f t="shared" si="61"/>
        <v>450086.5</v>
      </c>
      <c r="K142" s="465">
        <v>286619.99875000003</v>
      </c>
      <c r="L142" s="465">
        <f t="shared" si="62"/>
        <v>163466.50125</v>
      </c>
      <c r="M142" s="467">
        <v>59091.5460266667</v>
      </c>
      <c r="N142" s="527">
        <v>35318.826456666699</v>
      </c>
      <c r="O142" s="528">
        <f t="shared" si="60"/>
        <v>23772.719570000001</v>
      </c>
      <c r="P142" s="529"/>
      <c r="Q142" s="542">
        <f t="shared" si="63"/>
        <v>139693.78167999999</v>
      </c>
    </row>
    <row r="143" spans="1:17" ht="20.100000000000001" customHeight="1">
      <c r="A143" s="25">
        <v>10</v>
      </c>
      <c r="B143" s="9" t="s">
        <v>249</v>
      </c>
      <c r="C143" s="10" t="s">
        <v>250</v>
      </c>
      <c r="D143" s="13" t="s">
        <v>62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5">
        <f t="shared" si="61"/>
        <v>437895.16666666698</v>
      </c>
      <c r="K143" s="465">
        <v>284536.99849999999</v>
      </c>
      <c r="L143" s="465">
        <f t="shared" si="62"/>
        <v>153358.16816666699</v>
      </c>
      <c r="M143" s="467">
        <v>56938.068906666696</v>
      </c>
      <c r="N143" s="527">
        <v>34968.882414666703</v>
      </c>
      <c r="O143" s="528">
        <f t="shared" si="60"/>
        <v>21969.186492000001</v>
      </c>
      <c r="P143" s="529"/>
      <c r="Q143" s="542">
        <f t="shared" si="63"/>
        <v>131388.98167466701</v>
      </c>
    </row>
    <row r="144" spans="1:17" ht="20.100000000000001" customHeight="1">
      <c r="A144" s="25">
        <v>11</v>
      </c>
      <c r="B144" s="9" t="s">
        <v>251</v>
      </c>
      <c r="C144" s="10" t="s">
        <v>252</v>
      </c>
      <c r="D144" s="13" t="s">
        <v>137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5">
        <f t="shared" si="61"/>
        <v>425703.83333333302</v>
      </c>
      <c r="K144" s="465">
        <v>272454.07400000002</v>
      </c>
      <c r="L144" s="465">
        <f t="shared" si="62"/>
        <v>153249.759333333</v>
      </c>
      <c r="M144" s="467">
        <v>54681.291562666702</v>
      </c>
      <c r="N144" s="527">
        <v>32848.563402666703</v>
      </c>
      <c r="O144" s="528">
        <f t="shared" si="60"/>
        <v>21832.728159999999</v>
      </c>
      <c r="P144" s="529"/>
      <c r="Q144" s="542">
        <f t="shared" si="63"/>
        <v>131417.031173333</v>
      </c>
    </row>
    <row r="145" spans="1:17" ht="20.100000000000001" customHeight="1">
      <c r="A145" s="25">
        <v>12</v>
      </c>
      <c r="B145" s="9" t="s">
        <v>253</v>
      </c>
      <c r="C145" s="10" t="s">
        <v>254</v>
      </c>
      <c r="D145" s="13" t="s">
        <v>255</v>
      </c>
      <c r="E145" s="70">
        <v>390086.5</v>
      </c>
      <c r="F145" s="70"/>
      <c r="G145" s="186"/>
      <c r="H145" s="186">
        <f t="shared" si="64"/>
        <v>60000</v>
      </c>
      <c r="I145" s="70"/>
      <c r="J145" s="465">
        <f t="shared" si="61"/>
        <v>450086.5</v>
      </c>
      <c r="K145" s="465">
        <v>286619.99875000003</v>
      </c>
      <c r="L145" s="465">
        <f t="shared" si="62"/>
        <v>163466.50125</v>
      </c>
      <c r="M145" s="467">
        <v>58980.834746666696</v>
      </c>
      <c r="N145" s="527">
        <v>35221.954086666701</v>
      </c>
      <c r="O145" s="528">
        <f t="shared" si="60"/>
        <v>23758.880659999999</v>
      </c>
      <c r="P145" s="529"/>
      <c r="Q145" s="542">
        <f t="shared" si="63"/>
        <v>139707.62059000001</v>
      </c>
    </row>
    <row r="146" spans="1:17" ht="20.100000000000001" customHeight="1">
      <c r="A146" s="25">
        <v>13</v>
      </c>
      <c r="B146" s="16" t="s">
        <v>256</v>
      </c>
      <c r="C146" s="2" t="s">
        <v>257</v>
      </c>
      <c r="D146" s="13" t="s">
        <v>65</v>
      </c>
      <c r="E146" s="186">
        <v>353512.5</v>
      </c>
      <c r="F146" s="70"/>
      <c r="G146" s="186"/>
      <c r="H146" s="186">
        <v>60000</v>
      </c>
      <c r="I146" s="70"/>
      <c r="J146" s="465">
        <f t="shared" si="61"/>
        <v>413512.5</v>
      </c>
      <c r="K146" s="465">
        <v>265372.07500000001</v>
      </c>
      <c r="L146" s="465">
        <f t="shared" si="62"/>
        <v>148140.42499999999</v>
      </c>
      <c r="M146" s="467">
        <v>52631.114666666697</v>
      </c>
      <c r="N146" s="527">
        <v>31749.175266666702</v>
      </c>
      <c r="O146" s="528">
        <f t="shared" si="60"/>
        <v>20881.939399999999</v>
      </c>
      <c r="P146" s="529"/>
      <c r="Q146" s="542">
        <f t="shared" si="63"/>
        <v>127258.4856</v>
      </c>
    </row>
    <row r="147" spans="1:17" ht="20.100000000000001" customHeight="1">
      <c r="A147" s="25">
        <v>14</v>
      </c>
      <c r="B147" s="9" t="s">
        <v>258</v>
      </c>
      <c r="C147" s="2" t="s">
        <v>584</v>
      </c>
      <c r="D147" s="13" t="s">
        <v>267</v>
      </c>
      <c r="E147" s="186">
        <v>308901.5</v>
      </c>
      <c r="F147" s="70"/>
      <c r="G147" s="186"/>
      <c r="H147" s="186">
        <f>60000</f>
        <v>60000</v>
      </c>
      <c r="I147" s="70"/>
      <c r="J147" s="465">
        <f t="shared" si="61"/>
        <v>368901.5</v>
      </c>
      <c r="K147" s="465">
        <v>237734.04699999999</v>
      </c>
      <c r="L147" s="465">
        <f t="shared" si="62"/>
        <v>131167.45300000001</v>
      </c>
      <c r="M147" s="467">
        <v>44990.482506666704</v>
      </c>
      <c r="N147" s="527">
        <v>27105.986562666702</v>
      </c>
      <c r="O147" s="528">
        <f t="shared" si="60"/>
        <v>17884.495943999998</v>
      </c>
      <c r="P147" s="529"/>
      <c r="Q147" s="542">
        <f t="shared" si="63"/>
        <v>113282.957056</v>
      </c>
    </row>
    <row r="148" spans="1:17" ht="20.100000000000001" customHeight="1">
      <c r="A148" s="25">
        <v>15</v>
      </c>
      <c r="B148" s="9" t="s">
        <v>259</v>
      </c>
      <c r="C148" s="2" t="s">
        <v>584</v>
      </c>
      <c r="D148" s="13" t="s">
        <v>585</v>
      </c>
      <c r="E148" s="186">
        <v>316837.41666666698</v>
      </c>
      <c r="F148" s="70"/>
      <c r="G148" s="186"/>
      <c r="H148" s="186">
        <f>60000</f>
        <v>60000</v>
      </c>
      <c r="I148" s="70"/>
      <c r="J148" s="465">
        <f t="shared" si="61"/>
        <v>376837.41666666698</v>
      </c>
      <c r="K148" s="465">
        <v>242300.07750000001</v>
      </c>
      <c r="L148" s="465">
        <f t="shared" si="62"/>
        <v>134537.33916666699</v>
      </c>
      <c r="M148" s="467">
        <v>46138.184726666703</v>
      </c>
      <c r="N148" s="527">
        <v>27794.206626666699</v>
      </c>
      <c r="O148" s="528">
        <f t="shared" si="60"/>
        <v>18343.9781</v>
      </c>
      <c r="P148" s="529"/>
      <c r="Q148" s="542">
        <f t="shared" si="63"/>
        <v>116193.361066667</v>
      </c>
    </row>
    <row r="149" spans="1:17" ht="20.100000000000001" customHeight="1">
      <c r="A149" s="25">
        <v>16</v>
      </c>
      <c r="B149" s="9" t="s">
        <v>260</v>
      </c>
      <c r="C149" s="2" t="s">
        <v>584</v>
      </c>
      <c r="D149" s="13" t="s">
        <v>585</v>
      </c>
      <c r="E149" s="186">
        <v>316837.41666666698</v>
      </c>
      <c r="F149" s="70"/>
      <c r="G149" s="186"/>
      <c r="H149" s="186">
        <f>60000</f>
        <v>60000</v>
      </c>
      <c r="I149" s="70"/>
      <c r="J149" s="465">
        <f t="shared" si="61"/>
        <v>376837.41666666698</v>
      </c>
      <c r="K149" s="465">
        <v>242300.07750000001</v>
      </c>
      <c r="L149" s="465">
        <f t="shared" si="62"/>
        <v>134537.33916666699</v>
      </c>
      <c r="M149" s="467">
        <v>46217.057786666701</v>
      </c>
      <c r="N149" s="527">
        <v>27873.079686666701</v>
      </c>
      <c r="O149" s="528">
        <f t="shared" si="60"/>
        <v>18343.9781</v>
      </c>
      <c r="P149" s="529"/>
      <c r="Q149" s="542">
        <f t="shared" si="63"/>
        <v>116193.361066667</v>
      </c>
    </row>
    <row r="150" spans="1:17" ht="20.100000000000001" customHeight="1">
      <c r="A150" s="25">
        <v>17</v>
      </c>
      <c r="B150" s="9" t="s">
        <v>261</v>
      </c>
      <c r="C150" s="10" t="s">
        <v>262</v>
      </c>
      <c r="D150" s="13" t="s">
        <v>104</v>
      </c>
      <c r="E150" s="186">
        <v>300965.58333333302</v>
      </c>
      <c r="F150" s="70"/>
      <c r="G150" s="186"/>
      <c r="H150" s="186">
        <f>60000</f>
        <v>60000</v>
      </c>
      <c r="I150" s="70"/>
      <c r="J150" s="465">
        <f t="shared" si="61"/>
        <v>360965.58333333302</v>
      </c>
      <c r="K150" s="465">
        <v>237734.04699999999</v>
      </c>
      <c r="L150" s="465">
        <f t="shared" si="62"/>
        <v>123231.536333333</v>
      </c>
      <c r="M150" s="467">
        <v>43763.907226666699</v>
      </c>
      <c r="N150" s="527">
        <v>27105.986562666702</v>
      </c>
      <c r="O150" s="528">
        <f t="shared" si="60"/>
        <v>16657.920664000001</v>
      </c>
      <c r="P150" s="529"/>
      <c r="Q150" s="542">
        <f t="shared" si="63"/>
        <v>106573.615669333</v>
      </c>
    </row>
    <row r="151" spans="1:17" ht="20.100000000000001" customHeight="1">
      <c r="A151" s="25">
        <v>18</v>
      </c>
      <c r="B151" s="9" t="s">
        <v>263</v>
      </c>
      <c r="C151" s="10" t="s">
        <v>264</v>
      </c>
      <c r="D151" s="8" t="s">
        <v>80</v>
      </c>
      <c r="E151" s="70">
        <v>263165.33333333302</v>
      </c>
      <c r="F151" s="70"/>
      <c r="G151" s="186"/>
      <c r="H151" s="186">
        <f>60000</f>
        <v>60000</v>
      </c>
      <c r="I151" s="70"/>
      <c r="J151" s="465">
        <f t="shared" si="61"/>
        <v>323165.33333333302</v>
      </c>
      <c r="K151" s="465">
        <v>209356.04725</v>
      </c>
      <c r="L151" s="465">
        <f t="shared" si="62"/>
        <v>113809.28608333301</v>
      </c>
      <c r="M151" s="467">
        <v>37921.500586666698</v>
      </c>
      <c r="N151" s="527">
        <v>22338.4826046667</v>
      </c>
      <c r="O151" s="528">
        <f t="shared" si="60"/>
        <v>15583.017981999999</v>
      </c>
      <c r="P151" s="529"/>
      <c r="Q151" s="542">
        <f t="shared" si="63"/>
        <v>98226.268101333306</v>
      </c>
    </row>
    <row r="152" spans="1:17" ht="20.100000000000001" customHeight="1">
      <c r="A152" s="25">
        <v>19</v>
      </c>
      <c r="B152" s="9" t="s">
        <v>265</v>
      </c>
      <c r="C152" s="10" t="s">
        <v>266</v>
      </c>
      <c r="D152" s="13" t="s">
        <v>267</v>
      </c>
      <c r="E152" s="186">
        <v>308901.5</v>
      </c>
      <c r="F152" s="70"/>
      <c r="G152" s="186"/>
      <c r="H152" s="186">
        <f>50000+10000</f>
        <v>60000</v>
      </c>
      <c r="I152" s="70"/>
      <c r="J152" s="465">
        <f t="shared" si="61"/>
        <v>368901.5</v>
      </c>
      <c r="K152" s="465">
        <v>237734.04699999999</v>
      </c>
      <c r="L152" s="465">
        <f t="shared" si="62"/>
        <v>131167.45300000001</v>
      </c>
      <c r="M152" s="467">
        <v>44990.482506666704</v>
      </c>
      <c r="N152" s="527">
        <v>27105.986562666702</v>
      </c>
      <c r="O152" s="528">
        <f t="shared" si="60"/>
        <v>17884.495943999998</v>
      </c>
      <c r="P152" s="529"/>
      <c r="Q152" s="542">
        <f t="shared" si="63"/>
        <v>113282.957056</v>
      </c>
    </row>
    <row r="153" spans="1:17" ht="20.100000000000001" customHeight="1">
      <c r="A153" s="25">
        <v>20</v>
      </c>
      <c r="B153" s="9" t="s">
        <v>268</v>
      </c>
      <c r="C153" s="10" t="s">
        <v>269</v>
      </c>
      <c r="D153" s="13" t="s">
        <v>75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5">
        <f t="shared" si="61"/>
        <v>330481.66666666698</v>
      </c>
      <c r="K153" s="465">
        <v>213508.01</v>
      </c>
      <c r="L153" s="465">
        <f t="shared" si="62"/>
        <v>116973.656666667</v>
      </c>
      <c r="M153" s="467">
        <v>39052.313066666698</v>
      </c>
      <c r="N153" s="527">
        <v>23036.012346666699</v>
      </c>
      <c r="O153" s="528">
        <f t="shared" si="60"/>
        <v>16016.300719999999</v>
      </c>
      <c r="P153" s="529"/>
      <c r="Q153" s="542">
        <f t="shared" si="63"/>
        <v>100957.355946667</v>
      </c>
    </row>
    <row r="154" spans="1:17" ht="20.100000000000001" customHeight="1">
      <c r="A154" s="25">
        <v>21</v>
      </c>
      <c r="B154" s="9" t="s">
        <v>270</v>
      </c>
      <c r="C154" s="10" t="s">
        <v>271</v>
      </c>
      <c r="D154" s="13" t="s">
        <v>267</v>
      </c>
      <c r="E154" s="186">
        <v>308901.5</v>
      </c>
      <c r="F154" s="70"/>
      <c r="G154" s="186"/>
      <c r="H154" s="186">
        <f>50000+10000</f>
        <v>60000</v>
      </c>
      <c r="I154" s="70"/>
      <c r="J154" s="465">
        <f t="shared" si="61"/>
        <v>368901.5</v>
      </c>
      <c r="K154" s="465">
        <v>237734.04699999999</v>
      </c>
      <c r="L154" s="465">
        <f t="shared" si="62"/>
        <v>131167.45300000001</v>
      </c>
      <c r="M154" s="467">
        <v>44913.699618666702</v>
      </c>
      <c r="N154" s="527">
        <v>27029.2036746667</v>
      </c>
      <c r="O154" s="528">
        <f t="shared" si="60"/>
        <v>17884.495943999998</v>
      </c>
      <c r="P154" s="529"/>
      <c r="Q154" s="542">
        <f t="shared" si="63"/>
        <v>113282.957056</v>
      </c>
    </row>
    <row r="155" spans="1:17" ht="20.100000000000001" customHeight="1">
      <c r="A155" s="25">
        <v>22</v>
      </c>
      <c r="B155" s="9" t="s">
        <v>272</v>
      </c>
      <c r="C155" s="10" t="s">
        <v>273</v>
      </c>
      <c r="D155" s="13" t="s">
        <v>75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5">
        <f t="shared" si="61"/>
        <v>330481.66666666698</v>
      </c>
      <c r="K155" s="465">
        <v>209356.04725</v>
      </c>
      <c r="L155" s="465">
        <f t="shared" si="62"/>
        <v>121125.619416667</v>
      </c>
      <c r="M155" s="467">
        <v>39052.313066666698</v>
      </c>
      <c r="N155" s="527">
        <v>22338.4826046667</v>
      </c>
      <c r="O155" s="528">
        <f t="shared" si="60"/>
        <v>16713.830462000002</v>
      </c>
      <c r="P155" s="529"/>
      <c r="Q155" s="542">
        <f t="shared" si="63"/>
        <v>104411.788954667</v>
      </c>
    </row>
    <row r="156" spans="1:17" ht="20.100000000000001" customHeight="1">
      <c r="A156" s="25">
        <v>23</v>
      </c>
      <c r="B156" s="16" t="s">
        <v>274</v>
      </c>
      <c r="C156" s="10" t="s">
        <v>275</v>
      </c>
      <c r="D156" s="13" t="s">
        <v>83</v>
      </c>
      <c r="E156" s="186">
        <v>255849</v>
      </c>
      <c r="F156" s="70"/>
      <c r="G156" s="186"/>
      <c r="H156" s="186">
        <f>60000</f>
        <v>60000</v>
      </c>
      <c r="I156" s="2"/>
      <c r="J156" s="465">
        <f t="shared" si="61"/>
        <v>315849</v>
      </c>
      <c r="K156" s="465">
        <v>205204.0845</v>
      </c>
      <c r="L156" s="465">
        <f t="shared" si="62"/>
        <v>110644.9155</v>
      </c>
      <c r="M156" s="467">
        <v>36790.688106666697</v>
      </c>
      <c r="N156" s="527">
        <v>21640.952862666702</v>
      </c>
      <c r="O156" s="528">
        <f t="shared" si="60"/>
        <v>15149.735244</v>
      </c>
      <c r="P156" s="529"/>
      <c r="Q156" s="542">
        <f t="shared" si="63"/>
        <v>95495.180256000007</v>
      </c>
    </row>
    <row r="157" spans="1:17" ht="20.100000000000001" customHeight="1">
      <c r="A157" s="25">
        <v>24</v>
      </c>
      <c r="B157" s="16" t="s">
        <v>277</v>
      </c>
      <c r="C157" s="10" t="s">
        <v>278</v>
      </c>
      <c r="D157" s="13" t="s">
        <v>92</v>
      </c>
      <c r="E157" s="70">
        <v>224459.75</v>
      </c>
      <c r="F157" s="70"/>
      <c r="G157" s="186"/>
      <c r="H157" s="186">
        <f>50000</f>
        <v>50000</v>
      </c>
      <c r="I157" s="70"/>
      <c r="J157" s="465">
        <f t="shared" si="61"/>
        <v>274459.75</v>
      </c>
      <c r="K157" s="465">
        <v>176816.1</v>
      </c>
      <c r="L157" s="465">
        <f t="shared" si="62"/>
        <v>97643.65</v>
      </c>
      <c r="M157" s="467">
        <v>30259.165626666701</v>
      </c>
      <c r="N157" s="527">
        <v>17042.713866666702</v>
      </c>
      <c r="O157" s="528">
        <f t="shared" si="60"/>
        <v>13216.45176</v>
      </c>
      <c r="P157" s="529"/>
      <c r="Q157" s="542">
        <f t="shared" si="63"/>
        <v>84427.198239999998</v>
      </c>
    </row>
    <row r="158" spans="1:17" ht="20.100000000000001" customHeight="1">
      <c r="A158" s="25">
        <v>25</v>
      </c>
      <c r="B158" s="16" t="s">
        <v>279</v>
      </c>
      <c r="C158" s="10" t="s">
        <v>280</v>
      </c>
      <c r="D158" s="13" t="s">
        <v>92</v>
      </c>
      <c r="E158" s="70">
        <v>224459.75</v>
      </c>
      <c r="F158" s="70"/>
      <c r="G158" s="186"/>
      <c r="H158" s="186">
        <f>50000</f>
        <v>50000</v>
      </c>
      <c r="I158" s="70"/>
      <c r="J158" s="465">
        <f t="shared" si="61"/>
        <v>274459.75</v>
      </c>
      <c r="K158" s="465">
        <v>176816.1</v>
      </c>
      <c r="L158" s="465">
        <f t="shared" si="62"/>
        <v>97643.65</v>
      </c>
      <c r="M158" s="467">
        <v>30259.165626666701</v>
      </c>
      <c r="N158" s="527">
        <v>17042.713866666702</v>
      </c>
      <c r="O158" s="528">
        <f t="shared" si="60"/>
        <v>13216.45176</v>
      </c>
      <c r="P158" s="529"/>
      <c r="Q158" s="542">
        <f t="shared" si="63"/>
        <v>84427.198239999998</v>
      </c>
    </row>
    <row r="159" spans="1:17" ht="20.100000000000001" customHeight="1">
      <c r="A159" s="25">
        <v>26</v>
      </c>
      <c r="B159" s="16" t="s">
        <v>281</v>
      </c>
      <c r="C159" s="10" t="s">
        <v>282</v>
      </c>
      <c r="D159" s="13" t="s">
        <v>92</v>
      </c>
      <c r="E159" s="70">
        <v>224459.75</v>
      </c>
      <c r="F159" s="70"/>
      <c r="G159" s="186"/>
      <c r="H159" s="186">
        <f>50000</f>
        <v>50000</v>
      </c>
      <c r="I159" s="70"/>
      <c r="J159" s="465">
        <f t="shared" si="61"/>
        <v>274459.75</v>
      </c>
      <c r="K159" s="465">
        <v>176816.1</v>
      </c>
      <c r="L159" s="465">
        <f t="shared" si="62"/>
        <v>97643.65</v>
      </c>
      <c r="M159" s="467">
        <v>30259.165626666701</v>
      </c>
      <c r="N159" s="527">
        <v>17042.713866666702</v>
      </c>
      <c r="O159" s="528">
        <f t="shared" si="60"/>
        <v>13216.45176</v>
      </c>
      <c r="P159" s="529"/>
      <c r="Q159" s="542">
        <f t="shared" si="63"/>
        <v>84427.198239999998</v>
      </c>
    </row>
    <row r="160" spans="1:17" ht="20.100000000000001" customHeight="1">
      <c r="A160" s="25">
        <v>27</v>
      </c>
      <c r="B160" s="16" t="s">
        <v>283</v>
      </c>
      <c r="C160" s="10" t="s">
        <v>284</v>
      </c>
      <c r="D160" s="13" t="s">
        <v>173</v>
      </c>
      <c r="E160" s="70">
        <v>230631.91666666701</v>
      </c>
      <c r="F160" s="70"/>
      <c r="G160" s="186"/>
      <c r="H160" s="186">
        <f>50000</f>
        <v>50000</v>
      </c>
      <c r="I160" s="70"/>
      <c r="J160" s="465">
        <f t="shared" si="61"/>
        <v>280631.91666666698</v>
      </c>
      <c r="K160" s="465">
        <v>180304.068</v>
      </c>
      <c r="L160" s="465">
        <f t="shared" si="62"/>
        <v>100327.84866666701</v>
      </c>
      <c r="M160" s="467">
        <v>31213.135706666701</v>
      </c>
      <c r="N160" s="527">
        <v>17572.885002666699</v>
      </c>
      <c r="O160" s="528">
        <f t="shared" si="60"/>
        <v>13640.250704</v>
      </c>
      <c r="P160" s="529"/>
      <c r="Q160" s="542">
        <f t="shared" si="63"/>
        <v>86687.597962666594</v>
      </c>
    </row>
    <row r="161" spans="1:17" ht="20.100000000000001" customHeight="1">
      <c r="A161" s="25">
        <v>28</v>
      </c>
      <c r="B161" s="16" t="s">
        <v>285</v>
      </c>
      <c r="C161" s="10" t="s">
        <v>280</v>
      </c>
      <c r="D161" s="13" t="s">
        <v>92</v>
      </c>
      <c r="E161" s="70">
        <v>224459.75</v>
      </c>
      <c r="F161" s="70"/>
      <c r="G161" s="186"/>
      <c r="H161" s="186">
        <f>50000</f>
        <v>50000</v>
      </c>
      <c r="I161" s="70"/>
      <c r="J161" s="465">
        <f t="shared" si="61"/>
        <v>274459.75</v>
      </c>
      <c r="K161" s="465">
        <v>176816.1</v>
      </c>
      <c r="L161" s="465">
        <f t="shared" si="62"/>
        <v>97643.65</v>
      </c>
      <c r="M161" s="467">
        <v>30259.165626666701</v>
      </c>
      <c r="N161" s="527">
        <v>17042.713866666702</v>
      </c>
      <c r="O161" s="528">
        <f t="shared" si="60"/>
        <v>13216.45176</v>
      </c>
      <c r="P161" s="529"/>
      <c r="Q161" s="542">
        <f t="shared" si="63"/>
        <v>84427.198239999998</v>
      </c>
    </row>
    <row r="162" spans="1:17" ht="20.100000000000001" customHeight="1">
      <c r="A162" s="25">
        <v>29</v>
      </c>
      <c r="B162" s="9" t="s">
        <v>289</v>
      </c>
      <c r="C162" s="10" t="s">
        <v>290</v>
      </c>
      <c r="D162" s="13" t="s">
        <v>291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5">
        <f t="shared" si="61"/>
        <v>202598.16666666701</v>
      </c>
      <c r="K162" s="465">
        <v>135590.73000000001</v>
      </c>
      <c r="L162" s="465">
        <f t="shared" si="62"/>
        <v>67007.436666666705</v>
      </c>
      <c r="M162" s="467">
        <v>18892.9833866667</v>
      </c>
      <c r="N162" s="527">
        <v>10739.3048</v>
      </c>
      <c r="O162" s="528">
        <f t="shared" si="60"/>
        <v>8153.6785866666696</v>
      </c>
      <c r="P162" s="529"/>
      <c r="Q162" s="542">
        <f t="shared" si="63"/>
        <v>58853.75808</v>
      </c>
    </row>
    <row r="163" spans="1:17" ht="20.100000000000001" customHeight="1">
      <c r="A163" s="25">
        <v>30</v>
      </c>
      <c r="B163" s="9" t="s">
        <v>292</v>
      </c>
      <c r="C163" s="10" t="s">
        <v>290</v>
      </c>
      <c r="D163" s="13" t="s">
        <v>291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5">
        <f t="shared" si="61"/>
        <v>205598.16666666701</v>
      </c>
      <c r="K163" s="465">
        <v>138590.73000000001</v>
      </c>
      <c r="L163" s="465">
        <f t="shared" si="62"/>
        <v>67007.436666666705</v>
      </c>
      <c r="M163" s="467">
        <v>19441.199306666698</v>
      </c>
      <c r="N163" s="527">
        <v>11232.457626666701</v>
      </c>
      <c r="O163" s="528">
        <f t="shared" si="60"/>
        <v>8208.7416799999992</v>
      </c>
      <c r="P163" s="529"/>
      <c r="Q163" s="542">
        <f t="shared" si="63"/>
        <v>58798.694986666698</v>
      </c>
    </row>
    <row r="164" spans="1:17" ht="20.100000000000001" customHeight="1">
      <c r="A164" s="25">
        <v>31</v>
      </c>
      <c r="B164" s="9" t="s">
        <v>293</v>
      </c>
      <c r="C164" s="10" t="s">
        <v>290</v>
      </c>
      <c r="D164" s="13" t="s">
        <v>291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5">
        <f t="shared" si="61"/>
        <v>202598.16666666701</v>
      </c>
      <c r="K164" s="465">
        <v>135590.73000000001</v>
      </c>
      <c r="L164" s="465">
        <f t="shared" si="62"/>
        <v>67007.436666666705</v>
      </c>
      <c r="M164" s="467">
        <v>18937.199306666698</v>
      </c>
      <c r="N164" s="527">
        <v>10776.457626666701</v>
      </c>
      <c r="O164" s="528">
        <f t="shared" si="60"/>
        <v>8160.7416800000001</v>
      </c>
      <c r="P164" s="529"/>
      <c r="Q164" s="542">
        <f t="shared" si="63"/>
        <v>58846.694986666698</v>
      </c>
    </row>
    <row r="165" spans="1:17" ht="20.100000000000001" customHeight="1">
      <c r="A165" s="25">
        <v>32</v>
      </c>
      <c r="B165" s="9" t="s">
        <v>294</v>
      </c>
      <c r="C165" s="10" t="s">
        <v>290</v>
      </c>
      <c r="D165" s="13" t="s">
        <v>291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5">
        <f t="shared" si="61"/>
        <v>202598.16666666701</v>
      </c>
      <c r="K165" s="465">
        <v>135590.73000000001</v>
      </c>
      <c r="L165" s="465">
        <f t="shared" si="62"/>
        <v>67007.436666666705</v>
      </c>
      <c r="M165" s="467">
        <v>18892.9833866667</v>
      </c>
      <c r="N165" s="527">
        <v>10739.3048</v>
      </c>
      <c r="O165" s="528">
        <f t="shared" si="60"/>
        <v>8153.6785866666696</v>
      </c>
      <c r="P165" s="529"/>
      <c r="Q165" s="542">
        <f t="shared" si="63"/>
        <v>58853.75808</v>
      </c>
    </row>
    <row r="166" spans="1:17" ht="20.100000000000001" customHeight="1">
      <c r="A166" s="25">
        <v>33</v>
      </c>
      <c r="B166" s="9" t="s">
        <v>295</v>
      </c>
      <c r="C166" s="10" t="s">
        <v>290</v>
      </c>
      <c r="D166" s="13" t="s">
        <v>291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5">
        <f t="shared" si="61"/>
        <v>202598.16666666701</v>
      </c>
      <c r="K166" s="465">
        <v>135590.73000000001</v>
      </c>
      <c r="L166" s="465">
        <f t="shared" si="62"/>
        <v>67007.436666666705</v>
      </c>
      <c r="M166" s="467">
        <v>18937.199306666698</v>
      </c>
      <c r="N166" s="527">
        <v>10776.457626666701</v>
      </c>
      <c r="O166" s="528">
        <f t="shared" si="60"/>
        <v>8160.7416800000001</v>
      </c>
      <c r="P166" s="529"/>
      <c r="Q166" s="542">
        <f t="shared" si="63"/>
        <v>58846.694986666698</v>
      </c>
    </row>
    <row r="167" spans="1:17" ht="20.100000000000001" customHeight="1">
      <c r="A167" s="25">
        <v>34</v>
      </c>
      <c r="B167" s="9" t="s">
        <v>296</v>
      </c>
      <c r="C167" s="10" t="s">
        <v>290</v>
      </c>
      <c r="D167" s="13" t="s">
        <v>297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5">
        <f t="shared" si="61"/>
        <v>200336.83333333299</v>
      </c>
      <c r="K167" s="465">
        <v>138590.73000000001</v>
      </c>
      <c r="L167" s="465">
        <f t="shared" si="62"/>
        <v>61746.103333333398</v>
      </c>
      <c r="M167" s="467">
        <v>18631.689439999998</v>
      </c>
      <c r="N167" s="527">
        <v>11232.457626666701</v>
      </c>
      <c r="O167" s="528">
        <f t="shared" si="60"/>
        <v>7399.2318133333401</v>
      </c>
      <c r="P167" s="529"/>
      <c r="Q167" s="542">
        <f t="shared" si="63"/>
        <v>54346.871520000001</v>
      </c>
    </row>
    <row r="168" spans="1:17" ht="20.100000000000001" customHeight="1">
      <c r="A168" s="25">
        <v>35</v>
      </c>
      <c r="B168" s="9" t="s">
        <v>298</v>
      </c>
      <c r="C168" s="10" t="s">
        <v>290</v>
      </c>
      <c r="D168" s="13" t="s">
        <v>297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5">
        <f t="shared" si="61"/>
        <v>197336.83333333299</v>
      </c>
      <c r="K168" s="465">
        <v>135590.73000000001</v>
      </c>
      <c r="L168" s="465">
        <f t="shared" si="62"/>
        <v>61746.103333333398</v>
      </c>
      <c r="M168" s="467">
        <v>18175.689439999998</v>
      </c>
      <c r="N168" s="527">
        <v>10776.457626666701</v>
      </c>
      <c r="O168" s="528">
        <f t="shared" si="60"/>
        <v>7399.2318133333401</v>
      </c>
      <c r="P168" s="529"/>
      <c r="Q168" s="542">
        <f t="shared" si="63"/>
        <v>54346.871520000001</v>
      </c>
    </row>
    <row r="169" spans="1:17" ht="20.100000000000001" customHeight="1">
      <c r="A169" s="25">
        <v>36</v>
      </c>
      <c r="B169" s="12" t="s">
        <v>299</v>
      </c>
      <c r="C169" s="10" t="s">
        <v>290</v>
      </c>
      <c r="D169" s="13" t="s">
        <v>297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5">
        <f t="shared" si="61"/>
        <v>200336.83333333299</v>
      </c>
      <c r="K169" s="465">
        <v>138590.73000000001</v>
      </c>
      <c r="L169" s="465">
        <f t="shared" si="62"/>
        <v>61746.103333333398</v>
      </c>
      <c r="M169" s="467">
        <v>18631.689439999998</v>
      </c>
      <c r="N169" s="527">
        <v>11232.457626666701</v>
      </c>
      <c r="O169" s="528">
        <f t="shared" si="60"/>
        <v>7399.2318133333401</v>
      </c>
      <c r="P169" s="529"/>
      <c r="Q169" s="542">
        <f t="shared" si="63"/>
        <v>54346.871520000001</v>
      </c>
    </row>
    <row r="170" spans="1:17" ht="20.100000000000001" customHeight="1">
      <c r="A170" s="25">
        <v>37</v>
      </c>
      <c r="B170" s="9" t="s">
        <v>300</v>
      </c>
      <c r="C170" s="10" t="s">
        <v>290</v>
      </c>
      <c r="D170" s="13" t="s">
        <v>297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5">
        <f t="shared" si="61"/>
        <v>197336.83333333299</v>
      </c>
      <c r="K170" s="465">
        <v>135590.73000000001</v>
      </c>
      <c r="L170" s="465">
        <f t="shared" si="62"/>
        <v>61746.103333333398</v>
      </c>
      <c r="M170" s="467">
        <v>18175.689439999998</v>
      </c>
      <c r="N170" s="527">
        <v>10776.457626666701</v>
      </c>
      <c r="O170" s="528">
        <f t="shared" si="60"/>
        <v>7399.2318133333401</v>
      </c>
      <c r="P170" s="529"/>
      <c r="Q170" s="542">
        <f t="shared" si="63"/>
        <v>54346.871520000001</v>
      </c>
    </row>
    <row r="171" spans="1:17" ht="20.100000000000001" customHeight="1">
      <c r="A171" s="25">
        <v>38</v>
      </c>
      <c r="B171" s="16" t="s">
        <v>301</v>
      </c>
      <c r="C171" s="10" t="s">
        <v>290</v>
      </c>
      <c r="D171" s="13" t="s">
        <v>297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5">
        <f t="shared" si="61"/>
        <v>197336.83333333299</v>
      </c>
      <c r="K171" s="465">
        <v>135590.73000000001</v>
      </c>
      <c r="L171" s="465">
        <f t="shared" si="62"/>
        <v>61746.103333333398</v>
      </c>
      <c r="M171" s="467">
        <v>18175.689439999998</v>
      </c>
      <c r="N171" s="527">
        <v>10776.457626666701</v>
      </c>
      <c r="O171" s="528">
        <f t="shared" si="60"/>
        <v>7399.2318133333401</v>
      </c>
      <c r="P171" s="529"/>
      <c r="Q171" s="542">
        <f t="shared" si="63"/>
        <v>54346.871520000001</v>
      </c>
    </row>
    <row r="172" spans="1:17" ht="20.100000000000001" customHeight="1">
      <c r="A172" s="25">
        <v>39</v>
      </c>
      <c r="B172" s="16" t="s">
        <v>302</v>
      </c>
      <c r="C172" s="10" t="s">
        <v>290</v>
      </c>
      <c r="D172" s="13" t="s">
        <v>297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5">
        <f t="shared" si="61"/>
        <v>200336.83333333299</v>
      </c>
      <c r="K172" s="465">
        <v>138590.73000000001</v>
      </c>
      <c r="L172" s="465">
        <f t="shared" si="62"/>
        <v>61746.103333333398</v>
      </c>
      <c r="M172" s="467">
        <v>18631.689439999998</v>
      </c>
      <c r="N172" s="527">
        <v>11232.457626666701</v>
      </c>
      <c r="O172" s="528">
        <f t="shared" si="60"/>
        <v>7399.2318133333401</v>
      </c>
      <c r="P172" s="529"/>
      <c r="Q172" s="542">
        <f t="shared" si="63"/>
        <v>54346.871520000001</v>
      </c>
    </row>
    <row r="173" spans="1:17" ht="20.100000000000001" customHeight="1">
      <c r="A173" s="25">
        <v>40</v>
      </c>
      <c r="B173" s="9" t="s">
        <v>303</v>
      </c>
      <c r="C173" s="10" t="s">
        <v>304</v>
      </c>
      <c r="D173" s="13" t="s">
        <v>305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5">
        <f t="shared" si="61"/>
        <v>189814.16666666701</v>
      </c>
      <c r="K173" s="465">
        <v>122104.99825</v>
      </c>
      <c r="L173" s="465">
        <f t="shared" si="62"/>
        <v>67709.168416666696</v>
      </c>
      <c r="M173" s="467">
        <v>17160.199733333298</v>
      </c>
      <c r="N173" s="527">
        <v>9152.5997900000002</v>
      </c>
      <c r="O173" s="528">
        <f t="shared" si="60"/>
        <v>8007.59994333334</v>
      </c>
      <c r="P173" s="529"/>
      <c r="Q173" s="542">
        <f t="shared" si="63"/>
        <v>59701.568473333296</v>
      </c>
    </row>
    <row r="174" spans="1:17" ht="20.100000000000001" customHeight="1">
      <c r="A174" s="25">
        <v>41</v>
      </c>
      <c r="B174" s="9" t="s">
        <v>306</v>
      </c>
      <c r="C174" s="10" t="s">
        <v>304</v>
      </c>
      <c r="D174" s="13" t="s">
        <v>305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5">
        <f t="shared" si="61"/>
        <v>189814.16666666701</v>
      </c>
      <c r="K174" s="465">
        <v>122104.99825</v>
      </c>
      <c r="L174" s="465">
        <f t="shared" si="62"/>
        <v>67709.168416666696</v>
      </c>
      <c r="M174" s="467">
        <v>17160.199733333298</v>
      </c>
      <c r="N174" s="527">
        <v>9152.5997900000002</v>
      </c>
      <c r="O174" s="528">
        <f t="shared" si="60"/>
        <v>8007.59994333334</v>
      </c>
      <c r="P174" s="529"/>
      <c r="Q174" s="542">
        <f t="shared" si="63"/>
        <v>59701.568473333296</v>
      </c>
    </row>
    <row r="175" spans="1:17" ht="20.100000000000001" customHeight="1">
      <c r="A175" s="25">
        <v>42</v>
      </c>
      <c r="B175" s="16" t="s">
        <v>307</v>
      </c>
      <c r="C175" s="10" t="s">
        <v>304</v>
      </c>
      <c r="D175" s="13" t="s">
        <v>308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5">
        <f t="shared" si="61"/>
        <v>195075.5</v>
      </c>
      <c r="K175" s="465">
        <v>125035.03449999999</v>
      </c>
      <c r="L175" s="465">
        <f t="shared" si="62"/>
        <v>70040.465500000006</v>
      </c>
      <c r="M175" s="467">
        <v>17895.944586666701</v>
      </c>
      <c r="N175" s="527">
        <v>9504.2041399999998</v>
      </c>
      <c r="O175" s="528">
        <f t="shared" si="60"/>
        <v>8391.7404466666703</v>
      </c>
      <c r="P175" s="529"/>
      <c r="Q175" s="542">
        <f t="shared" si="63"/>
        <v>61648.725053333299</v>
      </c>
    </row>
    <row r="176" spans="1:17" ht="20.100000000000001" customHeight="1">
      <c r="A176" s="25">
        <v>43</v>
      </c>
      <c r="B176" s="9" t="s">
        <v>309</v>
      </c>
      <c r="C176" s="10" t="s">
        <v>310</v>
      </c>
      <c r="D176" s="13" t="s">
        <v>311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5">
        <f t="shared" si="61"/>
        <v>121145.75</v>
      </c>
      <c r="K176" s="465">
        <v>81803.001000000004</v>
      </c>
      <c r="L176" s="465">
        <f t="shared" si="62"/>
        <v>39342.749000000003</v>
      </c>
      <c r="M176" s="467">
        <v>8133.6908000000003</v>
      </c>
      <c r="N176" s="527">
        <v>4365.3307546666701</v>
      </c>
      <c r="O176" s="528">
        <f t="shared" si="60"/>
        <v>3768.3600453333302</v>
      </c>
      <c r="P176" s="529"/>
      <c r="Q176" s="542">
        <f t="shared" si="63"/>
        <v>35574.388954666603</v>
      </c>
    </row>
    <row r="177" spans="1:17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5">
        <f t="shared" si="61"/>
        <v>118598</v>
      </c>
      <c r="K177" s="465">
        <v>80237.012000000002</v>
      </c>
      <c r="L177" s="465">
        <f t="shared" si="62"/>
        <v>38360.987999999998</v>
      </c>
      <c r="M177" s="467">
        <v>7852.4192000000003</v>
      </c>
      <c r="N177" s="527">
        <v>4227.5237226666704</v>
      </c>
      <c r="O177" s="528">
        <f t="shared" si="60"/>
        <v>3624.8954773333298</v>
      </c>
      <c r="P177" s="529"/>
      <c r="Q177" s="542">
        <f t="shared" si="63"/>
        <v>34736.092522666702</v>
      </c>
    </row>
    <row r="178" spans="1:17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5">
        <f t="shared" si="61"/>
        <v>115598</v>
      </c>
      <c r="K178" s="465">
        <v>77237.012000000002</v>
      </c>
      <c r="L178" s="465">
        <f t="shared" si="62"/>
        <v>38360.987999999998</v>
      </c>
      <c r="M178" s="467">
        <v>7492.4192000000003</v>
      </c>
      <c r="N178" s="527">
        <v>3963.52372266667</v>
      </c>
      <c r="O178" s="528">
        <f t="shared" si="60"/>
        <v>3528.8954773333298</v>
      </c>
      <c r="P178" s="529"/>
      <c r="Q178" s="542">
        <f t="shared" si="63"/>
        <v>34832.092522666702</v>
      </c>
    </row>
    <row r="179" spans="1:17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5">
        <f t="shared" si="61"/>
        <v>118598</v>
      </c>
      <c r="K179" s="465">
        <v>80237.012000000002</v>
      </c>
      <c r="L179" s="465">
        <f t="shared" si="62"/>
        <v>38360.987999999998</v>
      </c>
      <c r="M179" s="467">
        <v>7852.4192000000003</v>
      </c>
      <c r="N179" s="527">
        <v>4227.5237226666704</v>
      </c>
      <c r="O179" s="528">
        <f t="shared" si="60"/>
        <v>3624.8954773333298</v>
      </c>
      <c r="P179" s="529"/>
      <c r="Q179" s="542">
        <f t="shared" si="63"/>
        <v>34736.092522666702</v>
      </c>
    </row>
    <row r="180" spans="1:17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5">
        <f t="shared" si="61"/>
        <v>115598</v>
      </c>
      <c r="K180" s="465">
        <v>77237.012000000002</v>
      </c>
      <c r="L180" s="465">
        <f t="shared" si="62"/>
        <v>38360.987999999998</v>
      </c>
      <c r="M180" s="467">
        <v>7492.4192000000003</v>
      </c>
      <c r="N180" s="527">
        <v>3963.52372266667</v>
      </c>
      <c r="O180" s="528">
        <f t="shared" si="60"/>
        <v>3528.8954773333298</v>
      </c>
      <c r="P180" s="529"/>
      <c r="Q180" s="542">
        <f t="shared" si="63"/>
        <v>34832.092522666702</v>
      </c>
    </row>
    <row r="181" spans="1:17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5">
        <f t="shared" si="61"/>
        <v>118598</v>
      </c>
      <c r="K181" s="465">
        <v>80237.012000000002</v>
      </c>
      <c r="L181" s="465">
        <f t="shared" si="62"/>
        <v>38360.987999999998</v>
      </c>
      <c r="M181" s="467">
        <v>7852.4192000000003</v>
      </c>
      <c r="N181" s="527">
        <v>4227.5237226666704</v>
      </c>
      <c r="O181" s="528">
        <f t="shared" si="60"/>
        <v>3624.8954773333298</v>
      </c>
      <c r="P181" s="529"/>
      <c r="Q181" s="542">
        <f t="shared" si="63"/>
        <v>34736.092522666702</v>
      </c>
    </row>
    <row r="182" spans="1:17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5">
        <f t="shared" si="61"/>
        <v>115598</v>
      </c>
      <c r="K182" s="465">
        <v>77237.012000000002</v>
      </c>
      <c r="L182" s="465">
        <f t="shared" si="62"/>
        <v>38360.987999999998</v>
      </c>
      <c r="M182" s="467">
        <v>7492.4192000000003</v>
      </c>
      <c r="N182" s="527">
        <v>3963.52372266667</v>
      </c>
      <c r="O182" s="528">
        <f t="shared" si="60"/>
        <v>3528.8954773333298</v>
      </c>
      <c r="P182" s="529"/>
      <c r="Q182" s="542">
        <f t="shared" si="63"/>
        <v>34832.092522666702</v>
      </c>
    </row>
    <row r="183" spans="1:17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5">
        <f t="shared" si="61"/>
        <v>118598</v>
      </c>
      <c r="K183" s="465">
        <v>80237.012000000002</v>
      </c>
      <c r="L183" s="465">
        <f t="shared" si="62"/>
        <v>38360.987999999998</v>
      </c>
      <c r="M183" s="467">
        <v>7852.4192000000003</v>
      </c>
      <c r="N183" s="527">
        <v>4227.5237226666704</v>
      </c>
      <c r="O183" s="528">
        <f t="shared" si="60"/>
        <v>3624.8954773333298</v>
      </c>
      <c r="P183" s="529"/>
      <c r="Q183" s="542">
        <f t="shared" si="63"/>
        <v>34736.092522666702</v>
      </c>
    </row>
    <row r="184" spans="1:17" ht="20.100000000000001" customHeight="1">
      <c r="A184" s="25">
        <v>51</v>
      </c>
      <c r="B184" s="9" t="s">
        <v>321</v>
      </c>
      <c r="C184" s="10" t="s">
        <v>310</v>
      </c>
      <c r="D184" s="13" t="s">
        <v>314</v>
      </c>
      <c r="E184" s="70">
        <v>91598</v>
      </c>
      <c r="F184" s="186"/>
      <c r="G184" s="186"/>
      <c r="H184" s="186">
        <v>20000</v>
      </c>
      <c r="I184" s="70">
        <v>7000</v>
      </c>
      <c r="J184" s="465">
        <f t="shared" si="61"/>
        <v>118598</v>
      </c>
      <c r="K184" s="465">
        <v>78671.023000000001</v>
      </c>
      <c r="L184" s="465">
        <f t="shared" si="62"/>
        <v>39926.976999999999</v>
      </c>
      <c r="M184" s="467">
        <v>7852.4192000000003</v>
      </c>
      <c r="N184" s="527">
        <v>4089.7166906666698</v>
      </c>
      <c r="O184" s="528">
        <f t="shared" si="60"/>
        <v>3762.70250933333</v>
      </c>
      <c r="P184" s="529"/>
      <c r="Q184" s="542">
        <f t="shared" si="63"/>
        <v>36164.274490666699</v>
      </c>
    </row>
    <row r="185" spans="1:17" ht="20.100000000000001" customHeight="1">
      <c r="A185" s="25">
        <v>52</v>
      </c>
      <c r="B185" s="9" t="s">
        <v>322</v>
      </c>
      <c r="C185" s="10" t="s">
        <v>310</v>
      </c>
      <c r="D185" s="13" t="s">
        <v>314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5">
        <f t="shared" si="61"/>
        <v>118598</v>
      </c>
      <c r="K185" s="465">
        <v>80237.012000000002</v>
      </c>
      <c r="L185" s="465">
        <f t="shared" si="62"/>
        <v>38360.987999999998</v>
      </c>
      <c r="M185" s="467">
        <v>7852.4192000000003</v>
      </c>
      <c r="N185" s="527">
        <v>4227.5237226666704</v>
      </c>
      <c r="O185" s="528">
        <f t="shared" si="60"/>
        <v>3624.8954773333298</v>
      </c>
      <c r="P185" s="529"/>
      <c r="Q185" s="542">
        <f t="shared" si="63"/>
        <v>34736.092522666702</v>
      </c>
    </row>
    <row r="186" spans="1:17" ht="20.100000000000001" customHeight="1">
      <c r="A186" s="25">
        <v>53</v>
      </c>
      <c r="B186" s="16" t="s">
        <v>323</v>
      </c>
      <c r="C186" s="10" t="s">
        <v>324</v>
      </c>
      <c r="D186" s="13" t="s">
        <v>325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5">
        <f t="shared" si="61"/>
        <v>116050.25</v>
      </c>
      <c r="K186" s="465">
        <v>78671.023000000001</v>
      </c>
      <c r="L186" s="465">
        <f t="shared" si="62"/>
        <v>37379.226999999999</v>
      </c>
      <c r="M186" s="467">
        <v>7571.1476000000002</v>
      </c>
      <c r="N186" s="527">
        <v>4089.7166906666698</v>
      </c>
      <c r="O186" s="528">
        <f t="shared" si="60"/>
        <v>3481.43090933333</v>
      </c>
      <c r="P186" s="529"/>
      <c r="Q186" s="542">
        <f t="shared" si="63"/>
        <v>33897.796090666699</v>
      </c>
    </row>
    <row r="187" spans="1:17" ht="20.100000000000001" customHeight="1">
      <c r="A187" s="25">
        <v>54</v>
      </c>
      <c r="B187" s="16" t="s">
        <v>328</v>
      </c>
      <c r="C187" s="10" t="s">
        <v>313</v>
      </c>
      <c r="D187" s="13" t="s">
        <v>586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5">
        <f t="shared" si="61"/>
        <v>102926.91666666701</v>
      </c>
      <c r="K187" s="465">
        <v>68675.997025000004</v>
      </c>
      <c r="L187" s="465">
        <f t="shared" si="62"/>
        <v>34250.919641666696</v>
      </c>
      <c r="M187" s="467">
        <v>6074.3316000000004</v>
      </c>
      <c r="N187" s="527">
        <v>3210.1544048666701</v>
      </c>
      <c r="O187" s="528">
        <f t="shared" si="60"/>
        <v>2864.1771951333299</v>
      </c>
      <c r="P187" s="529"/>
      <c r="Q187" s="542">
        <f t="shared" si="63"/>
        <v>31386.742446533299</v>
      </c>
    </row>
    <row r="188" spans="1:17" ht="20.100000000000001" customHeight="1">
      <c r="A188" s="25">
        <v>55</v>
      </c>
      <c r="B188" s="16" t="s">
        <v>329</v>
      </c>
      <c r="C188" s="10" t="s">
        <v>330</v>
      </c>
      <c r="D188" s="13" t="s">
        <v>331</v>
      </c>
      <c r="E188" s="70">
        <v>76540.75</v>
      </c>
      <c r="F188" s="102"/>
      <c r="G188" s="2"/>
      <c r="H188" s="102">
        <v>15000</v>
      </c>
      <c r="I188" s="102">
        <v>4000</v>
      </c>
      <c r="J188" s="465">
        <f t="shared" si="61"/>
        <v>95540.75</v>
      </c>
      <c r="K188" s="465">
        <v>62980.079250000003</v>
      </c>
      <c r="L188" s="465">
        <f t="shared" si="62"/>
        <v>32560.670750000001</v>
      </c>
      <c r="M188" s="467">
        <v>5230.0987999999998</v>
      </c>
      <c r="N188" s="527">
        <v>2708.9136406666698</v>
      </c>
      <c r="O188" s="528">
        <f t="shared" si="60"/>
        <v>2521.1851593333299</v>
      </c>
      <c r="P188" s="529"/>
      <c r="Q188" s="542">
        <f t="shared" si="63"/>
        <v>30039.4855906667</v>
      </c>
    </row>
    <row r="189" spans="1:17" ht="20.100000000000001" customHeight="1">
      <c r="A189" s="25">
        <v>56</v>
      </c>
      <c r="B189" s="16" t="s">
        <v>332</v>
      </c>
      <c r="C189" s="10" t="s">
        <v>330</v>
      </c>
      <c r="D189" s="13" t="s">
        <v>331</v>
      </c>
      <c r="E189" s="70">
        <v>76540.75</v>
      </c>
      <c r="F189" s="102"/>
      <c r="G189" s="2"/>
      <c r="H189" s="102">
        <v>15000</v>
      </c>
      <c r="I189" s="102">
        <v>4000</v>
      </c>
      <c r="J189" s="465">
        <f t="shared" si="61"/>
        <v>95540.75</v>
      </c>
      <c r="K189" s="465">
        <v>62980.079250000003</v>
      </c>
      <c r="L189" s="465">
        <f t="shared" si="62"/>
        <v>32560.670750000001</v>
      </c>
      <c r="M189" s="467">
        <v>5230.0987999999998</v>
      </c>
      <c r="N189" s="527">
        <v>2708.9136406666698</v>
      </c>
      <c r="O189" s="528">
        <f t="shared" si="60"/>
        <v>2521.1851593333299</v>
      </c>
      <c r="P189" s="529"/>
      <c r="Q189" s="542">
        <f t="shared" si="63"/>
        <v>30039.4855906667</v>
      </c>
    </row>
    <row r="190" spans="1:17" ht="20.100000000000001" customHeight="1">
      <c r="A190" s="25">
        <v>57</v>
      </c>
      <c r="B190" s="16" t="s">
        <v>333</v>
      </c>
      <c r="C190" s="10" t="s">
        <v>330</v>
      </c>
      <c r="D190" s="13" t="s">
        <v>331</v>
      </c>
      <c r="E190" s="70">
        <v>76540.75</v>
      </c>
      <c r="F190" s="102"/>
      <c r="G190" s="2"/>
      <c r="H190" s="102">
        <v>15000</v>
      </c>
      <c r="I190" s="102">
        <v>4000</v>
      </c>
      <c r="J190" s="465">
        <f t="shared" si="61"/>
        <v>95540.75</v>
      </c>
      <c r="K190" s="465">
        <v>62980.079250000003</v>
      </c>
      <c r="L190" s="465">
        <f t="shared" si="62"/>
        <v>32560.670750000001</v>
      </c>
      <c r="M190" s="467">
        <v>5230.0987999999998</v>
      </c>
      <c r="N190" s="527">
        <v>2708.9136406666698</v>
      </c>
      <c r="O190" s="528">
        <f t="shared" si="60"/>
        <v>2521.1851593333299</v>
      </c>
      <c r="P190" s="529"/>
      <c r="Q190" s="542">
        <f t="shared" si="63"/>
        <v>30039.4855906667</v>
      </c>
    </row>
    <row r="191" spans="1:17" ht="20.100000000000001" customHeight="1">
      <c r="A191" s="25">
        <v>58</v>
      </c>
      <c r="B191" s="16" t="s">
        <v>334</v>
      </c>
      <c r="C191" s="10" t="s">
        <v>335</v>
      </c>
      <c r="D191" s="13" t="s">
        <v>336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5">
        <f t="shared" si="61"/>
        <v>108502.5</v>
      </c>
      <c r="K191" s="465">
        <v>72103.749500000005</v>
      </c>
      <c r="L191" s="465">
        <f t="shared" si="62"/>
        <v>36398.750500000002</v>
      </c>
      <c r="M191" s="467">
        <v>6689.8760000000002</v>
      </c>
      <c r="N191" s="527">
        <v>3511.7966226666699</v>
      </c>
      <c r="O191" s="528">
        <f t="shared" si="60"/>
        <v>3178.0793773333298</v>
      </c>
      <c r="P191" s="529"/>
      <c r="Q191" s="542">
        <f t="shared" si="63"/>
        <v>33220.671122666703</v>
      </c>
    </row>
    <row r="192" spans="1:17" ht="20.100000000000001" customHeight="1">
      <c r="A192" s="25">
        <v>59</v>
      </c>
      <c r="B192" s="16" t="s">
        <v>337</v>
      </c>
      <c r="C192" s="10" t="s">
        <v>335</v>
      </c>
      <c r="D192" s="13" t="s">
        <v>336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5">
        <f t="shared" si="61"/>
        <v>108502.5</v>
      </c>
      <c r="K192" s="465">
        <v>72103.749500000005</v>
      </c>
      <c r="L192" s="465">
        <f t="shared" si="62"/>
        <v>36398.750500000002</v>
      </c>
      <c r="M192" s="467">
        <v>6689.8760000000002</v>
      </c>
      <c r="N192" s="527">
        <v>3511.7966226666699</v>
      </c>
      <c r="O192" s="528">
        <f t="shared" si="60"/>
        <v>3178.0793773333298</v>
      </c>
      <c r="P192" s="529"/>
      <c r="Q192" s="542">
        <f t="shared" si="63"/>
        <v>33220.671122666703</v>
      </c>
    </row>
    <row r="193" spans="1:17" ht="20.100000000000001" customHeight="1">
      <c r="A193" s="25"/>
      <c r="B193" s="6" t="s">
        <v>96</v>
      </c>
      <c r="C193" s="26" t="s">
        <v>587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5">
        <v>1265795.4594602</v>
      </c>
      <c r="O193" s="535">
        <f t="shared" si="68"/>
        <v>855252.41530113295</v>
      </c>
      <c r="P193" s="536"/>
      <c r="Q193" s="546">
        <f>SUM(Q134:Q192)</f>
        <v>5348132.7878405303</v>
      </c>
    </row>
    <row r="194" spans="1:17" ht="30.75" customHeight="1">
      <c r="A194" s="2"/>
      <c r="B194" s="28" t="s">
        <v>339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4073085.3632238898</v>
      </c>
      <c r="P194" s="193">
        <f t="shared" si="69"/>
        <v>0</v>
      </c>
      <c r="Q194" s="482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626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809" t="s">
        <v>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503"/>
    </row>
    <row r="2" spans="1:31" hidden="1">
      <c r="A2" s="810" t="s">
        <v>459</v>
      </c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  <c r="V2" s="810"/>
      <c r="W2" s="810"/>
      <c r="X2" s="810"/>
      <c r="Y2" s="810"/>
      <c r="Z2" s="503"/>
    </row>
    <row r="3" spans="1:31" hidden="1">
      <c r="A3" s="811" t="s">
        <v>460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  <c r="Z3" s="503"/>
    </row>
    <row r="4" spans="1:31" ht="83.25" customHeight="1">
      <c r="A4" s="494" t="s">
        <v>461</v>
      </c>
      <c r="B4" s="495" t="s">
        <v>462</v>
      </c>
      <c r="C4" s="496" t="s">
        <v>463</v>
      </c>
      <c r="D4" s="495" t="s">
        <v>456</v>
      </c>
      <c r="E4" s="496" t="s">
        <v>464</v>
      </c>
      <c r="F4" s="496" t="s">
        <v>465</v>
      </c>
      <c r="G4" s="496" t="s">
        <v>466</v>
      </c>
      <c r="H4" s="496" t="s">
        <v>467</v>
      </c>
      <c r="I4" s="496" t="s">
        <v>468</v>
      </c>
      <c r="J4" s="496"/>
      <c r="K4" s="496"/>
      <c r="L4" s="496"/>
      <c r="M4" s="496" t="s">
        <v>469</v>
      </c>
      <c r="N4" s="496" t="s">
        <v>470</v>
      </c>
      <c r="O4" s="496" t="s">
        <v>471</v>
      </c>
      <c r="P4" s="496" t="s">
        <v>472</v>
      </c>
      <c r="Q4" s="496" t="s">
        <v>473</v>
      </c>
      <c r="R4" s="496" t="s">
        <v>474</v>
      </c>
      <c r="S4" s="496" t="s">
        <v>475</v>
      </c>
      <c r="T4" s="496" t="s">
        <v>476</v>
      </c>
      <c r="U4" s="496" t="s">
        <v>477</v>
      </c>
      <c r="V4" s="496" t="s">
        <v>478</v>
      </c>
      <c r="W4" s="496"/>
      <c r="X4" s="496" t="s">
        <v>479</v>
      </c>
      <c r="Y4" s="496" t="s">
        <v>480</v>
      </c>
      <c r="Z4" s="496" t="s">
        <v>481</v>
      </c>
      <c r="AA4" s="504"/>
      <c r="AB4" s="504" t="s">
        <v>516</v>
      </c>
    </row>
    <row r="5" spans="1:31" ht="18.75">
      <c r="A5" s="497">
        <v>1</v>
      </c>
      <c r="B5" s="6" t="s">
        <v>21</v>
      </c>
      <c r="C5" s="498"/>
      <c r="D5" s="499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2"/>
      <c r="X5" s="500"/>
      <c r="Y5" s="500"/>
      <c r="Z5" s="500"/>
      <c r="AA5" s="179"/>
      <c r="AB5" s="179"/>
      <c r="AC5" s="179"/>
      <c r="AD5" s="179"/>
      <c r="AE5" s="179"/>
    </row>
    <row r="6" spans="1:31" ht="37.5">
      <c r="A6" s="497">
        <v>3</v>
      </c>
      <c r="B6" s="9" t="s">
        <v>22</v>
      </c>
      <c r="C6" s="421">
        <v>1158849.8400000001</v>
      </c>
      <c r="D6" s="422">
        <v>12</v>
      </c>
      <c r="E6" s="423">
        <f>C6*D6</f>
        <v>13906198.08</v>
      </c>
      <c r="F6" s="423"/>
      <c r="G6" s="423"/>
      <c r="H6" s="423"/>
      <c r="I6" s="423">
        <f t="shared" ref="I6:I75" si="0">E6-F6-G6-H6</f>
        <v>13906198.08</v>
      </c>
      <c r="J6" s="423">
        <v>200000</v>
      </c>
      <c r="K6" s="423">
        <v>0.2</v>
      </c>
      <c r="L6" s="423">
        <f t="shared" ref="L6:L75" si="1">I6*K6</f>
        <v>2781239.6159999999</v>
      </c>
      <c r="M6" s="423">
        <f t="shared" ref="M6:M75" si="2">J6+L6</f>
        <v>2981239.6159999999</v>
      </c>
      <c r="N6" s="423">
        <f t="shared" ref="N6:N75" si="3">F6+G6+H6+M6</f>
        <v>2981239.6159999999</v>
      </c>
      <c r="O6" s="423">
        <f t="shared" ref="O6:O75" si="4">E6-N6</f>
        <v>10924958.464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1853990.0313599999</v>
      </c>
      <c r="V6" s="423">
        <f t="shared" ref="V6:V75" si="11">P6+Q6+R6+S6+T6+U6</f>
        <v>2413990.0313599999</v>
      </c>
      <c r="W6" s="430">
        <v>12</v>
      </c>
      <c r="X6" s="423">
        <f t="shared" ref="X6:X75" si="12">V6/W6</f>
        <v>201165.83594666701</v>
      </c>
      <c r="Y6" s="423"/>
      <c r="Z6" s="423">
        <f t="shared" ref="Z6:Z75" si="13">X6</f>
        <v>201165.83594666701</v>
      </c>
      <c r="AA6" s="179">
        <v>201165.83594666701</v>
      </c>
      <c r="AB6" s="179">
        <f>Z6-AA6</f>
        <v>0</v>
      </c>
      <c r="AC6" s="179"/>
      <c r="AD6" s="179"/>
      <c r="AE6" s="179"/>
    </row>
    <row r="7" spans="1:31" ht="18.75">
      <c r="A7" s="497">
        <v>4</v>
      </c>
      <c r="B7" s="9" t="s">
        <v>25</v>
      </c>
      <c r="C7" s="421">
        <v>541465.02474999998</v>
      </c>
      <c r="D7" s="422">
        <v>12</v>
      </c>
      <c r="E7" s="423">
        <f t="shared" ref="E7:E32" si="14">C7*D7</f>
        <v>6497580.2970000003</v>
      </c>
      <c r="F7" s="423"/>
      <c r="G7" s="423"/>
      <c r="H7" s="423"/>
      <c r="I7" s="423">
        <f t="shared" si="0"/>
        <v>6497580.2970000003</v>
      </c>
      <c r="J7" s="423">
        <v>200000</v>
      </c>
      <c r="K7" s="423">
        <v>0.2</v>
      </c>
      <c r="L7" s="423">
        <f t="shared" si="1"/>
        <v>1299516.0593999999</v>
      </c>
      <c r="M7" s="423">
        <f t="shared" si="2"/>
        <v>1499516.0593999999</v>
      </c>
      <c r="N7" s="423">
        <f t="shared" si="3"/>
        <v>1499516.0593999999</v>
      </c>
      <c r="O7" s="423">
        <f t="shared" si="4"/>
        <v>4998064.2375999996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431535.41702400002</v>
      </c>
      <c r="V7" s="423">
        <f t="shared" si="11"/>
        <v>991535.41702399997</v>
      </c>
      <c r="W7" s="430">
        <v>12</v>
      </c>
      <c r="X7" s="423">
        <f t="shared" si="12"/>
        <v>82627.951418666693</v>
      </c>
      <c r="Y7" s="423"/>
      <c r="Z7" s="423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7">
        <v>5</v>
      </c>
      <c r="B8" s="12" t="s">
        <v>28</v>
      </c>
      <c r="C8" s="421">
        <v>741465.02474999998</v>
      </c>
      <c r="D8" s="422">
        <v>12</v>
      </c>
      <c r="E8" s="423">
        <f t="shared" si="14"/>
        <v>8897580.2970000003</v>
      </c>
      <c r="F8" s="423"/>
      <c r="G8" s="423"/>
      <c r="H8" s="423"/>
      <c r="I8" s="423">
        <f t="shared" si="0"/>
        <v>8897580.2970000003</v>
      </c>
      <c r="J8" s="423">
        <v>200000</v>
      </c>
      <c r="K8" s="423">
        <v>0.2</v>
      </c>
      <c r="L8" s="423">
        <f t="shared" si="1"/>
        <v>1779516.0593999999</v>
      </c>
      <c r="M8" s="423">
        <f t="shared" si="2"/>
        <v>1979516.0593999999</v>
      </c>
      <c r="N8" s="423">
        <f t="shared" si="3"/>
        <v>1979516.0593999999</v>
      </c>
      <c r="O8" s="423">
        <f t="shared" si="4"/>
        <v>6918064.2375999996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892335.41702399997</v>
      </c>
      <c r="V8" s="423">
        <f t="shared" si="11"/>
        <v>1452335.4170240001</v>
      </c>
      <c r="W8" s="430">
        <v>12</v>
      </c>
      <c r="X8" s="423">
        <f t="shared" si="12"/>
        <v>121027.951418667</v>
      </c>
      <c r="Y8" s="423"/>
      <c r="Z8" s="423">
        <f t="shared" si="13"/>
        <v>121027.951418667</v>
      </c>
      <c r="AA8" s="179">
        <v>121027.951418667</v>
      </c>
      <c r="AB8" s="179">
        <f t="shared" si="15"/>
        <v>0</v>
      </c>
      <c r="AC8" s="179"/>
      <c r="AD8" s="179"/>
      <c r="AE8" s="179"/>
    </row>
    <row r="9" spans="1:31" ht="18.75">
      <c r="A9" s="497">
        <v>6</v>
      </c>
      <c r="B9" s="9" t="s">
        <v>30</v>
      </c>
      <c r="C9" s="421">
        <v>631465.02474999998</v>
      </c>
      <c r="D9" s="422">
        <v>12</v>
      </c>
      <c r="E9" s="423">
        <f t="shared" si="14"/>
        <v>7577580.2970000003</v>
      </c>
      <c r="F9" s="423">
        <f>'[6]JANUARY 2024'!$V$10*12</f>
        <v>12795.951000000001</v>
      </c>
      <c r="G9" s="423"/>
      <c r="H9" s="423"/>
      <c r="I9" s="423">
        <f t="shared" si="0"/>
        <v>7564784.3459999999</v>
      </c>
      <c r="J9" s="423">
        <v>200000</v>
      </c>
      <c r="K9" s="423">
        <v>0.2</v>
      </c>
      <c r="L9" s="423">
        <f t="shared" si="1"/>
        <v>1512956.8692000001</v>
      </c>
      <c r="M9" s="423">
        <f t="shared" si="2"/>
        <v>1712956.8692000001</v>
      </c>
      <c r="N9" s="423">
        <f t="shared" si="3"/>
        <v>1725752.8202</v>
      </c>
      <c r="O9" s="423">
        <f t="shared" si="4"/>
        <v>5851827.4768000003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636438.59443200007</v>
      </c>
      <c r="V9" s="423">
        <f t="shared" si="11"/>
        <v>1196438.5944320001</v>
      </c>
      <c r="W9" s="430">
        <v>12</v>
      </c>
      <c r="X9" s="423">
        <f t="shared" si="12"/>
        <v>99703.216202666677</v>
      </c>
      <c r="Y9" s="423"/>
      <c r="Z9" s="423">
        <f t="shared" si="13"/>
        <v>99703.216202666677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7">
        <v>7</v>
      </c>
      <c r="B10" s="12" t="s">
        <v>32</v>
      </c>
      <c r="C10" s="421">
        <v>691465.02474999998</v>
      </c>
      <c r="D10" s="422">
        <v>12</v>
      </c>
      <c r="E10" s="423">
        <f t="shared" si="14"/>
        <v>8297580.2970000003</v>
      </c>
      <c r="F10" s="423">
        <f>'[6]JANUARY 2024'!$V$10*12</f>
        <v>12795.951000000001</v>
      </c>
      <c r="G10" s="423"/>
      <c r="H10" s="423"/>
      <c r="I10" s="423">
        <f t="shared" si="0"/>
        <v>8284784.3459999999</v>
      </c>
      <c r="J10" s="423">
        <v>200000</v>
      </c>
      <c r="K10" s="423">
        <v>0.2</v>
      </c>
      <c r="L10" s="423">
        <f t="shared" si="1"/>
        <v>1656956.8692000001</v>
      </c>
      <c r="M10" s="423">
        <f t="shared" si="2"/>
        <v>1856956.8692000001</v>
      </c>
      <c r="N10" s="423">
        <f t="shared" si="3"/>
        <v>1869752.8202</v>
      </c>
      <c r="O10" s="423">
        <f t="shared" si="4"/>
        <v>6427827.4768000003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774678.59443200007</v>
      </c>
      <c r="V10" s="423">
        <f t="shared" si="11"/>
        <v>1334678.5944320001</v>
      </c>
      <c r="W10" s="430">
        <v>12</v>
      </c>
      <c r="X10" s="423">
        <f t="shared" si="12"/>
        <v>111223.21620266668</v>
      </c>
      <c r="Y10" s="423"/>
      <c r="Z10" s="423">
        <f t="shared" si="13"/>
        <v>111223.21620266668</v>
      </c>
      <c r="AA10" s="179">
        <v>111223.216202667</v>
      </c>
      <c r="AB10" s="179">
        <f t="shared" si="15"/>
        <v>-3.2014213502407074E-10</v>
      </c>
      <c r="AC10" s="179"/>
      <c r="AD10" s="179"/>
      <c r="AE10" s="179"/>
    </row>
    <row r="11" spans="1:31" ht="18.75">
      <c r="A11" s="497">
        <v>8</v>
      </c>
      <c r="B11" s="16" t="s">
        <v>574</v>
      </c>
      <c r="C11" s="421">
        <v>641465.02474999998</v>
      </c>
      <c r="D11" s="422">
        <v>12</v>
      </c>
      <c r="E11" s="423">
        <f t="shared" si="14"/>
        <v>7697580.2970000003</v>
      </c>
      <c r="F11" s="423"/>
      <c r="G11" s="423"/>
      <c r="H11" s="423"/>
      <c r="I11" s="423">
        <f t="shared" si="0"/>
        <v>7697580.2970000003</v>
      </c>
      <c r="J11" s="423">
        <v>200000</v>
      </c>
      <c r="K11" s="423">
        <v>0.2</v>
      </c>
      <c r="L11" s="423">
        <f t="shared" si="1"/>
        <v>1539516.0593999999</v>
      </c>
      <c r="M11" s="423">
        <f t="shared" si="2"/>
        <v>1739516.0593999999</v>
      </c>
      <c r="N11" s="423">
        <f t="shared" si="3"/>
        <v>1739516.0593999999</v>
      </c>
      <c r="O11" s="423">
        <f t="shared" si="4"/>
        <v>5958064.2375999996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661935.41702399997</v>
      </c>
      <c r="V11" s="423">
        <f t="shared" si="11"/>
        <v>1221935.4170240001</v>
      </c>
      <c r="W11" s="430">
        <v>12</v>
      </c>
      <c r="X11" s="423">
        <f t="shared" si="12"/>
        <v>101827.951418667</v>
      </c>
      <c r="Y11" s="423"/>
      <c r="Z11" s="423">
        <f t="shared" si="13"/>
        <v>101827.951418667</v>
      </c>
      <c r="AA11" s="179">
        <v>101827.951418667</v>
      </c>
      <c r="AB11" s="179">
        <f t="shared" si="15"/>
        <v>0</v>
      </c>
      <c r="AC11" s="179"/>
      <c r="AD11" s="179"/>
      <c r="AE11" s="179"/>
    </row>
    <row r="12" spans="1:31" ht="18.75">
      <c r="A12" s="497">
        <v>9</v>
      </c>
      <c r="B12" s="9" t="s">
        <v>34</v>
      </c>
      <c r="C12" s="421">
        <v>497553.5025</v>
      </c>
      <c r="D12" s="422">
        <v>12</v>
      </c>
      <c r="E12" s="423">
        <f t="shared" si="14"/>
        <v>5970642.0300000003</v>
      </c>
      <c r="F12" s="423">
        <f>'[6]JANUARY 2024'!$V$13*12</f>
        <v>10052.25</v>
      </c>
      <c r="G12" s="423"/>
      <c r="H12" s="423"/>
      <c r="I12" s="423">
        <f t="shared" si="0"/>
        <v>5960589.7800000003</v>
      </c>
      <c r="J12" s="423">
        <v>200000</v>
      </c>
      <c r="K12" s="423">
        <v>0.2</v>
      </c>
      <c r="L12" s="423">
        <f t="shared" si="1"/>
        <v>1192117.956</v>
      </c>
      <c r="M12" s="423">
        <f t="shared" si="2"/>
        <v>1392117.956</v>
      </c>
      <c r="N12" s="423">
        <f t="shared" si="3"/>
        <v>1402170.206</v>
      </c>
      <c r="O12" s="423">
        <f t="shared" si="4"/>
        <v>4568471.824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328433.23775999999</v>
      </c>
      <c r="V12" s="423">
        <f t="shared" si="11"/>
        <v>888433.23775999993</v>
      </c>
      <c r="W12" s="430">
        <v>12</v>
      </c>
      <c r="X12" s="423">
        <f t="shared" si="12"/>
        <v>74036.103146666661</v>
      </c>
      <c r="Y12" s="423"/>
      <c r="Z12" s="423">
        <f t="shared" si="13"/>
        <v>74036.103146666661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7">
        <v>10</v>
      </c>
      <c r="B13" s="9" t="s">
        <v>37</v>
      </c>
      <c r="C13" s="421">
        <v>604729.22199999995</v>
      </c>
      <c r="D13" s="422">
        <v>12</v>
      </c>
      <c r="E13" s="423">
        <f t="shared" si="14"/>
        <v>7256750.6639999999</v>
      </c>
      <c r="F13" s="423">
        <f>'[6]JANUARY 2024'!$V$14*12</f>
        <v>9305.9519999999993</v>
      </c>
      <c r="G13" s="423"/>
      <c r="H13" s="423"/>
      <c r="I13" s="423">
        <f t="shared" si="0"/>
        <v>7247444.7120000003</v>
      </c>
      <c r="J13" s="423">
        <v>200000</v>
      </c>
      <c r="K13" s="423">
        <v>0.2</v>
      </c>
      <c r="L13" s="423">
        <f t="shared" si="1"/>
        <v>1449488.9424000001</v>
      </c>
      <c r="M13" s="423">
        <f t="shared" si="2"/>
        <v>1649488.9424000001</v>
      </c>
      <c r="N13" s="423">
        <f t="shared" si="3"/>
        <v>1658794.8944000001</v>
      </c>
      <c r="O13" s="423">
        <f t="shared" si="4"/>
        <v>5597955.7696000002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575509.38470400008</v>
      </c>
      <c r="V13" s="423">
        <f t="shared" si="11"/>
        <v>1135509.3847040001</v>
      </c>
      <c r="W13" s="430">
        <v>12</v>
      </c>
      <c r="X13" s="423">
        <f t="shared" si="12"/>
        <v>94625.782058666678</v>
      </c>
      <c r="Y13" s="423"/>
      <c r="Z13" s="423">
        <f t="shared" si="13"/>
        <v>94625.782058666678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7">
        <v>11</v>
      </c>
      <c r="B14" s="9" t="s">
        <v>40</v>
      </c>
      <c r="C14" s="421">
        <v>343333.03525000002</v>
      </c>
      <c r="D14" s="422">
        <v>12</v>
      </c>
      <c r="E14" s="423">
        <f t="shared" si="14"/>
        <v>4119996.423</v>
      </c>
      <c r="F14" s="423"/>
      <c r="G14" s="423"/>
      <c r="H14" s="423"/>
      <c r="I14" s="423">
        <f t="shared" si="0"/>
        <v>4119996.423</v>
      </c>
      <c r="J14" s="423">
        <v>200000</v>
      </c>
      <c r="K14" s="423">
        <v>0.2</v>
      </c>
      <c r="L14" s="423">
        <f t="shared" si="1"/>
        <v>823999.28460000001</v>
      </c>
      <c r="M14" s="423">
        <f t="shared" si="2"/>
        <v>1023999.2846</v>
      </c>
      <c r="N14" s="423">
        <f t="shared" si="3"/>
        <v>1023999.2846</v>
      </c>
      <c r="O14" s="423">
        <f t="shared" si="4"/>
        <v>3095997.1384000001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314159.399064</v>
      </c>
      <c r="U14" s="423"/>
      <c r="V14" s="423">
        <f t="shared" si="11"/>
        <v>538159.399064</v>
      </c>
      <c r="W14" s="430">
        <v>12</v>
      </c>
      <c r="X14" s="423">
        <f t="shared" si="12"/>
        <v>44846.6165886667</v>
      </c>
      <c r="Y14" s="423"/>
      <c r="Z14" s="423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7">
        <v>12</v>
      </c>
      <c r="B15" s="12" t="s">
        <v>43</v>
      </c>
      <c r="C15" s="421">
        <v>463333.03525000002</v>
      </c>
      <c r="D15" s="422">
        <v>12</v>
      </c>
      <c r="E15" s="423">
        <f t="shared" si="14"/>
        <v>5559996.4230000004</v>
      </c>
      <c r="F15" s="423"/>
      <c r="G15" s="423"/>
      <c r="H15" s="423"/>
      <c r="I15" s="423">
        <f t="shared" si="0"/>
        <v>5559996.4230000004</v>
      </c>
      <c r="J15" s="423">
        <v>200000</v>
      </c>
      <c r="K15" s="423">
        <v>0.2</v>
      </c>
      <c r="L15" s="423">
        <f t="shared" si="1"/>
        <v>1111999.2845999999</v>
      </c>
      <c r="M15" s="423">
        <f t="shared" si="2"/>
        <v>1311999.2845999999</v>
      </c>
      <c r="N15" s="423">
        <f t="shared" si="3"/>
        <v>1311999.2845999999</v>
      </c>
      <c r="O15" s="423">
        <f t="shared" si="4"/>
        <v>4247997.1383999996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251519.31321600001</v>
      </c>
      <c r="V15" s="423">
        <f t="shared" si="11"/>
        <v>811519.31321599998</v>
      </c>
      <c r="W15" s="430">
        <v>12</v>
      </c>
      <c r="X15" s="423">
        <f t="shared" si="12"/>
        <v>67626.609434666694</v>
      </c>
      <c r="Y15" s="423"/>
      <c r="Z15" s="505">
        <f t="shared" si="13"/>
        <v>67626.609434666694</v>
      </c>
      <c r="AA15" s="506">
        <v>46666.666666666701</v>
      </c>
      <c r="AB15" s="506">
        <f t="shared" si="15"/>
        <v>20959.942768000001</v>
      </c>
      <c r="AC15" s="179"/>
      <c r="AD15" s="179"/>
      <c r="AE15" s="179"/>
    </row>
    <row r="16" spans="1:31" ht="18.75">
      <c r="A16" s="497">
        <v>13</v>
      </c>
      <c r="B16" s="9" t="s">
        <v>45</v>
      </c>
      <c r="C16" s="421">
        <v>547211.36750000005</v>
      </c>
      <c r="D16" s="422">
        <v>12</v>
      </c>
      <c r="E16" s="423">
        <f t="shared" si="14"/>
        <v>6566536.4100000001</v>
      </c>
      <c r="F16" s="423"/>
      <c r="G16" s="423"/>
      <c r="H16" s="423"/>
      <c r="I16" s="423">
        <f t="shared" si="0"/>
        <v>6566536.4100000001</v>
      </c>
      <c r="J16" s="423">
        <v>200000</v>
      </c>
      <c r="K16" s="423">
        <v>0.2</v>
      </c>
      <c r="L16" s="423">
        <f t="shared" si="1"/>
        <v>1313307.2819999999</v>
      </c>
      <c r="M16" s="423">
        <f t="shared" si="2"/>
        <v>1513307.2819999999</v>
      </c>
      <c r="N16" s="423">
        <f t="shared" si="3"/>
        <v>1513307.2819999999</v>
      </c>
      <c r="O16" s="423">
        <f t="shared" si="4"/>
        <v>5053229.1279999996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444774.99072</v>
      </c>
      <c r="V16" s="423">
        <f t="shared" si="11"/>
        <v>1004774.99072</v>
      </c>
      <c r="W16" s="430">
        <v>12</v>
      </c>
      <c r="X16" s="423">
        <f t="shared" si="12"/>
        <v>83731.249226666696</v>
      </c>
      <c r="Y16" s="423"/>
      <c r="Z16" s="505">
        <f t="shared" si="13"/>
        <v>83731.249226666696</v>
      </c>
      <c r="AA16" s="506">
        <v>46666.666666666701</v>
      </c>
      <c r="AB16" s="506">
        <f t="shared" si="15"/>
        <v>37064.582560000003</v>
      </c>
      <c r="AC16" s="179"/>
      <c r="AD16" s="179"/>
      <c r="AE16" s="179"/>
    </row>
    <row r="17" spans="1:31" ht="18.75">
      <c r="A17" s="497">
        <v>14</v>
      </c>
      <c r="B17" s="9" t="s">
        <v>48</v>
      </c>
      <c r="C17" s="421">
        <v>326663.07750000001</v>
      </c>
      <c r="D17" s="422">
        <v>12</v>
      </c>
      <c r="E17" s="423">
        <f t="shared" si="14"/>
        <v>3919956.93</v>
      </c>
      <c r="F17" s="423"/>
      <c r="G17" s="423"/>
      <c r="H17" s="423"/>
      <c r="I17" s="423">
        <f t="shared" si="0"/>
        <v>3919956.93</v>
      </c>
      <c r="J17" s="423">
        <v>200000</v>
      </c>
      <c r="K17" s="423">
        <v>0.2</v>
      </c>
      <c r="L17" s="423">
        <f t="shared" si="1"/>
        <v>783991.38600000006</v>
      </c>
      <c r="M17" s="423">
        <f t="shared" si="2"/>
        <v>983991.38600000006</v>
      </c>
      <c r="N17" s="423">
        <f t="shared" si="3"/>
        <v>983991.38600000006</v>
      </c>
      <c r="O17" s="423">
        <f t="shared" si="4"/>
        <v>2935965.5440000002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280552.76423999999</v>
      </c>
      <c r="U17" s="423"/>
      <c r="V17" s="423">
        <f t="shared" si="11"/>
        <v>504552.76423999999</v>
      </c>
      <c r="W17" s="430">
        <v>12</v>
      </c>
      <c r="X17" s="423">
        <f t="shared" si="12"/>
        <v>42046.063686666697</v>
      </c>
      <c r="Y17" s="423"/>
      <c r="Z17" s="423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7">
        <v>15</v>
      </c>
      <c r="B18" s="9" t="s">
        <v>50</v>
      </c>
      <c r="C18" s="421">
        <v>369177.65375</v>
      </c>
      <c r="D18" s="422">
        <v>12</v>
      </c>
      <c r="E18" s="423">
        <f t="shared" si="14"/>
        <v>4430131.8449999997</v>
      </c>
      <c r="F18" s="423"/>
      <c r="G18" s="423"/>
      <c r="H18" s="423"/>
      <c r="I18" s="423">
        <f t="shared" si="0"/>
        <v>4430131.8449999997</v>
      </c>
      <c r="J18" s="423">
        <v>200000</v>
      </c>
      <c r="K18" s="423">
        <v>0.2</v>
      </c>
      <c r="L18" s="423">
        <f t="shared" si="1"/>
        <v>886026.36899999995</v>
      </c>
      <c r="M18" s="423">
        <f t="shared" si="2"/>
        <v>1086026.3689999999</v>
      </c>
      <c r="N18" s="423">
        <f t="shared" si="3"/>
        <v>1086026.3689999999</v>
      </c>
      <c r="O18" s="423">
        <f t="shared" si="4"/>
        <v>3344105.4759999998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34585.314239999898</v>
      </c>
      <c r="V18" s="423">
        <f t="shared" si="11"/>
        <v>594585.31423999998</v>
      </c>
      <c r="W18" s="430">
        <v>12</v>
      </c>
      <c r="X18" s="423">
        <f t="shared" si="12"/>
        <v>49548.776186666699</v>
      </c>
      <c r="Y18" s="423"/>
      <c r="Z18" s="505">
        <f t="shared" si="13"/>
        <v>49548.776186666699</v>
      </c>
      <c r="AA18" s="506">
        <v>46666.666666666701</v>
      </c>
      <c r="AB18" s="506">
        <f t="shared" si="15"/>
        <v>2882.10952</v>
      </c>
      <c r="AC18" s="179"/>
      <c r="AD18" s="179"/>
      <c r="AE18" s="179"/>
    </row>
    <row r="19" spans="1:31" ht="18.75">
      <c r="A19" s="497">
        <v>16</v>
      </c>
      <c r="B19" s="16" t="s">
        <v>53</v>
      </c>
      <c r="C19" s="421">
        <v>462001.06050000002</v>
      </c>
      <c r="D19" s="422">
        <v>12</v>
      </c>
      <c r="E19" s="423">
        <f t="shared" si="14"/>
        <v>5544012.7259999998</v>
      </c>
      <c r="F19" s="423"/>
      <c r="G19" s="423"/>
      <c r="H19" s="423"/>
      <c r="I19" s="423">
        <f t="shared" si="0"/>
        <v>5544012.7259999998</v>
      </c>
      <c r="J19" s="423">
        <v>200000</v>
      </c>
      <c r="K19" s="423">
        <v>0.2</v>
      </c>
      <c r="L19" s="423">
        <f t="shared" si="1"/>
        <v>1108802.5452000001</v>
      </c>
      <c r="M19" s="423">
        <f t="shared" si="2"/>
        <v>1308802.5452000001</v>
      </c>
      <c r="N19" s="423">
        <f t="shared" si="3"/>
        <v>1308802.5452000001</v>
      </c>
      <c r="O19" s="423">
        <f t="shared" si="4"/>
        <v>4235210.1808000002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248450.44339199999</v>
      </c>
      <c r="V19" s="423">
        <f t="shared" si="11"/>
        <v>808450.44339200004</v>
      </c>
      <c r="W19" s="430">
        <v>12</v>
      </c>
      <c r="X19" s="423">
        <f t="shared" si="12"/>
        <v>67370.870282666699</v>
      </c>
      <c r="Y19" s="423"/>
      <c r="Z19" s="505">
        <f t="shared" si="13"/>
        <v>67370.870282666699</v>
      </c>
      <c r="AA19" s="506">
        <v>46666.666666666701</v>
      </c>
      <c r="AB19" s="506">
        <f t="shared" si="15"/>
        <v>20704.203615999999</v>
      </c>
      <c r="AC19" s="179"/>
      <c r="AD19" s="179"/>
      <c r="AE19" s="179"/>
    </row>
    <row r="20" spans="1:31" ht="18.75">
      <c r="A20" s="497">
        <v>17</v>
      </c>
      <c r="B20" s="9" t="s">
        <v>60</v>
      </c>
      <c r="C20" s="421">
        <v>384536.99849999999</v>
      </c>
      <c r="D20" s="422">
        <v>12</v>
      </c>
      <c r="E20" s="423">
        <f t="shared" si="14"/>
        <v>4614443.9819999998</v>
      </c>
      <c r="F20" s="423"/>
      <c r="G20" s="423"/>
      <c r="H20" s="423"/>
      <c r="I20" s="423">
        <f t="shared" si="0"/>
        <v>4614443.9819999998</v>
      </c>
      <c r="J20" s="423">
        <v>200000</v>
      </c>
      <c r="K20" s="423">
        <v>0.2</v>
      </c>
      <c r="L20" s="423">
        <f t="shared" si="1"/>
        <v>922888.79639999999</v>
      </c>
      <c r="M20" s="423">
        <f t="shared" si="2"/>
        <v>1122888.7964000001</v>
      </c>
      <c r="N20" s="423">
        <f t="shared" si="3"/>
        <v>1122888.7964000001</v>
      </c>
      <c r="O20" s="423">
        <f t="shared" si="4"/>
        <v>3491555.1856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69973.244543999797</v>
      </c>
      <c r="V20" s="423">
        <f t="shared" si="11"/>
        <v>629973.24454400002</v>
      </c>
      <c r="W20" s="430">
        <v>12</v>
      </c>
      <c r="X20" s="423">
        <f t="shared" si="12"/>
        <v>52497.770378666602</v>
      </c>
      <c r="Y20" s="423"/>
      <c r="Z20" s="423">
        <f t="shared" si="13"/>
        <v>52497.770378666602</v>
      </c>
      <c r="AA20" s="179">
        <v>52497.770378666602</v>
      </c>
      <c r="AB20" s="179">
        <f t="shared" si="15"/>
        <v>0</v>
      </c>
      <c r="AC20" s="179"/>
      <c r="AD20" s="179"/>
      <c r="AE20" s="179"/>
    </row>
    <row r="21" spans="1:31" ht="18.75">
      <c r="A21" s="497">
        <v>18</v>
      </c>
      <c r="B21" s="12" t="s">
        <v>63</v>
      </c>
      <c r="C21" s="421">
        <v>400372.07500000001</v>
      </c>
      <c r="D21" s="422">
        <v>12</v>
      </c>
      <c r="E21" s="423">
        <f t="shared" si="14"/>
        <v>4804464.9000000004</v>
      </c>
      <c r="F21" s="423"/>
      <c r="G21" s="423"/>
      <c r="H21" s="423"/>
      <c r="I21" s="423">
        <f t="shared" si="0"/>
        <v>4804464.9000000004</v>
      </c>
      <c r="J21" s="423">
        <v>200000</v>
      </c>
      <c r="K21" s="423">
        <v>0.2</v>
      </c>
      <c r="L21" s="423">
        <f t="shared" si="1"/>
        <v>960892.98</v>
      </c>
      <c r="M21" s="423">
        <f t="shared" si="2"/>
        <v>1160892.98</v>
      </c>
      <c r="N21" s="423">
        <f t="shared" si="3"/>
        <v>1160892.98</v>
      </c>
      <c r="O21" s="423">
        <f t="shared" si="4"/>
        <v>3643571.92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106457.2608</v>
      </c>
      <c r="V21" s="423">
        <f t="shared" si="11"/>
        <v>666457.26080000005</v>
      </c>
      <c r="W21" s="430">
        <v>12</v>
      </c>
      <c r="X21" s="423">
        <f t="shared" si="12"/>
        <v>55538.1050666667</v>
      </c>
      <c r="Y21" s="423"/>
      <c r="Z21" s="505">
        <f t="shared" si="13"/>
        <v>55538.1050666667</v>
      </c>
      <c r="AA21" s="506">
        <v>46666.666666666701</v>
      </c>
      <c r="AB21" s="506">
        <f t="shared" si="15"/>
        <v>8871.43840000001</v>
      </c>
      <c r="AC21" s="179"/>
      <c r="AD21" s="179"/>
      <c r="AE21" s="179"/>
    </row>
    <row r="22" spans="1:31" ht="18.75">
      <c r="A22" s="497">
        <v>19</v>
      </c>
      <c r="B22" s="9" t="s">
        <v>66</v>
      </c>
      <c r="C22" s="421">
        <f>1015372.075-700000</f>
        <v>315372.07500000001</v>
      </c>
      <c r="D22" s="422">
        <v>12</v>
      </c>
      <c r="E22" s="423">
        <f t="shared" si="14"/>
        <v>3784464.9</v>
      </c>
      <c r="F22" s="423"/>
      <c r="G22" s="423"/>
      <c r="H22" s="423"/>
      <c r="I22" s="423">
        <f t="shared" si="0"/>
        <v>3784464.9</v>
      </c>
      <c r="J22" s="423">
        <v>200000</v>
      </c>
      <c r="K22" s="423">
        <v>0.2</v>
      </c>
      <c r="L22" s="423">
        <f t="shared" si="1"/>
        <v>756892.98</v>
      </c>
      <c r="M22" s="423">
        <f t="shared" si="2"/>
        <v>956892.98</v>
      </c>
      <c r="N22" s="423">
        <f t="shared" si="3"/>
        <v>956892.98</v>
      </c>
      <c r="O22" s="423">
        <f t="shared" si="4"/>
        <v>2827571.92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257790.10320000001</v>
      </c>
      <c r="U22" s="423"/>
      <c r="V22" s="423">
        <f t="shared" si="11"/>
        <v>481790.10320000001</v>
      </c>
      <c r="W22" s="430">
        <v>12</v>
      </c>
      <c r="X22" s="423">
        <f t="shared" si="12"/>
        <v>40149.175266666702</v>
      </c>
      <c r="Y22" s="423"/>
      <c r="Z22" s="507">
        <f t="shared" si="13"/>
        <v>40149.175266666702</v>
      </c>
      <c r="AA22" s="508">
        <v>46666.666666666701</v>
      </c>
      <c r="AB22" s="508">
        <f t="shared" si="15"/>
        <v>-6517.4914000000099</v>
      </c>
      <c r="AC22" s="179" t="s">
        <v>627</v>
      </c>
      <c r="AD22" s="179"/>
      <c r="AE22" s="179"/>
    </row>
    <row r="23" spans="1:31" ht="18.75">
      <c r="A23" s="497">
        <v>20</v>
      </c>
      <c r="B23" s="12" t="s">
        <v>68</v>
      </c>
      <c r="C23" s="421">
        <v>328602.07775</v>
      </c>
      <c r="D23" s="422">
        <v>12</v>
      </c>
      <c r="E23" s="423">
        <f t="shared" si="14"/>
        <v>3943224.9330000002</v>
      </c>
      <c r="F23" s="423"/>
      <c r="G23" s="423"/>
      <c r="H23" s="423"/>
      <c r="I23" s="423">
        <f t="shared" si="0"/>
        <v>3943224.9330000002</v>
      </c>
      <c r="J23" s="423">
        <v>200000</v>
      </c>
      <c r="K23" s="423">
        <v>0.2</v>
      </c>
      <c r="L23" s="423">
        <f t="shared" si="1"/>
        <v>788644.98659999995</v>
      </c>
      <c r="M23" s="423">
        <f t="shared" si="2"/>
        <v>988644.98659999995</v>
      </c>
      <c r="N23" s="423">
        <f t="shared" si="3"/>
        <v>988644.98659999995</v>
      </c>
      <c r="O23" s="423">
        <f t="shared" si="4"/>
        <v>2954579.9463999998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284461.78874400002</v>
      </c>
      <c r="U23" s="423"/>
      <c r="V23" s="423">
        <f t="shared" si="11"/>
        <v>508461.78874400002</v>
      </c>
      <c r="W23" s="430">
        <v>12</v>
      </c>
      <c r="X23" s="423">
        <f t="shared" si="12"/>
        <v>42371.815728666697</v>
      </c>
      <c r="Y23" s="423"/>
      <c r="Z23" s="423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3" customFormat="1" ht="18.75">
      <c r="A24" s="501">
        <v>21</v>
      </c>
      <c r="B24" s="2" t="s">
        <v>73</v>
      </c>
      <c r="C24" s="421">
        <v>213508.01</v>
      </c>
      <c r="D24" s="422">
        <v>12</v>
      </c>
      <c r="E24" s="423">
        <f t="shared" si="14"/>
        <v>2562096.12</v>
      </c>
      <c r="F24" s="423"/>
      <c r="G24" s="423"/>
      <c r="H24" s="423"/>
      <c r="I24" s="423">
        <f t="shared" si="0"/>
        <v>2562096.12</v>
      </c>
      <c r="J24" s="423">
        <v>200000</v>
      </c>
      <c r="K24" s="423">
        <v>0.2</v>
      </c>
      <c r="L24" s="423">
        <f t="shared" si="1"/>
        <v>512419.22399999999</v>
      </c>
      <c r="M24" s="423">
        <f t="shared" si="2"/>
        <v>712419.22400000005</v>
      </c>
      <c r="N24" s="423">
        <f t="shared" si="3"/>
        <v>712419.22400000005</v>
      </c>
      <c r="O24" s="423">
        <f t="shared" si="4"/>
        <v>1849676.8959999999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52432.148159999997</v>
      </c>
      <c r="U24" s="423"/>
      <c r="V24" s="423">
        <f t="shared" si="11"/>
        <v>276432.14815999998</v>
      </c>
      <c r="W24" s="430">
        <v>12</v>
      </c>
      <c r="X24" s="423">
        <f t="shared" si="12"/>
        <v>23036.012346666699</v>
      </c>
      <c r="Y24" s="423"/>
      <c r="Z24" s="423">
        <f t="shared" si="13"/>
        <v>23036.012346666699</v>
      </c>
      <c r="AA24" s="509">
        <v>23036.012346666699</v>
      </c>
      <c r="AB24" s="179">
        <f t="shared" si="15"/>
        <v>0</v>
      </c>
      <c r="AC24" s="509"/>
      <c r="AD24" s="509"/>
      <c r="AE24" s="509"/>
    </row>
    <row r="25" spans="1:31" ht="18.75">
      <c r="A25" s="497">
        <v>22</v>
      </c>
      <c r="B25" s="16" t="s">
        <v>76</v>
      </c>
      <c r="C25" s="421">
        <v>213508.01</v>
      </c>
      <c r="D25" s="422">
        <v>12</v>
      </c>
      <c r="E25" s="423">
        <f t="shared" si="14"/>
        <v>2562096.12</v>
      </c>
      <c r="F25" s="423"/>
      <c r="G25" s="423"/>
      <c r="H25" s="423"/>
      <c r="I25" s="423">
        <f t="shared" si="0"/>
        <v>2562096.12</v>
      </c>
      <c r="J25" s="423">
        <v>200000</v>
      </c>
      <c r="K25" s="423">
        <v>0.2</v>
      </c>
      <c r="L25" s="423">
        <f t="shared" si="1"/>
        <v>512419.22399999999</v>
      </c>
      <c r="M25" s="423">
        <f t="shared" si="2"/>
        <v>712419.22400000005</v>
      </c>
      <c r="N25" s="423">
        <f t="shared" si="3"/>
        <v>712419.22400000005</v>
      </c>
      <c r="O25" s="423">
        <f t="shared" si="4"/>
        <v>1849676.8959999999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52432.148159999997</v>
      </c>
      <c r="U25" s="423"/>
      <c r="V25" s="423">
        <f t="shared" si="11"/>
        <v>276432.14815999998</v>
      </c>
      <c r="W25" s="430">
        <v>12</v>
      </c>
      <c r="X25" s="423">
        <f t="shared" si="12"/>
        <v>23036.012346666699</v>
      </c>
      <c r="Y25" s="423"/>
      <c r="Z25" s="423">
        <f t="shared" si="13"/>
        <v>23036.012346666699</v>
      </c>
      <c r="AA25" s="179">
        <v>23036.012346666699</v>
      </c>
      <c r="AB25" s="179">
        <f t="shared" si="15"/>
        <v>0</v>
      </c>
      <c r="AC25" s="179"/>
      <c r="AD25" s="179"/>
      <c r="AE25" s="179"/>
    </row>
    <row r="26" spans="1:31" ht="18.75">
      <c r="A26" s="497">
        <v>23</v>
      </c>
      <c r="B26" s="9" t="s">
        <v>77</v>
      </c>
      <c r="C26" s="421">
        <v>253508.01</v>
      </c>
      <c r="D26" s="422">
        <v>12</v>
      </c>
      <c r="E26" s="423">
        <f t="shared" si="14"/>
        <v>3042096.12</v>
      </c>
      <c r="F26" s="423"/>
      <c r="G26" s="423"/>
      <c r="H26" s="423"/>
      <c r="I26" s="423">
        <f t="shared" si="0"/>
        <v>3042096.12</v>
      </c>
      <c r="J26" s="423">
        <v>200000</v>
      </c>
      <c r="K26" s="423">
        <v>0.2</v>
      </c>
      <c r="L26" s="423">
        <f t="shared" si="1"/>
        <v>608419.22400000005</v>
      </c>
      <c r="M26" s="423">
        <f t="shared" si="2"/>
        <v>808419.22400000005</v>
      </c>
      <c r="N26" s="423">
        <f t="shared" si="3"/>
        <v>808419.22400000005</v>
      </c>
      <c r="O26" s="423">
        <f t="shared" si="4"/>
        <v>2233676.8960000002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133072.14816000001</v>
      </c>
      <c r="U26" s="423"/>
      <c r="V26" s="423">
        <f t="shared" si="11"/>
        <v>357072.14815999998</v>
      </c>
      <c r="W26" s="430">
        <v>12</v>
      </c>
      <c r="X26" s="423">
        <f t="shared" si="12"/>
        <v>29756.012346666699</v>
      </c>
      <c r="Y26" s="423"/>
      <c r="Z26" s="423">
        <f t="shared" si="13"/>
        <v>29756.012346666699</v>
      </c>
      <c r="AA26" s="179">
        <v>29756.012346666699</v>
      </c>
      <c r="AB26" s="179">
        <f t="shared" si="15"/>
        <v>0</v>
      </c>
      <c r="AC26" s="179"/>
      <c r="AD26" s="179"/>
      <c r="AE26" s="179"/>
    </row>
    <row r="27" spans="1:31" ht="37.5">
      <c r="A27" s="497">
        <v>24</v>
      </c>
      <c r="B27" s="16" t="s">
        <v>78</v>
      </c>
      <c r="C27" s="421">
        <v>209356.04725</v>
      </c>
      <c r="D27" s="422">
        <v>12</v>
      </c>
      <c r="E27" s="423">
        <f t="shared" si="14"/>
        <v>2512272.5669999998</v>
      </c>
      <c r="F27" s="423"/>
      <c r="G27" s="423"/>
      <c r="H27" s="423"/>
      <c r="I27" s="423">
        <f t="shared" ref="I27" si="16">E27-F27-G27-H27</f>
        <v>2512272.5669999998</v>
      </c>
      <c r="J27" s="423">
        <v>200000</v>
      </c>
      <c r="K27" s="423">
        <v>0.2</v>
      </c>
      <c r="L27" s="423">
        <f t="shared" ref="L27" si="17">I27*K27</f>
        <v>502454.5134</v>
      </c>
      <c r="M27" s="423">
        <f t="shared" ref="M27" si="18">J27+L27</f>
        <v>702454.51340000005</v>
      </c>
      <c r="N27" s="423">
        <f t="shared" ref="N27" si="19">F27+G27+H27+M27</f>
        <v>702454.51340000005</v>
      </c>
      <c r="O27" s="423">
        <f t="shared" ref="O27" si="20">E27-N27</f>
        <v>1809818.0536</v>
      </c>
      <c r="P27" s="423">
        <f t="shared" ref="P27" si="21">IF(O27&lt;300000,0.07*O27,21000)</f>
        <v>21000</v>
      </c>
      <c r="Q27" s="423">
        <f t="shared" ref="Q27" si="22">IF((O27-300000)&lt;0,0,IF((O27-300000)&lt;300000,0.11*(O27-300000),33000))</f>
        <v>33000</v>
      </c>
      <c r="R27" s="423">
        <f t="shared" ref="R27" si="23">IF((O27-600000)&lt;0,0,IF((O27-600000)&lt;500000,0.15*(O27-600000),75000))</f>
        <v>75000</v>
      </c>
      <c r="S27" s="423">
        <f t="shared" ref="S27" si="24">IF((O27-1100000)&lt;0,0,IF((O27-1100000)&lt;500000,0.19*(O27-1100000),95000))</f>
        <v>95000</v>
      </c>
      <c r="T27" s="423">
        <f t="shared" ref="T27" si="25">IF((O27-1600000)&lt;0,0,IF((O27-1600000)&lt;1600000,0.21*(O27-1600000),336000))</f>
        <v>44061.791255999902</v>
      </c>
      <c r="U27" s="423"/>
      <c r="V27" s="423">
        <f t="shared" ref="V27" si="26">P27+Q27+R27+S27+T27+U27</f>
        <v>268061.791256</v>
      </c>
      <c r="W27" s="430">
        <v>12</v>
      </c>
      <c r="X27" s="423">
        <f t="shared" ref="X27" si="27">V27/W27</f>
        <v>22338.4826046667</v>
      </c>
      <c r="Y27" s="423"/>
      <c r="Z27" s="423">
        <f t="shared" ref="Z27" si="28">X27</f>
        <v>22338.4826046667</v>
      </c>
      <c r="AA27" s="179">
        <v>22338.4826046667</v>
      </c>
      <c r="AB27" s="179">
        <f t="shared" si="15"/>
        <v>0</v>
      </c>
      <c r="AC27" s="179"/>
      <c r="AD27" s="179"/>
      <c r="AE27" s="179"/>
    </row>
    <row r="28" spans="1:31" ht="18.75">
      <c r="A28" s="497">
        <v>25</v>
      </c>
      <c r="B28" s="16" t="s">
        <v>81</v>
      </c>
      <c r="C28" s="421">
        <v>205204.0845</v>
      </c>
      <c r="D28" s="422">
        <v>12</v>
      </c>
      <c r="E28" s="423">
        <f t="shared" si="14"/>
        <v>2462449.014</v>
      </c>
      <c r="F28" s="423"/>
      <c r="G28" s="423"/>
      <c r="H28" s="423"/>
      <c r="I28" s="423">
        <f t="shared" si="0"/>
        <v>2462449.014</v>
      </c>
      <c r="J28" s="423">
        <v>200000</v>
      </c>
      <c r="K28" s="423">
        <v>0.2</v>
      </c>
      <c r="L28" s="423">
        <f t="shared" si="1"/>
        <v>492489.8028</v>
      </c>
      <c r="M28" s="423">
        <f t="shared" si="2"/>
        <v>692489.80279999995</v>
      </c>
      <c r="N28" s="423">
        <f t="shared" si="3"/>
        <v>692489.80279999995</v>
      </c>
      <c r="O28" s="423">
        <f t="shared" si="4"/>
        <v>1769959.2112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35691.434351999997</v>
      </c>
      <c r="U28" s="423"/>
      <c r="V28" s="423">
        <f t="shared" si="11"/>
        <v>259691.43435200001</v>
      </c>
      <c r="W28" s="430">
        <v>12</v>
      </c>
      <c r="X28" s="423">
        <f t="shared" si="12"/>
        <v>21640.952862666702</v>
      </c>
      <c r="Y28" s="423"/>
      <c r="Z28" s="423">
        <f t="shared" si="13"/>
        <v>21640.952862666702</v>
      </c>
      <c r="AA28" s="179">
        <v>21640.952862666702</v>
      </c>
      <c r="AB28" s="179">
        <f t="shared" si="15"/>
        <v>0</v>
      </c>
      <c r="AC28" s="179"/>
      <c r="AD28" s="179"/>
      <c r="AE28" s="179"/>
    </row>
    <row r="29" spans="1:31" s="493" customFormat="1" ht="37.5">
      <c r="A29" s="501">
        <v>26</v>
      </c>
      <c r="B29" s="16" t="s">
        <v>84</v>
      </c>
      <c r="C29" s="421">
        <v>205204.0845</v>
      </c>
      <c r="D29" s="422">
        <v>12</v>
      </c>
      <c r="E29" s="423">
        <f t="shared" si="14"/>
        <v>2462449.014</v>
      </c>
      <c r="F29" s="423"/>
      <c r="G29" s="423"/>
      <c r="H29" s="423"/>
      <c r="I29" s="423">
        <f t="shared" si="0"/>
        <v>2462449.014</v>
      </c>
      <c r="J29" s="423">
        <v>200000</v>
      </c>
      <c r="K29" s="423">
        <v>0.2</v>
      </c>
      <c r="L29" s="423">
        <f t="shared" si="1"/>
        <v>492489.8028</v>
      </c>
      <c r="M29" s="423">
        <f t="shared" si="2"/>
        <v>692489.80279999995</v>
      </c>
      <c r="N29" s="423">
        <f t="shared" si="3"/>
        <v>692489.80279999995</v>
      </c>
      <c r="O29" s="423">
        <f t="shared" si="4"/>
        <v>1769959.2112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35691.434351999997</v>
      </c>
      <c r="U29" s="423"/>
      <c r="V29" s="423">
        <f t="shared" si="11"/>
        <v>259691.43435200001</v>
      </c>
      <c r="W29" s="430">
        <v>12</v>
      </c>
      <c r="X29" s="423">
        <f t="shared" si="12"/>
        <v>21640.952862666702</v>
      </c>
      <c r="Y29" s="423"/>
      <c r="Z29" s="423">
        <f t="shared" si="13"/>
        <v>21640.952862666702</v>
      </c>
      <c r="AA29" s="509">
        <v>21640.952862666702</v>
      </c>
      <c r="AB29" s="179">
        <f t="shared" si="15"/>
        <v>0</v>
      </c>
      <c r="AC29" s="509"/>
      <c r="AD29" s="509"/>
      <c r="AE29" s="509"/>
    </row>
    <row r="30" spans="1:31" s="493" customFormat="1" ht="18.75">
      <c r="A30" s="501">
        <v>27</v>
      </c>
      <c r="B30" s="16" t="s">
        <v>85</v>
      </c>
      <c r="C30" s="421">
        <v>209356.04725</v>
      </c>
      <c r="D30" s="422">
        <v>12</v>
      </c>
      <c r="E30" s="423">
        <f t="shared" si="14"/>
        <v>2512272.5669999998</v>
      </c>
      <c r="F30" s="423"/>
      <c r="G30" s="423"/>
      <c r="H30" s="423"/>
      <c r="I30" s="423">
        <f t="shared" si="0"/>
        <v>2512272.5669999998</v>
      </c>
      <c r="J30" s="423">
        <v>200000</v>
      </c>
      <c r="K30" s="423">
        <v>0.2</v>
      </c>
      <c r="L30" s="423">
        <f t="shared" si="1"/>
        <v>502454.5134</v>
      </c>
      <c r="M30" s="423">
        <f t="shared" si="2"/>
        <v>702454.51340000005</v>
      </c>
      <c r="N30" s="423">
        <f t="shared" si="3"/>
        <v>702454.51340000005</v>
      </c>
      <c r="O30" s="423">
        <f t="shared" si="4"/>
        <v>1809818.0536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44061.791255999902</v>
      </c>
      <c r="U30" s="423"/>
      <c r="V30" s="423">
        <f t="shared" si="11"/>
        <v>268061.791256</v>
      </c>
      <c r="W30" s="430">
        <v>12</v>
      </c>
      <c r="X30" s="423">
        <f t="shared" si="12"/>
        <v>22338.4826046667</v>
      </c>
      <c r="Y30" s="423"/>
      <c r="Z30" s="423">
        <f t="shared" si="13"/>
        <v>22338.4826046667</v>
      </c>
      <c r="AA30" s="509">
        <v>22338.4826046667</v>
      </c>
      <c r="AB30" s="179">
        <f t="shared" si="15"/>
        <v>0</v>
      </c>
      <c r="AC30" s="509"/>
      <c r="AD30" s="509"/>
      <c r="AE30" s="509"/>
    </row>
    <row r="31" spans="1:31" ht="18.75">
      <c r="A31" s="497">
        <v>28</v>
      </c>
      <c r="B31" s="16" t="s">
        <v>88</v>
      </c>
      <c r="C31" s="421">
        <v>180304.068</v>
      </c>
      <c r="D31" s="422">
        <v>12</v>
      </c>
      <c r="E31" s="423">
        <f t="shared" si="14"/>
        <v>2163648.8160000001</v>
      </c>
      <c r="F31" s="423"/>
      <c r="G31" s="423"/>
      <c r="H31" s="423"/>
      <c r="I31" s="423">
        <f t="shared" si="0"/>
        <v>2163648.8160000001</v>
      </c>
      <c r="J31" s="423">
        <v>200000</v>
      </c>
      <c r="K31" s="423">
        <v>0.2</v>
      </c>
      <c r="L31" s="423">
        <f t="shared" si="1"/>
        <v>432729.76319999999</v>
      </c>
      <c r="M31" s="423">
        <f t="shared" si="2"/>
        <v>632729.76320000004</v>
      </c>
      <c r="N31" s="423">
        <f t="shared" si="3"/>
        <v>632729.76320000004</v>
      </c>
      <c r="O31" s="423">
        <f t="shared" si="4"/>
        <v>1530919.0527999999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81874.620032000006</v>
      </c>
      <c r="T31" s="423">
        <f t="shared" si="9"/>
        <v>0</v>
      </c>
      <c r="U31" s="423"/>
      <c r="V31" s="423">
        <f t="shared" si="11"/>
        <v>210874.62003200001</v>
      </c>
      <c r="W31" s="430">
        <v>12</v>
      </c>
      <c r="X31" s="423">
        <f t="shared" si="12"/>
        <v>17572.885002666699</v>
      </c>
      <c r="Y31" s="423"/>
      <c r="Z31" s="423">
        <f t="shared" si="13"/>
        <v>17572.885002666699</v>
      </c>
      <c r="AA31" s="179">
        <v>17572.885002666699</v>
      </c>
      <c r="AB31" s="179">
        <f t="shared" si="15"/>
        <v>0</v>
      </c>
      <c r="AC31" s="179"/>
      <c r="AD31" s="179"/>
      <c r="AE31" s="179"/>
    </row>
    <row r="32" spans="1:31" ht="18.75">
      <c r="A32" s="497">
        <v>29</v>
      </c>
      <c r="B32" s="16" t="s">
        <v>90</v>
      </c>
      <c r="C32" s="421">
        <v>173329.04949999999</v>
      </c>
      <c r="D32" s="422">
        <v>12</v>
      </c>
      <c r="E32" s="423">
        <f t="shared" si="14"/>
        <v>2079948.594</v>
      </c>
      <c r="F32" s="423"/>
      <c r="G32" s="423"/>
      <c r="H32" s="423"/>
      <c r="I32" s="423">
        <f t="shared" si="0"/>
        <v>2079948.594</v>
      </c>
      <c r="J32" s="423">
        <v>200000</v>
      </c>
      <c r="K32" s="423">
        <v>0.2</v>
      </c>
      <c r="L32" s="423">
        <f t="shared" si="1"/>
        <v>415989.71879999997</v>
      </c>
      <c r="M32" s="423">
        <f t="shared" si="2"/>
        <v>615989.71880000003</v>
      </c>
      <c r="N32" s="423">
        <f t="shared" si="3"/>
        <v>615989.71880000003</v>
      </c>
      <c r="O32" s="423">
        <f t="shared" si="4"/>
        <v>1463958.8751999999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69152.186287999997</v>
      </c>
      <c r="T32" s="423">
        <f t="shared" si="9"/>
        <v>0</v>
      </c>
      <c r="U32" s="423"/>
      <c r="V32" s="423">
        <f t="shared" si="11"/>
        <v>198152.186288</v>
      </c>
      <c r="W32" s="430">
        <v>12</v>
      </c>
      <c r="X32" s="423">
        <f t="shared" si="12"/>
        <v>16512.682190666699</v>
      </c>
      <c r="Y32" s="423"/>
      <c r="Z32" s="423">
        <f t="shared" si="13"/>
        <v>16512.682190666699</v>
      </c>
      <c r="AA32" s="179">
        <v>16512.682190666699</v>
      </c>
      <c r="AB32" s="179">
        <f t="shared" si="15"/>
        <v>0</v>
      </c>
      <c r="AC32" s="179"/>
      <c r="AD32" s="179"/>
      <c r="AE32" s="179"/>
    </row>
    <row r="33" spans="1:31" ht="18.75">
      <c r="A33" s="497">
        <v>31</v>
      </c>
      <c r="B33" s="20"/>
      <c r="C33" s="423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179"/>
      <c r="AB33" s="179">
        <f>SUM(AB6:AB32)</f>
        <v>83964.78546399968</v>
      </c>
      <c r="AC33" s="179"/>
      <c r="AD33" s="179"/>
      <c r="AE33" s="179"/>
    </row>
    <row r="34" spans="1:31" ht="18.75">
      <c r="A34" s="497">
        <v>32</v>
      </c>
      <c r="B34" s="18" t="s">
        <v>97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179"/>
      <c r="AB34" s="179"/>
      <c r="AC34" s="179"/>
      <c r="AD34" s="179"/>
      <c r="AE34" s="179"/>
    </row>
    <row r="35" spans="1:31" ht="18.75">
      <c r="A35" s="497"/>
      <c r="B35" s="16" t="s">
        <v>98</v>
      </c>
      <c r="C35" s="427">
        <v>950209.06350000005</v>
      </c>
      <c r="D35" s="423">
        <v>12</v>
      </c>
      <c r="E35" s="423">
        <f>C35*D35</f>
        <v>11402508.762</v>
      </c>
      <c r="F35" s="423"/>
      <c r="G35" s="423">
        <f>SUM(G5:G34)</f>
        <v>0</v>
      </c>
      <c r="H35" s="423"/>
      <c r="I35" s="423">
        <f>E35-F35-G35-H35</f>
        <v>11402508.762</v>
      </c>
      <c r="J35" s="423">
        <v>200000</v>
      </c>
      <c r="K35" s="423">
        <v>0.2</v>
      </c>
      <c r="L35" s="423">
        <f>I35*K35</f>
        <v>2280501.7524000001</v>
      </c>
      <c r="M35" s="423">
        <f>J35+L35</f>
        <v>2480501.7524000001</v>
      </c>
      <c r="N35" s="423">
        <f>F35+G35+H35+M35</f>
        <v>2480501.7524000001</v>
      </c>
      <c r="O35" s="423">
        <f>E35-N35</f>
        <v>8922007.0096000005</v>
      </c>
      <c r="P35" s="423">
        <f t="shared" si="5"/>
        <v>21000</v>
      </c>
      <c r="Q35" s="423">
        <f t="shared" ref="Q35:Q37" si="29">IF((O35-300000)&lt;0,0,IF((O35-300000)&lt;300000,0.11*(O35-300000),33000))</f>
        <v>33000</v>
      </c>
      <c r="R35" s="423">
        <f t="shared" ref="R35:R37" si="30">IF((O35-600000)&lt;0,0,IF((O35-600000)&lt;500000,0.15*(O35-600000),75000))</f>
        <v>75000</v>
      </c>
      <c r="S35" s="423">
        <f t="shared" ref="S35:S37" si="31">IF((O35-1100000)&lt;0,0,IF((O35-1100000)&lt;500000,0.19*(O35-1100000),95000))</f>
        <v>95000</v>
      </c>
      <c r="T35" s="423">
        <f t="shared" ref="T35:T37" si="32">IF((O35-1600000)&lt;0,0,IF((O35-1600000)&lt;1600000,0.21*(O35-1600000),336000))</f>
        <v>336000</v>
      </c>
      <c r="U35" s="423">
        <f t="shared" si="10"/>
        <v>1373281.682304</v>
      </c>
      <c r="V35" s="423">
        <f>P35+Q35+R35+S35+T35+U35</f>
        <v>1933281.682304</v>
      </c>
      <c r="W35" s="423">
        <v>12</v>
      </c>
      <c r="X35" s="423">
        <f>V35/W35</f>
        <v>161106.806858667</v>
      </c>
      <c r="Y35" s="423"/>
      <c r="Z35" s="423">
        <f>X35</f>
        <v>161106.806858667</v>
      </c>
      <c r="AA35" s="500">
        <v>161106.806858667</v>
      </c>
      <c r="AB35" s="500">
        <f>Z35-AA35</f>
        <v>0</v>
      </c>
      <c r="AC35" s="179"/>
      <c r="AD35" s="179"/>
      <c r="AE35" s="179"/>
    </row>
    <row r="36" spans="1:31" ht="18.75">
      <c r="A36" s="497"/>
      <c r="B36" s="16" t="s">
        <v>101</v>
      </c>
      <c r="C36" s="423">
        <v>176816.1</v>
      </c>
      <c r="D36" s="422">
        <v>12</v>
      </c>
      <c r="E36" s="423">
        <f t="shared" ref="E36:E37" si="33">C36*D36</f>
        <v>2121793.2000000002</v>
      </c>
      <c r="F36" s="423"/>
      <c r="G36" s="423">
        <f>SUM(G6:G35)</f>
        <v>0</v>
      </c>
      <c r="H36" s="423"/>
      <c r="I36" s="423">
        <f>E36-F36-G36-H36</f>
        <v>2121793.2000000002</v>
      </c>
      <c r="J36" s="423">
        <v>200000</v>
      </c>
      <c r="K36" s="423">
        <v>0.2</v>
      </c>
      <c r="L36" s="423">
        <f>I36*K36</f>
        <v>424358.64</v>
      </c>
      <c r="M36" s="423">
        <f>J36+L36</f>
        <v>624358.64</v>
      </c>
      <c r="N36" s="423">
        <f>F36+G36+H36+M36</f>
        <v>624358.64</v>
      </c>
      <c r="O36" s="423">
        <f>E36-N36</f>
        <v>1497434.56</v>
      </c>
      <c r="P36" s="423">
        <f t="shared" si="5"/>
        <v>21000</v>
      </c>
      <c r="Q36" s="423">
        <f t="shared" si="29"/>
        <v>33000</v>
      </c>
      <c r="R36" s="423">
        <f t="shared" si="30"/>
        <v>75000</v>
      </c>
      <c r="S36" s="423">
        <f t="shared" si="31"/>
        <v>75512.566399999996</v>
      </c>
      <c r="T36" s="423">
        <f t="shared" si="32"/>
        <v>0</v>
      </c>
      <c r="U36" s="423"/>
      <c r="V36" s="423">
        <f>P36+Q36+R36+S36+T36+U36</f>
        <v>204512.56640000001</v>
      </c>
      <c r="W36" s="423">
        <v>12</v>
      </c>
      <c r="X36" s="423">
        <f>V36/W36</f>
        <v>17042.713866666702</v>
      </c>
      <c r="Y36" s="423"/>
      <c r="Z36" s="423">
        <f>X36</f>
        <v>17042.713866666702</v>
      </c>
      <c r="AA36" s="179">
        <v>17042.713866666702</v>
      </c>
      <c r="AB36" s="500">
        <f t="shared" ref="AB36:AB37" si="34">Z36-AA36</f>
        <v>0</v>
      </c>
      <c r="AC36" s="179"/>
      <c r="AD36" s="179"/>
      <c r="AE36" s="179"/>
    </row>
    <row r="37" spans="1:31" ht="18.75">
      <c r="A37" s="497">
        <v>33</v>
      </c>
      <c r="B37" s="9" t="s">
        <v>103</v>
      </c>
      <c r="C37" s="421">
        <v>233169.11749999999</v>
      </c>
      <c r="D37" s="422">
        <v>12</v>
      </c>
      <c r="E37" s="423">
        <f t="shared" si="33"/>
        <v>2798029.41</v>
      </c>
      <c r="F37" s="423"/>
      <c r="G37" s="423">
        <f>SUM(G7:G36)</f>
        <v>0</v>
      </c>
      <c r="H37" s="423"/>
      <c r="I37" s="423">
        <f>E37-F37-G37-H37</f>
        <v>2798029.41</v>
      </c>
      <c r="J37" s="423">
        <v>200000</v>
      </c>
      <c r="K37" s="423">
        <v>0.2</v>
      </c>
      <c r="L37" s="423">
        <f>I37*K37</f>
        <v>559605.88199999998</v>
      </c>
      <c r="M37" s="423">
        <f>J37+L37</f>
        <v>759605.88199999998</v>
      </c>
      <c r="N37" s="423">
        <f>F37+G37+H37+M37</f>
        <v>759605.88199999998</v>
      </c>
      <c r="O37" s="423">
        <f>E37-N37</f>
        <v>2038423.5279999999</v>
      </c>
      <c r="P37" s="423">
        <f t="shared" si="5"/>
        <v>21000</v>
      </c>
      <c r="Q37" s="423">
        <f t="shared" si="29"/>
        <v>33000</v>
      </c>
      <c r="R37" s="423">
        <f t="shared" si="30"/>
        <v>75000</v>
      </c>
      <c r="S37" s="423">
        <f t="shared" si="31"/>
        <v>95000</v>
      </c>
      <c r="T37" s="423">
        <f t="shared" si="32"/>
        <v>92068.940879999995</v>
      </c>
      <c r="U37" s="423"/>
      <c r="V37" s="423">
        <f>P37+Q37+R37+S37+T37+U37</f>
        <v>316068.94088000001</v>
      </c>
      <c r="W37" s="423">
        <v>12</v>
      </c>
      <c r="X37" s="423">
        <f>V37/W37</f>
        <v>26339.0784066667</v>
      </c>
      <c r="Y37" s="423"/>
      <c r="Z37" s="423">
        <f>X37</f>
        <v>26339.0784066667</v>
      </c>
      <c r="AA37" s="179">
        <v>26339.0784066667</v>
      </c>
      <c r="AB37" s="500">
        <f t="shared" si="34"/>
        <v>0</v>
      </c>
      <c r="AC37" s="179"/>
      <c r="AD37" s="179"/>
      <c r="AE37" s="179"/>
    </row>
    <row r="38" spans="1:31" ht="18.75">
      <c r="A38" s="497"/>
      <c r="B38" s="12"/>
      <c r="C38" s="423"/>
      <c r="D38" s="422"/>
      <c r="E38" s="423"/>
      <c r="F38" s="426"/>
      <c r="G38" s="426"/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179"/>
      <c r="AB38" s="179"/>
      <c r="AC38" s="179"/>
      <c r="AD38" s="179"/>
      <c r="AE38" s="179"/>
    </row>
    <row r="39" spans="1:31" ht="18.75">
      <c r="A39" s="497"/>
      <c r="B39" s="21" t="s">
        <v>107</v>
      </c>
      <c r="C39" s="423"/>
      <c r="D39" s="422"/>
      <c r="E39" s="423"/>
      <c r="F39" s="426"/>
      <c r="G39" s="426"/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179"/>
      <c r="AB39" s="179"/>
      <c r="AC39" s="179"/>
      <c r="AD39" s="179"/>
      <c r="AE39" s="179"/>
    </row>
    <row r="40" spans="1:31" ht="37.5">
      <c r="A40" s="497">
        <v>35</v>
      </c>
      <c r="B40" s="9" t="s">
        <v>108</v>
      </c>
      <c r="C40" s="421">
        <v>1050209.0634999999</v>
      </c>
      <c r="D40" s="422">
        <v>12</v>
      </c>
      <c r="E40" s="423">
        <f>C40*D40</f>
        <v>12602508.762</v>
      </c>
      <c r="F40" s="423"/>
      <c r="G40" s="423"/>
      <c r="H40" s="423"/>
      <c r="I40" s="423">
        <f>E40-F40-G40-H40</f>
        <v>12602508.762</v>
      </c>
      <c r="J40" s="423">
        <v>200000</v>
      </c>
      <c r="K40" s="423">
        <v>0.2</v>
      </c>
      <c r="L40" s="423">
        <f>I40*K40</f>
        <v>2520501.7524000001</v>
      </c>
      <c r="M40" s="423">
        <f>J40+L40</f>
        <v>2720501.7524000001</v>
      </c>
      <c r="N40" s="423">
        <f>F40+G40+H40+M40</f>
        <v>2720501.7524000001</v>
      </c>
      <c r="O40" s="423">
        <f>E40-N40</f>
        <v>9882007.0096000005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1603681.682304</v>
      </c>
      <c r="V40" s="423">
        <f>P40+Q40+R40+S40+T40+U40</f>
        <v>2163681.682304</v>
      </c>
      <c r="W40" s="430">
        <v>12</v>
      </c>
      <c r="X40" s="423">
        <f>V40/W40</f>
        <v>180306.806858667</v>
      </c>
      <c r="Y40" s="423"/>
      <c r="Z40" s="423">
        <f>X40</f>
        <v>180306.806858667</v>
      </c>
      <c r="AA40" s="179">
        <v>180306.806858667</v>
      </c>
      <c r="AB40" s="179">
        <f>Z40-AA40</f>
        <v>0</v>
      </c>
      <c r="AC40" s="179"/>
      <c r="AD40" s="179"/>
      <c r="AE40" s="179"/>
    </row>
    <row r="41" spans="1:31" ht="18.75">
      <c r="A41" s="497">
        <v>36</v>
      </c>
      <c r="B41" s="9" t="s">
        <v>491</v>
      </c>
      <c r="C41" s="423">
        <v>527553.50249999994</v>
      </c>
      <c r="D41" s="422">
        <v>12</v>
      </c>
      <c r="E41" s="423">
        <f t="shared" ref="E41:E50" si="35">C41*D41</f>
        <v>6330642.0300000003</v>
      </c>
      <c r="F41" s="426"/>
      <c r="G41" s="426"/>
      <c r="H41" s="426"/>
      <c r="I41" s="423">
        <f t="shared" si="0"/>
        <v>6330642.0300000003</v>
      </c>
      <c r="J41" s="423">
        <v>200000</v>
      </c>
      <c r="K41" s="423">
        <v>0.2</v>
      </c>
      <c r="L41" s="423">
        <f t="shared" si="1"/>
        <v>1266128.406</v>
      </c>
      <c r="M41" s="423">
        <f t="shared" si="2"/>
        <v>1466128.406</v>
      </c>
      <c r="N41" s="423">
        <f t="shared" si="3"/>
        <v>1466128.406</v>
      </c>
      <c r="O41" s="423">
        <f t="shared" si="4"/>
        <v>4864513.6239999998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399483.26976</v>
      </c>
      <c r="V41" s="423">
        <f t="shared" si="11"/>
        <v>959483.26976000005</v>
      </c>
      <c r="W41" s="430">
        <v>12</v>
      </c>
      <c r="X41" s="423">
        <f t="shared" si="12"/>
        <v>79956.9391466667</v>
      </c>
      <c r="Y41" s="426"/>
      <c r="Z41" s="423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7">
        <v>37</v>
      </c>
      <c r="B42" s="9" t="s">
        <v>110</v>
      </c>
      <c r="C42" s="423">
        <v>617743.99575</v>
      </c>
      <c r="D42" s="422">
        <v>12</v>
      </c>
      <c r="E42" s="423">
        <f t="shared" si="35"/>
        <v>7412927.949</v>
      </c>
      <c r="F42" s="426"/>
      <c r="G42" s="426"/>
      <c r="H42" s="426"/>
      <c r="I42" s="423">
        <f t="shared" si="0"/>
        <v>7412927.949</v>
      </c>
      <c r="J42" s="423">
        <v>200000</v>
      </c>
      <c r="K42" s="423">
        <v>0.2</v>
      </c>
      <c r="L42" s="423">
        <f t="shared" si="1"/>
        <v>1482585.5898</v>
      </c>
      <c r="M42" s="423">
        <f t="shared" si="2"/>
        <v>1682585.5898</v>
      </c>
      <c r="N42" s="423">
        <f t="shared" si="3"/>
        <v>1682585.5898</v>
      </c>
      <c r="O42" s="423">
        <f t="shared" si="4"/>
        <v>5730342.3591999998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607282.16620800004</v>
      </c>
      <c r="V42" s="423">
        <f t="shared" si="11"/>
        <v>1167282.1662079999</v>
      </c>
      <c r="W42" s="430">
        <v>12</v>
      </c>
      <c r="X42" s="423">
        <f t="shared" si="12"/>
        <v>97273.513850666699</v>
      </c>
      <c r="Y42" s="426"/>
      <c r="Z42" s="423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7">
        <v>38</v>
      </c>
      <c r="B43" s="9" t="s">
        <v>113</v>
      </c>
      <c r="C43" s="423">
        <v>527553.50249999994</v>
      </c>
      <c r="D43" s="422">
        <v>12</v>
      </c>
      <c r="E43" s="423">
        <f t="shared" si="35"/>
        <v>6330642.0300000003</v>
      </c>
      <c r="F43" s="426"/>
      <c r="G43" s="426"/>
      <c r="H43" s="426"/>
      <c r="I43" s="423">
        <f t="shared" si="0"/>
        <v>6330642.0300000003</v>
      </c>
      <c r="J43" s="423">
        <v>200000</v>
      </c>
      <c r="K43" s="423">
        <v>0.2</v>
      </c>
      <c r="L43" s="423">
        <f t="shared" si="1"/>
        <v>1266128.406</v>
      </c>
      <c r="M43" s="423">
        <f t="shared" si="2"/>
        <v>1466128.406</v>
      </c>
      <c r="N43" s="423">
        <f t="shared" si="3"/>
        <v>1466128.406</v>
      </c>
      <c r="O43" s="423">
        <f t="shared" si="4"/>
        <v>4864513.6239999998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399483.26976</v>
      </c>
      <c r="V43" s="423">
        <f t="shared" si="11"/>
        <v>959483.26976000005</v>
      </c>
      <c r="W43" s="430">
        <v>12</v>
      </c>
      <c r="X43" s="423">
        <f t="shared" si="12"/>
        <v>79956.9391466667</v>
      </c>
      <c r="Y43" s="426"/>
      <c r="Z43" s="423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7">
        <v>39</v>
      </c>
      <c r="B44" s="9" t="s">
        <v>115</v>
      </c>
      <c r="C44" s="423">
        <v>527553.50249999994</v>
      </c>
      <c r="D44" s="422">
        <v>12</v>
      </c>
      <c r="E44" s="423">
        <f t="shared" si="35"/>
        <v>6330642.0300000003</v>
      </c>
      <c r="F44" s="426">
        <f>'[6]JANUARY 2024'!$V$47*12</f>
        <v>10052.25</v>
      </c>
      <c r="G44" s="426"/>
      <c r="H44" s="426"/>
      <c r="I44" s="423">
        <f t="shared" si="0"/>
        <v>6320589.7800000003</v>
      </c>
      <c r="J44" s="423">
        <v>200000</v>
      </c>
      <c r="K44" s="423">
        <v>0.2</v>
      </c>
      <c r="L44" s="423">
        <f t="shared" si="1"/>
        <v>1264117.9560000002</v>
      </c>
      <c r="M44" s="423">
        <f t="shared" si="2"/>
        <v>1464117.9560000002</v>
      </c>
      <c r="N44" s="423">
        <f t="shared" si="3"/>
        <v>1474170.2060000002</v>
      </c>
      <c r="O44" s="423">
        <f t="shared" si="4"/>
        <v>4856471.824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397553.23775999999</v>
      </c>
      <c r="V44" s="423">
        <f t="shared" si="11"/>
        <v>957553.23775999993</v>
      </c>
      <c r="W44" s="430">
        <v>12</v>
      </c>
      <c r="X44" s="423">
        <f t="shared" si="12"/>
        <v>79796.103146666661</v>
      </c>
      <c r="Y44" s="426"/>
      <c r="Z44" s="423">
        <f t="shared" si="13"/>
        <v>79796.103146666661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7">
        <v>40</v>
      </c>
      <c r="B45" s="9" t="s">
        <v>116</v>
      </c>
      <c r="C45" s="423">
        <v>504720.04700000002</v>
      </c>
      <c r="D45" s="422">
        <v>12</v>
      </c>
      <c r="E45" s="423">
        <f t="shared" si="35"/>
        <v>6056640.5640000002</v>
      </c>
      <c r="F45" s="423"/>
      <c r="G45" s="426"/>
      <c r="H45" s="426"/>
      <c r="I45" s="423">
        <f t="shared" si="0"/>
        <v>6056640.5640000002</v>
      </c>
      <c r="J45" s="423">
        <v>200000</v>
      </c>
      <c r="K45" s="423">
        <v>0.2</v>
      </c>
      <c r="L45" s="423">
        <f t="shared" si="1"/>
        <v>1211328.1128</v>
      </c>
      <c r="M45" s="423">
        <f t="shared" si="2"/>
        <v>1411328.1128</v>
      </c>
      <c r="N45" s="423">
        <f t="shared" si="3"/>
        <v>1411328.1128</v>
      </c>
      <c r="O45" s="423">
        <f t="shared" si="4"/>
        <v>4645312.4512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346874.98828799999</v>
      </c>
      <c r="V45" s="423">
        <f t="shared" si="11"/>
        <v>906874.98828799999</v>
      </c>
      <c r="W45" s="430">
        <v>12</v>
      </c>
      <c r="X45" s="423">
        <f t="shared" si="12"/>
        <v>75572.915690666705</v>
      </c>
      <c r="Y45" s="426"/>
      <c r="Z45" s="423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7">
        <v>41</v>
      </c>
      <c r="B46" s="12" t="s">
        <v>117</v>
      </c>
      <c r="C46" s="423">
        <v>413333.03525000002</v>
      </c>
      <c r="D46" s="422">
        <v>12</v>
      </c>
      <c r="E46" s="423">
        <f t="shared" si="35"/>
        <v>4959996.4230000004</v>
      </c>
      <c r="F46" s="423"/>
      <c r="G46" s="426"/>
      <c r="H46" s="426"/>
      <c r="I46" s="423">
        <f t="shared" si="0"/>
        <v>4959996.4230000004</v>
      </c>
      <c r="J46" s="423">
        <v>200000</v>
      </c>
      <c r="K46" s="423">
        <v>0.2</v>
      </c>
      <c r="L46" s="423">
        <f t="shared" si="1"/>
        <v>991999.28460000001</v>
      </c>
      <c r="M46" s="423">
        <f t="shared" si="2"/>
        <v>1191999.2845999999</v>
      </c>
      <c r="N46" s="423">
        <f t="shared" si="3"/>
        <v>1191999.2845999999</v>
      </c>
      <c r="O46" s="423">
        <f t="shared" si="4"/>
        <v>3767997.1384000001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136319.31321600001</v>
      </c>
      <c r="V46" s="423">
        <f t="shared" si="11"/>
        <v>696319.31321599998</v>
      </c>
      <c r="W46" s="430">
        <v>12</v>
      </c>
      <c r="X46" s="423">
        <f t="shared" si="12"/>
        <v>58026.609434666701</v>
      </c>
      <c r="Y46" s="426"/>
      <c r="Z46" s="423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7">
        <v>42</v>
      </c>
      <c r="B47" s="9" t="s">
        <v>118</v>
      </c>
      <c r="C47" s="423">
        <v>273169.11749999999</v>
      </c>
      <c r="D47" s="422">
        <v>12</v>
      </c>
      <c r="E47" s="423">
        <f t="shared" si="35"/>
        <v>3278029.41</v>
      </c>
      <c r="F47" s="423"/>
      <c r="G47" s="426"/>
      <c r="H47" s="426"/>
      <c r="I47" s="423">
        <f t="shared" si="0"/>
        <v>3278029.41</v>
      </c>
      <c r="J47" s="423">
        <v>200000</v>
      </c>
      <c r="K47" s="423">
        <v>0.2</v>
      </c>
      <c r="L47" s="423">
        <f t="shared" si="1"/>
        <v>655605.88199999998</v>
      </c>
      <c r="M47" s="423">
        <f t="shared" si="2"/>
        <v>855605.88199999998</v>
      </c>
      <c r="N47" s="423">
        <f t="shared" si="3"/>
        <v>855605.88199999998</v>
      </c>
      <c r="O47" s="423">
        <f t="shared" si="4"/>
        <v>2422423.5279999999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172708.94088000001</v>
      </c>
      <c r="U47" s="423"/>
      <c r="V47" s="423">
        <f t="shared" si="11"/>
        <v>396708.94088000001</v>
      </c>
      <c r="W47" s="430">
        <v>12</v>
      </c>
      <c r="X47" s="423">
        <f t="shared" si="12"/>
        <v>33059.078406666697</v>
      </c>
      <c r="Y47" s="426"/>
      <c r="Z47" s="423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3" customFormat="1" ht="18.75">
      <c r="A48" s="501">
        <v>43</v>
      </c>
      <c r="B48" s="9" t="s">
        <v>120</v>
      </c>
      <c r="C48" s="423">
        <v>249356.04725</v>
      </c>
      <c r="D48" s="422">
        <v>12</v>
      </c>
      <c r="E48" s="423">
        <f t="shared" si="35"/>
        <v>2992272.5669999998</v>
      </c>
      <c r="F48" s="423"/>
      <c r="G48" s="426"/>
      <c r="H48" s="426"/>
      <c r="I48" s="423">
        <f t="shared" si="0"/>
        <v>2992272.5669999998</v>
      </c>
      <c r="J48" s="423">
        <v>200000</v>
      </c>
      <c r="K48" s="423">
        <v>0.2</v>
      </c>
      <c r="L48" s="423">
        <f t="shared" si="1"/>
        <v>598454.51340000005</v>
      </c>
      <c r="M48" s="423">
        <f t="shared" si="2"/>
        <v>798454.51340000005</v>
      </c>
      <c r="N48" s="423">
        <f t="shared" si="3"/>
        <v>798454.51340000005</v>
      </c>
      <c r="O48" s="423">
        <f t="shared" si="4"/>
        <v>2193818.0536000002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124701.791256</v>
      </c>
      <c r="U48" s="423"/>
      <c r="V48" s="423">
        <f t="shared" si="11"/>
        <v>348701.791256</v>
      </c>
      <c r="W48" s="430">
        <v>12</v>
      </c>
      <c r="X48" s="423">
        <f t="shared" si="12"/>
        <v>29058.4826046667</v>
      </c>
      <c r="Y48" s="426"/>
      <c r="Z48" s="423">
        <f t="shared" si="13"/>
        <v>29058.4826046667</v>
      </c>
      <c r="AA48" s="509">
        <v>29058.4826046667</v>
      </c>
      <c r="AB48" s="179">
        <f t="shared" si="36"/>
        <v>0</v>
      </c>
      <c r="AC48" s="509"/>
      <c r="AD48" s="509"/>
      <c r="AE48" s="509"/>
    </row>
    <row r="49" spans="1:31" ht="18.75">
      <c r="A49" s="497">
        <v>44</v>
      </c>
      <c r="B49" s="9" t="s">
        <v>578</v>
      </c>
      <c r="C49" s="423">
        <v>249356.04725</v>
      </c>
      <c r="D49" s="422">
        <v>12</v>
      </c>
      <c r="E49" s="423">
        <f t="shared" si="35"/>
        <v>2992272.5669999998</v>
      </c>
      <c r="F49" s="423"/>
      <c r="G49" s="426"/>
      <c r="H49" s="426"/>
      <c r="I49" s="423">
        <f t="shared" si="0"/>
        <v>2992272.5669999998</v>
      </c>
      <c r="J49" s="423">
        <v>200000</v>
      </c>
      <c r="K49" s="423">
        <v>0.2</v>
      </c>
      <c r="L49" s="423">
        <f t="shared" si="1"/>
        <v>598454.51340000005</v>
      </c>
      <c r="M49" s="423">
        <f t="shared" si="2"/>
        <v>798454.51340000005</v>
      </c>
      <c r="N49" s="423">
        <f t="shared" si="3"/>
        <v>798454.51340000005</v>
      </c>
      <c r="O49" s="423">
        <f t="shared" si="4"/>
        <v>2193818.0536000002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124701.791256</v>
      </c>
      <c r="U49" s="423"/>
      <c r="V49" s="423">
        <f t="shared" si="11"/>
        <v>348701.791256</v>
      </c>
      <c r="W49" s="430">
        <v>12</v>
      </c>
      <c r="X49" s="423">
        <v>28360.952862666702</v>
      </c>
      <c r="Y49" s="426"/>
      <c r="Z49" s="423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7">
        <v>45</v>
      </c>
      <c r="B50" s="9" t="s">
        <v>121</v>
      </c>
      <c r="C50" s="423">
        <v>249356.04725</v>
      </c>
      <c r="D50" s="422">
        <v>12</v>
      </c>
      <c r="E50" s="423">
        <f t="shared" si="35"/>
        <v>2992272.5669999998</v>
      </c>
      <c r="F50" s="423"/>
      <c r="G50" s="426"/>
      <c r="H50" s="426"/>
      <c r="I50" s="423">
        <f t="shared" si="0"/>
        <v>2992272.5669999998</v>
      </c>
      <c r="J50" s="423">
        <v>200000</v>
      </c>
      <c r="K50" s="423">
        <v>0.2</v>
      </c>
      <c r="L50" s="423">
        <f t="shared" si="1"/>
        <v>598454.51340000005</v>
      </c>
      <c r="M50" s="423">
        <f t="shared" si="2"/>
        <v>798454.51340000005</v>
      </c>
      <c r="N50" s="423">
        <f t="shared" si="3"/>
        <v>798454.51340000005</v>
      </c>
      <c r="O50" s="423">
        <f t="shared" si="4"/>
        <v>2193818.0536000002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124701.791256</v>
      </c>
      <c r="U50" s="423"/>
      <c r="V50" s="423">
        <f t="shared" si="11"/>
        <v>348701.791256</v>
      </c>
      <c r="W50" s="430">
        <v>12</v>
      </c>
      <c r="X50" s="423">
        <f t="shared" si="12"/>
        <v>29058.4826046667</v>
      </c>
      <c r="Y50" s="426"/>
      <c r="Z50" s="423">
        <f t="shared" si="13"/>
        <v>29058.4826046667</v>
      </c>
      <c r="AA50" s="179">
        <v>29058.4826046667</v>
      </c>
      <c r="AB50" s="179">
        <f t="shared" si="36"/>
        <v>0</v>
      </c>
      <c r="AC50" s="179"/>
      <c r="AD50" s="179"/>
      <c r="AE50" s="179"/>
    </row>
    <row r="51" spans="1:31" ht="18.75">
      <c r="A51" s="497"/>
      <c r="B51" s="20"/>
      <c r="C51" s="423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179"/>
      <c r="AB51" s="179"/>
      <c r="AC51" s="179"/>
      <c r="AD51" s="179"/>
      <c r="AE51" s="179"/>
    </row>
    <row r="52" spans="1:31" ht="18.75">
      <c r="A52" s="497"/>
      <c r="B52" s="18" t="s">
        <v>122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179"/>
      <c r="AB52" s="179"/>
      <c r="AC52" s="179"/>
      <c r="AD52" s="179"/>
      <c r="AE52" s="179"/>
    </row>
    <row r="53" spans="1:31" ht="18.75">
      <c r="A53" s="497">
        <v>47</v>
      </c>
      <c r="B53" s="9" t="s">
        <v>501</v>
      </c>
      <c r="C53" s="423">
        <v>1050209.0634999999</v>
      </c>
      <c r="D53" s="422">
        <v>12</v>
      </c>
      <c r="E53" s="423">
        <f>C53*D53</f>
        <v>12602508.762</v>
      </c>
      <c r="F53" s="423"/>
      <c r="G53" s="426"/>
      <c r="H53" s="426"/>
      <c r="I53" s="423">
        <f t="shared" si="0"/>
        <v>12602508.762</v>
      </c>
      <c r="J53" s="423">
        <v>200000</v>
      </c>
      <c r="K53" s="423">
        <v>0.2</v>
      </c>
      <c r="L53" s="423">
        <f t="shared" si="1"/>
        <v>2520501.7524000001</v>
      </c>
      <c r="M53" s="423">
        <f t="shared" si="2"/>
        <v>2720501.7524000001</v>
      </c>
      <c r="N53" s="423">
        <f t="shared" si="3"/>
        <v>2720501.7524000001</v>
      </c>
      <c r="O53" s="423">
        <f t="shared" si="4"/>
        <v>9882007.0096000005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1603681.682304</v>
      </c>
      <c r="V53" s="423">
        <f t="shared" si="11"/>
        <v>2163681.682304</v>
      </c>
      <c r="W53" s="430">
        <v>12</v>
      </c>
      <c r="X53" s="423">
        <f t="shared" si="12"/>
        <v>180306.806858667</v>
      </c>
      <c r="Y53" s="426"/>
      <c r="Z53" s="423">
        <f t="shared" si="13"/>
        <v>180306.806858667</v>
      </c>
      <c r="AA53" s="179">
        <v>180306.806858667</v>
      </c>
      <c r="AB53" s="179">
        <f>Z53-AA53</f>
        <v>0</v>
      </c>
      <c r="AC53" s="179"/>
      <c r="AD53" s="179"/>
      <c r="AE53" s="179"/>
    </row>
    <row r="54" spans="1:31" ht="18.75">
      <c r="A54" s="497">
        <v>48</v>
      </c>
      <c r="B54" s="9" t="s">
        <v>125</v>
      </c>
      <c r="C54" s="423">
        <v>447553.5025</v>
      </c>
      <c r="D54" s="422">
        <v>12</v>
      </c>
      <c r="E54" s="423">
        <f>C54*D54</f>
        <v>5370642.0300000003</v>
      </c>
      <c r="F54" s="423"/>
      <c r="G54" s="426"/>
      <c r="H54" s="426"/>
      <c r="I54" s="423">
        <f t="shared" si="0"/>
        <v>5370642.0300000003</v>
      </c>
      <c r="J54" s="423">
        <v>200000</v>
      </c>
      <c r="K54" s="423">
        <v>0.2</v>
      </c>
      <c r="L54" s="423">
        <f t="shared" si="1"/>
        <v>1074128.406</v>
      </c>
      <c r="M54" s="423">
        <f t="shared" si="2"/>
        <v>1274128.406</v>
      </c>
      <c r="N54" s="423">
        <f t="shared" si="3"/>
        <v>1274128.406</v>
      </c>
      <c r="O54" s="423">
        <f t="shared" si="4"/>
        <v>4096513.6239999998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215163.26976</v>
      </c>
      <c r="V54" s="423">
        <f t="shared" si="11"/>
        <v>775163.26976000005</v>
      </c>
      <c r="W54" s="430">
        <v>12</v>
      </c>
      <c r="X54" s="423">
        <f t="shared" si="12"/>
        <v>64596.9391466667</v>
      </c>
      <c r="Y54" s="426"/>
      <c r="Z54" s="423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7"/>
      <c r="B55" s="18"/>
      <c r="C55" s="423"/>
      <c r="D55" s="422"/>
      <c r="E55" s="423"/>
      <c r="F55" s="423"/>
      <c r="G55" s="426"/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179"/>
      <c r="AB55" s="179"/>
      <c r="AC55" s="179"/>
      <c r="AD55" s="179"/>
      <c r="AE55" s="179"/>
    </row>
    <row r="56" spans="1:31" ht="37.5">
      <c r="A56" s="497">
        <v>49</v>
      </c>
      <c r="B56" s="18" t="s">
        <v>128</v>
      </c>
      <c r="C56" s="423"/>
      <c r="D56" s="422"/>
      <c r="E56" s="423"/>
      <c r="F56" s="423"/>
      <c r="G56" s="426"/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179"/>
      <c r="AB56" s="179"/>
      <c r="AC56" s="179"/>
      <c r="AD56" s="179"/>
      <c r="AE56" s="179"/>
    </row>
    <row r="57" spans="1:31" ht="18.75">
      <c r="A57" s="497">
        <v>50</v>
      </c>
      <c r="B57" s="9" t="s">
        <v>129</v>
      </c>
      <c r="C57" s="423">
        <v>1050209.0634999999</v>
      </c>
      <c r="D57" s="422">
        <v>12</v>
      </c>
      <c r="E57" s="423">
        <f>C57*D57</f>
        <v>12602508.762</v>
      </c>
      <c r="F57" s="423"/>
      <c r="G57" s="426"/>
      <c r="H57" s="426"/>
      <c r="I57" s="423">
        <f t="shared" si="0"/>
        <v>12602508.762</v>
      </c>
      <c r="J57" s="423">
        <v>200000</v>
      </c>
      <c r="K57" s="423">
        <v>0.2</v>
      </c>
      <c r="L57" s="423">
        <f t="shared" si="1"/>
        <v>2520501.7524000001</v>
      </c>
      <c r="M57" s="423">
        <f t="shared" si="2"/>
        <v>2720501.7524000001</v>
      </c>
      <c r="N57" s="423">
        <f t="shared" si="3"/>
        <v>2720501.7524000001</v>
      </c>
      <c r="O57" s="423">
        <f t="shared" si="4"/>
        <v>9882007.0096000005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1603681.682304</v>
      </c>
      <c r="V57" s="423">
        <f t="shared" si="11"/>
        <v>2163681.682304</v>
      </c>
      <c r="W57" s="430">
        <v>12</v>
      </c>
      <c r="X57" s="423">
        <f t="shared" si="12"/>
        <v>180306.806858667</v>
      </c>
      <c r="Y57" s="426"/>
      <c r="Z57" s="423">
        <f t="shared" si="13"/>
        <v>180306.806858667</v>
      </c>
      <c r="AA57" s="179">
        <v>180306.806858667</v>
      </c>
      <c r="AB57" s="179">
        <f>Z57-AA57</f>
        <v>0</v>
      </c>
      <c r="AC57" s="179"/>
      <c r="AD57" s="179"/>
      <c r="AE57" s="179"/>
    </row>
    <row r="58" spans="1:31" s="493" customFormat="1" ht="31.5">
      <c r="A58" s="501">
        <v>51</v>
      </c>
      <c r="B58" s="312" t="s">
        <v>131</v>
      </c>
      <c r="C58" s="423">
        <v>516137.05</v>
      </c>
      <c r="D58" s="422">
        <v>12</v>
      </c>
      <c r="E58" s="423">
        <f t="shared" ref="E58:E66" si="37">C58*D58</f>
        <v>6193644.5999999996</v>
      </c>
      <c r="F58" s="423"/>
      <c r="G58" s="426"/>
      <c r="H58" s="426"/>
      <c r="I58" s="423">
        <f t="shared" si="0"/>
        <v>6193644.5999999996</v>
      </c>
      <c r="J58" s="423">
        <v>200000</v>
      </c>
      <c r="K58" s="423">
        <v>0.2</v>
      </c>
      <c r="L58" s="423">
        <f t="shared" si="1"/>
        <v>1238728.92</v>
      </c>
      <c r="M58" s="423">
        <f t="shared" si="2"/>
        <v>1438728.92</v>
      </c>
      <c r="N58" s="423">
        <f t="shared" si="3"/>
        <v>1438728.92</v>
      </c>
      <c r="O58" s="423">
        <f t="shared" si="4"/>
        <v>4754915.68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373179.76319999999</v>
      </c>
      <c r="V58" s="423">
        <f t="shared" si="11"/>
        <v>933179.76320000004</v>
      </c>
      <c r="W58" s="430">
        <v>12</v>
      </c>
      <c r="X58" s="423">
        <f t="shared" si="12"/>
        <v>77764.980266666695</v>
      </c>
      <c r="Y58" s="426"/>
      <c r="Z58" s="423">
        <f t="shared" si="13"/>
        <v>77764.980266666695</v>
      </c>
      <c r="AA58" s="509">
        <v>77764.980266666695</v>
      </c>
      <c r="AB58" s="179">
        <f t="shared" ref="AB58:AB66" si="38">Z58-AA58</f>
        <v>0</v>
      </c>
      <c r="AC58" s="509"/>
      <c r="AD58" s="509"/>
      <c r="AE58" s="509"/>
    </row>
    <row r="59" spans="1:31" ht="18.75">
      <c r="A59" s="497">
        <v>52</v>
      </c>
      <c r="B59" s="9" t="s">
        <v>134</v>
      </c>
      <c r="C59" s="423">
        <v>397211.36749999999</v>
      </c>
      <c r="D59" s="422">
        <v>12</v>
      </c>
      <c r="E59" s="423">
        <f t="shared" si="37"/>
        <v>4766536.41</v>
      </c>
      <c r="F59" s="423"/>
      <c r="G59" s="426"/>
      <c r="H59" s="426"/>
      <c r="I59" s="423">
        <f t="shared" si="0"/>
        <v>4766536.41</v>
      </c>
      <c r="J59" s="423">
        <v>200000</v>
      </c>
      <c r="K59" s="423">
        <v>0.2</v>
      </c>
      <c r="L59" s="423">
        <f t="shared" si="1"/>
        <v>953307.28200000001</v>
      </c>
      <c r="M59" s="423">
        <f t="shared" si="2"/>
        <v>1153307.2819999999</v>
      </c>
      <c r="N59" s="423">
        <f t="shared" si="3"/>
        <v>1153307.2819999999</v>
      </c>
      <c r="O59" s="423">
        <f t="shared" si="4"/>
        <v>3613229.128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99174.990720000002</v>
      </c>
      <c r="V59" s="423">
        <f t="shared" si="11"/>
        <v>659174.99072</v>
      </c>
      <c r="W59" s="430">
        <v>12</v>
      </c>
      <c r="X59" s="423">
        <f t="shared" si="12"/>
        <v>54931.249226666703</v>
      </c>
      <c r="Y59" s="426"/>
      <c r="Z59" s="423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7">
        <v>53</v>
      </c>
      <c r="B60" s="16" t="s">
        <v>487</v>
      </c>
      <c r="C60" s="423">
        <v>369177.65375</v>
      </c>
      <c r="D60" s="422">
        <v>12</v>
      </c>
      <c r="E60" s="423">
        <f t="shared" si="37"/>
        <v>4430131.8449999997</v>
      </c>
      <c r="F60" s="423"/>
      <c r="G60" s="426"/>
      <c r="H60" s="426"/>
      <c r="I60" s="423">
        <f t="shared" si="0"/>
        <v>4430131.8449999997</v>
      </c>
      <c r="J60" s="423">
        <v>200000</v>
      </c>
      <c r="K60" s="423">
        <v>0.2</v>
      </c>
      <c r="L60" s="423">
        <f t="shared" si="1"/>
        <v>886026.36899999995</v>
      </c>
      <c r="M60" s="423">
        <f t="shared" si="2"/>
        <v>1086026.3689999999</v>
      </c>
      <c r="N60" s="423">
        <f t="shared" si="3"/>
        <v>1086026.3689999999</v>
      </c>
      <c r="O60" s="423">
        <f t="shared" si="4"/>
        <v>3344105.4759999998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34585.314239999898</v>
      </c>
      <c r="V60" s="423">
        <f t="shared" si="11"/>
        <v>594585.31423999998</v>
      </c>
      <c r="W60" s="430">
        <v>12</v>
      </c>
      <c r="X60" s="423">
        <f t="shared" si="12"/>
        <v>49548.776186666699</v>
      </c>
      <c r="Y60" s="426"/>
      <c r="Z60" s="423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7">
        <v>54</v>
      </c>
      <c r="B61" s="12" t="s">
        <v>517</v>
      </c>
      <c r="C61" s="423">
        <v>421394.00675</v>
      </c>
      <c r="D61" s="422">
        <v>12</v>
      </c>
      <c r="E61" s="423">
        <f t="shared" si="37"/>
        <v>5056728.0810000002</v>
      </c>
      <c r="F61" s="423"/>
      <c r="G61" s="426"/>
      <c r="H61" s="426"/>
      <c r="I61" s="423">
        <f t="shared" si="0"/>
        <v>5056728.0810000002</v>
      </c>
      <c r="J61" s="423">
        <v>200000</v>
      </c>
      <c r="K61" s="423">
        <v>0.2</v>
      </c>
      <c r="L61" s="423">
        <f t="shared" si="1"/>
        <v>1011345.6162</v>
      </c>
      <c r="M61" s="423">
        <f t="shared" si="2"/>
        <v>1211345.6162</v>
      </c>
      <c r="N61" s="423">
        <f t="shared" si="3"/>
        <v>1211345.6162</v>
      </c>
      <c r="O61" s="423">
        <f t="shared" si="4"/>
        <v>3845382.4648000002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154891.79155200001</v>
      </c>
      <c r="V61" s="423">
        <f t="shared" si="11"/>
        <v>714891.79155199998</v>
      </c>
      <c r="W61" s="430">
        <v>12</v>
      </c>
      <c r="X61" s="423">
        <f t="shared" si="12"/>
        <v>59574.315962666697</v>
      </c>
      <c r="Y61" s="426"/>
      <c r="Z61" s="510">
        <f t="shared" si="13"/>
        <v>59574.315962666697</v>
      </c>
      <c r="AA61" s="506">
        <v>46666.666666666701</v>
      </c>
      <c r="AB61" s="506">
        <f t="shared" si="38"/>
        <v>12907.649296</v>
      </c>
      <c r="AC61" s="179"/>
      <c r="AD61" s="179"/>
      <c r="AE61" s="179"/>
    </row>
    <row r="62" spans="1:31" ht="37.5">
      <c r="A62" s="497">
        <v>55</v>
      </c>
      <c r="B62" s="9" t="s">
        <v>136</v>
      </c>
      <c r="C62" s="423">
        <v>322454.07400000002</v>
      </c>
      <c r="D62" s="422">
        <v>12</v>
      </c>
      <c r="E62" s="423">
        <f t="shared" si="37"/>
        <v>3869448.8879999998</v>
      </c>
      <c r="F62" s="423"/>
      <c r="G62" s="426"/>
      <c r="H62" s="426"/>
      <c r="I62" s="423">
        <f t="shared" si="0"/>
        <v>3869448.8879999998</v>
      </c>
      <c r="J62" s="423">
        <v>200000</v>
      </c>
      <c r="K62" s="423">
        <v>0.2</v>
      </c>
      <c r="L62" s="423">
        <f t="shared" si="1"/>
        <v>773889.77760000003</v>
      </c>
      <c r="M62" s="423">
        <f t="shared" si="2"/>
        <v>973889.77760000003</v>
      </c>
      <c r="N62" s="423">
        <f t="shared" si="3"/>
        <v>973889.77760000003</v>
      </c>
      <c r="O62" s="423">
        <f t="shared" si="4"/>
        <v>2895559.1104000001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272067.413184</v>
      </c>
      <c r="U62" s="423"/>
      <c r="V62" s="423">
        <f t="shared" si="11"/>
        <v>496067.413184</v>
      </c>
      <c r="W62" s="430">
        <v>12</v>
      </c>
      <c r="X62" s="423">
        <f t="shared" si="12"/>
        <v>41338.951098666701</v>
      </c>
      <c r="Y62" s="426"/>
      <c r="Z62" s="423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7">
        <v>56</v>
      </c>
      <c r="B63" s="9" t="s">
        <v>138</v>
      </c>
      <c r="C63" s="423">
        <v>322454.07400000002</v>
      </c>
      <c r="D63" s="422">
        <v>12</v>
      </c>
      <c r="E63" s="423">
        <f t="shared" si="37"/>
        <v>3869448.8879999998</v>
      </c>
      <c r="F63" s="423"/>
      <c r="G63" s="426"/>
      <c r="H63" s="426"/>
      <c r="I63" s="423">
        <f t="shared" si="0"/>
        <v>3869448.8879999998</v>
      </c>
      <c r="J63" s="423">
        <v>200000</v>
      </c>
      <c r="K63" s="423">
        <v>0.2</v>
      </c>
      <c r="L63" s="423">
        <f t="shared" si="1"/>
        <v>773889.77760000003</v>
      </c>
      <c r="M63" s="423">
        <f t="shared" si="2"/>
        <v>973889.77760000003</v>
      </c>
      <c r="N63" s="423">
        <f t="shared" si="3"/>
        <v>973889.77760000003</v>
      </c>
      <c r="O63" s="423">
        <f t="shared" si="4"/>
        <v>2895559.1104000001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272067.413184</v>
      </c>
      <c r="U63" s="423"/>
      <c r="V63" s="423">
        <f t="shared" si="11"/>
        <v>496067.413184</v>
      </c>
      <c r="W63" s="430">
        <v>12</v>
      </c>
      <c r="X63" s="423">
        <f t="shared" si="12"/>
        <v>41338.951098666701</v>
      </c>
      <c r="Y63" s="426"/>
      <c r="Z63" s="423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7">
        <v>57</v>
      </c>
      <c r="B64" s="9" t="s">
        <v>139</v>
      </c>
      <c r="C64" s="423">
        <v>322454.07400000002</v>
      </c>
      <c r="D64" s="422">
        <v>12</v>
      </c>
      <c r="E64" s="423">
        <f t="shared" si="37"/>
        <v>3869448.8879999998</v>
      </c>
      <c r="F64" s="423"/>
      <c r="G64" s="426"/>
      <c r="H64" s="426"/>
      <c r="I64" s="423">
        <f t="shared" si="0"/>
        <v>3869448.8879999998</v>
      </c>
      <c r="J64" s="423">
        <v>200000</v>
      </c>
      <c r="K64" s="423">
        <v>0.2</v>
      </c>
      <c r="L64" s="423">
        <f t="shared" si="1"/>
        <v>773889.77760000003</v>
      </c>
      <c r="M64" s="423">
        <f t="shared" si="2"/>
        <v>973889.77760000003</v>
      </c>
      <c r="N64" s="423">
        <f t="shared" si="3"/>
        <v>973889.77760000003</v>
      </c>
      <c r="O64" s="423">
        <f t="shared" si="4"/>
        <v>2895559.1104000001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272067.413184</v>
      </c>
      <c r="U64" s="423"/>
      <c r="V64" s="423">
        <f t="shared" si="11"/>
        <v>496067.413184</v>
      </c>
      <c r="W64" s="430">
        <v>12</v>
      </c>
      <c r="X64" s="423">
        <f t="shared" si="12"/>
        <v>41338.951098666701</v>
      </c>
      <c r="Y64" s="426"/>
      <c r="Z64" s="423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7">
        <v>58</v>
      </c>
      <c r="B65" s="9" t="s">
        <v>140</v>
      </c>
      <c r="C65" s="423">
        <v>334536.99849999999</v>
      </c>
      <c r="D65" s="422">
        <v>12</v>
      </c>
      <c r="E65" s="423">
        <f t="shared" si="37"/>
        <v>4014443.9819999998</v>
      </c>
      <c r="F65" s="423"/>
      <c r="G65" s="426"/>
      <c r="H65" s="426"/>
      <c r="I65" s="423">
        <f t="shared" si="0"/>
        <v>4014443.9819999998</v>
      </c>
      <c r="J65" s="423">
        <v>200000</v>
      </c>
      <c r="K65" s="423">
        <v>0.2</v>
      </c>
      <c r="L65" s="423">
        <f t="shared" si="1"/>
        <v>802888.79639999999</v>
      </c>
      <c r="M65" s="423">
        <f t="shared" si="2"/>
        <v>1002888.7964</v>
      </c>
      <c r="N65" s="423">
        <f t="shared" si="3"/>
        <v>1002888.7964</v>
      </c>
      <c r="O65" s="423">
        <f t="shared" si="4"/>
        <v>3011555.1856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296426.58897600003</v>
      </c>
      <c r="U65" s="423"/>
      <c r="V65" s="423">
        <f t="shared" si="11"/>
        <v>520426.58897600003</v>
      </c>
      <c r="W65" s="430">
        <v>12</v>
      </c>
      <c r="X65" s="423">
        <f t="shared" si="12"/>
        <v>43368.882414666703</v>
      </c>
      <c r="Y65" s="426"/>
      <c r="Z65" s="423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7">
        <v>59</v>
      </c>
      <c r="B66" s="9" t="s">
        <v>142</v>
      </c>
      <c r="C66" s="423">
        <v>277734.04700000002</v>
      </c>
      <c r="D66" s="422">
        <v>12</v>
      </c>
      <c r="E66" s="423">
        <f t="shared" si="37"/>
        <v>3332808.5639999998</v>
      </c>
      <c r="F66" s="423"/>
      <c r="G66" s="426"/>
      <c r="H66" s="426"/>
      <c r="I66" s="423">
        <f t="shared" si="0"/>
        <v>3332808.5639999998</v>
      </c>
      <c r="J66" s="423">
        <v>200000</v>
      </c>
      <c r="K66" s="423">
        <v>0.2</v>
      </c>
      <c r="L66" s="423">
        <f t="shared" si="1"/>
        <v>666561.71279999998</v>
      </c>
      <c r="M66" s="423">
        <f t="shared" si="2"/>
        <v>866561.71279999998</v>
      </c>
      <c r="N66" s="423">
        <f t="shared" si="3"/>
        <v>866561.71279999998</v>
      </c>
      <c r="O66" s="423">
        <f t="shared" si="4"/>
        <v>2466246.8511999999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181911.83875200001</v>
      </c>
      <c r="U66" s="423"/>
      <c r="V66" s="423">
        <f t="shared" si="11"/>
        <v>405911.83875200001</v>
      </c>
      <c r="W66" s="430">
        <v>12</v>
      </c>
      <c r="X66" s="423">
        <f t="shared" si="12"/>
        <v>33825.986562666702</v>
      </c>
      <c r="Y66" s="426"/>
      <c r="Z66" s="423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7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179"/>
      <c r="AB67" s="179"/>
      <c r="AC67" s="179"/>
      <c r="AD67" s="179"/>
      <c r="AE67" s="179"/>
    </row>
    <row r="68" spans="1:31" ht="18.75">
      <c r="A68" s="497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179"/>
      <c r="AB68" s="179"/>
      <c r="AC68" s="179"/>
      <c r="AD68" s="179"/>
      <c r="AE68" s="179"/>
    </row>
    <row r="69" spans="1:31" ht="18.75">
      <c r="A69" s="497"/>
      <c r="B69" s="18" t="s">
        <v>143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179"/>
      <c r="AB69" s="179"/>
      <c r="AC69" s="179"/>
      <c r="AD69" s="179"/>
      <c r="AE69" s="179"/>
    </row>
    <row r="70" spans="1:31" ht="18.75">
      <c r="A70" s="497"/>
      <c r="B70" s="9" t="s">
        <v>144</v>
      </c>
      <c r="C70" s="423">
        <v>1050209.0634999999</v>
      </c>
      <c r="D70" s="422">
        <v>12</v>
      </c>
      <c r="E70" s="423">
        <f>C70*D70</f>
        <v>12602508.762</v>
      </c>
      <c r="F70" s="423"/>
      <c r="G70" s="426"/>
      <c r="H70" s="426"/>
      <c r="I70" s="423">
        <f t="shared" ref="I70" si="39">E70-F70-G70-H70</f>
        <v>12602508.762</v>
      </c>
      <c r="J70" s="423">
        <v>200000</v>
      </c>
      <c r="K70" s="423">
        <v>0.2</v>
      </c>
      <c r="L70" s="423">
        <f t="shared" ref="L70" si="40">I70*K70</f>
        <v>2520501.7524000001</v>
      </c>
      <c r="M70" s="423">
        <f t="shared" ref="M70" si="41">J70+L70</f>
        <v>2720501.7524000001</v>
      </c>
      <c r="N70" s="423">
        <f t="shared" ref="N70" si="42">F70+G70+H70+M70</f>
        <v>2720501.7524000001</v>
      </c>
      <c r="O70" s="423">
        <f t="shared" ref="O70" si="43">E70-N70</f>
        <v>9882007.0096000005</v>
      </c>
      <c r="P70" s="423">
        <f t="shared" ref="P70" si="44">IF(O70&lt;300000,0.07*O70,21000)</f>
        <v>21000</v>
      </c>
      <c r="Q70" s="423">
        <f t="shared" ref="Q70" si="45">IF((O70-300000)&lt;0,0,IF((O70-300000)&lt;300000,0.11*(O70-300000),33000))</f>
        <v>33000</v>
      </c>
      <c r="R70" s="423">
        <f t="shared" ref="R70" si="46">IF((O70-600000)&lt;0,0,IF((O70-600000)&lt;500000,0.15*(O70-600000),75000))</f>
        <v>75000</v>
      </c>
      <c r="S70" s="423">
        <f t="shared" ref="S70" si="47">IF((O70-1100000)&lt;0,0,IF((O70-1100000)&lt;500000,0.19*(O70-1100000),95000))</f>
        <v>95000</v>
      </c>
      <c r="T70" s="423">
        <f t="shared" ref="T70" si="48">IF((O70-1600000)&lt;0,0,IF((O70-1600000)&lt;1600000,0.21*(O70-1600000),336000))</f>
        <v>336000</v>
      </c>
      <c r="U70" s="423">
        <f t="shared" ref="U70" si="49">24%*(O70-3200000)</f>
        <v>1603681.682304</v>
      </c>
      <c r="V70" s="423">
        <f t="shared" ref="V70" si="50">P70+Q70+R70+S70+T70+U70</f>
        <v>2163681.682304</v>
      </c>
      <c r="W70" s="430">
        <v>12</v>
      </c>
      <c r="X70" s="423">
        <f t="shared" ref="X70" si="51">V70/W70</f>
        <v>180306.806858667</v>
      </c>
      <c r="Y70" s="426"/>
      <c r="Z70" s="423">
        <f t="shared" ref="Z70" si="52">X70</f>
        <v>180306.806858667</v>
      </c>
      <c r="AA70" s="179">
        <v>180306.806858667</v>
      </c>
      <c r="AB70" s="179">
        <f>Z70-AA70</f>
        <v>0</v>
      </c>
      <c r="AC70" s="179"/>
      <c r="AD70" s="179"/>
      <c r="AE70" s="179"/>
    </row>
    <row r="71" spans="1:31" ht="18.75">
      <c r="A71" s="497">
        <v>62</v>
      </c>
      <c r="B71" s="12" t="s">
        <v>518</v>
      </c>
      <c r="C71" s="423">
        <v>516137.05</v>
      </c>
      <c r="D71" s="422">
        <v>12</v>
      </c>
      <c r="E71" s="423">
        <f t="shared" ref="E71:E76" si="53">C71*D71</f>
        <v>6193644.5999999996</v>
      </c>
      <c r="F71" s="423"/>
      <c r="G71" s="426"/>
      <c r="H71" s="426"/>
      <c r="I71" s="423">
        <f t="shared" si="0"/>
        <v>6193644.5999999996</v>
      </c>
      <c r="J71" s="423">
        <v>200000</v>
      </c>
      <c r="K71" s="423">
        <v>0.2</v>
      </c>
      <c r="L71" s="423">
        <f t="shared" si="1"/>
        <v>1238728.92</v>
      </c>
      <c r="M71" s="423">
        <f t="shared" si="2"/>
        <v>1438728.92</v>
      </c>
      <c r="N71" s="423">
        <f t="shared" si="3"/>
        <v>1438728.92</v>
      </c>
      <c r="O71" s="423">
        <f t="shared" si="4"/>
        <v>4754915.68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373179.76319999999</v>
      </c>
      <c r="V71" s="423">
        <f t="shared" si="11"/>
        <v>933179.76320000004</v>
      </c>
      <c r="W71" s="430">
        <v>12</v>
      </c>
      <c r="X71" s="423">
        <f t="shared" si="12"/>
        <v>77764.980266666695</v>
      </c>
      <c r="Y71" s="426"/>
      <c r="Z71" s="423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7">
        <v>63</v>
      </c>
      <c r="B72" s="16" t="s">
        <v>519</v>
      </c>
      <c r="C72" s="423">
        <v>447553.5025</v>
      </c>
      <c r="D72" s="422">
        <v>12</v>
      </c>
      <c r="E72" s="423">
        <f t="shared" si="53"/>
        <v>5370642.0300000003</v>
      </c>
      <c r="F72" s="423"/>
      <c r="G72" s="426"/>
      <c r="H72" s="426"/>
      <c r="I72" s="423">
        <f t="shared" si="0"/>
        <v>5370642.0300000003</v>
      </c>
      <c r="J72" s="423">
        <v>200000</v>
      </c>
      <c r="K72" s="423">
        <v>0.2</v>
      </c>
      <c r="L72" s="423">
        <f t="shared" si="1"/>
        <v>1074128.406</v>
      </c>
      <c r="M72" s="423">
        <f t="shared" si="2"/>
        <v>1274128.406</v>
      </c>
      <c r="N72" s="423">
        <f t="shared" si="3"/>
        <v>1274128.406</v>
      </c>
      <c r="O72" s="423">
        <f t="shared" si="4"/>
        <v>4096513.6239999998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215163.26976</v>
      </c>
      <c r="V72" s="423">
        <f t="shared" si="11"/>
        <v>775163.26976000005</v>
      </c>
      <c r="W72" s="430">
        <v>12</v>
      </c>
      <c r="X72" s="423">
        <f t="shared" si="12"/>
        <v>64596.9391466667</v>
      </c>
      <c r="Y72" s="426"/>
      <c r="Z72" s="423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7">
        <v>64</v>
      </c>
      <c r="B73" s="9" t="s">
        <v>148</v>
      </c>
      <c r="C73" s="423">
        <v>405272.06374999997</v>
      </c>
      <c r="D73" s="422">
        <v>12</v>
      </c>
      <c r="E73" s="423">
        <f t="shared" si="53"/>
        <v>4863264.7649999997</v>
      </c>
      <c r="F73" s="423">
        <f>'[6]JANUARY 2024'!$V$78*12</f>
        <v>8019.7950000000001</v>
      </c>
      <c r="G73" s="426"/>
      <c r="H73" s="426"/>
      <c r="I73" s="423">
        <f t="shared" si="0"/>
        <v>4855244.97</v>
      </c>
      <c r="J73" s="423">
        <v>200000</v>
      </c>
      <c r="K73" s="423">
        <v>0.2</v>
      </c>
      <c r="L73" s="423">
        <f t="shared" si="1"/>
        <v>971048.99399999995</v>
      </c>
      <c r="M73" s="423">
        <f t="shared" si="2"/>
        <v>1171048.9939999999</v>
      </c>
      <c r="N73" s="423">
        <f t="shared" si="3"/>
        <v>1179068.7889999999</v>
      </c>
      <c r="O73" s="423">
        <f t="shared" si="4"/>
        <v>3684195.9759999998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116207.03423999995</v>
      </c>
      <c r="V73" s="423">
        <f t="shared" si="11"/>
        <v>676207.03423999995</v>
      </c>
      <c r="W73" s="430">
        <v>12</v>
      </c>
      <c r="X73" s="423">
        <f t="shared" si="12"/>
        <v>56350.58618666666</v>
      </c>
      <c r="Y73" s="426"/>
      <c r="Z73" s="423">
        <f t="shared" si="13"/>
        <v>56350.58618666666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3" customFormat="1" ht="18.75">
      <c r="A74" s="501">
        <v>65</v>
      </c>
      <c r="B74" s="9" t="s">
        <v>151</v>
      </c>
      <c r="C74" s="423">
        <v>273169.11749999999</v>
      </c>
      <c r="D74" s="422">
        <v>12</v>
      </c>
      <c r="E74" s="423">
        <f t="shared" si="53"/>
        <v>3278029.41</v>
      </c>
      <c r="F74" s="423"/>
      <c r="G74" s="426"/>
      <c r="H74" s="426"/>
      <c r="I74" s="423">
        <f t="shared" si="0"/>
        <v>3278029.41</v>
      </c>
      <c r="J74" s="423">
        <v>200000</v>
      </c>
      <c r="K74" s="423">
        <v>0.2</v>
      </c>
      <c r="L74" s="423">
        <f t="shared" si="1"/>
        <v>655605.88199999998</v>
      </c>
      <c r="M74" s="423">
        <f t="shared" si="2"/>
        <v>855605.88199999998</v>
      </c>
      <c r="N74" s="423">
        <f t="shared" si="3"/>
        <v>855605.88199999998</v>
      </c>
      <c r="O74" s="423">
        <f t="shared" si="4"/>
        <v>2422423.5279999999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172708.94088000001</v>
      </c>
      <c r="U74" s="423"/>
      <c r="V74" s="423">
        <f t="shared" si="11"/>
        <v>396708.94088000001</v>
      </c>
      <c r="W74" s="430">
        <v>12</v>
      </c>
      <c r="X74" s="423">
        <f t="shared" si="12"/>
        <v>33059.078406666697</v>
      </c>
      <c r="Y74" s="426"/>
      <c r="Z74" s="505">
        <f t="shared" si="13"/>
        <v>33059.078406666697</v>
      </c>
      <c r="AA74" s="506">
        <v>17507.548966666702</v>
      </c>
      <c r="AB74" s="506">
        <f t="shared" si="54"/>
        <v>15551.52944</v>
      </c>
      <c r="AC74" s="509"/>
      <c r="AD74" s="509"/>
      <c r="AE74" s="509"/>
    </row>
    <row r="75" spans="1:31" ht="37.5">
      <c r="A75" s="497"/>
      <c r="B75" s="9" t="s">
        <v>153</v>
      </c>
      <c r="C75" s="423">
        <v>249356.04725</v>
      </c>
      <c r="D75" s="422">
        <v>12</v>
      </c>
      <c r="E75" s="423">
        <f t="shared" si="53"/>
        <v>2992272.5669999998</v>
      </c>
      <c r="F75" s="423"/>
      <c r="G75" s="426"/>
      <c r="H75" s="426"/>
      <c r="I75" s="423">
        <f t="shared" si="0"/>
        <v>2992272.5669999998</v>
      </c>
      <c r="J75" s="423">
        <v>200000</v>
      </c>
      <c r="K75" s="423">
        <v>0.2</v>
      </c>
      <c r="L75" s="423">
        <f t="shared" si="1"/>
        <v>598454.51340000005</v>
      </c>
      <c r="M75" s="423">
        <f t="shared" si="2"/>
        <v>798454.51340000005</v>
      </c>
      <c r="N75" s="423">
        <f t="shared" si="3"/>
        <v>798454.51340000005</v>
      </c>
      <c r="O75" s="423">
        <f t="shared" si="4"/>
        <v>2193818.0536000002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124701.791256</v>
      </c>
      <c r="U75" s="423"/>
      <c r="V75" s="423">
        <f t="shared" si="11"/>
        <v>348701.791256</v>
      </c>
      <c r="W75" s="430">
        <v>12</v>
      </c>
      <c r="X75" s="423">
        <f t="shared" si="12"/>
        <v>29058.4826046667</v>
      </c>
      <c r="Y75" s="426"/>
      <c r="Z75" s="423">
        <f t="shared" si="13"/>
        <v>29058.4826046667</v>
      </c>
      <c r="AA75" s="179">
        <v>29058.4826046667</v>
      </c>
      <c r="AB75" s="179">
        <f t="shared" si="54"/>
        <v>0</v>
      </c>
      <c r="AC75" s="179"/>
      <c r="AD75" s="179"/>
      <c r="AE75" s="179"/>
    </row>
    <row r="76" spans="1:31" ht="18.75">
      <c r="A76" s="497"/>
      <c r="B76" s="9" t="s">
        <v>155</v>
      </c>
      <c r="C76" s="423">
        <v>223717.28450000001</v>
      </c>
      <c r="D76" s="422">
        <v>12</v>
      </c>
      <c r="E76" s="423">
        <f t="shared" si="53"/>
        <v>2684607.4139999999</v>
      </c>
      <c r="F76" s="423"/>
      <c r="G76" s="426"/>
      <c r="H76" s="426"/>
      <c r="I76" s="423">
        <f t="shared" ref="I76" si="55">E76-F76-G76-H76</f>
        <v>2684607.4139999999</v>
      </c>
      <c r="J76" s="423">
        <v>200000</v>
      </c>
      <c r="K76" s="423">
        <v>0.2</v>
      </c>
      <c r="L76" s="423">
        <f t="shared" ref="L76" si="56">I76*K76</f>
        <v>536921.4828</v>
      </c>
      <c r="M76" s="423">
        <f t="shared" ref="M76" si="57">J76+L76</f>
        <v>736921.4828</v>
      </c>
      <c r="N76" s="423">
        <f t="shared" ref="N76" si="58">F76+G76+H76+M76</f>
        <v>736921.4828</v>
      </c>
      <c r="O76" s="423">
        <f t="shared" ref="O76" si="59">E76-N76</f>
        <v>1947685.9312</v>
      </c>
      <c r="P76" s="423">
        <f t="shared" ref="P76" si="60">IF(O76&lt;300000,0.07*O76,21000)</f>
        <v>21000</v>
      </c>
      <c r="Q76" s="423">
        <f t="shared" ref="Q76" si="61">IF((O76-300000)&lt;0,0,IF((O76-300000)&lt;300000,0.11*(O76-300000),33000))</f>
        <v>33000</v>
      </c>
      <c r="R76" s="423">
        <f t="shared" ref="R76" si="62">IF((O76-600000)&lt;0,0,IF((O76-600000)&lt;500000,0.15*(O76-600000),75000))</f>
        <v>75000</v>
      </c>
      <c r="S76" s="423">
        <f t="shared" ref="S76" si="63">IF((O76-1100000)&lt;0,0,IF((O76-1100000)&lt;500000,0.19*(O76-1100000),95000))</f>
        <v>95000</v>
      </c>
      <c r="T76" s="423">
        <f t="shared" ref="T76" si="64">IF((O76-1600000)&lt;0,0,IF((O76-1600000)&lt;1600000,0.21*(O76-1600000),336000))</f>
        <v>73014.045551999996</v>
      </c>
      <c r="U76" s="423">
        <v>0</v>
      </c>
      <c r="V76" s="423">
        <f t="shared" ref="V76" si="65">P76+Q76+R76+S76+T76+U76</f>
        <v>297014.045552</v>
      </c>
      <c r="W76" s="430">
        <v>12</v>
      </c>
      <c r="X76" s="423">
        <f t="shared" ref="X76" si="66">V76/W76</f>
        <v>24751.170462666701</v>
      </c>
      <c r="Y76" s="426"/>
      <c r="Z76" s="423">
        <f t="shared" ref="Z76" si="67">X76</f>
        <v>24751.170462666701</v>
      </c>
      <c r="AA76" s="179">
        <v>24751.170462666701</v>
      </c>
      <c r="AB76" s="179">
        <f t="shared" si="54"/>
        <v>0</v>
      </c>
      <c r="AC76" s="179"/>
      <c r="AD76" s="179"/>
      <c r="AE76" s="179"/>
    </row>
    <row r="77" spans="1:31" ht="18.75">
      <c r="A77" s="497"/>
      <c r="B77" s="18" t="s">
        <v>96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179"/>
      <c r="AB77" s="511">
        <f>SUM(AB70:AB76)</f>
        <v>15551.52944</v>
      </c>
      <c r="AC77" s="179"/>
      <c r="AD77" s="179"/>
      <c r="AE77" s="179"/>
    </row>
    <row r="78" spans="1:31" ht="18.75">
      <c r="A78" s="497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179"/>
      <c r="AB78" s="179"/>
      <c r="AC78" s="179"/>
      <c r="AD78" s="179"/>
      <c r="AE78" s="179"/>
    </row>
    <row r="79" spans="1:31" ht="37.5">
      <c r="A79" s="497">
        <v>67</v>
      </c>
      <c r="B79" s="18" t="s">
        <v>157</v>
      </c>
      <c r="C79" s="423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520</v>
      </c>
      <c r="AC79" s="179"/>
      <c r="AD79" s="179"/>
      <c r="AE79" s="179"/>
    </row>
    <row r="80" spans="1:31" ht="18.75">
      <c r="A80" s="497">
        <v>68</v>
      </c>
      <c r="B80" s="9" t="s">
        <v>158</v>
      </c>
      <c r="C80" s="423">
        <v>627553.50249999994</v>
      </c>
      <c r="D80" s="422">
        <v>12</v>
      </c>
      <c r="E80" s="423">
        <f>C80*D80</f>
        <v>7530642.0300000003</v>
      </c>
      <c r="F80" s="423"/>
      <c r="G80" s="426"/>
      <c r="H80" s="426"/>
      <c r="I80" s="423">
        <f t="shared" ref="I80:I89" si="68">E80-F80-G80-H80</f>
        <v>7530642.0300000003</v>
      </c>
      <c r="J80" s="423">
        <v>200000</v>
      </c>
      <c r="K80" s="423">
        <v>0.2</v>
      </c>
      <c r="L80" s="423">
        <f t="shared" ref="L80:L89" si="69">I80*K80</f>
        <v>1506128.406</v>
      </c>
      <c r="M80" s="423">
        <f t="shared" ref="M80:M89" si="70">J80+L80</f>
        <v>1706128.406</v>
      </c>
      <c r="N80" s="423">
        <f t="shared" ref="N80:N89" si="71">F80+G80+H80+M80</f>
        <v>1706128.406</v>
      </c>
      <c r="O80" s="423">
        <f t="shared" ref="O80:O89" si="72">E80-N80</f>
        <v>5824513.6239999998</v>
      </c>
      <c r="P80" s="423">
        <f t="shared" ref="P80:P89" si="73">IF(O80&lt;300000,0.07*O80,21000)</f>
        <v>21000</v>
      </c>
      <c r="Q80" s="423">
        <f t="shared" ref="Q80:Q89" si="74">IF((O80-300000)&lt;0,0,IF((O80-300000)&lt;300000,0.11*(O80-300000),33000))</f>
        <v>33000</v>
      </c>
      <c r="R80" s="423">
        <f t="shared" ref="R80:R89" si="75">IF((O80-600000)&lt;0,0,IF((O80-600000)&lt;500000,0.15*(O80-600000),75000))</f>
        <v>75000</v>
      </c>
      <c r="S80" s="423">
        <f t="shared" ref="S80:S89" si="76">IF((O80-1100000)&lt;0,0,IF((O80-1100000)&lt;500000,0.19*(O80-1100000),95000))</f>
        <v>95000</v>
      </c>
      <c r="T80" s="423">
        <f t="shared" ref="T80:T89" si="77">IF((O80-1600000)&lt;0,0,IF((O80-1600000)&lt;1600000,0.21*(O80-1600000),336000))</f>
        <v>336000</v>
      </c>
      <c r="U80" s="423">
        <f t="shared" ref="U80:U85" si="78">24%*(O80-3200000)</f>
        <v>629883.26976000005</v>
      </c>
      <c r="V80" s="423">
        <f t="shared" ref="V80:V89" si="79">P80+Q80+R80+S80+T80+U80</f>
        <v>1189883.2697600001</v>
      </c>
      <c r="W80" s="430">
        <v>12</v>
      </c>
      <c r="X80" s="423">
        <f t="shared" ref="X80:X89" si="80">V80/W80</f>
        <v>99156.9391466667</v>
      </c>
      <c r="Y80" s="426"/>
      <c r="Z80" s="423">
        <f t="shared" ref="Z80:Z89" si="81">X80</f>
        <v>99156.9391466667</v>
      </c>
      <c r="AA80" s="500">
        <v>99156.9391466667</v>
      </c>
      <c r="AB80" s="508">
        <f>Z80-AA80</f>
        <v>0</v>
      </c>
      <c r="AC80" s="179" t="s">
        <v>158</v>
      </c>
      <c r="AD80" s="179"/>
      <c r="AE80" s="179"/>
    </row>
    <row r="81" spans="1:31" s="493" customFormat="1" ht="18.75">
      <c r="A81" s="501">
        <v>69</v>
      </c>
      <c r="B81" s="9" t="s">
        <v>159</v>
      </c>
      <c r="C81" s="423">
        <v>527553.50249999994</v>
      </c>
      <c r="D81" s="422">
        <v>12</v>
      </c>
      <c r="E81" s="423">
        <f t="shared" ref="E81:E87" si="82">C81*D81</f>
        <v>6330642.0300000003</v>
      </c>
      <c r="F81" s="423">
        <f>'[6]JANUARY 2024'!$V$86*12</f>
        <v>10052.25</v>
      </c>
      <c r="G81" s="426"/>
      <c r="H81" s="426"/>
      <c r="I81" s="423">
        <f t="shared" si="68"/>
        <v>6320589.7800000003</v>
      </c>
      <c r="J81" s="423">
        <v>200000</v>
      </c>
      <c r="K81" s="423">
        <v>0.2</v>
      </c>
      <c r="L81" s="423">
        <f t="shared" si="69"/>
        <v>1264117.9560000002</v>
      </c>
      <c r="M81" s="423">
        <f t="shared" si="70"/>
        <v>1464117.9560000002</v>
      </c>
      <c r="N81" s="423">
        <f t="shared" si="71"/>
        <v>1474170.2060000002</v>
      </c>
      <c r="O81" s="423">
        <f t="shared" si="72"/>
        <v>4856471.824</v>
      </c>
      <c r="P81" s="423">
        <f t="shared" si="73"/>
        <v>21000</v>
      </c>
      <c r="Q81" s="423">
        <f t="shared" si="74"/>
        <v>33000</v>
      </c>
      <c r="R81" s="423">
        <f t="shared" si="75"/>
        <v>75000</v>
      </c>
      <c r="S81" s="423">
        <f t="shared" si="76"/>
        <v>95000</v>
      </c>
      <c r="T81" s="423">
        <f t="shared" si="77"/>
        <v>336000</v>
      </c>
      <c r="U81" s="423">
        <f t="shared" si="78"/>
        <v>397553.23775999999</v>
      </c>
      <c r="V81" s="423">
        <f t="shared" si="79"/>
        <v>957553.23775999993</v>
      </c>
      <c r="W81" s="430">
        <v>12</v>
      </c>
      <c r="X81" s="423">
        <f t="shared" si="80"/>
        <v>79796.103146666661</v>
      </c>
      <c r="Y81" s="426"/>
      <c r="Z81" s="423">
        <f t="shared" si="81"/>
        <v>79796.103146666661</v>
      </c>
      <c r="AA81" s="500">
        <v>98996.103146666705</v>
      </c>
      <c r="AB81" s="508">
        <f t="shared" ref="AB81:AB87" si="83">Z81-AA81</f>
        <v>-19200.000000000044</v>
      </c>
      <c r="AC81" s="509" t="s">
        <v>159</v>
      </c>
      <c r="AD81" s="509"/>
      <c r="AE81" s="509"/>
    </row>
    <row r="82" spans="1:31" s="493" customFormat="1" ht="37.5">
      <c r="A82" s="501">
        <v>70</v>
      </c>
      <c r="B82" s="9" t="s">
        <v>160</v>
      </c>
      <c r="C82" s="423">
        <v>504729.22200000001</v>
      </c>
      <c r="D82" s="422">
        <v>12</v>
      </c>
      <c r="E82" s="423">
        <f t="shared" si="82"/>
        <v>6056750.6639999999</v>
      </c>
      <c r="F82" s="423"/>
      <c r="G82" s="426"/>
      <c r="H82" s="426"/>
      <c r="I82" s="423">
        <f t="shared" si="68"/>
        <v>6056750.6639999999</v>
      </c>
      <c r="J82" s="423">
        <v>200000</v>
      </c>
      <c r="K82" s="423">
        <v>0.2</v>
      </c>
      <c r="L82" s="423">
        <f t="shared" si="69"/>
        <v>1211350.1328</v>
      </c>
      <c r="M82" s="423">
        <f t="shared" si="70"/>
        <v>1411350.1328</v>
      </c>
      <c r="N82" s="423">
        <f t="shared" si="71"/>
        <v>1411350.1328</v>
      </c>
      <c r="O82" s="423">
        <f t="shared" si="72"/>
        <v>4645400.5312000001</v>
      </c>
      <c r="P82" s="423">
        <f t="shared" si="73"/>
        <v>21000</v>
      </c>
      <c r="Q82" s="423">
        <f t="shared" si="74"/>
        <v>33000</v>
      </c>
      <c r="R82" s="423">
        <f t="shared" si="75"/>
        <v>75000</v>
      </c>
      <c r="S82" s="423">
        <f t="shared" si="76"/>
        <v>95000</v>
      </c>
      <c r="T82" s="423">
        <f t="shared" si="77"/>
        <v>336000</v>
      </c>
      <c r="U82" s="423">
        <f t="shared" si="78"/>
        <v>346896.12748800003</v>
      </c>
      <c r="V82" s="423">
        <f t="shared" si="79"/>
        <v>906896.12748799997</v>
      </c>
      <c r="W82" s="430">
        <v>12</v>
      </c>
      <c r="X82" s="423">
        <f t="shared" si="80"/>
        <v>75574.677290666703</v>
      </c>
      <c r="Y82" s="426"/>
      <c r="Z82" s="423">
        <f t="shared" si="81"/>
        <v>75574.677290666703</v>
      </c>
      <c r="AA82" s="512">
        <v>79956.9391466667</v>
      </c>
      <c r="AB82" s="508">
        <f t="shared" si="83"/>
        <v>-4382.2618559999701</v>
      </c>
      <c r="AC82" s="509" t="s">
        <v>160</v>
      </c>
      <c r="AD82" s="509"/>
      <c r="AE82" s="509"/>
    </row>
    <row r="83" spans="1:31" ht="18.75">
      <c r="A83" s="497">
        <v>71</v>
      </c>
      <c r="B83" s="9" t="s">
        <v>161</v>
      </c>
      <c r="C83" s="423">
        <v>376663.07750000001</v>
      </c>
      <c r="D83" s="422">
        <v>12</v>
      </c>
      <c r="E83" s="423">
        <f t="shared" si="82"/>
        <v>4519956.93</v>
      </c>
      <c r="F83" s="423"/>
      <c r="G83" s="426"/>
      <c r="H83" s="426"/>
      <c r="I83" s="423">
        <f t="shared" si="68"/>
        <v>4519956.93</v>
      </c>
      <c r="J83" s="423">
        <v>200000</v>
      </c>
      <c r="K83" s="423">
        <v>0.2</v>
      </c>
      <c r="L83" s="423">
        <f t="shared" si="69"/>
        <v>903991.38600000006</v>
      </c>
      <c r="M83" s="423">
        <f t="shared" si="70"/>
        <v>1103991.3859999999</v>
      </c>
      <c r="N83" s="423">
        <f t="shared" si="71"/>
        <v>1103991.3859999999</v>
      </c>
      <c r="O83" s="423">
        <f t="shared" si="72"/>
        <v>3415965.5440000002</v>
      </c>
      <c r="P83" s="423">
        <f t="shared" si="73"/>
        <v>21000</v>
      </c>
      <c r="Q83" s="423">
        <f t="shared" si="74"/>
        <v>33000</v>
      </c>
      <c r="R83" s="423">
        <f t="shared" si="75"/>
        <v>75000</v>
      </c>
      <c r="S83" s="423">
        <f t="shared" si="76"/>
        <v>95000</v>
      </c>
      <c r="T83" s="423">
        <f t="shared" si="77"/>
        <v>336000</v>
      </c>
      <c r="U83" s="423">
        <f t="shared" si="78"/>
        <v>51831.730559999902</v>
      </c>
      <c r="V83" s="423">
        <f t="shared" si="79"/>
        <v>611831.73056000005</v>
      </c>
      <c r="W83" s="430">
        <v>12</v>
      </c>
      <c r="X83" s="423">
        <f t="shared" si="80"/>
        <v>50985.977546666698</v>
      </c>
      <c r="Y83" s="426"/>
      <c r="Z83" s="423">
        <f t="shared" si="81"/>
        <v>50985.977546666698</v>
      </c>
      <c r="AA83" s="512">
        <v>75574.677290666703</v>
      </c>
      <c r="AB83" s="508">
        <f t="shared" si="83"/>
        <v>-24588.699744000001</v>
      </c>
      <c r="AC83" s="179" t="s">
        <v>161</v>
      </c>
      <c r="AD83" s="179"/>
      <c r="AE83" s="179"/>
    </row>
    <row r="84" spans="1:31" ht="18.75">
      <c r="A84" s="497">
        <v>72</v>
      </c>
      <c r="B84" s="9" t="s">
        <v>162</v>
      </c>
      <c r="C84" s="423">
        <v>369177.65375</v>
      </c>
      <c r="D84" s="422">
        <v>12</v>
      </c>
      <c r="E84" s="423">
        <f t="shared" si="82"/>
        <v>4430131.8449999997</v>
      </c>
      <c r="F84" s="423"/>
      <c r="G84" s="426"/>
      <c r="H84" s="426"/>
      <c r="I84" s="423">
        <f t="shared" si="68"/>
        <v>4430131.8449999997</v>
      </c>
      <c r="J84" s="423">
        <v>200000</v>
      </c>
      <c r="K84" s="423">
        <v>0.2</v>
      </c>
      <c r="L84" s="423">
        <f t="shared" si="69"/>
        <v>886026.36899999995</v>
      </c>
      <c r="M84" s="423">
        <f t="shared" si="70"/>
        <v>1086026.3689999999</v>
      </c>
      <c r="N84" s="423">
        <f t="shared" si="71"/>
        <v>1086026.3689999999</v>
      </c>
      <c r="O84" s="423">
        <f t="shared" si="72"/>
        <v>3344105.4759999998</v>
      </c>
      <c r="P84" s="423">
        <f t="shared" si="73"/>
        <v>21000</v>
      </c>
      <c r="Q84" s="423">
        <f t="shared" si="74"/>
        <v>33000</v>
      </c>
      <c r="R84" s="423">
        <f t="shared" si="75"/>
        <v>75000</v>
      </c>
      <c r="S84" s="423">
        <f t="shared" si="76"/>
        <v>95000</v>
      </c>
      <c r="T84" s="423">
        <f t="shared" si="77"/>
        <v>336000</v>
      </c>
      <c r="U84" s="423">
        <f t="shared" si="78"/>
        <v>34585.314239999898</v>
      </c>
      <c r="V84" s="423">
        <f t="shared" si="79"/>
        <v>594585.31423999998</v>
      </c>
      <c r="W84" s="430">
        <v>12</v>
      </c>
      <c r="X84" s="423">
        <f t="shared" si="80"/>
        <v>49548.776186666699</v>
      </c>
      <c r="Y84" s="426"/>
      <c r="Z84" s="423">
        <f t="shared" si="81"/>
        <v>49548.776186666699</v>
      </c>
      <c r="AA84" s="500">
        <v>50985.977546666698</v>
      </c>
      <c r="AB84" s="508">
        <f t="shared" si="83"/>
        <v>-1437.20136</v>
      </c>
      <c r="AC84" s="179" t="s">
        <v>162</v>
      </c>
      <c r="AD84" s="179"/>
      <c r="AE84" s="179"/>
    </row>
    <row r="85" spans="1:31" s="493" customFormat="1" ht="37.5">
      <c r="A85" s="501">
        <v>73</v>
      </c>
      <c r="B85" s="9" t="s">
        <v>163</v>
      </c>
      <c r="C85" s="423">
        <v>389153.05674999999</v>
      </c>
      <c r="D85" s="422">
        <v>12</v>
      </c>
      <c r="E85" s="423">
        <f t="shared" si="82"/>
        <v>4669836.6809999999</v>
      </c>
      <c r="F85" s="423"/>
      <c r="G85" s="426"/>
      <c r="H85" s="426"/>
      <c r="I85" s="423">
        <f t="shared" si="68"/>
        <v>4669836.6809999999</v>
      </c>
      <c r="J85" s="423">
        <v>200000</v>
      </c>
      <c r="K85" s="423">
        <v>0.2</v>
      </c>
      <c r="L85" s="423">
        <f t="shared" si="69"/>
        <v>933967.33620000002</v>
      </c>
      <c r="M85" s="423">
        <f t="shared" si="70"/>
        <v>1133967.3362</v>
      </c>
      <c r="N85" s="423">
        <f t="shared" si="71"/>
        <v>1133967.3362</v>
      </c>
      <c r="O85" s="423">
        <f t="shared" si="72"/>
        <v>3535869.3448000001</v>
      </c>
      <c r="P85" s="423">
        <f t="shared" si="73"/>
        <v>21000</v>
      </c>
      <c r="Q85" s="423">
        <f t="shared" si="74"/>
        <v>33000</v>
      </c>
      <c r="R85" s="423">
        <f t="shared" si="75"/>
        <v>75000</v>
      </c>
      <c r="S85" s="423">
        <f t="shared" si="76"/>
        <v>95000</v>
      </c>
      <c r="T85" s="423">
        <f t="shared" si="77"/>
        <v>336000</v>
      </c>
      <c r="U85" s="423">
        <f t="shared" si="78"/>
        <v>80608.642752</v>
      </c>
      <c r="V85" s="423">
        <f t="shared" si="79"/>
        <v>640608.64275200001</v>
      </c>
      <c r="W85" s="430">
        <v>12</v>
      </c>
      <c r="X85" s="423">
        <f t="shared" si="80"/>
        <v>53384.053562666697</v>
      </c>
      <c r="Y85" s="426"/>
      <c r="Z85" s="505">
        <f t="shared" si="81"/>
        <v>53384.053562666697</v>
      </c>
      <c r="AA85" s="505">
        <v>49548.776186666699</v>
      </c>
      <c r="AB85" s="506">
        <f t="shared" si="83"/>
        <v>3835.27737600001</v>
      </c>
      <c r="AC85" s="509" t="s">
        <v>163</v>
      </c>
      <c r="AD85" s="509"/>
      <c r="AE85" s="509"/>
    </row>
    <row r="86" spans="1:31" ht="18.75">
      <c r="A86" s="497">
        <v>74</v>
      </c>
      <c r="B86" s="9" t="s">
        <v>165</v>
      </c>
      <c r="C86" s="423">
        <v>322454.07400000002</v>
      </c>
      <c r="D86" s="422">
        <v>12</v>
      </c>
      <c r="E86" s="423">
        <f t="shared" si="82"/>
        <v>3869448.8879999998</v>
      </c>
      <c r="F86" s="423"/>
      <c r="G86" s="426"/>
      <c r="H86" s="426"/>
      <c r="I86" s="423">
        <f t="shared" si="68"/>
        <v>3869448.8879999998</v>
      </c>
      <c r="J86" s="423">
        <v>200000</v>
      </c>
      <c r="K86" s="423">
        <v>0.2</v>
      </c>
      <c r="L86" s="423">
        <f t="shared" si="69"/>
        <v>773889.77760000003</v>
      </c>
      <c r="M86" s="423">
        <f t="shared" si="70"/>
        <v>973889.77760000003</v>
      </c>
      <c r="N86" s="423">
        <f t="shared" si="71"/>
        <v>973889.77760000003</v>
      </c>
      <c r="O86" s="423">
        <f t="shared" si="72"/>
        <v>2895559.1104000001</v>
      </c>
      <c r="P86" s="423">
        <f t="shared" si="73"/>
        <v>21000</v>
      </c>
      <c r="Q86" s="423">
        <f t="shared" si="74"/>
        <v>33000</v>
      </c>
      <c r="R86" s="423">
        <f t="shared" si="75"/>
        <v>75000</v>
      </c>
      <c r="S86" s="423">
        <f t="shared" si="76"/>
        <v>95000</v>
      </c>
      <c r="T86" s="423">
        <f t="shared" si="77"/>
        <v>272067.413184</v>
      </c>
      <c r="U86" s="423"/>
      <c r="V86" s="423">
        <f t="shared" si="79"/>
        <v>496067.413184</v>
      </c>
      <c r="W86" s="430">
        <v>12</v>
      </c>
      <c r="X86" s="423">
        <f t="shared" si="80"/>
        <v>41338.951098666701</v>
      </c>
      <c r="Y86" s="426"/>
      <c r="Z86" s="423">
        <f t="shared" si="81"/>
        <v>41338.951098666701</v>
      </c>
      <c r="AA86" s="512">
        <v>53384.053562666697</v>
      </c>
      <c r="AB86" s="508">
        <f t="shared" si="83"/>
        <v>-12045.102464</v>
      </c>
      <c r="AC86" s="179" t="s">
        <v>165</v>
      </c>
      <c r="AD86" s="179"/>
      <c r="AE86" s="179"/>
    </row>
    <row r="87" spans="1:31" ht="24" customHeight="1">
      <c r="A87" s="497">
        <v>75</v>
      </c>
      <c r="B87" s="9" t="s">
        <v>166</v>
      </c>
      <c r="C87" s="423">
        <v>346713.03324999998</v>
      </c>
      <c r="D87" s="422">
        <v>12</v>
      </c>
      <c r="E87" s="423">
        <f t="shared" si="82"/>
        <v>4160556.3990000002</v>
      </c>
      <c r="F87" s="423">
        <f>'[6]JANUARY 2024'!$V$92*12</f>
        <v>6922.4969999999994</v>
      </c>
      <c r="G87" s="426"/>
      <c r="H87" s="426"/>
      <c r="I87" s="423">
        <f t="shared" si="68"/>
        <v>4153633.9020000002</v>
      </c>
      <c r="J87" s="423">
        <v>200000</v>
      </c>
      <c r="K87" s="423">
        <v>0.2</v>
      </c>
      <c r="L87" s="423">
        <f t="shared" si="69"/>
        <v>830726.78040000005</v>
      </c>
      <c r="M87" s="423">
        <f t="shared" si="70"/>
        <v>1030726.7804</v>
      </c>
      <c r="N87" s="423">
        <f t="shared" si="71"/>
        <v>1037649.2774</v>
      </c>
      <c r="O87" s="423">
        <f t="shared" si="72"/>
        <v>3122907.1216000002</v>
      </c>
      <c r="P87" s="423">
        <f t="shared" si="73"/>
        <v>21000</v>
      </c>
      <c r="Q87" s="423">
        <f t="shared" si="74"/>
        <v>33000</v>
      </c>
      <c r="R87" s="423">
        <f t="shared" si="75"/>
        <v>75000</v>
      </c>
      <c r="S87" s="423">
        <f t="shared" si="76"/>
        <v>95000</v>
      </c>
      <c r="T87" s="423">
        <f t="shared" si="77"/>
        <v>319810.495536</v>
      </c>
      <c r="U87" s="423"/>
      <c r="V87" s="423">
        <f t="shared" si="79"/>
        <v>543810.495536</v>
      </c>
      <c r="W87" s="430">
        <v>12</v>
      </c>
      <c r="X87" s="423">
        <f t="shared" si="80"/>
        <v>45317.541294666669</v>
      </c>
      <c r="Y87" s="426"/>
      <c r="Z87" s="505">
        <f t="shared" si="81"/>
        <v>45317.541294666669</v>
      </c>
      <c r="AA87" s="505">
        <v>41242.0361406667</v>
      </c>
      <c r="AB87" s="506">
        <f t="shared" si="83"/>
        <v>4075.5051539999695</v>
      </c>
      <c r="AC87" s="179" t="s">
        <v>166</v>
      </c>
      <c r="AD87" s="179"/>
      <c r="AE87" s="179"/>
    </row>
    <row r="88" spans="1:31" ht="18.75">
      <c r="A88" s="497">
        <v>76</v>
      </c>
      <c r="B88" s="9" t="s">
        <v>169</v>
      </c>
      <c r="C88" s="423">
        <v>277734.04700000002</v>
      </c>
      <c r="D88" s="422">
        <v>12</v>
      </c>
      <c r="E88" s="423">
        <f t="shared" ref="E88:E89" si="84">C88*D88</f>
        <v>3332808.5639999998</v>
      </c>
      <c r="F88" s="423"/>
      <c r="G88" s="426"/>
      <c r="H88" s="426"/>
      <c r="I88" s="423">
        <f t="shared" si="68"/>
        <v>3332808.5639999998</v>
      </c>
      <c r="J88" s="423">
        <v>200000</v>
      </c>
      <c r="K88" s="423">
        <v>0.2</v>
      </c>
      <c r="L88" s="423">
        <f t="shared" si="69"/>
        <v>666561.71279999998</v>
      </c>
      <c r="M88" s="423">
        <f t="shared" si="70"/>
        <v>866561.71279999998</v>
      </c>
      <c r="N88" s="423">
        <f t="shared" si="71"/>
        <v>866561.71279999998</v>
      </c>
      <c r="O88" s="423">
        <f t="shared" si="72"/>
        <v>2466246.8511999999</v>
      </c>
      <c r="P88" s="423">
        <f t="shared" si="73"/>
        <v>21000</v>
      </c>
      <c r="Q88" s="423">
        <f t="shared" si="74"/>
        <v>33000</v>
      </c>
      <c r="R88" s="423">
        <f t="shared" si="75"/>
        <v>75000</v>
      </c>
      <c r="S88" s="423">
        <f t="shared" si="76"/>
        <v>95000</v>
      </c>
      <c r="T88" s="423">
        <f t="shared" si="77"/>
        <v>181911.83875200001</v>
      </c>
      <c r="U88" s="423"/>
      <c r="V88" s="423">
        <f t="shared" si="79"/>
        <v>405911.83875200001</v>
      </c>
      <c r="W88" s="430">
        <v>12</v>
      </c>
      <c r="X88" s="423">
        <f t="shared" si="80"/>
        <v>33825.986562666702</v>
      </c>
      <c r="Y88" s="426"/>
      <c r="Z88" s="423">
        <f t="shared" si="81"/>
        <v>33825.986562666702</v>
      </c>
      <c r="AA88" s="500">
        <v>45414.4562526667</v>
      </c>
      <c r="AB88" s="508">
        <f t="shared" ref="AB88:AB89" si="85">Z88-AA88</f>
        <v>-11588.46969</v>
      </c>
      <c r="AC88" s="179" t="s">
        <v>169</v>
      </c>
      <c r="AD88" s="179"/>
      <c r="AE88" s="179"/>
    </row>
    <row r="89" spans="1:31" ht="18.75">
      <c r="A89" s="497"/>
      <c r="B89" s="9" t="s">
        <v>171</v>
      </c>
      <c r="C89" s="423">
        <v>254870.26344499999</v>
      </c>
      <c r="D89" s="422">
        <v>12</v>
      </c>
      <c r="E89" s="423">
        <f t="shared" si="84"/>
        <v>3058443.1613400001</v>
      </c>
      <c r="F89" s="423"/>
      <c r="G89" s="426"/>
      <c r="H89" s="426"/>
      <c r="I89" s="423">
        <f t="shared" si="68"/>
        <v>3058443.1613400001</v>
      </c>
      <c r="J89" s="423">
        <v>200000</v>
      </c>
      <c r="K89" s="423">
        <v>0.2</v>
      </c>
      <c r="L89" s="423">
        <f t="shared" si="69"/>
        <v>611688.63226800004</v>
      </c>
      <c r="M89" s="423">
        <f t="shared" si="70"/>
        <v>811688.63226800004</v>
      </c>
      <c r="N89" s="423">
        <f t="shared" si="71"/>
        <v>811688.63226800004</v>
      </c>
      <c r="O89" s="423">
        <f t="shared" si="72"/>
        <v>2246754.5290720002</v>
      </c>
      <c r="P89" s="423">
        <f t="shared" si="73"/>
        <v>21000</v>
      </c>
      <c r="Q89" s="423">
        <f t="shared" si="74"/>
        <v>33000</v>
      </c>
      <c r="R89" s="423">
        <f t="shared" si="75"/>
        <v>75000</v>
      </c>
      <c r="S89" s="423">
        <f t="shared" si="76"/>
        <v>95000</v>
      </c>
      <c r="T89" s="423">
        <f t="shared" si="77"/>
        <v>135818.45110512001</v>
      </c>
      <c r="U89" s="423"/>
      <c r="V89" s="423">
        <f t="shared" si="79"/>
        <v>359818.45110512001</v>
      </c>
      <c r="W89" s="430">
        <v>12</v>
      </c>
      <c r="X89" s="423">
        <f t="shared" si="80"/>
        <v>29984.870925426701</v>
      </c>
      <c r="Y89" s="426"/>
      <c r="Z89" s="423">
        <f t="shared" si="81"/>
        <v>29984.870925426701</v>
      </c>
      <c r="AA89" s="500">
        <v>33825.986562666702</v>
      </c>
      <c r="AB89" s="508">
        <f t="shared" si="85"/>
        <v>-3841.1156372399901</v>
      </c>
      <c r="AC89" s="179" t="s">
        <v>171</v>
      </c>
      <c r="AD89" s="179"/>
      <c r="AE89" s="179"/>
    </row>
    <row r="90" spans="1:31" ht="18.75">
      <c r="A90" s="497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179"/>
      <c r="AB90" s="511">
        <f>SUM(AB80:AB89)</f>
        <v>-69172.068221240013</v>
      </c>
      <c r="AC90" s="179"/>
      <c r="AD90" s="179"/>
      <c r="AE90" s="179"/>
    </row>
    <row r="91" spans="1:31" ht="18.75">
      <c r="A91" s="497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179"/>
      <c r="AB91" s="179"/>
      <c r="AC91" s="179"/>
      <c r="AD91" s="179"/>
      <c r="AE91" s="179"/>
    </row>
    <row r="92" spans="1:31" ht="18.75">
      <c r="A92" s="497">
        <v>78</v>
      </c>
      <c r="B92" s="18" t="s">
        <v>174</v>
      </c>
      <c r="C92" s="423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3" customFormat="1" ht="37.5">
      <c r="A93" s="501">
        <v>79</v>
      </c>
      <c r="B93" s="12" t="s">
        <v>175</v>
      </c>
      <c r="C93" s="423">
        <v>541465.02474999998</v>
      </c>
      <c r="D93" s="422">
        <v>12</v>
      </c>
      <c r="E93" s="423">
        <f>C93*D93</f>
        <v>6497580.2970000003</v>
      </c>
      <c r="F93" s="423">
        <f>'[6]JANUARY 2024'!$V$98*12</f>
        <v>12795.951000000001</v>
      </c>
      <c r="G93" s="426"/>
      <c r="H93" s="426"/>
      <c r="I93" s="423">
        <f>E93-F93-G93-H93</f>
        <v>6484784.3459999999</v>
      </c>
      <c r="J93" s="423">
        <v>200000</v>
      </c>
      <c r="K93" s="423">
        <v>0.2</v>
      </c>
      <c r="L93" s="423">
        <f>I93*K93</f>
        <v>1296956.8692000001</v>
      </c>
      <c r="M93" s="423">
        <f>J93+L93</f>
        <v>1496956.8692000001</v>
      </c>
      <c r="N93" s="423">
        <f>F93+G93+H93+M93</f>
        <v>1509752.8202</v>
      </c>
      <c r="O93" s="423">
        <f>E93-N93</f>
        <v>4987827.4768000003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429078.59443200007</v>
      </c>
      <c r="V93" s="423">
        <f>P93+Q93+R93+S93+T93+U93</f>
        <v>989078.59443200007</v>
      </c>
      <c r="W93" s="430">
        <v>12</v>
      </c>
      <c r="X93" s="423">
        <f>V93/W93</f>
        <v>82423.216202666677</v>
      </c>
      <c r="Y93" s="426"/>
      <c r="Z93" s="423">
        <f>X93</f>
        <v>82423.216202666677</v>
      </c>
      <c r="AA93" s="179">
        <v>82423.216202666707</v>
      </c>
      <c r="AB93" s="508">
        <f>Z93-AA93</f>
        <v>0</v>
      </c>
      <c r="AC93" s="509" t="s">
        <v>175</v>
      </c>
      <c r="AD93" s="509"/>
      <c r="AE93" s="509"/>
    </row>
    <row r="94" spans="1:31" ht="18.75">
      <c r="A94" s="497">
        <v>80</v>
      </c>
      <c r="B94" s="9" t="s">
        <v>178</v>
      </c>
      <c r="C94" s="423">
        <v>335272.06374999997</v>
      </c>
      <c r="D94" s="422">
        <v>12</v>
      </c>
      <c r="E94" s="423">
        <f t="shared" ref="E94:E96" si="86">C94*D94</f>
        <v>4023264.7650000001</v>
      </c>
      <c r="F94" s="423"/>
      <c r="G94" s="426"/>
      <c r="H94" s="426"/>
      <c r="I94" s="423">
        <f>E94-F94-G94-H94</f>
        <v>4023264.7650000001</v>
      </c>
      <c r="J94" s="423">
        <v>200000</v>
      </c>
      <c r="K94" s="423">
        <v>0.2</v>
      </c>
      <c r="L94" s="423">
        <f>I94*K94</f>
        <v>804652.95299999998</v>
      </c>
      <c r="M94" s="423">
        <f>J94+L94</f>
        <v>1004652.953</v>
      </c>
      <c r="N94" s="423">
        <f>F94+G94+H94+M94</f>
        <v>1004652.953</v>
      </c>
      <c r="O94" s="423">
        <f>E94-N94</f>
        <v>3018611.8119999999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297908.48051999998</v>
      </c>
      <c r="U94" s="423"/>
      <c r="V94" s="423">
        <f>P94+Q94+R94+S94+T94+U94</f>
        <v>521908.48051999998</v>
      </c>
      <c r="W94" s="430">
        <v>12</v>
      </c>
      <c r="X94" s="423">
        <f>V94/W94</f>
        <v>43492.373376666699</v>
      </c>
      <c r="Y94" s="426"/>
      <c r="Z94" s="423">
        <f>X94</f>
        <v>43492.373376666699</v>
      </c>
      <c r="AA94" s="509">
        <v>82627.951418666693</v>
      </c>
      <c r="AB94" s="508">
        <f t="shared" ref="AB94:AB96" si="87">Z94-AA94</f>
        <v>-39135.578042000001</v>
      </c>
      <c r="AC94" s="179" t="s">
        <v>178</v>
      </c>
      <c r="AD94" s="179"/>
      <c r="AE94" s="179"/>
    </row>
    <row r="95" spans="1:31" ht="37.5">
      <c r="A95" s="497">
        <v>81</v>
      </c>
      <c r="B95" s="9" t="s">
        <v>182</v>
      </c>
      <c r="C95" s="423">
        <v>284536.99849999999</v>
      </c>
      <c r="D95" s="422">
        <v>12</v>
      </c>
      <c r="E95" s="423">
        <f t="shared" si="86"/>
        <v>3414443.9819999998</v>
      </c>
      <c r="F95" s="423"/>
      <c r="G95" s="426"/>
      <c r="H95" s="426"/>
      <c r="I95" s="423">
        <f>E95-F95-G95-H95</f>
        <v>3414443.9819999998</v>
      </c>
      <c r="J95" s="423">
        <v>200000</v>
      </c>
      <c r="K95" s="423">
        <v>0.2</v>
      </c>
      <c r="L95" s="423">
        <f>I95*K95</f>
        <v>682888.79639999999</v>
      </c>
      <c r="M95" s="423">
        <f>J95+L95</f>
        <v>882888.79639999999</v>
      </c>
      <c r="N95" s="423">
        <f>F95+G95+H95+M95</f>
        <v>882888.79639999999</v>
      </c>
      <c r="O95" s="423">
        <f>E95-N95</f>
        <v>2531555.1856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195626.588976</v>
      </c>
      <c r="U95" s="423"/>
      <c r="V95" s="423">
        <f>P95+Q95+R95+S95+T95+U95</f>
        <v>419626.58897600003</v>
      </c>
      <c r="W95" s="430">
        <v>12</v>
      </c>
      <c r="X95" s="423">
        <f>V95/W95</f>
        <v>34968.882414666703</v>
      </c>
      <c r="Y95" s="426"/>
      <c r="Z95" s="423">
        <f>X95</f>
        <v>34968.882414666703</v>
      </c>
      <c r="AA95" s="179">
        <v>43492.373376666699</v>
      </c>
      <c r="AB95" s="508">
        <f t="shared" si="87"/>
        <v>-8523.4909619999999</v>
      </c>
      <c r="AC95" s="179" t="s">
        <v>182</v>
      </c>
      <c r="AD95" s="179"/>
      <c r="AE95" s="179"/>
    </row>
    <row r="96" spans="1:31" ht="18.75">
      <c r="A96" s="497"/>
      <c r="B96" s="9" t="s">
        <v>184</v>
      </c>
      <c r="C96" s="423">
        <v>237734.04699999999</v>
      </c>
      <c r="D96" s="422">
        <v>12</v>
      </c>
      <c r="E96" s="423">
        <f t="shared" si="86"/>
        <v>2852808.5639999998</v>
      </c>
      <c r="F96" s="423"/>
      <c r="G96" s="426"/>
      <c r="H96" s="426"/>
      <c r="I96" s="423">
        <f>E96-F96-G96-H96</f>
        <v>2852808.5639999998</v>
      </c>
      <c r="J96" s="423">
        <v>200000</v>
      </c>
      <c r="K96" s="423">
        <v>0.2</v>
      </c>
      <c r="L96" s="423">
        <f>I96*K96</f>
        <v>570561.71279999998</v>
      </c>
      <c r="M96" s="423">
        <f>J96+L96</f>
        <v>770561.71279999998</v>
      </c>
      <c r="N96" s="423">
        <f>F96+G96+H96+M96</f>
        <v>770561.71279999998</v>
      </c>
      <c r="O96" s="423">
        <f>E96-N96</f>
        <v>2082246.8511999999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101271.838752</v>
      </c>
      <c r="U96" s="423"/>
      <c r="V96" s="423">
        <f>P96+Q96+R96+S96+T96+U96</f>
        <v>325271.83875200001</v>
      </c>
      <c r="W96" s="430">
        <v>12</v>
      </c>
      <c r="X96" s="423">
        <f>V96/W96</f>
        <v>27105.986562666702</v>
      </c>
      <c r="Y96" s="426"/>
      <c r="Z96" s="423">
        <f>X96</f>
        <v>27105.986562666702</v>
      </c>
      <c r="AA96" s="179">
        <v>34968.882414666703</v>
      </c>
      <c r="AB96" s="508">
        <f t="shared" si="87"/>
        <v>-7862.8958520000097</v>
      </c>
      <c r="AC96" s="179" t="s">
        <v>184</v>
      </c>
      <c r="AD96" s="179"/>
      <c r="AE96" s="179"/>
    </row>
    <row r="97" spans="1:31" ht="18.75">
      <c r="A97" s="497"/>
      <c r="B97" s="18" t="s">
        <v>96</v>
      </c>
      <c r="C97" s="423"/>
      <c r="D97" s="422"/>
      <c r="E97" s="423"/>
      <c r="F97" s="423"/>
      <c r="G97" s="426"/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179"/>
      <c r="AB97" s="511">
        <f>SUM(AB93:AB96)</f>
        <v>-55521.964856000013</v>
      </c>
      <c r="AC97" s="179"/>
      <c r="AD97" s="179"/>
      <c r="AE97" s="179"/>
    </row>
    <row r="98" spans="1:31" ht="18.75">
      <c r="A98" s="497">
        <v>83</v>
      </c>
      <c r="B98" s="20"/>
      <c r="C98" s="423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7">
        <v>84</v>
      </c>
      <c r="B99" s="18" t="s">
        <v>186</v>
      </c>
      <c r="C99" s="423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516</v>
      </c>
      <c r="AC99" s="179"/>
      <c r="AD99" s="179"/>
      <c r="AE99" s="179"/>
    </row>
    <row r="100" spans="1:31" ht="18.75">
      <c r="A100" s="497">
        <v>85</v>
      </c>
      <c r="B100" s="9" t="s">
        <v>187</v>
      </c>
      <c r="C100" s="423">
        <v>1050209.0634999999</v>
      </c>
      <c r="D100" s="422">
        <v>12</v>
      </c>
      <c r="E100" s="423">
        <f>C100*D100</f>
        <v>12602508.762</v>
      </c>
      <c r="F100" s="423"/>
      <c r="G100" s="426"/>
      <c r="H100" s="426"/>
      <c r="I100" s="423">
        <f t="shared" ref="I100:I105" si="88">E100-F100-G100-H100</f>
        <v>12602508.762</v>
      </c>
      <c r="J100" s="423">
        <v>200000</v>
      </c>
      <c r="K100" s="423">
        <v>0.2</v>
      </c>
      <c r="L100" s="423">
        <f t="shared" ref="L100:L106" si="89">I100*K100</f>
        <v>2520501.7524000001</v>
      </c>
      <c r="M100" s="423">
        <f t="shared" ref="M100:M106" si="90">J100+L100</f>
        <v>2720501.7524000001</v>
      </c>
      <c r="N100" s="423">
        <f t="shared" ref="N100:N105" si="91">F100+G100+H100+M100</f>
        <v>2720501.7524000001</v>
      </c>
      <c r="O100" s="423">
        <f t="shared" ref="O100:O106" si="92">E100-N100</f>
        <v>9882007.0096000005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1603681.682304</v>
      </c>
      <c r="V100" s="423">
        <f t="shared" ref="V100:V106" si="98">P100+Q100+R100+S100+T100+U100</f>
        <v>2163681.682304</v>
      </c>
      <c r="W100" s="430">
        <v>12</v>
      </c>
      <c r="X100" s="423">
        <f t="shared" ref="X100:X106" si="99">V100/W100</f>
        <v>180306.806858667</v>
      </c>
      <c r="Y100" s="426"/>
      <c r="Z100" s="423">
        <f t="shared" ref="Z100:Z106" si="100">X100</f>
        <v>180306.806858667</v>
      </c>
      <c r="AA100" s="179">
        <v>180306.806858667</v>
      </c>
      <c r="AB100" s="508">
        <f>Z100-AA100</f>
        <v>0</v>
      </c>
      <c r="AC100" s="179" t="s">
        <v>187</v>
      </c>
      <c r="AD100" s="179"/>
      <c r="AE100" s="179"/>
    </row>
    <row r="101" spans="1:31" ht="18.75">
      <c r="A101" s="497">
        <v>86</v>
      </c>
      <c r="B101" s="9" t="s">
        <v>189</v>
      </c>
      <c r="C101" s="423">
        <v>631465.02474999998</v>
      </c>
      <c r="D101" s="422">
        <v>12</v>
      </c>
      <c r="E101" s="423">
        <f t="shared" ref="E101:E106" si="101">C101*D101</f>
        <v>7577580.2970000003</v>
      </c>
      <c r="F101" s="423">
        <f>'[6]JANUARY 2024'!$V$106*12</f>
        <v>12795.951000000001</v>
      </c>
      <c r="G101" s="426"/>
      <c r="H101" s="426"/>
      <c r="I101" s="423">
        <f t="shared" si="88"/>
        <v>7564784.3459999999</v>
      </c>
      <c r="J101" s="423">
        <v>200000</v>
      </c>
      <c r="K101" s="423">
        <v>0.2</v>
      </c>
      <c r="L101" s="423">
        <f t="shared" si="89"/>
        <v>1512956.8692000001</v>
      </c>
      <c r="M101" s="423">
        <f t="shared" si="90"/>
        <v>1712956.8692000001</v>
      </c>
      <c r="N101" s="423">
        <f t="shared" si="91"/>
        <v>1725752.8202</v>
      </c>
      <c r="O101" s="423">
        <f t="shared" si="92"/>
        <v>5851827.4768000003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636438.59443200007</v>
      </c>
      <c r="V101" s="423">
        <f t="shared" si="98"/>
        <v>1196438.5944320001</v>
      </c>
      <c r="W101" s="430">
        <v>12</v>
      </c>
      <c r="X101" s="423">
        <f t="shared" si="99"/>
        <v>99703.216202666677</v>
      </c>
      <c r="Y101" s="426"/>
      <c r="Z101" s="423">
        <f t="shared" si="100"/>
        <v>99703.216202666677</v>
      </c>
      <c r="AA101" s="179">
        <v>99703.216202666707</v>
      </c>
      <c r="AB101" s="508">
        <f t="shared" ref="AB101:AB106" si="102">Z101-AA101</f>
        <v>0</v>
      </c>
      <c r="AC101" s="179" t="s">
        <v>189</v>
      </c>
      <c r="AD101" s="179"/>
      <c r="AE101" s="179"/>
    </row>
    <row r="102" spans="1:31" ht="18.75">
      <c r="A102" s="497">
        <v>87</v>
      </c>
      <c r="B102" s="9" t="s">
        <v>192</v>
      </c>
      <c r="C102" s="423">
        <v>418096.01602500002</v>
      </c>
      <c r="D102" s="422">
        <v>12</v>
      </c>
      <c r="E102" s="423">
        <f t="shared" si="101"/>
        <v>5017152.1923000002</v>
      </c>
      <c r="F102" s="423">
        <f>'[6]JANUARY 2024'!$V$107*12</f>
        <v>7901.7899999999991</v>
      </c>
      <c r="G102" s="426"/>
      <c r="H102" s="426"/>
      <c r="I102" s="423">
        <f t="shared" si="88"/>
        <v>5009250.4023000002</v>
      </c>
      <c r="J102" s="423">
        <v>200000</v>
      </c>
      <c r="K102" s="423">
        <v>0.2</v>
      </c>
      <c r="L102" s="423">
        <f t="shared" si="89"/>
        <v>1001850.0804600001</v>
      </c>
      <c r="M102" s="423">
        <f t="shared" si="90"/>
        <v>1201850.0804600001</v>
      </c>
      <c r="N102" s="423">
        <f t="shared" si="91"/>
        <v>1209751.8704600001</v>
      </c>
      <c r="O102" s="423">
        <f t="shared" si="92"/>
        <v>3807400.3218400003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145776.07724160008</v>
      </c>
      <c r="V102" s="423">
        <f t="shared" si="98"/>
        <v>705776.07724160003</v>
      </c>
      <c r="W102" s="430">
        <v>12</v>
      </c>
      <c r="X102" s="423">
        <f t="shared" si="99"/>
        <v>58814.673103466666</v>
      </c>
      <c r="Y102" s="426"/>
      <c r="Z102" s="423">
        <f t="shared" si="100"/>
        <v>58814.673103466666</v>
      </c>
      <c r="AA102" s="179">
        <v>180180.378218667</v>
      </c>
      <c r="AB102" s="508">
        <f t="shared" si="102"/>
        <v>-121365.70511520034</v>
      </c>
      <c r="AC102" s="179" t="s">
        <v>192</v>
      </c>
      <c r="AD102" s="179"/>
      <c r="AE102" s="179"/>
    </row>
    <row r="103" spans="1:31" ht="18.75">
      <c r="A103" s="497">
        <v>88</v>
      </c>
      <c r="B103" s="9" t="s">
        <v>195</v>
      </c>
      <c r="C103" s="423">
        <v>416483.19415499998</v>
      </c>
      <c r="D103" s="422">
        <v>12</v>
      </c>
      <c r="E103" s="423">
        <f t="shared" si="101"/>
        <v>4997798.3298599999</v>
      </c>
      <c r="F103" s="423"/>
      <c r="G103" s="426"/>
      <c r="H103" s="426"/>
      <c r="I103" s="423">
        <f t="shared" si="88"/>
        <v>4997798.3298599999</v>
      </c>
      <c r="J103" s="423">
        <v>200000</v>
      </c>
      <c r="K103" s="423">
        <v>0.2</v>
      </c>
      <c r="L103" s="423">
        <f t="shared" si="89"/>
        <v>999559.66597199999</v>
      </c>
      <c r="M103" s="423">
        <f t="shared" si="90"/>
        <v>1199559.665972</v>
      </c>
      <c r="N103" s="423">
        <f t="shared" si="91"/>
        <v>1199559.665972</v>
      </c>
      <c r="O103" s="423">
        <f t="shared" si="92"/>
        <v>3798238.663888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143577.27933312001</v>
      </c>
      <c r="V103" s="423">
        <f t="shared" si="98"/>
        <v>703577.27933311998</v>
      </c>
      <c r="W103" s="430">
        <v>12</v>
      </c>
      <c r="X103" s="423">
        <f t="shared" si="99"/>
        <v>58631.439944426696</v>
      </c>
      <c r="Y103" s="426"/>
      <c r="Z103" s="423">
        <f t="shared" si="100"/>
        <v>58631.439944426696</v>
      </c>
      <c r="AA103" s="179">
        <v>99907.951418666693</v>
      </c>
      <c r="AB103" s="508">
        <f t="shared" si="102"/>
        <v>-41276.511474239996</v>
      </c>
      <c r="AC103" s="179" t="s">
        <v>195</v>
      </c>
      <c r="AD103" s="179"/>
      <c r="AE103" s="179"/>
    </row>
    <row r="104" spans="1:31" ht="18.75">
      <c r="A104" s="497">
        <v>89</v>
      </c>
      <c r="B104" s="9" t="s">
        <v>196</v>
      </c>
      <c r="C104" s="423">
        <v>266099.21747999999</v>
      </c>
      <c r="D104" s="422">
        <v>12</v>
      </c>
      <c r="E104" s="423">
        <f t="shared" si="101"/>
        <v>3193190.6097599999</v>
      </c>
      <c r="F104" s="423"/>
      <c r="G104" s="426"/>
      <c r="H104" s="426"/>
      <c r="I104" s="423">
        <f t="shared" si="88"/>
        <v>3193190.6097599999</v>
      </c>
      <c r="J104" s="423">
        <v>200000</v>
      </c>
      <c r="K104" s="423">
        <v>0.2</v>
      </c>
      <c r="L104" s="423">
        <f t="shared" si="89"/>
        <v>638638.12195199996</v>
      </c>
      <c r="M104" s="423">
        <f t="shared" si="90"/>
        <v>838638.12195199996</v>
      </c>
      <c r="N104" s="423">
        <f t="shared" si="91"/>
        <v>838638.12195199996</v>
      </c>
      <c r="O104" s="423">
        <f t="shared" si="92"/>
        <v>2354552.4878079998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158456.02243968</v>
      </c>
      <c r="U104" s="423"/>
      <c r="V104" s="423">
        <f t="shared" si="98"/>
        <v>382456.02243968</v>
      </c>
      <c r="W104" s="430">
        <v>12</v>
      </c>
      <c r="X104" s="423">
        <f t="shared" si="99"/>
        <v>31871.335203306699</v>
      </c>
      <c r="Y104" s="426"/>
      <c r="Z104" s="423">
        <f t="shared" si="100"/>
        <v>31871.335203306699</v>
      </c>
      <c r="AA104" s="179">
        <v>58941.101743466701</v>
      </c>
      <c r="AB104" s="508">
        <f t="shared" si="102"/>
        <v>-27069.766540159999</v>
      </c>
      <c r="AC104" s="179" t="s">
        <v>196</v>
      </c>
      <c r="AD104" s="179"/>
      <c r="AE104" s="179"/>
    </row>
    <row r="105" spans="1:31" ht="37.5">
      <c r="A105" s="497"/>
      <c r="B105" s="16" t="s">
        <v>199</v>
      </c>
      <c r="C105" s="423">
        <v>262229.04100000003</v>
      </c>
      <c r="D105" s="422">
        <v>12</v>
      </c>
      <c r="E105" s="423">
        <f t="shared" si="101"/>
        <v>3146748.4920000001</v>
      </c>
      <c r="F105" s="423"/>
      <c r="G105" s="426"/>
      <c r="H105" s="426"/>
      <c r="I105" s="423">
        <f t="shared" si="88"/>
        <v>3146748.4920000001</v>
      </c>
      <c r="J105" s="423">
        <v>200000</v>
      </c>
      <c r="K105" s="423">
        <v>0.2</v>
      </c>
      <c r="L105" s="423">
        <f t="shared" si="89"/>
        <v>629349.69839999999</v>
      </c>
      <c r="M105" s="423">
        <f t="shared" si="90"/>
        <v>829349.69839999999</v>
      </c>
      <c r="N105" s="423">
        <f t="shared" si="91"/>
        <v>829349.69839999999</v>
      </c>
      <c r="O105" s="423">
        <f t="shared" si="92"/>
        <v>2317398.7936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150653.746656</v>
      </c>
      <c r="U105" s="423"/>
      <c r="V105" s="423">
        <f t="shared" si="98"/>
        <v>374653.74665599997</v>
      </c>
      <c r="W105" s="430">
        <v>12</v>
      </c>
      <c r="X105" s="423">
        <f t="shared" si="99"/>
        <v>31221.145554666698</v>
      </c>
      <c r="Y105" s="426"/>
      <c r="Z105" s="423">
        <f t="shared" si="100"/>
        <v>31221.145554666698</v>
      </c>
      <c r="AA105" s="179">
        <v>58631.439944426696</v>
      </c>
      <c r="AB105" s="508">
        <f t="shared" si="102"/>
        <v>-27410.294389760002</v>
      </c>
      <c r="AC105" s="179" t="s">
        <v>199</v>
      </c>
      <c r="AD105" s="179"/>
      <c r="AE105" s="179"/>
    </row>
    <row r="106" spans="1:31" ht="18.75">
      <c r="A106" s="497"/>
      <c r="B106" s="16" t="s">
        <v>201</v>
      </c>
      <c r="C106" s="423">
        <v>254870.26344499999</v>
      </c>
      <c r="D106" s="422">
        <v>12</v>
      </c>
      <c r="E106" s="423">
        <f t="shared" si="101"/>
        <v>3058443.1613400001</v>
      </c>
      <c r="F106" s="258"/>
      <c r="G106" s="426"/>
      <c r="H106" s="426"/>
      <c r="I106" s="423">
        <f>E106-F107-G106-H106</f>
        <v>3058443.1613400001</v>
      </c>
      <c r="J106" s="423">
        <v>200000</v>
      </c>
      <c r="K106" s="423">
        <v>0.2</v>
      </c>
      <c r="L106" s="423">
        <f t="shared" si="89"/>
        <v>611688.63226800004</v>
      </c>
      <c r="M106" s="423">
        <f t="shared" si="90"/>
        <v>811688.63226800004</v>
      </c>
      <c r="N106" s="423">
        <f>F107+G106+H106+M106</f>
        <v>811688.63226800004</v>
      </c>
      <c r="O106" s="423">
        <f t="shared" si="92"/>
        <v>2246754.5290720002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135818.45110512001</v>
      </c>
      <c r="U106" s="423"/>
      <c r="V106" s="423">
        <f t="shared" si="98"/>
        <v>359818.45110512001</v>
      </c>
      <c r="W106" s="430">
        <v>12</v>
      </c>
      <c r="X106" s="423">
        <f t="shared" si="99"/>
        <v>29984.870925426701</v>
      </c>
      <c r="Y106" s="426"/>
      <c r="Z106" s="423">
        <f t="shared" si="100"/>
        <v>29984.870925426701</v>
      </c>
      <c r="AA106" s="179">
        <v>31871.335203306699</v>
      </c>
      <c r="AB106" s="508">
        <f t="shared" si="102"/>
        <v>-1886.46427787999</v>
      </c>
      <c r="AC106" s="179" t="s">
        <v>201</v>
      </c>
      <c r="AD106" s="179"/>
      <c r="AE106" s="179"/>
    </row>
    <row r="107" spans="1:31" ht="18.75">
      <c r="A107" s="497"/>
      <c r="B107" s="18" t="s">
        <v>96</v>
      </c>
      <c r="C107" s="423"/>
      <c r="D107" s="422"/>
      <c r="E107" s="423"/>
      <c r="F107" s="423"/>
      <c r="G107" s="426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179"/>
      <c r="AB107" s="511">
        <f>SUM(AB100:AB106)</f>
        <v>-219008.74179724033</v>
      </c>
      <c r="AC107" s="179"/>
      <c r="AD107" s="179"/>
      <c r="AE107" s="179"/>
    </row>
    <row r="108" spans="1:31" ht="18.75">
      <c r="A108" s="497">
        <v>90</v>
      </c>
      <c r="B108" s="18"/>
      <c r="C108" s="423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3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7">
        <v>91</v>
      </c>
      <c r="B109" s="18" t="s">
        <v>202</v>
      </c>
      <c r="C109" s="423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3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7">
        <v>92</v>
      </c>
      <c r="B110" s="12" t="s">
        <v>203</v>
      </c>
      <c r="C110" s="423">
        <v>516137.05</v>
      </c>
      <c r="D110" s="422">
        <v>12</v>
      </c>
      <c r="E110" s="423">
        <f>C110*D110</f>
        <v>6193644.5999999996</v>
      </c>
      <c r="F110" s="423">
        <f>'[6]JANUARY 2024'!$V$115*12</f>
        <v>9678.9600000000009</v>
      </c>
      <c r="G110" s="426"/>
      <c r="H110" s="426"/>
      <c r="I110" s="423">
        <f>E110-F110-G110-H110</f>
        <v>6183965.6399999997</v>
      </c>
      <c r="J110" s="423">
        <v>200000</v>
      </c>
      <c r="K110" s="423">
        <v>0.2</v>
      </c>
      <c r="L110" s="423">
        <f>I110*K110</f>
        <v>1236793.128</v>
      </c>
      <c r="M110" s="423">
        <f>J110+L110</f>
        <v>1436793.128</v>
      </c>
      <c r="N110" s="423">
        <f>F110+G110+H110+M110</f>
        <v>1446472.088</v>
      </c>
      <c r="O110" s="423">
        <f>E110-N110</f>
        <v>4747172.5120000001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31" si="103">0.24*(O110-3200000)</f>
        <v>371321.40288000001</v>
      </c>
      <c r="V110" s="423">
        <f>P110+Q110+R110+S110+T110+U110</f>
        <v>931321.40287999995</v>
      </c>
      <c r="W110" s="430">
        <v>12</v>
      </c>
      <c r="X110" s="423">
        <f>V110/W110</f>
        <v>77610.116906666663</v>
      </c>
      <c r="Y110" s="426"/>
      <c r="Z110" s="423">
        <f>X110</f>
        <v>77610.116906666663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7">
        <v>93</v>
      </c>
      <c r="B111" s="9" t="s">
        <v>204</v>
      </c>
      <c r="C111" s="423">
        <v>334536.99849999999</v>
      </c>
      <c r="D111" s="422">
        <v>12</v>
      </c>
      <c r="E111" s="423">
        <f t="shared" ref="E111:E112" si="104">C111*D111</f>
        <v>4014443.9819999998</v>
      </c>
      <c r="F111" s="423"/>
      <c r="G111" s="426"/>
      <c r="H111" s="426"/>
      <c r="I111" s="423">
        <f>E111-F111-G111-H111</f>
        <v>4014443.9819999998</v>
      </c>
      <c r="J111" s="423">
        <v>200000</v>
      </c>
      <c r="K111" s="423">
        <v>0.2</v>
      </c>
      <c r="L111" s="423">
        <f>I111*K111</f>
        <v>802888.79639999999</v>
      </c>
      <c r="M111" s="423">
        <f>J111+L111</f>
        <v>1002888.7964</v>
      </c>
      <c r="N111" s="423">
        <f>F111+G111+H111+M111</f>
        <v>1002888.7964</v>
      </c>
      <c r="O111" s="423">
        <f>E111-N111</f>
        <v>3011555.1856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296426.58897600003</v>
      </c>
      <c r="U111" s="423"/>
      <c r="V111" s="423">
        <f>P111+Q111+R111+S111+T111+U111</f>
        <v>520426.58897600003</v>
      </c>
      <c r="W111" s="430">
        <v>12</v>
      </c>
      <c r="X111" s="423">
        <f>V111/W111</f>
        <v>43368.882414666703</v>
      </c>
      <c r="Y111" s="426"/>
      <c r="Z111" s="423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7">
        <v>94</v>
      </c>
      <c r="B112" s="9" t="s">
        <v>206</v>
      </c>
      <c r="C112" s="429">
        <v>286619.99875000003</v>
      </c>
      <c r="D112" s="422">
        <v>12</v>
      </c>
      <c r="E112" s="423">
        <f t="shared" si="104"/>
        <v>3439439.9849999999</v>
      </c>
      <c r="F112" s="423">
        <f>'[6]JANUARY 2024'!$V$117*12</f>
        <v>6919.4549999999999</v>
      </c>
      <c r="G112" s="426"/>
      <c r="H112" s="426"/>
      <c r="I112" s="423">
        <f>E112-F112-G112-H112</f>
        <v>3432520.53</v>
      </c>
      <c r="J112" s="423">
        <v>200000</v>
      </c>
      <c r="K112" s="423">
        <v>0.2</v>
      </c>
      <c r="L112" s="423">
        <f>I112*K112</f>
        <v>686504.10600000003</v>
      </c>
      <c r="M112" s="423">
        <f>J112+L112</f>
        <v>886504.10600000003</v>
      </c>
      <c r="N112" s="423">
        <f>F112+G112+H112+M112</f>
        <v>893423.56099999999</v>
      </c>
      <c r="O112" s="423">
        <f>E112-N112</f>
        <v>2546016.4239999996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198663.44903999992</v>
      </c>
      <c r="U112" s="423"/>
      <c r="V112" s="423">
        <f>P112+Q112+R112+S112+T112+U112</f>
        <v>422663.44903999992</v>
      </c>
      <c r="W112" s="430">
        <v>12</v>
      </c>
      <c r="X112" s="423">
        <f>V112/W112</f>
        <v>35221.954086666658</v>
      </c>
      <c r="Y112" s="426"/>
      <c r="Z112" s="423">
        <f>X112</f>
        <v>35221.954086666658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3" customFormat="1" ht="18.75">
      <c r="A113" s="501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179"/>
      <c r="AC113" s="509"/>
      <c r="AD113" s="509"/>
      <c r="AE113" s="509"/>
    </row>
    <row r="114" spans="1:31" s="493" customFormat="1" ht="18.75">
      <c r="A114" s="501">
        <v>96</v>
      </c>
      <c r="B114" s="20"/>
      <c r="C114" s="423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3"/>
      <c r="V114" s="258"/>
      <c r="W114" s="258"/>
      <c r="X114" s="258"/>
      <c r="Y114" s="258"/>
      <c r="Z114" s="258"/>
      <c r="AA114" s="258"/>
      <c r="AC114" s="509"/>
      <c r="AD114" s="509"/>
      <c r="AE114" s="509"/>
    </row>
    <row r="115" spans="1:31" ht="18.75">
      <c r="A115" s="497">
        <v>97</v>
      </c>
      <c r="B115" s="18" t="s">
        <v>215</v>
      </c>
      <c r="C115" s="423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3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7">
        <v>98</v>
      </c>
      <c r="B116" s="9" t="s">
        <v>216</v>
      </c>
      <c r="C116" s="423">
        <v>1050209.0634999999</v>
      </c>
      <c r="D116" s="422">
        <v>12</v>
      </c>
      <c r="E116" s="423">
        <f>C116*D116</f>
        <v>12602508.762</v>
      </c>
      <c r="F116" s="423">
        <f>2043.5005*12</f>
        <v>24522.006000000001</v>
      </c>
      <c r="G116" s="426"/>
      <c r="H116" s="426"/>
      <c r="I116" s="423">
        <f>E116-F116-G116-H116</f>
        <v>12577986.755999999</v>
      </c>
      <c r="J116" s="423">
        <v>200000</v>
      </c>
      <c r="K116" s="423">
        <v>0.2</v>
      </c>
      <c r="L116" s="423">
        <f>I116*K116</f>
        <v>2515597.3511999999</v>
      </c>
      <c r="M116" s="423">
        <f>J116+L116</f>
        <v>2715597.3511999999</v>
      </c>
      <c r="N116" s="423">
        <f>F116+G116+H116+M116</f>
        <v>2740119.3572</v>
      </c>
      <c r="O116" s="423">
        <f>E116-N116</f>
        <v>9862389.4047999997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1598973.4571519999</v>
      </c>
      <c r="V116" s="423">
        <f>P116+Q116+R116+S116+T116+U116</f>
        <v>2158973.4571520002</v>
      </c>
      <c r="W116" s="430">
        <v>12</v>
      </c>
      <c r="X116" s="423">
        <f>V116/W116</f>
        <v>179914.45476266701</v>
      </c>
      <c r="Y116" s="426"/>
      <c r="Z116" s="423">
        <f>X116</f>
        <v>179914.45476266701</v>
      </c>
      <c r="AA116" s="435">
        <v>179914.45476266701</v>
      </c>
      <c r="AB116" s="509">
        <f>Z116-AA116</f>
        <v>0</v>
      </c>
      <c r="AC116" s="179"/>
      <c r="AD116" s="179"/>
      <c r="AE116" s="179"/>
    </row>
    <row r="117" spans="1:31" ht="18.75">
      <c r="A117" s="497">
        <v>99</v>
      </c>
      <c r="B117" s="9" t="s">
        <v>218</v>
      </c>
      <c r="C117" s="423">
        <v>627743.99575</v>
      </c>
      <c r="D117" s="422">
        <v>12</v>
      </c>
      <c r="E117" s="423">
        <f t="shared" ref="E117:E125" si="106">C117*D117</f>
        <v>7532927.949</v>
      </c>
      <c r="F117" s="423">
        <f>1028.94225*12</f>
        <v>12347.307000000001</v>
      </c>
      <c r="G117" s="426"/>
      <c r="H117" s="426"/>
      <c r="I117" s="423">
        <f>E117-F117-G117-H117</f>
        <v>7520580.642</v>
      </c>
      <c r="J117" s="423">
        <v>200000</v>
      </c>
      <c r="K117" s="423">
        <v>0.2</v>
      </c>
      <c r="L117" s="423">
        <f>I117*K117</f>
        <v>1504116.1284</v>
      </c>
      <c r="M117" s="423">
        <f>J117+L117</f>
        <v>1704116.1284</v>
      </c>
      <c r="N117" s="423">
        <f>F117+G117+H117+M117</f>
        <v>1716463.4354000001</v>
      </c>
      <c r="O117" s="423">
        <f>E117-N117</f>
        <v>5816464.5136000002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627951.48326400004</v>
      </c>
      <c r="V117" s="423">
        <f>P117+Q117+R117+S117+T117+U117</f>
        <v>1187951.4832639999</v>
      </c>
      <c r="W117" s="430">
        <v>12</v>
      </c>
      <c r="X117" s="423">
        <f>V117/W117</f>
        <v>98995.956938666699</v>
      </c>
      <c r="Y117" s="426"/>
      <c r="Z117" s="423">
        <f>X117</f>
        <v>98995.956938666699</v>
      </c>
      <c r="AA117" s="435">
        <v>98995.956938666699</v>
      </c>
      <c r="AB117" s="509">
        <f t="shared" ref="AB117:AB125" si="107">Z117-AA117</f>
        <v>0</v>
      </c>
      <c r="AC117" s="179"/>
      <c r="AD117" s="179"/>
      <c r="AE117" s="179"/>
    </row>
    <row r="118" spans="1:31" ht="18.75">
      <c r="A118" s="497"/>
      <c r="B118" s="12" t="s">
        <v>220</v>
      </c>
      <c r="C118" s="423">
        <v>577553.50249999994</v>
      </c>
      <c r="D118" s="422">
        <v>12</v>
      </c>
      <c r="E118" s="423">
        <f t="shared" si="106"/>
        <v>6930642.0300000003</v>
      </c>
      <c r="F118" s="423">
        <f>837.6875*12</f>
        <v>10052.25</v>
      </c>
      <c r="G118" s="426"/>
      <c r="H118" s="426"/>
      <c r="I118" s="423">
        <f>E118-F118-G118-H118</f>
        <v>6920589.7800000003</v>
      </c>
      <c r="J118" s="423">
        <v>200000</v>
      </c>
      <c r="K118" s="423">
        <v>0.2</v>
      </c>
      <c r="L118" s="423">
        <f>I118*K118</f>
        <v>1384117.956</v>
      </c>
      <c r="M118" s="423">
        <f>J118+L118</f>
        <v>1584117.956</v>
      </c>
      <c r="N118" s="423">
        <f>F118+G118+H118+M118</f>
        <v>1594170.206</v>
      </c>
      <c r="O118" s="423">
        <f>E118-N118</f>
        <v>5336471.824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512753.23775999999</v>
      </c>
      <c r="V118" s="423">
        <f>P118+Q118+R118+S118+T118+U118</f>
        <v>1072753.2377599999</v>
      </c>
      <c r="W118" s="430">
        <v>12</v>
      </c>
      <c r="X118" s="423">
        <f>V118/W118</f>
        <v>89396.103146666603</v>
      </c>
      <c r="Y118" s="426"/>
      <c r="Z118" s="423">
        <f>X118</f>
        <v>89396.103146666603</v>
      </c>
      <c r="AA118" s="435">
        <v>89396.103146666603</v>
      </c>
      <c r="AB118" s="509">
        <f t="shared" si="107"/>
        <v>0</v>
      </c>
      <c r="AC118" s="179"/>
      <c r="AD118" s="179"/>
      <c r="AE118" s="179"/>
    </row>
    <row r="119" spans="1:31" ht="18.75">
      <c r="A119" s="497"/>
      <c r="B119" s="12" t="s">
        <v>521</v>
      </c>
      <c r="C119" s="423">
        <v>424729.22200000001</v>
      </c>
      <c r="D119" s="422">
        <v>12</v>
      </c>
      <c r="E119" s="423">
        <f t="shared" si="106"/>
        <v>5096750.6639999999</v>
      </c>
      <c r="F119" s="423"/>
      <c r="G119" s="426"/>
      <c r="H119" s="426"/>
      <c r="I119" s="423">
        <f>E119-F119-G119-H119</f>
        <v>5096750.6639999999</v>
      </c>
      <c r="J119" s="423">
        <v>200000</v>
      </c>
      <c r="K119" s="423">
        <v>0.2</v>
      </c>
      <c r="L119" s="423">
        <f>I119*K119</f>
        <v>1019350.1328</v>
      </c>
      <c r="M119" s="423">
        <f>J119+L119</f>
        <v>1219350.1328</v>
      </c>
      <c r="N119" s="423">
        <f>F119+G119+H119+M119</f>
        <v>1219350.1328</v>
      </c>
      <c r="O119" s="423">
        <f>E119-N119</f>
        <v>3877400.5312000001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162576.127488</v>
      </c>
      <c r="V119" s="423">
        <f>P119+Q119+R119+S119+T119+U119</f>
        <v>722576.12748799997</v>
      </c>
      <c r="W119" s="430">
        <v>12</v>
      </c>
      <c r="X119" s="423">
        <f>V119/W119</f>
        <v>60214.677290666703</v>
      </c>
      <c r="Y119" s="426"/>
      <c r="Z119" s="423">
        <f>X119</f>
        <v>60214.677290666703</v>
      </c>
      <c r="AA119" s="435">
        <v>60214.677290666703</v>
      </c>
      <c r="AB119" s="509">
        <f t="shared" si="107"/>
        <v>0</v>
      </c>
      <c r="AC119" s="179"/>
      <c r="AD119" s="179"/>
      <c r="AE119" s="179"/>
    </row>
    <row r="120" spans="1:31" ht="18.75">
      <c r="A120" s="497">
        <v>101</v>
      </c>
      <c r="B120" s="9" t="s">
        <v>222</v>
      </c>
      <c r="C120" s="423">
        <v>343333.03525000002</v>
      </c>
      <c r="D120" s="422">
        <v>12</v>
      </c>
      <c r="E120" s="423">
        <f t="shared" si="106"/>
        <v>4119996.423</v>
      </c>
      <c r="F120" s="423"/>
      <c r="G120" s="426"/>
      <c r="H120" s="426"/>
      <c r="I120" s="423">
        <f t="shared" ref="I120:I125" si="108">E120-F120-G120-H120</f>
        <v>4119996.423</v>
      </c>
      <c r="J120" s="423">
        <v>200000</v>
      </c>
      <c r="K120" s="423">
        <v>0.2</v>
      </c>
      <c r="L120" s="423">
        <f t="shared" ref="L120:L125" si="109">I120*K120</f>
        <v>823999.28460000001</v>
      </c>
      <c r="M120" s="423">
        <f t="shared" ref="M120:M125" si="110">J120+L120</f>
        <v>1023999.2846</v>
      </c>
      <c r="N120" s="423">
        <f t="shared" ref="N120:N125" si="111">F120+G120+H120+M120</f>
        <v>1023999.2846</v>
      </c>
      <c r="O120" s="423">
        <f t="shared" ref="O120:O125" si="112">E120-N120</f>
        <v>3095997.1384000001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314159.399064</v>
      </c>
      <c r="U120" s="423"/>
      <c r="V120" s="423">
        <f t="shared" ref="V120:V125" si="118">P120+Q120+R120+S120+T120+U120</f>
        <v>538159.399064</v>
      </c>
      <c r="W120" s="430">
        <v>12</v>
      </c>
      <c r="X120" s="423">
        <f t="shared" ref="X120:X125" si="119">V120/W120</f>
        <v>44846.6165886667</v>
      </c>
      <c r="Y120" s="426"/>
      <c r="Z120" s="423">
        <f t="shared" ref="Z120:Z125" si="120">X120</f>
        <v>44846.6165886667</v>
      </c>
      <c r="AA120" s="435">
        <v>44846.6165886667</v>
      </c>
      <c r="AB120" s="509">
        <f t="shared" si="107"/>
        <v>0</v>
      </c>
      <c r="AC120" s="179"/>
      <c r="AD120" s="179"/>
      <c r="AE120" s="179"/>
    </row>
    <row r="121" spans="1:31" ht="18.75">
      <c r="A121" s="497">
        <v>103</v>
      </c>
      <c r="B121" s="9" t="s">
        <v>225</v>
      </c>
      <c r="C121" s="423">
        <v>327211.36749999999</v>
      </c>
      <c r="D121" s="422">
        <v>12</v>
      </c>
      <c r="E121" s="423">
        <f t="shared" si="106"/>
        <v>3926536.41</v>
      </c>
      <c r="F121" s="429">
        <f>646.3525*12</f>
        <v>7756.23</v>
      </c>
      <c r="G121" s="426"/>
      <c r="H121" s="426"/>
      <c r="I121" s="423">
        <f t="shared" si="108"/>
        <v>3918780.18</v>
      </c>
      <c r="J121" s="423">
        <v>200000</v>
      </c>
      <c r="K121" s="423">
        <v>0.2</v>
      </c>
      <c r="L121" s="423">
        <f t="shared" si="109"/>
        <v>783756.03599999996</v>
      </c>
      <c r="M121" s="423">
        <f t="shared" si="110"/>
        <v>983756.03599999996</v>
      </c>
      <c r="N121" s="423">
        <f t="shared" si="111"/>
        <v>991512.26599999995</v>
      </c>
      <c r="O121" s="423">
        <f t="shared" si="112"/>
        <v>2935024.1439999999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280355.07023999997</v>
      </c>
      <c r="U121" s="423"/>
      <c r="V121" s="423">
        <f t="shared" si="118"/>
        <v>504355.07023999997</v>
      </c>
      <c r="W121" s="430">
        <v>12</v>
      </c>
      <c r="X121" s="423">
        <f t="shared" si="119"/>
        <v>42029.589186666701</v>
      </c>
      <c r="Y121" s="426"/>
      <c r="Z121" s="423">
        <f t="shared" si="120"/>
        <v>42029.589186666701</v>
      </c>
      <c r="AA121" s="435">
        <v>42029.589186666701</v>
      </c>
      <c r="AB121" s="509">
        <f t="shared" si="107"/>
        <v>0</v>
      </c>
      <c r="AC121" s="179"/>
      <c r="AD121" s="179"/>
      <c r="AE121" s="179"/>
    </row>
    <row r="122" spans="1:31" ht="18.75">
      <c r="A122" s="497">
        <v>105</v>
      </c>
      <c r="B122" s="9" t="s">
        <v>227</v>
      </c>
      <c r="C122" s="423">
        <v>335272.06374999997</v>
      </c>
      <c r="D122" s="422">
        <v>12</v>
      </c>
      <c r="E122" s="423">
        <f t="shared" si="106"/>
        <v>4023264.7650000001</v>
      </c>
      <c r="F122" s="429">
        <f>668.31625*12</f>
        <v>8019.7950000000001</v>
      </c>
      <c r="G122" s="426"/>
      <c r="H122" s="426"/>
      <c r="I122" s="423">
        <f t="shared" si="108"/>
        <v>4015244.97</v>
      </c>
      <c r="J122" s="423">
        <v>200000</v>
      </c>
      <c r="K122" s="423">
        <v>0.2</v>
      </c>
      <c r="L122" s="423">
        <f t="shared" si="109"/>
        <v>803048.99399999995</v>
      </c>
      <c r="M122" s="423">
        <f t="shared" si="110"/>
        <v>1003048.9939999999</v>
      </c>
      <c r="N122" s="423">
        <f t="shared" si="111"/>
        <v>1011068.789</v>
      </c>
      <c r="O122" s="423">
        <f t="shared" si="112"/>
        <v>3012195.9759999998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296561.15496000001</v>
      </c>
      <c r="U122" s="423"/>
      <c r="V122" s="423">
        <f t="shared" si="118"/>
        <v>520561.15496000001</v>
      </c>
      <c r="W122" s="430">
        <v>12</v>
      </c>
      <c r="X122" s="423">
        <f t="shared" si="119"/>
        <v>43380.096246666697</v>
      </c>
      <c r="Y122" s="426"/>
      <c r="Z122" s="423">
        <f t="shared" si="120"/>
        <v>43380.096246666697</v>
      </c>
      <c r="AA122" s="435">
        <v>43380.096246666697</v>
      </c>
      <c r="AB122" s="509">
        <f t="shared" si="107"/>
        <v>0</v>
      </c>
      <c r="AC122" s="179"/>
      <c r="AD122" s="179"/>
      <c r="AE122" s="179"/>
    </row>
    <row r="123" spans="1:31" ht="18.75">
      <c r="A123" s="497">
        <v>106</v>
      </c>
      <c r="B123" s="9" t="s">
        <v>228</v>
      </c>
      <c r="C123" s="423">
        <v>213508.01</v>
      </c>
      <c r="D123" s="422">
        <v>12</v>
      </c>
      <c r="E123" s="423">
        <f t="shared" si="106"/>
        <v>2562096.12</v>
      </c>
      <c r="F123" s="423"/>
      <c r="G123" s="426"/>
      <c r="H123" s="426"/>
      <c r="I123" s="423">
        <f t="shared" si="108"/>
        <v>2562096.12</v>
      </c>
      <c r="J123" s="423">
        <v>200000</v>
      </c>
      <c r="K123" s="423">
        <v>0.2</v>
      </c>
      <c r="L123" s="423">
        <f t="shared" si="109"/>
        <v>512419.22399999999</v>
      </c>
      <c r="M123" s="423">
        <f t="shared" si="110"/>
        <v>712419.22400000005</v>
      </c>
      <c r="N123" s="423">
        <f t="shared" si="111"/>
        <v>712419.22400000005</v>
      </c>
      <c r="O123" s="423">
        <f t="shared" si="112"/>
        <v>1849676.8959999999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52432.148159999997</v>
      </c>
      <c r="U123" s="423"/>
      <c r="V123" s="423">
        <f t="shared" si="118"/>
        <v>276432.14815999998</v>
      </c>
      <c r="W123" s="430">
        <v>12</v>
      </c>
      <c r="X123" s="423">
        <f t="shared" si="119"/>
        <v>23036.012346666699</v>
      </c>
      <c r="Y123" s="426"/>
      <c r="Z123" s="423">
        <f t="shared" si="120"/>
        <v>23036.012346666699</v>
      </c>
      <c r="AA123" s="435">
        <v>23036.012346666699</v>
      </c>
      <c r="AB123" s="509">
        <f t="shared" si="107"/>
        <v>0</v>
      </c>
      <c r="AC123" s="179"/>
      <c r="AD123" s="179"/>
      <c r="AE123" s="179"/>
    </row>
    <row r="124" spans="1:31" ht="18.75">
      <c r="A124" s="497">
        <v>107</v>
      </c>
      <c r="B124" s="16" t="s">
        <v>230</v>
      </c>
      <c r="C124" s="423">
        <v>176816.1</v>
      </c>
      <c r="D124" s="422">
        <v>12</v>
      </c>
      <c r="E124" s="423">
        <f t="shared" si="106"/>
        <v>2121793.2000000002</v>
      </c>
      <c r="F124" s="423"/>
      <c r="G124" s="426"/>
      <c r="H124" s="426"/>
      <c r="I124" s="423">
        <f t="shared" si="108"/>
        <v>2121793.2000000002</v>
      </c>
      <c r="J124" s="423">
        <v>200000</v>
      </c>
      <c r="K124" s="423">
        <v>0.2</v>
      </c>
      <c r="L124" s="423">
        <f t="shared" si="109"/>
        <v>424358.64</v>
      </c>
      <c r="M124" s="423">
        <f t="shared" si="110"/>
        <v>624358.64</v>
      </c>
      <c r="N124" s="423">
        <f t="shared" si="111"/>
        <v>624358.64</v>
      </c>
      <c r="O124" s="423">
        <f t="shared" si="112"/>
        <v>1497434.56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75512.566399999996</v>
      </c>
      <c r="T124" s="423">
        <f t="shared" si="117"/>
        <v>0</v>
      </c>
      <c r="U124" s="423"/>
      <c r="V124" s="423">
        <f t="shared" si="118"/>
        <v>204512.56640000001</v>
      </c>
      <c r="W124" s="430">
        <v>12</v>
      </c>
      <c r="X124" s="423">
        <f t="shared" si="119"/>
        <v>17042.713866666702</v>
      </c>
      <c r="Y124" s="426"/>
      <c r="Z124" s="423">
        <f t="shared" si="120"/>
        <v>17042.713866666702</v>
      </c>
      <c r="AA124" s="435">
        <v>17042.713866666702</v>
      </c>
      <c r="AB124" s="509">
        <f t="shared" si="107"/>
        <v>0</v>
      </c>
      <c r="AC124" s="179"/>
      <c r="AD124" s="179"/>
      <c r="AE124" s="179"/>
    </row>
    <row r="125" spans="1:31" s="493" customFormat="1" ht="18.75">
      <c r="A125" s="501">
        <v>108</v>
      </c>
      <c r="B125" s="16" t="s">
        <v>232</v>
      </c>
      <c r="C125" s="423">
        <v>176816.1</v>
      </c>
      <c r="D125" s="422">
        <v>12</v>
      </c>
      <c r="E125" s="423">
        <f t="shared" si="106"/>
        <v>2121793.2000000002</v>
      </c>
      <c r="F125" s="423"/>
      <c r="G125" s="426"/>
      <c r="H125" s="426"/>
      <c r="I125" s="423">
        <f t="shared" si="108"/>
        <v>2121793.2000000002</v>
      </c>
      <c r="J125" s="423">
        <v>200000</v>
      </c>
      <c r="K125" s="423">
        <v>0.2</v>
      </c>
      <c r="L125" s="423">
        <f t="shared" si="109"/>
        <v>424358.64</v>
      </c>
      <c r="M125" s="423">
        <f t="shared" si="110"/>
        <v>624358.64</v>
      </c>
      <c r="N125" s="423">
        <f t="shared" si="111"/>
        <v>624358.64</v>
      </c>
      <c r="O125" s="423">
        <f t="shared" si="112"/>
        <v>1497434.56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75512.566399999996</v>
      </c>
      <c r="T125" s="423">
        <f t="shared" si="117"/>
        <v>0</v>
      </c>
      <c r="U125" s="423"/>
      <c r="V125" s="423">
        <f t="shared" si="118"/>
        <v>204512.56640000001</v>
      </c>
      <c r="W125" s="430">
        <v>12</v>
      </c>
      <c r="X125" s="423">
        <f t="shared" si="119"/>
        <v>17042.713866666702</v>
      </c>
      <c r="Y125" s="426"/>
      <c r="Z125" s="423">
        <f t="shared" si="120"/>
        <v>17042.713866666702</v>
      </c>
      <c r="AA125" s="509">
        <v>17042.713866666702</v>
      </c>
      <c r="AB125" s="509">
        <f t="shared" si="107"/>
        <v>0</v>
      </c>
      <c r="AC125" s="509"/>
      <c r="AD125" s="509"/>
      <c r="AE125" s="509"/>
    </row>
    <row r="126" spans="1:31" ht="18.75">
      <c r="A126" s="497">
        <v>109</v>
      </c>
      <c r="B126" s="18" t="s">
        <v>96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179"/>
      <c r="AB126" s="179"/>
      <c r="AC126" s="179"/>
      <c r="AD126" s="179"/>
      <c r="AE126" s="179"/>
    </row>
    <row r="127" spans="1:31" ht="18.75">
      <c r="A127" s="497">
        <v>110</v>
      </c>
      <c r="B127" s="20"/>
      <c r="C127" s="423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3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7">
        <v>111</v>
      </c>
      <c r="B128" s="18" t="s">
        <v>236</v>
      </c>
      <c r="C128" s="423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3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7">
        <v>112</v>
      </c>
      <c r="B129" s="9" t="s">
        <v>237</v>
      </c>
      <c r="C129" s="423">
        <v>950209.06350000005</v>
      </c>
      <c r="D129" s="422">
        <v>12</v>
      </c>
      <c r="E129" s="423">
        <f>C129*D129</f>
        <v>11402508.762</v>
      </c>
      <c r="F129" s="423"/>
      <c r="G129" s="426"/>
      <c r="H129" s="426"/>
      <c r="I129" s="423">
        <f>E129-F129-G129-H129</f>
        <v>11402508.762</v>
      </c>
      <c r="J129" s="423">
        <v>200000</v>
      </c>
      <c r="K129" s="423">
        <v>0.2</v>
      </c>
      <c r="L129" s="423">
        <f t="shared" ref="L129:L187" si="121">I129*K129</f>
        <v>2280501.7524000001</v>
      </c>
      <c r="M129" s="423">
        <f t="shared" ref="M129:M187" si="122">J129+L129</f>
        <v>2480501.7524000001</v>
      </c>
      <c r="N129" s="423">
        <f t="shared" ref="N129:N187" si="123">F129+G129+H129+M129</f>
        <v>2480501.7524000001</v>
      </c>
      <c r="O129" s="423">
        <f t="shared" ref="O129:O187" si="124">E129-N129</f>
        <v>8922007.0096000005</v>
      </c>
      <c r="P129" s="423">
        <f t="shared" ref="P129:P187" si="125">IF(O129&lt;300000,0.07*O129,21000)</f>
        <v>21000</v>
      </c>
      <c r="Q129" s="423">
        <f t="shared" ref="Q129:Q187" si="126">IF((O129-300000)&lt;0,0,IF((O129-300000)&lt;300000,0.11*(O129-300000),33000))</f>
        <v>33000</v>
      </c>
      <c r="R129" s="423">
        <f t="shared" ref="R129:R187" si="127">IF((O129-600000)&lt;0,0,IF((O129-600000)&lt;500000,0.15*(O129-600000),75000))</f>
        <v>75000</v>
      </c>
      <c r="S129" s="423">
        <f t="shared" ref="S129:S187" si="128">IF((O129-1100000)&lt;0,0,IF((O129-1100000)&lt;500000,0.19*(O129-1100000),95000))</f>
        <v>95000</v>
      </c>
      <c r="T129" s="423">
        <f t="shared" ref="T129:T187" si="129">IF((O129-1600000)&lt;0,0,IF((O129-1600000)&lt;1600000,0.21*(O129-1600000),336000))</f>
        <v>336000</v>
      </c>
      <c r="U129" s="423">
        <f t="shared" si="103"/>
        <v>1373281.682304</v>
      </c>
      <c r="V129" s="423">
        <f>P129+Q129+R129+S129+T129+U129</f>
        <v>1933281.682304</v>
      </c>
      <c r="W129" s="430">
        <v>12</v>
      </c>
      <c r="X129" s="423">
        <f t="shared" ref="X129:X187" si="130">V129/W129</f>
        <v>161106.806858667</v>
      </c>
      <c r="Y129" s="426"/>
      <c r="Z129" s="423">
        <f t="shared" ref="Z129:Z187" si="131">X129</f>
        <v>161106.806858667</v>
      </c>
      <c r="AA129" s="179">
        <v>161106.806858667</v>
      </c>
      <c r="AB129" s="179">
        <f>Z129-AA129</f>
        <v>0</v>
      </c>
      <c r="AC129" s="179"/>
      <c r="AD129" s="179"/>
      <c r="AE129" s="179"/>
    </row>
    <row r="130" spans="1:31" s="493" customFormat="1" ht="18.75">
      <c r="A130" s="501">
        <v>113</v>
      </c>
      <c r="B130" s="9" t="s">
        <v>522</v>
      </c>
      <c r="C130" s="423">
        <v>541465.02474999998</v>
      </c>
      <c r="D130" s="422">
        <v>12</v>
      </c>
      <c r="E130" s="423">
        <f t="shared" ref="E130:E187" si="132">C130*D130</f>
        <v>6497580.2970000003</v>
      </c>
      <c r="F130" s="423"/>
      <c r="G130" s="426"/>
      <c r="H130" s="426"/>
      <c r="I130" s="423">
        <f t="shared" ref="I130:I187" si="133">E130-F130-G130-H130</f>
        <v>6497580.2970000003</v>
      </c>
      <c r="J130" s="423">
        <v>200000</v>
      </c>
      <c r="K130" s="423">
        <v>0.2</v>
      </c>
      <c r="L130" s="423">
        <f t="shared" si="121"/>
        <v>1299516.0593999999</v>
      </c>
      <c r="M130" s="423">
        <f t="shared" si="122"/>
        <v>1499516.0593999999</v>
      </c>
      <c r="N130" s="423">
        <f t="shared" si="123"/>
        <v>1499516.0593999999</v>
      </c>
      <c r="O130" s="423">
        <f t="shared" si="124"/>
        <v>4998064.2375999996</v>
      </c>
      <c r="P130" s="423">
        <f t="shared" si="125"/>
        <v>21000</v>
      </c>
      <c r="Q130" s="423">
        <f t="shared" si="126"/>
        <v>33000</v>
      </c>
      <c r="R130" s="423">
        <f t="shared" si="127"/>
        <v>75000</v>
      </c>
      <c r="S130" s="423">
        <f t="shared" si="128"/>
        <v>95000</v>
      </c>
      <c r="T130" s="423">
        <f t="shared" si="129"/>
        <v>336000</v>
      </c>
      <c r="U130" s="423">
        <f t="shared" si="103"/>
        <v>431535.41702400002</v>
      </c>
      <c r="V130" s="423">
        <f>P130+Q130+R130+S130+T130+U130</f>
        <v>991535.41702399997</v>
      </c>
      <c r="W130" s="430">
        <v>12</v>
      </c>
      <c r="X130" s="423">
        <f t="shared" si="130"/>
        <v>82627.951418666693</v>
      </c>
      <c r="Y130" s="426"/>
      <c r="Z130" s="423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09"/>
      <c r="AD130" s="509"/>
      <c r="AE130" s="509"/>
    </row>
    <row r="131" spans="1:31" ht="18.75">
      <c r="A131" s="497">
        <v>114</v>
      </c>
      <c r="B131" s="12" t="s">
        <v>239</v>
      </c>
      <c r="C131" s="423">
        <v>591465.02474999998</v>
      </c>
      <c r="D131" s="422">
        <v>12</v>
      </c>
      <c r="E131" s="423">
        <f t="shared" si="132"/>
        <v>7097580.2970000003</v>
      </c>
      <c r="F131" s="423">
        <f>1066.32925*12</f>
        <v>12795.950999999999</v>
      </c>
      <c r="G131" s="426"/>
      <c r="H131" s="426"/>
      <c r="I131" s="423">
        <f t="shared" si="133"/>
        <v>7084784.3459999999</v>
      </c>
      <c r="J131" s="423">
        <v>200000</v>
      </c>
      <c r="K131" s="423">
        <v>0.2</v>
      </c>
      <c r="L131" s="423">
        <f t="shared" si="121"/>
        <v>1416956.8692000001</v>
      </c>
      <c r="M131" s="423">
        <f t="shared" si="122"/>
        <v>1616956.8692000001</v>
      </c>
      <c r="N131" s="423">
        <f t="shared" si="123"/>
        <v>1629752.8202</v>
      </c>
      <c r="O131" s="423">
        <f t="shared" si="124"/>
        <v>5467827.4768000003</v>
      </c>
      <c r="P131" s="423">
        <f t="shared" si="125"/>
        <v>21000</v>
      </c>
      <c r="Q131" s="423">
        <f t="shared" si="126"/>
        <v>33000</v>
      </c>
      <c r="R131" s="423">
        <f t="shared" si="127"/>
        <v>75000</v>
      </c>
      <c r="S131" s="423">
        <f t="shared" si="128"/>
        <v>95000</v>
      </c>
      <c r="T131" s="423">
        <f t="shared" si="129"/>
        <v>336000</v>
      </c>
      <c r="U131" s="423">
        <f t="shared" si="103"/>
        <v>544278.59443199995</v>
      </c>
      <c r="V131" s="423">
        <f>P131+Q131+R131+S131+T131+U131</f>
        <v>1104278.5944320001</v>
      </c>
      <c r="W131" s="430">
        <v>12</v>
      </c>
      <c r="X131" s="423">
        <f t="shared" si="130"/>
        <v>92023.216202666707</v>
      </c>
      <c r="Y131" s="426"/>
      <c r="Z131" s="423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7">
        <v>115</v>
      </c>
      <c r="B132" s="9" t="s">
        <v>241</v>
      </c>
      <c r="C132" s="423">
        <v>351394.00675</v>
      </c>
      <c r="D132" s="422">
        <v>12</v>
      </c>
      <c r="E132" s="423">
        <f t="shared" si="132"/>
        <v>4216728.0810000002</v>
      </c>
      <c r="F132" s="423">
        <f>712.24525*12</f>
        <v>8546.9429999999993</v>
      </c>
      <c r="G132" s="426"/>
      <c r="H132" s="426"/>
      <c r="I132" s="423">
        <f t="shared" si="133"/>
        <v>4208181.1380000003</v>
      </c>
      <c r="J132" s="423">
        <v>200000</v>
      </c>
      <c r="K132" s="423">
        <v>0.2</v>
      </c>
      <c r="L132" s="423">
        <f t="shared" si="121"/>
        <v>841636.22759999998</v>
      </c>
      <c r="M132" s="423">
        <f t="shared" si="122"/>
        <v>1041636.2276</v>
      </c>
      <c r="N132" s="423">
        <f t="shared" si="123"/>
        <v>1050183.1706000001</v>
      </c>
      <c r="O132" s="423">
        <f t="shared" si="124"/>
        <v>3166544.9103999999</v>
      </c>
      <c r="P132" s="423">
        <f t="shared" si="125"/>
        <v>21000</v>
      </c>
      <c r="Q132" s="423">
        <f t="shared" si="126"/>
        <v>33000</v>
      </c>
      <c r="R132" s="423">
        <f t="shared" si="127"/>
        <v>75000</v>
      </c>
      <c r="S132" s="423">
        <f t="shared" si="128"/>
        <v>95000</v>
      </c>
      <c r="T132" s="423">
        <f t="shared" si="129"/>
        <v>328974.43118399999</v>
      </c>
      <c r="U132" s="423"/>
      <c r="V132" s="423">
        <f t="shared" ref="V132:V187" si="135">P132+Q132+R132+S132+T132+U132</f>
        <v>552974.43118399999</v>
      </c>
      <c r="W132" s="430">
        <v>12</v>
      </c>
      <c r="X132" s="423">
        <f t="shared" si="130"/>
        <v>46081.202598666699</v>
      </c>
      <c r="Y132" s="426"/>
      <c r="Z132" s="423">
        <f t="shared" si="131"/>
        <v>46081.202598666699</v>
      </c>
      <c r="AA132" s="509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7">
        <v>116</v>
      </c>
      <c r="B133" s="9" t="s">
        <v>243</v>
      </c>
      <c r="C133" s="423">
        <v>351394.00675</v>
      </c>
      <c r="D133" s="422">
        <v>12</v>
      </c>
      <c r="E133" s="423">
        <f t="shared" si="132"/>
        <v>4216728.0810000002</v>
      </c>
      <c r="F133" s="423">
        <f>712.24525*12</f>
        <v>8546.9429999999993</v>
      </c>
      <c r="G133" s="426"/>
      <c r="H133" s="426"/>
      <c r="I133" s="423">
        <f t="shared" si="133"/>
        <v>4208181.1380000003</v>
      </c>
      <c r="J133" s="423">
        <v>200000</v>
      </c>
      <c r="K133" s="423">
        <v>0.2</v>
      </c>
      <c r="L133" s="423">
        <f t="shared" si="121"/>
        <v>841636.22759999998</v>
      </c>
      <c r="M133" s="423">
        <f t="shared" si="122"/>
        <v>1041636.2276</v>
      </c>
      <c r="N133" s="423">
        <f t="shared" si="123"/>
        <v>1050183.1706000001</v>
      </c>
      <c r="O133" s="423">
        <f t="shared" si="124"/>
        <v>3166544.9103999999</v>
      </c>
      <c r="P133" s="423">
        <f t="shared" si="125"/>
        <v>21000</v>
      </c>
      <c r="Q133" s="423">
        <f t="shared" si="126"/>
        <v>33000</v>
      </c>
      <c r="R133" s="423">
        <f t="shared" si="127"/>
        <v>75000</v>
      </c>
      <c r="S133" s="423">
        <f t="shared" si="128"/>
        <v>95000</v>
      </c>
      <c r="T133" s="423">
        <f t="shared" si="129"/>
        <v>328974.43118399999</v>
      </c>
      <c r="U133" s="423"/>
      <c r="V133" s="423">
        <f t="shared" si="135"/>
        <v>552974.43118399999</v>
      </c>
      <c r="W133" s="430">
        <v>12</v>
      </c>
      <c r="X133" s="423">
        <f t="shared" si="130"/>
        <v>46081.202598666699</v>
      </c>
      <c r="Y133" s="426"/>
      <c r="Z133" s="423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7">
        <v>117</v>
      </c>
      <c r="B134" s="9" t="s">
        <v>245</v>
      </c>
      <c r="C134" s="423">
        <v>351394.00675</v>
      </c>
      <c r="D134" s="422">
        <v>12</v>
      </c>
      <c r="E134" s="423">
        <f t="shared" si="132"/>
        <v>4216728.0810000002</v>
      </c>
      <c r="F134" s="423">
        <f>712.24525*12</f>
        <v>8546.9429999999993</v>
      </c>
      <c r="G134" s="426"/>
      <c r="H134" s="426"/>
      <c r="I134" s="423">
        <f t="shared" si="133"/>
        <v>4208181.1380000003</v>
      </c>
      <c r="J134" s="423">
        <v>200000</v>
      </c>
      <c r="K134" s="423">
        <v>0.2</v>
      </c>
      <c r="L134" s="423">
        <f t="shared" si="121"/>
        <v>841636.22759999998</v>
      </c>
      <c r="M134" s="423">
        <f t="shared" si="122"/>
        <v>1041636.2276</v>
      </c>
      <c r="N134" s="423">
        <f t="shared" si="123"/>
        <v>1050183.1706000001</v>
      </c>
      <c r="O134" s="423">
        <f t="shared" si="124"/>
        <v>3166544.9103999999</v>
      </c>
      <c r="P134" s="423">
        <f t="shared" si="125"/>
        <v>21000</v>
      </c>
      <c r="Q134" s="423">
        <f t="shared" si="126"/>
        <v>33000</v>
      </c>
      <c r="R134" s="423">
        <f t="shared" si="127"/>
        <v>75000</v>
      </c>
      <c r="S134" s="423">
        <f t="shared" si="128"/>
        <v>95000</v>
      </c>
      <c r="T134" s="423">
        <f t="shared" si="129"/>
        <v>328974.43118399999</v>
      </c>
      <c r="U134" s="423"/>
      <c r="V134" s="423">
        <f t="shared" si="135"/>
        <v>552974.43118399999</v>
      </c>
      <c r="W134" s="430">
        <v>12</v>
      </c>
      <c r="X134" s="423">
        <f t="shared" si="130"/>
        <v>46081.202598666699</v>
      </c>
      <c r="Y134" s="426"/>
      <c r="Z134" s="423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7">
        <v>118</v>
      </c>
      <c r="B135" s="9" t="s">
        <v>180</v>
      </c>
      <c r="C135" s="423">
        <v>286619.99875000003</v>
      </c>
      <c r="D135" s="422">
        <v>12</v>
      </c>
      <c r="E135" s="423">
        <f t="shared" si="132"/>
        <v>3439439.9849999999</v>
      </c>
      <c r="F135" s="423">
        <f>576.62125*12</f>
        <v>6919.4549999999999</v>
      </c>
      <c r="G135" s="426"/>
      <c r="H135" s="426"/>
      <c r="I135" s="423">
        <f t="shared" si="133"/>
        <v>3432520.53</v>
      </c>
      <c r="J135" s="423">
        <v>200000</v>
      </c>
      <c r="K135" s="423">
        <v>0.2</v>
      </c>
      <c r="L135" s="423">
        <f t="shared" si="121"/>
        <v>686504.10600000003</v>
      </c>
      <c r="M135" s="423">
        <f t="shared" si="122"/>
        <v>886504.10600000003</v>
      </c>
      <c r="N135" s="423">
        <f t="shared" si="123"/>
        <v>893423.56099999999</v>
      </c>
      <c r="O135" s="423">
        <f t="shared" si="124"/>
        <v>2546016.4240000001</v>
      </c>
      <c r="P135" s="423">
        <f t="shared" si="125"/>
        <v>21000</v>
      </c>
      <c r="Q135" s="423">
        <f t="shared" si="126"/>
        <v>33000</v>
      </c>
      <c r="R135" s="423">
        <f t="shared" si="127"/>
        <v>75000</v>
      </c>
      <c r="S135" s="423">
        <f t="shared" si="128"/>
        <v>95000</v>
      </c>
      <c r="T135" s="423">
        <f t="shared" si="129"/>
        <v>198663.44904000001</v>
      </c>
      <c r="U135" s="423"/>
      <c r="V135" s="423">
        <f t="shared" si="135"/>
        <v>422663.44903999998</v>
      </c>
      <c r="W135" s="430">
        <v>12</v>
      </c>
      <c r="X135" s="423">
        <f t="shared" si="130"/>
        <v>35221.954086666701</v>
      </c>
      <c r="Y135" s="426"/>
      <c r="Z135" s="423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7">
        <v>119</v>
      </c>
      <c r="B136" s="9" t="s">
        <v>246</v>
      </c>
      <c r="C136" s="423">
        <v>286619.99875000003</v>
      </c>
      <c r="D136" s="422">
        <v>12</v>
      </c>
      <c r="E136" s="423">
        <f t="shared" si="132"/>
        <v>3439439.9849999999</v>
      </c>
      <c r="F136" s="423"/>
      <c r="G136" s="426"/>
      <c r="H136" s="426"/>
      <c r="I136" s="423">
        <f t="shared" si="133"/>
        <v>3439439.9849999999</v>
      </c>
      <c r="J136" s="423">
        <v>200000</v>
      </c>
      <c r="K136" s="423">
        <v>0.2</v>
      </c>
      <c r="L136" s="423">
        <f t="shared" si="121"/>
        <v>687887.99699999997</v>
      </c>
      <c r="M136" s="423">
        <f t="shared" si="122"/>
        <v>887887.99699999997</v>
      </c>
      <c r="N136" s="423">
        <f t="shared" si="123"/>
        <v>887887.99699999997</v>
      </c>
      <c r="O136" s="423">
        <f t="shared" si="124"/>
        <v>2551551.9879999999</v>
      </c>
      <c r="P136" s="423">
        <f t="shared" si="125"/>
        <v>21000</v>
      </c>
      <c r="Q136" s="423">
        <f t="shared" si="126"/>
        <v>33000</v>
      </c>
      <c r="R136" s="423">
        <f t="shared" si="127"/>
        <v>75000</v>
      </c>
      <c r="S136" s="423">
        <f t="shared" si="128"/>
        <v>95000</v>
      </c>
      <c r="T136" s="423">
        <f t="shared" si="129"/>
        <v>199825.91748</v>
      </c>
      <c r="U136" s="423"/>
      <c r="V136" s="423">
        <f t="shared" si="135"/>
        <v>423825.91748</v>
      </c>
      <c r="W136" s="430">
        <v>12</v>
      </c>
      <c r="X136" s="423">
        <f t="shared" si="130"/>
        <v>35318.826456666699</v>
      </c>
      <c r="Y136" s="426"/>
      <c r="Z136" s="423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7">
        <v>120</v>
      </c>
      <c r="B137" s="9" t="s">
        <v>247</v>
      </c>
      <c r="C137" s="423">
        <v>286619.99875000003</v>
      </c>
      <c r="D137" s="422">
        <v>12</v>
      </c>
      <c r="E137" s="423">
        <f t="shared" si="132"/>
        <v>3439439.9849999999</v>
      </c>
      <c r="F137" s="423"/>
      <c r="G137" s="426"/>
      <c r="H137" s="426"/>
      <c r="I137" s="423">
        <f t="shared" si="133"/>
        <v>3439439.9849999999</v>
      </c>
      <c r="J137" s="423">
        <v>200000</v>
      </c>
      <c r="K137" s="423">
        <v>0.2</v>
      </c>
      <c r="L137" s="423">
        <f t="shared" si="121"/>
        <v>687887.99699999997</v>
      </c>
      <c r="M137" s="423">
        <f t="shared" si="122"/>
        <v>887887.99699999997</v>
      </c>
      <c r="N137" s="423">
        <f t="shared" si="123"/>
        <v>887887.99699999997</v>
      </c>
      <c r="O137" s="423">
        <f t="shared" si="124"/>
        <v>2551551.9879999999</v>
      </c>
      <c r="P137" s="423">
        <f t="shared" si="125"/>
        <v>21000</v>
      </c>
      <c r="Q137" s="423">
        <f t="shared" si="126"/>
        <v>33000</v>
      </c>
      <c r="R137" s="423">
        <f t="shared" si="127"/>
        <v>75000</v>
      </c>
      <c r="S137" s="423">
        <f t="shared" si="128"/>
        <v>95000</v>
      </c>
      <c r="T137" s="423">
        <f t="shared" si="129"/>
        <v>199825.91748</v>
      </c>
      <c r="U137" s="423"/>
      <c r="V137" s="423">
        <f t="shared" si="135"/>
        <v>423825.91748</v>
      </c>
      <c r="W137" s="430">
        <v>12</v>
      </c>
      <c r="X137" s="423">
        <f t="shared" si="130"/>
        <v>35318.826456666699</v>
      </c>
      <c r="Y137" s="426"/>
      <c r="Z137" s="423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7">
        <v>121</v>
      </c>
      <c r="B138" s="9" t="s">
        <v>249</v>
      </c>
      <c r="C138" s="423">
        <v>284536.99849999999</v>
      </c>
      <c r="D138" s="422">
        <v>12</v>
      </c>
      <c r="E138" s="423">
        <f t="shared" si="132"/>
        <v>3414443.9819999998</v>
      </c>
      <c r="F138" s="423"/>
      <c r="G138" s="426"/>
      <c r="H138" s="426"/>
      <c r="I138" s="423">
        <f t="shared" si="133"/>
        <v>3414443.9819999998</v>
      </c>
      <c r="J138" s="423">
        <v>200000</v>
      </c>
      <c r="K138" s="423">
        <v>0.2</v>
      </c>
      <c r="L138" s="423">
        <f t="shared" si="121"/>
        <v>682888.79639999999</v>
      </c>
      <c r="M138" s="423">
        <f t="shared" si="122"/>
        <v>882888.79639999999</v>
      </c>
      <c r="N138" s="423">
        <f t="shared" si="123"/>
        <v>882888.79639999999</v>
      </c>
      <c r="O138" s="423">
        <f t="shared" si="124"/>
        <v>2531555.1856</v>
      </c>
      <c r="P138" s="423">
        <f t="shared" si="125"/>
        <v>21000</v>
      </c>
      <c r="Q138" s="423">
        <f t="shared" si="126"/>
        <v>33000</v>
      </c>
      <c r="R138" s="423">
        <f t="shared" si="127"/>
        <v>75000</v>
      </c>
      <c r="S138" s="423">
        <f t="shared" si="128"/>
        <v>95000</v>
      </c>
      <c r="T138" s="423">
        <f t="shared" si="129"/>
        <v>195626.588976</v>
      </c>
      <c r="U138" s="423"/>
      <c r="V138" s="423">
        <f t="shared" si="135"/>
        <v>419626.58897600003</v>
      </c>
      <c r="W138" s="430">
        <v>12</v>
      </c>
      <c r="X138" s="423">
        <f t="shared" si="130"/>
        <v>34968.882414666703</v>
      </c>
      <c r="Y138" s="426"/>
      <c r="Z138" s="423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7">
        <v>122</v>
      </c>
      <c r="B139" s="9" t="s">
        <v>251</v>
      </c>
      <c r="C139" s="423">
        <v>272454.07400000002</v>
      </c>
      <c r="D139" s="422">
        <v>12</v>
      </c>
      <c r="E139" s="423">
        <f t="shared" si="132"/>
        <v>3269448.8879999998</v>
      </c>
      <c r="F139" s="423">
        <f>538.022*12</f>
        <v>6456.2640000000001</v>
      </c>
      <c r="G139" s="426"/>
      <c r="H139" s="426"/>
      <c r="I139" s="423">
        <f t="shared" si="133"/>
        <v>3262992.6239999998</v>
      </c>
      <c r="J139" s="423">
        <v>200000</v>
      </c>
      <c r="K139" s="423">
        <v>0.2</v>
      </c>
      <c r="L139" s="423">
        <f t="shared" si="121"/>
        <v>652598.52480000001</v>
      </c>
      <c r="M139" s="423">
        <f t="shared" si="122"/>
        <v>852598.52480000001</v>
      </c>
      <c r="N139" s="423">
        <f t="shared" si="123"/>
        <v>859054.78879999998</v>
      </c>
      <c r="O139" s="423">
        <f t="shared" si="124"/>
        <v>2410394.0992000001</v>
      </c>
      <c r="P139" s="423">
        <f t="shared" si="125"/>
        <v>21000</v>
      </c>
      <c r="Q139" s="423">
        <f t="shared" si="126"/>
        <v>33000</v>
      </c>
      <c r="R139" s="423">
        <f t="shared" si="127"/>
        <v>75000</v>
      </c>
      <c r="S139" s="423">
        <f t="shared" si="128"/>
        <v>95000</v>
      </c>
      <c r="T139" s="423">
        <f t="shared" si="129"/>
        <v>170182.760832</v>
      </c>
      <c r="U139" s="423"/>
      <c r="V139" s="423">
        <f t="shared" si="135"/>
        <v>394182.760832</v>
      </c>
      <c r="W139" s="430">
        <v>12</v>
      </c>
      <c r="X139" s="423">
        <f t="shared" si="130"/>
        <v>32848.563402666703</v>
      </c>
      <c r="Y139" s="426"/>
      <c r="Z139" s="423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7">
        <v>123</v>
      </c>
      <c r="B140" s="9" t="s">
        <v>253</v>
      </c>
      <c r="C140" s="423">
        <v>286619.99875000003</v>
      </c>
      <c r="D140" s="422">
        <v>12</v>
      </c>
      <c r="E140" s="423">
        <f t="shared" si="132"/>
        <v>3439439.9849999999</v>
      </c>
      <c r="F140" s="423">
        <f>576.62125*12</f>
        <v>6919.4549999999999</v>
      </c>
      <c r="G140" s="426"/>
      <c r="H140" s="426"/>
      <c r="I140" s="423">
        <f t="shared" si="133"/>
        <v>3432520.53</v>
      </c>
      <c r="J140" s="423">
        <v>200000</v>
      </c>
      <c r="K140" s="423">
        <v>0.2</v>
      </c>
      <c r="L140" s="423">
        <f t="shared" si="121"/>
        <v>686504.10600000003</v>
      </c>
      <c r="M140" s="423">
        <f t="shared" si="122"/>
        <v>886504.10600000003</v>
      </c>
      <c r="N140" s="423">
        <f t="shared" si="123"/>
        <v>893423.56099999999</v>
      </c>
      <c r="O140" s="423">
        <f t="shared" si="124"/>
        <v>2546016.4240000001</v>
      </c>
      <c r="P140" s="423">
        <f t="shared" si="125"/>
        <v>21000</v>
      </c>
      <c r="Q140" s="423">
        <f t="shared" si="126"/>
        <v>33000</v>
      </c>
      <c r="R140" s="423">
        <f t="shared" si="127"/>
        <v>75000</v>
      </c>
      <c r="S140" s="423">
        <f t="shared" si="128"/>
        <v>95000</v>
      </c>
      <c r="T140" s="423">
        <f t="shared" si="129"/>
        <v>198663.44904000001</v>
      </c>
      <c r="U140" s="423"/>
      <c r="V140" s="423">
        <f t="shared" si="135"/>
        <v>422663.44903999998</v>
      </c>
      <c r="W140" s="430">
        <v>12</v>
      </c>
      <c r="X140" s="423">
        <f t="shared" si="130"/>
        <v>35221.954086666701</v>
      </c>
      <c r="Y140" s="426"/>
      <c r="Z140" s="423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3" customFormat="1" ht="18.75">
      <c r="A141" s="501">
        <v>124</v>
      </c>
      <c r="B141" s="16" t="s">
        <v>256</v>
      </c>
      <c r="C141" s="423">
        <v>265372.07500000001</v>
      </c>
      <c r="D141" s="422">
        <v>12</v>
      </c>
      <c r="E141" s="423">
        <f t="shared" si="132"/>
        <v>3184464.9</v>
      </c>
      <c r="F141" s="423">
        <v>0</v>
      </c>
      <c r="G141" s="426"/>
      <c r="H141" s="426"/>
      <c r="I141" s="423">
        <f t="shared" si="133"/>
        <v>3184464.9</v>
      </c>
      <c r="J141" s="423">
        <v>200000</v>
      </c>
      <c r="K141" s="423">
        <v>0.2</v>
      </c>
      <c r="L141" s="423">
        <f t="shared" si="121"/>
        <v>636892.98</v>
      </c>
      <c r="M141" s="423">
        <f t="shared" si="122"/>
        <v>836892.98</v>
      </c>
      <c r="N141" s="423">
        <f t="shared" si="123"/>
        <v>836892.98</v>
      </c>
      <c r="O141" s="423">
        <f t="shared" si="124"/>
        <v>2347571.92</v>
      </c>
      <c r="P141" s="423">
        <f t="shared" si="125"/>
        <v>21000</v>
      </c>
      <c r="Q141" s="423">
        <f t="shared" si="126"/>
        <v>33000</v>
      </c>
      <c r="R141" s="423">
        <f t="shared" si="127"/>
        <v>75000</v>
      </c>
      <c r="S141" s="423">
        <f t="shared" si="128"/>
        <v>95000</v>
      </c>
      <c r="T141" s="423">
        <f t="shared" si="129"/>
        <v>156990.10320000001</v>
      </c>
      <c r="U141" s="423"/>
      <c r="V141" s="423">
        <f t="shared" si="135"/>
        <v>380990.10320000001</v>
      </c>
      <c r="W141" s="430">
        <v>12</v>
      </c>
      <c r="X141" s="423">
        <f t="shared" si="130"/>
        <v>31749.175266666702</v>
      </c>
      <c r="Y141" s="426"/>
      <c r="Z141" s="423">
        <f t="shared" si="131"/>
        <v>31749.175266666702</v>
      </c>
      <c r="AA141" s="179">
        <v>31749.175266666702</v>
      </c>
      <c r="AB141" s="179">
        <f t="shared" si="134"/>
        <v>0</v>
      </c>
      <c r="AC141" s="509"/>
      <c r="AD141" s="509"/>
      <c r="AE141" s="509"/>
    </row>
    <row r="142" spans="1:31" ht="18.75">
      <c r="A142" s="497">
        <v>125</v>
      </c>
      <c r="B142" s="9" t="s">
        <v>258</v>
      </c>
      <c r="C142" s="423">
        <v>237734.04699999999</v>
      </c>
      <c r="D142" s="422">
        <v>12</v>
      </c>
      <c r="E142" s="423">
        <f t="shared" si="132"/>
        <v>2852808.5639999998</v>
      </c>
      <c r="F142" s="423"/>
      <c r="G142" s="426"/>
      <c r="H142" s="426"/>
      <c r="I142" s="423">
        <f t="shared" si="133"/>
        <v>2852808.5639999998</v>
      </c>
      <c r="J142" s="423">
        <v>200000</v>
      </c>
      <c r="K142" s="423">
        <v>0.2</v>
      </c>
      <c r="L142" s="423">
        <f t="shared" si="121"/>
        <v>570561.71279999998</v>
      </c>
      <c r="M142" s="423">
        <f t="shared" si="122"/>
        <v>770561.71279999998</v>
      </c>
      <c r="N142" s="423">
        <f t="shared" si="123"/>
        <v>770561.71279999998</v>
      </c>
      <c r="O142" s="423">
        <f t="shared" si="124"/>
        <v>2082246.8511999999</v>
      </c>
      <c r="P142" s="423">
        <f t="shared" si="125"/>
        <v>21000</v>
      </c>
      <c r="Q142" s="423">
        <f t="shared" si="126"/>
        <v>33000</v>
      </c>
      <c r="R142" s="423">
        <f t="shared" si="127"/>
        <v>75000</v>
      </c>
      <c r="S142" s="423">
        <f t="shared" si="128"/>
        <v>95000</v>
      </c>
      <c r="T142" s="423">
        <f t="shared" si="129"/>
        <v>101271.838752</v>
      </c>
      <c r="U142" s="423"/>
      <c r="V142" s="423">
        <f t="shared" si="135"/>
        <v>325271.83875200001</v>
      </c>
      <c r="W142" s="430">
        <v>12</v>
      </c>
      <c r="X142" s="423">
        <f t="shared" si="130"/>
        <v>27105.986562666702</v>
      </c>
      <c r="Y142" s="426"/>
      <c r="Z142" s="423">
        <f t="shared" si="131"/>
        <v>27105.986562666702</v>
      </c>
      <c r="AA142" s="179">
        <v>27105.986562666702</v>
      </c>
      <c r="AB142" s="179">
        <f t="shared" si="134"/>
        <v>0</v>
      </c>
      <c r="AC142" s="179"/>
      <c r="AD142" s="179"/>
      <c r="AE142" s="179"/>
    </row>
    <row r="143" spans="1:31" ht="18.75">
      <c r="A143" s="497">
        <v>126</v>
      </c>
      <c r="B143" s="9" t="s">
        <v>259</v>
      </c>
      <c r="C143" s="423">
        <v>242300.07750000001</v>
      </c>
      <c r="D143" s="422">
        <v>12</v>
      </c>
      <c r="E143" s="423">
        <f t="shared" si="132"/>
        <v>2907600.93</v>
      </c>
      <c r="F143" s="423">
        <f>469.4825*12</f>
        <v>5633.79</v>
      </c>
      <c r="G143" s="426"/>
      <c r="H143" s="426"/>
      <c r="I143" s="423">
        <f t="shared" si="133"/>
        <v>2901967.14</v>
      </c>
      <c r="J143" s="423">
        <v>200000</v>
      </c>
      <c r="K143" s="423">
        <v>0.2</v>
      </c>
      <c r="L143" s="423">
        <f t="shared" si="121"/>
        <v>580393.42799999996</v>
      </c>
      <c r="M143" s="423">
        <f t="shared" si="122"/>
        <v>780393.42799999996</v>
      </c>
      <c r="N143" s="423">
        <f t="shared" si="123"/>
        <v>786027.21799999999</v>
      </c>
      <c r="O143" s="423">
        <f t="shared" si="124"/>
        <v>2121573.7119999998</v>
      </c>
      <c r="P143" s="423">
        <f t="shared" si="125"/>
        <v>21000</v>
      </c>
      <c r="Q143" s="423">
        <f t="shared" si="126"/>
        <v>33000</v>
      </c>
      <c r="R143" s="423">
        <f t="shared" si="127"/>
        <v>75000</v>
      </c>
      <c r="S143" s="423">
        <f t="shared" si="128"/>
        <v>95000</v>
      </c>
      <c r="T143" s="423">
        <f t="shared" si="129"/>
        <v>109530.47951999999</v>
      </c>
      <c r="U143" s="423"/>
      <c r="V143" s="423">
        <f t="shared" si="135"/>
        <v>333530.47951999999</v>
      </c>
      <c r="W143" s="430">
        <v>12</v>
      </c>
      <c r="X143" s="423">
        <f t="shared" si="130"/>
        <v>27794.206626666699</v>
      </c>
      <c r="Y143" s="426"/>
      <c r="Z143" s="423">
        <f t="shared" si="131"/>
        <v>27794.206626666699</v>
      </c>
      <c r="AA143" s="509">
        <v>27794.206626666699</v>
      </c>
      <c r="AB143" s="179">
        <f t="shared" si="134"/>
        <v>0</v>
      </c>
      <c r="AC143" s="179"/>
      <c r="AD143" s="179"/>
      <c r="AE143" s="179"/>
    </row>
    <row r="144" spans="1:31" ht="18.75">
      <c r="A144" s="497">
        <v>127</v>
      </c>
      <c r="B144" s="9" t="s">
        <v>260</v>
      </c>
      <c r="C144" s="423">
        <v>242300.07750000001</v>
      </c>
      <c r="D144" s="422">
        <v>12</v>
      </c>
      <c r="E144" s="423">
        <f t="shared" si="132"/>
        <v>2907600.93</v>
      </c>
      <c r="F144" s="423"/>
      <c r="G144" s="426"/>
      <c r="H144" s="426"/>
      <c r="I144" s="423">
        <f t="shared" si="133"/>
        <v>2907600.93</v>
      </c>
      <c r="J144" s="423">
        <v>200000</v>
      </c>
      <c r="K144" s="423">
        <v>0.2</v>
      </c>
      <c r="L144" s="423">
        <f t="shared" si="121"/>
        <v>581520.18599999999</v>
      </c>
      <c r="M144" s="423">
        <f t="shared" si="122"/>
        <v>781520.18599999999</v>
      </c>
      <c r="N144" s="423">
        <f t="shared" si="123"/>
        <v>781520.18599999999</v>
      </c>
      <c r="O144" s="423">
        <f t="shared" si="124"/>
        <v>2126080.7439999999</v>
      </c>
      <c r="P144" s="423">
        <f t="shared" si="125"/>
        <v>21000</v>
      </c>
      <c r="Q144" s="423">
        <f t="shared" si="126"/>
        <v>33000</v>
      </c>
      <c r="R144" s="423">
        <f t="shared" si="127"/>
        <v>75000</v>
      </c>
      <c r="S144" s="423">
        <f t="shared" si="128"/>
        <v>95000</v>
      </c>
      <c r="T144" s="423">
        <f t="shared" si="129"/>
        <v>110476.95624</v>
      </c>
      <c r="U144" s="423"/>
      <c r="V144" s="423">
        <f t="shared" si="135"/>
        <v>334476.95624000003</v>
      </c>
      <c r="W144" s="430">
        <v>12</v>
      </c>
      <c r="X144" s="423">
        <f t="shared" si="130"/>
        <v>27873.079686666701</v>
      </c>
      <c r="Y144" s="426"/>
      <c r="Z144" s="423">
        <f t="shared" si="131"/>
        <v>27873.079686666701</v>
      </c>
      <c r="AA144" s="179">
        <v>27873.079686666701</v>
      </c>
      <c r="AB144" s="179">
        <f t="shared" si="134"/>
        <v>0</v>
      </c>
      <c r="AC144" s="179"/>
      <c r="AD144" s="179"/>
      <c r="AE144" s="179"/>
    </row>
    <row r="145" spans="1:31" ht="18.75">
      <c r="A145" s="497">
        <v>128</v>
      </c>
      <c r="B145" s="9" t="s">
        <v>261</v>
      </c>
      <c r="C145" s="423">
        <v>237734.04699999999</v>
      </c>
      <c r="D145" s="422">
        <v>12</v>
      </c>
      <c r="E145" s="423">
        <f t="shared" si="132"/>
        <v>2852808.5639999998</v>
      </c>
      <c r="F145" s="423"/>
      <c r="G145" s="426"/>
      <c r="H145" s="426"/>
      <c r="I145" s="423">
        <f t="shared" si="133"/>
        <v>2852808.5639999998</v>
      </c>
      <c r="J145" s="423">
        <v>200000</v>
      </c>
      <c r="K145" s="423">
        <v>0.2</v>
      </c>
      <c r="L145" s="423">
        <f t="shared" si="121"/>
        <v>570561.71279999998</v>
      </c>
      <c r="M145" s="423">
        <f t="shared" si="122"/>
        <v>770561.71279999998</v>
      </c>
      <c r="N145" s="423">
        <f t="shared" si="123"/>
        <v>770561.71279999998</v>
      </c>
      <c r="O145" s="423">
        <f t="shared" si="124"/>
        <v>2082246.8511999999</v>
      </c>
      <c r="P145" s="423">
        <f t="shared" si="125"/>
        <v>21000</v>
      </c>
      <c r="Q145" s="423">
        <f t="shared" si="126"/>
        <v>33000</v>
      </c>
      <c r="R145" s="423">
        <f t="shared" si="127"/>
        <v>75000</v>
      </c>
      <c r="S145" s="423">
        <f t="shared" si="128"/>
        <v>95000</v>
      </c>
      <c r="T145" s="423">
        <f t="shared" si="129"/>
        <v>101271.838752</v>
      </c>
      <c r="U145" s="423"/>
      <c r="V145" s="423">
        <f t="shared" si="135"/>
        <v>325271.83875200001</v>
      </c>
      <c r="W145" s="430">
        <v>12</v>
      </c>
      <c r="X145" s="423">
        <f t="shared" si="130"/>
        <v>27105.986562666702</v>
      </c>
      <c r="Y145" s="426"/>
      <c r="Z145" s="423">
        <f t="shared" si="131"/>
        <v>27105.986562666702</v>
      </c>
      <c r="AA145" s="179">
        <v>27105.986562666702</v>
      </c>
      <c r="AB145" s="179">
        <f t="shared" si="134"/>
        <v>0</v>
      </c>
      <c r="AC145" s="179"/>
      <c r="AD145" s="179"/>
      <c r="AE145" s="179"/>
    </row>
    <row r="146" spans="1:31" ht="37.5">
      <c r="A146" s="497">
        <v>129</v>
      </c>
      <c r="B146" s="9" t="s">
        <v>263</v>
      </c>
      <c r="C146" s="423">
        <v>209356.04725</v>
      </c>
      <c r="D146" s="422">
        <v>12</v>
      </c>
      <c r="E146" s="423">
        <f t="shared" si="132"/>
        <v>2512272.5669999998</v>
      </c>
      <c r="F146" s="423"/>
      <c r="G146" s="426"/>
      <c r="H146" s="426"/>
      <c r="I146" s="423">
        <f t="shared" si="133"/>
        <v>2512272.5669999998</v>
      </c>
      <c r="J146" s="423">
        <v>200000</v>
      </c>
      <c r="K146" s="423">
        <v>0.2</v>
      </c>
      <c r="L146" s="423">
        <f t="shared" si="121"/>
        <v>502454.5134</v>
      </c>
      <c r="M146" s="423">
        <f t="shared" si="122"/>
        <v>702454.51340000005</v>
      </c>
      <c r="N146" s="423">
        <f t="shared" si="123"/>
        <v>702454.51340000005</v>
      </c>
      <c r="O146" s="423">
        <f t="shared" si="124"/>
        <v>1809818.0536</v>
      </c>
      <c r="P146" s="423">
        <f t="shared" si="125"/>
        <v>21000</v>
      </c>
      <c r="Q146" s="423">
        <f t="shared" si="126"/>
        <v>33000</v>
      </c>
      <c r="R146" s="423">
        <f t="shared" si="127"/>
        <v>75000</v>
      </c>
      <c r="S146" s="423">
        <f t="shared" si="128"/>
        <v>95000</v>
      </c>
      <c r="T146" s="423">
        <f t="shared" si="129"/>
        <v>44061.791255999902</v>
      </c>
      <c r="U146" s="423"/>
      <c r="V146" s="423">
        <f t="shared" si="135"/>
        <v>268061.791256</v>
      </c>
      <c r="W146" s="430">
        <v>12</v>
      </c>
      <c r="X146" s="423">
        <f t="shared" si="130"/>
        <v>22338.4826046667</v>
      </c>
      <c r="Y146" s="426"/>
      <c r="Z146" s="423">
        <f t="shared" si="131"/>
        <v>22338.4826046667</v>
      </c>
      <c r="AA146" s="179">
        <v>22338.4826046667</v>
      </c>
      <c r="AB146" s="179">
        <f t="shared" si="134"/>
        <v>0</v>
      </c>
      <c r="AC146" s="179"/>
      <c r="AD146" s="179"/>
      <c r="AE146" s="179"/>
    </row>
    <row r="147" spans="1:31" ht="18.75">
      <c r="A147" s="497">
        <v>130</v>
      </c>
      <c r="B147" s="9" t="s">
        <v>265</v>
      </c>
      <c r="C147" s="423">
        <v>237734.04699999999</v>
      </c>
      <c r="D147" s="422">
        <v>12</v>
      </c>
      <c r="E147" s="423">
        <f t="shared" si="132"/>
        <v>2852808.5639999998</v>
      </c>
      <c r="F147" s="423"/>
      <c r="G147" s="426"/>
      <c r="H147" s="426"/>
      <c r="I147" s="423">
        <f t="shared" si="133"/>
        <v>2852808.5639999998</v>
      </c>
      <c r="J147" s="423">
        <v>200000</v>
      </c>
      <c r="K147" s="423">
        <v>0.2</v>
      </c>
      <c r="L147" s="423">
        <f t="shared" si="121"/>
        <v>570561.71279999998</v>
      </c>
      <c r="M147" s="423">
        <f t="shared" si="122"/>
        <v>770561.71279999998</v>
      </c>
      <c r="N147" s="423">
        <f t="shared" si="123"/>
        <v>770561.71279999998</v>
      </c>
      <c r="O147" s="423">
        <f t="shared" si="124"/>
        <v>2082246.8511999999</v>
      </c>
      <c r="P147" s="423">
        <f t="shared" si="125"/>
        <v>21000</v>
      </c>
      <c r="Q147" s="423">
        <f t="shared" si="126"/>
        <v>33000</v>
      </c>
      <c r="R147" s="423">
        <f t="shared" si="127"/>
        <v>75000</v>
      </c>
      <c r="S147" s="423">
        <f t="shared" si="128"/>
        <v>95000</v>
      </c>
      <c r="T147" s="423">
        <f t="shared" si="129"/>
        <v>101271.838752</v>
      </c>
      <c r="U147" s="423"/>
      <c r="V147" s="423">
        <f t="shared" si="135"/>
        <v>325271.83875200001</v>
      </c>
      <c r="W147" s="430">
        <v>12</v>
      </c>
      <c r="X147" s="423">
        <f t="shared" si="130"/>
        <v>27105.986562666702</v>
      </c>
      <c r="Y147" s="426"/>
      <c r="Z147" s="423">
        <f t="shared" si="131"/>
        <v>27105.986562666702</v>
      </c>
      <c r="AA147" s="179">
        <v>27105.986562666702</v>
      </c>
      <c r="AB147" s="179">
        <f t="shared" si="134"/>
        <v>0</v>
      </c>
      <c r="AC147" s="179"/>
      <c r="AD147" s="179"/>
      <c r="AE147" s="179"/>
    </row>
    <row r="148" spans="1:31" ht="18.75">
      <c r="A148" s="497">
        <v>131</v>
      </c>
      <c r="B148" s="9" t="s">
        <v>268</v>
      </c>
      <c r="C148" s="423">
        <v>213508.01</v>
      </c>
      <c r="D148" s="422">
        <v>12</v>
      </c>
      <c r="E148" s="423">
        <f t="shared" si="132"/>
        <v>2562096.12</v>
      </c>
      <c r="F148" s="423"/>
      <c r="G148" s="426"/>
      <c r="H148" s="426"/>
      <c r="I148" s="423">
        <f t="shared" si="133"/>
        <v>2562096.12</v>
      </c>
      <c r="J148" s="423">
        <v>200000</v>
      </c>
      <c r="K148" s="423">
        <v>0.2</v>
      </c>
      <c r="L148" s="423">
        <f t="shared" si="121"/>
        <v>512419.22399999999</v>
      </c>
      <c r="M148" s="423">
        <f t="shared" si="122"/>
        <v>712419.22400000005</v>
      </c>
      <c r="N148" s="423">
        <f t="shared" si="123"/>
        <v>712419.22400000005</v>
      </c>
      <c r="O148" s="423">
        <f t="shared" si="124"/>
        <v>1849676.8959999999</v>
      </c>
      <c r="P148" s="423">
        <f t="shared" si="125"/>
        <v>21000</v>
      </c>
      <c r="Q148" s="423">
        <f t="shared" si="126"/>
        <v>33000</v>
      </c>
      <c r="R148" s="423">
        <f t="shared" si="127"/>
        <v>75000</v>
      </c>
      <c r="S148" s="423">
        <f t="shared" si="128"/>
        <v>95000</v>
      </c>
      <c r="T148" s="423">
        <f t="shared" si="129"/>
        <v>52432.148159999997</v>
      </c>
      <c r="U148" s="423"/>
      <c r="V148" s="423">
        <f t="shared" si="135"/>
        <v>276432.14815999998</v>
      </c>
      <c r="W148" s="430">
        <v>12</v>
      </c>
      <c r="X148" s="423">
        <f t="shared" si="130"/>
        <v>23036.012346666699</v>
      </c>
      <c r="Y148" s="426"/>
      <c r="Z148" s="423">
        <f t="shared" si="131"/>
        <v>23036.012346666699</v>
      </c>
      <c r="AA148" s="179">
        <v>23036.012346666699</v>
      </c>
      <c r="AB148" s="179">
        <f t="shared" si="134"/>
        <v>0</v>
      </c>
      <c r="AC148" s="179"/>
      <c r="AD148" s="179"/>
      <c r="AE148" s="179"/>
    </row>
    <row r="149" spans="1:31" ht="18.75">
      <c r="A149" s="497">
        <v>132</v>
      </c>
      <c r="B149" s="9" t="s">
        <v>270</v>
      </c>
      <c r="C149" s="423">
        <v>237734.04699999999</v>
      </c>
      <c r="D149" s="422">
        <v>12</v>
      </c>
      <c r="E149" s="423">
        <f t="shared" si="132"/>
        <v>2852808.5639999998</v>
      </c>
      <c r="F149" s="423">
        <f>457.041*12</f>
        <v>5484.4920000000002</v>
      </c>
      <c r="G149" s="426"/>
      <c r="H149" s="426"/>
      <c r="I149" s="423">
        <f t="shared" si="133"/>
        <v>2847324.0720000002</v>
      </c>
      <c r="J149" s="423">
        <v>200000</v>
      </c>
      <c r="K149" s="423">
        <v>0.2</v>
      </c>
      <c r="L149" s="423">
        <f t="shared" si="121"/>
        <v>569464.81440000003</v>
      </c>
      <c r="M149" s="423">
        <f t="shared" si="122"/>
        <v>769464.81440000003</v>
      </c>
      <c r="N149" s="423">
        <f t="shared" si="123"/>
        <v>774949.3064</v>
      </c>
      <c r="O149" s="423">
        <f t="shared" si="124"/>
        <v>2077859.2575999999</v>
      </c>
      <c r="P149" s="423">
        <f t="shared" si="125"/>
        <v>21000</v>
      </c>
      <c r="Q149" s="423">
        <f t="shared" si="126"/>
        <v>33000</v>
      </c>
      <c r="R149" s="423">
        <f t="shared" si="127"/>
        <v>75000</v>
      </c>
      <c r="S149" s="423">
        <f t="shared" si="128"/>
        <v>95000</v>
      </c>
      <c r="T149" s="423">
        <f t="shared" si="129"/>
        <v>100350.44409600001</v>
      </c>
      <c r="U149" s="423"/>
      <c r="V149" s="423">
        <f t="shared" si="135"/>
        <v>324350.44409599999</v>
      </c>
      <c r="W149" s="430">
        <v>12</v>
      </c>
      <c r="X149" s="423">
        <f t="shared" si="130"/>
        <v>27029.2036746667</v>
      </c>
      <c r="Y149" s="426"/>
      <c r="Z149" s="423">
        <f t="shared" si="131"/>
        <v>27029.2036746667</v>
      </c>
      <c r="AA149" s="179">
        <v>27029.2036746667</v>
      </c>
      <c r="AB149" s="179">
        <f t="shared" si="134"/>
        <v>0</v>
      </c>
      <c r="AC149" s="179"/>
      <c r="AD149" s="179"/>
      <c r="AE149" s="179"/>
    </row>
    <row r="150" spans="1:31" ht="18.75">
      <c r="A150" s="497">
        <v>133</v>
      </c>
      <c r="B150" s="9" t="s">
        <v>272</v>
      </c>
      <c r="C150" s="423">
        <v>209356.04725</v>
      </c>
      <c r="D150" s="422">
        <v>12</v>
      </c>
      <c r="E150" s="423">
        <f t="shared" si="132"/>
        <v>2512272.5669999998</v>
      </c>
      <c r="F150" s="423"/>
      <c r="G150" s="426"/>
      <c r="H150" s="426"/>
      <c r="I150" s="423">
        <f t="shared" si="133"/>
        <v>2512272.5669999998</v>
      </c>
      <c r="J150" s="423">
        <v>200000</v>
      </c>
      <c r="K150" s="423">
        <v>0.2</v>
      </c>
      <c r="L150" s="423">
        <f t="shared" si="121"/>
        <v>502454.5134</v>
      </c>
      <c r="M150" s="423">
        <f t="shared" si="122"/>
        <v>702454.51340000005</v>
      </c>
      <c r="N150" s="423">
        <f t="shared" si="123"/>
        <v>702454.51340000005</v>
      </c>
      <c r="O150" s="423">
        <f t="shared" si="124"/>
        <v>1809818.0536</v>
      </c>
      <c r="P150" s="423">
        <f t="shared" si="125"/>
        <v>21000</v>
      </c>
      <c r="Q150" s="423">
        <f t="shared" si="126"/>
        <v>33000</v>
      </c>
      <c r="R150" s="423">
        <f t="shared" si="127"/>
        <v>75000</v>
      </c>
      <c r="S150" s="423">
        <f t="shared" si="128"/>
        <v>95000</v>
      </c>
      <c r="T150" s="423">
        <f t="shared" si="129"/>
        <v>44061.791255999902</v>
      </c>
      <c r="U150" s="423"/>
      <c r="V150" s="423">
        <f t="shared" si="135"/>
        <v>268061.791256</v>
      </c>
      <c r="W150" s="430">
        <v>12</v>
      </c>
      <c r="X150" s="423">
        <f t="shared" si="130"/>
        <v>22338.4826046667</v>
      </c>
      <c r="Y150" s="426"/>
      <c r="Z150" s="423">
        <f t="shared" si="131"/>
        <v>22338.4826046667</v>
      </c>
      <c r="AA150" s="179">
        <v>22338.4826046667</v>
      </c>
      <c r="AB150" s="179">
        <f t="shared" si="134"/>
        <v>0</v>
      </c>
      <c r="AC150" s="179"/>
      <c r="AD150" s="179"/>
      <c r="AE150" s="179"/>
    </row>
    <row r="151" spans="1:31" ht="18.75">
      <c r="A151" s="497">
        <v>134</v>
      </c>
      <c r="B151" s="16" t="s">
        <v>274</v>
      </c>
      <c r="C151" s="423">
        <v>205204.0845</v>
      </c>
      <c r="D151" s="422">
        <v>12</v>
      </c>
      <c r="E151" s="423">
        <f t="shared" si="132"/>
        <v>2462449.014</v>
      </c>
      <c r="F151" s="423"/>
      <c r="G151" s="426"/>
      <c r="H151" s="426"/>
      <c r="I151" s="423">
        <f t="shared" si="133"/>
        <v>2462449.014</v>
      </c>
      <c r="J151" s="423">
        <v>200000</v>
      </c>
      <c r="K151" s="423">
        <v>0.2</v>
      </c>
      <c r="L151" s="423">
        <f t="shared" si="121"/>
        <v>492489.8028</v>
      </c>
      <c r="M151" s="423">
        <f t="shared" si="122"/>
        <v>692489.80279999995</v>
      </c>
      <c r="N151" s="423">
        <f t="shared" si="123"/>
        <v>692489.80279999995</v>
      </c>
      <c r="O151" s="423">
        <f t="shared" si="124"/>
        <v>1769959.2112</v>
      </c>
      <c r="P151" s="423">
        <f t="shared" si="125"/>
        <v>21000</v>
      </c>
      <c r="Q151" s="423">
        <f t="shared" si="126"/>
        <v>33000</v>
      </c>
      <c r="R151" s="423">
        <f t="shared" si="127"/>
        <v>75000</v>
      </c>
      <c r="S151" s="423">
        <f t="shared" si="128"/>
        <v>95000</v>
      </c>
      <c r="T151" s="423">
        <f t="shared" si="129"/>
        <v>35691.434351999997</v>
      </c>
      <c r="U151" s="423"/>
      <c r="V151" s="423">
        <f t="shared" si="135"/>
        <v>259691.43435200001</v>
      </c>
      <c r="W151" s="430">
        <v>12</v>
      </c>
      <c r="X151" s="423">
        <f t="shared" si="130"/>
        <v>21640.952862666702</v>
      </c>
      <c r="Y151" s="426"/>
      <c r="Z151" s="423">
        <f t="shared" si="131"/>
        <v>21640.952862666702</v>
      </c>
      <c r="AA151" s="179">
        <v>21640.952862666702</v>
      </c>
      <c r="AB151" s="179">
        <f t="shared" si="134"/>
        <v>0</v>
      </c>
      <c r="AC151" s="179"/>
      <c r="AD151" s="179"/>
      <c r="AE151" s="179"/>
    </row>
    <row r="152" spans="1:31" ht="18.75">
      <c r="A152" s="497">
        <v>135</v>
      </c>
      <c r="B152" s="16" t="s">
        <v>277</v>
      </c>
      <c r="C152" s="423">
        <v>176816.1</v>
      </c>
      <c r="D152" s="422">
        <v>12</v>
      </c>
      <c r="E152" s="423">
        <f t="shared" si="132"/>
        <v>2121793.2000000002</v>
      </c>
      <c r="F152" s="423">
        <v>0</v>
      </c>
      <c r="G152" s="426"/>
      <c r="H152" s="426"/>
      <c r="I152" s="423">
        <f t="shared" si="133"/>
        <v>2121793.2000000002</v>
      </c>
      <c r="J152" s="423">
        <v>200000</v>
      </c>
      <c r="K152" s="423">
        <v>0.2</v>
      </c>
      <c r="L152" s="423">
        <f t="shared" si="121"/>
        <v>424358.64</v>
      </c>
      <c r="M152" s="423">
        <f t="shared" si="122"/>
        <v>624358.64</v>
      </c>
      <c r="N152" s="423">
        <f t="shared" si="123"/>
        <v>624358.64</v>
      </c>
      <c r="O152" s="423">
        <f t="shared" si="124"/>
        <v>1497434.56</v>
      </c>
      <c r="P152" s="423">
        <f t="shared" si="125"/>
        <v>21000</v>
      </c>
      <c r="Q152" s="423">
        <f t="shared" si="126"/>
        <v>33000</v>
      </c>
      <c r="R152" s="423">
        <f t="shared" si="127"/>
        <v>75000</v>
      </c>
      <c r="S152" s="423">
        <f t="shared" si="128"/>
        <v>75512.566399999996</v>
      </c>
      <c r="T152" s="423">
        <f t="shared" si="129"/>
        <v>0</v>
      </c>
      <c r="U152" s="423"/>
      <c r="V152" s="423">
        <f t="shared" si="135"/>
        <v>204512.56640000001</v>
      </c>
      <c r="W152" s="430">
        <v>12</v>
      </c>
      <c r="X152" s="423">
        <f t="shared" si="130"/>
        <v>17042.713866666702</v>
      </c>
      <c r="Y152" s="426"/>
      <c r="Z152" s="423">
        <f t="shared" si="131"/>
        <v>17042.713866666702</v>
      </c>
      <c r="AA152" s="179">
        <v>17042.713866666702</v>
      </c>
      <c r="AB152" s="179">
        <f t="shared" si="134"/>
        <v>0</v>
      </c>
      <c r="AC152" s="179"/>
      <c r="AD152" s="179"/>
      <c r="AE152" s="179"/>
    </row>
    <row r="153" spans="1:31" ht="18.75">
      <c r="A153" s="497">
        <v>136</v>
      </c>
      <c r="B153" s="16" t="s">
        <v>279</v>
      </c>
      <c r="C153" s="423">
        <v>176816.1</v>
      </c>
      <c r="D153" s="422">
        <v>12</v>
      </c>
      <c r="E153" s="423">
        <f t="shared" si="132"/>
        <v>2121793.2000000002</v>
      </c>
      <c r="F153" s="423">
        <v>0</v>
      </c>
      <c r="G153" s="426"/>
      <c r="H153" s="426"/>
      <c r="I153" s="423">
        <f t="shared" si="133"/>
        <v>2121793.2000000002</v>
      </c>
      <c r="J153" s="423">
        <v>200000</v>
      </c>
      <c r="K153" s="423">
        <v>0.2</v>
      </c>
      <c r="L153" s="423">
        <f t="shared" si="121"/>
        <v>424358.64</v>
      </c>
      <c r="M153" s="423">
        <f t="shared" si="122"/>
        <v>624358.64</v>
      </c>
      <c r="N153" s="423">
        <f t="shared" si="123"/>
        <v>624358.64</v>
      </c>
      <c r="O153" s="423">
        <f t="shared" si="124"/>
        <v>1497434.56</v>
      </c>
      <c r="P153" s="423">
        <f t="shared" si="125"/>
        <v>21000</v>
      </c>
      <c r="Q153" s="423">
        <f t="shared" si="126"/>
        <v>33000</v>
      </c>
      <c r="R153" s="423">
        <f t="shared" si="127"/>
        <v>75000</v>
      </c>
      <c r="S153" s="423">
        <f t="shared" si="128"/>
        <v>75512.566399999996</v>
      </c>
      <c r="T153" s="423">
        <f t="shared" si="129"/>
        <v>0</v>
      </c>
      <c r="U153" s="423"/>
      <c r="V153" s="423">
        <f t="shared" si="135"/>
        <v>204512.56640000001</v>
      </c>
      <c r="W153" s="430">
        <v>12</v>
      </c>
      <c r="X153" s="423">
        <f t="shared" si="130"/>
        <v>17042.713866666702</v>
      </c>
      <c r="Y153" s="426"/>
      <c r="Z153" s="423">
        <f t="shared" si="131"/>
        <v>17042.713866666702</v>
      </c>
      <c r="AA153" s="179">
        <v>17042.713866666702</v>
      </c>
      <c r="AB153" s="179">
        <f t="shared" si="134"/>
        <v>0</v>
      </c>
      <c r="AC153" s="179"/>
      <c r="AD153" s="179"/>
      <c r="AE153" s="179"/>
    </row>
    <row r="154" spans="1:31" ht="37.5">
      <c r="A154" s="497">
        <v>137</v>
      </c>
      <c r="B154" s="16" t="s">
        <v>281</v>
      </c>
      <c r="C154" s="423">
        <v>176816.1</v>
      </c>
      <c r="D154" s="422">
        <v>12</v>
      </c>
      <c r="E154" s="423">
        <f t="shared" si="132"/>
        <v>2121793.2000000002</v>
      </c>
      <c r="F154" s="423">
        <v>0</v>
      </c>
      <c r="G154" s="426"/>
      <c r="H154" s="426"/>
      <c r="I154" s="423">
        <f t="shared" si="133"/>
        <v>2121793.2000000002</v>
      </c>
      <c r="J154" s="423">
        <v>200000</v>
      </c>
      <c r="K154" s="423">
        <v>0.2</v>
      </c>
      <c r="L154" s="423">
        <f t="shared" si="121"/>
        <v>424358.64</v>
      </c>
      <c r="M154" s="423">
        <f t="shared" si="122"/>
        <v>624358.64</v>
      </c>
      <c r="N154" s="423">
        <f t="shared" si="123"/>
        <v>624358.64</v>
      </c>
      <c r="O154" s="423">
        <f t="shared" si="124"/>
        <v>1497434.56</v>
      </c>
      <c r="P154" s="423">
        <f t="shared" si="125"/>
        <v>21000</v>
      </c>
      <c r="Q154" s="423">
        <f t="shared" si="126"/>
        <v>33000</v>
      </c>
      <c r="R154" s="423">
        <f t="shared" si="127"/>
        <v>75000</v>
      </c>
      <c r="S154" s="423">
        <f t="shared" si="128"/>
        <v>75512.566399999996</v>
      </c>
      <c r="T154" s="423">
        <f t="shared" si="129"/>
        <v>0</v>
      </c>
      <c r="U154" s="423"/>
      <c r="V154" s="423">
        <f t="shared" si="135"/>
        <v>204512.56640000001</v>
      </c>
      <c r="W154" s="430">
        <v>12</v>
      </c>
      <c r="X154" s="423">
        <f t="shared" si="130"/>
        <v>17042.713866666702</v>
      </c>
      <c r="Y154" s="426"/>
      <c r="Z154" s="423">
        <f t="shared" si="131"/>
        <v>17042.713866666702</v>
      </c>
      <c r="AA154" s="179">
        <v>17042.713866666702</v>
      </c>
      <c r="AB154" s="179">
        <f t="shared" si="134"/>
        <v>0</v>
      </c>
      <c r="AC154" s="179"/>
      <c r="AD154" s="179"/>
      <c r="AE154" s="179"/>
    </row>
    <row r="155" spans="1:31" ht="18.75">
      <c r="A155" s="497">
        <v>138</v>
      </c>
      <c r="B155" s="16" t="s">
        <v>283</v>
      </c>
      <c r="C155" s="423">
        <v>180304.068</v>
      </c>
      <c r="D155" s="422">
        <v>12</v>
      </c>
      <c r="E155" s="423">
        <f t="shared" si="132"/>
        <v>2163648.8160000001</v>
      </c>
      <c r="F155" s="423">
        <v>0</v>
      </c>
      <c r="G155" s="426"/>
      <c r="H155" s="426"/>
      <c r="I155" s="423">
        <f t="shared" si="133"/>
        <v>2163648.8160000001</v>
      </c>
      <c r="J155" s="423">
        <v>200000</v>
      </c>
      <c r="K155" s="423">
        <v>0.2</v>
      </c>
      <c r="L155" s="423">
        <f t="shared" si="121"/>
        <v>432729.76319999999</v>
      </c>
      <c r="M155" s="423">
        <f t="shared" si="122"/>
        <v>632729.76320000004</v>
      </c>
      <c r="N155" s="423">
        <f t="shared" si="123"/>
        <v>632729.76320000004</v>
      </c>
      <c r="O155" s="423">
        <f t="shared" si="124"/>
        <v>1530919.0527999999</v>
      </c>
      <c r="P155" s="423">
        <f t="shared" si="125"/>
        <v>21000</v>
      </c>
      <c r="Q155" s="423">
        <f t="shared" si="126"/>
        <v>33000</v>
      </c>
      <c r="R155" s="423">
        <f t="shared" si="127"/>
        <v>75000</v>
      </c>
      <c r="S155" s="423">
        <f t="shared" si="128"/>
        <v>81874.620032000006</v>
      </c>
      <c r="T155" s="423">
        <f t="shared" si="129"/>
        <v>0</v>
      </c>
      <c r="U155" s="423"/>
      <c r="V155" s="423">
        <f t="shared" si="135"/>
        <v>210874.62003200001</v>
      </c>
      <c r="W155" s="430">
        <v>12</v>
      </c>
      <c r="X155" s="423">
        <f t="shared" si="130"/>
        <v>17572.885002666699</v>
      </c>
      <c r="Y155" s="426"/>
      <c r="Z155" s="423">
        <f t="shared" si="131"/>
        <v>17572.885002666699</v>
      </c>
      <c r="AA155" s="179">
        <v>17572.885002666699</v>
      </c>
      <c r="AB155" s="179">
        <f t="shared" si="134"/>
        <v>0</v>
      </c>
      <c r="AC155" s="179"/>
      <c r="AD155" s="179"/>
      <c r="AE155" s="179"/>
    </row>
    <row r="156" spans="1:31" ht="18.75">
      <c r="A156" s="497">
        <v>139</v>
      </c>
      <c r="B156" s="16" t="s">
        <v>285</v>
      </c>
      <c r="C156" s="423">
        <v>176816.1</v>
      </c>
      <c r="D156" s="422">
        <v>12</v>
      </c>
      <c r="E156" s="423">
        <f t="shared" si="132"/>
        <v>2121793.2000000002</v>
      </c>
      <c r="F156" s="423">
        <v>0</v>
      </c>
      <c r="G156" s="426"/>
      <c r="H156" s="426"/>
      <c r="I156" s="423">
        <f t="shared" si="133"/>
        <v>2121793.2000000002</v>
      </c>
      <c r="J156" s="423">
        <v>200000</v>
      </c>
      <c r="K156" s="423">
        <v>0.2</v>
      </c>
      <c r="L156" s="423">
        <f t="shared" si="121"/>
        <v>424358.64</v>
      </c>
      <c r="M156" s="423">
        <f t="shared" si="122"/>
        <v>624358.64</v>
      </c>
      <c r="N156" s="423">
        <f t="shared" si="123"/>
        <v>624358.64</v>
      </c>
      <c r="O156" s="423">
        <f t="shared" si="124"/>
        <v>1497434.56</v>
      </c>
      <c r="P156" s="423">
        <f t="shared" si="125"/>
        <v>21000</v>
      </c>
      <c r="Q156" s="423">
        <f t="shared" si="126"/>
        <v>33000</v>
      </c>
      <c r="R156" s="423">
        <f t="shared" si="127"/>
        <v>75000</v>
      </c>
      <c r="S156" s="423">
        <f t="shared" si="128"/>
        <v>75512.566399999996</v>
      </c>
      <c r="T156" s="423">
        <f t="shared" si="129"/>
        <v>0</v>
      </c>
      <c r="U156" s="423"/>
      <c r="V156" s="423">
        <f t="shared" si="135"/>
        <v>204512.56640000001</v>
      </c>
      <c r="W156" s="430">
        <v>12</v>
      </c>
      <c r="X156" s="423">
        <f t="shared" si="130"/>
        <v>17042.713866666702</v>
      </c>
      <c r="Y156" s="426"/>
      <c r="Z156" s="423">
        <f t="shared" si="131"/>
        <v>17042.713866666702</v>
      </c>
      <c r="AA156" s="179">
        <v>17042.713866666702</v>
      </c>
      <c r="AB156" s="179">
        <f t="shared" si="134"/>
        <v>0</v>
      </c>
      <c r="AC156" s="179"/>
      <c r="AD156" s="179"/>
      <c r="AE156" s="179"/>
    </row>
    <row r="157" spans="1:31" ht="18.75">
      <c r="A157" s="497">
        <v>140</v>
      </c>
      <c r="B157" s="9" t="s">
        <v>289</v>
      </c>
      <c r="C157" s="423">
        <v>135590.73000000001</v>
      </c>
      <c r="D157" s="422">
        <v>12</v>
      </c>
      <c r="E157" s="423">
        <f t="shared" si="132"/>
        <v>1627088.76</v>
      </c>
      <c r="F157" s="423">
        <f>263.19*12</f>
        <v>3158.28</v>
      </c>
      <c r="G157" s="426"/>
      <c r="H157" s="426"/>
      <c r="I157" s="423">
        <f t="shared" si="133"/>
        <v>1623930.48</v>
      </c>
      <c r="J157" s="423">
        <v>200000</v>
      </c>
      <c r="K157" s="423">
        <v>0.2</v>
      </c>
      <c r="L157" s="423">
        <f t="shared" si="121"/>
        <v>324786.09600000002</v>
      </c>
      <c r="M157" s="423">
        <f t="shared" si="122"/>
        <v>524786.09600000002</v>
      </c>
      <c r="N157" s="423">
        <f t="shared" si="123"/>
        <v>527944.37600000005</v>
      </c>
      <c r="O157" s="423">
        <f t="shared" si="124"/>
        <v>1099144.3840000001</v>
      </c>
      <c r="P157" s="423">
        <f t="shared" si="125"/>
        <v>21000</v>
      </c>
      <c r="Q157" s="423">
        <f t="shared" si="126"/>
        <v>33000</v>
      </c>
      <c r="R157" s="423">
        <f t="shared" si="127"/>
        <v>74871.657600000006</v>
      </c>
      <c r="S157" s="423">
        <f t="shared" si="128"/>
        <v>0</v>
      </c>
      <c r="T157" s="423">
        <f t="shared" si="129"/>
        <v>0</v>
      </c>
      <c r="U157" s="423"/>
      <c r="V157" s="423">
        <f t="shared" si="135"/>
        <v>128871.65760000001</v>
      </c>
      <c r="W157" s="430">
        <v>12</v>
      </c>
      <c r="X157" s="423">
        <f t="shared" si="130"/>
        <v>10739.3048</v>
      </c>
      <c r="Y157" s="426"/>
      <c r="Z157" s="423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7">
        <v>141</v>
      </c>
      <c r="B158" s="9" t="s">
        <v>292</v>
      </c>
      <c r="C158" s="423">
        <v>138590.73000000001</v>
      </c>
      <c r="D158" s="422">
        <v>12</v>
      </c>
      <c r="E158" s="423">
        <f t="shared" si="132"/>
        <v>1663088.76</v>
      </c>
      <c r="F158" s="423"/>
      <c r="G158" s="426"/>
      <c r="H158" s="426"/>
      <c r="I158" s="423">
        <f t="shared" si="133"/>
        <v>1663088.76</v>
      </c>
      <c r="J158" s="423">
        <v>200000</v>
      </c>
      <c r="K158" s="423">
        <v>0.2</v>
      </c>
      <c r="L158" s="423">
        <f t="shared" si="121"/>
        <v>332617.75199999998</v>
      </c>
      <c r="M158" s="423">
        <f t="shared" si="122"/>
        <v>532617.75199999998</v>
      </c>
      <c r="N158" s="423">
        <f t="shared" si="123"/>
        <v>532617.75199999998</v>
      </c>
      <c r="O158" s="423">
        <f t="shared" si="124"/>
        <v>1130471.0079999999</v>
      </c>
      <c r="P158" s="423">
        <f t="shared" si="125"/>
        <v>21000</v>
      </c>
      <c r="Q158" s="423">
        <f t="shared" si="126"/>
        <v>33000</v>
      </c>
      <c r="R158" s="423">
        <f t="shared" si="127"/>
        <v>75000</v>
      </c>
      <c r="S158" s="423">
        <f t="shared" si="128"/>
        <v>5789.4915199999796</v>
      </c>
      <c r="T158" s="423">
        <f t="shared" si="129"/>
        <v>0</v>
      </c>
      <c r="U158" s="423"/>
      <c r="V158" s="423">
        <f t="shared" si="135"/>
        <v>134789.49152000001</v>
      </c>
      <c r="W158" s="430">
        <v>12</v>
      </c>
      <c r="X158" s="423">
        <f t="shared" si="130"/>
        <v>11232.457626666701</v>
      </c>
      <c r="Y158" s="426"/>
      <c r="Z158" s="423">
        <f t="shared" si="131"/>
        <v>11232.457626666701</v>
      </c>
      <c r="AA158" s="179">
        <v>11232.457626666701</v>
      </c>
      <c r="AB158" s="179">
        <f t="shared" si="134"/>
        <v>0</v>
      </c>
      <c r="AC158" s="179"/>
      <c r="AD158" s="179"/>
      <c r="AE158" s="179"/>
    </row>
    <row r="159" spans="1:31" ht="15.75" customHeight="1">
      <c r="A159" s="497">
        <v>142</v>
      </c>
      <c r="B159" s="9" t="s">
        <v>293</v>
      </c>
      <c r="C159" s="423">
        <v>135590.73000000001</v>
      </c>
      <c r="D159" s="422">
        <v>12</v>
      </c>
      <c r="E159" s="423">
        <f t="shared" si="132"/>
        <v>1627088.76</v>
      </c>
      <c r="F159" s="423"/>
      <c r="G159" s="426"/>
      <c r="H159" s="426"/>
      <c r="I159" s="423">
        <f t="shared" si="133"/>
        <v>1627088.76</v>
      </c>
      <c r="J159" s="423">
        <v>200000</v>
      </c>
      <c r="K159" s="423">
        <v>0.2</v>
      </c>
      <c r="L159" s="423">
        <f t="shared" si="121"/>
        <v>325417.75199999998</v>
      </c>
      <c r="M159" s="423">
        <f t="shared" si="122"/>
        <v>525417.75199999998</v>
      </c>
      <c r="N159" s="423">
        <f t="shared" si="123"/>
        <v>525417.75199999998</v>
      </c>
      <c r="O159" s="423">
        <f t="shared" si="124"/>
        <v>1101671.0079999999</v>
      </c>
      <c r="P159" s="423">
        <f t="shared" si="125"/>
        <v>21000</v>
      </c>
      <c r="Q159" s="423">
        <f t="shared" si="126"/>
        <v>33000</v>
      </c>
      <c r="R159" s="423">
        <f t="shared" si="127"/>
        <v>75000</v>
      </c>
      <c r="S159" s="423">
        <f t="shared" si="128"/>
        <v>317.49151999998401</v>
      </c>
      <c r="T159" s="423">
        <f t="shared" si="129"/>
        <v>0</v>
      </c>
      <c r="U159" s="423"/>
      <c r="V159" s="423">
        <f t="shared" si="135"/>
        <v>129317.49152</v>
      </c>
      <c r="W159" s="430">
        <v>12</v>
      </c>
      <c r="X159" s="423">
        <f t="shared" si="130"/>
        <v>10776.457626666701</v>
      </c>
      <c r="Y159" s="426"/>
      <c r="Z159" s="423">
        <f t="shared" si="131"/>
        <v>10776.457626666701</v>
      </c>
      <c r="AA159" s="179">
        <v>10776.457626666701</v>
      </c>
      <c r="AB159" s="179">
        <f t="shared" si="134"/>
        <v>0</v>
      </c>
      <c r="AC159" s="179"/>
      <c r="AD159" s="179"/>
      <c r="AE159" s="179"/>
    </row>
    <row r="160" spans="1:31" s="493" customFormat="1" ht="18.75">
      <c r="A160" s="501">
        <v>143</v>
      </c>
      <c r="B160" s="9" t="s">
        <v>294</v>
      </c>
      <c r="C160" s="423">
        <v>135590.73000000001</v>
      </c>
      <c r="D160" s="422">
        <v>12</v>
      </c>
      <c r="E160" s="423">
        <f t="shared" si="132"/>
        <v>1627088.76</v>
      </c>
      <c r="F160" s="423">
        <f>263.19*12</f>
        <v>3158.28</v>
      </c>
      <c r="G160" s="426"/>
      <c r="H160" s="426"/>
      <c r="I160" s="423">
        <f t="shared" si="133"/>
        <v>1623930.48</v>
      </c>
      <c r="J160" s="423">
        <v>200000</v>
      </c>
      <c r="K160" s="423">
        <v>0.2</v>
      </c>
      <c r="L160" s="423">
        <f t="shared" si="121"/>
        <v>324786.09600000002</v>
      </c>
      <c r="M160" s="423">
        <f t="shared" si="122"/>
        <v>524786.09600000002</v>
      </c>
      <c r="N160" s="423">
        <f t="shared" si="123"/>
        <v>527944.37600000005</v>
      </c>
      <c r="O160" s="423">
        <f t="shared" si="124"/>
        <v>1099144.3840000001</v>
      </c>
      <c r="P160" s="423">
        <f t="shared" si="125"/>
        <v>21000</v>
      </c>
      <c r="Q160" s="423">
        <f t="shared" si="126"/>
        <v>33000</v>
      </c>
      <c r="R160" s="423">
        <f t="shared" si="127"/>
        <v>74871.657600000006</v>
      </c>
      <c r="S160" s="423">
        <f t="shared" si="128"/>
        <v>0</v>
      </c>
      <c r="T160" s="423">
        <f t="shared" si="129"/>
        <v>0</v>
      </c>
      <c r="U160" s="423"/>
      <c r="V160" s="423">
        <f t="shared" si="135"/>
        <v>128871.65760000001</v>
      </c>
      <c r="W160" s="430">
        <v>12</v>
      </c>
      <c r="X160" s="423">
        <f t="shared" si="130"/>
        <v>10739.3048</v>
      </c>
      <c r="Y160" s="426"/>
      <c r="Z160" s="423">
        <f t="shared" si="131"/>
        <v>10739.3048</v>
      </c>
      <c r="AA160" s="179">
        <v>10739.3048</v>
      </c>
      <c r="AB160" s="179">
        <f t="shared" si="134"/>
        <v>0</v>
      </c>
      <c r="AC160" s="509"/>
      <c r="AD160" s="509"/>
      <c r="AE160" s="509"/>
    </row>
    <row r="161" spans="1:31" s="493" customFormat="1" ht="18.75">
      <c r="A161" s="501">
        <v>144</v>
      </c>
      <c r="B161" s="9" t="s">
        <v>295</v>
      </c>
      <c r="C161" s="423">
        <v>135590.73000000001</v>
      </c>
      <c r="D161" s="422">
        <v>12</v>
      </c>
      <c r="E161" s="423">
        <f t="shared" si="132"/>
        <v>1627088.76</v>
      </c>
      <c r="F161" s="423"/>
      <c r="G161" s="426"/>
      <c r="H161" s="426"/>
      <c r="I161" s="423">
        <f t="shared" si="133"/>
        <v>1627088.76</v>
      </c>
      <c r="J161" s="423">
        <v>200000</v>
      </c>
      <c r="K161" s="423">
        <v>0.2</v>
      </c>
      <c r="L161" s="423">
        <f t="shared" si="121"/>
        <v>325417.75199999998</v>
      </c>
      <c r="M161" s="423">
        <f t="shared" si="122"/>
        <v>525417.75199999998</v>
      </c>
      <c r="N161" s="423">
        <f t="shared" si="123"/>
        <v>525417.75199999998</v>
      </c>
      <c r="O161" s="423">
        <f t="shared" si="124"/>
        <v>1101671.0079999999</v>
      </c>
      <c r="P161" s="423">
        <f t="shared" si="125"/>
        <v>21000</v>
      </c>
      <c r="Q161" s="423">
        <f t="shared" si="126"/>
        <v>33000</v>
      </c>
      <c r="R161" s="423">
        <f t="shared" si="127"/>
        <v>75000</v>
      </c>
      <c r="S161" s="423">
        <f t="shared" si="128"/>
        <v>317.49151999998401</v>
      </c>
      <c r="T161" s="423">
        <f t="shared" si="129"/>
        <v>0</v>
      </c>
      <c r="U161" s="423"/>
      <c r="V161" s="423">
        <f t="shared" si="135"/>
        <v>129317.49152</v>
      </c>
      <c r="W161" s="430">
        <v>12</v>
      </c>
      <c r="X161" s="423">
        <f t="shared" si="130"/>
        <v>10776.457626666701</v>
      </c>
      <c r="Y161" s="426"/>
      <c r="Z161" s="423">
        <f t="shared" si="131"/>
        <v>10776.457626666701</v>
      </c>
      <c r="AA161" s="179">
        <v>10776.457626666701</v>
      </c>
      <c r="AB161" s="179">
        <f t="shared" si="134"/>
        <v>0</v>
      </c>
      <c r="AC161" s="509"/>
      <c r="AD161" s="509"/>
      <c r="AE161" s="509"/>
    </row>
    <row r="162" spans="1:31" s="493" customFormat="1" ht="18.75">
      <c r="A162" s="501">
        <v>145</v>
      </c>
      <c r="B162" s="9" t="s">
        <v>296</v>
      </c>
      <c r="C162" s="423">
        <v>138590.73000000001</v>
      </c>
      <c r="D162" s="422">
        <v>12</v>
      </c>
      <c r="E162" s="423">
        <f t="shared" si="132"/>
        <v>1663088.76</v>
      </c>
      <c r="F162" s="423"/>
      <c r="G162" s="426"/>
      <c r="H162" s="426"/>
      <c r="I162" s="423">
        <f t="shared" si="133"/>
        <v>1663088.76</v>
      </c>
      <c r="J162" s="423">
        <v>200000</v>
      </c>
      <c r="K162" s="423">
        <v>0.2</v>
      </c>
      <c r="L162" s="423">
        <f t="shared" si="121"/>
        <v>332617.75199999998</v>
      </c>
      <c r="M162" s="423">
        <f t="shared" si="122"/>
        <v>532617.75199999998</v>
      </c>
      <c r="N162" s="423">
        <f t="shared" si="123"/>
        <v>532617.75199999998</v>
      </c>
      <c r="O162" s="423">
        <f t="shared" si="124"/>
        <v>1130471.0079999999</v>
      </c>
      <c r="P162" s="423">
        <f t="shared" si="125"/>
        <v>21000</v>
      </c>
      <c r="Q162" s="423">
        <f t="shared" si="126"/>
        <v>33000</v>
      </c>
      <c r="R162" s="423">
        <f t="shared" si="127"/>
        <v>75000</v>
      </c>
      <c r="S162" s="423">
        <f t="shared" si="128"/>
        <v>5789.4915199999796</v>
      </c>
      <c r="T162" s="423">
        <f t="shared" si="129"/>
        <v>0</v>
      </c>
      <c r="U162" s="423"/>
      <c r="V162" s="423">
        <f t="shared" si="135"/>
        <v>134789.49152000001</v>
      </c>
      <c r="W162" s="430">
        <v>12</v>
      </c>
      <c r="X162" s="423">
        <f t="shared" si="130"/>
        <v>11232.457626666701</v>
      </c>
      <c r="Y162" s="426"/>
      <c r="Z162" s="423">
        <f t="shared" si="131"/>
        <v>11232.457626666701</v>
      </c>
      <c r="AA162" s="509">
        <v>11232.457626666701</v>
      </c>
      <c r="AB162" s="179">
        <f t="shared" si="134"/>
        <v>0</v>
      </c>
      <c r="AC162" s="509"/>
      <c r="AD162" s="509"/>
      <c r="AE162" s="509"/>
    </row>
    <row r="163" spans="1:31" ht="18.75">
      <c r="A163" s="497">
        <v>146</v>
      </c>
      <c r="B163" s="9" t="s">
        <v>298</v>
      </c>
      <c r="C163" s="423">
        <v>135590.73000000001</v>
      </c>
      <c r="D163" s="422">
        <v>12</v>
      </c>
      <c r="E163" s="423">
        <f t="shared" si="132"/>
        <v>1627088.76</v>
      </c>
      <c r="F163" s="423"/>
      <c r="G163" s="426"/>
      <c r="H163" s="426"/>
      <c r="I163" s="423">
        <f t="shared" si="133"/>
        <v>1627088.76</v>
      </c>
      <c r="J163" s="423">
        <v>200000</v>
      </c>
      <c r="K163" s="423">
        <v>0.2</v>
      </c>
      <c r="L163" s="423">
        <f t="shared" si="121"/>
        <v>325417.75199999998</v>
      </c>
      <c r="M163" s="423">
        <f t="shared" si="122"/>
        <v>525417.75199999998</v>
      </c>
      <c r="N163" s="423">
        <f t="shared" si="123"/>
        <v>525417.75199999998</v>
      </c>
      <c r="O163" s="423">
        <f t="shared" si="124"/>
        <v>1101671.0079999999</v>
      </c>
      <c r="P163" s="423">
        <f t="shared" si="125"/>
        <v>21000</v>
      </c>
      <c r="Q163" s="423">
        <f t="shared" si="126"/>
        <v>33000</v>
      </c>
      <c r="R163" s="423">
        <f t="shared" si="127"/>
        <v>75000</v>
      </c>
      <c r="S163" s="423">
        <f t="shared" si="128"/>
        <v>317.49151999998401</v>
      </c>
      <c r="T163" s="423">
        <f t="shared" si="129"/>
        <v>0</v>
      </c>
      <c r="U163" s="423"/>
      <c r="V163" s="423">
        <f t="shared" si="135"/>
        <v>129317.49152</v>
      </c>
      <c r="W163" s="430">
        <v>12</v>
      </c>
      <c r="X163" s="423">
        <f t="shared" si="130"/>
        <v>10776.457626666701</v>
      </c>
      <c r="Y163" s="426"/>
      <c r="Z163" s="423">
        <f t="shared" si="131"/>
        <v>10776.457626666701</v>
      </c>
      <c r="AA163" s="509">
        <v>10776.457626666701</v>
      </c>
      <c r="AB163" s="179">
        <f t="shared" si="134"/>
        <v>0</v>
      </c>
      <c r="AC163" s="179"/>
      <c r="AD163" s="179"/>
      <c r="AE163" s="179"/>
    </row>
    <row r="164" spans="1:31" ht="18.75">
      <c r="A164" s="497">
        <v>147</v>
      </c>
      <c r="B164" s="12" t="s">
        <v>299</v>
      </c>
      <c r="C164" s="423">
        <v>138590.73000000001</v>
      </c>
      <c r="D164" s="422">
        <v>12</v>
      </c>
      <c r="E164" s="423">
        <f t="shared" si="132"/>
        <v>1663088.76</v>
      </c>
      <c r="F164" s="423"/>
      <c r="G164" s="426"/>
      <c r="H164" s="426"/>
      <c r="I164" s="423">
        <f t="shared" si="133"/>
        <v>1663088.76</v>
      </c>
      <c r="J164" s="423">
        <v>200000</v>
      </c>
      <c r="K164" s="423">
        <v>0.2</v>
      </c>
      <c r="L164" s="423">
        <f t="shared" si="121"/>
        <v>332617.75199999998</v>
      </c>
      <c r="M164" s="423">
        <f t="shared" si="122"/>
        <v>532617.75199999998</v>
      </c>
      <c r="N164" s="423">
        <f t="shared" si="123"/>
        <v>532617.75199999998</v>
      </c>
      <c r="O164" s="423">
        <f t="shared" si="124"/>
        <v>1130471.0079999999</v>
      </c>
      <c r="P164" s="423">
        <f t="shared" si="125"/>
        <v>21000</v>
      </c>
      <c r="Q164" s="423">
        <f t="shared" si="126"/>
        <v>33000</v>
      </c>
      <c r="R164" s="423">
        <f t="shared" si="127"/>
        <v>75000</v>
      </c>
      <c r="S164" s="423">
        <f t="shared" si="128"/>
        <v>5789.4915199999796</v>
      </c>
      <c r="T164" s="423">
        <f t="shared" si="129"/>
        <v>0</v>
      </c>
      <c r="U164" s="423"/>
      <c r="V164" s="423">
        <f t="shared" si="135"/>
        <v>134789.49152000001</v>
      </c>
      <c r="W164" s="430">
        <v>12</v>
      </c>
      <c r="X164" s="423">
        <f t="shared" si="130"/>
        <v>11232.457626666701</v>
      </c>
      <c r="Y164" s="426"/>
      <c r="Z164" s="423">
        <f t="shared" si="131"/>
        <v>11232.457626666701</v>
      </c>
      <c r="AA164" s="509">
        <v>11232.457626666701</v>
      </c>
      <c r="AB164" s="179">
        <f t="shared" si="134"/>
        <v>0</v>
      </c>
      <c r="AC164" s="179"/>
      <c r="AD164" s="179"/>
      <c r="AE164" s="179"/>
    </row>
    <row r="165" spans="1:31" ht="18.75">
      <c r="A165" s="497">
        <v>148</v>
      </c>
      <c r="B165" s="9" t="s">
        <v>300</v>
      </c>
      <c r="C165" s="423">
        <v>135590.73000000001</v>
      </c>
      <c r="D165" s="422">
        <v>12</v>
      </c>
      <c r="E165" s="423">
        <f t="shared" si="132"/>
        <v>1627088.76</v>
      </c>
      <c r="F165" s="423"/>
      <c r="G165" s="426"/>
      <c r="H165" s="426"/>
      <c r="I165" s="423">
        <f t="shared" si="133"/>
        <v>1627088.76</v>
      </c>
      <c r="J165" s="423">
        <v>200000</v>
      </c>
      <c r="K165" s="423">
        <v>0.2</v>
      </c>
      <c r="L165" s="423">
        <f t="shared" si="121"/>
        <v>325417.75199999998</v>
      </c>
      <c r="M165" s="423">
        <f t="shared" si="122"/>
        <v>525417.75199999998</v>
      </c>
      <c r="N165" s="423">
        <f t="shared" si="123"/>
        <v>525417.75199999998</v>
      </c>
      <c r="O165" s="423">
        <f t="shared" si="124"/>
        <v>1101671.0079999999</v>
      </c>
      <c r="P165" s="423">
        <f t="shared" si="125"/>
        <v>21000</v>
      </c>
      <c r="Q165" s="423">
        <f t="shared" si="126"/>
        <v>33000</v>
      </c>
      <c r="R165" s="423">
        <f t="shared" si="127"/>
        <v>75000</v>
      </c>
      <c r="S165" s="423">
        <f t="shared" si="128"/>
        <v>317.49151999998401</v>
      </c>
      <c r="T165" s="423">
        <f t="shared" si="129"/>
        <v>0</v>
      </c>
      <c r="U165" s="423"/>
      <c r="V165" s="423">
        <f t="shared" si="135"/>
        <v>129317.49152</v>
      </c>
      <c r="W165" s="430">
        <v>12</v>
      </c>
      <c r="X165" s="423">
        <f t="shared" si="130"/>
        <v>10776.457626666701</v>
      </c>
      <c r="Y165" s="426"/>
      <c r="Z165" s="423">
        <f t="shared" si="131"/>
        <v>10776.457626666701</v>
      </c>
      <c r="AA165" s="179">
        <v>10776.457626666701</v>
      </c>
      <c r="AB165" s="179">
        <f t="shared" si="134"/>
        <v>0</v>
      </c>
      <c r="AC165" s="179"/>
      <c r="AD165" s="179"/>
      <c r="AE165" s="179"/>
    </row>
    <row r="166" spans="1:31" ht="18.75">
      <c r="A166" s="497">
        <v>149</v>
      </c>
      <c r="B166" s="16" t="s">
        <v>301</v>
      </c>
      <c r="C166" s="423">
        <v>135590.73000000001</v>
      </c>
      <c r="D166" s="422">
        <v>12</v>
      </c>
      <c r="E166" s="423">
        <f t="shared" si="132"/>
        <v>1627088.76</v>
      </c>
      <c r="F166" s="423"/>
      <c r="G166" s="426"/>
      <c r="H166" s="426"/>
      <c r="I166" s="423">
        <f t="shared" si="133"/>
        <v>1627088.76</v>
      </c>
      <c r="J166" s="423">
        <v>200000</v>
      </c>
      <c r="K166" s="423">
        <v>0.2</v>
      </c>
      <c r="L166" s="423">
        <f t="shared" si="121"/>
        <v>325417.75199999998</v>
      </c>
      <c r="M166" s="423">
        <f t="shared" si="122"/>
        <v>525417.75199999998</v>
      </c>
      <c r="N166" s="423">
        <f t="shared" si="123"/>
        <v>525417.75199999998</v>
      </c>
      <c r="O166" s="423">
        <f t="shared" si="124"/>
        <v>1101671.0079999999</v>
      </c>
      <c r="P166" s="423">
        <f t="shared" si="125"/>
        <v>21000</v>
      </c>
      <c r="Q166" s="423">
        <f t="shared" si="126"/>
        <v>33000</v>
      </c>
      <c r="R166" s="423">
        <f t="shared" si="127"/>
        <v>75000</v>
      </c>
      <c r="S166" s="423">
        <f t="shared" si="128"/>
        <v>317.49151999998401</v>
      </c>
      <c r="T166" s="423">
        <f t="shared" si="129"/>
        <v>0</v>
      </c>
      <c r="U166" s="423"/>
      <c r="V166" s="423">
        <f t="shared" si="135"/>
        <v>129317.49152</v>
      </c>
      <c r="W166" s="430">
        <v>12</v>
      </c>
      <c r="X166" s="423">
        <f t="shared" si="130"/>
        <v>10776.457626666701</v>
      </c>
      <c r="Y166" s="426"/>
      <c r="Z166" s="423">
        <f t="shared" si="131"/>
        <v>10776.457626666701</v>
      </c>
      <c r="AA166" s="179">
        <v>10776.457626666701</v>
      </c>
      <c r="AB166" s="179">
        <f t="shared" si="134"/>
        <v>0</v>
      </c>
      <c r="AC166" s="179"/>
      <c r="AD166" s="179"/>
      <c r="AE166" s="179"/>
    </row>
    <row r="167" spans="1:31" ht="18.75">
      <c r="A167" s="497">
        <v>150</v>
      </c>
      <c r="B167" s="16" t="s">
        <v>302</v>
      </c>
      <c r="C167" s="423">
        <v>138590.73000000001</v>
      </c>
      <c r="D167" s="422">
        <v>12</v>
      </c>
      <c r="E167" s="423">
        <f t="shared" si="132"/>
        <v>1663088.76</v>
      </c>
      <c r="F167" s="423"/>
      <c r="G167" s="426"/>
      <c r="H167" s="426"/>
      <c r="I167" s="423">
        <f t="shared" si="133"/>
        <v>1663088.76</v>
      </c>
      <c r="J167" s="423">
        <v>200000</v>
      </c>
      <c r="K167" s="423">
        <v>0.2</v>
      </c>
      <c r="L167" s="423">
        <f t="shared" si="121"/>
        <v>332617.75199999998</v>
      </c>
      <c r="M167" s="423">
        <f t="shared" si="122"/>
        <v>532617.75199999998</v>
      </c>
      <c r="N167" s="423">
        <f t="shared" si="123"/>
        <v>532617.75199999998</v>
      </c>
      <c r="O167" s="423">
        <f t="shared" si="124"/>
        <v>1130471.0079999999</v>
      </c>
      <c r="P167" s="423">
        <f t="shared" si="125"/>
        <v>21000</v>
      </c>
      <c r="Q167" s="423">
        <f t="shared" si="126"/>
        <v>33000</v>
      </c>
      <c r="R167" s="423">
        <f t="shared" si="127"/>
        <v>75000</v>
      </c>
      <c r="S167" s="423">
        <f t="shared" si="128"/>
        <v>5789.4915199999796</v>
      </c>
      <c r="T167" s="423">
        <f t="shared" si="129"/>
        <v>0</v>
      </c>
      <c r="U167" s="423"/>
      <c r="V167" s="423">
        <f t="shared" si="135"/>
        <v>134789.49152000001</v>
      </c>
      <c r="W167" s="430">
        <v>12</v>
      </c>
      <c r="X167" s="423">
        <f t="shared" si="130"/>
        <v>11232.457626666701</v>
      </c>
      <c r="Y167" s="426"/>
      <c r="Z167" s="423">
        <f t="shared" si="131"/>
        <v>11232.457626666701</v>
      </c>
      <c r="AA167" s="179">
        <v>11232.457626666701</v>
      </c>
      <c r="AB167" s="179">
        <f t="shared" si="134"/>
        <v>0</v>
      </c>
      <c r="AC167" s="179"/>
      <c r="AD167" s="179"/>
      <c r="AE167" s="179"/>
    </row>
    <row r="168" spans="1:31" ht="37.5">
      <c r="A168" s="497">
        <v>151</v>
      </c>
      <c r="B168" s="9" t="s">
        <v>303</v>
      </c>
      <c r="C168" s="423">
        <v>122104.99825</v>
      </c>
      <c r="D168" s="422">
        <v>12</v>
      </c>
      <c r="E168" s="423">
        <f t="shared" si="132"/>
        <v>1465259.9790000001</v>
      </c>
      <c r="F168" s="423"/>
      <c r="G168" s="426"/>
      <c r="H168" s="426"/>
      <c r="I168" s="423">
        <f t="shared" si="133"/>
        <v>1465259.9790000001</v>
      </c>
      <c r="J168" s="423">
        <v>200000</v>
      </c>
      <c r="K168" s="423">
        <v>0.2</v>
      </c>
      <c r="L168" s="423">
        <f t="shared" si="121"/>
        <v>293051.99579999998</v>
      </c>
      <c r="M168" s="423">
        <f t="shared" si="122"/>
        <v>493051.99579999998</v>
      </c>
      <c r="N168" s="423">
        <f t="shared" si="123"/>
        <v>493051.99579999998</v>
      </c>
      <c r="O168" s="423">
        <f t="shared" si="124"/>
        <v>972207.98320000002</v>
      </c>
      <c r="P168" s="423">
        <f t="shared" si="125"/>
        <v>21000</v>
      </c>
      <c r="Q168" s="423">
        <f t="shared" si="126"/>
        <v>33000</v>
      </c>
      <c r="R168" s="423">
        <f t="shared" si="127"/>
        <v>55831.197480000003</v>
      </c>
      <c r="S168" s="423">
        <f t="shared" si="128"/>
        <v>0</v>
      </c>
      <c r="T168" s="423">
        <f t="shared" si="129"/>
        <v>0</v>
      </c>
      <c r="U168" s="423"/>
      <c r="V168" s="423">
        <f t="shared" si="135"/>
        <v>109831.19748</v>
      </c>
      <c r="W168" s="430">
        <v>12</v>
      </c>
      <c r="X168" s="423">
        <f t="shared" si="130"/>
        <v>9152.5997900000002</v>
      </c>
      <c r="Y168" s="426"/>
      <c r="Z168" s="423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7">
        <v>152</v>
      </c>
      <c r="B169" s="9" t="s">
        <v>306</v>
      </c>
      <c r="C169" s="423">
        <v>122104.99825</v>
      </c>
      <c r="D169" s="422">
        <v>12</v>
      </c>
      <c r="E169" s="423">
        <f t="shared" si="132"/>
        <v>1465259.9790000001</v>
      </c>
      <c r="F169" s="423"/>
      <c r="G169" s="426"/>
      <c r="H169" s="426"/>
      <c r="I169" s="423">
        <f t="shared" si="133"/>
        <v>1465259.9790000001</v>
      </c>
      <c r="J169" s="423">
        <v>200000</v>
      </c>
      <c r="K169" s="423">
        <v>0.2</v>
      </c>
      <c r="L169" s="423">
        <f t="shared" si="121"/>
        <v>293051.99579999998</v>
      </c>
      <c r="M169" s="423">
        <f t="shared" si="122"/>
        <v>493051.99579999998</v>
      </c>
      <c r="N169" s="423">
        <f t="shared" si="123"/>
        <v>493051.99579999998</v>
      </c>
      <c r="O169" s="423">
        <f t="shared" si="124"/>
        <v>972207.98320000002</v>
      </c>
      <c r="P169" s="423">
        <f t="shared" si="125"/>
        <v>21000</v>
      </c>
      <c r="Q169" s="423">
        <f t="shared" si="126"/>
        <v>33000</v>
      </c>
      <c r="R169" s="423">
        <f t="shared" si="127"/>
        <v>55831.197480000003</v>
      </c>
      <c r="S169" s="423">
        <f t="shared" si="128"/>
        <v>0</v>
      </c>
      <c r="T169" s="423">
        <f t="shared" si="129"/>
        <v>0</v>
      </c>
      <c r="U169" s="423"/>
      <c r="V169" s="423">
        <f t="shared" si="135"/>
        <v>109831.19748</v>
      </c>
      <c r="W169" s="430">
        <v>12</v>
      </c>
      <c r="X169" s="423">
        <f t="shared" si="130"/>
        <v>9152.5997900000002</v>
      </c>
      <c r="Y169" s="426"/>
      <c r="Z169" s="423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7">
        <v>153</v>
      </c>
      <c r="B170" s="16" t="s">
        <v>307</v>
      </c>
      <c r="C170" s="423">
        <v>125035.03449999999</v>
      </c>
      <c r="D170" s="422">
        <v>12</v>
      </c>
      <c r="E170" s="423">
        <f t="shared" si="132"/>
        <v>1500420.4140000001</v>
      </c>
      <c r="F170" s="423"/>
      <c r="G170" s="426"/>
      <c r="H170" s="426"/>
      <c r="I170" s="423">
        <f t="shared" si="133"/>
        <v>1500420.4140000001</v>
      </c>
      <c r="J170" s="423">
        <v>200000</v>
      </c>
      <c r="K170" s="423">
        <v>0.2</v>
      </c>
      <c r="L170" s="423">
        <f t="shared" si="121"/>
        <v>300084.08279999997</v>
      </c>
      <c r="M170" s="423">
        <f t="shared" si="122"/>
        <v>500084.08279999997</v>
      </c>
      <c r="N170" s="423">
        <f t="shared" si="123"/>
        <v>500084.08279999997</v>
      </c>
      <c r="O170" s="423">
        <f t="shared" si="124"/>
        <v>1000336.3312</v>
      </c>
      <c r="P170" s="423">
        <f t="shared" si="125"/>
        <v>21000</v>
      </c>
      <c r="Q170" s="423">
        <f t="shared" si="126"/>
        <v>33000</v>
      </c>
      <c r="R170" s="423">
        <f t="shared" si="127"/>
        <v>60050.449679999998</v>
      </c>
      <c r="S170" s="423">
        <f t="shared" si="128"/>
        <v>0</v>
      </c>
      <c r="T170" s="423">
        <f t="shared" si="129"/>
        <v>0</v>
      </c>
      <c r="U170" s="423"/>
      <c r="V170" s="423">
        <f t="shared" si="135"/>
        <v>114050.44968000001</v>
      </c>
      <c r="W170" s="430">
        <v>12</v>
      </c>
      <c r="X170" s="423">
        <f t="shared" si="130"/>
        <v>9504.2041399999998</v>
      </c>
      <c r="Y170" s="426"/>
      <c r="Z170" s="423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7">
        <v>154</v>
      </c>
      <c r="B171" s="9" t="s">
        <v>309</v>
      </c>
      <c r="C171" s="423">
        <v>81803.001000000004</v>
      </c>
      <c r="D171" s="422">
        <v>12</v>
      </c>
      <c r="E171" s="423">
        <f t="shared" si="132"/>
        <v>981636.01199999999</v>
      </c>
      <c r="F171" s="423"/>
      <c r="G171" s="426"/>
      <c r="H171" s="426"/>
      <c r="I171" s="423">
        <f t="shared" si="133"/>
        <v>981636.01199999999</v>
      </c>
      <c r="J171" s="423">
        <v>200000</v>
      </c>
      <c r="K171" s="423">
        <v>0.2</v>
      </c>
      <c r="L171" s="423">
        <f t="shared" si="121"/>
        <v>196327.20240000001</v>
      </c>
      <c r="M171" s="423">
        <f t="shared" si="122"/>
        <v>396327.20240000001</v>
      </c>
      <c r="N171" s="423">
        <f t="shared" si="123"/>
        <v>396327.20240000001</v>
      </c>
      <c r="O171" s="423">
        <f t="shared" si="124"/>
        <v>585308.80960000004</v>
      </c>
      <c r="P171" s="423">
        <f t="shared" si="125"/>
        <v>21000</v>
      </c>
      <c r="Q171" s="423">
        <f t="shared" si="126"/>
        <v>31383.969056000002</v>
      </c>
      <c r="R171" s="423">
        <f t="shared" si="127"/>
        <v>0</v>
      </c>
      <c r="S171" s="423">
        <f t="shared" si="128"/>
        <v>0</v>
      </c>
      <c r="T171" s="423">
        <f t="shared" si="129"/>
        <v>0</v>
      </c>
      <c r="U171" s="423"/>
      <c r="V171" s="423">
        <f t="shared" si="135"/>
        <v>52383.969056000002</v>
      </c>
      <c r="W171" s="430">
        <v>12</v>
      </c>
      <c r="X171" s="423">
        <f t="shared" si="130"/>
        <v>4365.3307546666701</v>
      </c>
      <c r="Y171" s="426"/>
      <c r="Z171" s="423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7">
        <v>155</v>
      </c>
      <c r="B172" s="9" t="s">
        <v>312</v>
      </c>
      <c r="C172" s="423">
        <v>80237.012000000002</v>
      </c>
      <c r="D172" s="422">
        <v>12</v>
      </c>
      <c r="E172" s="423">
        <f t="shared" si="132"/>
        <v>962844.14399999997</v>
      </c>
      <c r="F172" s="423"/>
      <c r="G172" s="426"/>
      <c r="H172" s="426"/>
      <c r="I172" s="423">
        <f t="shared" si="133"/>
        <v>962844.14399999997</v>
      </c>
      <c r="J172" s="423">
        <v>200000</v>
      </c>
      <c r="K172" s="423">
        <v>0.2</v>
      </c>
      <c r="L172" s="423">
        <f t="shared" si="121"/>
        <v>192568.82879999999</v>
      </c>
      <c r="M172" s="423">
        <f t="shared" si="122"/>
        <v>392568.82880000002</v>
      </c>
      <c r="N172" s="423">
        <f t="shared" si="123"/>
        <v>392568.82880000002</v>
      </c>
      <c r="O172" s="423">
        <f t="shared" si="124"/>
        <v>570275.31519999995</v>
      </c>
      <c r="P172" s="423">
        <f t="shared" si="125"/>
        <v>21000</v>
      </c>
      <c r="Q172" s="423">
        <f t="shared" si="126"/>
        <v>29730.284672000002</v>
      </c>
      <c r="R172" s="423">
        <f t="shared" si="127"/>
        <v>0</v>
      </c>
      <c r="S172" s="423">
        <f t="shared" si="128"/>
        <v>0</v>
      </c>
      <c r="T172" s="423">
        <f t="shared" si="129"/>
        <v>0</v>
      </c>
      <c r="U172" s="423"/>
      <c r="V172" s="423">
        <f t="shared" si="135"/>
        <v>50730.284672000002</v>
      </c>
      <c r="W172" s="430">
        <v>12</v>
      </c>
      <c r="X172" s="423">
        <f t="shared" si="130"/>
        <v>4227.5237226666704</v>
      </c>
      <c r="Y172" s="426"/>
      <c r="Z172" s="423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3" customFormat="1" ht="18.75">
      <c r="A173" s="501">
        <v>156</v>
      </c>
      <c r="B173" s="9" t="s">
        <v>315</v>
      </c>
      <c r="C173" s="423">
        <v>77237.012000000002</v>
      </c>
      <c r="D173" s="422">
        <v>12</v>
      </c>
      <c r="E173" s="423">
        <f t="shared" si="132"/>
        <v>926844.14399999997</v>
      </c>
      <c r="F173" s="423"/>
      <c r="G173" s="426"/>
      <c r="H173" s="426"/>
      <c r="I173" s="423">
        <f t="shared" si="133"/>
        <v>926844.14399999997</v>
      </c>
      <c r="J173" s="423">
        <v>200000</v>
      </c>
      <c r="K173" s="423">
        <v>0.2</v>
      </c>
      <c r="L173" s="423">
        <f t="shared" si="121"/>
        <v>185368.82879999999</v>
      </c>
      <c r="M173" s="423">
        <f t="shared" si="122"/>
        <v>385368.82880000002</v>
      </c>
      <c r="N173" s="423">
        <f t="shared" si="123"/>
        <v>385368.82880000002</v>
      </c>
      <c r="O173" s="423">
        <f t="shared" si="124"/>
        <v>541475.31519999995</v>
      </c>
      <c r="P173" s="423">
        <f t="shared" si="125"/>
        <v>21000</v>
      </c>
      <c r="Q173" s="423">
        <f t="shared" si="126"/>
        <v>26562.284672000002</v>
      </c>
      <c r="R173" s="423">
        <f t="shared" si="127"/>
        <v>0</v>
      </c>
      <c r="S173" s="423">
        <f t="shared" si="128"/>
        <v>0</v>
      </c>
      <c r="T173" s="423">
        <f t="shared" si="129"/>
        <v>0</v>
      </c>
      <c r="U173" s="423"/>
      <c r="V173" s="423">
        <f t="shared" si="135"/>
        <v>47562.284672000002</v>
      </c>
      <c r="W173" s="430">
        <v>12</v>
      </c>
      <c r="X173" s="423">
        <f t="shared" si="130"/>
        <v>3963.52372266667</v>
      </c>
      <c r="Y173" s="426"/>
      <c r="Z173" s="423">
        <f t="shared" si="131"/>
        <v>3963.52372266667</v>
      </c>
      <c r="AA173" s="179">
        <v>3963.52372266667</v>
      </c>
      <c r="AB173" s="179">
        <f t="shared" si="134"/>
        <v>0</v>
      </c>
      <c r="AC173" s="509"/>
      <c r="AD173" s="509"/>
      <c r="AE173" s="509"/>
    </row>
    <row r="174" spans="1:31" ht="18.75">
      <c r="A174" s="497">
        <v>157</v>
      </c>
      <c r="B174" s="9" t="s">
        <v>316</v>
      </c>
      <c r="C174" s="423">
        <v>80237.012000000002</v>
      </c>
      <c r="D174" s="422">
        <v>12</v>
      </c>
      <c r="E174" s="423">
        <f t="shared" si="132"/>
        <v>962844.14399999997</v>
      </c>
      <c r="F174" s="423"/>
      <c r="G174" s="426"/>
      <c r="H174" s="426"/>
      <c r="I174" s="423">
        <f t="shared" si="133"/>
        <v>962844.14399999997</v>
      </c>
      <c r="J174" s="423">
        <v>200000</v>
      </c>
      <c r="K174" s="423">
        <v>0.2</v>
      </c>
      <c r="L174" s="423">
        <f t="shared" si="121"/>
        <v>192568.82879999999</v>
      </c>
      <c r="M174" s="423">
        <f t="shared" si="122"/>
        <v>392568.82880000002</v>
      </c>
      <c r="N174" s="423">
        <f t="shared" si="123"/>
        <v>392568.82880000002</v>
      </c>
      <c r="O174" s="423">
        <f t="shared" si="124"/>
        <v>570275.31519999995</v>
      </c>
      <c r="P174" s="423">
        <f t="shared" si="125"/>
        <v>21000</v>
      </c>
      <c r="Q174" s="423">
        <f t="shared" si="126"/>
        <v>29730.284672000002</v>
      </c>
      <c r="R174" s="423">
        <f t="shared" si="127"/>
        <v>0</v>
      </c>
      <c r="S174" s="423">
        <f t="shared" si="128"/>
        <v>0</v>
      </c>
      <c r="T174" s="423">
        <f t="shared" si="129"/>
        <v>0</v>
      </c>
      <c r="U174" s="423"/>
      <c r="V174" s="423">
        <f t="shared" si="135"/>
        <v>50730.284672000002</v>
      </c>
      <c r="W174" s="430">
        <v>12</v>
      </c>
      <c r="X174" s="423">
        <f t="shared" si="130"/>
        <v>4227.5237226666704</v>
      </c>
      <c r="Y174" s="426"/>
      <c r="Z174" s="423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3"/>
      <c r="B175" s="9" t="s">
        <v>317</v>
      </c>
      <c r="C175" s="439">
        <v>77237.012000000002</v>
      </c>
      <c r="D175" s="422">
        <v>12</v>
      </c>
      <c r="E175" s="423">
        <f t="shared" si="132"/>
        <v>926844.14399999997</v>
      </c>
      <c r="F175" s="423"/>
      <c r="G175" s="426"/>
      <c r="H175" s="426"/>
      <c r="I175" s="423">
        <f t="shared" si="133"/>
        <v>926844.14399999997</v>
      </c>
      <c r="J175" s="423">
        <v>200000</v>
      </c>
      <c r="K175" s="423">
        <v>0.2</v>
      </c>
      <c r="L175" s="423">
        <f t="shared" si="121"/>
        <v>185368.82879999999</v>
      </c>
      <c r="M175" s="423">
        <f t="shared" si="122"/>
        <v>385368.82880000002</v>
      </c>
      <c r="N175" s="423">
        <f t="shared" si="123"/>
        <v>385368.82880000002</v>
      </c>
      <c r="O175" s="423">
        <f t="shared" si="124"/>
        <v>541475.31519999995</v>
      </c>
      <c r="P175" s="423">
        <f t="shared" si="125"/>
        <v>21000</v>
      </c>
      <c r="Q175" s="423">
        <f t="shared" si="126"/>
        <v>26562.284672000002</v>
      </c>
      <c r="R175" s="423">
        <f t="shared" si="127"/>
        <v>0</v>
      </c>
      <c r="S175" s="423">
        <f t="shared" si="128"/>
        <v>0</v>
      </c>
      <c r="T175" s="423">
        <f t="shared" si="129"/>
        <v>0</v>
      </c>
      <c r="U175" s="423"/>
      <c r="V175" s="423">
        <f t="shared" si="135"/>
        <v>47562.284672000002</v>
      </c>
      <c r="W175" s="430">
        <v>12</v>
      </c>
      <c r="X175" s="423">
        <f t="shared" si="130"/>
        <v>3963.52372266667</v>
      </c>
      <c r="Y175" s="426"/>
      <c r="Z175" s="423">
        <f t="shared" si="131"/>
        <v>3963.52372266667</v>
      </c>
      <c r="AA175" s="509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3"/>
      <c r="B176" s="9" t="s">
        <v>318</v>
      </c>
      <c r="C176" s="439">
        <v>80237.012000000002</v>
      </c>
      <c r="D176" s="422">
        <v>12</v>
      </c>
      <c r="E176" s="423">
        <f t="shared" si="132"/>
        <v>962844.14399999997</v>
      </c>
      <c r="F176" s="423"/>
      <c r="G176" s="426"/>
      <c r="H176" s="426"/>
      <c r="I176" s="423">
        <f t="shared" si="133"/>
        <v>962844.14399999997</v>
      </c>
      <c r="J176" s="423">
        <v>200000</v>
      </c>
      <c r="K176" s="423">
        <v>0.2</v>
      </c>
      <c r="L176" s="423">
        <f t="shared" si="121"/>
        <v>192568.82879999999</v>
      </c>
      <c r="M176" s="423">
        <f t="shared" si="122"/>
        <v>392568.82880000002</v>
      </c>
      <c r="N176" s="423">
        <f t="shared" si="123"/>
        <v>392568.82880000002</v>
      </c>
      <c r="O176" s="423">
        <f t="shared" si="124"/>
        <v>570275.31519999995</v>
      </c>
      <c r="P176" s="423">
        <f t="shared" si="125"/>
        <v>21000</v>
      </c>
      <c r="Q176" s="423">
        <f t="shared" si="126"/>
        <v>29730.284672000002</v>
      </c>
      <c r="R176" s="423">
        <f t="shared" si="127"/>
        <v>0</v>
      </c>
      <c r="S176" s="423">
        <f t="shared" si="128"/>
        <v>0</v>
      </c>
      <c r="T176" s="423">
        <f t="shared" si="129"/>
        <v>0</v>
      </c>
      <c r="U176" s="423"/>
      <c r="V176" s="423">
        <f t="shared" si="135"/>
        <v>50730.284672000002</v>
      </c>
      <c r="W176" s="430">
        <v>12</v>
      </c>
      <c r="X176" s="423">
        <f t="shared" si="130"/>
        <v>4227.5237226666704</v>
      </c>
      <c r="Y176" s="426"/>
      <c r="Z176" s="423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319</v>
      </c>
      <c r="C177" s="435">
        <v>77237.012000000002</v>
      </c>
      <c r="D177" s="422">
        <v>12</v>
      </c>
      <c r="E177" s="423">
        <f t="shared" si="132"/>
        <v>926844.14399999997</v>
      </c>
      <c r="F177" s="258"/>
      <c r="G177" s="258"/>
      <c r="H177" s="258"/>
      <c r="I177" s="423">
        <f t="shared" si="133"/>
        <v>926844.14399999997</v>
      </c>
      <c r="J177" s="423">
        <v>200000</v>
      </c>
      <c r="K177" s="423">
        <v>0.2</v>
      </c>
      <c r="L177" s="423">
        <f t="shared" si="121"/>
        <v>185368.82879999999</v>
      </c>
      <c r="M177" s="423">
        <f t="shared" si="122"/>
        <v>385368.82880000002</v>
      </c>
      <c r="N177" s="423">
        <f t="shared" si="123"/>
        <v>385368.82880000002</v>
      </c>
      <c r="O177" s="423">
        <f t="shared" si="124"/>
        <v>541475.31519999995</v>
      </c>
      <c r="P177" s="423">
        <f t="shared" si="125"/>
        <v>21000</v>
      </c>
      <c r="Q177" s="423">
        <f t="shared" si="126"/>
        <v>26562.284672000002</v>
      </c>
      <c r="R177" s="423">
        <f t="shared" si="127"/>
        <v>0</v>
      </c>
      <c r="S177" s="423">
        <f t="shared" si="128"/>
        <v>0</v>
      </c>
      <c r="T177" s="423">
        <f t="shared" si="129"/>
        <v>0</v>
      </c>
      <c r="U177" s="423"/>
      <c r="V177" s="423">
        <f t="shared" si="135"/>
        <v>47562.284672000002</v>
      </c>
      <c r="W177" s="430">
        <v>12</v>
      </c>
      <c r="X177" s="423">
        <f t="shared" si="130"/>
        <v>3963.52372266667</v>
      </c>
      <c r="Y177" s="258"/>
      <c r="Z177" s="423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320</v>
      </c>
      <c r="C178" s="435">
        <v>80237.012000000002</v>
      </c>
      <c r="D178" s="422">
        <v>12</v>
      </c>
      <c r="E178" s="423">
        <f t="shared" si="132"/>
        <v>962844.14399999997</v>
      </c>
      <c r="F178" s="258"/>
      <c r="G178" s="258"/>
      <c r="H178" s="258"/>
      <c r="I178" s="423">
        <f t="shared" si="133"/>
        <v>962844.14399999997</v>
      </c>
      <c r="J178" s="423">
        <v>200000</v>
      </c>
      <c r="K178" s="423">
        <v>0.2</v>
      </c>
      <c r="L178" s="423">
        <f t="shared" si="121"/>
        <v>192568.82879999999</v>
      </c>
      <c r="M178" s="423">
        <f t="shared" si="122"/>
        <v>392568.82880000002</v>
      </c>
      <c r="N178" s="423">
        <f t="shared" si="123"/>
        <v>392568.82880000002</v>
      </c>
      <c r="O178" s="423">
        <f t="shared" si="124"/>
        <v>570275.31519999995</v>
      </c>
      <c r="P178" s="423">
        <f t="shared" si="125"/>
        <v>21000</v>
      </c>
      <c r="Q178" s="423">
        <f t="shared" si="126"/>
        <v>29730.284672000002</v>
      </c>
      <c r="R178" s="423">
        <f t="shared" si="127"/>
        <v>0</v>
      </c>
      <c r="S178" s="423">
        <f t="shared" si="128"/>
        <v>0</v>
      </c>
      <c r="T178" s="423">
        <f t="shared" si="129"/>
        <v>0</v>
      </c>
      <c r="U178" s="258"/>
      <c r="V178" s="423">
        <f t="shared" si="135"/>
        <v>50730.284672000002</v>
      </c>
      <c r="W178" s="430">
        <v>12</v>
      </c>
      <c r="X178" s="423">
        <f t="shared" si="130"/>
        <v>4227.5237226666704</v>
      </c>
      <c r="Y178" s="258"/>
      <c r="Z178" s="423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321</v>
      </c>
      <c r="C179" s="435">
        <v>78671.023000000001</v>
      </c>
      <c r="D179" s="422">
        <v>12</v>
      </c>
      <c r="E179" s="423">
        <f t="shared" si="132"/>
        <v>944052.27599999995</v>
      </c>
      <c r="F179" s="258"/>
      <c r="G179" s="258"/>
      <c r="H179" s="258"/>
      <c r="I179" s="423">
        <f t="shared" si="133"/>
        <v>944052.27599999995</v>
      </c>
      <c r="J179" s="423">
        <v>200000</v>
      </c>
      <c r="K179" s="423">
        <v>0.2</v>
      </c>
      <c r="L179" s="423">
        <f t="shared" si="121"/>
        <v>188810.4552</v>
      </c>
      <c r="M179" s="423">
        <f t="shared" si="122"/>
        <v>388810.45520000003</v>
      </c>
      <c r="N179" s="423">
        <f t="shared" si="123"/>
        <v>388810.45520000003</v>
      </c>
      <c r="O179" s="423">
        <f t="shared" si="124"/>
        <v>555241.82079999999</v>
      </c>
      <c r="P179" s="423">
        <f t="shared" si="125"/>
        <v>21000</v>
      </c>
      <c r="Q179" s="423">
        <f t="shared" si="126"/>
        <v>28076.600288000001</v>
      </c>
      <c r="R179" s="423">
        <f t="shared" si="127"/>
        <v>0</v>
      </c>
      <c r="S179" s="423">
        <f t="shared" si="128"/>
        <v>0</v>
      </c>
      <c r="T179" s="423">
        <f t="shared" si="129"/>
        <v>0</v>
      </c>
      <c r="U179" s="258"/>
      <c r="V179" s="423">
        <f t="shared" si="135"/>
        <v>49076.600288000001</v>
      </c>
      <c r="W179" s="430">
        <v>12</v>
      </c>
      <c r="X179" s="423">
        <f t="shared" si="130"/>
        <v>4089.7166906666698</v>
      </c>
      <c r="Y179" s="258"/>
      <c r="Z179" s="423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322</v>
      </c>
      <c r="C180" s="435">
        <v>80237.012000000002</v>
      </c>
      <c r="D180" s="422">
        <v>12</v>
      </c>
      <c r="E180" s="423">
        <f t="shared" si="132"/>
        <v>962844.14399999997</v>
      </c>
      <c r="F180" s="258"/>
      <c r="G180" s="258"/>
      <c r="H180" s="258"/>
      <c r="I180" s="423">
        <f t="shared" si="133"/>
        <v>962844.14399999997</v>
      </c>
      <c r="J180" s="423">
        <v>200000</v>
      </c>
      <c r="K180" s="423">
        <v>0.2</v>
      </c>
      <c r="L180" s="423">
        <f t="shared" si="121"/>
        <v>192568.82879999999</v>
      </c>
      <c r="M180" s="423">
        <f t="shared" si="122"/>
        <v>392568.82880000002</v>
      </c>
      <c r="N180" s="423">
        <f t="shared" si="123"/>
        <v>392568.82880000002</v>
      </c>
      <c r="O180" s="423">
        <f t="shared" si="124"/>
        <v>570275.31519999995</v>
      </c>
      <c r="P180" s="423">
        <f t="shared" si="125"/>
        <v>21000</v>
      </c>
      <c r="Q180" s="423">
        <f t="shared" si="126"/>
        <v>29730.284672000002</v>
      </c>
      <c r="R180" s="423">
        <f t="shared" si="127"/>
        <v>0</v>
      </c>
      <c r="S180" s="423">
        <f t="shared" si="128"/>
        <v>0</v>
      </c>
      <c r="T180" s="423">
        <f t="shared" si="129"/>
        <v>0</v>
      </c>
      <c r="U180" s="258"/>
      <c r="V180" s="423">
        <f t="shared" si="135"/>
        <v>50730.284672000002</v>
      </c>
      <c r="W180" s="430">
        <v>12</v>
      </c>
      <c r="X180" s="423">
        <f t="shared" si="130"/>
        <v>4227.5237226666704</v>
      </c>
      <c r="Y180" s="258"/>
      <c r="Z180" s="423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323</v>
      </c>
      <c r="C181" s="435">
        <v>78671.023000000001</v>
      </c>
      <c r="D181" s="422">
        <v>12</v>
      </c>
      <c r="E181" s="423">
        <f t="shared" si="132"/>
        <v>944052.27599999995</v>
      </c>
      <c r="F181" s="258"/>
      <c r="G181" s="258"/>
      <c r="H181" s="258"/>
      <c r="I181" s="423">
        <f t="shared" si="133"/>
        <v>944052.27599999995</v>
      </c>
      <c r="J181" s="423">
        <v>200000</v>
      </c>
      <c r="K181" s="423">
        <v>0.2</v>
      </c>
      <c r="L181" s="423">
        <f t="shared" si="121"/>
        <v>188810.4552</v>
      </c>
      <c r="M181" s="423">
        <f t="shared" si="122"/>
        <v>388810.45520000003</v>
      </c>
      <c r="N181" s="423">
        <f t="shared" si="123"/>
        <v>388810.45520000003</v>
      </c>
      <c r="O181" s="423">
        <f t="shared" si="124"/>
        <v>555241.82079999999</v>
      </c>
      <c r="P181" s="423">
        <f t="shared" si="125"/>
        <v>21000</v>
      </c>
      <c r="Q181" s="423">
        <f t="shared" si="126"/>
        <v>28076.600288000001</v>
      </c>
      <c r="R181" s="423">
        <f t="shared" si="127"/>
        <v>0</v>
      </c>
      <c r="S181" s="423">
        <f t="shared" si="128"/>
        <v>0</v>
      </c>
      <c r="T181" s="423">
        <f t="shared" si="129"/>
        <v>0</v>
      </c>
      <c r="U181" s="258"/>
      <c r="V181" s="423">
        <f t="shared" si="135"/>
        <v>49076.600288000001</v>
      </c>
      <c r="W181" s="430">
        <v>12</v>
      </c>
      <c r="X181" s="423">
        <f t="shared" si="130"/>
        <v>4089.7166906666698</v>
      </c>
      <c r="Y181" s="258"/>
      <c r="Z181" s="423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328</v>
      </c>
      <c r="C182" s="435">
        <v>68675.997025000004</v>
      </c>
      <c r="D182" s="422">
        <v>12</v>
      </c>
      <c r="E182" s="423">
        <f t="shared" si="132"/>
        <v>824111.96429999999</v>
      </c>
      <c r="F182" s="258"/>
      <c r="G182" s="258"/>
      <c r="H182" s="258"/>
      <c r="I182" s="423">
        <f t="shared" si="133"/>
        <v>824111.96429999999</v>
      </c>
      <c r="J182" s="423">
        <v>200000</v>
      </c>
      <c r="K182" s="423">
        <v>0.2</v>
      </c>
      <c r="L182" s="423">
        <f t="shared" si="121"/>
        <v>164822.39285999999</v>
      </c>
      <c r="M182" s="423">
        <f t="shared" si="122"/>
        <v>364822.39286000002</v>
      </c>
      <c r="N182" s="423">
        <f t="shared" si="123"/>
        <v>364822.39286000002</v>
      </c>
      <c r="O182" s="423">
        <f t="shared" si="124"/>
        <v>459289.57144000003</v>
      </c>
      <c r="P182" s="423">
        <f t="shared" si="125"/>
        <v>21000</v>
      </c>
      <c r="Q182" s="423">
        <f t="shared" si="126"/>
        <v>17521.852858400001</v>
      </c>
      <c r="R182" s="423">
        <f t="shared" si="127"/>
        <v>0</v>
      </c>
      <c r="S182" s="423">
        <f t="shared" si="128"/>
        <v>0</v>
      </c>
      <c r="T182" s="423">
        <f t="shared" si="129"/>
        <v>0</v>
      </c>
      <c r="U182" s="258"/>
      <c r="V182" s="423">
        <f t="shared" si="135"/>
        <v>38521.852858400001</v>
      </c>
      <c r="W182" s="430">
        <v>12</v>
      </c>
      <c r="X182" s="423">
        <f t="shared" si="130"/>
        <v>3210.1544048666701</v>
      </c>
      <c r="Y182" s="258"/>
      <c r="Z182" s="423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329</v>
      </c>
      <c r="C183" s="435">
        <v>62980.079250000003</v>
      </c>
      <c r="D183" s="422">
        <v>12</v>
      </c>
      <c r="E183" s="423">
        <f t="shared" si="132"/>
        <v>755760.951</v>
      </c>
      <c r="F183" s="258"/>
      <c r="G183" s="258"/>
      <c r="H183" s="258"/>
      <c r="I183" s="423">
        <f t="shared" si="133"/>
        <v>755760.951</v>
      </c>
      <c r="J183" s="423">
        <v>200000</v>
      </c>
      <c r="K183" s="423">
        <v>0.2</v>
      </c>
      <c r="L183" s="423">
        <f t="shared" si="121"/>
        <v>151152.19020000001</v>
      </c>
      <c r="M183" s="423">
        <f t="shared" si="122"/>
        <v>351152.19020000001</v>
      </c>
      <c r="N183" s="423">
        <f t="shared" si="123"/>
        <v>351152.19020000001</v>
      </c>
      <c r="O183" s="423">
        <f t="shared" si="124"/>
        <v>404608.76079999999</v>
      </c>
      <c r="P183" s="423">
        <f t="shared" si="125"/>
        <v>21000</v>
      </c>
      <c r="Q183" s="423">
        <f t="shared" si="126"/>
        <v>11506.963688</v>
      </c>
      <c r="R183" s="423">
        <f t="shared" si="127"/>
        <v>0</v>
      </c>
      <c r="S183" s="423">
        <f t="shared" si="128"/>
        <v>0</v>
      </c>
      <c r="T183" s="423">
        <f t="shared" si="129"/>
        <v>0</v>
      </c>
      <c r="U183" s="258"/>
      <c r="V183" s="423">
        <f t="shared" si="135"/>
        <v>32506.963688</v>
      </c>
      <c r="W183" s="430">
        <v>12</v>
      </c>
      <c r="X183" s="423">
        <f t="shared" si="130"/>
        <v>2708.9136406666698</v>
      </c>
      <c r="Y183" s="258"/>
      <c r="Z183" s="423">
        <f t="shared" si="131"/>
        <v>2708.9136406666698</v>
      </c>
      <c r="AA183" s="179">
        <v>2708.9136406666698</v>
      </c>
      <c r="AB183" s="179">
        <f t="shared" si="134"/>
        <v>0</v>
      </c>
    </row>
    <row r="184" spans="2:28" ht="18.75">
      <c r="B184" s="16" t="s">
        <v>332</v>
      </c>
      <c r="C184" s="435">
        <v>62980.079250000003</v>
      </c>
      <c r="D184" s="422">
        <v>12</v>
      </c>
      <c r="E184" s="423">
        <f t="shared" si="132"/>
        <v>755760.951</v>
      </c>
      <c r="F184" s="258"/>
      <c r="G184" s="258"/>
      <c r="H184" s="258"/>
      <c r="I184" s="423">
        <f t="shared" si="133"/>
        <v>755760.951</v>
      </c>
      <c r="J184" s="423">
        <v>200000</v>
      </c>
      <c r="K184" s="423">
        <v>0.2</v>
      </c>
      <c r="L184" s="423">
        <f t="shared" si="121"/>
        <v>151152.19020000001</v>
      </c>
      <c r="M184" s="423">
        <f t="shared" si="122"/>
        <v>351152.19020000001</v>
      </c>
      <c r="N184" s="423">
        <f t="shared" si="123"/>
        <v>351152.19020000001</v>
      </c>
      <c r="O184" s="423">
        <f t="shared" si="124"/>
        <v>404608.76079999999</v>
      </c>
      <c r="P184" s="423">
        <f t="shared" si="125"/>
        <v>21000</v>
      </c>
      <c r="Q184" s="423">
        <f t="shared" si="126"/>
        <v>11506.963688</v>
      </c>
      <c r="R184" s="423">
        <f t="shared" si="127"/>
        <v>0</v>
      </c>
      <c r="S184" s="423">
        <f t="shared" si="128"/>
        <v>0</v>
      </c>
      <c r="T184" s="423">
        <f t="shared" si="129"/>
        <v>0</v>
      </c>
      <c r="U184" s="258"/>
      <c r="V184" s="423">
        <f t="shared" si="135"/>
        <v>32506.963688</v>
      </c>
      <c r="W184" s="430">
        <v>12</v>
      </c>
      <c r="X184" s="423">
        <f t="shared" si="130"/>
        <v>2708.9136406666698</v>
      </c>
      <c r="Y184" s="258"/>
      <c r="Z184" s="423">
        <f t="shared" si="131"/>
        <v>2708.9136406666698</v>
      </c>
      <c r="AA184" s="179">
        <v>2708.9136406666698</v>
      </c>
      <c r="AB184" s="179">
        <f t="shared" si="134"/>
        <v>0</v>
      </c>
    </row>
    <row r="185" spans="2:28" ht="18.75">
      <c r="B185" s="16" t="s">
        <v>333</v>
      </c>
      <c r="C185" s="435">
        <v>62980.079250000003</v>
      </c>
      <c r="D185" s="422">
        <v>12</v>
      </c>
      <c r="E185" s="423">
        <f t="shared" si="132"/>
        <v>755760.951</v>
      </c>
      <c r="F185" s="258"/>
      <c r="G185" s="258"/>
      <c r="H185" s="258"/>
      <c r="I185" s="423">
        <f t="shared" si="133"/>
        <v>755760.951</v>
      </c>
      <c r="J185" s="423">
        <v>200000</v>
      </c>
      <c r="K185" s="423">
        <v>0.2</v>
      </c>
      <c r="L185" s="423">
        <f t="shared" si="121"/>
        <v>151152.19020000001</v>
      </c>
      <c r="M185" s="423">
        <f t="shared" si="122"/>
        <v>351152.19020000001</v>
      </c>
      <c r="N185" s="423">
        <f t="shared" si="123"/>
        <v>351152.19020000001</v>
      </c>
      <c r="O185" s="423">
        <f t="shared" si="124"/>
        <v>404608.76079999999</v>
      </c>
      <c r="P185" s="423">
        <f t="shared" si="125"/>
        <v>21000</v>
      </c>
      <c r="Q185" s="423">
        <f t="shared" si="126"/>
        <v>11506.963688</v>
      </c>
      <c r="R185" s="423">
        <f t="shared" si="127"/>
        <v>0</v>
      </c>
      <c r="S185" s="423">
        <f t="shared" si="128"/>
        <v>0</v>
      </c>
      <c r="T185" s="423">
        <f t="shared" si="129"/>
        <v>0</v>
      </c>
      <c r="U185" s="258"/>
      <c r="V185" s="423">
        <f t="shared" si="135"/>
        <v>32506.963688</v>
      </c>
      <c r="W185" s="430">
        <v>12</v>
      </c>
      <c r="X185" s="423">
        <f t="shared" si="130"/>
        <v>2708.9136406666698</v>
      </c>
      <c r="Y185" s="258"/>
      <c r="Z185" s="423">
        <f t="shared" si="131"/>
        <v>2708.9136406666698</v>
      </c>
      <c r="AA185" s="179">
        <v>2708.9136406666698</v>
      </c>
      <c r="AB185" s="179">
        <f t="shared" si="134"/>
        <v>0</v>
      </c>
    </row>
    <row r="186" spans="2:28" ht="18.75">
      <c r="B186" s="16" t="s">
        <v>334</v>
      </c>
      <c r="C186" s="435">
        <v>72103.749500000005</v>
      </c>
      <c r="D186" s="422">
        <v>12</v>
      </c>
      <c r="E186" s="423">
        <f t="shared" si="132"/>
        <v>865244.99399999995</v>
      </c>
      <c r="F186" s="258"/>
      <c r="G186" s="258"/>
      <c r="H186" s="258"/>
      <c r="I186" s="423">
        <f t="shared" si="133"/>
        <v>865244.99399999995</v>
      </c>
      <c r="J186" s="423">
        <v>200000</v>
      </c>
      <c r="K186" s="423">
        <v>0.2</v>
      </c>
      <c r="L186" s="423">
        <f t="shared" si="121"/>
        <v>173048.9988</v>
      </c>
      <c r="M186" s="423">
        <f t="shared" si="122"/>
        <v>373048.9988</v>
      </c>
      <c r="N186" s="423">
        <f t="shared" si="123"/>
        <v>373048.9988</v>
      </c>
      <c r="O186" s="423">
        <f t="shared" si="124"/>
        <v>492195.9952</v>
      </c>
      <c r="P186" s="423">
        <f t="shared" si="125"/>
        <v>21000</v>
      </c>
      <c r="Q186" s="423">
        <f t="shared" si="126"/>
        <v>21141.559472000001</v>
      </c>
      <c r="R186" s="423">
        <f t="shared" si="127"/>
        <v>0</v>
      </c>
      <c r="S186" s="423">
        <f t="shared" si="128"/>
        <v>0</v>
      </c>
      <c r="T186" s="423">
        <f t="shared" si="129"/>
        <v>0</v>
      </c>
      <c r="U186" s="258"/>
      <c r="V186" s="423">
        <f t="shared" si="135"/>
        <v>42141.559472000001</v>
      </c>
      <c r="W186" s="430">
        <v>12</v>
      </c>
      <c r="X186" s="423">
        <f t="shared" si="130"/>
        <v>3511.7966226666699</v>
      </c>
      <c r="Y186" s="258"/>
      <c r="Z186" s="423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337</v>
      </c>
      <c r="C187" s="435">
        <v>72103.749500000005</v>
      </c>
      <c r="D187" s="422">
        <v>12</v>
      </c>
      <c r="E187" s="423">
        <f t="shared" si="132"/>
        <v>865244.99399999995</v>
      </c>
      <c r="F187" s="258"/>
      <c r="G187" s="258"/>
      <c r="H187" s="258"/>
      <c r="I187" s="423">
        <f t="shared" si="133"/>
        <v>865244.99399999995</v>
      </c>
      <c r="J187" s="423">
        <v>200000</v>
      </c>
      <c r="K187" s="423">
        <v>0.2</v>
      </c>
      <c r="L187" s="423">
        <f t="shared" si="121"/>
        <v>173048.9988</v>
      </c>
      <c r="M187" s="423">
        <f t="shared" si="122"/>
        <v>373048.9988</v>
      </c>
      <c r="N187" s="423">
        <f t="shared" si="123"/>
        <v>373048.9988</v>
      </c>
      <c r="O187" s="423">
        <f t="shared" si="124"/>
        <v>492195.9952</v>
      </c>
      <c r="P187" s="423">
        <f t="shared" si="125"/>
        <v>21000</v>
      </c>
      <c r="Q187" s="423">
        <f t="shared" si="126"/>
        <v>21141.559472000001</v>
      </c>
      <c r="R187" s="423">
        <f t="shared" si="127"/>
        <v>0</v>
      </c>
      <c r="S187" s="423">
        <f t="shared" si="128"/>
        <v>0</v>
      </c>
      <c r="T187" s="423">
        <f t="shared" si="129"/>
        <v>0</v>
      </c>
      <c r="U187" s="258"/>
      <c r="V187" s="423">
        <f t="shared" si="135"/>
        <v>42141.559472000001</v>
      </c>
      <c r="W187" s="430">
        <v>12</v>
      </c>
      <c r="X187" s="423">
        <f t="shared" si="130"/>
        <v>3511.7966226666699</v>
      </c>
      <c r="Y187" s="258"/>
      <c r="Z187" s="423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0"/>
      <c r="W188" s="256" t="s">
        <v>628</v>
      </c>
      <c r="Z188" s="513">
        <f>SUM(Z6:Z187)</f>
        <v>7214215.7686455948</v>
      </c>
      <c r="AA188" s="514">
        <f>SUM(AA6:AA187)</f>
        <v>7445494.5793200703</v>
      </c>
      <c r="AB188" s="515">
        <f>AB77+AB90+AB97+AB107+AB61+AB33</f>
        <v>-231278.81067448069</v>
      </c>
    </row>
    <row r="189" spans="2:28" ht="18.75">
      <c r="B189" s="28"/>
      <c r="C189" s="179"/>
    </row>
    <row r="190" spans="2:28" ht="18.75">
      <c r="B190" s="31"/>
      <c r="X190" s="256" t="s">
        <v>629</v>
      </c>
      <c r="AB190" s="516">
        <f>AB81+AB82+AB83+AB84+AB86+AB88+AB89+AB94+AB95+AB96+AB102+AB103+AB104+AB105+AB106</f>
        <v>-351613.55740448029</v>
      </c>
    </row>
    <row r="191" spans="2:28" ht="15">
      <c r="X191" s="256" t="s">
        <v>630</v>
      </c>
      <c r="AB191" s="517">
        <f>AB87+AB85+AB74+AB61+AB21+AB19+AB18+AB16+AB15</f>
        <v>126852.23813000001</v>
      </c>
    </row>
    <row r="192" spans="2:28" ht="15">
      <c r="X192" s="256" t="s">
        <v>631</v>
      </c>
      <c r="AB192" s="518">
        <f>SUM(AB190:AB191)</f>
        <v>-224761.31927448028</v>
      </c>
    </row>
    <row r="193" spans="24:28" ht="15">
      <c r="X193" s="256" t="s">
        <v>632</v>
      </c>
      <c r="AB193" s="519">
        <f>-6517.49</f>
        <v>-6517.49</v>
      </c>
    </row>
    <row r="194" spans="24:28" ht="24.75" customHeight="1">
      <c r="X194" s="256" t="s">
        <v>511</v>
      </c>
      <c r="AA194" s="179"/>
      <c r="AB194" s="520">
        <f>AB192+AB193</f>
        <v>-231278.80927448027</v>
      </c>
    </row>
    <row r="196" spans="24:28">
      <c r="AA196" s="36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3"/>
      <c r="B1" s="483"/>
      <c r="C1" s="483"/>
      <c r="D1" s="483"/>
      <c r="E1" s="483"/>
    </row>
    <row r="2" spans="1:6" ht="56.25">
      <c r="A2" s="484" t="s">
        <v>20</v>
      </c>
      <c r="B2" s="484" t="s">
        <v>462</v>
      </c>
      <c r="C2" s="485" t="s">
        <v>633</v>
      </c>
      <c r="D2" s="485" t="s">
        <v>634</v>
      </c>
      <c r="E2" s="485" t="s">
        <v>635</v>
      </c>
      <c r="F2" s="486"/>
    </row>
    <row r="3" spans="1:6" ht="18.75">
      <c r="A3" s="484"/>
      <c r="B3" s="484"/>
      <c r="C3" s="485" t="s">
        <v>19</v>
      </c>
      <c r="D3" s="485" t="s">
        <v>19</v>
      </c>
      <c r="E3" s="485" t="s">
        <v>19</v>
      </c>
      <c r="F3" s="486"/>
    </row>
    <row r="4" spans="1:6" ht="18.75">
      <c r="A4" s="487">
        <v>1</v>
      </c>
      <c r="B4" s="488" t="s">
        <v>159</v>
      </c>
      <c r="C4" s="489">
        <v>98996.103146666705</v>
      </c>
      <c r="D4" s="489">
        <v>79796.103146666603</v>
      </c>
      <c r="E4" s="489">
        <f>C4-D4</f>
        <v>19200</v>
      </c>
      <c r="F4" s="486"/>
    </row>
    <row r="5" spans="1:6" ht="18.75">
      <c r="A5" s="487">
        <v>2</v>
      </c>
      <c r="B5" s="488" t="s">
        <v>160</v>
      </c>
      <c r="C5" s="489">
        <v>79956.9391466667</v>
      </c>
      <c r="D5" s="489">
        <v>75574.677290666703</v>
      </c>
      <c r="E5" s="489">
        <f t="shared" ref="E5:E11" si="0">C5-D5</f>
        <v>4382.2618559999701</v>
      </c>
      <c r="F5" s="486"/>
    </row>
    <row r="6" spans="1:6" ht="18.75">
      <c r="A6" s="487">
        <v>3</v>
      </c>
      <c r="B6" s="488" t="s">
        <v>161</v>
      </c>
      <c r="C6" s="489">
        <v>75574.677290666703</v>
      </c>
      <c r="D6" s="489">
        <v>50985.977546666698</v>
      </c>
      <c r="E6" s="489">
        <f t="shared" si="0"/>
        <v>24588.699744000001</v>
      </c>
      <c r="F6" s="486"/>
    </row>
    <row r="7" spans="1:6" ht="18.75">
      <c r="A7" s="487">
        <v>4</v>
      </c>
      <c r="B7" s="488" t="s">
        <v>162</v>
      </c>
      <c r="C7" s="489">
        <v>50985.977546666698</v>
      </c>
      <c r="D7" s="489">
        <v>49548.776186666699</v>
      </c>
      <c r="E7" s="489">
        <f t="shared" si="0"/>
        <v>1437.20136</v>
      </c>
      <c r="F7" s="486"/>
    </row>
    <row r="8" spans="1:6" ht="18.75">
      <c r="A8" s="487">
        <v>5</v>
      </c>
      <c r="B8" s="488" t="s">
        <v>165</v>
      </c>
      <c r="C8" s="489">
        <v>53384.053562666697</v>
      </c>
      <c r="D8" s="489">
        <v>41338.951098666701</v>
      </c>
      <c r="E8" s="489">
        <f t="shared" si="0"/>
        <v>12045.102464</v>
      </c>
      <c r="F8" s="486"/>
    </row>
    <row r="9" spans="1:6" ht="18.75">
      <c r="A9" s="487">
        <v>6</v>
      </c>
      <c r="B9" s="488" t="s">
        <v>169</v>
      </c>
      <c r="C9" s="489">
        <v>45414.4562526667</v>
      </c>
      <c r="D9" s="489">
        <v>33825.986562666702</v>
      </c>
      <c r="E9" s="489">
        <f t="shared" si="0"/>
        <v>11588.46969</v>
      </c>
      <c r="F9" s="486"/>
    </row>
    <row r="10" spans="1:6" ht="18.75">
      <c r="A10" s="487">
        <v>7</v>
      </c>
      <c r="B10" s="488" t="s">
        <v>171</v>
      </c>
      <c r="C10" s="489">
        <v>33825.986562666702</v>
      </c>
      <c r="D10" s="489">
        <v>29984.870925426701</v>
      </c>
      <c r="E10" s="489">
        <f t="shared" si="0"/>
        <v>3841.1156372399901</v>
      </c>
      <c r="F10" s="486"/>
    </row>
    <row r="11" spans="1:6" ht="18.75">
      <c r="A11" s="487">
        <v>8</v>
      </c>
      <c r="B11" s="488" t="s">
        <v>178</v>
      </c>
      <c r="C11" s="490">
        <v>82627.951418666693</v>
      </c>
      <c r="D11" s="489">
        <v>43492.373376666699</v>
      </c>
      <c r="E11" s="489">
        <f t="shared" si="0"/>
        <v>39135.578042000001</v>
      </c>
      <c r="F11" s="486"/>
    </row>
    <row r="12" spans="1:6" ht="18.75">
      <c r="A12" s="487">
        <v>9</v>
      </c>
      <c r="B12" s="488" t="s">
        <v>182</v>
      </c>
      <c r="C12" s="489">
        <v>43492.373376666699</v>
      </c>
      <c r="D12" s="489">
        <v>34968.882414666703</v>
      </c>
      <c r="E12" s="489">
        <f t="shared" ref="E12:E14" si="1">C12-D12</f>
        <v>8523.4909619999999</v>
      </c>
      <c r="F12" s="486"/>
    </row>
    <row r="13" spans="1:6" ht="18.75">
      <c r="A13" s="487">
        <v>10</v>
      </c>
      <c r="B13" s="488" t="s">
        <v>184</v>
      </c>
      <c r="C13" s="489">
        <v>34968.882414666703</v>
      </c>
      <c r="D13" s="489">
        <v>27105.986562666702</v>
      </c>
      <c r="E13" s="489">
        <f t="shared" si="1"/>
        <v>7862.8958520000097</v>
      </c>
      <c r="F13" s="486"/>
    </row>
    <row r="14" spans="1:6" ht="18.75">
      <c r="A14" s="487">
        <v>11</v>
      </c>
      <c r="B14" s="488" t="s">
        <v>192</v>
      </c>
      <c r="C14" s="489">
        <v>180180.378218667</v>
      </c>
      <c r="D14" s="489">
        <v>58814.673103466703</v>
      </c>
      <c r="E14" s="489">
        <f t="shared" si="1"/>
        <v>121365.70511520001</v>
      </c>
      <c r="F14" s="486"/>
    </row>
    <row r="15" spans="1:6" ht="18.75">
      <c r="A15" s="487">
        <v>12</v>
      </c>
      <c r="B15" s="488" t="s">
        <v>195</v>
      </c>
      <c r="C15" s="489">
        <v>99907.951418666693</v>
      </c>
      <c r="D15" s="489">
        <v>58631.439944426696</v>
      </c>
      <c r="E15" s="489">
        <f t="shared" ref="E15:E18" si="2">C15-D15</f>
        <v>41276.511474239996</v>
      </c>
      <c r="F15" s="486"/>
    </row>
    <row r="16" spans="1:6" ht="18.75">
      <c r="A16" s="487">
        <v>13</v>
      </c>
      <c r="B16" s="488" t="s">
        <v>196</v>
      </c>
      <c r="C16" s="489">
        <v>58941.101743466701</v>
      </c>
      <c r="D16" s="489">
        <v>31871.335203306699</v>
      </c>
      <c r="E16" s="489">
        <f t="shared" si="2"/>
        <v>27069.766540159999</v>
      </c>
      <c r="F16" s="486"/>
    </row>
    <row r="17" spans="1:6" ht="18.75">
      <c r="A17" s="487">
        <v>14</v>
      </c>
      <c r="B17" s="488" t="s">
        <v>199</v>
      </c>
      <c r="C17" s="489">
        <v>58631.439944426696</v>
      </c>
      <c r="D17" s="489">
        <v>31221.145554666698</v>
      </c>
      <c r="E17" s="489">
        <f t="shared" si="2"/>
        <v>27410.294389760002</v>
      </c>
      <c r="F17" s="486"/>
    </row>
    <row r="18" spans="1:6" ht="18.75">
      <c r="A18" s="487">
        <v>15</v>
      </c>
      <c r="B18" s="488" t="s">
        <v>201</v>
      </c>
      <c r="C18" s="489">
        <v>31871.335203306699</v>
      </c>
      <c r="D18" s="489">
        <v>29984.870925426701</v>
      </c>
      <c r="E18" s="489">
        <f t="shared" si="2"/>
        <v>1886.46427787999</v>
      </c>
      <c r="F18" s="486"/>
    </row>
    <row r="19" spans="1:6" ht="18.75">
      <c r="A19" s="488"/>
      <c r="B19" s="491" t="s">
        <v>96</v>
      </c>
      <c r="C19" s="491">
        <f>SUM(C4:C18)</f>
        <v>1028759.6072472</v>
      </c>
      <c r="D19" s="491">
        <f t="shared" ref="D19:E19" si="3">SUM(D4:D18)</f>
        <v>677146.04984272004</v>
      </c>
      <c r="E19" s="491">
        <f t="shared" si="3"/>
        <v>351613.55740448</v>
      </c>
      <c r="F19" s="486"/>
    </row>
    <row r="20" spans="1:6" ht="24.75" customHeight="1">
      <c r="A20" s="492"/>
      <c r="B20" s="492"/>
      <c r="C20" s="492"/>
      <c r="D20" s="492"/>
      <c r="E20" s="492"/>
      <c r="F20" s="48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808" t="s">
        <v>0</v>
      </c>
      <c r="B1" s="808"/>
      <c r="C1" s="808"/>
      <c r="D1" s="808"/>
      <c r="E1" s="808"/>
      <c r="F1" s="808"/>
      <c r="G1" s="183"/>
      <c r="H1" s="183"/>
      <c r="I1" s="183"/>
      <c r="J1" s="183"/>
      <c r="K1" s="183"/>
      <c r="L1" s="183"/>
    </row>
    <row r="2" spans="1:16" ht="33.75" customHeight="1">
      <c r="A2" s="458" t="s">
        <v>636</v>
      </c>
      <c r="B2" s="459"/>
      <c r="C2" s="458"/>
      <c r="D2" s="458"/>
      <c r="E2" s="460"/>
      <c r="F2" s="460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544</v>
      </c>
      <c r="F4" s="184" t="s">
        <v>614</v>
      </c>
      <c r="G4" s="184" t="s">
        <v>615</v>
      </c>
      <c r="H4" s="184" t="s">
        <v>616</v>
      </c>
      <c r="I4" s="184" t="s">
        <v>8</v>
      </c>
      <c r="J4" s="461" t="s">
        <v>448</v>
      </c>
      <c r="K4" s="461" t="s">
        <v>617</v>
      </c>
      <c r="L4" s="461" t="s">
        <v>618</v>
      </c>
      <c r="M4" s="462" t="s">
        <v>619</v>
      </c>
      <c r="N4" s="462" t="s">
        <v>620</v>
      </c>
      <c r="O4" s="462" t="s">
        <v>621</v>
      </c>
    </row>
    <row r="5" spans="1:16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463"/>
      <c r="K5" s="463"/>
      <c r="L5" s="463"/>
      <c r="M5" s="464" t="s">
        <v>19</v>
      </c>
      <c r="N5" s="464"/>
      <c r="O5" s="464"/>
    </row>
    <row r="6" spans="1:16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  <c r="H6" s="67"/>
      <c r="I6" s="67"/>
      <c r="J6" s="463"/>
      <c r="K6" s="463"/>
      <c r="L6" s="463"/>
      <c r="M6" s="464"/>
      <c r="N6" s="464"/>
      <c r="O6" s="464"/>
    </row>
    <row r="7" spans="1:1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465">
        <v>1158849.8400000001</v>
      </c>
      <c r="L7" s="465">
        <f>J7-K7</f>
        <v>776136.32700000005</v>
      </c>
      <c r="M7" s="466">
        <v>350184.01073066698</v>
      </c>
      <c r="N7" s="466">
        <v>201165.83594666701</v>
      </c>
      <c r="O7" s="467">
        <f>M7-N7</f>
        <v>149018.174784</v>
      </c>
      <c r="P7" s="11"/>
    </row>
    <row r="8" spans="1:1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5">
        <f t="shared" ref="J8:J33" si="0">E8+F8+G8+H8+I8</f>
        <v>852373.16666666698</v>
      </c>
      <c r="K8" s="465">
        <v>541465.02474999998</v>
      </c>
      <c r="L8" s="465">
        <f t="shared" ref="L8:L33" si="1">J8-K8</f>
        <v>310908.14191666699</v>
      </c>
      <c r="M8" s="466">
        <v>130612.26282666701</v>
      </c>
      <c r="N8" s="466">
        <v>82627.951418666693</v>
      </c>
      <c r="O8" s="467">
        <f t="shared" ref="O8:O33" si="2">M8-N8</f>
        <v>47984.311408000001</v>
      </c>
      <c r="P8" s="11"/>
    </row>
    <row r="9" spans="1:16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5">
        <f t="shared" si="0"/>
        <v>1052373.16666667</v>
      </c>
      <c r="K9" s="465">
        <v>741465.02474999998</v>
      </c>
      <c r="L9" s="465">
        <f t="shared" si="1"/>
        <v>310908.14191666601</v>
      </c>
      <c r="M9" s="466">
        <v>180722.31466666699</v>
      </c>
      <c r="N9" s="466">
        <v>121027.951418667</v>
      </c>
      <c r="O9" s="467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465">
        <v>631465.02474999998</v>
      </c>
      <c r="L10" s="465">
        <f t="shared" si="1"/>
        <v>310908.14191666699</v>
      </c>
      <c r="M10" s="466">
        <v>147687.52761066699</v>
      </c>
      <c r="N10" s="466">
        <v>99703.216202666707</v>
      </c>
      <c r="O10" s="467">
        <f t="shared" si="2"/>
        <v>47984.311408000001</v>
      </c>
      <c r="P10" s="11"/>
    </row>
    <row r="11" spans="1:16" ht="20.100000000000001" customHeight="1">
      <c r="A11" s="8">
        <v>5</v>
      </c>
      <c r="B11" s="12" t="s">
        <v>32</v>
      </c>
      <c r="C11" s="2" t="s">
        <v>605</v>
      </c>
      <c r="D11" s="8" t="s">
        <v>27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5">
        <f t="shared" si="0"/>
        <v>1002373.16666667</v>
      </c>
      <c r="K11" s="465">
        <v>691465.02474999998</v>
      </c>
      <c r="L11" s="465">
        <f t="shared" si="1"/>
        <v>310908.14191666699</v>
      </c>
      <c r="M11" s="466">
        <v>159207.52761066699</v>
      </c>
      <c r="N11" s="466">
        <v>111223.216202667</v>
      </c>
      <c r="O11" s="467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574</v>
      </c>
      <c r="C12" s="8" t="s">
        <v>575</v>
      </c>
      <c r="D12" s="8" t="s">
        <v>27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5">
        <f t="shared" si="0"/>
        <v>952373.16666666698</v>
      </c>
      <c r="K12" s="465">
        <v>641465.02474999998</v>
      </c>
      <c r="L12" s="465">
        <f t="shared" si="1"/>
        <v>310908.14191666699</v>
      </c>
      <c r="M12" s="466">
        <v>161522.31466666699</v>
      </c>
      <c r="N12" s="466">
        <v>101827.951418667</v>
      </c>
      <c r="O12" s="467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5">
        <f t="shared" si="0"/>
        <v>750675.58333333302</v>
      </c>
      <c r="K13" s="465">
        <v>497553.5025</v>
      </c>
      <c r="L13" s="465">
        <f t="shared" si="1"/>
        <v>253122.08083333299</v>
      </c>
      <c r="M13" s="466">
        <v>113101.965706667</v>
      </c>
      <c r="N13" s="466">
        <v>74036.103146666705</v>
      </c>
      <c r="O13" s="467">
        <f t="shared" si="2"/>
        <v>39065.862560000001</v>
      </c>
      <c r="P13" s="11"/>
    </row>
    <row r="14" spans="1:16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5">
        <f t="shared" si="0"/>
        <v>842118.08333333302</v>
      </c>
      <c r="K14" s="465">
        <v>604729.22199999995</v>
      </c>
      <c r="L14" s="465">
        <f t="shared" si="1"/>
        <v>237388.86133333301</v>
      </c>
      <c r="M14" s="466">
        <v>131263.10967466701</v>
      </c>
      <c r="N14" s="466">
        <v>94625.782058666693</v>
      </c>
      <c r="O14" s="467">
        <f t="shared" si="2"/>
        <v>36637.327616000002</v>
      </c>
      <c r="P14" s="11"/>
    </row>
    <row r="15" spans="1:16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5">
        <f t="shared" si="0"/>
        <v>554373.75</v>
      </c>
      <c r="K15" s="465">
        <v>343333.03525000002</v>
      </c>
      <c r="L15" s="465">
        <f t="shared" si="1"/>
        <v>211040.71475000001</v>
      </c>
      <c r="M15" s="466">
        <v>77666.445866666705</v>
      </c>
      <c r="N15" s="466">
        <v>44846.6165886667</v>
      </c>
      <c r="O15" s="467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43</v>
      </c>
      <c r="C16" s="15" t="s">
        <v>135</v>
      </c>
      <c r="D16" s="13" t="s">
        <v>224</v>
      </c>
      <c r="E16" s="70">
        <v>470498</v>
      </c>
      <c r="F16" s="70"/>
      <c r="G16" s="186">
        <v>140000</v>
      </c>
      <c r="H16" s="186"/>
      <c r="I16" s="70">
        <v>50000</v>
      </c>
      <c r="J16" s="465">
        <f t="shared" si="0"/>
        <v>660498</v>
      </c>
      <c r="K16" s="465">
        <v>463333.03525000002</v>
      </c>
      <c r="L16" s="465">
        <f t="shared" si="1"/>
        <v>197164.96475000001</v>
      </c>
      <c r="M16" s="468">
        <v>98255.4333866667</v>
      </c>
      <c r="N16" s="466">
        <v>67626.609434666694</v>
      </c>
      <c r="O16" s="467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45</v>
      </c>
      <c r="C17" s="2" t="s">
        <v>46</v>
      </c>
      <c r="D17" s="8" t="s">
        <v>47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5">
        <f t="shared" si="0"/>
        <v>732746.5</v>
      </c>
      <c r="K17" s="465">
        <v>547211.36750000005</v>
      </c>
      <c r="L17" s="465">
        <f t="shared" si="1"/>
        <v>185535.13250000001</v>
      </c>
      <c r="M17" s="466">
        <v>112553.408426667</v>
      </c>
      <c r="N17" s="466">
        <v>83731.249226666696</v>
      </c>
      <c r="O17" s="467">
        <f t="shared" si="2"/>
        <v>28822.159199999998</v>
      </c>
      <c r="P17" s="11"/>
    </row>
    <row r="18" spans="1:16" ht="20.100000000000001" customHeight="1">
      <c r="A18" s="8">
        <v>12</v>
      </c>
      <c r="B18" s="9" t="s">
        <v>48</v>
      </c>
      <c r="C18" s="2" t="s">
        <v>577</v>
      </c>
      <c r="D18" s="8" t="s">
        <v>194</v>
      </c>
      <c r="E18" s="70">
        <v>441804.91666666698</v>
      </c>
      <c r="F18" s="70"/>
      <c r="G18" s="186"/>
      <c r="H18" s="186">
        <v>70000</v>
      </c>
      <c r="I18" s="70"/>
      <c r="J18" s="465">
        <f t="shared" si="0"/>
        <v>511804.91666666698</v>
      </c>
      <c r="K18" s="465">
        <v>326663.07750000001</v>
      </c>
      <c r="L18" s="465">
        <f t="shared" si="1"/>
        <v>185141.83916666699</v>
      </c>
      <c r="M18" s="466">
        <v>70147.087146666701</v>
      </c>
      <c r="N18" s="466">
        <v>42046.063686666697</v>
      </c>
      <c r="O18" s="467">
        <f t="shared" si="2"/>
        <v>28101.02346</v>
      </c>
    </row>
    <row r="19" spans="1:16" ht="20.100000000000001" customHeight="1">
      <c r="A19" s="8">
        <v>13</v>
      </c>
      <c r="B19" s="9" t="s">
        <v>50</v>
      </c>
      <c r="C19" s="10" t="s">
        <v>51</v>
      </c>
      <c r="D19" s="13" t="s">
        <v>52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5">
        <f t="shared" si="0"/>
        <v>548915.91666666698</v>
      </c>
      <c r="K19" s="465">
        <v>369177.65375</v>
      </c>
      <c r="L19" s="465">
        <f t="shared" si="1"/>
        <v>179738.26291666701</v>
      </c>
      <c r="M19" s="466">
        <v>77470.374186666697</v>
      </c>
      <c r="N19" s="466">
        <v>49548.776186666699</v>
      </c>
      <c r="O19" s="467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53</v>
      </c>
      <c r="C20" s="2" t="s">
        <v>606</v>
      </c>
      <c r="D20" s="13" t="s">
        <v>55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5">
        <f t="shared" si="0"/>
        <v>636026.91666666698</v>
      </c>
      <c r="K20" s="465">
        <v>462001.06050000002</v>
      </c>
      <c r="L20" s="465">
        <f t="shared" si="1"/>
        <v>174025.85616666701</v>
      </c>
      <c r="M20" s="466">
        <v>94274.903466666699</v>
      </c>
      <c r="N20" s="466">
        <v>67370.870282666699</v>
      </c>
      <c r="O20" s="467">
        <f t="shared" si="2"/>
        <v>26904.033184</v>
      </c>
      <c r="P20" s="11"/>
    </row>
    <row r="21" spans="1:16" ht="18.75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5">
        <f t="shared" si="0"/>
        <v>537895.16666666698</v>
      </c>
      <c r="K21" s="465">
        <v>384536.99849999999</v>
      </c>
      <c r="L21" s="465">
        <f t="shared" si="1"/>
        <v>153358.16816666699</v>
      </c>
      <c r="M21" s="466">
        <v>76138.068906666696</v>
      </c>
      <c r="N21" s="466">
        <v>52497.770378666602</v>
      </c>
      <c r="O21" s="467">
        <f t="shared" si="2"/>
        <v>23640.298527999999</v>
      </c>
      <c r="P21" s="11"/>
    </row>
    <row r="22" spans="1:16" ht="20.100000000000001" customHeight="1">
      <c r="A22" s="8">
        <v>16</v>
      </c>
      <c r="B22" s="12" t="s">
        <v>63</v>
      </c>
      <c r="C22" s="15" t="s">
        <v>607</v>
      </c>
      <c r="D22" s="8" t="s">
        <v>65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5">
        <f t="shared" si="0"/>
        <v>553512.5</v>
      </c>
      <c r="K22" s="465">
        <v>400372.07500000001</v>
      </c>
      <c r="L22" s="465">
        <f t="shared" si="1"/>
        <v>153140.42499999999</v>
      </c>
      <c r="M22" s="466">
        <v>79511.114666666705</v>
      </c>
      <c r="N22" s="466">
        <v>55538.1050666667</v>
      </c>
      <c r="O22" s="467">
        <f t="shared" si="2"/>
        <v>23973.009600000001</v>
      </c>
      <c r="P22" s="11"/>
    </row>
    <row r="23" spans="1:16" ht="21.6" customHeight="1">
      <c r="A23" s="8">
        <v>17</v>
      </c>
      <c r="B23" s="9" t="s">
        <v>66</v>
      </c>
      <c r="C23" s="15" t="s">
        <v>67</v>
      </c>
      <c r="D23" s="13" t="s">
        <v>65</v>
      </c>
      <c r="E23" s="70">
        <v>353512.5</v>
      </c>
      <c r="F23" s="70"/>
      <c r="G23" s="186">
        <v>110000</v>
      </c>
      <c r="H23" s="186"/>
      <c r="I23" s="70">
        <v>0</v>
      </c>
      <c r="J23" s="465">
        <f t="shared" si="0"/>
        <v>463512.5</v>
      </c>
      <c r="K23" s="465">
        <v>1015372.075</v>
      </c>
      <c r="L23" s="465">
        <f t="shared" si="1"/>
        <v>-551859.57499999995</v>
      </c>
      <c r="M23" s="466">
        <v>62231.114666666697</v>
      </c>
      <c r="N23" s="466">
        <v>40149.175266666702</v>
      </c>
      <c r="O23" s="467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68</v>
      </c>
      <c r="C24" s="15" t="s">
        <v>69</v>
      </c>
      <c r="D24" s="8" t="s">
        <v>70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5">
        <f t="shared" si="0"/>
        <v>453029.66666666698</v>
      </c>
      <c r="K24" s="465">
        <v>328602.07775</v>
      </c>
      <c r="L24" s="465">
        <f t="shared" si="1"/>
        <v>124427.58891666699</v>
      </c>
      <c r="M24" s="466">
        <v>61147.426986666702</v>
      </c>
      <c r="N24" s="466">
        <v>42371.815728666697</v>
      </c>
      <c r="O24" s="467">
        <f t="shared" si="2"/>
        <v>18775.611258000001</v>
      </c>
      <c r="P24" s="11"/>
    </row>
    <row r="25" spans="1:16" ht="18.75" customHeight="1">
      <c r="A25" s="8">
        <v>19</v>
      </c>
      <c r="B25" s="2" t="s">
        <v>73</v>
      </c>
      <c r="C25" s="2" t="s">
        <v>74</v>
      </c>
      <c r="D25" s="8" t="s">
        <v>75</v>
      </c>
      <c r="E25" s="70">
        <v>270481.66666666698</v>
      </c>
      <c r="F25" s="70"/>
      <c r="G25" s="186"/>
      <c r="H25" s="186">
        <f>50000+10000</f>
        <v>60000</v>
      </c>
      <c r="I25" s="70"/>
      <c r="J25" s="465">
        <f t="shared" si="0"/>
        <v>330481.66666666698</v>
      </c>
      <c r="K25" s="465">
        <v>213508.01</v>
      </c>
      <c r="L25" s="465">
        <f t="shared" si="1"/>
        <v>116973.656666667</v>
      </c>
      <c r="M25" s="468">
        <v>39052.313066666698</v>
      </c>
      <c r="N25" s="466">
        <v>23036.012346666699</v>
      </c>
      <c r="O25" s="467">
        <f t="shared" si="2"/>
        <v>16016.300719999999</v>
      </c>
      <c r="P25" s="11"/>
    </row>
    <row r="26" spans="1:16" ht="18.75" customHeight="1">
      <c r="A26" s="8">
        <v>20</v>
      </c>
      <c r="B26" s="16" t="s">
        <v>76</v>
      </c>
      <c r="C26" s="10" t="s">
        <v>74</v>
      </c>
      <c r="D26" s="13" t="s">
        <v>75</v>
      </c>
      <c r="E26" s="70">
        <v>270481.66666666698</v>
      </c>
      <c r="F26" s="70"/>
      <c r="G26" s="186"/>
      <c r="H26" s="186">
        <f>50000+10000</f>
        <v>60000</v>
      </c>
      <c r="I26" s="70"/>
      <c r="J26" s="465">
        <f t="shared" si="0"/>
        <v>330481.66666666698</v>
      </c>
      <c r="K26" s="465">
        <v>213508.01</v>
      </c>
      <c r="L26" s="465">
        <f t="shared" si="1"/>
        <v>116973.656666667</v>
      </c>
      <c r="M26" s="466">
        <v>39052.313066666698</v>
      </c>
      <c r="N26" s="466">
        <v>23036.012346666699</v>
      </c>
      <c r="O26" s="467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77</v>
      </c>
      <c r="C27" s="15" t="s">
        <v>64</v>
      </c>
      <c r="D27" s="8" t="s">
        <v>75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5">
        <f t="shared" si="0"/>
        <v>370481.66666666698</v>
      </c>
      <c r="K27" s="465">
        <v>253508.01</v>
      </c>
      <c r="L27" s="465">
        <f t="shared" si="1"/>
        <v>116973.656666667</v>
      </c>
      <c r="M27" s="466">
        <v>45772.313066666698</v>
      </c>
      <c r="N27" s="466">
        <v>29756.012346666699</v>
      </c>
      <c r="O27" s="467">
        <f t="shared" si="2"/>
        <v>16016.300719999999</v>
      </c>
      <c r="P27" s="11"/>
    </row>
    <row r="28" spans="1:16" ht="18.75" customHeight="1">
      <c r="A28" s="8">
        <v>22</v>
      </c>
      <c r="B28" s="16" t="s">
        <v>78</v>
      </c>
      <c r="C28" s="10" t="s">
        <v>79</v>
      </c>
      <c r="D28" s="13" t="s">
        <v>80</v>
      </c>
      <c r="E28" s="70">
        <v>263165.33333333302</v>
      </c>
      <c r="F28" s="70"/>
      <c r="G28" s="186"/>
      <c r="H28" s="186">
        <f>60000</f>
        <v>60000</v>
      </c>
      <c r="I28" s="2"/>
      <c r="J28" s="465">
        <f t="shared" si="0"/>
        <v>323165.33333333302</v>
      </c>
      <c r="K28" s="465">
        <v>209356.04725</v>
      </c>
      <c r="L28" s="465">
        <f t="shared" si="1"/>
        <v>113809.28608333301</v>
      </c>
      <c r="M28" s="466">
        <v>37921.500586666698</v>
      </c>
      <c r="N28" s="466">
        <v>22338.4826046667</v>
      </c>
      <c r="O28" s="467">
        <f t="shared" si="2"/>
        <v>15583.017981999999</v>
      </c>
      <c r="P28" s="11"/>
    </row>
    <row r="29" spans="1:16" ht="18.75" customHeight="1">
      <c r="A29" s="8">
        <v>23</v>
      </c>
      <c r="B29" s="16" t="s">
        <v>81</v>
      </c>
      <c r="C29" s="2" t="s">
        <v>82</v>
      </c>
      <c r="D29" s="8" t="s">
        <v>83</v>
      </c>
      <c r="E29" s="70">
        <v>255849</v>
      </c>
      <c r="F29" s="70"/>
      <c r="G29" s="186"/>
      <c r="H29" s="186">
        <f>60000</f>
        <v>60000</v>
      </c>
      <c r="I29" s="70"/>
      <c r="J29" s="465">
        <f t="shared" si="0"/>
        <v>315849</v>
      </c>
      <c r="K29" s="465">
        <v>205204.0845</v>
      </c>
      <c r="L29" s="465">
        <f t="shared" si="1"/>
        <v>110644.9155</v>
      </c>
      <c r="M29" s="466">
        <v>36790.688106666697</v>
      </c>
      <c r="N29" s="466">
        <v>21640.952862666702</v>
      </c>
      <c r="O29" s="467">
        <f t="shared" si="2"/>
        <v>15149.735244</v>
      </c>
      <c r="P29" s="11"/>
    </row>
    <row r="30" spans="1:16" ht="18.75" customHeight="1">
      <c r="A30" s="8">
        <v>24</v>
      </c>
      <c r="B30" s="16" t="s">
        <v>84</v>
      </c>
      <c r="C30" s="2" t="s">
        <v>82</v>
      </c>
      <c r="D30" s="8" t="s">
        <v>83</v>
      </c>
      <c r="E30" s="70">
        <v>255849</v>
      </c>
      <c r="F30" s="70"/>
      <c r="G30" s="186"/>
      <c r="H30" s="186">
        <f>60000</f>
        <v>60000</v>
      </c>
      <c r="I30" s="70"/>
      <c r="J30" s="465">
        <f t="shared" si="0"/>
        <v>315849</v>
      </c>
      <c r="K30" s="465">
        <v>205204.0845</v>
      </c>
      <c r="L30" s="465">
        <f t="shared" si="1"/>
        <v>110644.9155</v>
      </c>
      <c r="M30" s="466">
        <v>36790.688106666697</v>
      </c>
      <c r="N30" s="466">
        <v>21640.952862666702</v>
      </c>
      <c r="O30" s="467">
        <f t="shared" si="2"/>
        <v>15149.735244</v>
      </c>
      <c r="P30" s="11"/>
    </row>
    <row r="31" spans="1:16" ht="18.75" customHeight="1">
      <c r="A31" s="8">
        <v>25</v>
      </c>
      <c r="B31" s="16" t="s">
        <v>85</v>
      </c>
      <c r="C31" s="15" t="s">
        <v>86</v>
      </c>
      <c r="D31" s="13" t="s">
        <v>75</v>
      </c>
      <c r="E31" s="70">
        <v>270481.66666666698</v>
      </c>
      <c r="F31" s="70"/>
      <c r="G31" s="186"/>
      <c r="H31" s="186">
        <f>60000</f>
        <v>60000</v>
      </c>
      <c r="I31" s="70"/>
      <c r="J31" s="465">
        <f t="shared" si="0"/>
        <v>330481.66666666698</v>
      </c>
      <c r="K31" s="465">
        <v>209356.04725</v>
      </c>
      <c r="L31" s="465">
        <f t="shared" si="1"/>
        <v>121125.619416667</v>
      </c>
      <c r="M31" s="469">
        <v>39052.313066666698</v>
      </c>
      <c r="N31" s="469">
        <v>22338.4826046667</v>
      </c>
      <c r="O31" s="467">
        <f t="shared" si="2"/>
        <v>16713.830462000002</v>
      </c>
      <c r="P31" s="11"/>
    </row>
    <row r="32" spans="1:16" ht="18.75" customHeight="1">
      <c r="A32" s="8">
        <v>26</v>
      </c>
      <c r="B32" s="16" t="s">
        <v>88</v>
      </c>
      <c r="C32" s="2" t="s">
        <v>89</v>
      </c>
      <c r="D32" s="8" t="s">
        <v>173</v>
      </c>
      <c r="E32" s="70">
        <v>230631.91666666701</v>
      </c>
      <c r="F32" s="70"/>
      <c r="G32" s="186"/>
      <c r="H32" s="186">
        <f>50000</f>
        <v>50000</v>
      </c>
      <c r="I32" s="70"/>
      <c r="J32" s="465">
        <f t="shared" si="0"/>
        <v>280631.91666666698</v>
      </c>
      <c r="K32" s="465">
        <v>180304.068</v>
      </c>
      <c r="L32" s="465">
        <f t="shared" si="1"/>
        <v>100327.84866666701</v>
      </c>
      <c r="M32" s="466">
        <v>31213.135706666701</v>
      </c>
      <c r="N32" s="466">
        <v>17572.885002666699</v>
      </c>
      <c r="O32" s="467">
        <f t="shared" si="2"/>
        <v>13640.250704</v>
      </c>
      <c r="P32" s="11"/>
    </row>
    <row r="33" spans="1:16" ht="18.75" customHeight="1">
      <c r="A33" s="8">
        <v>27</v>
      </c>
      <c r="B33" s="16" t="s">
        <v>90</v>
      </c>
      <c r="C33" s="10" t="s">
        <v>91</v>
      </c>
      <c r="D33" s="13" t="s">
        <v>92</v>
      </c>
      <c r="E33" s="70">
        <v>224459.75</v>
      </c>
      <c r="F33" s="70"/>
      <c r="G33" s="186"/>
      <c r="H33" s="186">
        <v>50000</v>
      </c>
      <c r="I33" s="70"/>
      <c r="J33" s="465">
        <f t="shared" si="0"/>
        <v>274459.75</v>
      </c>
      <c r="K33" s="465">
        <v>173329.04949999999</v>
      </c>
      <c r="L33" s="465">
        <f t="shared" si="1"/>
        <v>101130.70050000001</v>
      </c>
      <c r="M33" s="466">
        <v>30259.165626666701</v>
      </c>
      <c r="N33" s="466">
        <v>16512.682190666699</v>
      </c>
      <c r="O33" s="467">
        <f t="shared" si="2"/>
        <v>13746.483436</v>
      </c>
      <c r="P33" s="11"/>
    </row>
    <row r="34" spans="1:16" ht="26.25" customHeight="1">
      <c r="A34" s="8"/>
      <c r="B34" s="18" t="s">
        <v>96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889763.30677200004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0"/>
      <c r="K35" s="470"/>
      <c r="L35" s="470"/>
      <c r="M35" s="471"/>
      <c r="N35" s="471"/>
      <c r="O35" s="471"/>
      <c r="P35" s="11"/>
    </row>
    <row r="36" spans="1:16" ht="18.75" customHeight="1">
      <c r="A36" s="8"/>
      <c r="B36" s="18" t="s">
        <v>97</v>
      </c>
      <c r="C36" s="2"/>
      <c r="D36" s="13"/>
      <c r="E36" s="70"/>
      <c r="F36" s="70"/>
      <c r="G36" s="186"/>
      <c r="H36" s="186"/>
      <c r="I36" s="70"/>
      <c r="J36" s="465"/>
      <c r="K36" s="465"/>
      <c r="L36" s="465"/>
      <c r="M36" s="466"/>
      <c r="N36" s="466"/>
      <c r="O36" s="466"/>
      <c r="P36" s="11"/>
    </row>
    <row r="37" spans="1:16" ht="18.75" customHeight="1">
      <c r="A37" s="8">
        <v>1</v>
      </c>
      <c r="B37" s="16" t="s">
        <v>98</v>
      </c>
      <c r="C37" s="2" t="s">
        <v>99</v>
      </c>
      <c r="D37" s="8" t="s">
        <v>100</v>
      </c>
      <c r="E37" s="70">
        <v>1435720</v>
      </c>
      <c r="F37" s="70"/>
      <c r="G37" s="186"/>
      <c r="H37" s="186">
        <f>100000</f>
        <v>100000</v>
      </c>
      <c r="I37" s="70"/>
      <c r="J37" s="465">
        <f>E37+F37+G37+H37+I37</f>
        <v>1535720</v>
      </c>
      <c r="K37" s="465">
        <v>950209.06350000005</v>
      </c>
      <c r="L37" s="465">
        <f>J37-K37</f>
        <v>585510.93649999995</v>
      </c>
      <c r="M37" s="467">
        <v>251472.247466667</v>
      </c>
      <c r="N37" s="466">
        <v>161106.806858667</v>
      </c>
      <c r="O37" s="467">
        <f>M37-N37</f>
        <v>90365.440607999903</v>
      </c>
      <c r="P37" s="11"/>
    </row>
    <row r="38" spans="1:16" ht="18.75" customHeight="1">
      <c r="A38" s="8">
        <v>2</v>
      </c>
      <c r="B38" s="16" t="s">
        <v>101</v>
      </c>
      <c r="C38" s="2" t="s">
        <v>608</v>
      </c>
      <c r="D38" s="8" t="s">
        <v>70</v>
      </c>
      <c r="E38" s="70">
        <v>293029.66666666698</v>
      </c>
      <c r="F38" s="70"/>
      <c r="G38" s="186"/>
      <c r="H38" s="186">
        <f>60000</f>
        <v>60000</v>
      </c>
      <c r="I38" s="70"/>
      <c r="J38" s="465">
        <f t="shared" ref="J38:J39" si="8">E38+F38+G38+H38+I38</f>
        <v>353029.66666666698</v>
      </c>
      <c r="K38" s="465">
        <v>176816.1</v>
      </c>
      <c r="L38" s="465">
        <f t="shared" ref="L38:L39" si="9">J38-K38</f>
        <v>176213.566666667</v>
      </c>
      <c r="M38" s="467">
        <v>42537.331946666702</v>
      </c>
      <c r="N38" s="466">
        <v>17042.713866666702</v>
      </c>
      <c r="O38" s="467">
        <f>M38-N38</f>
        <v>25494.61808</v>
      </c>
      <c r="P38" s="11"/>
    </row>
    <row r="39" spans="1:16" ht="18.75" customHeight="1">
      <c r="A39" s="8">
        <v>3</v>
      </c>
      <c r="B39" s="9" t="s">
        <v>103</v>
      </c>
      <c r="C39" s="10" t="s">
        <v>609</v>
      </c>
      <c r="D39" s="13" t="s">
        <v>104</v>
      </c>
      <c r="E39" s="70">
        <v>300965.58333333302</v>
      </c>
      <c r="F39" s="70"/>
      <c r="G39" s="186"/>
      <c r="H39" s="186">
        <f>50000+10000</f>
        <v>60000</v>
      </c>
      <c r="I39" s="70"/>
      <c r="J39" s="465">
        <f t="shared" si="8"/>
        <v>360965.58333333302</v>
      </c>
      <c r="K39" s="465">
        <v>233169.11749999999</v>
      </c>
      <c r="L39" s="465">
        <f t="shared" si="9"/>
        <v>127796.465833333</v>
      </c>
      <c r="M39" s="467">
        <v>43763.907226666699</v>
      </c>
      <c r="N39" s="466">
        <v>26339.0784066667</v>
      </c>
      <c r="O39" s="467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0"/>
      <c r="K41" s="470"/>
      <c r="L41" s="470"/>
      <c r="M41" s="471"/>
      <c r="N41" s="471"/>
      <c r="O41" s="471"/>
      <c r="P41" s="11"/>
    </row>
    <row r="42" spans="1:16" ht="20.100000000000001" customHeight="1">
      <c r="A42" s="8"/>
      <c r="B42" s="21" t="s">
        <v>107</v>
      </c>
      <c r="C42" s="3"/>
      <c r="D42" s="22"/>
      <c r="E42" s="187"/>
      <c r="F42" s="187"/>
      <c r="G42" s="186"/>
      <c r="H42" s="186"/>
      <c r="I42" s="70"/>
      <c r="J42" s="465"/>
      <c r="K42" s="465"/>
      <c r="L42" s="465"/>
      <c r="M42" s="466"/>
      <c r="N42" s="466"/>
      <c r="O42" s="466"/>
      <c r="P42" s="11"/>
    </row>
    <row r="43" spans="1:16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70">
        <v>1435720</v>
      </c>
      <c r="F43" s="70"/>
      <c r="G43" s="186">
        <f>200000</f>
        <v>200000</v>
      </c>
      <c r="H43" s="186"/>
      <c r="I43" s="70"/>
      <c r="J43" s="465">
        <f>E43+F43+G43+H43+I43</f>
        <v>1635720</v>
      </c>
      <c r="K43" s="465">
        <v>1050209.0634999999</v>
      </c>
      <c r="L43" s="465">
        <f>J43-K43</f>
        <v>585510.93649999995</v>
      </c>
      <c r="M43" s="467">
        <v>270672.24746666697</v>
      </c>
      <c r="N43" s="466">
        <v>180306.806858667</v>
      </c>
      <c r="O43" s="467">
        <f t="shared" ref="O43:O53" si="11">M43-N43</f>
        <v>90365.440607999903</v>
      </c>
      <c r="P43" s="11"/>
    </row>
    <row r="44" spans="1:16" ht="20.100000000000001" customHeight="1">
      <c r="A44" s="8">
        <v>2</v>
      </c>
      <c r="B44" s="9" t="s">
        <v>491</v>
      </c>
      <c r="C44" s="2" t="s">
        <v>44</v>
      </c>
      <c r="D44" s="8" t="s">
        <v>36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5">
        <f t="shared" ref="J44:J53" si="12">E44+F44+G44+H44+I44</f>
        <v>780675.58333333302</v>
      </c>
      <c r="K44" s="465">
        <v>527553.50249999994</v>
      </c>
      <c r="L44" s="465">
        <f t="shared" ref="L44:L53" si="13">J44-K44</f>
        <v>253122.08083333299</v>
      </c>
      <c r="M44" s="467">
        <v>119022.801706667</v>
      </c>
      <c r="N44" s="466">
        <v>79956.9391466667</v>
      </c>
      <c r="O44" s="467">
        <f t="shared" si="11"/>
        <v>39065.862560000001</v>
      </c>
      <c r="P44" s="11"/>
    </row>
    <row r="45" spans="1:16" ht="20.100000000000001" customHeight="1">
      <c r="A45" s="8">
        <v>3</v>
      </c>
      <c r="B45" s="9" t="s">
        <v>110</v>
      </c>
      <c r="C45" s="2" t="s">
        <v>111</v>
      </c>
      <c r="D45" s="8" t="s">
        <v>112</v>
      </c>
      <c r="E45" s="70">
        <v>739203.58333333302</v>
      </c>
      <c r="F45" s="70"/>
      <c r="G45" s="186">
        <f>180000</f>
        <v>180000</v>
      </c>
      <c r="H45" s="186"/>
      <c r="I45" s="70"/>
      <c r="J45" s="465">
        <f t="shared" si="12"/>
        <v>919203.58333333302</v>
      </c>
      <c r="K45" s="465">
        <v>617743.99575</v>
      </c>
      <c r="L45" s="465">
        <f t="shared" si="13"/>
        <v>301459.58758333302</v>
      </c>
      <c r="M45" s="467">
        <v>143799.58762666699</v>
      </c>
      <c r="N45" s="466">
        <v>97273.513850666699</v>
      </c>
      <c r="O45" s="467">
        <f t="shared" si="11"/>
        <v>46526.073775999997</v>
      </c>
      <c r="P45" s="11"/>
    </row>
    <row r="46" spans="1:16" ht="20.100000000000001" customHeight="1">
      <c r="A46" s="8">
        <v>4</v>
      </c>
      <c r="B46" s="9" t="s">
        <v>113</v>
      </c>
      <c r="C46" s="2" t="s">
        <v>114</v>
      </c>
      <c r="D46" s="8" t="s">
        <v>36</v>
      </c>
      <c r="E46" s="70">
        <v>620675.58333333302</v>
      </c>
      <c r="F46" s="70"/>
      <c r="G46" s="186">
        <f>160000</f>
        <v>160000</v>
      </c>
      <c r="H46" s="186"/>
      <c r="I46" s="70"/>
      <c r="J46" s="465">
        <f t="shared" si="12"/>
        <v>780675.58333333302</v>
      </c>
      <c r="K46" s="465">
        <v>527553.50249999994</v>
      </c>
      <c r="L46" s="465">
        <f t="shared" si="13"/>
        <v>253122.08083333299</v>
      </c>
      <c r="M46" s="467">
        <v>119022.801706667</v>
      </c>
      <c r="N46" s="466">
        <v>79956.9391466667</v>
      </c>
      <c r="O46" s="467">
        <f t="shared" si="11"/>
        <v>39065.862560000001</v>
      </c>
      <c r="P46" s="11"/>
    </row>
    <row r="47" spans="1:16" ht="20.100000000000001" customHeight="1">
      <c r="A47" s="8">
        <v>5</v>
      </c>
      <c r="B47" s="9" t="s">
        <v>115</v>
      </c>
      <c r="C47" s="2" t="s">
        <v>114</v>
      </c>
      <c r="D47" s="8" t="s">
        <v>36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5">
        <f t="shared" si="12"/>
        <v>780675.58333333302</v>
      </c>
      <c r="K47" s="465">
        <v>527553.50249999994</v>
      </c>
      <c r="L47" s="465">
        <f t="shared" si="13"/>
        <v>253122.08083333299</v>
      </c>
      <c r="M47" s="467">
        <v>118861.965706667</v>
      </c>
      <c r="N47" s="466">
        <v>79796.103146666603</v>
      </c>
      <c r="O47" s="467">
        <f t="shared" si="11"/>
        <v>39065.862560000001</v>
      </c>
      <c r="P47" s="11"/>
    </row>
    <row r="48" spans="1:16" ht="20.100000000000001" customHeight="1">
      <c r="A48" s="8">
        <v>6</v>
      </c>
      <c r="B48" s="9" t="s">
        <v>116</v>
      </c>
      <c r="C48" s="2" t="s">
        <v>114</v>
      </c>
      <c r="D48" s="8" t="s">
        <v>39</v>
      </c>
      <c r="E48" s="70">
        <v>582118.08333333302</v>
      </c>
      <c r="F48" s="70"/>
      <c r="G48" s="186">
        <f>140000+20000</f>
        <v>160000</v>
      </c>
      <c r="H48" s="186"/>
      <c r="I48" s="70"/>
      <c r="J48" s="465">
        <f t="shared" si="12"/>
        <v>742118.08333333302</v>
      </c>
      <c r="K48" s="465">
        <v>504720.04700000002</v>
      </c>
      <c r="L48" s="465">
        <f t="shared" si="13"/>
        <v>237398.036333333</v>
      </c>
      <c r="M48" s="467">
        <v>112212.004906667</v>
      </c>
      <c r="N48" s="466">
        <v>75572.915690666705</v>
      </c>
      <c r="O48" s="467">
        <f t="shared" si="11"/>
        <v>36639.089216</v>
      </c>
      <c r="P48" s="11"/>
    </row>
    <row r="49" spans="1:16" ht="20.100000000000001" customHeight="1">
      <c r="A49" s="8">
        <v>7</v>
      </c>
      <c r="B49" s="12" t="s">
        <v>117</v>
      </c>
      <c r="C49" s="2" t="s">
        <v>135</v>
      </c>
      <c r="D49" s="14" t="s">
        <v>224</v>
      </c>
      <c r="E49" s="70">
        <v>470498</v>
      </c>
      <c r="F49" s="70"/>
      <c r="G49" s="186">
        <f>140000</f>
        <v>140000</v>
      </c>
      <c r="H49" s="186"/>
      <c r="I49" s="70"/>
      <c r="J49" s="465">
        <f t="shared" si="12"/>
        <v>610498</v>
      </c>
      <c r="K49" s="465">
        <v>413333.03525000002</v>
      </c>
      <c r="L49" s="465">
        <f t="shared" si="13"/>
        <v>197164.96475000001</v>
      </c>
      <c r="M49" s="467">
        <v>88655.4333866667</v>
      </c>
      <c r="N49" s="466">
        <v>58026.609434666701</v>
      </c>
      <c r="O49" s="467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118</v>
      </c>
      <c r="C50" s="2" t="s">
        <v>119</v>
      </c>
      <c r="D50" s="8" t="s">
        <v>104</v>
      </c>
      <c r="E50" s="70">
        <v>300965.58333333302</v>
      </c>
      <c r="F50" s="70"/>
      <c r="G50" s="186">
        <v>100000</v>
      </c>
      <c r="H50" s="186"/>
      <c r="I50" s="70"/>
      <c r="J50" s="465">
        <f t="shared" si="12"/>
        <v>400965.58333333302</v>
      </c>
      <c r="K50" s="465">
        <v>273169.11749999999</v>
      </c>
      <c r="L50" s="465">
        <f t="shared" si="13"/>
        <v>127796.465833333</v>
      </c>
      <c r="M50" s="467">
        <v>51029.227306666697</v>
      </c>
      <c r="N50" s="466">
        <v>33059.078406666697</v>
      </c>
      <c r="O50" s="467">
        <f t="shared" si="11"/>
        <v>17970.1489</v>
      </c>
      <c r="P50" s="11"/>
    </row>
    <row r="51" spans="1:16" ht="20.100000000000001" customHeight="1">
      <c r="A51" s="8">
        <v>9</v>
      </c>
      <c r="B51" s="9" t="s">
        <v>120</v>
      </c>
      <c r="C51" s="2" t="s">
        <v>119</v>
      </c>
      <c r="D51" s="8" t="s">
        <v>80</v>
      </c>
      <c r="E51" s="70">
        <v>263165.33333333302</v>
      </c>
      <c r="F51" s="70"/>
      <c r="G51" s="186">
        <f>100000</f>
        <v>100000</v>
      </c>
      <c r="H51" s="186"/>
      <c r="I51" s="70"/>
      <c r="J51" s="465">
        <f t="shared" si="12"/>
        <v>363165.33333333302</v>
      </c>
      <c r="K51" s="465">
        <v>249356.04725</v>
      </c>
      <c r="L51" s="465">
        <f t="shared" si="13"/>
        <v>113809.28608333301</v>
      </c>
      <c r="M51" s="467">
        <v>44641.500586666698</v>
      </c>
      <c r="N51" s="466">
        <v>29058.4826046667</v>
      </c>
      <c r="O51" s="467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578</v>
      </c>
      <c r="C52" s="2" t="s">
        <v>119</v>
      </c>
      <c r="D52" s="8" t="s">
        <v>80</v>
      </c>
      <c r="E52" s="70">
        <v>263165.33333333302</v>
      </c>
      <c r="F52" s="70"/>
      <c r="G52" s="186">
        <f>100000</f>
        <v>100000</v>
      </c>
      <c r="H52" s="186"/>
      <c r="I52" s="70"/>
      <c r="J52" s="465">
        <f t="shared" si="12"/>
        <v>363165.33333333302</v>
      </c>
      <c r="K52" s="465">
        <v>249356.04725</v>
      </c>
      <c r="L52" s="465">
        <f t="shared" si="13"/>
        <v>113809.28608333301</v>
      </c>
      <c r="M52" s="467">
        <v>44641.500586666698</v>
      </c>
      <c r="N52" s="466">
        <v>28360.952862666702</v>
      </c>
      <c r="O52" s="467">
        <f t="shared" si="11"/>
        <v>16280.547724</v>
      </c>
      <c r="P52" s="11"/>
    </row>
    <row r="53" spans="1:16" ht="20.100000000000001" customHeight="1">
      <c r="A53" s="8">
        <v>11</v>
      </c>
      <c r="B53" s="9" t="s">
        <v>121</v>
      </c>
      <c r="C53" s="2" t="s">
        <v>119</v>
      </c>
      <c r="D53" s="8" t="s">
        <v>80</v>
      </c>
      <c r="E53" s="70">
        <v>263165.33333333302</v>
      </c>
      <c r="F53" s="70"/>
      <c r="G53" s="186">
        <f>100000</f>
        <v>100000</v>
      </c>
      <c r="H53" s="186"/>
      <c r="I53" s="70"/>
      <c r="J53" s="465">
        <f t="shared" si="12"/>
        <v>363165.33333333302</v>
      </c>
      <c r="K53" s="465">
        <v>249356.04725</v>
      </c>
      <c r="L53" s="465">
        <f t="shared" si="13"/>
        <v>113809.28608333301</v>
      </c>
      <c r="M53" s="467">
        <v>44641.500586666698</v>
      </c>
      <c r="N53" s="466">
        <v>29058.4826046667</v>
      </c>
      <c r="O53" s="467">
        <f t="shared" si="11"/>
        <v>15583.017981999999</v>
      </c>
      <c r="P53" s="11"/>
    </row>
    <row r="54" spans="1:16" ht="25.5" customHeight="1">
      <c r="A54" s="8"/>
      <c r="B54" s="18" t="s">
        <v>96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1157200.5715733301</v>
      </c>
      <c r="N54" s="78">
        <v>770426.82375333295</v>
      </c>
      <c r="O54" s="78">
        <f t="shared" si="14"/>
        <v>386773.74781999999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2"/>
      <c r="K55" s="472"/>
      <c r="L55" s="472"/>
      <c r="M55" s="473"/>
      <c r="N55" s="473"/>
      <c r="O55" s="473"/>
      <c r="P55" s="11"/>
    </row>
    <row r="56" spans="1:16" ht="20.100000000000001" customHeight="1">
      <c r="A56" s="8"/>
      <c r="B56" s="18" t="s">
        <v>122</v>
      </c>
      <c r="C56" s="19"/>
      <c r="D56" s="19"/>
      <c r="E56" s="122"/>
      <c r="F56" s="122"/>
      <c r="G56" s="186"/>
      <c r="H56" s="186"/>
      <c r="I56" s="122"/>
      <c r="J56" s="472"/>
      <c r="K56" s="472"/>
      <c r="L56" s="472"/>
      <c r="M56" s="473"/>
      <c r="N56" s="473"/>
      <c r="O56" s="473"/>
      <c r="P56" s="11"/>
    </row>
    <row r="57" spans="1:16" ht="20.100000000000001" customHeight="1">
      <c r="A57" s="8">
        <v>1</v>
      </c>
      <c r="B57" s="9" t="s">
        <v>501</v>
      </c>
      <c r="C57" s="10" t="s">
        <v>124</v>
      </c>
      <c r="D57" s="13" t="s">
        <v>100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5">
        <f>E57+F57+G57+H57+I57</f>
        <v>1635720</v>
      </c>
      <c r="K57" s="465">
        <v>1050209.0634999999</v>
      </c>
      <c r="L57" s="465">
        <f>J57-K57</f>
        <v>585510.93649999995</v>
      </c>
      <c r="M57" s="467">
        <v>270672.24746666697</v>
      </c>
      <c r="N57" s="468">
        <v>180306.806858667</v>
      </c>
      <c r="O57" s="467">
        <f>M57-N57</f>
        <v>90365.440607999903</v>
      </c>
      <c r="P57" s="11"/>
    </row>
    <row r="58" spans="1:16" ht="20.100000000000001" customHeight="1">
      <c r="A58" s="8">
        <v>2</v>
      </c>
      <c r="B58" s="9" t="s">
        <v>125</v>
      </c>
      <c r="C58" s="10" t="s">
        <v>126</v>
      </c>
      <c r="D58" s="13" t="s">
        <v>127</v>
      </c>
      <c r="E58" s="70">
        <v>620675.58333333302</v>
      </c>
      <c r="F58" s="70"/>
      <c r="G58" s="186"/>
      <c r="H58" s="186">
        <v>80000</v>
      </c>
      <c r="I58" s="70"/>
      <c r="J58" s="465">
        <f>E58+F58+G58+H58+I58</f>
        <v>700675.58333333302</v>
      </c>
      <c r="K58" s="465">
        <v>447553.5025</v>
      </c>
      <c r="L58" s="465">
        <f>J58-K58</f>
        <v>253122.08083333299</v>
      </c>
      <c r="M58" s="467">
        <v>103662.801706667</v>
      </c>
      <c r="N58" s="468">
        <v>64596.9391466667</v>
      </c>
      <c r="O58" s="467">
        <f>M58-N58</f>
        <v>39065.862560000001</v>
      </c>
      <c r="P58" s="11"/>
    </row>
    <row r="59" spans="1:16" ht="20.100000000000001" customHeight="1">
      <c r="A59" s="8"/>
      <c r="B59" s="18" t="s">
        <v>96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374335.04917333298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2"/>
      <c r="K60" s="472"/>
      <c r="L60" s="472"/>
      <c r="M60" s="473"/>
      <c r="N60" s="473"/>
      <c r="O60" s="473"/>
      <c r="P60" s="11"/>
    </row>
    <row r="61" spans="1:16" ht="20.100000000000001" customHeight="1">
      <c r="A61" s="8"/>
      <c r="B61" s="18" t="s">
        <v>128</v>
      </c>
      <c r="C61" s="19"/>
      <c r="D61" s="19"/>
      <c r="E61" s="122"/>
      <c r="F61" s="122"/>
      <c r="G61" s="186"/>
      <c r="H61" s="186"/>
      <c r="I61" s="122"/>
      <c r="J61" s="472"/>
      <c r="K61" s="472"/>
      <c r="L61" s="472"/>
      <c r="M61" s="473"/>
      <c r="N61" s="473"/>
      <c r="O61" s="473"/>
      <c r="P61" s="11"/>
    </row>
    <row r="62" spans="1:16" ht="20.100000000000001" customHeight="1">
      <c r="A62" s="8">
        <v>1</v>
      </c>
      <c r="B62" s="9" t="s">
        <v>129</v>
      </c>
      <c r="C62" s="15" t="s">
        <v>130</v>
      </c>
      <c r="D62" s="8" t="s">
        <v>100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5">
        <f>E62+F62+G62+H62+I62</f>
        <v>1635720</v>
      </c>
      <c r="K62" s="465">
        <v>1050209.0634999999</v>
      </c>
      <c r="L62" s="465">
        <f>J62-K62</f>
        <v>585510.93649999995</v>
      </c>
      <c r="M62" s="467">
        <v>292724.90666666703</v>
      </c>
      <c r="N62" s="466">
        <v>180306.806858667</v>
      </c>
      <c r="O62" s="467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2" t="s">
        <v>131</v>
      </c>
      <c r="C63" s="15" t="s">
        <v>132</v>
      </c>
      <c r="D63" s="13" t="s">
        <v>133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5">
        <f t="shared" ref="J63:J71" si="17">E63+F63+G63+H63+I63</f>
        <v>761396.83333333302</v>
      </c>
      <c r="K63" s="465">
        <v>516137.05</v>
      </c>
      <c r="L63" s="465">
        <f t="shared" ref="L63:L71" si="18">J63-K63</f>
        <v>245259.78333333301</v>
      </c>
      <c r="M63" s="467">
        <v>115617.40330666699</v>
      </c>
      <c r="N63" s="466">
        <v>77764.980266666695</v>
      </c>
      <c r="O63" s="467">
        <f t="shared" si="16"/>
        <v>37852.423040000001</v>
      </c>
      <c r="P63" s="11"/>
    </row>
    <row r="64" spans="1:16" ht="20.100000000000001" customHeight="1">
      <c r="A64" s="8">
        <v>3</v>
      </c>
      <c r="B64" s="9" t="s">
        <v>134</v>
      </c>
      <c r="C64" s="2" t="s">
        <v>135</v>
      </c>
      <c r="D64" s="8" t="s">
        <v>47</v>
      </c>
      <c r="E64" s="70">
        <v>442746.5</v>
      </c>
      <c r="F64" s="70"/>
      <c r="G64" s="186">
        <v>140000</v>
      </c>
      <c r="H64" s="186"/>
      <c r="I64" s="70"/>
      <c r="J64" s="465">
        <f t="shared" si="17"/>
        <v>582746.5</v>
      </c>
      <c r="K64" s="465">
        <v>397211.36749999999</v>
      </c>
      <c r="L64" s="465">
        <f t="shared" si="18"/>
        <v>185535.13250000001</v>
      </c>
      <c r="M64" s="467">
        <v>83753.408426666603</v>
      </c>
      <c r="N64" s="466">
        <v>54931.249226666703</v>
      </c>
      <c r="O64" s="467">
        <f t="shared" si="16"/>
        <v>28822.159199999998</v>
      </c>
      <c r="P64" s="11"/>
    </row>
    <row r="65" spans="1:16" ht="20.100000000000001" customHeight="1">
      <c r="A65" s="8">
        <v>4</v>
      </c>
      <c r="B65" s="16" t="s">
        <v>487</v>
      </c>
      <c r="C65" s="15" t="s">
        <v>167</v>
      </c>
      <c r="D65" s="13" t="s">
        <v>52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5">
        <f t="shared" si="17"/>
        <v>548915.91666666698</v>
      </c>
      <c r="K65" s="465">
        <v>369177.65375</v>
      </c>
      <c r="L65" s="465">
        <f t="shared" si="18"/>
        <v>179738.26291666701</v>
      </c>
      <c r="M65" s="467">
        <v>77470.374186666697</v>
      </c>
      <c r="N65" s="466">
        <v>49548.776186666699</v>
      </c>
      <c r="O65" s="467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517</v>
      </c>
      <c r="C66" s="15" t="s">
        <v>135</v>
      </c>
      <c r="D66" s="13" t="s">
        <v>42</v>
      </c>
      <c r="E66" s="70">
        <v>484373.75</v>
      </c>
      <c r="F66" s="70"/>
      <c r="G66" s="186">
        <f>140000</f>
        <v>140000</v>
      </c>
      <c r="H66" s="186"/>
      <c r="I66" s="70"/>
      <c r="J66" s="465">
        <f t="shared" si="17"/>
        <v>624373.75</v>
      </c>
      <c r="K66" s="465">
        <v>421394.00675</v>
      </c>
      <c r="L66" s="465">
        <f t="shared" si="18"/>
        <v>202979.74325</v>
      </c>
      <c r="M66" s="467">
        <v>91106.445866666705</v>
      </c>
      <c r="N66" s="466">
        <v>59574.315962666697</v>
      </c>
      <c r="O66" s="467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136</v>
      </c>
      <c r="C67" s="2" t="s">
        <v>119</v>
      </c>
      <c r="D67" s="8" t="s">
        <v>137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5">
        <f t="shared" si="17"/>
        <v>475703.83333333302</v>
      </c>
      <c r="K67" s="465">
        <v>322454.07400000002</v>
      </c>
      <c r="L67" s="465">
        <f t="shared" si="18"/>
        <v>153249.759333333</v>
      </c>
      <c r="M67" s="467">
        <v>64384.591786666701</v>
      </c>
      <c r="N67" s="466">
        <v>41338.951098666701</v>
      </c>
      <c r="O67" s="467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138</v>
      </c>
      <c r="C68" s="15" t="s">
        <v>67</v>
      </c>
      <c r="D68" s="8" t="s">
        <v>137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5">
        <f t="shared" si="17"/>
        <v>475703.83333333302</v>
      </c>
      <c r="K68" s="465">
        <v>322454.07400000002</v>
      </c>
      <c r="L68" s="465">
        <f t="shared" si="18"/>
        <v>153249.759333333</v>
      </c>
      <c r="M68" s="467">
        <v>64384.591786666701</v>
      </c>
      <c r="N68" s="466">
        <v>41338.951098666701</v>
      </c>
      <c r="O68" s="467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139</v>
      </c>
      <c r="C69" s="15" t="s">
        <v>67</v>
      </c>
      <c r="D69" s="8" t="s">
        <v>137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5">
        <f t="shared" si="17"/>
        <v>475703.83333333302</v>
      </c>
      <c r="K69" s="465">
        <v>322454.07400000002</v>
      </c>
      <c r="L69" s="465">
        <f t="shared" si="18"/>
        <v>153249.759333333</v>
      </c>
      <c r="M69" s="467">
        <v>64384.591786666701</v>
      </c>
      <c r="N69" s="466">
        <v>41338.951098666701</v>
      </c>
      <c r="O69" s="467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140</v>
      </c>
      <c r="C70" s="2" t="s">
        <v>141</v>
      </c>
      <c r="D70" s="8" t="s">
        <v>62</v>
      </c>
      <c r="E70" s="416">
        <v>377895.16666666698</v>
      </c>
      <c r="F70" s="70"/>
      <c r="G70" s="186">
        <f t="shared" si="20"/>
        <v>110000</v>
      </c>
      <c r="H70" s="186"/>
      <c r="I70" s="70"/>
      <c r="J70" s="465">
        <f t="shared" si="17"/>
        <v>487895.16666666698</v>
      </c>
      <c r="K70" s="465">
        <v>334536.99849999999</v>
      </c>
      <c r="L70" s="465">
        <f t="shared" si="18"/>
        <v>153358.16816666699</v>
      </c>
      <c r="M70" s="467">
        <v>66538.068906666696</v>
      </c>
      <c r="N70" s="466">
        <v>43368.882414666703</v>
      </c>
      <c r="O70" s="467">
        <f t="shared" si="16"/>
        <v>23169.186492000001</v>
      </c>
      <c r="P70" s="11"/>
    </row>
    <row r="71" spans="1:16" ht="21.6" customHeight="1">
      <c r="A71" s="8">
        <v>11</v>
      </c>
      <c r="B71" s="9" t="s">
        <v>142</v>
      </c>
      <c r="C71" s="2" t="s">
        <v>119</v>
      </c>
      <c r="D71" s="8" t="s">
        <v>104</v>
      </c>
      <c r="E71" s="186">
        <v>300965.58333333302</v>
      </c>
      <c r="F71" s="70"/>
      <c r="G71" s="186">
        <v>100000</v>
      </c>
      <c r="H71" s="186"/>
      <c r="I71" s="70"/>
      <c r="J71" s="465">
        <f t="shared" si="17"/>
        <v>400965.58333333302</v>
      </c>
      <c r="K71" s="465">
        <v>277734.04700000002</v>
      </c>
      <c r="L71" s="465">
        <f t="shared" si="18"/>
        <v>123231.536333333</v>
      </c>
      <c r="M71" s="467">
        <v>51029.227306666697</v>
      </c>
      <c r="N71" s="466">
        <v>33825.986562666702</v>
      </c>
      <c r="O71" s="467">
        <f t="shared" si="16"/>
        <v>17203.240743999999</v>
      </c>
    </row>
    <row r="72" spans="1:16" ht="27" customHeight="1">
      <c r="A72" s="8"/>
      <c r="B72" s="18" t="s">
        <v>96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2"/>
      <c r="K73" s="472"/>
      <c r="L73" s="472"/>
      <c r="M73" s="473"/>
      <c r="N73" s="473"/>
      <c r="O73" s="473"/>
      <c r="P73" s="11"/>
    </row>
    <row r="74" spans="1:16" ht="20.100000000000001" customHeight="1">
      <c r="A74" s="8"/>
      <c r="B74" s="18" t="s">
        <v>143</v>
      </c>
      <c r="C74" s="19"/>
      <c r="D74" s="19"/>
      <c r="E74" s="122"/>
      <c r="F74" s="122"/>
      <c r="G74" s="186"/>
      <c r="H74" s="186"/>
      <c r="I74" s="122"/>
      <c r="J74" s="472"/>
      <c r="K74" s="472"/>
      <c r="L74" s="472"/>
      <c r="M74" s="473"/>
      <c r="N74" s="473"/>
      <c r="O74" s="473"/>
      <c r="P74" s="11"/>
    </row>
    <row r="75" spans="1:16" ht="20.100000000000001" customHeight="1">
      <c r="A75" s="8">
        <v>1</v>
      </c>
      <c r="B75" s="9" t="s">
        <v>144</v>
      </c>
      <c r="C75" s="2" t="s">
        <v>145</v>
      </c>
      <c r="D75" s="8" t="s">
        <v>100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5">
        <f>E75+F75+G75+H75+I75</f>
        <v>1635720</v>
      </c>
      <c r="K75" s="465">
        <v>1050209.0634999999</v>
      </c>
      <c r="L75" s="465">
        <f>J75-K75</f>
        <v>585510.93649999995</v>
      </c>
      <c r="M75" s="467">
        <v>270672.24746666697</v>
      </c>
      <c r="N75" s="466">
        <v>180306.806858667</v>
      </c>
      <c r="O75" s="467">
        <f t="shared" ref="O75:O81" si="22">M75-N75</f>
        <v>90365.440607999903</v>
      </c>
      <c r="P75" s="11"/>
    </row>
    <row r="76" spans="1:16" ht="20.100000000000001" customHeight="1">
      <c r="A76" s="8">
        <v>2</v>
      </c>
      <c r="B76" s="12" t="s">
        <v>518</v>
      </c>
      <c r="C76" s="2" t="s">
        <v>570</v>
      </c>
      <c r="D76" s="13" t="s">
        <v>571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5">
        <f t="shared" ref="J76:J81" si="23">E76+F76+G76+H76+I76</f>
        <v>761396.83333333302</v>
      </c>
      <c r="K76" s="465">
        <v>516137.05</v>
      </c>
      <c r="L76" s="465">
        <f t="shared" ref="L76:L81" si="24">J76-K76</f>
        <v>245259.78333333301</v>
      </c>
      <c r="M76" s="467">
        <v>124854.858666667</v>
      </c>
      <c r="N76" s="466">
        <v>77764.980266666695</v>
      </c>
      <c r="O76" s="467">
        <f t="shared" si="22"/>
        <v>47089.878400000001</v>
      </c>
      <c r="P76" s="11"/>
    </row>
    <row r="77" spans="1:16" ht="20.100000000000001" customHeight="1">
      <c r="A77" s="8">
        <v>3</v>
      </c>
      <c r="B77" s="16" t="s">
        <v>519</v>
      </c>
      <c r="C77" s="10" t="s">
        <v>572</v>
      </c>
      <c r="D77" s="8" t="s">
        <v>127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5">
        <f t="shared" si="23"/>
        <v>700675.58333333302</v>
      </c>
      <c r="K77" s="465">
        <v>447553.5025</v>
      </c>
      <c r="L77" s="465">
        <f t="shared" si="24"/>
        <v>253122.08083333299</v>
      </c>
      <c r="M77" s="467">
        <v>113196.37866666701</v>
      </c>
      <c r="N77" s="466">
        <v>64596.9391466667</v>
      </c>
      <c r="O77" s="467">
        <f t="shared" si="22"/>
        <v>48599.43952</v>
      </c>
      <c r="P77" s="11"/>
    </row>
    <row r="78" spans="1:16" ht="20.100000000000001" customHeight="1">
      <c r="A78" s="8">
        <v>4</v>
      </c>
      <c r="B78" s="9" t="s">
        <v>148</v>
      </c>
      <c r="C78" s="2" t="s">
        <v>149</v>
      </c>
      <c r="D78" s="13" t="s">
        <v>150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5">
        <f t="shared" si="23"/>
        <v>596622.25</v>
      </c>
      <c r="K78" s="465">
        <v>405272.06374999997</v>
      </c>
      <c r="L78" s="465">
        <f t="shared" si="24"/>
        <v>191350.18625</v>
      </c>
      <c r="M78" s="467">
        <v>86076.104186666693</v>
      </c>
      <c r="N78" s="466">
        <v>56350.586186666696</v>
      </c>
      <c r="O78" s="467">
        <f t="shared" si="22"/>
        <v>29725.518</v>
      </c>
      <c r="P78" s="11"/>
    </row>
    <row r="79" spans="1:16" ht="20.100000000000001" customHeight="1">
      <c r="A79" s="8">
        <v>5</v>
      </c>
      <c r="B79" s="9" t="s">
        <v>151</v>
      </c>
      <c r="C79" s="2" t="s">
        <v>154</v>
      </c>
      <c r="D79" s="8" t="s">
        <v>267</v>
      </c>
      <c r="E79" s="70">
        <v>308901.5</v>
      </c>
      <c r="F79" s="70"/>
      <c r="G79" s="186">
        <f>100000</f>
        <v>100000</v>
      </c>
      <c r="H79" s="186"/>
      <c r="I79" s="70"/>
      <c r="J79" s="465">
        <f t="shared" si="23"/>
        <v>408901.5</v>
      </c>
      <c r="K79" s="465">
        <v>273169.11749999999</v>
      </c>
      <c r="L79" s="465">
        <f t="shared" si="24"/>
        <v>135732.38250000001</v>
      </c>
      <c r="M79" s="467">
        <v>52431.027626666699</v>
      </c>
      <c r="N79" s="466">
        <v>33059.078406666697</v>
      </c>
      <c r="O79" s="467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153</v>
      </c>
      <c r="C80" s="2" t="s">
        <v>154</v>
      </c>
      <c r="D80" s="8" t="s">
        <v>80</v>
      </c>
      <c r="E80" s="70">
        <v>263165.33333333302</v>
      </c>
      <c r="F80" s="70"/>
      <c r="G80" s="186">
        <v>100000</v>
      </c>
      <c r="H80" s="186"/>
      <c r="I80" s="70"/>
      <c r="J80" s="465">
        <f t="shared" si="23"/>
        <v>363165.33333333302</v>
      </c>
      <c r="K80" s="465">
        <v>249356.04725</v>
      </c>
      <c r="L80" s="465">
        <f t="shared" si="24"/>
        <v>113809.28608333301</v>
      </c>
      <c r="M80" s="467">
        <v>44641.500586666698</v>
      </c>
      <c r="N80" s="466">
        <v>29058.4826046667</v>
      </c>
      <c r="O80" s="467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155</v>
      </c>
      <c r="C81" s="2" t="s">
        <v>156</v>
      </c>
      <c r="D81" s="8" t="s">
        <v>92</v>
      </c>
      <c r="E81" s="70">
        <v>224459.75</v>
      </c>
      <c r="F81" s="70"/>
      <c r="G81" s="186">
        <v>100000</v>
      </c>
      <c r="H81" s="186">
        <v>0</v>
      </c>
      <c r="I81" s="70"/>
      <c r="J81" s="465">
        <f t="shared" si="23"/>
        <v>324459.75</v>
      </c>
      <c r="K81" s="465">
        <v>223717.28450000001</v>
      </c>
      <c r="L81" s="465">
        <f t="shared" si="24"/>
        <v>100742.46550000001</v>
      </c>
      <c r="M81" s="467">
        <v>38659.165626666698</v>
      </c>
      <c r="N81" s="466">
        <v>24751.170462666701</v>
      </c>
      <c r="O81" s="467">
        <f t="shared" si="22"/>
        <v>13907.995164</v>
      </c>
      <c r="P81" s="11"/>
    </row>
    <row r="82" spans="1:16" ht="20.100000000000001" customHeight="1">
      <c r="A82" s="8"/>
      <c r="B82" s="18" t="s">
        <v>96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730531.28282666695</v>
      </c>
      <c r="N82" s="78">
        <v>465888.043932667</v>
      </c>
      <c r="O82" s="78">
        <f t="shared" si="25"/>
        <v>264643.23889400001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2"/>
      <c r="K83" s="472"/>
      <c r="L83" s="472"/>
      <c r="M83" s="473"/>
      <c r="N83" s="473"/>
      <c r="O83" s="473"/>
      <c r="P83" s="11"/>
    </row>
    <row r="84" spans="1:16" ht="20.100000000000001" customHeight="1">
      <c r="A84" s="8"/>
      <c r="B84" s="18" t="s">
        <v>157</v>
      </c>
      <c r="C84" s="23"/>
      <c r="D84" s="19"/>
      <c r="E84" s="122"/>
      <c r="F84" s="122"/>
      <c r="G84" s="186"/>
      <c r="H84" s="186"/>
      <c r="I84" s="122"/>
      <c r="J84" s="472"/>
      <c r="K84" s="472"/>
      <c r="L84" s="472"/>
      <c r="M84" s="473"/>
      <c r="N84" s="473"/>
      <c r="O84" s="473"/>
      <c r="P84" s="11"/>
    </row>
    <row r="85" spans="1:16" ht="20.100000000000001" customHeight="1">
      <c r="A85" s="8">
        <v>1</v>
      </c>
      <c r="B85" s="9" t="s">
        <v>158</v>
      </c>
      <c r="C85" s="2" t="s">
        <v>114</v>
      </c>
      <c r="D85" s="8" t="s">
        <v>36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5">
        <f>E85+F85+G85+H85+I85</f>
        <v>880675.58333333302</v>
      </c>
      <c r="K85" s="465">
        <v>627553.50249999994</v>
      </c>
      <c r="L85" s="465">
        <f>J85-K85</f>
        <v>253122.08083333299</v>
      </c>
      <c r="M85" s="467">
        <v>138222.801706667</v>
      </c>
      <c r="N85" s="466">
        <v>99156.9391466667</v>
      </c>
      <c r="O85" s="467">
        <f t="shared" ref="O85:O94" si="26">M85-N85</f>
        <v>39065.862560000001</v>
      </c>
      <c r="P85" s="11"/>
    </row>
    <row r="86" spans="1:16" ht="20.100000000000001" customHeight="1">
      <c r="A86" s="8">
        <v>2</v>
      </c>
      <c r="B86" s="9" t="s">
        <v>159</v>
      </c>
      <c r="C86" s="2" t="s">
        <v>114</v>
      </c>
      <c r="D86" s="8" t="s">
        <v>36</v>
      </c>
      <c r="E86" s="70">
        <v>620675.58333333302</v>
      </c>
      <c r="F86" s="70"/>
      <c r="G86" s="186">
        <f>160000</f>
        <v>160000</v>
      </c>
      <c r="H86" s="186"/>
      <c r="I86" s="70"/>
      <c r="J86" s="465">
        <f t="shared" ref="J86:J94" si="27">E86+F86+G86+H86+I86</f>
        <v>780675.58333333302</v>
      </c>
      <c r="K86" s="465">
        <v>527553.50249999994</v>
      </c>
      <c r="L86" s="465">
        <f t="shared" ref="L86:L94" si="28">J86-K86</f>
        <v>253122.08083333299</v>
      </c>
      <c r="M86" s="467">
        <v>118861.965706667</v>
      </c>
      <c r="N86" s="466">
        <v>79796.103146666603</v>
      </c>
      <c r="O86" s="467">
        <f t="shared" si="26"/>
        <v>39065.862560000001</v>
      </c>
      <c r="P86" s="11"/>
    </row>
    <row r="87" spans="1:16" ht="20.100000000000001" customHeight="1">
      <c r="A87" s="8">
        <v>3</v>
      </c>
      <c r="B87" s="9" t="s">
        <v>160</v>
      </c>
      <c r="C87" s="2" t="s">
        <v>114</v>
      </c>
      <c r="D87" s="8" t="s">
        <v>39</v>
      </c>
      <c r="E87" s="70">
        <v>582118.08333333302</v>
      </c>
      <c r="F87" s="70"/>
      <c r="G87" s="186">
        <v>160000</v>
      </c>
      <c r="H87" s="186"/>
      <c r="I87" s="70"/>
      <c r="J87" s="465">
        <f t="shared" si="27"/>
        <v>742118.08333333302</v>
      </c>
      <c r="K87" s="465">
        <v>504729.22200000001</v>
      </c>
      <c r="L87" s="465">
        <f t="shared" si="28"/>
        <v>237388.86133333301</v>
      </c>
      <c r="M87" s="467">
        <v>112212.004906667</v>
      </c>
      <c r="N87" s="466">
        <v>75574.677290666703</v>
      </c>
      <c r="O87" s="467">
        <f t="shared" si="26"/>
        <v>36637.327616000002</v>
      </c>
      <c r="P87" s="11"/>
    </row>
    <row r="88" spans="1:16" ht="21.6" customHeight="1">
      <c r="A88" s="8">
        <v>4</v>
      </c>
      <c r="B88" s="9" t="s">
        <v>161</v>
      </c>
      <c r="C88" s="2" t="s">
        <v>458</v>
      </c>
      <c r="D88" s="13" t="s">
        <v>194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5">
        <f t="shared" si="27"/>
        <v>561804.91666666698</v>
      </c>
      <c r="K88" s="465">
        <v>376663.07750000001</v>
      </c>
      <c r="L88" s="465">
        <f t="shared" si="28"/>
        <v>185141.83916666699</v>
      </c>
      <c r="M88" s="467">
        <v>79747.087146666701</v>
      </c>
      <c r="N88" s="466">
        <v>50985.977546666698</v>
      </c>
      <c r="O88" s="467">
        <f t="shared" si="26"/>
        <v>28761.1096</v>
      </c>
      <c r="P88" s="11"/>
    </row>
    <row r="89" spans="1:16" ht="21.6" customHeight="1">
      <c r="A89" s="8">
        <v>5</v>
      </c>
      <c r="B89" s="9" t="s">
        <v>162</v>
      </c>
      <c r="C89" s="10" t="s">
        <v>167</v>
      </c>
      <c r="D89" s="13" t="s">
        <v>52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5">
        <f t="shared" si="27"/>
        <v>548915.91666666698</v>
      </c>
      <c r="K89" s="465">
        <v>369177.65375</v>
      </c>
      <c r="L89" s="465">
        <f t="shared" si="28"/>
        <v>179738.26291666701</v>
      </c>
      <c r="M89" s="467">
        <v>77470.374186666697</v>
      </c>
      <c r="N89" s="466">
        <v>49548.776186666699</v>
      </c>
      <c r="O89" s="467">
        <f t="shared" si="26"/>
        <v>27921.598000000002</v>
      </c>
      <c r="P89" s="11"/>
    </row>
    <row r="90" spans="1:16" ht="21.6" customHeight="1">
      <c r="A90" s="8">
        <v>6</v>
      </c>
      <c r="B90" s="9" t="s">
        <v>163</v>
      </c>
      <c r="C90" s="10" t="s">
        <v>135</v>
      </c>
      <c r="D90" s="13" t="s">
        <v>164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5">
        <f t="shared" si="27"/>
        <v>568870.75</v>
      </c>
      <c r="K90" s="465">
        <v>389153.05674999999</v>
      </c>
      <c r="L90" s="465">
        <f t="shared" si="28"/>
        <v>179717.69325000001</v>
      </c>
      <c r="M90" s="467">
        <v>81302.3959466667</v>
      </c>
      <c r="N90" s="466">
        <v>53384.053562666697</v>
      </c>
      <c r="O90" s="467">
        <f t="shared" si="26"/>
        <v>27918.342384</v>
      </c>
      <c r="P90" s="11"/>
    </row>
    <row r="91" spans="1:16" ht="21.6" customHeight="1">
      <c r="A91" s="8">
        <v>7</v>
      </c>
      <c r="B91" s="9" t="s">
        <v>165</v>
      </c>
      <c r="C91" s="15" t="s">
        <v>67</v>
      </c>
      <c r="D91" s="13" t="s">
        <v>137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5">
        <f t="shared" si="27"/>
        <v>475703.83333333302</v>
      </c>
      <c r="K91" s="465">
        <v>322454.07400000002</v>
      </c>
      <c r="L91" s="465">
        <f t="shared" si="28"/>
        <v>153249.759333333</v>
      </c>
      <c r="M91" s="467">
        <v>64384.591786666701</v>
      </c>
      <c r="N91" s="466">
        <v>41338.951098666701</v>
      </c>
      <c r="O91" s="467">
        <f t="shared" si="26"/>
        <v>23045.640687999999</v>
      </c>
      <c r="P91" s="11"/>
    </row>
    <row r="92" spans="1:16" ht="21.6" customHeight="1">
      <c r="A92" s="8">
        <v>8</v>
      </c>
      <c r="B92" s="9" t="s">
        <v>166</v>
      </c>
      <c r="C92" s="15" t="s">
        <v>167</v>
      </c>
      <c r="D92" s="13" t="s">
        <v>168</v>
      </c>
      <c r="E92" s="70">
        <v>390248.91666666698</v>
      </c>
      <c r="F92" s="70"/>
      <c r="G92" s="186">
        <v>120000</v>
      </c>
      <c r="H92" s="186"/>
      <c r="I92" s="70">
        <v>0</v>
      </c>
      <c r="J92" s="465">
        <f t="shared" si="27"/>
        <v>510248.91666666698</v>
      </c>
      <c r="K92" s="465">
        <v>346713.03324999998</v>
      </c>
      <c r="L92" s="465">
        <f t="shared" si="28"/>
        <v>163535.883416667</v>
      </c>
      <c r="M92" s="467">
        <v>70529.475354666705</v>
      </c>
      <c r="N92" s="466">
        <v>45317.541294666698</v>
      </c>
      <c r="O92" s="467">
        <f t="shared" si="26"/>
        <v>25211.93406</v>
      </c>
      <c r="P92" s="11"/>
    </row>
    <row r="93" spans="1:16" ht="21.6" customHeight="1">
      <c r="A93" s="8">
        <v>9</v>
      </c>
      <c r="B93" s="9" t="s">
        <v>169</v>
      </c>
      <c r="C93" s="2" t="s">
        <v>170</v>
      </c>
      <c r="D93" s="8" t="s">
        <v>104</v>
      </c>
      <c r="E93" s="186">
        <v>300965.58333333302</v>
      </c>
      <c r="F93" s="70"/>
      <c r="G93" s="186">
        <v>100000</v>
      </c>
      <c r="H93" s="186"/>
      <c r="I93" s="70"/>
      <c r="J93" s="465">
        <f t="shared" si="27"/>
        <v>400965.58333333302</v>
      </c>
      <c r="K93" s="465">
        <v>277734.04700000002</v>
      </c>
      <c r="L93" s="465">
        <f t="shared" si="28"/>
        <v>123231.536333333</v>
      </c>
      <c r="M93" s="467">
        <v>51029.227306666697</v>
      </c>
      <c r="N93" s="466">
        <v>33825.986562666702</v>
      </c>
      <c r="O93" s="467">
        <f t="shared" si="26"/>
        <v>17203.240743999999</v>
      </c>
      <c r="P93" s="11"/>
    </row>
    <row r="94" spans="1:16" ht="21.6" customHeight="1">
      <c r="A94" s="8">
        <v>10</v>
      </c>
      <c r="B94" s="9" t="s">
        <v>171</v>
      </c>
      <c r="C94" s="15" t="s">
        <v>172</v>
      </c>
      <c r="D94" s="13" t="s">
        <v>173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5">
        <f t="shared" si="27"/>
        <v>330631.91666666698</v>
      </c>
      <c r="K94" s="465">
        <v>254870.26344499999</v>
      </c>
      <c r="L94" s="465">
        <f t="shared" si="28"/>
        <v>75761.653221666595</v>
      </c>
      <c r="M94" s="467">
        <v>39613.135706666697</v>
      </c>
      <c r="N94" s="466">
        <v>29984.870925426701</v>
      </c>
      <c r="O94" s="467">
        <f t="shared" si="26"/>
        <v>9628.26478123999</v>
      </c>
      <c r="P94" s="11"/>
    </row>
    <row r="95" spans="1:16" ht="20.100000000000001" customHeight="1">
      <c r="A95" s="8"/>
      <c r="B95" s="18" t="s">
        <v>96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833373.05975466699</v>
      </c>
      <c r="N95" s="78">
        <v>558913.87676142703</v>
      </c>
      <c r="O95" s="78">
        <f t="shared" si="32"/>
        <v>274459.18299324001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2"/>
      <c r="K96" s="472"/>
      <c r="L96" s="472"/>
      <c r="M96" s="473"/>
      <c r="N96" s="473"/>
      <c r="O96" s="473"/>
      <c r="P96" s="11"/>
    </row>
    <row r="97" spans="1:16" ht="20.100000000000001" customHeight="1">
      <c r="A97" s="8"/>
      <c r="B97" s="18" t="s">
        <v>174</v>
      </c>
      <c r="C97" s="19"/>
      <c r="D97" s="19"/>
      <c r="E97" s="122"/>
      <c r="F97" s="122"/>
      <c r="G97" s="186"/>
      <c r="H97" s="186"/>
      <c r="I97" s="122"/>
      <c r="J97" s="472"/>
      <c r="K97" s="472"/>
      <c r="L97" s="472"/>
      <c r="M97" s="473"/>
      <c r="N97" s="473"/>
      <c r="O97" s="473"/>
      <c r="P97" s="11"/>
    </row>
    <row r="98" spans="1:16" ht="20.100000000000001" customHeight="1">
      <c r="A98" s="8">
        <v>1</v>
      </c>
      <c r="B98" s="12" t="s">
        <v>175</v>
      </c>
      <c r="C98" s="2" t="s">
        <v>176</v>
      </c>
      <c r="D98" s="14" t="s">
        <v>191</v>
      </c>
      <c r="E98" s="70">
        <v>762373.16666666698</v>
      </c>
      <c r="F98" s="70"/>
      <c r="G98" s="186"/>
      <c r="H98" s="186">
        <f>80000+10000</f>
        <v>90000</v>
      </c>
      <c r="I98" s="70"/>
      <c r="J98" s="465">
        <f>E98+F98+G98+H98+I98</f>
        <v>852373.16666666698</v>
      </c>
      <c r="K98" s="465">
        <v>541465.02474999998</v>
      </c>
      <c r="L98" s="465">
        <f>J98-K98</f>
        <v>310908.14191666699</v>
      </c>
      <c r="M98" s="475">
        <v>130407.52761066701</v>
      </c>
      <c r="N98" s="466">
        <v>82423.216202666707</v>
      </c>
      <c r="O98" s="475">
        <f>M98-N98</f>
        <v>47984.311408000001</v>
      </c>
      <c r="P98" s="11"/>
    </row>
    <row r="99" spans="1:16" ht="20.100000000000001" customHeight="1">
      <c r="A99" s="8">
        <v>2</v>
      </c>
      <c r="B99" s="9" t="s">
        <v>178</v>
      </c>
      <c r="C99" s="2" t="s">
        <v>179</v>
      </c>
      <c r="D99" s="13" t="s">
        <v>150</v>
      </c>
      <c r="E99" s="70">
        <v>456622.25</v>
      </c>
      <c r="F99" s="70"/>
      <c r="G99" s="186"/>
      <c r="H99" s="186">
        <v>70000</v>
      </c>
      <c r="I99" s="70">
        <v>0</v>
      </c>
      <c r="J99" s="465">
        <f t="shared" ref="J99:J101" si="33">E99+F99+G99+H99+I99</f>
        <v>526622.25</v>
      </c>
      <c r="K99" s="465">
        <v>335272.06374999997</v>
      </c>
      <c r="L99" s="465">
        <f t="shared" ref="L99:L101" si="34">J99-K99</f>
        <v>191350.18625</v>
      </c>
      <c r="M99" s="475">
        <v>72764.420906666695</v>
      </c>
      <c r="N99" s="466">
        <v>43492.373376666699</v>
      </c>
      <c r="O99" s="475">
        <f>M99-N99</f>
        <v>29272.04753</v>
      </c>
      <c r="P99" s="11"/>
    </row>
    <row r="100" spans="1:16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70">
        <v>377895.16666666698</v>
      </c>
      <c r="F100" s="70"/>
      <c r="G100" s="186"/>
      <c r="H100" s="186">
        <f>60000</f>
        <v>60000</v>
      </c>
      <c r="I100" s="70"/>
      <c r="J100" s="465">
        <f t="shared" si="33"/>
        <v>437895.16666666698</v>
      </c>
      <c r="K100" s="465">
        <v>284536.99849999999</v>
      </c>
      <c r="L100" s="465">
        <f t="shared" si="34"/>
        <v>153358.16816666699</v>
      </c>
      <c r="M100" s="475">
        <v>56938.068906666696</v>
      </c>
      <c r="N100" s="466">
        <v>34968.882414666703</v>
      </c>
      <c r="O100" s="475">
        <f>M100-N100</f>
        <v>21969.186492000001</v>
      </c>
      <c r="P100" s="11"/>
    </row>
    <row r="101" spans="1:16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186">
        <v>300965.58333333302</v>
      </c>
      <c r="F101" s="70"/>
      <c r="G101" s="186"/>
      <c r="H101" s="186">
        <f>60000</f>
        <v>60000</v>
      </c>
      <c r="I101" s="70"/>
      <c r="J101" s="465">
        <f t="shared" si="33"/>
        <v>360965.58333333302</v>
      </c>
      <c r="K101" s="465">
        <v>237734.04699999999</v>
      </c>
      <c r="L101" s="465">
        <f t="shared" si="34"/>
        <v>123231.536333333</v>
      </c>
      <c r="M101" s="475">
        <v>43763.907226666699</v>
      </c>
      <c r="N101" s="466">
        <v>27105.986562666702</v>
      </c>
      <c r="O101" s="475">
        <f>M101-N101</f>
        <v>16657.920664000001</v>
      </c>
      <c r="P101" s="11"/>
    </row>
    <row r="102" spans="1:16" ht="20.100000000000001" customHeight="1">
      <c r="A102" s="2"/>
      <c r="B102" s="18" t="s">
        <v>96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2"/>
      <c r="K103" s="472"/>
      <c r="L103" s="472"/>
      <c r="M103" s="473"/>
      <c r="N103" s="473"/>
      <c r="O103" s="473"/>
      <c r="P103" s="11"/>
    </row>
    <row r="104" spans="1:16" ht="20.100000000000001" customHeight="1">
      <c r="A104" s="2"/>
      <c r="B104" s="18" t="s">
        <v>186</v>
      </c>
      <c r="C104" s="2"/>
      <c r="D104" s="2"/>
      <c r="E104" s="2"/>
      <c r="F104" s="2"/>
      <c r="G104" s="186"/>
      <c r="H104" s="186"/>
      <c r="I104" s="2"/>
      <c r="J104" s="476"/>
      <c r="K104" s="476"/>
      <c r="L104" s="476"/>
      <c r="M104" s="477"/>
      <c r="N104" s="477"/>
      <c r="O104" s="477"/>
      <c r="P104" s="11"/>
    </row>
    <row r="105" spans="1:16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5">
        <f>E105+F105+G105+H105+I105</f>
        <v>1635720</v>
      </c>
      <c r="K105" s="465">
        <v>1050209.0634999999</v>
      </c>
      <c r="L105" s="465">
        <f>J105-K105</f>
        <v>585510.93649999995</v>
      </c>
      <c r="M105" s="467">
        <v>270672.24746666697</v>
      </c>
      <c r="N105" s="466">
        <v>180306.806858667</v>
      </c>
      <c r="O105" s="467">
        <f t="shared" ref="O105:O111" si="36">M105-N105</f>
        <v>90365.440607999903</v>
      </c>
      <c r="P105" s="11"/>
    </row>
    <row r="106" spans="1:16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5">
        <f t="shared" ref="J106:J111" si="37">E106+F106+G106+H106+I106</f>
        <v>942373.16666666698</v>
      </c>
      <c r="K106" s="465">
        <v>631465.02474999998</v>
      </c>
      <c r="L106" s="465">
        <f t="shared" ref="L106:L111" si="38">J106-K106</f>
        <v>310908.14191666699</v>
      </c>
      <c r="M106" s="467">
        <v>147687.52761066699</v>
      </c>
      <c r="N106" s="466">
        <v>99703.216202666707</v>
      </c>
      <c r="O106" s="467">
        <f t="shared" si="36"/>
        <v>47984.311408000001</v>
      </c>
      <c r="P106" s="11"/>
    </row>
    <row r="107" spans="1:16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5">
        <f t="shared" si="37"/>
        <v>603237.85519166698</v>
      </c>
      <c r="K107" s="465">
        <v>418096.01602500002</v>
      </c>
      <c r="L107" s="465">
        <f t="shared" si="38"/>
        <v>185141.83916666699</v>
      </c>
      <c r="M107" s="467">
        <v>87575.782703466699</v>
      </c>
      <c r="N107" s="466">
        <v>58814.673103466703</v>
      </c>
      <c r="O107" s="467">
        <f t="shared" si="36"/>
        <v>28761.1096</v>
      </c>
      <c r="P107" s="11"/>
    </row>
    <row r="108" spans="1:16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5">
        <f t="shared" si="37"/>
        <v>601625.033321667</v>
      </c>
      <c r="K108" s="465">
        <v>416483.19415499998</v>
      </c>
      <c r="L108" s="465">
        <f t="shared" si="38"/>
        <v>185141.83916666699</v>
      </c>
      <c r="M108" s="467">
        <v>87392.5495444267</v>
      </c>
      <c r="N108" s="466">
        <v>58631.439944426696</v>
      </c>
      <c r="O108" s="467">
        <f t="shared" si="36"/>
        <v>28761.1096</v>
      </c>
      <c r="P108" s="11"/>
    </row>
    <row r="109" spans="1:16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5">
        <f t="shared" si="37"/>
        <v>374481.86414666701</v>
      </c>
      <c r="K109" s="465">
        <v>266099.21747999999</v>
      </c>
      <c r="L109" s="465">
        <f t="shared" si="38"/>
        <v>108382.646666667</v>
      </c>
      <c r="M109" s="467">
        <v>46740.264902826697</v>
      </c>
      <c r="N109" s="466">
        <v>31871.335203306699</v>
      </c>
      <c r="O109" s="467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5">
        <f t="shared" si="37"/>
        <v>367926.02100000001</v>
      </c>
      <c r="K110" s="465">
        <v>262229.04100000003</v>
      </c>
      <c r="L110" s="465">
        <f t="shared" si="38"/>
        <v>105696.98</v>
      </c>
      <c r="M110" s="467">
        <v>45712.637394666701</v>
      </c>
      <c r="N110" s="466">
        <v>31221.145554666698</v>
      </c>
      <c r="O110" s="467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201</v>
      </c>
      <c r="C111" s="2" t="s">
        <v>197</v>
      </c>
      <c r="D111" s="13" t="s">
        <v>173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5">
        <f t="shared" si="37"/>
        <v>355198.112111667</v>
      </c>
      <c r="K111" s="465">
        <v>254870.26344499999</v>
      </c>
      <c r="L111" s="465">
        <f t="shared" si="38"/>
        <v>100327.84866666701</v>
      </c>
      <c r="M111" s="467">
        <v>43740.256541426701</v>
      </c>
      <c r="N111" s="466">
        <v>29984.870925426701</v>
      </c>
      <c r="O111" s="467">
        <f t="shared" si="36"/>
        <v>13755.385616</v>
      </c>
      <c r="P111" s="11"/>
    </row>
    <row r="112" spans="1:16" ht="25.5" customHeight="1">
      <c r="A112" s="2"/>
      <c r="B112" s="18" t="s">
        <v>96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4880562.0524383299</v>
      </c>
      <c r="K112" s="189">
        <v>3299451.820355</v>
      </c>
      <c r="L112" s="189">
        <f t="shared" si="40"/>
        <v>1581110.2320833299</v>
      </c>
      <c r="M112" s="189">
        <f t="shared" si="40"/>
        <v>729521.26616414695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4"/>
      <c r="H113" s="474"/>
      <c r="I113" s="189"/>
      <c r="J113" s="478"/>
      <c r="K113" s="478"/>
      <c r="L113" s="478"/>
      <c r="M113" s="479"/>
      <c r="N113" s="479"/>
      <c r="O113" s="479"/>
      <c r="P113" s="11"/>
    </row>
    <row r="114" spans="1:16" ht="20.100000000000001" customHeight="1">
      <c r="A114" s="8"/>
      <c r="B114" s="18" t="s">
        <v>202</v>
      </c>
      <c r="C114" s="19"/>
      <c r="D114" s="19"/>
      <c r="E114" s="122"/>
      <c r="F114" s="122"/>
      <c r="G114" s="186"/>
      <c r="H114" s="186"/>
      <c r="I114" s="122"/>
      <c r="J114" s="472"/>
      <c r="K114" s="472"/>
      <c r="L114" s="472"/>
      <c r="M114" s="473"/>
      <c r="N114" s="473"/>
      <c r="O114" s="473"/>
      <c r="P114" s="11"/>
    </row>
    <row r="115" spans="1:16" ht="20.100000000000001" customHeight="1">
      <c r="A115" s="8">
        <v>1</v>
      </c>
      <c r="B115" s="12" t="s">
        <v>203</v>
      </c>
      <c r="C115" s="2" t="s">
        <v>114</v>
      </c>
      <c r="D115" s="8" t="s">
        <v>133</v>
      </c>
      <c r="E115" s="70">
        <v>601396.83333333302</v>
      </c>
      <c r="F115" s="70"/>
      <c r="G115" s="186">
        <v>160000</v>
      </c>
      <c r="H115" s="186"/>
      <c r="I115" s="70">
        <v>0</v>
      </c>
      <c r="J115" s="465">
        <f>E115+F115+G115+H115+I115</f>
        <v>761396.83333333302</v>
      </c>
      <c r="K115" s="465">
        <v>516137.05</v>
      </c>
      <c r="L115" s="465">
        <f>J115-K115</f>
        <v>245259.78333333301</v>
      </c>
      <c r="M115" s="467">
        <v>115462.53994666701</v>
      </c>
      <c r="N115" s="466">
        <v>77610.116906666706</v>
      </c>
      <c r="O115" s="467">
        <f>M115-N115</f>
        <v>37852.423040000001</v>
      </c>
      <c r="P115" s="11"/>
    </row>
    <row r="116" spans="1:16" ht="18.75" customHeight="1">
      <c r="A116" s="8">
        <v>2</v>
      </c>
      <c r="B116" s="9" t="s">
        <v>204</v>
      </c>
      <c r="C116" s="2" t="s">
        <v>205</v>
      </c>
      <c r="D116" s="13" t="s">
        <v>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5">
        <f t="shared" ref="J116:J117" si="41">E116+F116+G116+H116+I116</f>
        <v>487895.16666666698</v>
      </c>
      <c r="K116" s="465">
        <v>334536.99849999999</v>
      </c>
      <c r="L116" s="465">
        <f t="shared" ref="L116:L117" si="42">J116-K116</f>
        <v>153358.16816666699</v>
      </c>
      <c r="M116" s="467">
        <v>66538.068906666696</v>
      </c>
      <c r="N116" s="466">
        <v>43368.882414666703</v>
      </c>
      <c r="O116" s="467">
        <f>M116-N116</f>
        <v>23169.186492000001</v>
      </c>
      <c r="P116" s="11"/>
    </row>
    <row r="117" spans="1:16" ht="20.100000000000001" customHeight="1">
      <c r="A117" s="8">
        <v>3</v>
      </c>
      <c r="B117" s="9" t="s">
        <v>206</v>
      </c>
      <c r="C117" s="10" t="s">
        <v>579</v>
      </c>
      <c r="D117" s="13" t="s">
        <v>255</v>
      </c>
      <c r="E117" s="70">
        <v>390086.5</v>
      </c>
      <c r="F117" s="70"/>
      <c r="G117" s="186"/>
      <c r="H117" s="186">
        <f>60000</f>
        <v>60000</v>
      </c>
      <c r="I117" s="70"/>
      <c r="J117" s="465">
        <f t="shared" si="41"/>
        <v>450086.5</v>
      </c>
      <c r="K117" s="465">
        <v>286619.99875000003</v>
      </c>
      <c r="L117" s="465">
        <f t="shared" si="42"/>
        <v>163466.50125</v>
      </c>
      <c r="M117" s="467">
        <v>58980.834746666696</v>
      </c>
      <c r="N117" s="466">
        <v>35221.954086666701</v>
      </c>
      <c r="O117" s="467">
        <f>M117-N117</f>
        <v>23758.880659999999</v>
      </c>
      <c r="P117" s="11"/>
    </row>
    <row r="118" spans="1:16" ht="24.75" customHeight="1">
      <c r="A118" s="2"/>
      <c r="B118" s="18" t="s">
        <v>96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84780.490191999997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0"/>
      <c r="K119" s="480"/>
      <c r="L119" s="480"/>
      <c r="M119" s="481"/>
      <c r="N119" s="481"/>
      <c r="O119" s="481"/>
      <c r="P119" s="11"/>
    </row>
    <row r="120" spans="1:16" ht="20.100000000000001" customHeight="1">
      <c r="A120" s="2"/>
      <c r="B120" s="18" t="s">
        <v>215</v>
      </c>
      <c r="C120" s="19"/>
      <c r="D120" s="19"/>
      <c r="E120" s="122"/>
      <c r="F120" s="122"/>
      <c r="G120" s="186"/>
      <c r="H120" s="186"/>
      <c r="I120" s="122"/>
      <c r="J120" s="472"/>
      <c r="K120" s="472"/>
      <c r="L120" s="472"/>
      <c r="M120" s="473"/>
      <c r="N120" s="473"/>
      <c r="O120" s="473"/>
      <c r="P120" s="11"/>
    </row>
    <row r="121" spans="1:16" ht="20.100000000000001" customHeight="1">
      <c r="A121" s="2">
        <v>1</v>
      </c>
      <c r="B121" s="9" t="s">
        <v>216</v>
      </c>
      <c r="C121" s="10" t="s">
        <v>217</v>
      </c>
      <c r="D121" s="13" t="s">
        <v>100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5">
        <f>E121+F121+G121+H121+I121</f>
        <v>1635720</v>
      </c>
      <c r="K121" s="465">
        <v>1050209.0634999999</v>
      </c>
      <c r="L121" s="465">
        <f>J121-K121</f>
        <v>585510.93649999995</v>
      </c>
      <c r="M121" s="467">
        <v>270279.89537066699</v>
      </c>
      <c r="N121" s="466">
        <v>179914.45476266701</v>
      </c>
      <c r="O121" s="467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218</v>
      </c>
      <c r="C122" s="10" t="s">
        <v>219</v>
      </c>
      <c r="D122" s="13" t="s">
        <v>112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5">
        <f t="shared" ref="J122:J130" si="45">E122+F122+G122+H122+I122</f>
        <v>929203.58333333302</v>
      </c>
      <c r="K122" s="465">
        <v>627743.99575</v>
      </c>
      <c r="L122" s="465">
        <f t="shared" ref="L122:L130" si="46">J122-K122</f>
        <v>301459.58758333302</v>
      </c>
      <c r="M122" s="467">
        <v>145522.03071466699</v>
      </c>
      <c r="N122" s="466">
        <v>98995.956938666699</v>
      </c>
      <c r="O122" s="467">
        <f t="shared" si="44"/>
        <v>46526.073775999997</v>
      </c>
      <c r="P122" s="11"/>
    </row>
    <row r="123" spans="1:16" ht="20.100000000000001" customHeight="1">
      <c r="A123" s="2">
        <v>3</v>
      </c>
      <c r="B123" s="12" t="s">
        <v>220</v>
      </c>
      <c r="C123" s="10" t="s">
        <v>221</v>
      </c>
      <c r="D123" s="13" t="s">
        <v>36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5">
        <f t="shared" si="45"/>
        <v>830675.58333333302</v>
      </c>
      <c r="K123" s="465">
        <v>577553.50249999994</v>
      </c>
      <c r="L123" s="465">
        <f t="shared" si="46"/>
        <v>253122.08083333299</v>
      </c>
      <c r="M123" s="467">
        <v>128461.965706667</v>
      </c>
      <c r="N123" s="466">
        <v>89396.103146666603</v>
      </c>
      <c r="O123" s="467">
        <f t="shared" si="44"/>
        <v>39065.862560000001</v>
      </c>
      <c r="P123" s="11"/>
    </row>
    <row r="124" spans="1:16" ht="20.100000000000001" customHeight="1">
      <c r="A124" s="2">
        <v>4</v>
      </c>
      <c r="B124" s="12" t="s">
        <v>521</v>
      </c>
      <c r="C124" s="10" t="s">
        <v>221</v>
      </c>
      <c r="D124" s="13" t="s">
        <v>39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5">
        <f t="shared" si="45"/>
        <v>662118.08333333302</v>
      </c>
      <c r="K124" s="465">
        <v>424729.22200000001</v>
      </c>
      <c r="L124" s="465">
        <f t="shared" si="46"/>
        <v>237388.86133333301</v>
      </c>
      <c r="M124" s="467">
        <v>105793.338666667</v>
      </c>
      <c r="N124" s="466">
        <v>60214.677290666703</v>
      </c>
      <c r="O124" s="467">
        <f t="shared" si="44"/>
        <v>45578.661375999996</v>
      </c>
      <c r="P124" s="11"/>
    </row>
    <row r="125" spans="1:16" ht="20.100000000000001" customHeight="1">
      <c r="A125" s="2">
        <v>5</v>
      </c>
      <c r="B125" s="9" t="s">
        <v>222</v>
      </c>
      <c r="C125" s="10" t="s">
        <v>223</v>
      </c>
      <c r="D125" s="13" t="s">
        <v>224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5">
        <f t="shared" si="45"/>
        <v>540498</v>
      </c>
      <c r="K125" s="465">
        <v>343333.03525000002</v>
      </c>
      <c r="L125" s="465">
        <f t="shared" si="46"/>
        <v>197164.96475000001</v>
      </c>
      <c r="M125" s="467">
        <v>75215.4333866667</v>
      </c>
      <c r="N125" s="466">
        <v>44846.6165886667</v>
      </c>
      <c r="O125" s="467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225</v>
      </c>
      <c r="C126" s="10" t="s">
        <v>226</v>
      </c>
      <c r="D126" s="13" t="s">
        <v>47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5">
        <f t="shared" si="45"/>
        <v>512746.5</v>
      </c>
      <c r="K126" s="465">
        <v>327211.36749999999</v>
      </c>
      <c r="L126" s="465">
        <f t="shared" si="46"/>
        <v>185535.13250000001</v>
      </c>
      <c r="M126" s="467">
        <v>70189.308746666706</v>
      </c>
      <c r="N126" s="466">
        <v>42029.589186666701</v>
      </c>
      <c r="O126" s="467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227</v>
      </c>
      <c r="C127" s="10" t="s">
        <v>223</v>
      </c>
      <c r="D127" s="13" t="s">
        <v>150</v>
      </c>
      <c r="E127" s="70">
        <v>456622.25</v>
      </c>
      <c r="F127" s="70"/>
      <c r="G127" s="186"/>
      <c r="H127" s="186">
        <f t="shared" si="47"/>
        <v>70000</v>
      </c>
      <c r="I127" s="70"/>
      <c r="J127" s="465">
        <f t="shared" si="45"/>
        <v>526622.25</v>
      </c>
      <c r="K127" s="465">
        <v>335272.06374999997</v>
      </c>
      <c r="L127" s="465">
        <f t="shared" si="46"/>
        <v>191350.18625</v>
      </c>
      <c r="M127" s="467">
        <v>72636.104186666693</v>
      </c>
      <c r="N127" s="466">
        <v>43380.096246666697</v>
      </c>
      <c r="O127" s="467">
        <f t="shared" si="44"/>
        <v>29256.00794</v>
      </c>
      <c r="P127" s="11"/>
    </row>
    <row r="128" spans="1:16" ht="20.100000000000001" customHeight="1">
      <c r="A128" s="2">
        <v>8</v>
      </c>
      <c r="B128" s="9" t="s">
        <v>228</v>
      </c>
      <c r="C128" s="10" t="s">
        <v>229</v>
      </c>
      <c r="D128" s="8" t="s">
        <v>75</v>
      </c>
      <c r="E128" s="70">
        <v>270481.66666666698</v>
      </c>
      <c r="F128" s="70"/>
      <c r="G128" s="186"/>
      <c r="H128" s="186">
        <f>60000</f>
        <v>60000</v>
      </c>
      <c r="I128" s="70"/>
      <c r="J128" s="465">
        <f t="shared" si="45"/>
        <v>330481.66666666698</v>
      </c>
      <c r="K128" s="465">
        <v>213508.01</v>
      </c>
      <c r="L128" s="465">
        <f t="shared" si="46"/>
        <v>116973.656666667</v>
      </c>
      <c r="M128" s="467">
        <v>39052.313066666698</v>
      </c>
      <c r="N128" s="466">
        <v>23036.012346666699</v>
      </c>
      <c r="O128" s="467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230</v>
      </c>
      <c r="C129" s="10" t="s">
        <v>231</v>
      </c>
      <c r="D129" s="13" t="s">
        <v>92</v>
      </c>
      <c r="E129" s="70">
        <v>224459.75</v>
      </c>
      <c r="F129" s="70"/>
      <c r="G129" s="186"/>
      <c r="H129" s="186">
        <f>50000</f>
        <v>50000</v>
      </c>
      <c r="I129" s="70"/>
      <c r="J129" s="465">
        <f t="shared" si="45"/>
        <v>274459.75</v>
      </c>
      <c r="K129" s="465">
        <v>176816.1</v>
      </c>
      <c r="L129" s="465">
        <f t="shared" si="46"/>
        <v>97643.65</v>
      </c>
      <c r="M129" s="467">
        <v>30259.165626666701</v>
      </c>
      <c r="N129" s="466">
        <v>17042.713866666702</v>
      </c>
      <c r="O129" s="467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232</v>
      </c>
      <c r="C130" s="10" t="s">
        <v>233</v>
      </c>
      <c r="D130" s="13" t="s">
        <v>92</v>
      </c>
      <c r="E130" s="70">
        <v>224459.75</v>
      </c>
      <c r="F130" s="70"/>
      <c r="G130" s="186"/>
      <c r="H130" s="186">
        <v>50000</v>
      </c>
      <c r="I130" s="70"/>
      <c r="J130" s="465">
        <f t="shared" si="45"/>
        <v>274459.75</v>
      </c>
      <c r="K130" s="465">
        <v>176816.1</v>
      </c>
      <c r="L130" s="465">
        <f t="shared" si="46"/>
        <v>97643.65</v>
      </c>
      <c r="M130" s="467">
        <v>30259.165626666701</v>
      </c>
      <c r="N130" s="466">
        <v>17042.713866666702</v>
      </c>
      <c r="O130" s="467">
        <f t="shared" si="44"/>
        <v>13216.45176</v>
      </c>
      <c r="P130" s="11"/>
    </row>
    <row r="131" spans="1:16" ht="28.5" customHeight="1">
      <c r="A131" s="2"/>
      <c r="B131" s="18" t="s">
        <v>96</v>
      </c>
      <c r="C131" s="24" t="s">
        <v>235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967668.72109866701</v>
      </c>
      <c r="N131" s="122">
        <v>615898.93424066703</v>
      </c>
      <c r="O131" s="122">
        <f t="shared" si="48"/>
        <v>351769.78685799998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2"/>
      <c r="K132" s="472"/>
      <c r="L132" s="472"/>
      <c r="M132" s="473"/>
      <c r="N132" s="473"/>
      <c r="O132" s="473"/>
      <c r="P132" s="11"/>
    </row>
    <row r="133" spans="1:16" ht="20.100000000000001" customHeight="1">
      <c r="A133" s="2"/>
      <c r="B133" s="18" t="s">
        <v>236</v>
      </c>
      <c r="C133" s="10"/>
      <c r="D133" s="13"/>
      <c r="E133" s="70"/>
      <c r="F133" s="70"/>
      <c r="G133" s="186"/>
      <c r="H133" s="186"/>
      <c r="I133" s="70"/>
      <c r="J133" s="465"/>
      <c r="K133" s="465"/>
      <c r="L133" s="465"/>
      <c r="M133" s="466"/>
      <c r="N133" s="466"/>
      <c r="O133" s="466"/>
      <c r="P133" s="11"/>
    </row>
    <row r="134" spans="1:16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5">
        <f>E134+F134+G134+H134+I134</f>
        <v>1535720</v>
      </c>
      <c r="K134" s="465">
        <v>950209.06350000005</v>
      </c>
      <c r="L134" s="465">
        <f>J134-K134</f>
        <v>585510.93649999995</v>
      </c>
      <c r="M134" s="467">
        <v>251472.247466667</v>
      </c>
      <c r="N134" s="466">
        <v>161106.806858667</v>
      </c>
      <c r="O134" s="467">
        <f t="shared" ref="O134:O192" si="49">M134-N134</f>
        <v>90365.440607999903</v>
      </c>
      <c r="P134" s="11"/>
    </row>
    <row r="135" spans="1:16" ht="20.100000000000001" customHeight="1">
      <c r="A135" s="25">
        <v>2</v>
      </c>
      <c r="B135" s="9" t="s">
        <v>522</v>
      </c>
      <c r="C135" s="10" t="s">
        <v>573</v>
      </c>
      <c r="D135" s="13" t="s">
        <v>191</v>
      </c>
      <c r="E135" s="70">
        <v>762373.16666666698</v>
      </c>
      <c r="F135" s="70"/>
      <c r="G135" s="186"/>
      <c r="H135" s="186">
        <v>90000</v>
      </c>
      <c r="I135" s="70"/>
      <c r="J135" s="465">
        <f t="shared" ref="J135:J192" si="50">E135+F135+G135+H135+I135</f>
        <v>852373.16666666698</v>
      </c>
      <c r="K135" s="465">
        <v>541465.02474999998</v>
      </c>
      <c r="L135" s="465">
        <f t="shared" ref="L135:L192" si="51">J135-K135</f>
        <v>310908.14191666699</v>
      </c>
      <c r="M135" s="467">
        <v>142322.31466666699</v>
      </c>
      <c r="N135" s="466">
        <v>82627.951418666693</v>
      </c>
      <c r="O135" s="467">
        <f t="shared" si="49"/>
        <v>59694.363248000001</v>
      </c>
      <c r="P135" s="11"/>
    </row>
    <row r="136" spans="1:16" ht="20.100000000000001" customHeight="1">
      <c r="A136" s="25">
        <v>3</v>
      </c>
      <c r="B136" s="12" t="s">
        <v>239</v>
      </c>
      <c r="C136" s="2" t="s">
        <v>240</v>
      </c>
      <c r="D136" s="14" t="s">
        <v>191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5">
        <f t="shared" si="50"/>
        <v>902373.16666666698</v>
      </c>
      <c r="K136" s="465">
        <v>591465.02474999998</v>
      </c>
      <c r="L136" s="465">
        <f t="shared" si="51"/>
        <v>310908.14191666699</v>
      </c>
      <c r="M136" s="467">
        <v>140007.52761066699</v>
      </c>
      <c r="N136" s="466">
        <v>92023.216202666707</v>
      </c>
      <c r="O136" s="467">
        <f t="shared" si="49"/>
        <v>47984.311408000001</v>
      </c>
      <c r="P136" s="11"/>
    </row>
    <row r="137" spans="1:16" ht="20.100000000000001" customHeight="1">
      <c r="A137" s="25">
        <v>4</v>
      </c>
      <c r="B137" s="9" t="s">
        <v>241</v>
      </c>
      <c r="C137" s="10" t="s">
        <v>580</v>
      </c>
      <c r="D137" s="13" t="s">
        <v>42</v>
      </c>
      <c r="E137" s="70">
        <v>484373.75</v>
      </c>
      <c r="F137" s="70"/>
      <c r="G137" s="186"/>
      <c r="H137" s="186">
        <v>70000</v>
      </c>
      <c r="I137" s="70"/>
      <c r="J137" s="465">
        <f t="shared" si="50"/>
        <v>554373.75</v>
      </c>
      <c r="K137" s="465">
        <v>351394.00675</v>
      </c>
      <c r="L137" s="465">
        <f t="shared" si="51"/>
        <v>202979.74325</v>
      </c>
      <c r="M137" s="467">
        <v>77529.694778666701</v>
      </c>
      <c r="N137" s="466">
        <v>46081.202598666699</v>
      </c>
      <c r="O137" s="467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243</v>
      </c>
      <c r="C138" s="2" t="s">
        <v>581</v>
      </c>
      <c r="D138" s="13" t="s">
        <v>42</v>
      </c>
      <c r="E138" s="70">
        <v>484373.75</v>
      </c>
      <c r="F138" s="70"/>
      <c r="G138" s="186"/>
      <c r="H138" s="186">
        <v>70000</v>
      </c>
      <c r="I138" s="70">
        <v>0</v>
      </c>
      <c r="J138" s="465">
        <f t="shared" si="50"/>
        <v>554373.75</v>
      </c>
      <c r="K138" s="465">
        <v>351394.00675</v>
      </c>
      <c r="L138" s="465">
        <f t="shared" si="51"/>
        <v>202979.74325</v>
      </c>
      <c r="M138" s="467">
        <v>77529.694778666701</v>
      </c>
      <c r="N138" s="466">
        <v>46081.202598666699</v>
      </c>
      <c r="O138" s="467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245</v>
      </c>
      <c r="C139" s="2" t="s">
        <v>581</v>
      </c>
      <c r="D139" s="13" t="s">
        <v>42</v>
      </c>
      <c r="E139" s="70">
        <v>484373.75</v>
      </c>
      <c r="F139" s="70"/>
      <c r="G139" s="186"/>
      <c r="H139" s="186">
        <v>70000</v>
      </c>
      <c r="I139" s="70">
        <v>0</v>
      </c>
      <c r="J139" s="465">
        <f t="shared" si="50"/>
        <v>554373.75</v>
      </c>
      <c r="K139" s="465">
        <v>351394.00675</v>
      </c>
      <c r="L139" s="465">
        <f t="shared" si="51"/>
        <v>202979.74325</v>
      </c>
      <c r="M139" s="467">
        <v>77529.694778666701</v>
      </c>
      <c r="N139" s="466">
        <v>46081.202598666699</v>
      </c>
      <c r="O139" s="467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180</v>
      </c>
      <c r="C140" s="10" t="s">
        <v>582</v>
      </c>
      <c r="D140" s="13" t="s">
        <v>255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5">
        <f t="shared" si="50"/>
        <v>450086.5</v>
      </c>
      <c r="K140" s="465">
        <v>286619.99875000003</v>
      </c>
      <c r="L140" s="465">
        <f t="shared" si="51"/>
        <v>163466.50125</v>
      </c>
      <c r="M140" s="467">
        <v>58980.834746666696</v>
      </c>
      <c r="N140" s="466">
        <v>35221.954086666701</v>
      </c>
      <c r="O140" s="467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246</v>
      </c>
      <c r="C141" s="10" t="s">
        <v>582</v>
      </c>
      <c r="D141" s="13" t="s">
        <v>255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5">
        <f t="shared" si="50"/>
        <v>450086.5</v>
      </c>
      <c r="K141" s="465">
        <v>286619.99875000003</v>
      </c>
      <c r="L141" s="465">
        <f t="shared" si="51"/>
        <v>163466.50125</v>
      </c>
      <c r="M141" s="467">
        <v>59091.5460266667</v>
      </c>
      <c r="N141" s="466">
        <v>35318.826456666699</v>
      </c>
      <c r="O141" s="467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247</v>
      </c>
      <c r="C142" s="2" t="s">
        <v>583</v>
      </c>
      <c r="D142" s="13" t="s">
        <v>255</v>
      </c>
      <c r="E142" s="70">
        <v>390086.5</v>
      </c>
      <c r="F142" s="70"/>
      <c r="G142" s="186"/>
      <c r="H142" s="186">
        <f t="shared" si="52"/>
        <v>60000</v>
      </c>
      <c r="I142" s="70"/>
      <c r="J142" s="465">
        <f t="shared" si="50"/>
        <v>450086.5</v>
      </c>
      <c r="K142" s="465">
        <v>286619.99875000003</v>
      </c>
      <c r="L142" s="465">
        <f t="shared" si="51"/>
        <v>163466.50125</v>
      </c>
      <c r="M142" s="467">
        <v>59091.5460266667</v>
      </c>
      <c r="N142" s="466">
        <v>35318.826456666699</v>
      </c>
      <c r="O142" s="467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249</v>
      </c>
      <c r="C143" s="10" t="s">
        <v>250</v>
      </c>
      <c r="D143" s="13" t="s">
        <v>62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5">
        <f t="shared" si="50"/>
        <v>437895.16666666698</v>
      </c>
      <c r="K143" s="465">
        <v>284536.99849999999</v>
      </c>
      <c r="L143" s="465">
        <f t="shared" si="51"/>
        <v>153358.16816666699</v>
      </c>
      <c r="M143" s="467">
        <v>56938.068906666696</v>
      </c>
      <c r="N143" s="466">
        <v>34968.882414666703</v>
      </c>
      <c r="O143" s="467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251</v>
      </c>
      <c r="C144" s="10" t="s">
        <v>252</v>
      </c>
      <c r="D144" s="13" t="s">
        <v>137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5">
        <f t="shared" si="50"/>
        <v>425703.83333333302</v>
      </c>
      <c r="K144" s="465">
        <v>272454.07400000002</v>
      </c>
      <c r="L144" s="465">
        <f t="shared" si="51"/>
        <v>153249.759333333</v>
      </c>
      <c r="M144" s="467">
        <v>54681.291562666702</v>
      </c>
      <c r="N144" s="466">
        <v>32848.563402666703</v>
      </c>
      <c r="O144" s="467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253</v>
      </c>
      <c r="C145" s="10" t="s">
        <v>254</v>
      </c>
      <c r="D145" s="13" t="s">
        <v>255</v>
      </c>
      <c r="E145" s="70">
        <v>390086.5</v>
      </c>
      <c r="F145" s="70"/>
      <c r="G145" s="186"/>
      <c r="H145" s="186">
        <f t="shared" si="52"/>
        <v>60000</v>
      </c>
      <c r="I145" s="70"/>
      <c r="J145" s="465">
        <f t="shared" si="50"/>
        <v>450086.5</v>
      </c>
      <c r="K145" s="465">
        <v>286619.99875000003</v>
      </c>
      <c r="L145" s="465">
        <f t="shared" si="51"/>
        <v>163466.50125</v>
      </c>
      <c r="M145" s="467">
        <v>58980.834746666696</v>
      </c>
      <c r="N145" s="466">
        <v>35221.954086666701</v>
      </c>
      <c r="O145" s="467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256</v>
      </c>
      <c r="C146" s="2" t="s">
        <v>257</v>
      </c>
      <c r="D146" s="13" t="s">
        <v>65</v>
      </c>
      <c r="E146" s="186">
        <v>353512.5</v>
      </c>
      <c r="F146" s="70"/>
      <c r="G146" s="186"/>
      <c r="H146" s="186">
        <v>60000</v>
      </c>
      <c r="I146" s="70"/>
      <c r="J146" s="465">
        <f t="shared" si="50"/>
        <v>413512.5</v>
      </c>
      <c r="K146" s="465">
        <v>265372.07500000001</v>
      </c>
      <c r="L146" s="465">
        <f t="shared" si="51"/>
        <v>148140.42499999999</v>
      </c>
      <c r="M146" s="467">
        <v>52631.114666666697</v>
      </c>
      <c r="N146" s="466">
        <v>31749.175266666702</v>
      </c>
      <c r="O146" s="467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258</v>
      </c>
      <c r="C147" s="2" t="s">
        <v>584</v>
      </c>
      <c r="D147" s="13" t="s">
        <v>267</v>
      </c>
      <c r="E147" s="186">
        <v>308901.5</v>
      </c>
      <c r="F147" s="70"/>
      <c r="G147" s="186"/>
      <c r="H147" s="186">
        <f>60000</f>
        <v>60000</v>
      </c>
      <c r="I147" s="70"/>
      <c r="J147" s="465">
        <f t="shared" si="50"/>
        <v>368901.5</v>
      </c>
      <c r="K147" s="465">
        <v>237734.04699999999</v>
      </c>
      <c r="L147" s="465">
        <f t="shared" si="51"/>
        <v>131167.45300000001</v>
      </c>
      <c r="M147" s="467">
        <v>44990.482506666704</v>
      </c>
      <c r="N147" s="466">
        <v>27105.986562666702</v>
      </c>
      <c r="O147" s="467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259</v>
      </c>
      <c r="C148" s="2" t="s">
        <v>584</v>
      </c>
      <c r="D148" s="13" t="s">
        <v>585</v>
      </c>
      <c r="E148" s="186">
        <v>316837.41666666698</v>
      </c>
      <c r="F148" s="70"/>
      <c r="G148" s="186"/>
      <c r="H148" s="186">
        <f>60000</f>
        <v>60000</v>
      </c>
      <c r="I148" s="70"/>
      <c r="J148" s="465">
        <f t="shared" si="50"/>
        <v>376837.41666666698</v>
      </c>
      <c r="K148" s="465">
        <v>242300.07750000001</v>
      </c>
      <c r="L148" s="465">
        <f t="shared" si="51"/>
        <v>134537.33916666699</v>
      </c>
      <c r="M148" s="467">
        <v>46138.184726666703</v>
      </c>
      <c r="N148" s="466">
        <v>27794.206626666699</v>
      </c>
      <c r="O148" s="467">
        <f t="shared" si="49"/>
        <v>18343.9781</v>
      </c>
      <c r="P148" s="11"/>
    </row>
    <row r="149" spans="1:16" ht="20.100000000000001" customHeight="1">
      <c r="A149" s="25">
        <v>16</v>
      </c>
      <c r="B149" s="9" t="s">
        <v>260</v>
      </c>
      <c r="C149" s="2" t="s">
        <v>584</v>
      </c>
      <c r="D149" s="13" t="s">
        <v>585</v>
      </c>
      <c r="E149" s="186">
        <v>316837.41666666698</v>
      </c>
      <c r="F149" s="70"/>
      <c r="G149" s="186"/>
      <c r="H149" s="186">
        <f>60000</f>
        <v>60000</v>
      </c>
      <c r="I149" s="70"/>
      <c r="J149" s="465">
        <f t="shared" si="50"/>
        <v>376837.41666666698</v>
      </c>
      <c r="K149" s="465">
        <v>242300.07750000001</v>
      </c>
      <c r="L149" s="465">
        <f t="shared" si="51"/>
        <v>134537.33916666699</v>
      </c>
      <c r="M149" s="467">
        <v>46217.057786666701</v>
      </c>
      <c r="N149" s="466">
        <v>27873.079686666701</v>
      </c>
      <c r="O149" s="467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261</v>
      </c>
      <c r="C150" s="10" t="s">
        <v>262</v>
      </c>
      <c r="D150" s="13" t="s">
        <v>104</v>
      </c>
      <c r="E150" s="186">
        <v>300965.58333333302</v>
      </c>
      <c r="F150" s="70"/>
      <c r="G150" s="186"/>
      <c r="H150" s="186">
        <f>60000</f>
        <v>60000</v>
      </c>
      <c r="I150" s="70"/>
      <c r="J150" s="465">
        <f t="shared" si="50"/>
        <v>360965.58333333302</v>
      </c>
      <c r="K150" s="465">
        <v>237734.04699999999</v>
      </c>
      <c r="L150" s="465">
        <f t="shared" si="51"/>
        <v>123231.536333333</v>
      </c>
      <c r="M150" s="467">
        <v>43763.907226666699</v>
      </c>
      <c r="N150" s="466">
        <v>27105.986562666702</v>
      </c>
      <c r="O150" s="467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263</v>
      </c>
      <c r="C151" s="10" t="s">
        <v>264</v>
      </c>
      <c r="D151" s="8" t="s">
        <v>80</v>
      </c>
      <c r="E151" s="70">
        <v>263165.33333333302</v>
      </c>
      <c r="F151" s="70"/>
      <c r="G151" s="186"/>
      <c r="H151" s="186">
        <f>60000</f>
        <v>60000</v>
      </c>
      <c r="I151" s="70"/>
      <c r="J151" s="465">
        <f t="shared" si="50"/>
        <v>323165.33333333302</v>
      </c>
      <c r="K151" s="465">
        <v>209356.04725</v>
      </c>
      <c r="L151" s="465">
        <f t="shared" si="51"/>
        <v>113809.28608333301</v>
      </c>
      <c r="M151" s="467">
        <v>37921.500586666698</v>
      </c>
      <c r="N151" s="466">
        <v>22338.4826046667</v>
      </c>
      <c r="O151" s="467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265</v>
      </c>
      <c r="C152" s="10" t="s">
        <v>266</v>
      </c>
      <c r="D152" s="13" t="s">
        <v>267</v>
      </c>
      <c r="E152" s="186">
        <v>308901.5</v>
      </c>
      <c r="F152" s="70"/>
      <c r="G152" s="186"/>
      <c r="H152" s="186">
        <f>50000+10000</f>
        <v>60000</v>
      </c>
      <c r="I152" s="70"/>
      <c r="J152" s="465">
        <f t="shared" si="50"/>
        <v>368901.5</v>
      </c>
      <c r="K152" s="465">
        <v>237734.04699999999</v>
      </c>
      <c r="L152" s="465">
        <f t="shared" si="51"/>
        <v>131167.45300000001</v>
      </c>
      <c r="M152" s="467">
        <v>44990.482506666704</v>
      </c>
      <c r="N152" s="466">
        <v>27105.986562666702</v>
      </c>
      <c r="O152" s="467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268</v>
      </c>
      <c r="C153" s="10" t="s">
        <v>269</v>
      </c>
      <c r="D153" s="13" t="s">
        <v>75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5">
        <f t="shared" si="50"/>
        <v>330481.66666666698</v>
      </c>
      <c r="K153" s="465">
        <v>213508.01</v>
      </c>
      <c r="L153" s="465">
        <f t="shared" si="51"/>
        <v>116973.656666667</v>
      </c>
      <c r="M153" s="467">
        <v>39052.313066666698</v>
      </c>
      <c r="N153" s="466">
        <v>23036.012346666699</v>
      </c>
      <c r="O153" s="467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270</v>
      </c>
      <c r="C154" s="10" t="s">
        <v>271</v>
      </c>
      <c r="D154" s="13" t="s">
        <v>267</v>
      </c>
      <c r="E154" s="186">
        <v>308901.5</v>
      </c>
      <c r="F154" s="70"/>
      <c r="G154" s="186"/>
      <c r="H154" s="186">
        <f>50000+10000</f>
        <v>60000</v>
      </c>
      <c r="I154" s="70"/>
      <c r="J154" s="465">
        <f t="shared" si="50"/>
        <v>368901.5</v>
      </c>
      <c r="K154" s="465">
        <v>237734.04699999999</v>
      </c>
      <c r="L154" s="465">
        <f t="shared" si="51"/>
        <v>131167.45300000001</v>
      </c>
      <c r="M154" s="467">
        <v>44913.699618666702</v>
      </c>
      <c r="N154" s="466">
        <v>27029.2036746667</v>
      </c>
      <c r="O154" s="467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272</v>
      </c>
      <c r="C155" s="10" t="s">
        <v>273</v>
      </c>
      <c r="D155" s="13" t="s">
        <v>75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5">
        <f t="shared" si="50"/>
        <v>330481.66666666698</v>
      </c>
      <c r="K155" s="465">
        <v>209356.04725</v>
      </c>
      <c r="L155" s="465">
        <f t="shared" si="51"/>
        <v>121125.619416667</v>
      </c>
      <c r="M155" s="467">
        <v>39052.313066666698</v>
      </c>
      <c r="N155" s="466">
        <v>22338.4826046667</v>
      </c>
      <c r="O155" s="467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274</v>
      </c>
      <c r="C156" s="10" t="s">
        <v>275</v>
      </c>
      <c r="D156" s="13" t="s">
        <v>83</v>
      </c>
      <c r="E156" s="186">
        <v>255849</v>
      </c>
      <c r="F156" s="70"/>
      <c r="G156" s="186"/>
      <c r="H156" s="186">
        <f>60000</f>
        <v>60000</v>
      </c>
      <c r="I156" s="2"/>
      <c r="J156" s="465">
        <f t="shared" si="50"/>
        <v>315849</v>
      </c>
      <c r="K156" s="465">
        <v>205204.0845</v>
      </c>
      <c r="L156" s="465">
        <f t="shared" si="51"/>
        <v>110644.9155</v>
      </c>
      <c r="M156" s="467">
        <v>36790.688106666697</v>
      </c>
      <c r="N156" s="466">
        <v>21640.952862666702</v>
      </c>
      <c r="O156" s="467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277</v>
      </c>
      <c r="C157" s="10" t="s">
        <v>278</v>
      </c>
      <c r="D157" s="13" t="s">
        <v>92</v>
      </c>
      <c r="E157" s="70">
        <v>224459.75</v>
      </c>
      <c r="F157" s="70"/>
      <c r="G157" s="186"/>
      <c r="H157" s="186">
        <f>50000</f>
        <v>50000</v>
      </c>
      <c r="I157" s="70"/>
      <c r="J157" s="465">
        <f t="shared" si="50"/>
        <v>274459.75</v>
      </c>
      <c r="K157" s="465">
        <v>176816.1</v>
      </c>
      <c r="L157" s="465">
        <f t="shared" si="51"/>
        <v>97643.65</v>
      </c>
      <c r="M157" s="467">
        <v>30259.165626666701</v>
      </c>
      <c r="N157" s="466">
        <v>17042.713866666702</v>
      </c>
      <c r="O157" s="467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279</v>
      </c>
      <c r="C158" s="10" t="s">
        <v>280</v>
      </c>
      <c r="D158" s="13" t="s">
        <v>92</v>
      </c>
      <c r="E158" s="70">
        <v>224459.75</v>
      </c>
      <c r="F158" s="70"/>
      <c r="G158" s="186"/>
      <c r="H158" s="186">
        <f>50000</f>
        <v>50000</v>
      </c>
      <c r="I158" s="70"/>
      <c r="J158" s="465">
        <f t="shared" si="50"/>
        <v>274459.75</v>
      </c>
      <c r="K158" s="465">
        <v>176816.1</v>
      </c>
      <c r="L158" s="465">
        <f t="shared" si="51"/>
        <v>97643.65</v>
      </c>
      <c r="M158" s="467">
        <v>30259.165626666701</v>
      </c>
      <c r="N158" s="466">
        <v>17042.713866666702</v>
      </c>
      <c r="O158" s="467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281</v>
      </c>
      <c r="C159" s="10" t="s">
        <v>282</v>
      </c>
      <c r="D159" s="13" t="s">
        <v>92</v>
      </c>
      <c r="E159" s="70">
        <v>224459.75</v>
      </c>
      <c r="F159" s="70"/>
      <c r="G159" s="186"/>
      <c r="H159" s="186">
        <f>50000</f>
        <v>50000</v>
      </c>
      <c r="I159" s="70"/>
      <c r="J159" s="465">
        <f t="shared" si="50"/>
        <v>274459.75</v>
      </c>
      <c r="K159" s="465">
        <v>176816.1</v>
      </c>
      <c r="L159" s="465">
        <f t="shared" si="51"/>
        <v>97643.65</v>
      </c>
      <c r="M159" s="467">
        <v>30259.165626666701</v>
      </c>
      <c r="N159" s="466">
        <v>17042.713866666702</v>
      </c>
      <c r="O159" s="467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283</v>
      </c>
      <c r="C160" s="10" t="s">
        <v>284</v>
      </c>
      <c r="D160" s="13" t="s">
        <v>173</v>
      </c>
      <c r="E160" s="70">
        <v>230631.91666666701</v>
      </c>
      <c r="F160" s="70"/>
      <c r="G160" s="186"/>
      <c r="H160" s="186">
        <f>50000</f>
        <v>50000</v>
      </c>
      <c r="I160" s="70"/>
      <c r="J160" s="465">
        <f t="shared" si="50"/>
        <v>280631.91666666698</v>
      </c>
      <c r="K160" s="465">
        <v>180304.068</v>
      </c>
      <c r="L160" s="465">
        <f t="shared" si="51"/>
        <v>100327.84866666701</v>
      </c>
      <c r="M160" s="467">
        <v>31213.135706666701</v>
      </c>
      <c r="N160" s="466">
        <v>17572.885002666699</v>
      </c>
      <c r="O160" s="467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285</v>
      </c>
      <c r="C161" s="10" t="s">
        <v>280</v>
      </c>
      <c r="D161" s="13" t="s">
        <v>92</v>
      </c>
      <c r="E161" s="70">
        <v>224459.75</v>
      </c>
      <c r="F161" s="70"/>
      <c r="G161" s="186"/>
      <c r="H161" s="186">
        <f>50000</f>
        <v>50000</v>
      </c>
      <c r="I161" s="70"/>
      <c r="J161" s="465">
        <f t="shared" si="50"/>
        <v>274459.75</v>
      </c>
      <c r="K161" s="465">
        <v>176816.1</v>
      </c>
      <c r="L161" s="465">
        <f t="shared" si="51"/>
        <v>97643.65</v>
      </c>
      <c r="M161" s="467">
        <v>30259.165626666701</v>
      </c>
      <c r="N161" s="466">
        <v>17042.713866666702</v>
      </c>
      <c r="O161" s="467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289</v>
      </c>
      <c r="C162" s="10" t="s">
        <v>290</v>
      </c>
      <c r="D162" s="13" t="s">
        <v>291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5">
        <f t="shared" si="50"/>
        <v>202598.16666666701</v>
      </c>
      <c r="K162" s="465">
        <v>135590.73000000001</v>
      </c>
      <c r="L162" s="465">
        <f t="shared" si="51"/>
        <v>67007.436666666705</v>
      </c>
      <c r="M162" s="467">
        <v>18892.9833866667</v>
      </c>
      <c r="N162" s="466">
        <v>10739.3048</v>
      </c>
      <c r="O162" s="467">
        <f t="shared" si="49"/>
        <v>8153.6785866666696</v>
      </c>
      <c r="P162" s="11"/>
    </row>
    <row r="163" spans="1:16" ht="20.100000000000001" customHeight="1">
      <c r="A163" s="25">
        <v>30</v>
      </c>
      <c r="B163" s="9" t="s">
        <v>292</v>
      </c>
      <c r="C163" s="10" t="s">
        <v>290</v>
      </c>
      <c r="D163" s="13" t="s">
        <v>291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5">
        <f t="shared" si="50"/>
        <v>205598.16666666701</v>
      </c>
      <c r="K163" s="465">
        <v>138590.73000000001</v>
      </c>
      <c r="L163" s="465">
        <f t="shared" si="51"/>
        <v>67007.436666666705</v>
      </c>
      <c r="M163" s="467">
        <v>19441.199306666698</v>
      </c>
      <c r="N163" s="466">
        <v>11232.457626666701</v>
      </c>
      <c r="O163" s="467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293</v>
      </c>
      <c r="C164" s="10" t="s">
        <v>290</v>
      </c>
      <c r="D164" s="13" t="s">
        <v>291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5">
        <f t="shared" si="50"/>
        <v>202598.16666666701</v>
      </c>
      <c r="K164" s="465">
        <v>135590.73000000001</v>
      </c>
      <c r="L164" s="465">
        <f t="shared" si="51"/>
        <v>67007.436666666705</v>
      </c>
      <c r="M164" s="467">
        <v>18937.199306666698</v>
      </c>
      <c r="N164" s="466">
        <v>10776.457626666701</v>
      </c>
      <c r="O164" s="467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294</v>
      </c>
      <c r="C165" s="10" t="s">
        <v>290</v>
      </c>
      <c r="D165" s="13" t="s">
        <v>291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5">
        <f t="shared" si="50"/>
        <v>202598.16666666701</v>
      </c>
      <c r="K165" s="465">
        <v>135590.73000000001</v>
      </c>
      <c r="L165" s="465">
        <f t="shared" si="51"/>
        <v>67007.436666666705</v>
      </c>
      <c r="M165" s="467">
        <v>18892.9833866667</v>
      </c>
      <c r="N165" s="466">
        <v>10739.3048</v>
      </c>
      <c r="O165" s="467">
        <f t="shared" si="49"/>
        <v>8153.6785866666696</v>
      </c>
      <c r="P165" s="11"/>
    </row>
    <row r="166" spans="1:16" ht="20.100000000000001" customHeight="1">
      <c r="A166" s="25">
        <v>33</v>
      </c>
      <c r="B166" s="9" t="s">
        <v>295</v>
      </c>
      <c r="C166" s="10" t="s">
        <v>290</v>
      </c>
      <c r="D166" s="13" t="s">
        <v>291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5">
        <f t="shared" si="50"/>
        <v>202598.16666666701</v>
      </c>
      <c r="K166" s="465">
        <v>135590.73000000001</v>
      </c>
      <c r="L166" s="465">
        <f t="shared" si="51"/>
        <v>67007.436666666705</v>
      </c>
      <c r="M166" s="467">
        <v>18937.199306666698</v>
      </c>
      <c r="N166" s="466">
        <v>10776.457626666701</v>
      </c>
      <c r="O166" s="467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296</v>
      </c>
      <c r="C167" s="10" t="s">
        <v>290</v>
      </c>
      <c r="D167" s="13" t="s">
        <v>297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5">
        <f t="shared" si="50"/>
        <v>200336.83333333299</v>
      </c>
      <c r="K167" s="465">
        <v>138590.73000000001</v>
      </c>
      <c r="L167" s="465">
        <f t="shared" si="51"/>
        <v>61746.103333333398</v>
      </c>
      <c r="M167" s="467">
        <v>18631.689439999998</v>
      </c>
      <c r="N167" s="466">
        <v>11232.457626666701</v>
      </c>
      <c r="O167" s="467">
        <f t="shared" si="49"/>
        <v>7399.2318133333401</v>
      </c>
      <c r="P167" s="11"/>
    </row>
    <row r="168" spans="1:16" ht="20.100000000000001" customHeight="1">
      <c r="A168" s="25">
        <v>35</v>
      </c>
      <c r="B168" s="9" t="s">
        <v>298</v>
      </c>
      <c r="C168" s="10" t="s">
        <v>290</v>
      </c>
      <c r="D168" s="13" t="s">
        <v>297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5">
        <f t="shared" si="50"/>
        <v>197336.83333333299</v>
      </c>
      <c r="K168" s="465">
        <v>135590.73000000001</v>
      </c>
      <c r="L168" s="465">
        <f t="shared" si="51"/>
        <v>61746.103333333398</v>
      </c>
      <c r="M168" s="467">
        <v>18175.689439999998</v>
      </c>
      <c r="N168" s="466">
        <v>10776.457626666701</v>
      </c>
      <c r="O168" s="467">
        <f t="shared" si="49"/>
        <v>7399.2318133333401</v>
      </c>
      <c r="P168" s="11"/>
    </row>
    <row r="169" spans="1:16" ht="20.100000000000001" customHeight="1">
      <c r="A169" s="25">
        <v>36</v>
      </c>
      <c r="B169" s="12" t="s">
        <v>299</v>
      </c>
      <c r="C169" s="10" t="s">
        <v>290</v>
      </c>
      <c r="D169" s="13" t="s">
        <v>297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5">
        <f t="shared" si="50"/>
        <v>200336.83333333299</v>
      </c>
      <c r="K169" s="465">
        <v>138590.73000000001</v>
      </c>
      <c r="L169" s="465">
        <f t="shared" si="51"/>
        <v>61746.103333333398</v>
      </c>
      <c r="M169" s="467">
        <v>18631.689439999998</v>
      </c>
      <c r="N169" s="466">
        <v>11232.457626666701</v>
      </c>
      <c r="O169" s="467">
        <f t="shared" si="49"/>
        <v>7399.2318133333401</v>
      </c>
      <c r="P169" s="11"/>
    </row>
    <row r="170" spans="1:16" ht="20.100000000000001" customHeight="1">
      <c r="A170" s="25">
        <v>37</v>
      </c>
      <c r="B170" s="9" t="s">
        <v>300</v>
      </c>
      <c r="C170" s="10" t="s">
        <v>290</v>
      </c>
      <c r="D170" s="13" t="s">
        <v>297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5">
        <f t="shared" si="50"/>
        <v>197336.83333333299</v>
      </c>
      <c r="K170" s="465">
        <v>135590.73000000001</v>
      </c>
      <c r="L170" s="465">
        <f t="shared" si="51"/>
        <v>61746.103333333398</v>
      </c>
      <c r="M170" s="467">
        <v>18175.689439999998</v>
      </c>
      <c r="N170" s="466">
        <v>10776.457626666701</v>
      </c>
      <c r="O170" s="467">
        <f t="shared" si="49"/>
        <v>7399.2318133333401</v>
      </c>
      <c r="P170" s="11"/>
    </row>
    <row r="171" spans="1:16" ht="20.100000000000001" customHeight="1">
      <c r="A171" s="25">
        <v>38</v>
      </c>
      <c r="B171" s="16" t="s">
        <v>301</v>
      </c>
      <c r="C171" s="10" t="s">
        <v>290</v>
      </c>
      <c r="D171" s="13" t="s">
        <v>297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5">
        <f t="shared" si="50"/>
        <v>197336.83333333299</v>
      </c>
      <c r="K171" s="465">
        <v>135590.73000000001</v>
      </c>
      <c r="L171" s="465">
        <f t="shared" si="51"/>
        <v>61746.103333333398</v>
      </c>
      <c r="M171" s="467">
        <v>18175.689439999998</v>
      </c>
      <c r="N171" s="466">
        <v>10776.457626666701</v>
      </c>
      <c r="O171" s="467">
        <f t="shared" si="49"/>
        <v>7399.2318133333401</v>
      </c>
      <c r="P171" s="11"/>
    </row>
    <row r="172" spans="1:16" ht="20.100000000000001" customHeight="1">
      <c r="A172" s="25">
        <v>39</v>
      </c>
      <c r="B172" s="16" t="s">
        <v>302</v>
      </c>
      <c r="C172" s="10" t="s">
        <v>290</v>
      </c>
      <c r="D172" s="13" t="s">
        <v>297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5">
        <f t="shared" si="50"/>
        <v>200336.83333333299</v>
      </c>
      <c r="K172" s="465">
        <v>138590.73000000001</v>
      </c>
      <c r="L172" s="465">
        <f t="shared" si="51"/>
        <v>61746.103333333398</v>
      </c>
      <c r="M172" s="467">
        <v>18631.689439999998</v>
      </c>
      <c r="N172" s="466">
        <v>11232.457626666701</v>
      </c>
      <c r="O172" s="467">
        <f t="shared" si="49"/>
        <v>7399.2318133333401</v>
      </c>
      <c r="P172" s="11"/>
    </row>
    <row r="173" spans="1:16" ht="20.100000000000001" customHeight="1">
      <c r="A173" s="25">
        <v>40</v>
      </c>
      <c r="B173" s="9" t="s">
        <v>303</v>
      </c>
      <c r="C173" s="10" t="s">
        <v>304</v>
      </c>
      <c r="D173" s="13" t="s">
        <v>305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5">
        <f t="shared" si="50"/>
        <v>189814.16666666701</v>
      </c>
      <c r="K173" s="465">
        <v>122104.99825</v>
      </c>
      <c r="L173" s="465">
        <f t="shared" si="51"/>
        <v>67709.168416666696</v>
      </c>
      <c r="M173" s="467">
        <v>17160.199733333298</v>
      </c>
      <c r="N173" s="466">
        <v>9152.5997900000002</v>
      </c>
      <c r="O173" s="467">
        <f t="shared" si="49"/>
        <v>8007.59994333334</v>
      </c>
      <c r="P173" s="11"/>
    </row>
    <row r="174" spans="1:16" ht="20.100000000000001" customHeight="1">
      <c r="A174" s="25">
        <v>41</v>
      </c>
      <c r="B174" s="9" t="s">
        <v>306</v>
      </c>
      <c r="C174" s="10" t="s">
        <v>304</v>
      </c>
      <c r="D174" s="13" t="s">
        <v>305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5">
        <f t="shared" si="50"/>
        <v>189814.16666666701</v>
      </c>
      <c r="K174" s="465">
        <v>122104.99825</v>
      </c>
      <c r="L174" s="465">
        <f t="shared" si="51"/>
        <v>67709.168416666696</v>
      </c>
      <c r="M174" s="467">
        <v>17160.199733333298</v>
      </c>
      <c r="N174" s="466">
        <v>9152.5997900000002</v>
      </c>
      <c r="O174" s="467">
        <f t="shared" si="49"/>
        <v>8007.59994333334</v>
      </c>
      <c r="P174" s="11"/>
    </row>
    <row r="175" spans="1:16" ht="20.100000000000001" customHeight="1">
      <c r="A175" s="25">
        <v>42</v>
      </c>
      <c r="B175" s="16" t="s">
        <v>307</v>
      </c>
      <c r="C175" s="10" t="s">
        <v>304</v>
      </c>
      <c r="D175" s="13" t="s">
        <v>308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5">
        <f t="shared" si="50"/>
        <v>195075.5</v>
      </c>
      <c r="K175" s="465">
        <v>125035.03449999999</v>
      </c>
      <c r="L175" s="465">
        <f t="shared" si="51"/>
        <v>70040.465500000006</v>
      </c>
      <c r="M175" s="467">
        <v>17895.944586666701</v>
      </c>
      <c r="N175" s="466">
        <v>9504.2041399999998</v>
      </c>
      <c r="O175" s="467">
        <f t="shared" si="49"/>
        <v>8391.7404466666703</v>
      </c>
      <c r="P175" s="11"/>
    </row>
    <row r="176" spans="1:16" ht="20.100000000000001" customHeight="1">
      <c r="A176" s="25">
        <v>43</v>
      </c>
      <c r="B176" s="9" t="s">
        <v>309</v>
      </c>
      <c r="C176" s="10" t="s">
        <v>310</v>
      </c>
      <c r="D176" s="13" t="s">
        <v>311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5">
        <f t="shared" si="50"/>
        <v>121145.75</v>
      </c>
      <c r="K176" s="465">
        <v>81803.001000000004</v>
      </c>
      <c r="L176" s="465">
        <f t="shared" si="51"/>
        <v>39342.749000000003</v>
      </c>
      <c r="M176" s="467">
        <v>8133.6908000000003</v>
      </c>
      <c r="N176" s="466">
        <v>4365.3307546666701</v>
      </c>
      <c r="O176" s="467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312</v>
      </c>
      <c r="C177" s="10" t="s">
        <v>313</v>
      </c>
      <c r="D177" s="13" t="s">
        <v>314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5">
        <f t="shared" si="50"/>
        <v>118598</v>
      </c>
      <c r="K177" s="465">
        <v>80237.012000000002</v>
      </c>
      <c r="L177" s="465">
        <f t="shared" si="51"/>
        <v>38360.987999999998</v>
      </c>
      <c r="M177" s="467">
        <v>7852.4192000000003</v>
      </c>
      <c r="N177" s="466">
        <v>4227.5237226666704</v>
      </c>
      <c r="O177" s="467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315</v>
      </c>
      <c r="C178" s="10" t="s">
        <v>313</v>
      </c>
      <c r="D178" s="13" t="s">
        <v>314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5">
        <f t="shared" si="50"/>
        <v>115598</v>
      </c>
      <c r="K178" s="465">
        <v>77237.012000000002</v>
      </c>
      <c r="L178" s="465">
        <f t="shared" si="51"/>
        <v>38360.987999999998</v>
      </c>
      <c r="M178" s="467">
        <v>7492.4192000000003</v>
      </c>
      <c r="N178" s="466">
        <v>3963.52372266667</v>
      </c>
      <c r="O178" s="467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316</v>
      </c>
      <c r="C179" s="10" t="s">
        <v>313</v>
      </c>
      <c r="D179" s="13" t="s">
        <v>314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5">
        <f t="shared" si="50"/>
        <v>118598</v>
      </c>
      <c r="K179" s="465">
        <v>80237.012000000002</v>
      </c>
      <c r="L179" s="465">
        <f t="shared" si="51"/>
        <v>38360.987999999998</v>
      </c>
      <c r="M179" s="467">
        <v>7852.4192000000003</v>
      </c>
      <c r="N179" s="466">
        <v>4227.5237226666704</v>
      </c>
      <c r="O179" s="467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317</v>
      </c>
      <c r="C180" s="10" t="s">
        <v>313</v>
      </c>
      <c r="D180" s="13" t="s">
        <v>314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5">
        <f t="shared" si="50"/>
        <v>115598</v>
      </c>
      <c r="K180" s="465">
        <v>77237.012000000002</v>
      </c>
      <c r="L180" s="465">
        <f t="shared" si="51"/>
        <v>38360.987999999998</v>
      </c>
      <c r="M180" s="467">
        <v>7492.4192000000003</v>
      </c>
      <c r="N180" s="466">
        <v>3963.52372266667</v>
      </c>
      <c r="O180" s="467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318</v>
      </c>
      <c r="C181" s="10" t="s">
        <v>313</v>
      </c>
      <c r="D181" s="13" t="s">
        <v>314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5">
        <f t="shared" si="50"/>
        <v>118598</v>
      </c>
      <c r="K181" s="465">
        <v>80237.012000000002</v>
      </c>
      <c r="L181" s="465">
        <f t="shared" si="51"/>
        <v>38360.987999999998</v>
      </c>
      <c r="M181" s="467">
        <v>7852.4192000000003</v>
      </c>
      <c r="N181" s="466">
        <v>4227.5237226666704</v>
      </c>
      <c r="O181" s="467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319</v>
      </c>
      <c r="C182" s="10" t="s">
        <v>313</v>
      </c>
      <c r="D182" s="13" t="s">
        <v>314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5">
        <f t="shared" si="50"/>
        <v>115598</v>
      </c>
      <c r="K182" s="465">
        <v>77237.012000000002</v>
      </c>
      <c r="L182" s="465">
        <f t="shared" si="51"/>
        <v>38360.987999999998</v>
      </c>
      <c r="M182" s="467">
        <v>7492.4192000000003</v>
      </c>
      <c r="N182" s="466">
        <v>3963.52372266667</v>
      </c>
      <c r="O182" s="467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320</v>
      </c>
      <c r="C183" s="10" t="s">
        <v>313</v>
      </c>
      <c r="D183" s="13" t="s">
        <v>314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5">
        <f t="shared" si="50"/>
        <v>118598</v>
      </c>
      <c r="K183" s="465">
        <v>80237.012000000002</v>
      </c>
      <c r="L183" s="465">
        <f t="shared" si="51"/>
        <v>38360.987999999998</v>
      </c>
      <c r="M183" s="467">
        <v>7852.4192000000003</v>
      </c>
      <c r="N183" s="466">
        <v>4227.5237226666704</v>
      </c>
      <c r="O183" s="467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321</v>
      </c>
      <c r="C184" s="10" t="s">
        <v>310</v>
      </c>
      <c r="D184" s="13" t="s">
        <v>314</v>
      </c>
      <c r="E184" s="70">
        <v>91598</v>
      </c>
      <c r="F184" s="186"/>
      <c r="G184" s="186"/>
      <c r="H184" s="186">
        <v>20000</v>
      </c>
      <c r="I184" s="70">
        <v>7000</v>
      </c>
      <c r="J184" s="465">
        <f t="shared" si="50"/>
        <v>118598</v>
      </c>
      <c r="K184" s="465">
        <v>78671.023000000001</v>
      </c>
      <c r="L184" s="465">
        <f t="shared" si="51"/>
        <v>39926.976999999999</v>
      </c>
      <c r="M184" s="467">
        <v>7852.4192000000003</v>
      </c>
      <c r="N184" s="466">
        <v>4089.7166906666698</v>
      </c>
      <c r="O184" s="467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322</v>
      </c>
      <c r="C185" s="10" t="s">
        <v>310</v>
      </c>
      <c r="D185" s="13" t="s">
        <v>314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5">
        <f t="shared" si="50"/>
        <v>118598</v>
      </c>
      <c r="K185" s="465">
        <v>80237.012000000002</v>
      </c>
      <c r="L185" s="465">
        <f t="shared" si="51"/>
        <v>38360.987999999998</v>
      </c>
      <c r="M185" s="467">
        <v>7852.4192000000003</v>
      </c>
      <c r="N185" s="466">
        <v>4227.5237226666704</v>
      </c>
      <c r="O185" s="467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323</v>
      </c>
      <c r="C186" s="10" t="s">
        <v>324</v>
      </c>
      <c r="D186" s="13" t="s">
        <v>325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5">
        <f t="shared" si="50"/>
        <v>116050.25</v>
      </c>
      <c r="K186" s="465">
        <v>78671.023000000001</v>
      </c>
      <c r="L186" s="465">
        <f t="shared" si="51"/>
        <v>37379.226999999999</v>
      </c>
      <c r="M186" s="467">
        <v>7571.1476000000002</v>
      </c>
      <c r="N186" s="466">
        <v>4089.7166906666698</v>
      </c>
      <c r="O186" s="467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328</v>
      </c>
      <c r="C187" s="10" t="s">
        <v>313</v>
      </c>
      <c r="D187" s="13" t="s">
        <v>586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5">
        <f t="shared" si="50"/>
        <v>102926.91666666701</v>
      </c>
      <c r="K187" s="465">
        <v>68675.997025000004</v>
      </c>
      <c r="L187" s="465">
        <f t="shared" si="51"/>
        <v>34250.919641666696</v>
      </c>
      <c r="M187" s="467">
        <v>6074.3316000000004</v>
      </c>
      <c r="N187" s="466">
        <v>3210.1544048666701</v>
      </c>
      <c r="O187" s="467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329</v>
      </c>
      <c r="C188" s="10" t="s">
        <v>330</v>
      </c>
      <c r="D188" s="13" t="s">
        <v>331</v>
      </c>
      <c r="E188" s="70">
        <v>76540.75</v>
      </c>
      <c r="F188" s="102"/>
      <c r="G188" s="2"/>
      <c r="H188" s="102">
        <v>15000</v>
      </c>
      <c r="I188" s="102">
        <v>4000</v>
      </c>
      <c r="J188" s="465">
        <f t="shared" si="50"/>
        <v>95540.75</v>
      </c>
      <c r="K188" s="465">
        <v>62980.079250000003</v>
      </c>
      <c r="L188" s="465">
        <f t="shared" si="51"/>
        <v>32560.670750000001</v>
      </c>
      <c r="M188" s="467">
        <v>5230.0987999999998</v>
      </c>
      <c r="N188" s="466">
        <v>2708.9136406666698</v>
      </c>
      <c r="O188" s="467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332</v>
      </c>
      <c r="C189" s="10" t="s">
        <v>330</v>
      </c>
      <c r="D189" s="13" t="s">
        <v>331</v>
      </c>
      <c r="E189" s="70">
        <v>76540.75</v>
      </c>
      <c r="F189" s="102"/>
      <c r="G189" s="2"/>
      <c r="H189" s="102">
        <v>15000</v>
      </c>
      <c r="I189" s="102">
        <v>4000</v>
      </c>
      <c r="J189" s="465">
        <f t="shared" si="50"/>
        <v>95540.75</v>
      </c>
      <c r="K189" s="465">
        <v>62980.079250000003</v>
      </c>
      <c r="L189" s="465">
        <f t="shared" si="51"/>
        <v>32560.670750000001</v>
      </c>
      <c r="M189" s="467">
        <v>5230.0987999999998</v>
      </c>
      <c r="N189" s="466">
        <v>2708.9136406666698</v>
      </c>
      <c r="O189" s="467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333</v>
      </c>
      <c r="C190" s="10" t="s">
        <v>330</v>
      </c>
      <c r="D190" s="13" t="s">
        <v>331</v>
      </c>
      <c r="E190" s="70">
        <v>76540.75</v>
      </c>
      <c r="F190" s="102"/>
      <c r="G190" s="2"/>
      <c r="H190" s="102">
        <v>15000</v>
      </c>
      <c r="I190" s="102">
        <v>4000</v>
      </c>
      <c r="J190" s="465">
        <f t="shared" si="50"/>
        <v>95540.75</v>
      </c>
      <c r="K190" s="465">
        <v>62980.079250000003</v>
      </c>
      <c r="L190" s="465">
        <f t="shared" si="51"/>
        <v>32560.670750000001</v>
      </c>
      <c r="M190" s="467">
        <v>5230.0987999999998</v>
      </c>
      <c r="N190" s="466">
        <v>2708.9136406666698</v>
      </c>
      <c r="O190" s="467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334</v>
      </c>
      <c r="C191" s="10" t="s">
        <v>335</v>
      </c>
      <c r="D191" s="13" t="s">
        <v>336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5">
        <f t="shared" si="50"/>
        <v>108502.5</v>
      </c>
      <c r="K191" s="465">
        <v>72103.749500000005</v>
      </c>
      <c r="L191" s="465">
        <f t="shared" si="51"/>
        <v>36398.750500000002</v>
      </c>
      <c r="M191" s="467">
        <v>6689.8760000000002</v>
      </c>
      <c r="N191" s="466">
        <v>3511.7966226666699</v>
      </c>
      <c r="O191" s="467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337</v>
      </c>
      <c r="C192" s="10" t="s">
        <v>335</v>
      </c>
      <c r="D192" s="13" t="s">
        <v>336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5">
        <f t="shared" si="50"/>
        <v>108502.5</v>
      </c>
      <c r="K192" s="465">
        <v>72103.749500000005</v>
      </c>
      <c r="L192" s="465">
        <f t="shared" si="51"/>
        <v>36398.750500000002</v>
      </c>
      <c r="M192" s="467">
        <v>6689.8760000000002</v>
      </c>
      <c r="N192" s="466">
        <v>3511.7966226666699</v>
      </c>
      <c r="O192" s="467">
        <f t="shared" si="49"/>
        <v>3178.0793773333298</v>
      </c>
      <c r="P192" s="11"/>
    </row>
    <row r="193" spans="1:16" ht="20.100000000000001" customHeight="1">
      <c r="A193" s="25"/>
      <c r="B193" s="6" t="s">
        <v>96</v>
      </c>
      <c r="C193" s="26" t="s">
        <v>587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855252.41530113295</v>
      </c>
      <c r="P193" s="11"/>
    </row>
    <row r="194" spans="1:16" ht="30.75" customHeight="1">
      <c r="A194" s="2"/>
      <c r="B194" s="28" t="s">
        <v>339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2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2">
        <f t="shared" si="57"/>
        <v>4073085.3632238898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11302661.131869482</v>
      </c>
      <c r="N196" s="194"/>
      <c r="O196" s="194"/>
    </row>
    <row r="197" spans="1:16">
      <c r="J197" s="33"/>
      <c r="K197" s="33"/>
      <c r="M197" s="33">
        <f>M194-M196</f>
        <v>-15359.999999981374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1"/>
    </row>
    <row r="2" spans="1:31" hidden="1">
      <c r="A2" s="796" t="s">
        <v>459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1"/>
    </row>
    <row r="3" spans="1:31" hidden="1">
      <c r="A3" s="797" t="s">
        <v>460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1"/>
    </row>
    <row r="4" spans="1:31" ht="83.25" customHeight="1">
      <c r="A4" s="417" t="s">
        <v>461</v>
      </c>
      <c r="B4" s="418" t="s">
        <v>462</v>
      </c>
      <c r="C4" s="419" t="s">
        <v>463</v>
      </c>
      <c r="D4" s="418" t="s">
        <v>456</v>
      </c>
      <c r="E4" s="419" t="s">
        <v>464</v>
      </c>
      <c r="F4" s="419" t="s">
        <v>465</v>
      </c>
      <c r="G4" s="419" t="s">
        <v>466</v>
      </c>
      <c r="H4" s="419" t="s">
        <v>467</v>
      </c>
      <c r="I4" s="419" t="s">
        <v>468</v>
      </c>
      <c r="J4" s="419"/>
      <c r="K4" s="419"/>
      <c r="L4" s="419"/>
      <c r="M4" s="419" t="s">
        <v>469</v>
      </c>
      <c r="N4" s="419" t="s">
        <v>470</v>
      </c>
      <c r="O4" s="419" t="s">
        <v>471</v>
      </c>
      <c r="P4" s="419" t="s">
        <v>472</v>
      </c>
      <c r="Q4" s="419" t="s">
        <v>473</v>
      </c>
      <c r="R4" s="419" t="s">
        <v>474</v>
      </c>
      <c r="S4" s="419" t="s">
        <v>475</v>
      </c>
      <c r="T4" s="419" t="s">
        <v>476</v>
      </c>
      <c r="U4" s="419" t="s">
        <v>477</v>
      </c>
      <c r="V4" s="419" t="s">
        <v>478</v>
      </c>
      <c r="W4" s="419"/>
      <c r="X4" s="419" t="s">
        <v>479</v>
      </c>
      <c r="Y4" s="419" t="s">
        <v>480</v>
      </c>
      <c r="Z4" s="432" t="s">
        <v>481</v>
      </c>
      <c r="AA4" s="433"/>
      <c r="AB4" s="433" t="s">
        <v>516</v>
      </c>
    </row>
    <row r="5" spans="1:31" ht="18.75">
      <c r="A5" s="420">
        <v>1</v>
      </c>
      <c r="B5" s="6" t="s">
        <v>21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34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22</v>
      </c>
      <c r="C6" s="421">
        <v>1934986.1669999999</v>
      </c>
      <c r="D6" s="422">
        <v>12</v>
      </c>
      <c r="E6" s="423">
        <f>C6*D6</f>
        <v>23219834.004000001</v>
      </c>
      <c r="F6" s="423"/>
      <c r="G6" s="423"/>
      <c r="H6" s="423"/>
      <c r="I6" s="423">
        <f t="shared" ref="I6:I32" si="0">E6-F6-G6-H6</f>
        <v>23219834.004000001</v>
      </c>
      <c r="J6" s="423">
        <v>200000</v>
      </c>
      <c r="K6" s="423">
        <v>0.2</v>
      </c>
      <c r="L6" s="423">
        <f t="shared" ref="L6:L75" si="1">I6*K6</f>
        <v>4643966.8008000003</v>
      </c>
      <c r="M6" s="423">
        <f t="shared" ref="M6:M75" si="2">J6+L6</f>
        <v>4843966.8008000003</v>
      </c>
      <c r="N6" s="423">
        <f t="shared" ref="N6:N32" si="3">F6+G6+H6+M6</f>
        <v>4843966.8008000003</v>
      </c>
      <c r="O6" s="423">
        <f t="shared" ref="O6:O32" si="4">E6-N6</f>
        <v>18375867.203200001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3642208.1287679998</v>
      </c>
      <c r="V6" s="423">
        <f t="shared" ref="V6:V75" si="11">P6+Q6+R6+S6+T6+U6</f>
        <v>4202208.1287679998</v>
      </c>
      <c r="W6" s="430">
        <v>12</v>
      </c>
      <c r="X6" s="423">
        <f t="shared" ref="X6:X75" si="12">V6/W6</f>
        <v>350184.01073066698</v>
      </c>
      <c r="Y6" s="423"/>
      <c r="Z6" s="434">
        <f t="shared" ref="Z6:Z75" si="13">X6</f>
        <v>350184.01073066698</v>
      </c>
      <c r="AA6" s="435">
        <v>201165.83594666701</v>
      </c>
      <c r="AB6" s="435">
        <f>Z6-AA6</f>
        <v>149018.174784</v>
      </c>
      <c r="AC6" s="435"/>
      <c r="AD6" s="435"/>
      <c r="AE6" s="435"/>
    </row>
    <row r="7" spans="1:31" ht="18.75">
      <c r="A7" s="420">
        <v>4</v>
      </c>
      <c r="B7" s="9" t="s">
        <v>25</v>
      </c>
      <c r="C7" s="421">
        <v>852373.16666666698</v>
      </c>
      <c r="D7" s="422">
        <v>12</v>
      </c>
      <c r="E7" s="423">
        <f t="shared" ref="E7:E32" si="14">C7*D7</f>
        <v>10228478</v>
      </c>
      <c r="F7" s="423"/>
      <c r="G7" s="423">
        <v>731878.24</v>
      </c>
      <c r="H7" s="423"/>
      <c r="I7" s="423">
        <f t="shared" si="0"/>
        <v>9496599.7599999998</v>
      </c>
      <c r="J7" s="423">
        <v>200000</v>
      </c>
      <c r="K7" s="423">
        <v>0.2</v>
      </c>
      <c r="L7" s="423">
        <f t="shared" si="1"/>
        <v>1899319.952</v>
      </c>
      <c r="M7" s="423">
        <f t="shared" si="2"/>
        <v>2099319.952</v>
      </c>
      <c r="N7" s="423">
        <f t="shared" si="3"/>
        <v>2831198.1919999998</v>
      </c>
      <c r="O7" s="423">
        <f t="shared" si="4"/>
        <v>7397279.8080000002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1007347.15392</v>
      </c>
      <c r="V7" s="423">
        <f t="shared" si="11"/>
        <v>1567347.15392</v>
      </c>
      <c r="W7" s="430">
        <v>12</v>
      </c>
      <c r="X7" s="423">
        <f t="shared" si="12"/>
        <v>130612.26282666701</v>
      </c>
      <c r="Y7" s="423"/>
      <c r="Z7" s="434">
        <f t="shared" si="13"/>
        <v>130612.26282666701</v>
      </c>
      <c r="AA7" s="435">
        <v>82627.951418666693</v>
      </c>
      <c r="AB7" s="435">
        <f t="shared" ref="AB7:AB32" si="15">Z7-AA7</f>
        <v>47984.311408000001</v>
      </c>
      <c r="AC7" s="435"/>
      <c r="AD7" s="435"/>
      <c r="AE7" s="435"/>
    </row>
    <row r="8" spans="1:31" ht="18.75">
      <c r="A8" s="420">
        <v>5</v>
      </c>
      <c r="B8" s="12" t="s">
        <v>28</v>
      </c>
      <c r="C8" s="421">
        <v>1052373.16666667</v>
      </c>
      <c r="D8" s="422">
        <v>12</v>
      </c>
      <c r="E8" s="423">
        <f t="shared" si="14"/>
        <v>12628478</v>
      </c>
      <c r="F8" s="423"/>
      <c r="G8" s="423">
        <v>0</v>
      </c>
      <c r="H8" s="423"/>
      <c r="I8" s="423">
        <f t="shared" si="0"/>
        <v>12628478</v>
      </c>
      <c r="J8" s="423">
        <v>200000</v>
      </c>
      <c r="K8" s="423">
        <v>0.2</v>
      </c>
      <c r="L8" s="423">
        <f t="shared" si="1"/>
        <v>2525695.6</v>
      </c>
      <c r="M8" s="423">
        <f t="shared" si="2"/>
        <v>2725695.6</v>
      </c>
      <c r="N8" s="423">
        <f t="shared" si="3"/>
        <v>2725695.6</v>
      </c>
      <c r="O8" s="423">
        <f t="shared" si="4"/>
        <v>9902782.4000000004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1608667.7760000001</v>
      </c>
      <c r="V8" s="423">
        <f t="shared" si="11"/>
        <v>2168667.7760000001</v>
      </c>
      <c r="W8" s="430">
        <v>12</v>
      </c>
      <c r="X8" s="423">
        <f t="shared" si="12"/>
        <v>180722.31466666699</v>
      </c>
      <c r="Y8" s="423"/>
      <c r="Z8" s="434">
        <f t="shared" si="13"/>
        <v>180722.31466666699</v>
      </c>
      <c r="AA8" s="435">
        <v>121027.951418667</v>
      </c>
      <c r="AB8" s="435">
        <f t="shared" si="15"/>
        <v>59694.363248000001</v>
      </c>
      <c r="AC8" s="435"/>
      <c r="AD8" s="435"/>
      <c r="AE8" s="435"/>
    </row>
    <row r="9" spans="1:31" ht="18.75">
      <c r="A9" s="420">
        <v>6</v>
      </c>
      <c r="B9" s="9" t="s">
        <v>30</v>
      </c>
      <c r="C9" s="421">
        <v>942373.16666666698</v>
      </c>
      <c r="D9" s="422">
        <v>12</v>
      </c>
      <c r="E9" s="423">
        <f t="shared" si="14"/>
        <v>11308478</v>
      </c>
      <c r="F9" s="423">
        <f>'[6]JANUARY 2024'!$V$10*12</f>
        <v>12795.951000000001</v>
      </c>
      <c r="G9" s="423">
        <v>731878.24</v>
      </c>
      <c r="H9" s="423"/>
      <c r="I9" s="423">
        <f t="shared" si="0"/>
        <v>10563803.809</v>
      </c>
      <c r="J9" s="423">
        <v>200000</v>
      </c>
      <c r="K9" s="423">
        <v>0.2</v>
      </c>
      <c r="L9" s="423">
        <f t="shared" si="1"/>
        <v>2112760.7618</v>
      </c>
      <c r="M9" s="423">
        <f t="shared" si="2"/>
        <v>2312760.7618</v>
      </c>
      <c r="N9" s="423">
        <f t="shared" si="3"/>
        <v>3057434.9528000001</v>
      </c>
      <c r="O9" s="423">
        <f t="shared" si="4"/>
        <v>8251043.0471999999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1212250.3313279999</v>
      </c>
      <c r="V9" s="423">
        <f t="shared" si="11"/>
        <v>1772250.3313279999</v>
      </c>
      <c r="W9" s="430">
        <v>12</v>
      </c>
      <c r="X9" s="423">
        <f t="shared" si="12"/>
        <v>147687.52761066667</v>
      </c>
      <c r="Y9" s="423"/>
      <c r="Z9" s="434">
        <f t="shared" si="13"/>
        <v>147687.52761066667</v>
      </c>
      <c r="AA9" s="435">
        <v>99703.216202666707</v>
      </c>
      <c r="AB9" s="435">
        <f t="shared" si="15"/>
        <v>47984.311407999965</v>
      </c>
      <c r="AC9" s="435"/>
      <c r="AD9" s="435"/>
      <c r="AE9" s="435"/>
    </row>
    <row r="10" spans="1:31" ht="18.75">
      <c r="A10" s="420">
        <v>7</v>
      </c>
      <c r="B10" s="12" t="s">
        <v>32</v>
      </c>
      <c r="C10" s="421">
        <v>1002373.16666667</v>
      </c>
      <c r="D10" s="422">
        <v>12</v>
      </c>
      <c r="E10" s="423">
        <f t="shared" si="14"/>
        <v>12028478</v>
      </c>
      <c r="F10" s="423">
        <f>'[6]JANUARY 2024'!$V$10*12</f>
        <v>12795.951000000001</v>
      </c>
      <c r="G10" s="423">
        <v>731878.24</v>
      </c>
      <c r="H10" s="423"/>
      <c r="I10" s="423">
        <f t="shared" si="0"/>
        <v>11283803.809</v>
      </c>
      <c r="J10" s="423">
        <v>200000</v>
      </c>
      <c r="K10" s="423">
        <v>0.2</v>
      </c>
      <c r="L10" s="423">
        <f t="shared" si="1"/>
        <v>2256760.7618</v>
      </c>
      <c r="M10" s="423">
        <f t="shared" si="2"/>
        <v>2456760.7618</v>
      </c>
      <c r="N10" s="423">
        <f t="shared" si="3"/>
        <v>3201434.9528000001</v>
      </c>
      <c r="O10" s="423">
        <f t="shared" si="4"/>
        <v>8827043.0471999999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1350490.3313279999</v>
      </c>
      <c r="V10" s="423">
        <f t="shared" si="11"/>
        <v>1910490.3313279999</v>
      </c>
      <c r="W10" s="430">
        <v>12</v>
      </c>
      <c r="X10" s="423">
        <f t="shared" si="12"/>
        <v>159207.52761066667</v>
      </c>
      <c r="Y10" s="423"/>
      <c r="Z10" s="434">
        <f t="shared" si="13"/>
        <v>159207.52761066667</v>
      </c>
      <c r="AA10" s="435">
        <v>111223.216202667</v>
      </c>
      <c r="AB10" s="435">
        <f t="shared" si="15"/>
        <v>47984.311407999674</v>
      </c>
      <c r="AC10" s="435"/>
      <c r="AD10" s="435"/>
      <c r="AE10" s="435"/>
    </row>
    <row r="11" spans="1:31" ht="18.75">
      <c r="A11" s="420">
        <v>8</v>
      </c>
      <c r="B11" s="16" t="s">
        <v>574</v>
      </c>
      <c r="C11" s="421">
        <v>952373.16666666698</v>
      </c>
      <c r="D11" s="422">
        <v>12</v>
      </c>
      <c r="E11" s="423">
        <f t="shared" si="14"/>
        <v>11428478</v>
      </c>
      <c r="F11" s="423"/>
      <c r="G11" s="423">
        <v>0</v>
      </c>
      <c r="H11" s="423"/>
      <c r="I11" s="423">
        <f t="shared" si="0"/>
        <v>11428478</v>
      </c>
      <c r="J11" s="423">
        <v>200000</v>
      </c>
      <c r="K11" s="423">
        <v>0.2</v>
      </c>
      <c r="L11" s="423">
        <f t="shared" si="1"/>
        <v>2285695.6</v>
      </c>
      <c r="M11" s="423">
        <f t="shared" si="2"/>
        <v>2485695.6</v>
      </c>
      <c r="N11" s="423">
        <f t="shared" si="3"/>
        <v>2485695.6</v>
      </c>
      <c r="O11" s="423">
        <f t="shared" si="4"/>
        <v>8942782.4000000004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1378267.7760000001</v>
      </c>
      <c r="V11" s="423">
        <f t="shared" si="11"/>
        <v>1938267.7760000001</v>
      </c>
      <c r="W11" s="430">
        <v>12</v>
      </c>
      <c r="X11" s="423">
        <f t="shared" si="12"/>
        <v>161522.31466666699</v>
      </c>
      <c r="Y11" s="423"/>
      <c r="Z11" s="434">
        <f t="shared" si="13"/>
        <v>161522.31466666699</v>
      </c>
      <c r="AA11" s="435">
        <v>101827.951418667</v>
      </c>
      <c r="AB11" s="435">
        <f t="shared" si="15"/>
        <v>59694.363248000001</v>
      </c>
      <c r="AC11" s="435"/>
      <c r="AD11" s="435"/>
      <c r="AE11" s="435"/>
    </row>
    <row r="12" spans="1:31" ht="18.75">
      <c r="A12" s="420">
        <v>9</v>
      </c>
      <c r="B12" s="9" t="s">
        <v>34</v>
      </c>
      <c r="C12" s="421">
        <v>750675.58333333302</v>
      </c>
      <c r="D12" s="422">
        <v>12</v>
      </c>
      <c r="E12" s="423">
        <f t="shared" si="14"/>
        <v>9008107</v>
      </c>
      <c r="F12" s="423">
        <f>'[6]JANUARY 2024'!$V$13*12</f>
        <v>10052.25</v>
      </c>
      <c r="G12" s="423">
        <v>595848.56000000006</v>
      </c>
      <c r="H12" s="423"/>
      <c r="I12" s="423">
        <f t="shared" si="0"/>
        <v>8402206.1899999995</v>
      </c>
      <c r="J12" s="423">
        <v>200000</v>
      </c>
      <c r="K12" s="423">
        <v>0.2</v>
      </c>
      <c r="L12" s="423">
        <f t="shared" si="1"/>
        <v>1680441.2379999999</v>
      </c>
      <c r="M12" s="423">
        <f t="shared" si="2"/>
        <v>1880441.2379999999</v>
      </c>
      <c r="N12" s="423">
        <f t="shared" si="3"/>
        <v>2486342.048</v>
      </c>
      <c r="O12" s="423">
        <f t="shared" si="4"/>
        <v>6521764.9519999996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797223.58847999992</v>
      </c>
      <c r="V12" s="423">
        <f t="shared" si="11"/>
        <v>1357223.5884799999</v>
      </c>
      <c r="W12" s="430">
        <v>12</v>
      </c>
      <c r="X12" s="423">
        <f t="shared" si="12"/>
        <v>113101.96570666666</v>
      </c>
      <c r="Y12" s="423"/>
      <c r="Z12" s="434">
        <f t="shared" si="13"/>
        <v>113101.96570666666</v>
      </c>
      <c r="AA12" s="435">
        <v>74036.103146666705</v>
      </c>
      <c r="AB12" s="435">
        <f t="shared" si="15"/>
        <v>39065.86255999995</v>
      </c>
      <c r="AC12" s="435"/>
      <c r="AD12" s="435"/>
      <c r="AE12" s="435"/>
    </row>
    <row r="13" spans="1:31" ht="18.75">
      <c r="A13" s="420">
        <v>10</v>
      </c>
      <c r="B13" s="9" t="s">
        <v>37</v>
      </c>
      <c r="C13" s="421">
        <v>842118.08333333302</v>
      </c>
      <c r="D13" s="422">
        <v>12</v>
      </c>
      <c r="E13" s="423">
        <f t="shared" si="14"/>
        <v>10105417</v>
      </c>
      <c r="F13" s="423">
        <f>'[6]JANUARY 2024'!$V$14*12</f>
        <v>9305.9519999999993</v>
      </c>
      <c r="G13" s="423">
        <v>558833.36</v>
      </c>
      <c r="H13" s="423"/>
      <c r="I13" s="423">
        <f t="shared" si="0"/>
        <v>9537277.688000001</v>
      </c>
      <c r="J13" s="423">
        <v>200000</v>
      </c>
      <c r="K13" s="423">
        <v>0.2</v>
      </c>
      <c r="L13" s="423">
        <f t="shared" si="1"/>
        <v>1907455.5376000004</v>
      </c>
      <c r="M13" s="423">
        <f t="shared" si="2"/>
        <v>2107455.5376000004</v>
      </c>
      <c r="N13" s="423">
        <f t="shared" si="3"/>
        <v>2675594.8496000003</v>
      </c>
      <c r="O13" s="423">
        <f t="shared" si="4"/>
        <v>7429822.1503999997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1015157.3160959999</v>
      </c>
      <c r="V13" s="423">
        <f t="shared" si="11"/>
        <v>1575157.3160959999</v>
      </c>
      <c r="W13" s="430">
        <v>12</v>
      </c>
      <c r="X13" s="423">
        <f t="shared" si="12"/>
        <v>131263.10967466666</v>
      </c>
      <c r="Y13" s="423"/>
      <c r="Z13" s="434">
        <f t="shared" si="13"/>
        <v>131263.10967466666</v>
      </c>
      <c r="AA13" s="435">
        <v>94625.782058666693</v>
      </c>
      <c r="AB13" s="435">
        <f t="shared" si="15"/>
        <v>36637.327615999966</v>
      </c>
      <c r="AC13" s="435"/>
      <c r="AD13" s="435"/>
      <c r="AE13" s="435"/>
    </row>
    <row r="14" spans="1:31" ht="18.75">
      <c r="A14" s="420">
        <v>11</v>
      </c>
      <c r="B14" s="9" t="s">
        <v>40</v>
      </c>
      <c r="C14" s="421">
        <v>554373.75</v>
      </c>
      <c r="D14" s="422">
        <v>12</v>
      </c>
      <c r="E14" s="423">
        <f t="shared" si="14"/>
        <v>6652485</v>
      </c>
      <c r="F14" s="423"/>
      <c r="G14" s="423">
        <v>464998.8</v>
      </c>
      <c r="H14" s="423"/>
      <c r="I14" s="423">
        <f t="shared" si="0"/>
        <v>6187486.2000000002</v>
      </c>
      <c r="J14" s="423">
        <v>200000</v>
      </c>
      <c r="K14" s="423">
        <v>0.2</v>
      </c>
      <c r="L14" s="423">
        <f t="shared" si="1"/>
        <v>1237497.24</v>
      </c>
      <c r="M14" s="423">
        <f t="shared" si="2"/>
        <v>1437497.24</v>
      </c>
      <c r="N14" s="423">
        <f t="shared" si="3"/>
        <v>1902496.04</v>
      </c>
      <c r="O14" s="423">
        <f t="shared" si="4"/>
        <v>4749988.96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336000</v>
      </c>
      <c r="U14" s="423">
        <f t="shared" si="10"/>
        <v>371997.3504</v>
      </c>
      <c r="V14" s="423">
        <f t="shared" si="11"/>
        <v>931997.3504</v>
      </c>
      <c r="W14" s="430">
        <v>12</v>
      </c>
      <c r="X14" s="423">
        <f t="shared" si="12"/>
        <v>77666.445866666705</v>
      </c>
      <c r="Y14" s="423"/>
      <c r="Z14" s="434">
        <f t="shared" si="13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43</v>
      </c>
      <c r="C15" s="421">
        <v>660498</v>
      </c>
      <c r="D15" s="422">
        <v>12</v>
      </c>
      <c r="E15" s="423">
        <f t="shared" si="14"/>
        <v>7925976</v>
      </c>
      <c r="F15" s="423"/>
      <c r="G15" s="424">
        <v>451678.08</v>
      </c>
      <c r="H15" s="423"/>
      <c r="I15" s="423">
        <f t="shared" si="0"/>
        <v>7474297.9199999999</v>
      </c>
      <c r="J15" s="423">
        <v>200000</v>
      </c>
      <c r="K15" s="423">
        <v>0.2</v>
      </c>
      <c r="L15" s="423">
        <f t="shared" si="1"/>
        <v>1494859.584</v>
      </c>
      <c r="M15" s="423">
        <f t="shared" si="2"/>
        <v>1694859.584</v>
      </c>
      <c r="N15" s="423">
        <f t="shared" si="3"/>
        <v>2146537.6639999999</v>
      </c>
      <c r="O15" s="423">
        <f t="shared" si="4"/>
        <v>5779438.3360000001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619065.20064000005</v>
      </c>
      <c r="V15" s="423">
        <f t="shared" si="11"/>
        <v>1179065.2006399999</v>
      </c>
      <c r="W15" s="430">
        <v>12</v>
      </c>
      <c r="X15" s="423">
        <f t="shared" si="12"/>
        <v>98255.4333866667</v>
      </c>
      <c r="Y15" s="423"/>
      <c r="Z15" s="434">
        <f t="shared" si="13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45</v>
      </c>
      <c r="C16" s="421">
        <v>732746.5</v>
      </c>
      <c r="D16" s="422">
        <v>12</v>
      </c>
      <c r="E16" s="423">
        <f t="shared" si="14"/>
        <v>8792958</v>
      </c>
      <c r="F16" s="423"/>
      <c r="G16" s="423">
        <v>425036.64</v>
      </c>
      <c r="H16" s="423"/>
      <c r="I16" s="423">
        <f t="shared" si="0"/>
        <v>8367921.3600000003</v>
      </c>
      <c r="J16" s="423">
        <v>200000</v>
      </c>
      <c r="K16" s="423">
        <v>0.2</v>
      </c>
      <c r="L16" s="423">
        <f t="shared" si="1"/>
        <v>1673584.2720000001</v>
      </c>
      <c r="M16" s="423">
        <f t="shared" si="2"/>
        <v>1873584.2720000001</v>
      </c>
      <c r="N16" s="423">
        <f t="shared" si="3"/>
        <v>2298620.912</v>
      </c>
      <c r="O16" s="423">
        <f t="shared" si="4"/>
        <v>6494337.0880000005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790640.90112000005</v>
      </c>
      <c r="V16" s="423">
        <f t="shared" si="11"/>
        <v>1350640.9011200001</v>
      </c>
      <c r="W16" s="430">
        <v>12</v>
      </c>
      <c r="X16" s="423">
        <f t="shared" si="12"/>
        <v>112553.408426667</v>
      </c>
      <c r="Y16" s="423"/>
      <c r="Z16" s="434">
        <f t="shared" si="13"/>
        <v>112553.408426667</v>
      </c>
      <c r="AA16" s="435">
        <v>46666.666666666701</v>
      </c>
      <c r="AB16" s="435">
        <f t="shared" si="15"/>
        <v>65886.741760000004</v>
      </c>
      <c r="AC16" s="435"/>
      <c r="AD16" s="435"/>
      <c r="AE16" s="435"/>
    </row>
    <row r="17" spans="1:31" ht="18.75">
      <c r="A17" s="420">
        <v>14</v>
      </c>
      <c r="B17" s="9" t="s">
        <v>48</v>
      </c>
      <c r="C17" s="421">
        <v>511804.91666666698</v>
      </c>
      <c r="D17" s="422">
        <v>12</v>
      </c>
      <c r="E17" s="423">
        <f t="shared" si="14"/>
        <v>6141659</v>
      </c>
      <c r="F17" s="423"/>
      <c r="G17" s="423">
        <v>424132.72</v>
      </c>
      <c r="H17" s="423"/>
      <c r="I17" s="423">
        <f t="shared" si="0"/>
        <v>5717526.2800000003</v>
      </c>
      <c r="J17" s="423">
        <v>200000</v>
      </c>
      <c r="K17" s="423">
        <v>0.2</v>
      </c>
      <c r="L17" s="423">
        <f t="shared" si="1"/>
        <v>1143505.2560000001</v>
      </c>
      <c r="M17" s="423">
        <f t="shared" si="2"/>
        <v>1343505.2560000001</v>
      </c>
      <c r="N17" s="423">
        <f t="shared" si="3"/>
        <v>1767637.976</v>
      </c>
      <c r="O17" s="423">
        <f t="shared" si="4"/>
        <v>4374021.0240000002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336000</v>
      </c>
      <c r="U17" s="423">
        <f t="shared" si="10"/>
        <v>281765.04576000001</v>
      </c>
      <c r="V17" s="423">
        <f t="shared" si="11"/>
        <v>841765.04576000001</v>
      </c>
      <c r="W17" s="430">
        <v>12</v>
      </c>
      <c r="X17" s="423">
        <f t="shared" si="12"/>
        <v>70147.087146666701</v>
      </c>
      <c r="Y17" s="423"/>
      <c r="Z17" s="434">
        <f t="shared" si="13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50</v>
      </c>
      <c r="C18" s="421">
        <v>548915.91666666698</v>
      </c>
      <c r="D18" s="422">
        <v>12</v>
      </c>
      <c r="E18" s="423">
        <f t="shared" si="14"/>
        <v>6586991</v>
      </c>
      <c r="F18" s="423"/>
      <c r="G18" s="423">
        <v>411759.28</v>
      </c>
      <c r="H18" s="423"/>
      <c r="I18" s="423">
        <f t="shared" si="0"/>
        <v>6175231.7199999997</v>
      </c>
      <c r="J18" s="423">
        <v>200000</v>
      </c>
      <c r="K18" s="423">
        <v>0.2</v>
      </c>
      <c r="L18" s="423">
        <f t="shared" si="1"/>
        <v>1235046.344</v>
      </c>
      <c r="M18" s="423">
        <f t="shared" si="2"/>
        <v>1435046.344</v>
      </c>
      <c r="N18" s="423">
        <f t="shared" si="3"/>
        <v>1846805.6240000001</v>
      </c>
      <c r="O18" s="423">
        <f t="shared" si="4"/>
        <v>4740185.3760000002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369644.49024000001</v>
      </c>
      <c r="V18" s="423">
        <f t="shared" si="11"/>
        <v>929644.49023999996</v>
      </c>
      <c r="W18" s="430">
        <v>12</v>
      </c>
      <c r="X18" s="423">
        <f t="shared" si="12"/>
        <v>77470.374186666697</v>
      </c>
      <c r="Y18" s="423"/>
      <c r="Z18" s="434">
        <f t="shared" si="13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53</v>
      </c>
      <c r="C19" s="421">
        <v>636026.91666666698</v>
      </c>
      <c r="D19" s="422">
        <v>12</v>
      </c>
      <c r="E19" s="423">
        <f t="shared" si="14"/>
        <v>7632323</v>
      </c>
      <c r="F19" s="423">
        <f>618.53*12</f>
        <v>7422.36</v>
      </c>
      <c r="G19" s="423">
        <v>399385.84</v>
      </c>
      <c r="H19" s="423"/>
      <c r="I19" s="423">
        <f t="shared" si="0"/>
        <v>7225514.7999999998</v>
      </c>
      <c r="J19" s="423">
        <v>200000</v>
      </c>
      <c r="K19" s="423">
        <v>0.2</v>
      </c>
      <c r="L19" s="423">
        <f t="shared" si="1"/>
        <v>1445102.96</v>
      </c>
      <c r="M19" s="423">
        <f t="shared" si="2"/>
        <v>1645102.96</v>
      </c>
      <c r="N19" s="423">
        <f t="shared" si="3"/>
        <v>2051911.16</v>
      </c>
      <c r="O19" s="423">
        <f t="shared" si="4"/>
        <v>5580411.8399999999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571298.84160000004</v>
      </c>
      <c r="V19" s="423">
        <f t="shared" si="11"/>
        <v>1131298.8415999999</v>
      </c>
      <c r="W19" s="430">
        <v>12</v>
      </c>
      <c r="X19" s="423">
        <f t="shared" si="12"/>
        <v>94274.903466666699</v>
      </c>
      <c r="Y19" s="423"/>
      <c r="Z19" s="434">
        <f t="shared" si="13"/>
        <v>94274.903466666699</v>
      </c>
      <c r="AA19" s="435">
        <v>46666.666666666701</v>
      </c>
      <c r="AB19" s="435">
        <f t="shared" si="15"/>
        <v>47608.236799999999</v>
      </c>
      <c r="AC19" s="435"/>
      <c r="AD19" s="435"/>
      <c r="AE19" s="435"/>
    </row>
    <row r="20" spans="1:31" ht="18.75">
      <c r="A20" s="420">
        <v>17</v>
      </c>
      <c r="B20" s="9" t="s">
        <v>60</v>
      </c>
      <c r="C20" s="421">
        <v>537895.16666666698</v>
      </c>
      <c r="D20" s="422">
        <v>12</v>
      </c>
      <c r="E20" s="423">
        <f t="shared" si="14"/>
        <v>6454742</v>
      </c>
      <c r="F20" s="423"/>
      <c r="G20" s="423">
        <v>362779.36</v>
      </c>
      <c r="H20" s="423"/>
      <c r="I20" s="423">
        <f t="shared" si="0"/>
        <v>6091962.6399999997</v>
      </c>
      <c r="J20" s="423">
        <v>200000</v>
      </c>
      <c r="K20" s="423">
        <v>0.2</v>
      </c>
      <c r="L20" s="423">
        <f t="shared" si="1"/>
        <v>1218392.5279999999</v>
      </c>
      <c r="M20" s="423">
        <f t="shared" si="2"/>
        <v>1418392.5279999999</v>
      </c>
      <c r="N20" s="423">
        <f t="shared" si="3"/>
        <v>1781171.888</v>
      </c>
      <c r="O20" s="423">
        <f t="shared" si="4"/>
        <v>4673570.1119999997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353656.82688000001</v>
      </c>
      <c r="V20" s="423">
        <f t="shared" si="11"/>
        <v>913656.82687999995</v>
      </c>
      <c r="W20" s="430">
        <v>12</v>
      </c>
      <c r="X20" s="423">
        <f t="shared" si="12"/>
        <v>76138.068906666696</v>
      </c>
      <c r="Y20" s="423"/>
      <c r="Z20" s="434">
        <f t="shared" si="13"/>
        <v>76138.068906666696</v>
      </c>
      <c r="AA20" s="435">
        <v>52497.770378666602</v>
      </c>
      <c r="AB20" s="435">
        <f t="shared" si="15"/>
        <v>23640.298527999999</v>
      </c>
      <c r="AC20" s="435"/>
      <c r="AD20" s="435"/>
      <c r="AE20" s="435"/>
    </row>
    <row r="21" spans="1:31" ht="18.75">
      <c r="A21" s="420">
        <v>18</v>
      </c>
      <c r="B21" s="12" t="s">
        <v>63</v>
      </c>
      <c r="C21" s="421">
        <v>553512.5</v>
      </c>
      <c r="D21" s="422">
        <v>12</v>
      </c>
      <c r="E21" s="423">
        <f t="shared" si="14"/>
        <v>6642150</v>
      </c>
      <c r="F21" s="423"/>
      <c r="G21" s="423">
        <v>339372</v>
      </c>
      <c r="H21" s="423"/>
      <c r="I21" s="423">
        <f t="shared" si="0"/>
        <v>6302778</v>
      </c>
      <c r="J21" s="423">
        <v>200000</v>
      </c>
      <c r="K21" s="423">
        <v>0.2</v>
      </c>
      <c r="L21" s="423">
        <f t="shared" si="1"/>
        <v>1260555.6000000001</v>
      </c>
      <c r="M21" s="423">
        <f t="shared" si="2"/>
        <v>1460555.6</v>
      </c>
      <c r="N21" s="423">
        <f t="shared" si="3"/>
        <v>1799927.6</v>
      </c>
      <c r="O21" s="423">
        <f t="shared" si="4"/>
        <v>4842222.4000000004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394133.37599999999</v>
      </c>
      <c r="V21" s="423">
        <f t="shared" si="11"/>
        <v>954133.37600000005</v>
      </c>
      <c r="W21" s="430">
        <v>12</v>
      </c>
      <c r="X21" s="423">
        <f t="shared" si="12"/>
        <v>79511.114666666705</v>
      </c>
      <c r="Y21" s="423"/>
      <c r="Z21" s="434">
        <f t="shared" si="13"/>
        <v>79511.114666666705</v>
      </c>
      <c r="AA21" s="435">
        <v>46666.666666666701</v>
      </c>
      <c r="AB21" s="435">
        <f t="shared" si="15"/>
        <v>32844.447999999997</v>
      </c>
      <c r="AC21" s="435"/>
      <c r="AD21" s="435"/>
      <c r="AE21" s="435"/>
    </row>
    <row r="22" spans="1:31" ht="18.75">
      <c r="A22" s="420">
        <v>19</v>
      </c>
      <c r="B22" s="9" t="s">
        <v>66</v>
      </c>
      <c r="C22" s="421">
        <v>463512.5</v>
      </c>
      <c r="D22" s="422">
        <v>12</v>
      </c>
      <c r="E22" s="423">
        <f t="shared" si="14"/>
        <v>5562150</v>
      </c>
      <c r="F22" s="423"/>
      <c r="G22" s="423">
        <v>339372</v>
      </c>
      <c r="H22" s="423"/>
      <c r="I22" s="423">
        <f t="shared" si="0"/>
        <v>5222778</v>
      </c>
      <c r="J22" s="423">
        <v>200000</v>
      </c>
      <c r="K22" s="423">
        <v>0.2</v>
      </c>
      <c r="L22" s="423">
        <f t="shared" si="1"/>
        <v>1044555.6</v>
      </c>
      <c r="M22" s="423">
        <f t="shared" si="2"/>
        <v>1244555.6000000001</v>
      </c>
      <c r="N22" s="423">
        <f t="shared" si="3"/>
        <v>1583927.6</v>
      </c>
      <c r="O22" s="423">
        <f t="shared" si="4"/>
        <v>3978222.4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336000</v>
      </c>
      <c r="U22" s="423">
        <f t="shared" si="10"/>
        <v>186773.37599999999</v>
      </c>
      <c r="V22" s="423">
        <f t="shared" si="11"/>
        <v>746773.37600000005</v>
      </c>
      <c r="W22" s="430">
        <v>12</v>
      </c>
      <c r="X22" s="423">
        <f t="shared" si="12"/>
        <v>62231.114666666697</v>
      </c>
      <c r="Y22" s="423"/>
      <c r="Z22" s="434">
        <f t="shared" si="13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68</v>
      </c>
      <c r="C23" s="421">
        <v>453029.66666666698</v>
      </c>
      <c r="D23" s="422">
        <v>12</v>
      </c>
      <c r="E23" s="423">
        <f t="shared" si="14"/>
        <v>5436356</v>
      </c>
      <c r="F23" s="423"/>
      <c r="G23" s="423">
        <v>281308.48</v>
      </c>
      <c r="H23" s="423"/>
      <c r="I23" s="423">
        <f t="shared" si="0"/>
        <v>5155047.5199999996</v>
      </c>
      <c r="J23" s="423">
        <v>200000</v>
      </c>
      <c r="K23" s="423">
        <v>0.2</v>
      </c>
      <c r="L23" s="423">
        <f t="shared" si="1"/>
        <v>1031009.504</v>
      </c>
      <c r="M23" s="423">
        <f t="shared" si="2"/>
        <v>1231009.504</v>
      </c>
      <c r="N23" s="423">
        <f t="shared" si="3"/>
        <v>1512317.9839999999</v>
      </c>
      <c r="O23" s="423">
        <f t="shared" si="4"/>
        <v>3924038.0159999998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336000</v>
      </c>
      <c r="U23" s="423">
        <f t="shared" si="10"/>
        <v>173769.12383999999</v>
      </c>
      <c r="V23" s="423">
        <f t="shared" si="11"/>
        <v>733769.12384000001</v>
      </c>
      <c r="W23" s="430">
        <v>12</v>
      </c>
      <c r="X23" s="423">
        <f t="shared" si="12"/>
        <v>61147.426986666702</v>
      </c>
      <c r="Y23" s="423"/>
      <c r="Z23" s="434">
        <f t="shared" si="13"/>
        <v>61147.426986666702</v>
      </c>
      <c r="AA23" s="435">
        <v>42371.815728666697</v>
      </c>
      <c r="AB23" s="435">
        <f t="shared" si="15"/>
        <v>18775.611258000001</v>
      </c>
      <c r="AC23" s="435"/>
      <c r="AD23" s="435"/>
      <c r="AE23" s="435"/>
    </row>
    <row r="24" spans="1:31" ht="18.75">
      <c r="A24" s="420">
        <v>21</v>
      </c>
      <c r="B24" s="2" t="s">
        <v>73</v>
      </c>
      <c r="C24" s="421">
        <v>330481.66666666698</v>
      </c>
      <c r="D24" s="422">
        <v>12</v>
      </c>
      <c r="E24" s="423">
        <f t="shared" si="14"/>
        <v>3965780</v>
      </c>
      <c r="F24" s="423"/>
      <c r="G24" s="423">
        <v>259662.4</v>
      </c>
      <c r="H24" s="423"/>
      <c r="I24" s="423">
        <f t="shared" si="0"/>
        <v>3706117.6</v>
      </c>
      <c r="J24" s="423">
        <v>200000</v>
      </c>
      <c r="K24" s="423">
        <v>0.2</v>
      </c>
      <c r="L24" s="423">
        <f t="shared" si="1"/>
        <v>741223.52</v>
      </c>
      <c r="M24" s="423">
        <f t="shared" si="2"/>
        <v>941223.52</v>
      </c>
      <c r="N24" s="423">
        <f t="shared" si="3"/>
        <v>1200885.92</v>
      </c>
      <c r="O24" s="423">
        <f t="shared" si="4"/>
        <v>2764894.08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244627.7568</v>
      </c>
      <c r="U24" s="423"/>
      <c r="V24" s="423">
        <f t="shared" si="11"/>
        <v>468627.75679999997</v>
      </c>
      <c r="W24" s="430">
        <v>12</v>
      </c>
      <c r="X24" s="423">
        <f t="shared" si="12"/>
        <v>39052.313066666698</v>
      </c>
      <c r="Y24" s="423"/>
      <c r="Z24" s="434">
        <f t="shared" si="13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76</v>
      </c>
      <c r="C25" s="421">
        <v>330481.66666666698</v>
      </c>
      <c r="D25" s="422">
        <v>12</v>
      </c>
      <c r="E25" s="423">
        <f t="shared" si="14"/>
        <v>3965780</v>
      </c>
      <c r="F25" s="423"/>
      <c r="G25" s="423">
        <v>259662.4</v>
      </c>
      <c r="H25" s="423"/>
      <c r="I25" s="423">
        <f t="shared" si="0"/>
        <v>3706117.6</v>
      </c>
      <c r="J25" s="423">
        <v>200000</v>
      </c>
      <c r="K25" s="423">
        <v>0.2</v>
      </c>
      <c r="L25" s="423">
        <f t="shared" si="1"/>
        <v>741223.52</v>
      </c>
      <c r="M25" s="423">
        <f t="shared" si="2"/>
        <v>941223.52</v>
      </c>
      <c r="N25" s="423">
        <f t="shared" si="3"/>
        <v>1200885.92</v>
      </c>
      <c r="O25" s="423">
        <f t="shared" si="4"/>
        <v>2764894.08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244627.7568</v>
      </c>
      <c r="U25" s="423"/>
      <c r="V25" s="423">
        <f t="shared" si="11"/>
        <v>468627.75679999997</v>
      </c>
      <c r="W25" s="430">
        <v>12</v>
      </c>
      <c r="X25" s="423">
        <f t="shared" si="12"/>
        <v>39052.313066666698</v>
      </c>
      <c r="Y25" s="423"/>
      <c r="Z25" s="434">
        <f t="shared" si="13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77</v>
      </c>
      <c r="C26" s="421">
        <v>370481.66666666698</v>
      </c>
      <c r="D26" s="422">
        <v>12</v>
      </c>
      <c r="E26" s="423">
        <f t="shared" si="14"/>
        <v>4445780</v>
      </c>
      <c r="F26" s="423"/>
      <c r="G26" s="423">
        <v>259662.4</v>
      </c>
      <c r="H26" s="423"/>
      <c r="I26" s="423">
        <f t="shared" si="0"/>
        <v>4186117.6</v>
      </c>
      <c r="J26" s="423">
        <v>200000</v>
      </c>
      <c r="K26" s="423">
        <v>0.2</v>
      </c>
      <c r="L26" s="423">
        <f t="shared" si="1"/>
        <v>837223.52</v>
      </c>
      <c r="M26" s="423">
        <f t="shared" si="2"/>
        <v>1037223.52</v>
      </c>
      <c r="N26" s="423">
        <f t="shared" si="3"/>
        <v>1296885.92</v>
      </c>
      <c r="O26" s="423">
        <f t="shared" si="4"/>
        <v>3148894.08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325267.75679999997</v>
      </c>
      <c r="U26" s="423"/>
      <c r="V26" s="423">
        <f t="shared" si="11"/>
        <v>549267.75679999997</v>
      </c>
      <c r="W26" s="430">
        <v>12</v>
      </c>
      <c r="X26" s="423">
        <f t="shared" si="12"/>
        <v>45772.313066666698</v>
      </c>
      <c r="Y26" s="423"/>
      <c r="Z26" s="434">
        <f t="shared" si="13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78</v>
      </c>
      <c r="C27" s="421">
        <v>323165.33333333302</v>
      </c>
      <c r="D27" s="422">
        <v>12</v>
      </c>
      <c r="E27" s="423">
        <f t="shared" si="14"/>
        <v>3877984</v>
      </c>
      <c r="F27" s="423"/>
      <c r="G27" s="423">
        <v>252638.72</v>
      </c>
      <c r="H27" s="423"/>
      <c r="I27" s="423">
        <f t="shared" si="0"/>
        <v>3625345.28</v>
      </c>
      <c r="J27" s="423">
        <v>200000</v>
      </c>
      <c r="K27" s="423">
        <v>0.2</v>
      </c>
      <c r="L27" s="423">
        <f t="shared" ref="L27" si="16">I27*K27</f>
        <v>725069.05599999998</v>
      </c>
      <c r="M27" s="423">
        <f t="shared" ref="M27" si="17">J27+L27</f>
        <v>925069.05599999998</v>
      </c>
      <c r="N27" s="423">
        <f t="shared" si="3"/>
        <v>1177707.7760000001</v>
      </c>
      <c r="O27" s="423">
        <f t="shared" si="4"/>
        <v>2700276.2239999999</v>
      </c>
      <c r="P27" s="423">
        <f t="shared" ref="P27" si="18">IF(O27&lt;300000,0.07*O27,21000)</f>
        <v>21000</v>
      </c>
      <c r="Q27" s="423">
        <f t="shared" ref="Q27" si="19">IF((O27-300000)&lt;0,0,IF((O27-300000)&lt;300000,0.11*(O27-300000),33000))</f>
        <v>33000</v>
      </c>
      <c r="R27" s="423">
        <f t="shared" ref="R27" si="20">IF((O27-600000)&lt;0,0,IF((O27-600000)&lt;500000,0.15*(O27-600000),75000))</f>
        <v>75000</v>
      </c>
      <c r="S27" s="423">
        <f t="shared" ref="S27" si="21">IF((O27-1100000)&lt;0,0,IF((O27-1100000)&lt;500000,0.19*(O27-1100000),95000))</f>
        <v>95000</v>
      </c>
      <c r="T27" s="423">
        <f t="shared" ref="T27" si="22">IF((O27-1600000)&lt;0,0,IF((O27-1600000)&lt;1600000,0.21*(O27-1600000),336000))</f>
        <v>231058.00704</v>
      </c>
      <c r="U27" s="423"/>
      <c r="V27" s="423">
        <f t="shared" ref="V27" si="23">P27+Q27+R27+S27+T27+U27</f>
        <v>455058.00704</v>
      </c>
      <c r="W27" s="430">
        <v>12</v>
      </c>
      <c r="X27" s="423">
        <f t="shared" ref="X27" si="24">V27/W27</f>
        <v>37921.500586666698</v>
      </c>
      <c r="Y27" s="423"/>
      <c r="Z27" s="434">
        <f t="shared" ref="Z27" si="25">X27</f>
        <v>37921.500586666698</v>
      </c>
      <c r="AA27" s="435">
        <v>22338.4826046667</v>
      </c>
      <c r="AB27" s="435">
        <f t="shared" si="15"/>
        <v>15583.017981999999</v>
      </c>
      <c r="AC27" s="435"/>
      <c r="AD27" s="435"/>
      <c r="AE27" s="435"/>
    </row>
    <row r="28" spans="1:31" ht="18.75">
      <c r="A28" s="420">
        <v>25</v>
      </c>
      <c r="B28" s="16" t="s">
        <v>81</v>
      </c>
      <c r="C28" s="421">
        <v>315849</v>
      </c>
      <c r="D28" s="422">
        <v>12</v>
      </c>
      <c r="E28" s="423">
        <f t="shared" si="14"/>
        <v>3790188</v>
      </c>
      <c r="F28" s="423"/>
      <c r="G28" s="423">
        <v>245615.04</v>
      </c>
      <c r="H28" s="423"/>
      <c r="I28" s="423">
        <f t="shared" si="0"/>
        <v>3544572.96</v>
      </c>
      <c r="J28" s="423">
        <v>200000</v>
      </c>
      <c r="K28" s="423">
        <v>0.2</v>
      </c>
      <c r="L28" s="423">
        <f t="shared" si="1"/>
        <v>708914.59199999995</v>
      </c>
      <c r="M28" s="423">
        <f t="shared" si="2"/>
        <v>908914.59199999995</v>
      </c>
      <c r="N28" s="423">
        <f t="shared" si="3"/>
        <v>1154529.632</v>
      </c>
      <c r="O28" s="423">
        <f t="shared" si="4"/>
        <v>2635658.3679999998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217488.25727999999</v>
      </c>
      <c r="U28" s="423"/>
      <c r="V28" s="423">
        <f t="shared" si="11"/>
        <v>441488.25728000002</v>
      </c>
      <c r="W28" s="430">
        <v>12</v>
      </c>
      <c r="X28" s="423">
        <f t="shared" si="12"/>
        <v>36790.688106666697</v>
      </c>
      <c r="Y28" s="423"/>
      <c r="Z28" s="434">
        <f t="shared" si="13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84</v>
      </c>
      <c r="C29" s="421">
        <v>315849</v>
      </c>
      <c r="D29" s="422">
        <v>12</v>
      </c>
      <c r="E29" s="423">
        <f t="shared" si="14"/>
        <v>3790188</v>
      </c>
      <c r="F29" s="423"/>
      <c r="G29" s="423">
        <v>245615.04</v>
      </c>
      <c r="H29" s="423"/>
      <c r="I29" s="423">
        <f t="shared" si="0"/>
        <v>3544572.96</v>
      </c>
      <c r="J29" s="423">
        <v>200000</v>
      </c>
      <c r="K29" s="423">
        <v>0.2</v>
      </c>
      <c r="L29" s="423">
        <f t="shared" si="1"/>
        <v>708914.59199999995</v>
      </c>
      <c r="M29" s="423">
        <f t="shared" si="2"/>
        <v>908914.59199999995</v>
      </c>
      <c r="N29" s="423">
        <f t="shared" si="3"/>
        <v>1154529.632</v>
      </c>
      <c r="O29" s="423">
        <f t="shared" si="4"/>
        <v>2635658.3679999998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217488.25727999999</v>
      </c>
      <c r="U29" s="423"/>
      <c r="V29" s="423">
        <f t="shared" si="11"/>
        <v>441488.25728000002</v>
      </c>
      <c r="W29" s="430">
        <v>12</v>
      </c>
      <c r="X29" s="423">
        <f t="shared" si="12"/>
        <v>36790.688106666697</v>
      </c>
      <c r="Y29" s="423"/>
      <c r="Z29" s="434">
        <f t="shared" si="13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85</v>
      </c>
      <c r="C30" s="421">
        <v>330481.66666666698</v>
      </c>
      <c r="D30" s="422">
        <v>12</v>
      </c>
      <c r="E30" s="423">
        <f t="shared" si="14"/>
        <v>3965780</v>
      </c>
      <c r="F30" s="423"/>
      <c r="G30" s="423">
        <v>259662.4</v>
      </c>
      <c r="H30" s="423"/>
      <c r="I30" s="423">
        <f t="shared" si="0"/>
        <v>3706117.6</v>
      </c>
      <c r="J30" s="423">
        <v>200000</v>
      </c>
      <c r="K30" s="423">
        <v>0.2</v>
      </c>
      <c r="L30" s="423">
        <f t="shared" si="1"/>
        <v>741223.52</v>
      </c>
      <c r="M30" s="423">
        <f t="shared" si="2"/>
        <v>941223.52</v>
      </c>
      <c r="N30" s="423">
        <f t="shared" si="3"/>
        <v>1200885.92</v>
      </c>
      <c r="O30" s="423">
        <f t="shared" si="4"/>
        <v>2764894.08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244627.7568</v>
      </c>
      <c r="U30" s="423"/>
      <c r="V30" s="423">
        <f t="shared" si="11"/>
        <v>468627.75679999997</v>
      </c>
      <c r="W30" s="430">
        <v>12</v>
      </c>
      <c r="X30" s="423">
        <f t="shared" si="12"/>
        <v>39052.313066666698</v>
      </c>
      <c r="Y30" s="423"/>
      <c r="Z30" s="434">
        <f t="shared" si="13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88</v>
      </c>
      <c r="C31" s="421">
        <v>280631.91666666698</v>
      </c>
      <c r="D31" s="422">
        <v>12</v>
      </c>
      <c r="E31" s="423">
        <f t="shared" si="14"/>
        <v>3367583</v>
      </c>
      <c r="F31" s="423"/>
      <c r="G31" s="424">
        <v>221406.64</v>
      </c>
      <c r="H31" s="423"/>
      <c r="I31" s="423">
        <f t="shared" si="0"/>
        <v>3146176.36</v>
      </c>
      <c r="J31" s="423">
        <v>200000</v>
      </c>
      <c r="K31" s="423">
        <v>0.2</v>
      </c>
      <c r="L31" s="423">
        <f t="shared" si="1"/>
        <v>629235.272</v>
      </c>
      <c r="M31" s="423">
        <f t="shared" si="2"/>
        <v>829235.272</v>
      </c>
      <c r="N31" s="423">
        <f t="shared" si="3"/>
        <v>1050641.912</v>
      </c>
      <c r="O31" s="423">
        <f t="shared" si="4"/>
        <v>2316941.088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95000</v>
      </c>
      <c r="T31" s="423">
        <f t="shared" si="9"/>
        <v>150557.62848000001</v>
      </c>
      <c r="U31" s="423"/>
      <c r="V31" s="423">
        <f t="shared" si="11"/>
        <v>374557.62848000001</v>
      </c>
      <c r="W31" s="430">
        <v>12</v>
      </c>
      <c r="X31" s="423">
        <f t="shared" si="12"/>
        <v>31213.135706666701</v>
      </c>
      <c r="Y31" s="423"/>
      <c r="Z31" s="434">
        <f t="shared" si="13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90</v>
      </c>
      <c r="C32" s="421">
        <v>274459.75</v>
      </c>
      <c r="D32" s="422">
        <v>12</v>
      </c>
      <c r="E32" s="423">
        <f t="shared" si="14"/>
        <v>3293517</v>
      </c>
      <c r="F32" s="423"/>
      <c r="G32" s="424">
        <f>17956.78*12</f>
        <v>215481.36</v>
      </c>
      <c r="H32" s="423"/>
      <c r="I32" s="423">
        <f t="shared" si="0"/>
        <v>3078035.64</v>
      </c>
      <c r="J32" s="423">
        <v>200000</v>
      </c>
      <c r="K32" s="423">
        <v>0.2</v>
      </c>
      <c r="L32" s="423">
        <f t="shared" si="1"/>
        <v>615607.12800000003</v>
      </c>
      <c r="M32" s="423">
        <f t="shared" si="2"/>
        <v>815607.12800000003</v>
      </c>
      <c r="N32" s="423">
        <f t="shared" si="3"/>
        <v>1031088.488</v>
      </c>
      <c r="O32" s="423">
        <f t="shared" si="4"/>
        <v>2262428.5120000001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95000</v>
      </c>
      <c r="T32" s="423">
        <f t="shared" si="9"/>
        <v>139109.98752</v>
      </c>
      <c r="U32" s="423"/>
      <c r="V32" s="423">
        <f t="shared" si="11"/>
        <v>363109.98752000002</v>
      </c>
      <c r="W32" s="430">
        <v>12</v>
      </c>
      <c r="X32" s="423">
        <f t="shared" si="12"/>
        <v>30259.165626666701</v>
      </c>
      <c r="Y32" s="423"/>
      <c r="Z32" s="434">
        <f t="shared" si="13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34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97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34"/>
      <c r="AA34" s="435"/>
      <c r="AB34" s="435"/>
      <c r="AC34" s="435"/>
      <c r="AD34" s="435"/>
      <c r="AE34" s="435"/>
    </row>
    <row r="35" spans="1:31" ht="18.75">
      <c r="A35" s="420"/>
      <c r="B35" s="16" t="s">
        <v>98</v>
      </c>
      <c r="C35" s="427">
        <v>1535720</v>
      </c>
      <c r="D35" s="423">
        <v>12</v>
      </c>
      <c r="E35" s="423">
        <f>C35*D35</f>
        <v>18428640</v>
      </c>
      <c r="F35" s="423"/>
      <c r="G35" s="424">
        <v>1378291.2</v>
      </c>
      <c r="H35" s="423"/>
      <c r="I35" s="423">
        <f>E35-F35-G35-H35</f>
        <v>17050348.800000001</v>
      </c>
      <c r="J35" s="423">
        <v>200000</v>
      </c>
      <c r="K35" s="423">
        <v>0.2</v>
      </c>
      <c r="L35" s="423">
        <f>I35*K35</f>
        <v>3410069.76</v>
      </c>
      <c r="M35" s="423">
        <f>J35+L35</f>
        <v>3610069.76</v>
      </c>
      <c r="N35" s="423">
        <f>F35+G35+H35+M35</f>
        <v>4988360.96</v>
      </c>
      <c r="O35" s="423">
        <f>E35-N35</f>
        <v>13440279.039999999</v>
      </c>
      <c r="P35" s="423">
        <f t="shared" si="5"/>
        <v>21000</v>
      </c>
      <c r="Q35" s="423">
        <f t="shared" ref="Q35:Q37" si="26">IF((O35-300000)&lt;0,0,IF((O35-300000)&lt;300000,0.11*(O35-300000),33000))</f>
        <v>33000</v>
      </c>
      <c r="R35" s="423">
        <f t="shared" ref="R35:R37" si="27">IF((O35-600000)&lt;0,0,IF((O35-600000)&lt;500000,0.15*(O35-600000),75000))</f>
        <v>75000</v>
      </c>
      <c r="S35" s="423">
        <f t="shared" ref="S35:S37" si="28">IF((O35-1100000)&lt;0,0,IF((O35-1100000)&lt;500000,0.19*(O35-1100000),95000))</f>
        <v>95000</v>
      </c>
      <c r="T35" s="423">
        <f t="shared" ref="T35:T37" si="29">IF((O35-1600000)&lt;0,0,IF((O35-1600000)&lt;1600000,0.21*(O35-1600000),336000))</f>
        <v>336000</v>
      </c>
      <c r="U35" s="423">
        <f t="shared" si="10"/>
        <v>2457666.9696</v>
      </c>
      <c r="V35" s="423">
        <f>P35+Q35+R35+S35+T35+U35</f>
        <v>3017666.9696</v>
      </c>
      <c r="W35" s="423">
        <v>12</v>
      </c>
      <c r="X35" s="423">
        <f>V35/W35</f>
        <v>251472.247466667</v>
      </c>
      <c r="Y35" s="423"/>
      <c r="Z35" s="434">
        <f>X35</f>
        <v>251472.247466667</v>
      </c>
      <c r="AA35" s="423">
        <v>161106.806858667</v>
      </c>
      <c r="AB35" s="423">
        <f>Z35-AA35</f>
        <v>90365.440607999903</v>
      </c>
      <c r="AC35" s="435"/>
      <c r="AD35" s="435"/>
      <c r="AE35" s="435"/>
    </row>
    <row r="36" spans="1:31" ht="18.75">
      <c r="A36" s="420"/>
      <c r="B36" s="16" t="s">
        <v>101</v>
      </c>
      <c r="C36" s="423">
        <v>353029.66666666698</v>
      </c>
      <c r="D36" s="422">
        <v>12</v>
      </c>
      <c r="E36" s="423">
        <f>C36*D36</f>
        <v>4236356</v>
      </c>
      <c r="F36" s="423"/>
      <c r="G36" s="424">
        <v>281308.48</v>
      </c>
      <c r="H36" s="423"/>
      <c r="I36" s="423">
        <f>E36-F36-G36-H36</f>
        <v>3955047.52</v>
      </c>
      <c r="J36" s="423">
        <v>200000</v>
      </c>
      <c r="K36" s="423">
        <v>0.2</v>
      </c>
      <c r="L36" s="423">
        <f>I36*K36</f>
        <v>791009.50399999996</v>
      </c>
      <c r="M36" s="423">
        <f>J36+L36</f>
        <v>991009.50399999996</v>
      </c>
      <c r="N36" s="423">
        <f>F36+G36+H36+M36</f>
        <v>1272317.9839999999</v>
      </c>
      <c r="O36" s="423">
        <f>E36-N36</f>
        <v>2964038.0159999998</v>
      </c>
      <c r="P36" s="423">
        <f t="shared" si="5"/>
        <v>21000</v>
      </c>
      <c r="Q36" s="423">
        <f t="shared" si="26"/>
        <v>33000</v>
      </c>
      <c r="R36" s="423">
        <f t="shared" si="27"/>
        <v>75000</v>
      </c>
      <c r="S36" s="423">
        <f t="shared" si="28"/>
        <v>95000</v>
      </c>
      <c r="T36" s="423">
        <f t="shared" si="29"/>
        <v>286447.98336000001</v>
      </c>
      <c r="U36" s="423"/>
      <c r="V36" s="423">
        <f>P36+Q36+R36+S36+T36+U36</f>
        <v>510447.98336000001</v>
      </c>
      <c r="W36" s="423">
        <v>12</v>
      </c>
      <c r="X36" s="423">
        <f>V36/W36</f>
        <v>42537.331946666702</v>
      </c>
      <c r="Y36" s="423"/>
      <c r="Z36" s="434">
        <f>X36</f>
        <v>42537.331946666702</v>
      </c>
      <c r="AA36" s="435">
        <v>17042.713866666702</v>
      </c>
      <c r="AB36" s="423">
        <f t="shared" ref="AB36:AB37" si="30">Z36-AA36</f>
        <v>25494.61808</v>
      </c>
      <c r="AC36" s="435"/>
      <c r="AD36" s="435"/>
      <c r="AE36" s="435"/>
    </row>
    <row r="37" spans="1:31" ht="18.75">
      <c r="A37" s="420">
        <v>33</v>
      </c>
      <c r="B37" s="9" t="s">
        <v>103</v>
      </c>
      <c r="C37" s="421">
        <v>360965.58333333302</v>
      </c>
      <c r="D37" s="422">
        <v>12</v>
      </c>
      <c r="E37" s="423">
        <f>C37*D37</f>
        <v>4331587</v>
      </c>
      <c r="F37" s="423"/>
      <c r="G37" s="424">
        <v>288926.96000000002</v>
      </c>
      <c r="H37" s="423"/>
      <c r="I37" s="423">
        <f>E37-F37-G37-H37</f>
        <v>4042660.04</v>
      </c>
      <c r="J37" s="423">
        <v>200000</v>
      </c>
      <c r="K37" s="423">
        <v>0.2</v>
      </c>
      <c r="L37" s="423">
        <f>I37*K37</f>
        <v>808532.00800000003</v>
      </c>
      <c r="M37" s="423">
        <f>J37+L37</f>
        <v>1008532.008</v>
      </c>
      <c r="N37" s="423">
        <f>F37+G37+H37+M37</f>
        <v>1297458.9680000001</v>
      </c>
      <c r="O37" s="423">
        <f>E37-N37</f>
        <v>3034128.0320000001</v>
      </c>
      <c r="P37" s="423">
        <f t="shared" si="5"/>
        <v>21000</v>
      </c>
      <c r="Q37" s="423">
        <f t="shared" si="26"/>
        <v>33000</v>
      </c>
      <c r="R37" s="423">
        <f t="shared" si="27"/>
        <v>75000</v>
      </c>
      <c r="S37" s="423">
        <f t="shared" si="28"/>
        <v>95000</v>
      </c>
      <c r="T37" s="423">
        <f t="shared" si="29"/>
        <v>301166.88672000001</v>
      </c>
      <c r="U37" s="423"/>
      <c r="V37" s="423">
        <f>P37+Q37+R37+S37+T37+U37</f>
        <v>525166.88671999995</v>
      </c>
      <c r="W37" s="423">
        <v>12</v>
      </c>
      <c r="X37" s="423">
        <f>V37/W37</f>
        <v>43763.907226666699</v>
      </c>
      <c r="Y37" s="423"/>
      <c r="Z37" s="434">
        <f>X37</f>
        <v>43763.907226666699</v>
      </c>
      <c r="AA37" s="435">
        <v>26339.0784066667</v>
      </c>
      <c r="AB37" s="423">
        <f t="shared" si="30"/>
        <v>17424.828819999999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34"/>
      <c r="AA38" s="435"/>
      <c r="AB38" s="435"/>
      <c r="AC38" s="435"/>
      <c r="AD38" s="435"/>
      <c r="AE38" s="435"/>
    </row>
    <row r="39" spans="1:31" ht="18.75">
      <c r="A39" s="420"/>
      <c r="B39" s="21" t="s">
        <v>107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34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108</v>
      </c>
      <c r="C40" s="421">
        <v>1635720</v>
      </c>
      <c r="D40" s="422">
        <v>12</v>
      </c>
      <c r="E40" s="423">
        <f>C40*D40</f>
        <v>19628640</v>
      </c>
      <c r="F40" s="423"/>
      <c r="G40" s="424">
        <v>1378291.2</v>
      </c>
      <c r="H40" s="423"/>
      <c r="I40" s="423">
        <f t="shared" ref="I40:I50" si="31">E40-F40-G40-H40</f>
        <v>18250348.800000001</v>
      </c>
      <c r="J40" s="423">
        <v>200000</v>
      </c>
      <c r="K40" s="423">
        <v>0.2</v>
      </c>
      <c r="L40" s="423">
        <f>I40*K40</f>
        <v>3650069.76</v>
      </c>
      <c r="M40" s="423">
        <f>J40+L40</f>
        <v>3850069.76</v>
      </c>
      <c r="N40" s="423">
        <f t="shared" ref="N40:N50" si="32">F40+G40+H40+M40</f>
        <v>5228360.96</v>
      </c>
      <c r="O40" s="423">
        <f t="shared" ref="O40:O50" si="33">E40-N40</f>
        <v>14400279.039999999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2688066.9696</v>
      </c>
      <c r="V40" s="423">
        <f>P40+Q40+R40+S40+T40+U40</f>
        <v>3248066.9696</v>
      </c>
      <c r="W40" s="430">
        <v>12</v>
      </c>
      <c r="X40" s="423">
        <f>V40/W40</f>
        <v>270672.24746666697</v>
      </c>
      <c r="Y40" s="423"/>
      <c r="Z40" s="434">
        <f>X40</f>
        <v>270672.24746666697</v>
      </c>
      <c r="AA40" s="435">
        <v>180306.806858667</v>
      </c>
      <c r="AB40" s="435">
        <f>Z40-AA40</f>
        <v>90365.440607999903</v>
      </c>
      <c r="AC40" s="435"/>
      <c r="AD40" s="435"/>
      <c r="AE40" s="435"/>
    </row>
    <row r="41" spans="1:31" ht="18.75">
      <c r="A41" s="420">
        <v>36</v>
      </c>
      <c r="B41" s="9" t="s">
        <v>491</v>
      </c>
      <c r="C41" s="423">
        <v>780675.58333333302</v>
      </c>
      <c r="D41" s="422">
        <v>12</v>
      </c>
      <c r="E41" s="423">
        <f t="shared" ref="E41:E50" si="34">C41*D41</f>
        <v>9368107</v>
      </c>
      <c r="F41" s="426"/>
      <c r="G41" s="424">
        <v>595848.56000000006</v>
      </c>
      <c r="H41" s="426"/>
      <c r="I41" s="423">
        <f t="shared" si="31"/>
        <v>8772258.4399999995</v>
      </c>
      <c r="J41" s="423">
        <v>200000</v>
      </c>
      <c r="K41" s="423">
        <v>0.2</v>
      </c>
      <c r="L41" s="423">
        <f t="shared" si="1"/>
        <v>1754451.6880000001</v>
      </c>
      <c r="M41" s="423">
        <f t="shared" si="2"/>
        <v>1954451.6880000001</v>
      </c>
      <c r="N41" s="423">
        <f t="shared" si="32"/>
        <v>2550300.2480000001</v>
      </c>
      <c r="O41" s="423">
        <f t="shared" si="33"/>
        <v>6817806.7520000003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868273.62048000004</v>
      </c>
      <c r="V41" s="423">
        <f t="shared" si="11"/>
        <v>1428273.62048</v>
      </c>
      <c r="W41" s="430">
        <v>12</v>
      </c>
      <c r="X41" s="423">
        <f t="shared" si="12"/>
        <v>119022.801706667</v>
      </c>
      <c r="Y41" s="426"/>
      <c r="Z41" s="434">
        <f t="shared" si="13"/>
        <v>119022.801706667</v>
      </c>
      <c r="AA41" s="435">
        <v>79956.9391466667</v>
      </c>
      <c r="AB41" s="435">
        <f t="shared" ref="AB41:AB50" si="35">Z41-AA41</f>
        <v>39065.862560000001</v>
      </c>
      <c r="AC41" s="435"/>
      <c r="AD41" s="435"/>
      <c r="AE41" s="435"/>
    </row>
    <row r="42" spans="1:31" ht="18.75">
      <c r="A42" s="420">
        <v>37</v>
      </c>
      <c r="B42" s="9" t="s">
        <v>110</v>
      </c>
      <c r="C42" s="423">
        <v>919203.58333333302</v>
      </c>
      <c r="D42" s="422">
        <v>12</v>
      </c>
      <c r="E42" s="423">
        <f t="shared" si="34"/>
        <v>11030443</v>
      </c>
      <c r="F42" s="426"/>
      <c r="G42" s="424">
        <v>709635.44</v>
      </c>
      <c r="H42" s="426"/>
      <c r="I42" s="423">
        <f t="shared" si="31"/>
        <v>10320807.560000001</v>
      </c>
      <c r="J42" s="423">
        <v>200000</v>
      </c>
      <c r="K42" s="423">
        <v>0.2</v>
      </c>
      <c r="L42" s="423">
        <f t="shared" si="1"/>
        <v>2064161.5120000001</v>
      </c>
      <c r="M42" s="423">
        <f t="shared" si="2"/>
        <v>2264161.5120000001</v>
      </c>
      <c r="N42" s="423">
        <f t="shared" si="32"/>
        <v>2973796.952</v>
      </c>
      <c r="O42" s="423">
        <f t="shared" si="33"/>
        <v>8056646.0480000004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1165595.05152</v>
      </c>
      <c r="V42" s="423">
        <f t="shared" si="11"/>
        <v>1725595.05152</v>
      </c>
      <c r="W42" s="430">
        <v>12</v>
      </c>
      <c r="X42" s="423">
        <f t="shared" si="12"/>
        <v>143799.58762666699</v>
      </c>
      <c r="Y42" s="426"/>
      <c r="Z42" s="434">
        <f t="shared" si="13"/>
        <v>143799.58762666699</v>
      </c>
      <c r="AA42" s="435">
        <v>97273.513850666699</v>
      </c>
      <c r="AB42" s="435">
        <f t="shared" si="35"/>
        <v>46526.073775999997</v>
      </c>
      <c r="AC42" s="435"/>
      <c r="AD42" s="435"/>
      <c r="AE42" s="435"/>
    </row>
    <row r="43" spans="1:31" ht="18.75">
      <c r="A43" s="420">
        <v>38</v>
      </c>
      <c r="B43" s="9" t="s">
        <v>113</v>
      </c>
      <c r="C43" s="423">
        <v>780675.58333333302</v>
      </c>
      <c r="D43" s="422">
        <v>12</v>
      </c>
      <c r="E43" s="423">
        <f t="shared" si="34"/>
        <v>9368107</v>
      </c>
      <c r="F43" s="426"/>
      <c r="G43" s="424">
        <v>595848.56000000006</v>
      </c>
      <c r="H43" s="426"/>
      <c r="I43" s="423">
        <f t="shared" si="31"/>
        <v>8772258.4399999995</v>
      </c>
      <c r="J43" s="423">
        <v>200000</v>
      </c>
      <c r="K43" s="423">
        <v>0.2</v>
      </c>
      <c r="L43" s="423">
        <f t="shared" si="1"/>
        <v>1754451.6880000001</v>
      </c>
      <c r="M43" s="423">
        <f t="shared" si="2"/>
        <v>1954451.6880000001</v>
      </c>
      <c r="N43" s="423">
        <f t="shared" si="32"/>
        <v>2550300.2480000001</v>
      </c>
      <c r="O43" s="423">
        <f t="shared" si="33"/>
        <v>6817806.7520000003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868273.62048000004</v>
      </c>
      <c r="V43" s="423">
        <f t="shared" si="11"/>
        <v>1428273.62048</v>
      </c>
      <c r="W43" s="430">
        <v>12</v>
      </c>
      <c r="X43" s="423">
        <f t="shared" si="12"/>
        <v>119022.801706667</v>
      </c>
      <c r="Y43" s="426"/>
      <c r="Z43" s="434">
        <f t="shared" si="13"/>
        <v>119022.801706667</v>
      </c>
      <c r="AA43" s="435">
        <v>79956.9391466667</v>
      </c>
      <c r="AB43" s="435">
        <f t="shared" si="35"/>
        <v>39065.862560000001</v>
      </c>
      <c r="AC43" s="435"/>
      <c r="AD43" s="435"/>
      <c r="AE43" s="435"/>
    </row>
    <row r="44" spans="1:31" ht="18.75">
      <c r="A44" s="420">
        <v>39</v>
      </c>
      <c r="B44" s="9" t="s">
        <v>115</v>
      </c>
      <c r="C44" s="423">
        <v>780675.58333333302</v>
      </c>
      <c r="D44" s="422">
        <v>12</v>
      </c>
      <c r="E44" s="423">
        <f t="shared" si="34"/>
        <v>9368107</v>
      </c>
      <c r="F44" s="423">
        <f>'[6]JANUARY 2024'!$V$47*12</f>
        <v>10052.25</v>
      </c>
      <c r="G44" s="424">
        <v>595848.56000000006</v>
      </c>
      <c r="H44" s="426"/>
      <c r="I44" s="423">
        <f t="shared" si="31"/>
        <v>8762206.1899999995</v>
      </c>
      <c r="J44" s="423">
        <v>200000</v>
      </c>
      <c r="K44" s="423">
        <v>0.2</v>
      </c>
      <c r="L44" s="423">
        <f t="shared" si="1"/>
        <v>1752441.2379999999</v>
      </c>
      <c r="M44" s="423">
        <f t="shared" si="2"/>
        <v>1952441.2379999999</v>
      </c>
      <c r="N44" s="423">
        <f t="shared" si="32"/>
        <v>2558342.048</v>
      </c>
      <c r="O44" s="423">
        <f t="shared" si="33"/>
        <v>6809764.9519999996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866343.58847999992</v>
      </c>
      <c r="V44" s="423">
        <f t="shared" si="11"/>
        <v>1426343.5884799999</v>
      </c>
      <c r="W44" s="430">
        <v>12</v>
      </c>
      <c r="X44" s="423">
        <f t="shared" si="12"/>
        <v>118861.96570666666</v>
      </c>
      <c r="Y44" s="426"/>
      <c r="Z44" s="434">
        <f t="shared" si="13"/>
        <v>118861.96570666666</v>
      </c>
      <c r="AA44" s="435">
        <v>79796.103146666603</v>
      </c>
      <c r="AB44" s="435">
        <f t="shared" si="35"/>
        <v>39065.862560000052</v>
      </c>
      <c r="AC44" s="435"/>
      <c r="AD44" s="435"/>
      <c r="AE44" s="435"/>
    </row>
    <row r="45" spans="1:31" ht="18.75">
      <c r="A45" s="420">
        <v>40</v>
      </c>
      <c r="B45" s="9" t="s">
        <v>116</v>
      </c>
      <c r="C45" s="423">
        <v>742118.08333333302</v>
      </c>
      <c r="D45" s="422">
        <v>12</v>
      </c>
      <c r="E45" s="423">
        <f t="shared" si="34"/>
        <v>8905417</v>
      </c>
      <c r="F45" s="423"/>
      <c r="G45" s="424">
        <v>558833.36</v>
      </c>
      <c r="H45" s="426"/>
      <c r="I45" s="423">
        <f t="shared" si="31"/>
        <v>8346583.6399999997</v>
      </c>
      <c r="J45" s="423">
        <v>200000</v>
      </c>
      <c r="K45" s="423">
        <v>0.2</v>
      </c>
      <c r="L45" s="423">
        <f t="shared" si="1"/>
        <v>1669316.7279999999</v>
      </c>
      <c r="M45" s="423">
        <f t="shared" si="2"/>
        <v>1869316.7279999999</v>
      </c>
      <c r="N45" s="423">
        <f t="shared" si="32"/>
        <v>2428150.088</v>
      </c>
      <c r="O45" s="423">
        <f t="shared" si="33"/>
        <v>6477266.9119999995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786544.05888000003</v>
      </c>
      <c r="V45" s="423">
        <f t="shared" si="11"/>
        <v>1346544.0588799999</v>
      </c>
      <c r="W45" s="430">
        <v>12</v>
      </c>
      <c r="X45" s="423">
        <f t="shared" si="12"/>
        <v>112212.004906667</v>
      </c>
      <c r="Y45" s="426"/>
      <c r="Z45" s="434">
        <f t="shared" si="13"/>
        <v>112212.004906667</v>
      </c>
      <c r="AA45" s="435">
        <v>75572.915690666705</v>
      </c>
      <c r="AB45" s="435">
        <f t="shared" si="35"/>
        <v>36639.089216</v>
      </c>
      <c r="AC45" s="435"/>
      <c r="AD45" s="435"/>
      <c r="AE45" s="435"/>
    </row>
    <row r="46" spans="1:31" ht="18.75">
      <c r="A46" s="420">
        <v>41</v>
      </c>
      <c r="B46" s="12" t="s">
        <v>117</v>
      </c>
      <c r="C46" s="423">
        <v>610498</v>
      </c>
      <c r="D46" s="422">
        <v>12</v>
      </c>
      <c r="E46" s="423">
        <f t="shared" si="34"/>
        <v>7325976</v>
      </c>
      <c r="F46" s="423"/>
      <c r="G46" s="424">
        <v>451678.08</v>
      </c>
      <c r="H46" s="426"/>
      <c r="I46" s="423">
        <f t="shared" si="31"/>
        <v>6874297.9199999999</v>
      </c>
      <c r="J46" s="423">
        <v>200000</v>
      </c>
      <c r="K46" s="423">
        <v>0.2</v>
      </c>
      <c r="L46" s="423">
        <f t="shared" si="1"/>
        <v>1374859.584</v>
      </c>
      <c r="M46" s="423">
        <f t="shared" si="2"/>
        <v>1574859.584</v>
      </c>
      <c r="N46" s="423">
        <f t="shared" si="32"/>
        <v>2026537.6640000001</v>
      </c>
      <c r="O46" s="423">
        <f t="shared" si="33"/>
        <v>5299438.3360000001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503865.20064</v>
      </c>
      <c r="V46" s="423">
        <f t="shared" si="11"/>
        <v>1063865.2006399999</v>
      </c>
      <c r="W46" s="430">
        <v>12</v>
      </c>
      <c r="X46" s="423">
        <f t="shared" si="12"/>
        <v>88655.4333866667</v>
      </c>
      <c r="Y46" s="426"/>
      <c r="Z46" s="434">
        <f t="shared" si="13"/>
        <v>88655.4333866667</v>
      </c>
      <c r="AA46" s="435">
        <v>58026.609434666701</v>
      </c>
      <c r="AB46" s="435">
        <f t="shared" si="3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118</v>
      </c>
      <c r="C47" s="423">
        <v>400965.58333333302</v>
      </c>
      <c r="D47" s="422">
        <v>12</v>
      </c>
      <c r="E47" s="423">
        <f t="shared" si="34"/>
        <v>4811587</v>
      </c>
      <c r="F47" s="423"/>
      <c r="G47" s="424">
        <v>288926.96000000002</v>
      </c>
      <c r="H47" s="426"/>
      <c r="I47" s="423">
        <f t="shared" si="31"/>
        <v>4522660.04</v>
      </c>
      <c r="J47" s="423">
        <v>200000</v>
      </c>
      <c r="K47" s="423">
        <v>0.2</v>
      </c>
      <c r="L47" s="423">
        <f t="shared" si="1"/>
        <v>904532.00800000003</v>
      </c>
      <c r="M47" s="423">
        <f t="shared" si="2"/>
        <v>1104532.0079999999</v>
      </c>
      <c r="N47" s="423">
        <f t="shared" si="32"/>
        <v>1393458.9680000001</v>
      </c>
      <c r="O47" s="423">
        <f t="shared" si="33"/>
        <v>3418128.0320000001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336000</v>
      </c>
      <c r="U47" s="423">
        <f t="shared" si="10"/>
        <v>52350.727680000004</v>
      </c>
      <c r="V47" s="423">
        <f t="shared" si="11"/>
        <v>612350.72768000001</v>
      </c>
      <c r="W47" s="430">
        <v>12</v>
      </c>
      <c r="X47" s="423">
        <f t="shared" si="12"/>
        <v>51029.227306666697</v>
      </c>
      <c r="Y47" s="426"/>
      <c r="Z47" s="434">
        <f t="shared" si="13"/>
        <v>51029.227306666697</v>
      </c>
      <c r="AA47" s="435">
        <v>33059.078406666697</v>
      </c>
      <c r="AB47" s="435">
        <f t="shared" si="35"/>
        <v>17970.1489</v>
      </c>
      <c r="AC47" s="435"/>
      <c r="AD47" s="435"/>
      <c r="AE47" s="435"/>
    </row>
    <row r="48" spans="1:31" ht="18.75">
      <c r="A48" s="420">
        <v>43</v>
      </c>
      <c r="B48" s="9" t="s">
        <v>120</v>
      </c>
      <c r="C48" s="423">
        <v>363165.33333333302</v>
      </c>
      <c r="D48" s="422">
        <v>12</v>
      </c>
      <c r="E48" s="423">
        <f t="shared" si="34"/>
        <v>4357984</v>
      </c>
      <c r="F48" s="423"/>
      <c r="G48" s="424">
        <v>252638.72</v>
      </c>
      <c r="H48" s="426"/>
      <c r="I48" s="423">
        <f t="shared" si="31"/>
        <v>4105345.28</v>
      </c>
      <c r="J48" s="423">
        <v>200000</v>
      </c>
      <c r="K48" s="423">
        <v>0.2</v>
      </c>
      <c r="L48" s="423">
        <f t="shared" si="1"/>
        <v>821069.05599999998</v>
      </c>
      <c r="M48" s="423">
        <f t="shared" si="2"/>
        <v>1021069.056</v>
      </c>
      <c r="N48" s="423">
        <f t="shared" si="32"/>
        <v>1273707.7760000001</v>
      </c>
      <c r="O48" s="423">
        <f t="shared" si="33"/>
        <v>3084276.2239999999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311698.00704</v>
      </c>
      <c r="U48" s="423"/>
      <c r="V48" s="423">
        <f t="shared" si="11"/>
        <v>535698.00704000005</v>
      </c>
      <c r="W48" s="430">
        <v>12</v>
      </c>
      <c r="X48" s="423">
        <f t="shared" si="12"/>
        <v>44641.500586666698</v>
      </c>
      <c r="Y48" s="426"/>
      <c r="Z48" s="434">
        <f t="shared" si="13"/>
        <v>44641.500586666698</v>
      </c>
      <c r="AA48" s="435">
        <v>29058.4826046667</v>
      </c>
      <c r="AB48" s="435">
        <f t="shared" si="35"/>
        <v>15583.017981999999</v>
      </c>
      <c r="AC48" s="435"/>
      <c r="AD48" s="435"/>
      <c r="AE48" s="435"/>
    </row>
    <row r="49" spans="1:31" ht="18.75">
      <c r="A49" s="420">
        <v>44</v>
      </c>
      <c r="B49" s="9" t="s">
        <v>578</v>
      </c>
      <c r="C49" s="423">
        <v>363165.33333333302</v>
      </c>
      <c r="D49" s="422">
        <v>12</v>
      </c>
      <c r="E49" s="423">
        <f t="shared" si="34"/>
        <v>4357984</v>
      </c>
      <c r="F49" s="423"/>
      <c r="G49" s="424">
        <v>252638.72</v>
      </c>
      <c r="H49" s="426"/>
      <c r="I49" s="423">
        <f t="shared" si="31"/>
        <v>4105345.28</v>
      </c>
      <c r="J49" s="423">
        <v>200000</v>
      </c>
      <c r="K49" s="423">
        <v>0.2</v>
      </c>
      <c r="L49" s="423">
        <f t="shared" si="1"/>
        <v>821069.05599999998</v>
      </c>
      <c r="M49" s="423">
        <f t="shared" si="2"/>
        <v>1021069.056</v>
      </c>
      <c r="N49" s="423">
        <f t="shared" si="32"/>
        <v>1273707.7760000001</v>
      </c>
      <c r="O49" s="423">
        <f t="shared" si="33"/>
        <v>3084276.2239999999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311698.00704</v>
      </c>
      <c r="U49" s="423"/>
      <c r="V49" s="423">
        <f t="shared" si="11"/>
        <v>535698.00704000005</v>
      </c>
      <c r="W49" s="430">
        <v>12</v>
      </c>
      <c r="X49" s="423">
        <f t="shared" si="12"/>
        <v>44641.500586666698</v>
      </c>
      <c r="Y49" s="426"/>
      <c r="Z49" s="434">
        <f t="shared" si="13"/>
        <v>44641.500586666698</v>
      </c>
      <c r="AA49" s="435">
        <v>28360.952862666702</v>
      </c>
      <c r="AB49" s="435">
        <f t="shared" si="35"/>
        <v>16280.547724</v>
      </c>
      <c r="AC49" s="435"/>
      <c r="AD49" s="435"/>
      <c r="AE49" s="435"/>
    </row>
    <row r="50" spans="1:31" ht="18.75">
      <c r="A50" s="420">
        <v>45</v>
      </c>
      <c r="B50" s="9" t="s">
        <v>121</v>
      </c>
      <c r="C50" s="423">
        <v>363165.33333333302</v>
      </c>
      <c r="D50" s="422">
        <v>12</v>
      </c>
      <c r="E50" s="423">
        <f t="shared" si="34"/>
        <v>4357984</v>
      </c>
      <c r="F50" s="423"/>
      <c r="G50" s="424">
        <v>252638.72</v>
      </c>
      <c r="H50" s="426"/>
      <c r="I50" s="423">
        <f t="shared" si="31"/>
        <v>4105345.28</v>
      </c>
      <c r="J50" s="423">
        <v>200000</v>
      </c>
      <c r="K50" s="423">
        <v>0.2</v>
      </c>
      <c r="L50" s="423">
        <f t="shared" si="1"/>
        <v>821069.05599999998</v>
      </c>
      <c r="M50" s="423">
        <f t="shared" si="2"/>
        <v>1021069.056</v>
      </c>
      <c r="N50" s="423">
        <f t="shared" si="32"/>
        <v>1273707.7760000001</v>
      </c>
      <c r="O50" s="423">
        <f t="shared" si="33"/>
        <v>3084276.2239999999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311698.00704</v>
      </c>
      <c r="U50" s="423"/>
      <c r="V50" s="423">
        <f t="shared" si="11"/>
        <v>535698.00704000005</v>
      </c>
      <c r="W50" s="430">
        <v>12</v>
      </c>
      <c r="X50" s="423">
        <f t="shared" si="12"/>
        <v>44641.500586666698</v>
      </c>
      <c r="Y50" s="426"/>
      <c r="Z50" s="434">
        <f t="shared" si="13"/>
        <v>44641.500586666698</v>
      </c>
      <c r="AA50" s="435">
        <v>29058.4826046667</v>
      </c>
      <c r="AB50" s="435">
        <f t="shared" si="35"/>
        <v>15583.017981999999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34"/>
      <c r="AA51" s="435"/>
      <c r="AB51" s="435"/>
      <c r="AC51" s="435"/>
      <c r="AD51" s="435"/>
      <c r="AE51" s="435"/>
    </row>
    <row r="52" spans="1:31" ht="18.75">
      <c r="A52" s="420"/>
      <c r="B52" s="18" t="s">
        <v>122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34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123</v>
      </c>
      <c r="C53" s="423">
        <v>1635720</v>
      </c>
      <c r="D53" s="422">
        <v>12</v>
      </c>
      <c r="E53" s="423">
        <f>C53*D53</f>
        <v>19628640</v>
      </c>
      <c r="F53" s="423"/>
      <c r="G53" s="424">
        <v>1378291.2</v>
      </c>
      <c r="H53" s="426"/>
      <c r="I53" s="423">
        <f>E53-F53-G53-H53</f>
        <v>18250348.800000001</v>
      </c>
      <c r="J53" s="423">
        <v>200000</v>
      </c>
      <c r="K53" s="423">
        <v>0.2</v>
      </c>
      <c r="L53" s="423">
        <f t="shared" si="1"/>
        <v>3650069.76</v>
      </c>
      <c r="M53" s="423">
        <f t="shared" si="2"/>
        <v>3850069.76</v>
      </c>
      <c r="N53" s="423">
        <f>F53+G53+H53+M53</f>
        <v>5228360.96</v>
      </c>
      <c r="O53" s="423">
        <f>E53-N53</f>
        <v>14400279.039999999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2688066.9696</v>
      </c>
      <c r="V53" s="423">
        <f t="shared" si="11"/>
        <v>3248066.9696</v>
      </c>
      <c r="W53" s="430">
        <v>12</v>
      </c>
      <c r="X53" s="423">
        <f t="shared" si="12"/>
        <v>270672.24746666697</v>
      </c>
      <c r="Y53" s="426"/>
      <c r="Z53" s="434">
        <f t="shared" si="13"/>
        <v>270672.24746666697</v>
      </c>
      <c r="AA53" s="435">
        <v>180306.806858667</v>
      </c>
      <c r="AB53" s="435">
        <f>Z53-AA53</f>
        <v>90365.440607999903</v>
      </c>
      <c r="AC53" s="435"/>
      <c r="AD53" s="435"/>
      <c r="AE53" s="435"/>
    </row>
    <row r="54" spans="1:31" ht="18.75">
      <c r="A54" s="420">
        <v>48</v>
      </c>
      <c r="B54" s="9" t="s">
        <v>125</v>
      </c>
      <c r="C54" s="423">
        <v>700675.58333333302</v>
      </c>
      <c r="D54" s="422">
        <v>12</v>
      </c>
      <c r="E54" s="423">
        <f>C54*D54</f>
        <v>8408107</v>
      </c>
      <c r="F54" s="423"/>
      <c r="G54" s="423">
        <v>595848.56000000006</v>
      </c>
      <c r="H54" s="426"/>
      <c r="I54" s="423">
        <f>E54-F54-G54-H54</f>
        <v>7812258.4400000004</v>
      </c>
      <c r="J54" s="423">
        <v>200000</v>
      </c>
      <c r="K54" s="423">
        <v>0.2</v>
      </c>
      <c r="L54" s="423">
        <f t="shared" si="1"/>
        <v>1562451.6880000001</v>
      </c>
      <c r="M54" s="423">
        <f t="shared" si="2"/>
        <v>1762451.6880000001</v>
      </c>
      <c r="N54" s="423">
        <f>F54+G54+H54+M54</f>
        <v>2358300.2480000001</v>
      </c>
      <c r="O54" s="423">
        <f>E54-N54</f>
        <v>6049806.7520000003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683953.62048000004</v>
      </c>
      <c r="V54" s="423">
        <f t="shared" si="11"/>
        <v>1243953.62048</v>
      </c>
      <c r="W54" s="430">
        <v>12</v>
      </c>
      <c r="X54" s="423">
        <f t="shared" si="12"/>
        <v>103662.801706667</v>
      </c>
      <c r="Y54" s="426"/>
      <c r="Z54" s="434">
        <f t="shared" si="13"/>
        <v>103662.801706667</v>
      </c>
      <c r="AA54" s="435">
        <v>64596.9391466667</v>
      </c>
      <c r="AB54" s="435">
        <f>Z54-AA54</f>
        <v>39065.862560000001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34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128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34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129</v>
      </c>
      <c r="C57" s="423">
        <v>1635720</v>
      </c>
      <c r="D57" s="422">
        <v>12</v>
      </c>
      <c r="E57" s="423">
        <f>C57*D57</f>
        <v>19628640</v>
      </c>
      <c r="F57" s="423"/>
      <c r="G57" s="424">
        <v>0</v>
      </c>
      <c r="H57" s="426"/>
      <c r="I57" s="423">
        <f t="shared" ref="I57:I66" si="36">E57-F57-G57-H57</f>
        <v>19628640</v>
      </c>
      <c r="J57" s="423">
        <v>200000</v>
      </c>
      <c r="K57" s="423">
        <v>0.2</v>
      </c>
      <c r="L57" s="423">
        <f t="shared" si="1"/>
        <v>3925728</v>
      </c>
      <c r="M57" s="423">
        <f t="shared" si="2"/>
        <v>4125728</v>
      </c>
      <c r="N57" s="423">
        <f t="shared" ref="N57:N66" si="37">F57+G57+H57+M57</f>
        <v>4125728</v>
      </c>
      <c r="O57" s="423">
        <f t="shared" ref="O57:O66" si="38">E57-N57</f>
        <v>15502912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2952698.88</v>
      </c>
      <c r="V57" s="423">
        <f t="shared" si="11"/>
        <v>3512698.8799999999</v>
      </c>
      <c r="W57" s="430">
        <v>12</v>
      </c>
      <c r="X57" s="423">
        <f t="shared" si="12"/>
        <v>292724.90666666703</v>
      </c>
      <c r="Y57" s="426"/>
      <c r="Z57" s="434">
        <f t="shared" si="13"/>
        <v>292724.90666666703</v>
      </c>
      <c r="AA57" s="435">
        <v>180306.806858667</v>
      </c>
      <c r="AB57" s="435">
        <f>Z57-AA57</f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131</v>
      </c>
      <c r="C58" s="423">
        <v>761396.83333333302</v>
      </c>
      <c r="D58" s="422">
        <v>12</v>
      </c>
      <c r="E58" s="423">
        <f t="shared" ref="E58:E66" si="39">C58*D58</f>
        <v>9136762</v>
      </c>
      <c r="F58" s="423"/>
      <c r="G58" s="429">
        <f>48111.7466666667*12</f>
        <v>577340.96</v>
      </c>
      <c r="H58" s="426"/>
      <c r="I58" s="423">
        <f t="shared" si="36"/>
        <v>8559421.0399999991</v>
      </c>
      <c r="J58" s="423">
        <v>200000</v>
      </c>
      <c r="K58" s="423">
        <v>0.2</v>
      </c>
      <c r="L58" s="423">
        <f t="shared" si="1"/>
        <v>1711884.2080000001</v>
      </c>
      <c r="M58" s="423">
        <f t="shared" si="2"/>
        <v>1911884.2080000001</v>
      </c>
      <c r="N58" s="423">
        <f t="shared" si="37"/>
        <v>2489225.1680000001</v>
      </c>
      <c r="O58" s="423">
        <f t="shared" si="38"/>
        <v>6647536.8320000004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827408.83967999998</v>
      </c>
      <c r="V58" s="423">
        <f t="shared" si="11"/>
        <v>1387408.83968</v>
      </c>
      <c r="W58" s="430">
        <v>12</v>
      </c>
      <c r="X58" s="423">
        <f t="shared" si="12"/>
        <v>115617.40330666699</v>
      </c>
      <c r="Y58" s="426"/>
      <c r="Z58" s="434">
        <f t="shared" si="13"/>
        <v>115617.40330666699</v>
      </c>
      <c r="AA58" s="435">
        <v>77764.980266666695</v>
      </c>
      <c r="AB58" s="435">
        <f t="shared" ref="AB58:AB66" si="40">Z58-AA58</f>
        <v>37852.423040000001</v>
      </c>
      <c r="AC58" s="435"/>
      <c r="AD58" s="435"/>
      <c r="AE58" s="435"/>
    </row>
    <row r="59" spans="1:31" ht="18.75">
      <c r="A59" s="420">
        <v>52</v>
      </c>
      <c r="B59" s="9" t="s">
        <v>134</v>
      </c>
      <c r="C59" s="423">
        <v>582746.5</v>
      </c>
      <c r="D59" s="422">
        <v>12</v>
      </c>
      <c r="E59" s="423">
        <f t="shared" si="39"/>
        <v>6992958</v>
      </c>
      <c r="F59" s="423"/>
      <c r="G59" s="424">
        <v>425036.64</v>
      </c>
      <c r="H59" s="426"/>
      <c r="I59" s="423">
        <f t="shared" si="36"/>
        <v>6567921.3600000003</v>
      </c>
      <c r="J59" s="423">
        <v>200000</v>
      </c>
      <c r="K59" s="423">
        <v>0.2</v>
      </c>
      <c r="L59" s="423">
        <f t="shared" si="1"/>
        <v>1313584.2720000001</v>
      </c>
      <c r="M59" s="423">
        <f t="shared" si="2"/>
        <v>1513584.2720000001</v>
      </c>
      <c r="N59" s="423">
        <f t="shared" si="37"/>
        <v>1938620.912</v>
      </c>
      <c r="O59" s="423">
        <f t="shared" si="38"/>
        <v>5054337.0880000005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445040.90111999999</v>
      </c>
      <c r="V59" s="423">
        <f t="shared" si="11"/>
        <v>1005040.9011200001</v>
      </c>
      <c r="W59" s="430">
        <v>12</v>
      </c>
      <c r="X59" s="423">
        <f t="shared" si="12"/>
        <v>83753.408426666603</v>
      </c>
      <c r="Y59" s="426"/>
      <c r="Z59" s="434">
        <f t="shared" si="13"/>
        <v>83753.408426666603</v>
      </c>
      <c r="AA59" s="435">
        <v>54931.249226666703</v>
      </c>
      <c r="AB59" s="435">
        <f t="shared" si="40"/>
        <v>28822.159199999998</v>
      </c>
      <c r="AC59" s="435"/>
      <c r="AD59" s="435"/>
      <c r="AE59" s="435"/>
    </row>
    <row r="60" spans="1:31" ht="18.75">
      <c r="A60" s="420">
        <v>53</v>
      </c>
      <c r="B60" s="16" t="s">
        <v>487</v>
      </c>
      <c r="C60" s="423">
        <v>548915.91666666698</v>
      </c>
      <c r="D60" s="422">
        <v>12</v>
      </c>
      <c r="E60" s="423">
        <f t="shared" si="39"/>
        <v>6586991</v>
      </c>
      <c r="F60" s="423"/>
      <c r="G60" s="424">
        <v>411759.28</v>
      </c>
      <c r="H60" s="426"/>
      <c r="I60" s="423">
        <f t="shared" si="36"/>
        <v>6175231.7199999997</v>
      </c>
      <c r="J60" s="423">
        <v>200000</v>
      </c>
      <c r="K60" s="423">
        <v>0.2</v>
      </c>
      <c r="L60" s="423">
        <f t="shared" si="1"/>
        <v>1235046.344</v>
      </c>
      <c r="M60" s="423">
        <f t="shared" si="2"/>
        <v>1435046.344</v>
      </c>
      <c r="N60" s="423">
        <f t="shared" si="37"/>
        <v>1846805.6240000001</v>
      </c>
      <c r="O60" s="423">
        <f t="shared" si="38"/>
        <v>4740185.3760000002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369644.49024000001</v>
      </c>
      <c r="V60" s="423">
        <f t="shared" si="11"/>
        <v>929644.49023999996</v>
      </c>
      <c r="W60" s="430">
        <v>12</v>
      </c>
      <c r="X60" s="423">
        <f t="shared" si="12"/>
        <v>77470.374186666697</v>
      </c>
      <c r="Y60" s="426"/>
      <c r="Z60" s="434">
        <f t="shared" si="13"/>
        <v>77470.374186666697</v>
      </c>
      <c r="AA60" s="435">
        <v>49548.776186666699</v>
      </c>
      <c r="AB60" s="435">
        <f t="shared" si="40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517</v>
      </c>
      <c r="C61" s="423">
        <v>624373.75</v>
      </c>
      <c r="D61" s="422">
        <v>12</v>
      </c>
      <c r="E61" s="423">
        <f t="shared" si="39"/>
        <v>7492485</v>
      </c>
      <c r="F61" s="423"/>
      <c r="G61" s="424">
        <v>464998.8</v>
      </c>
      <c r="H61" s="426"/>
      <c r="I61" s="423">
        <f t="shared" si="36"/>
        <v>7027486.2000000002</v>
      </c>
      <c r="J61" s="423">
        <v>200000</v>
      </c>
      <c r="K61" s="423">
        <v>0.2</v>
      </c>
      <c r="L61" s="423">
        <f t="shared" si="1"/>
        <v>1405497.24</v>
      </c>
      <c r="M61" s="423">
        <f t="shared" si="2"/>
        <v>1605497.24</v>
      </c>
      <c r="N61" s="423">
        <f t="shared" si="37"/>
        <v>2070496.04</v>
      </c>
      <c r="O61" s="423">
        <f t="shared" si="38"/>
        <v>5421988.96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533277.3504</v>
      </c>
      <c r="V61" s="423">
        <f t="shared" si="11"/>
        <v>1093277.3504000001</v>
      </c>
      <c r="W61" s="430">
        <v>12</v>
      </c>
      <c r="X61" s="423">
        <f t="shared" si="12"/>
        <v>91106.445866666705</v>
      </c>
      <c r="Y61" s="426"/>
      <c r="Z61" s="434">
        <f t="shared" si="13"/>
        <v>91106.445866666705</v>
      </c>
      <c r="AA61" s="435">
        <v>46666.666666666701</v>
      </c>
      <c r="AB61" s="435">
        <f t="shared" si="40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136</v>
      </c>
      <c r="C62" s="423">
        <v>475703.83333333302</v>
      </c>
      <c r="D62" s="422">
        <v>12</v>
      </c>
      <c r="E62" s="423">
        <f t="shared" si="39"/>
        <v>5708446</v>
      </c>
      <c r="F62" s="423"/>
      <c r="G62" s="424">
        <v>351075.68</v>
      </c>
      <c r="H62" s="426"/>
      <c r="I62" s="423">
        <f t="shared" si="36"/>
        <v>5357370.32</v>
      </c>
      <c r="J62" s="423">
        <v>200000</v>
      </c>
      <c r="K62" s="423">
        <v>0.2</v>
      </c>
      <c r="L62" s="423">
        <f t="shared" si="1"/>
        <v>1071474.064</v>
      </c>
      <c r="M62" s="423">
        <f t="shared" si="2"/>
        <v>1271474.064</v>
      </c>
      <c r="N62" s="423">
        <f t="shared" si="37"/>
        <v>1622549.7439999999</v>
      </c>
      <c r="O62" s="423">
        <f t="shared" si="38"/>
        <v>4085896.2560000001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336000</v>
      </c>
      <c r="U62" s="423">
        <f t="shared" si="10"/>
        <v>212615.10144</v>
      </c>
      <c r="V62" s="423">
        <f t="shared" si="11"/>
        <v>772615.10144</v>
      </c>
      <c r="W62" s="430">
        <v>12</v>
      </c>
      <c r="X62" s="423">
        <f t="shared" si="12"/>
        <v>64384.591786666701</v>
      </c>
      <c r="Y62" s="426"/>
      <c r="Z62" s="434">
        <f t="shared" si="13"/>
        <v>64384.591786666701</v>
      </c>
      <c r="AA62" s="435">
        <v>41338.951098666701</v>
      </c>
      <c r="AB62" s="435">
        <f t="shared" si="40"/>
        <v>23045.640687999999</v>
      </c>
      <c r="AC62" s="435"/>
      <c r="AD62" s="435"/>
      <c r="AE62" s="435"/>
    </row>
    <row r="63" spans="1:31" ht="18.75">
      <c r="A63" s="420">
        <v>56</v>
      </c>
      <c r="B63" s="9" t="s">
        <v>138</v>
      </c>
      <c r="C63" s="423">
        <v>475703.83333333302</v>
      </c>
      <c r="D63" s="422">
        <v>12</v>
      </c>
      <c r="E63" s="423">
        <f t="shared" si="39"/>
        <v>5708446</v>
      </c>
      <c r="F63" s="423"/>
      <c r="G63" s="424">
        <v>351075.68</v>
      </c>
      <c r="H63" s="426"/>
      <c r="I63" s="423">
        <f t="shared" si="36"/>
        <v>5357370.32</v>
      </c>
      <c r="J63" s="423">
        <v>200000</v>
      </c>
      <c r="K63" s="423">
        <v>0.2</v>
      </c>
      <c r="L63" s="423">
        <f t="shared" si="1"/>
        <v>1071474.064</v>
      </c>
      <c r="M63" s="423">
        <f t="shared" si="2"/>
        <v>1271474.064</v>
      </c>
      <c r="N63" s="423">
        <f t="shared" si="37"/>
        <v>1622549.7439999999</v>
      </c>
      <c r="O63" s="423">
        <f t="shared" si="38"/>
        <v>4085896.2560000001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336000</v>
      </c>
      <c r="U63" s="423">
        <f t="shared" si="10"/>
        <v>212615.10144</v>
      </c>
      <c r="V63" s="423">
        <f t="shared" si="11"/>
        <v>772615.10144</v>
      </c>
      <c r="W63" s="430">
        <v>12</v>
      </c>
      <c r="X63" s="423">
        <f t="shared" si="12"/>
        <v>64384.591786666701</v>
      </c>
      <c r="Y63" s="426"/>
      <c r="Z63" s="434">
        <f t="shared" si="13"/>
        <v>64384.591786666701</v>
      </c>
      <c r="AA63" s="435">
        <v>41338.951098666701</v>
      </c>
      <c r="AB63" s="435">
        <f t="shared" si="40"/>
        <v>23045.640687999999</v>
      </c>
      <c r="AC63" s="435"/>
      <c r="AD63" s="435"/>
      <c r="AE63" s="435"/>
    </row>
    <row r="64" spans="1:31" ht="18.75">
      <c r="A64" s="420">
        <v>57</v>
      </c>
      <c r="B64" s="9" t="s">
        <v>139</v>
      </c>
      <c r="C64" s="423">
        <v>475703.83333333302</v>
      </c>
      <c r="D64" s="422">
        <v>12</v>
      </c>
      <c r="E64" s="423">
        <f t="shared" si="39"/>
        <v>5708446</v>
      </c>
      <c r="F64" s="423"/>
      <c r="G64" s="424">
        <v>351075.68</v>
      </c>
      <c r="H64" s="426"/>
      <c r="I64" s="423">
        <f t="shared" si="36"/>
        <v>5357370.32</v>
      </c>
      <c r="J64" s="423">
        <v>200000</v>
      </c>
      <c r="K64" s="423">
        <v>0.2</v>
      </c>
      <c r="L64" s="423">
        <f t="shared" si="1"/>
        <v>1071474.064</v>
      </c>
      <c r="M64" s="423">
        <f t="shared" si="2"/>
        <v>1271474.064</v>
      </c>
      <c r="N64" s="423">
        <f t="shared" si="37"/>
        <v>1622549.7439999999</v>
      </c>
      <c r="O64" s="423">
        <f t="shared" si="38"/>
        <v>4085896.2560000001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336000</v>
      </c>
      <c r="U64" s="423">
        <f t="shared" si="10"/>
        <v>212615.10144</v>
      </c>
      <c r="V64" s="423">
        <f t="shared" si="11"/>
        <v>772615.10144</v>
      </c>
      <c r="W64" s="430">
        <v>12</v>
      </c>
      <c r="X64" s="423">
        <f t="shared" si="12"/>
        <v>64384.591786666701</v>
      </c>
      <c r="Y64" s="426"/>
      <c r="Z64" s="434">
        <f t="shared" si="13"/>
        <v>64384.591786666701</v>
      </c>
      <c r="AA64" s="435">
        <v>41338.951098666701</v>
      </c>
      <c r="AB64" s="435">
        <f t="shared" si="40"/>
        <v>23045.640687999999</v>
      </c>
      <c r="AC64" s="435"/>
      <c r="AD64" s="435"/>
      <c r="AE64" s="435"/>
    </row>
    <row r="65" spans="1:31" ht="18.75">
      <c r="A65" s="420">
        <v>58</v>
      </c>
      <c r="B65" s="9" t="s">
        <v>140</v>
      </c>
      <c r="C65" s="423">
        <v>487895.16666666698</v>
      </c>
      <c r="D65" s="422">
        <v>12</v>
      </c>
      <c r="E65" s="423">
        <f t="shared" si="39"/>
        <v>5854742</v>
      </c>
      <c r="F65" s="423"/>
      <c r="G65" s="424">
        <v>362779.36</v>
      </c>
      <c r="H65" s="426"/>
      <c r="I65" s="423">
        <f t="shared" si="36"/>
        <v>5491962.6399999997</v>
      </c>
      <c r="J65" s="423">
        <v>200000</v>
      </c>
      <c r="K65" s="423">
        <v>0.2</v>
      </c>
      <c r="L65" s="423">
        <f t="shared" si="1"/>
        <v>1098392.5279999999</v>
      </c>
      <c r="M65" s="423">
        <f t="shared" si="2"/>
        <v>1298392.5279999999</v>
      </c>
      <c r="N65" s="423">
        <f t="shared" si="37"/>
        <v>1661171.888</v>
      </c>
      <c r="O65" s="423">
        <f t="shared" si="38"/>
        <v>4193570.1120000002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336000</v>
      </c>
      <c r="U65" s="423">
        <f t="shared" si="10"/>
        <v>238456.82688000001</v>
      </c>
      <c r="V65" s="423">
        <f t="shared" si="11"/>
        <v>798456.82687999995</v>
      </c>
      <c r="W65" s="430">
        <v>12</v>
      </c>
      <c r="X65" s="423">
        <f t="shared" si="12"/>
        <v>66538.068906666696</v>
      </c>
      <c r="Y65" s="426"/>
      <c r="Z65" s="434">
        <f t="shared" si="13"/>
        <v>66538.068906666696</v>
      </c>
      <c r="AA65" s="435">
        <v>43368.882414666703</v>
      </c>
      <c r="AB65" s="435">
        <f t="shared" si="40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142</v>
      </c>
      <c r="C66" s="423">
        <v>400965.58333333302</v>
      </c>
      <c r="D66" s="422">
        <v>12</v>
      </c>
      <c r="E66" s="423">
        <f t="shared" si="39"/>
        <v>4811587</v>
      </c>
      <c r="F66" s="423"/>
      <c r="G66" s="428">
        <v>288926.96000000002</v>
      </c>
      <c r="H66" s="426"/>
      <c r="I66" s="423">
        <f t="shared" si="36"/>
        <v>4522660.04</v>
      </c>
      <c r="J66" s="423">
        <v>200000</v>
      </c>
      <c r="K66" s="423">
        <v>0.2</v>
      </c>
      <c r="L66" s="423">
        <f t="shared" si="1"/>
        <v>904532.00800000003</v>
      </c>
      <c r="M66" s="423">
        <f t="shared" si="2"/>
        <v>1104532.0079999999</v>
      </c>
      <c r="N66" s="423">
        <f t="shared" si="37"/>
        <v>1393458.9680000001</v>
      </c>
      <c r="O66" s="423">
        <f t="shared" si="38"/>
        <v>3418128.0320000001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336000</v>
      </c>
      <c r="U66" s="423">
        <f t="shared" si="10"/>
        <v>52350.727680000004</v>
      </c>
      <c r="V66" s="423">
        <f t="shared" si="11"/>
        <v>612350.72768000001</v>
      </c>
      <c r="W66" s="430">
        <v>12</v>
      </c>
      <c r="X66" s="423">
        <f t="shared" si="12"/>
        <v>51029.227306666697</v>
      </c>
      <c r="Y66" s="426"/>
      <c r="Z66" s="434">
        <f t="shared" si="13"/>
        <v>51029.227306666697</v>
      </c>
      <c r="AA66" s="435">
        <v>33825.986562666702</v>
      </c>
      <c r="AB66" s="435">
        <f t="shared" si="40"/>
        <v>17203.240743999999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34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34"/>
      <c r="AA68" s="435"/>
      <c r="AB68" s="435"/>
      <c r="AC68" s="435"/>
      <c r="AD68" s="435"/>
      <c r="AE68" s="435"/>
    </row>
    <row r="69" spans="1:31" ht="18.75">
      <c r="A69" s="420"/>
      <c r="B69" s="18" t="s">
        <v>143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34"/>
      <c r="AA69" s="435"/>
      <c r="AB69" s="435"/>
      <c r="AC69" s="435"/>
      <c r="AD69" s="435"/>
      <c r="AE69" s="435"/>
    </row>
    <row r="70" spans="1:31" ht="18.75">
      <c r="A70" s="420"/>
      <c r="B70" s="9" t="s">
        <v>144</v>
      </c>
      <c r="C70" s="423">
        <v>1635720</v>
      </c>
      <c r="D70" s="422">
        <v>12</v>
      </c>
      <c r="E70" s="423">
        <f>C70*D70</f>
        <v>19628640</v>
      </c>
      <c r="F70" s="423"/>
      <c r="G70" s="424">
        <v>1378291.2</v>
      </c>
      <c r="H70" s="426"/>
      <c r="I70" s="423">
        <f t="shared" ref="I70:I76" si="41">E70-F70-G70-H70</f>
        <v>18250348.800000001</v>
      </c>
      <c r="J70" s="423">
        <v>200000</v>
      </c>
      <c r="K70" s="423">
        <v>0.2</v>
      </c>
      <c r="L70" s="423">
        <f t="shared" ref="L70" si="42">I70*K70</f>
        <v>3650069.76</v>
      </c>
      <c r="M70" s="423">
        <f t="shared" ref="M70" si="43">J70+L70</f>
        <v>3850069.76</v>
      </c>
      <c r="N70" s="423">
        <f t="shared" ref="N70:N76" si="44">F70+G70+H70+M70</f>
        <v>5228360.96</v>
      </c>
      <c r="O70" s="423">
        <f t="shared" ref="O70:O76" si="45">E70-N70</f>
        <v>14400279.039999999</v>
      </c>
      <c r="P70" s="423">
        <f t="shared" ref="P70" si="46">IF(O70&lt;300000,0.07*O70,21000)</f>
        <v>21000</v>
      </c>
      <c r="Q70" s="423">
        <f t="shared" ref="Q70" si="47">IF((O70-300000)&lt;0,0,IF((O70-300000)&lt;300000,0.11*(O70-300000),33000))</f>
        <v>33000</v>
      </c>
      <c r="R70" s="423">
        <f t="shared" ref="R70" si="48">IF((O70-600000)&lt;0,0,IF((O70-600000)&lt;500000,0.15*(O70-600000),75000))</f>
        <v>75000</v>
      </c>
      <c r="S70" s="423">
        <f t="shared" ref="S70" si="49">IF((O70-1100000)&lt;0,0,IF((O70-1100000)&lt;500000,0.19*(O70-1100000),95000))</f>
        <v>95000</v>
      </c>
      <c r="T70" s="423">
        <f t="shared" ref="T70" si="50">IF((O70-1600000)&lt;0,0,IF((O70-1600000)&lt;1600000,0.21*(O70-1600000),336000))</f>
        <v>336000</v>
      </c>
      <c r="U70" s="423">
        <f t="shared" ref="U70" si="51">24%*(O70-3200000)</f>
        <v>2688066.9696</v>
      </c>
      <c r="V70" s="423">
        <f t="shared" ref="V70" si="52">P70+Q70+R70+S70+T70+U70</f>
        <v>3248066.9696</v>
      </c>
      <c r="W70" s="430">
        <v>12</v>
      </c>
      <c r="X70" s="423">
        <f t="shared" ref="X70" si="53">V70/W70</f>
        <v>270672.24746666697</v>
      </c>
      <c r="Y70" s="426"/>
      <c r="Z70" s="434">
        <f t="shared" ref="Z70" si="54">X70</f>
        <v>270672.24746666697</v>
      </c>
      <c r="AA70" s="435">
        <v>180306.806858667</v>
      </c>
      <c r="AB70" s="435">
        <f>Z70-AA70</f>
        <v>90365.440607999903</v>
      </c>
      <c r="AC70" s="435"/>
      <c r="AD70" s="435"/>
      <c r="AE70" s="435"/>
    </row>
    <row r="71" spans="1:31" ht="18.75">
      <c r="A71" s="420">
        <v>62</v>
      </c>
      <c r="B71" s="12" t="s">
        <v>518</v>
      </c>
      <c r="C71" s="423">
        <v>761396.83333333302</v>
      </c>
      <c r="D71" s="422">
        <v>12</v>
      </c>
      <c r="E71" s="423">
        <f t="shared" ref="E71:E76" si="55">C71*D71</f>
        <v>9136762</v>
      </c>
      <c r="F71" s="423"/>
      <c r="G71" s="424">
        <v>0</v>
      </c>
      <c r="H71" s="426"/>
      <c r="I71" s="423">
        <f t="shared" si="41"/>
        <v>9136762</v>
      </c>
      <c r="J71" s="423">
        <v>200000</v>
      </c>
      <c r="K71" s="423">
        <v>0.2</v>
      </c>
      <c r="L71" s="423">
        <f t="shared" si="1"/>
        <v>1827352.4</v>
      </c>
      <c r="M71" s="423">
        <f t="shared" si="2"/>
        <v>2027352.4</v>
      </c>
      <c r="N71" s="423">
        <f t="shared" si="44"/>
        <v>2027352.4</v>
      </c>
      <c r="O71" s="423">
        <f t="shared" si="45"/>
        <v>7109409.5999999996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938258.304</v>
      </c>
      <c r="V71" s="423">
        <f t="shared" si="11"/>
        <v>1498258.304</v>
      </c>
      <c r="W71" s="430">
        <v>12</v>
      </c>
      <c r="X71" s="423">
        <f t="shared" si="12"/>
        <v>124854.858666667</v>
      </c>
      <c r="Y71" s="426"/>
      <c r="Z71" s="434">
        <f t="shared" si="13"/>
        <v>124854.858666667</v>
      </c>
      <c r="AA71" s="435">
        <v>77764.980266666695</v>
      </c>
      <c r="AB71" s="435">
        <f t="shared" ref="AB71:AB76" si="56">Z71-AA71</f>
        <v>47089.878400000001</v>
      </c>
      <c r="AC71" s="435"/>
      <c r="AD71" s="435"/>
      <c r="AE71" s="435"/>
    </row>
    <row r="72" spans="1:31" ht="37.5">
      <c r="A72" s="420">
        <v>63</v>
      </c>
      <c r="B72" s="16" t="s">
        <v>519</v>
      </c>
      <c r="C72" s="423">
        <f>700675.583333333+80000</f>
        <v>780675.58333333302</v>
      </c>
      <c r="D72" s="422">
        <v>12</v>
      </c>
      <c r="E72" s="423">
        <f t="shared" si="55"/>
        <v>9368107</v>
      </c>
      <c r="F72" s="423"/>
      <c r="G72" s="424">
        <v>0</v>
      </c>
      <c r="H72" s="426"/>
      <c r="I72" s="423">
        <f t="shared" si="41"/>
        <v>9368107</v>
      </c>
      <c r="J72" s="423">
        <v>200000</v>
      </c>
      <c r="K72" s="423">
        <v>0.2</v>
      </c>
      <c r="L72" s="423">
        <f t="shared" si="1"/>
        <v>1873621.4</v>
      </c>
      <c r="M72" s="423">
        <f t="shared" si="2"/>
        <v>2073621.4</v>
      </c>
      <c r="N72" s="423">
        <f t="shared" si="44"/>
        <v>2073621.4</v>
      </c>
      <c r="O72" s="423">
        <f t="shared" si="45"/>
        <v>7294485.5999999996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982676.54399999895</v>
      </c>
      <c r="V72" s="423">
        <f t="shared" si="11"/>
        <v>1542676.544</v>
      </c>
      <c r="W72" s="430">
        <v>12</v>
      </c>
      <c r="X72" s="423">
        <f t="shared" si="12"/>
        <v>128556.37866666701</v>
      </c>
      <c r="Y72" s="426"/>
      <c r="Z72" s="434">
        <f t="shared" si="13"/>
        <v>128556.37866666701</v>
      </c>
      <c r="AA72" s="435">
        <v>64596.9391466667</v>
      </c>
      <c r="AB72" s="435">
        <f t="shared" si="56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148</v>
      </c>
      <c r="C73" s="423">
        <v>596622.25</v>
      </c>
      <c r="D73" s="422">
        <v>12</v>
      </c>
      <c r="E73" s="423">
        <f t="shared" si="55"/>
        <v>7159467</v>
      </c>
      <c r="F73" s="423">
        <f>'[6]JANUARY 2024'!$V$78*12</f>
        <v>8019.7950000000001</v>
      </c>
      <c r="G73" s="424">
        <v>438357.36</v>
      </c>
      <c r="H73" s="426"/>
      <c r="I73" s="423">
        <f t="shared" si="41"/>
        <v>6713089.8449999997</v>
      </c>
      <c r="J73" s="423">
        <v>200000</v>
      </c>
      <c r="K73" s="423">
        <v>0.2</v>
      </c>
      <c r="L73" s="423">
        <f t="shared" si="1"/>
        <v>1342617.969</v>
      </c>
      <c r="M73" s="423">
        <f t="shared" si="2"/>
        <v>1542617.969</v>
      </c>
      <c r="N73" s="423">
        <f t="shared" si="44"/>
        <v>1988995.1240000001</v>
      </c>
      <c r="O73" s="423">
        <f t="shared" si="45"/>
        <v>5170471.8760000002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472913.25024000002</v>
      </c>
      <c r="V73" s="423">
        <f t="shared" si="11"/>
        <v>1032913.25024</v>
      </c>
      <c r="W73" s="430">
        <v>12</v>
      </c>
      <c r="X73" s="423">
        <f t="shared" si="12"/>
        <v>86076.104186666664</v>
      </c>
      <c r="Y73" s="426"/>
      <c r="Z73" s="434">
        <f t="shared" si="13"/>
        <v>86076.104186666664</v>
      </c>
      <c r="AA73" s="435">
        <v>56350.586186666696</v>
      </c>
      <c r="AB73" s="435">
        <f t="shared" si="56"/>
        <v>29725.517999999967</v>
      </c>
      <c r="AC73" s="435"/>
      <c r="AD73" s="435"/>
      <c r="AE73" s="435"/>
    </row>
    <row r="74" spans="1:31" ht="18.75">
      <c r="A74" s="420">
        <v>65</v>
      </c>
      <c r="B74" s="9" t="s">
        <v>151</v>
      </c>
      <c r="C74" s="423">
        <v>408901.5</v>
      </c>
      <c r="D74" s="422">
        <v>12</v>
      </c>
      <c r="E74" s="423">
        <f t="shared" si="55"/>
        <v>4906818</v>
      </c>
      <c r="F74" s="423"/>
      <c r="G74" s="424">
        <v>296545.44</v>
      </c>
      <c r="H74" s="426"/>
      <c r="I74" s="423">
        <f t="shared" si="41"/>
        <v>4610272.5599999996</v>
      </c>
      <c r="J74" s="423">
        <v>200000</v>
      </c>
      <c r="K74" s="423">
        <v>0.2</v>
      </c>
      <c r="L74" s="423">
        <f t="shared" si="1"/>
        <v>922054.51199999999</v>
      </c>
      <c r="M74" s="423">
        <f t="shared" si="2"/>
        <v>1122054.5120000001</v>
      </c>
      <c r="N74" s="423">
        <f t="shared" si="44"/>
        <v>1418599.952</v>
      </c>
      <c r="O74" s="423">
        <f t="shared" si="45"/>
        <v>3488218.048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336000</v>
      </c>
      <c r="U74" s="423">
        <f>0.24*(O74-3200000)</f>
        <v>69172.331520000007</v>
      </c>
      <c r="V74" s="423">
        <f t="shared" si="11"/>
        <v>629172.33152000001</v>
      </c>
      <c r="W74" s="430">
        <v>12</v>
      </c>
      <c r="X74" s="423">
        <f t="shared" si="12"/>
        <v>52431.027626666699</v>
      </c>
      <c r="Y74" s="426"/>
      <c r="Z74" s="434">
        <f t="shared" si="13"/>
        <v>52431.027626666699</v>
      </c>
      <c r="AA74" s="435">
        <v>17507.548966666702</v>
      </c>
      <c r="AB74" s="435">
        <f t="shared" si="56"/>
        <v>34923.478660000001</v>
      </c>
      <c r="AC74" s="435"/>
      <c r="AD74" s="435"/>
      <c r="AE74" s="435"/>
    </row>
    <row r="75" spans="1:31" ht="24.75" customHeight="1">
      <c r="A75" s="420"/>
      <c r="B75" s="9" t="s">
        <v>153</v>
      </c>
      <c r="C75" s="423">
        <v>363165.33333333302</v>
      </c>
      <c r="D75" s="422">
        <v>12</v>
      </c>
      <c r="E75" s="423">
        <f t="shared" si="55"/>
        <v>4357984</v>
      </c>
      <c r="F75" s="423"/>
      <c r="G75" s="424">
        <v>252638.72</v>
      </c>
      <c r="H75" s="426"/>
      <c r="I75" s="423">
        <f t="shared" si="41"/>
        <v>4105345.28</v>
      </c>
      <c r="J75" s="423">
        <v>200000</v>
      </c>
      <c r="K75" s="423">
        <v>0.2</v>
      </c>
      <c r="L75" s="423">
        <f t="shared" si="1"/>
        <v>821069.05599999998</v>
      </c>
      <c r="M75" s="423">
        <f t="shared" si="2"/>
        <v>1021069.056</v>
      </c>
      <c r="N75" s="423">
        <f t="shared" si="44"/>
        <v>1273707.7760000001</v>
      </c>
      <c r="O75" s="423">
        <f t="shared" si="45"/>
        <v>3084276.2239999999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311698.00704</v>
      </c>
      <c r="U75" s="423"/>
      <c r="V75" s="423">
        <f t="shared" si="11"/>
        <v>535698.00704000005</v>
      </c>
      <c r="W75" s="430">
        <v>12</v>
      </c>
      <c r="X75" s="423">
        <f t="shared" si="12"/>
        <v>44641.500586666698</v>
      </c>
      <c r="Y75" s="426"/>
      <c r="Z75" s="434">
        <f t="shared" si="13"/>
        <v>44641.500586666698</v>
      </c>
      <c r="AA75" s="435">
        <v>29058.4826046667</v>
      </c>
      <c r="AB75" s="435">
        <f t="shared" si="56"/>
        <v>15583.017981999999</v>
      </c>
      <c r="AC75" s="435"/>
      <c r="AD75" s="435"/>
      <c r="AE75" s="435"/>
    </row>
    <row r="76" spans="1:31" ht="18.75">
      <c r="A76" s="420"/>
      <c r="B76" s="9" t="s">
        <v>155</v>
      </c>
      <c r="C76" s="423">
        <v>324459.75</v>
      </c>
      <c r="D76" s="422">
        <v>12</v>
      </c>
      <c r="E76" s="423">
        <f t="shared" si="55"/>
        <v>3893517</v>
      </c>
      <c r="F76" s="423"/>
      <c r="G76" s="424">
        <v>215481.36</v>
      </c>
      <c r="H76" s="426"/>
      <c r="I76" s="423">
        <f t="shared" si="41"/>
        <v>3678035.64</v>
      </c>
      <c r="J76" s="423">
        <v>200000</v>
      </c>
      <c r="K76" s="423">
        <v>0.2</v>
      </c>
      <c r="L76" s="423">
        <f t="shared" ref="L76" si="57">I76*K76</f>
        <v>735607.12800000003</v>
      </c>
      <c r="M76" s="423">
        <f t="shared" ref="M76" si="58">J76+L76</f>
        <v>935607.12800000003</v>
      </c>
      <c r="N76" s="423">
        <f t="shared" si="44"/>
        <v>1151088.4879999999</v>
      </c>
      <c r="O76" s="423">
        <f t="shared" si="45"/>
        <v>2742428.5120000001</v>
      </c>
      <c r="P76" s="423">
        <f t="shared" ref="P76" si="59">IF(O76&lt;300000,0.07*O76,21000)</f>
        <v>21000</v>
      </c>
      <c r="Q76" s="423">
        <f t="shared" ref="Q76" si="60">IF((O76-300000)&lt;0,0,IF((O76-300000)&lt;300000,0.11*(O76-300000),33000))</f>
        <v>33000</v>
      </c>
      <c r="R76" s="423">
        <f t="shared" ref="R76" si="61">IF((O76-600000)&lt;0,0,IF((O76-600000)&lt;500000,0.15*(O76-600000),75000))</f>
        <v>75000</v>
      </c>
      <c r="S76" s="423">
        <f t="shared" ref="S76" si="62">IF((O76-1100000)&lt;0,0,IF((O76-1100000)&lt;500000,0.19*(O76-1100000),95000))</f>
        <v>95000</v>
      </c>
      <c r="T76" s="423">
        <f t="shared" ref="T76" si="63">IF((O76-1600000)&lt;0,0,IF((O76-1600000)&lt;1600000,0.21*(O76-1600000),336000))</f>
        <v>239909.98752</v>
      </c>
      <c r="U76" s="423"/>
      <c r="V76" s="423">
        <f t="shared" ref="V76" si="64">P76+Q76+R76+S76+T76+U76</f>
        <v>463909.98752000002</v>
      </c>
      <c r="W76" s="430">
        <v>12</v>
      </c>
      <c r="X76" s="423">
        <f t="shared" ref="X76" si="65">V76/W76</f>
        <v>38659.165626666698</v>
      </c>
      <c r="Y76" s="426"/>
      <c r="Z76" s="434">
        <f t="shared" ref="Z76" si="66">X76</f>
        <v>38659.165626666698</v>
      </c>
      <c r="AA76" s="435">
        <v>24751.170462666701</v>
      </c>
      <c r="AB76" s="435">
        <f t="shared" si="56"/>
        <v>13907.995164</v>
      </c>
      <c r="AC76" s="435"/>
      <c r="AD76" s="435"/>
      <c r="AE76" s="435"/>
    </row>
    <row r="77" spans="1:31" ht="18.75">
      <c r="A77" s="420"/>
      <c r="B77" s="18" t="s">
        <v>96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34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34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157</v>
      </c>
      <c r="C79" s="423"/>
      <c r="Z79" s="437"/>
      <c r="AB79" s="258" t="s">
        <v>520</v>
      </c>
      <c r="AC79" s="435"/>
      <c r="AD79" s="435"/>
      <c r="AE79" s="435"/>
    </row>
    <row r="80" spans="1:31" ht="18.75">
      <c r="A80" s="420">
        <v>68</v>
      </c>
      <c r="B80" s="9" t="s">
        <v>158</v>
      </c>
      <c r="C80" s="423">
        <v>880675.58333333302</v>
      </c>
      <c r="D80" s="422">
        <v>12</v>
      </c>
      <c r="E80" s="423">
        <f>C80*D80</f>
        <v>10568107</v>
      </c>
      <c r="F80" s="423"/>
      <c r="G80" s="424">
        <v>595848.56000000006</v>
      </c>
      <c r="H80" s="426"/>
      <c r="I80" s="423">
        <f t="shared" ref="I80:I89" si="67">E80-F80-G80-H80</f>
        <v>9972258.4399999995</v>
      </c>
      <c r="J80" s="423">
        <v>200000</v>
      </c>
      <c r="K80" s="423">
        <v>0.2</v>
      </c>
      <c r="L80" s="423">
        <f t="shared" ref="L80:L89" si="68">I80*K80</f>
        <v>1994451.6880000001</v>
      </c>
      <c r="M80" s="423">
        <f t="shared" ref="M80:M89" si="69">J80+L80</f>
        <v>2194451.6880000001</v>
      </c>
      <c r="N80" s="423">
        <f t="shared" ref="N80:N89" si="70">F80+G80+H80+M80</f>
        <v>2790300.2480000001</v>
      </c>
      <c r="O80" s="423">
        <f t="shared" ref="O80:O89" si="71">E80-N80</f>
        <v>7777806.7520000003</v>
      </c>
      <c r="P80" s="423">
        <f t="shared" ref="P80:P89" si="72">IF(O80&lt;300000,0.07*O80,21000)</f>
        <v>21000</v>
      </c>
      <c r="Q80" s="423">
        <f t="shared" ref="Q80:Q89" si="73">IF((O80-300000)&lt;0,0,IF((O80-300000)&lt;300000,0.11*(O80-300000),33000))</f>
        <v>33000</v>
      </c>
      <c r="R80" s="423">
        <f t="shared" ref="R80:R89" si="74">IF((O80-600000)&lt;0,0,IF((O80-600000)&lt;500000,0.15*(O80-600000),75000))</f>
        <v>75000</v>
      </c>
      <c r="S80" s="423">
        <f t="shared" ref="S80:S89" si="75">IF((O80-1100000)&lt;0,0,IF((O80-1100000)&lt;500000,0.19*(O80-1100000),95000))</f>
        <v>95000</v>
      </c>
      <c r="T80" s="423">
        <f t="shared" ref="T80:T89" si="76">IF((O80-1600000)&lt;0,0,IF((O80-1600000)&lt;1600000,0.21*(O80-1600000),336000))</f>
        <v>336000</v>
      </c>
      <c r="U80" s="423">
        <f t="shared" ref="U80:U88" si="77">24%*(O80-3200000)</f>
        <v>1098673.62048</v>
      </c>
      <c r="V80" s="423">
        <f t="shared" ref="V80:V89" si="78">P80+Q80+R80+S80+T80+U80</f>
        <v>1658673.62048</v>
      </c>
      <c r="W80" s="430">
        <v>12</v>
      </c>
      <c r="X80" s="423">
        <f t="shared" ref="X80:X89" si="79">V80/W80</f>
        <v>138222.801706667</v>
      </c>
      <c r="Y80" s="426"/>
      <c r="Z80" s="434">
        <f t="shared" ref="Z80:Z89" si="80">X80</f>
        <v>138222.801706667</v>
      </c>
      <c r="AA80" s="423">
        <v>99156.9391466667</v>
      </c>
      <c r="AB80" s="435">
        <f>Z80-AA80</f>
        <v>39065.862560000001</v>
      </c>
      <c r="AC80" s="435" t="s">
        <v>158</v>
      </c>
      <c r="AD80" s="435"/>
      <c r="AE80" s="435"/>
    </row>
    <row r="81" spans="1:31" ht="18.75">
      <c r="A81" s="420">
        <v>69</v>
      </c>
      <c r="B81" s="9" t="s">
        <v>159</v>
      </c>
      <c r="C81" s="423">
        <v>780675.58333333302</v>
      </c>
      <c r="D81" s="422">
        <v>12</v>
      </c>
      <c r="E81" s="423">
        <f t="shared" ref="E81:E87" si="81">C81*D81</f>
        <v>9368107</v>
      </c>
      <c r="F81" s="423">
        <f>'[6]JANUARY 2024'!$V$86*12</f>
        <v>10052.25</v>
      </c>
      <c r="G81" s="424">
        <v>595848.56000000006</v>
      </c>
      <c r="H81" s="426"/>
      <c r="I81" s="423">
        <f t="shared" si="67"/>
        <v>8762206.1899999995</v>
      </c>
      <c r="J81" s="423">
        <v>200000</v>
      </c>
      <c r="K81" s="423">
        <v>0.2</v>
      </c>
      <c r="L81" s="423">
        <f t="shared" si="68"/>
        <v>1752441.2379999999</v>
      </c>
      <c r="M81" s="423">
        <f t="shared" si="69"/>
        <v>1952441.2379999999</v>
      </c>
      <c r="N81" s="423">
        <f t="shared" si="70"/>
        <v>2558342.048</v>
      </c>
      <c r="O81" s="423">
        <f t="shared" si="71"/>
        <v>6809764.9519999996</v>
      </c>
      <c r="P81" s="423">
        <f t="shared" si="72"/>
        <v>21000</v>
      </c>
      <c r="Q81" s="423">
        <f t="shared" si="73"/>
        <v>33000</v>
      </c>
      <c r="R81" s="423">
        <f t="shared" si="74"/>
        <v>75000</v>
      </c>
      <c r="S81" s="423">
        <f t="shared" si="75"/>
        <v>95000</v>
      </c>
      <c r="T81" s="423">
        <f t="shared" si="76"/>
        <v>336000</v>
      </c>
      <c r="U81" s="423">
        <f t="shared" si="77"/>
        <v>866343.58847999992</v>
      </c>
      <c r="V81" s="423">
        <f t="shared" si="78"/>
        <v>1426343.5884799999</v>
      </c>
      <c r="W81" s="430">
        <v>12</v>
      </c>
      <c r="X81" s="423">
        <f t="shared" si="79"/>
        <v>118861.96570666666</v>
      </c>
      <c r="Y81" s="426"/>
      <c r="Z81" s="434">
        <f t="shared" si="80"/>
        <v>118861.96570666666</v>
      </c>
      <c r="AA81" s="423">
        <v>98996.103146666705</v>
      </c>
      <c r="AB81" s="435">
        <f t="shared" ref="AB81:AB87" si="82">Z81-AA81</f>
        <v>19865.86255999995</v>
      </c>
      <c r="AC81" s="435" t="s">
        <v>159</v>
      </c>
      <c r="AD81" s="435"/>
      <c r="AE81" s="435"/>
    </row>
    <row r="82" spans="1:31" ht="37.5">
      <c r="A82" s="420">
        <v>70</v>
      </c>
      <c r="B82" s="9" t="s">
        <v>160</v>
      </c>
      <c r="C82" s="423">
        <v>742118.08333333302</v>
      </c>
      <c r="D82" s="422">
        <v>12</v>
      </c>
      <c r="E82" s="423">
        <f t="shared" si="81"/>
        <v>8905417</v>
      </c>
      <c r="F82" s="423"/>
      <c r="G82" s="424">
        <v>558833.36</v>
      </c>
      <c r="H82" s="426"/>
      <c r="I82" s="423">
        <f t="shared" si="67"/>
        <v>8346583.6399999997</v>
      </c>
      <c r="J82" s="423">
        <v>200000</v>
      </c>
      <c r="K82" s="423">
        <v>0.2</v>
      </c>
      <c r="L82" s="423">
        <f t="shared" si="68"/>
        <v>1669316.7279999999</v>
      </c>
      <c r="M82" s="423">
        <f t="shared" si="69"/>
        <v>1869316.7279999999</v>
      </c>
      <c r="N82" s="423">
        <f t="shared" si="70"/>
        <v>2428150.088</v>
      </c>
      <c r="O82" s="423">
        <f t="shared" si="71"/>
        <v>6477266.9119999995</v>
      </c>
      <c r="P82" s="423">
        <f t="shared" si="72"/>
        <v>21000</v>
      </c>
      <c r="Q82" s="423">
        <f t="shared" si="73"/>
        <v>33000</v>
      </c>
      <c r="R82" s="423">
        <f t="shared" si="74"/>
        <v>75000</v>
      </c>
      <c r="S82" s="423">
        <f t="shared" si="75"/>
        <v>95000</v>
      </c>
      <c r="T82" s="423">
        <f t="shared" si="76"/>
        <v>336000</v>
      </c>
      <c r="U82" s="423">
        <f t="shared" si="77"/>
        <v>786544.05888000003</v>
      </c>
      <c r="V82" s="423">
        <f t="shared" si="78"/>
        <v>1346544.0588799999</v>
      </c>
      <c r="W82" s="430">
        <v>12</v>
      </c>
      <c r="X82" s="423">
        <f t="shared" si="79"/>
        <v>112212.004906667</v>
      </c>
      <c r="Y82" s="426"/>
      <c r="Z82" s="434">
        <f t="shared" si="80"/>
        <v>112212.004906667</v>
      </c>
      <c r="AA82" s="423">
        <v>79956.9391466667</v>
      </c>
      <c r="AB82" s="435">
        <f t="shared" si="82"/>
        <v>32255.065760000001</v>
      </c>
      <c r="AC82" s="435" t="s">
        <v>160</v>
      </c>
      <c r="AD82" s="435"/>
      <c r="AE82" s="435"/>
    </row>
    <row r="83" spans="1:31" ht="18.75">
      <c r="A83" s="420">
        <v>71</v>
      </c>
      <c r="B83" s="9" t="s">
        <v>161</v>
      </c>
      <c r="C83" s="423">
        <v>561804.91666666698</v>
      </c>
      <c r="D83" s="422">
        <v>12</v>
      </c>
      <c r="E83" s="423">
        <f t="shared" si="81"/>
        <v>6741659</v>
      </c>
      <c r="F83" s="423"/>
      <c r="G83" s="424">
        <v>424132.72</v>
      </c>
      <c r="H83" s="426"/>
      <c r="I83" s="423">
        <f t="shared" si="67"/>
        <v>6317526.2800000003</v>
      </c>
      <c r="J83" s="423">
        <v>200000</v>
      </c>
      <c r="K83" s="423">
        <v>0.2</v>
      </c>
      <c r="L83" s="423">
        <f t="shared" si="68"/>
        <v>1263505.2560000001</v>
      </c>
      <c r="M83" s="423">
        <f t="shared" si="69"/>
        <v>1463505.2560000001</v>
      </c>
      <c r="N83" s="423">
        <f t="shared" si="70"/>
        <v>1887637.976</v>
      </c>
      <c r="O83" s="423">
        <f t="shared" si="71"/>
        <v>4854021.0240000002</v>
      </c>
      <c r="P83" s="423">
        <f t="shared" si="72"/>
        <v>21000</v>
      </c>
      <c r="Q83" s="423">
        <f t="shared" si="73"/>
        <v>33000</v>
      </c>
      <c r="R83" s="423">
        <f t="shared" si="74"/>
        <v>75000</v>
      </c>
      <c r="S83" s="423">
        <f t="shared" si="75"/>
        <v>95000</v>
      </c>
      <c r="T83" s="423">
        <f t="shared" si="76"/>
        <v>336000</v>
      </c>
      <c r="U83" s="423">
        <f t="shared" si="77"/>
        <v>396965.04576000001</v>
      </c>
      <c r="V83" s="423">
        <f t="shared" si="78"/>
        <v>956965.04576000001</v>
      </c>
      <c r="W83" s="430">
        <v>12</v>
      </c>
      <c r="X83" s="423">
        <f t="shared" si="79"/>
        <v>79747.087146666701</v>
      </c>
      <c r="Y83" s="426"/>
      <c r="Z83" s="434">
        <f t="shared" si="80"/>
        <v>79747.087146666701</v>
      </c>
      <c r="AA83" s="423">
        <v>75574.677290666703</v>
      </c>
      <c r="AB83" s="435">
        <f t="shared" si="82"/>
        <v>4172.4098559999802</v>
      </c>
      <c r="AC83" s="435" t="s">
        <v>161</v>
      </c>
      <c r="AD83" s="435"/>
      <c r="AE83" s="435"/>
    </row>
    <row r="84" spans="1:31" ht="18.75">
      <c r="A84" s="420">
        <v>72</v>
      </c>
      <c r="B84" s="9" t="s">
        <v>162</v>
      </c>
      <c r="C84" s="423">
        <v>548915.91666666698</v>
      </c>
      <c r="D84" s="422">
        <v>12</v>
      </c>
      <c r="E84" s="423">
        <f t="shared" si="81"/>
        <v>6586991</v>
      </c>
      <c r="F84" s="423"/>
      <c r="G84" s="424">
        <v>411759.28</v>
      </c>
      <c r="H84" s="426"/>
      <c r="I84" s="423">
        <f t="shared" si="67"/>
        <v>6175231.7199999997</v>
      </c>
      <c r="J84" s="423">
        <v>200000</v>
      </c>
      <c r="K84" s="423">
        <v>0.2</v>
      </c>
      <c r="L84" s="423">
        <f t="shared" si="68"/>
        <v>1235046.344</v>
      </c>
      <c r="M84" s="423">
        <f t="shared" si="69"/>
        <v>1435046.344</v>
      </c>
      <c r="N84" s="423">
        <f t="shared" si="70"/>
        <v>1846805.6240000001</v>
      </c>
      <c r="O84" s="423">
        <f t="shared" si="71"/>
        <v>4740185.3760000002</v>
      </c>
      <c r="P84" s="423">
        <f t="shared" si="72"/>
        <v>21000</v>
      </c>
      <c r="Q84" s="423">
        <f t="shared" si="73"/>
        <v>33000</v>
      </c>
      <c r="R84" s="423">
        <f t="shared" si="74"/>
        <v>75000</v>
      </c>
      <c r="S84" s="423">
        <f t="shared" si="75"/>
        <v>95000</v>
      </c>
      <c r="T84" s="423">
        <f t="shared" si="76"/>
        <v>336000</v>
      </c>
      <c r="U84" s="423">
        <f t="shared" si="77"/>
        <v>369644.49024000001</v>
      </c>
      <c r="V84" s="423">
        <f t="shared" si="78"/>
        <v>929644.49023999996</v>
      </c>
      <c r="W84" s="430">
        <v>12</v>
      </c>
      <c r="X84" s="423">
        <f t="shared" si="79"/>
        <v>77470.374186666697</v>
      </c>
      <c r="Y84" s="426"/>
      <c r="Z84" s="434">
        <f t="shared" si="80"/>
        <v>77470.374186666697</v>
      </c>
      <c r="AA84" s="423">
        <v>50985.977546666698</v>
      </c>
      <c r="AB84" s="435">
        <f t="shared" si="82"/>
        <v>26484.396639999999</v>
      </c>
      <c r="AC84" s="435" t="s">
        <v>162</v>
      </c>
      <c r="AD84" s="435"/>
      <c r="AE84" s="435"/>
    </row>
    <row r="85" spans="1:31" ht="37.5">
      <c r="A85" s="420">
        <v>73</v>
      </c>
      <c r="B85" s="9" t="s">
        <v>163</v>
      </c>
      <c r="C85" s="423">
        <v>568870.75</v>
      </c>
      <c r="D85" s="422">
        <v>12</v>
      </c>
      <c r="E85" s="423">
        <f t="shared" si="81"/>
        <v>6826449</v>
      </c>
      <c r="F85" s="423"/>
      <c r="G85" s="424">
        <v>411715.92</v>
      </c>
      <c r="H85" s="426"/>
      <c r="I85" s="423">
        <f t="shared" si="67"/>
        <v>6414733.0800000001</v>
      </c>
      <c r="J85" s="423">
        <v>200000</v>
      </c>
      <c r="K85" s="423">
        <v>0.2</v>
      </c>
      <c r="L85" s="423">
        <f t="shared" si="68"/>
        <v>1282946.6159999999</v>
      </c>
      <c r="M85" s="423">
        <f t="shared" si="69"/>
        <v>1482946.6159999999</v>
      </c>
      <c r="N85" s="423">
        <f t="shared" si="70"/>
        <v>1894662.5360000001</v>
      </c>
      <c r="O85" s="423">
        <f t="shared" si="71"/>
        <v>4931786.4639999997</v>
      </c>
      <c r="P85" s="423">
        <f t="shared" si="72"/>
        <v>21000</v>
      </c>
      <c r="Q85" s="423">
        <f t="shared" si="73"/>
        <v>33000</v>
      </c>
      <c r="R85" s="423">
        <f t="shared" si="74"/>
        <v>75000</v>
      </c>
      <c r="S85" s="423">
        <f t="shared" si="75"/>
        <v>95000</v>
      </c>
      <c r="T85" s="423">
        <f t="shared" si="76"/>
        <v>336000</v>
      </c>
      <c r="U85" s="423">
        <f t="shared" si="77"/>
        <v>415628.75135999999</v>
      </c>
      <c r="V85" s="423">
        <f t="shared" si="78"/>
        <v>975628.75135999999</v>
      </c>
      <c r="W85" s="430">
        <v>12</v>
      </c>
      <c r="X85" s="423">
        <f t="shared" si="79"/>
        <v>81302.3959466667</v>
      </c>
      <c r="Y85" s="426"/>
      <c r="Z85" s="423">
        <f t="shared" si="80"/>
        <v>81302.3959466667</v>
      </c>
      <c r="AA85" s="434">
        <v>49548.776186666699</v>
      </c>
      <c r="AB85" s="435">
        <f t="shared" si="82"/>
        <v>31753.619760000001</v>
      </c>
      <c r="AC85" s="435" t="s">
        <v>163</v>
      </c>
      <c r="AD85" s="435"/>
      <c r="AE85" s="435"/>
    </row>
    <row r="86" spans="1:31" ht="18.75">
      <c r="A86" s="420">
        <v>74</v>
      </c>
      <c r="B86" s="9" t="s">
        <v>165</v>
      </c>
      <c r="C86" s="423">
        <v>475703.83333333302</v>
      </c>
      <c r="D86" s="422">
        <v>12</v>
      </c>
      <c r="E86" s="423">
        <f t="shared" si="81"/>
        <v>5708446</v>
      </c>
      <c r="F86" s="423"/>
      <c r="G86" s="429">
        <f>29256.3066666667*12</f>
        <v>351075.68</v>
      </c>
      <c r="H86" s="426"/>
      <c r="I86" s="423">
        <f t="shared" si="67"/>
        <v>5357370.32</v>
      </c>
      <c r="J86" s="423">
        <v>200000</v>
      </c>
      <c r="K86" s="423">
        <v>0.2</v>
      </c>
      <c r="L86" s="423">
        <f t="shared" si="68"/>
        <v>1071474.064</v>
      </c>
      <c r="M86" s="423">
        <f t="shared" si="69"/>
        <v>1271474.064</v>
      </c>
      <c r="N86" s="423">
        <f t="shared" si="70"/>
        <v>1622549.7439999999</v>
      </c>
      <c r="O86" s="423">
        <f t="shared" si="71"/>
        <v>4085896.2560000001</v>
      </c>
      <c r="P86" s="423">
        <f t="shared" si="72"/>
        <v>21000</v>
      </c>
      <c r="Q86" s="423">
        <f t="shared" si="73"/>
        <v>33000</v>
      </c>
      <c r="R86" s="423">
        <f t="shared" si="74"/>
        <v>75000</v>
      </c>
      <c r="S86" s="423">
        <f t="shared" si="75"/>
        <v>95000</v>
      </c>
      <c r="T86" s="423">
        <f t="shared" si="76"/>
        <v>336000</v>
      </c>
      <c r="U86" s="423">
        <f t="shared" si="77"/>
        <v>212615.10144</v>
      </c>
      <c r="V86" s="423">
        <f t="shared" si="78"/>
        <v>772615.10144</v>
      </c>
      <c r="W86" s="430">
        <v>12</v>
      </c>
      <c r="X86" s="423">
        <f t="shared" si="79"/>
        <v>64384.591786666701</v>
      </c>
      <c r="Y86" s="426"/>
      <c r="Z86" s="434">
        <f t="shared" si="80"/>
        <v>64384.591786666701</v>
      </c>
      <c r="AA86" s="423">
        <v>53384.053562666697</v>
      </c>
      <c r="AB86" s="435">
        <f t="shared" si="82"/>
        <v>11000.538224</v>
      </c>
      <c r="AC86" s="435" t="s">
        <v>165</v>
      </c>
      <c r="AD86" s="435"/>
      <c r="AE86" s="435"/>
    </row>
    <row r="87" spans="1:31" ht="24" customHeight="1">
      <c r="A87" s="420">
        <v>75</v>
      </c>
      <c r="B87" s="9" t="s">
        <v>166</v>
      </c>
      <c r="C87" s="423">
        <v>510248.91666666698</v>
      </c>
      <c r="D87" s="422">
        <v>12</v>
      </c>
      <c r="E87" s="423">
        <f t="shared" si="81"/>
        <v>6122987</v>
      </c>
      <c r="F87" s="423">
        <f>'[6]JANUARY 2024'!$V$92*12</f>
        <v>6922.4969999999994</v>
      </c>
      <c r="G87" s="424">
        <v>374638.96</v>
      </c>
      <c r="H87" s="426"/>
      <c r="I87" s="423">
        <f t="shared" si="67"/>
        <v>5741425.5429999996</v>
      </c>
      <c r="J87" s="423">
        <v>200000</v>
      </c>
      <c r="K87" s="423">
        <v>0.2</v>
      </c>
      <c r="L87" s="423">
        <f t="shared" si="68"/>
        <v>1148285.1085999999</v>
      </c>
      <c r="M87" s="423">
        <f t="shared" si="69"/>
        <v>1348285.1085999999</v>
      </c>
      <c r="N87" s="423">
        <f t="shared" si="70"/>
        <v>1729846.5655999999</v>
      </c>
      <c r="O87" s="423">
        <f t="shared" si="71"/>
        <v>4393140.4343999997</v>
      </c>
      <c r="P87" s="423">
        <f t="shared" si="72"/>
        <v>21000</v>
      </c>
      <c r="Q87" s="423">
        <f t="shared" si="73"/>
        <v>33000</v>
      </c>
      <c r="R87" s="423">
        <f t="shared" si="74"/>
        <v>75000</v>
      </c>
      <c r="S87" s="423">
        <f t="shared" si="75"/>
        <v>95000</v>
      </c>
      <c r="T87" s="423">
        <f t="shared" si="76"/>
        <v>336000</v>
      </c>
      <c r="U87" s="423">
        <f t="shared" si="77"/>
        <v>286353.70425599994</v>
      </c>
      <c r="V87" s="423">
        <f t="shared" si="78"/>
        <v>846353.704256</v>
      </c>
      <c r="W87" s="430">
        <v>12</v>
      </c>
      <c r="X87" s="423">
        <f t="shared" si="79"/>
        <v>70529.475354666662</v>
      </c>
      <c r="Y87" s="426"/>
      <c r="Z87" s="423">
        <f t="shared" si="80"/>
        <v>70529.475354666662</v>
      </c>
      <c r="AA87" s="438">
        <v>41242.0361406667</v>
      </c>
      <c r="AB87" s="435">
        <f t="shared" si="82"/>
        <v>29287.439213999962</v>
      </c>
      <c r="AC87" s="435" t="s">
        <v>166</v>
      </c>
      <c r="AD87" s="435"/>
      <c r="AE87" s="435"/>
    </row>
    <row r="88" spans="1:31" ht="18.75">
      <c r="A88" s="420">
        <v>76</v>
      </c>
      <c r="B88" s="9" t="s">
        <v>169</v>
      </c>
      <c r="C88" s="423">
        <v>400965.58333333302</v>
      </c>
      <c r="D88" s="422">
        <v>12</v>
      </c>
      <c r="E88" s="423">
        <f t="shared" ref="E88:E89" si="83">C88*D88</f>
        <v>4811587</v>
      </c>
      <c r="F88" s="423"/>
      <c r="G88" s="424">
        <v>288926.96000000002</v>
      </c>
      <c r="H88" s="426"/>
      <c r="I88" s="423">
        <f t="shared" si="67"/>
        <v>4522660.04</v>
      </c>
      <c r="J88" s="423">
        <v>200000</v>
      </c>
      <c r="K88" s="423">
        <v>0.2</v>
      </c>
      <c r="L88" s="423">
        <f t="shared" si="68"/>
        <v>904532.00800000003</v>
      </c>
      <c r="M88" s="423">
        <f t="shared" si="69"/>
        <v>1104532.0079999999</v>
      </c>
      <c r="N88" s="423">
        <f t="shared" si="70"/>
        <v>1393458.9680000001</v>
      </c>
      <c r="O88" s="423">
        <f t="shared" si="71"/>
        <v>3418128.0320000001</v>
      </c>
      <c r="P88" s="423">
        <f t="shared" si="72"/>
        <v>21000</v>
      </c>
      <c r="Q88" s="423">
        <f t="shared" si="73"/>
        <v>33000</v>
      </c>
      <c r="R88" s="423">
        <f t="shared" si="74"/>
        <v>75000</v>
      </c>
      <c r="S88" s="423">
        <f t="shared" si="75"/>
        <v>95000</v>
      </c>
      <c r="T88" s="423">
        <f t="shared" si="76"/>
        <v>336000</v>
      </c>
      <c r="U88" s="423">
        <f t="shared" si="77"/>
        <v>52350.727680000004</v>
      </c>
      <c r="V88" s="423">
        <f t="shared" si="78"/>
        <v>612350.72768000001</v>
      </c>
      <c r="W88" s="430">
        <v>12</v>
      </c>
      <c r="X88" s="423">
        <f t="shared" si="79"/>
        <v>51029.227306666697</v>
      </c>
      <c r="Y88" s="426"/>
      <c r="Z88" s="434">
        <f t="shared" si="80"/>
        <v>51029.227306666697</v>
      </c>
      <c r="AA88" s="423">
        <v>45414.4562526667</v>
      </c>
      <c r="AB88" s="435">
        <f t="shared" ref="AB88:AB89" si="84">Z88-AA88</f>
        <v>5614.7710539999998</v>
      </c>
      <c r="AC88" s="435" t="s">
        <v>169</v>
      </c>
      <c r="AD88" s="435"/>
      <c r="AE88" s="435"/>
    </row>
    <row r="89" spans="1:31" ht="18.75">
      <c r="A89" s="420"/>
      <c r="B89" s="9" t="s">
        <v>171</v>
      </c>
      <c r="C89" s="423">
        <v>330631.91666666698</v>
      </c>
      <c r="D89" s="422">
        <v>12</v>
      </c>
      <c r="E89" s="423">
        <f t="shared" si="83"/>
        <v>3967583</v>
      </c>
      <c r="F89" s="423"/>
      <c r="G89" s="424">
        <v>221406.64</v>
      </c>
      <c r="H89" s="426"/>
      <c r="I89" s="423">
        <f t="shared" si="67"/>
        <v>3746176.36</v>
      </c>
      <c r="J89" s="423">
        <v>200000</v>
      </c>
      <c r="K89" s="423">
        <v>0.2</v>
      </c>
      <c r="L89" s="423">
        <f t="shared" si="68"/>
        <v>749235.272</v>
      </c>
      <c r="M89" s="423">
        <f t="shared" si="69"/>
        <v>949235.272</v>
      </c>
      <c r="N89" s="423">
        <f t="shared" si="70"/>
        <v>1170641.912</v>
      </c>
      <c r="O89" s="423">
        <f t="shared" si="71"/>
        <v>2796941.088</v>
      </c>
      <c r="P89" s="423">
        <f t="shared" si="72"/>
        <v>21000</v>
      </c>
      <c r="Q89" s="423">
        <f t="shared" si="73"/>
        <v>33000</v>
      </c>
      <c r="R89" s="423">
        <f t="shared" si="74"/>
        <v>75000</v>
      </c>
      <c r="S89" s="423">
        <f t="shared" si="75"/>
        <v>95000</v>
      </c>
      <c r="T89" s="423">
        <f t="shared" si="76"/>
        <v>251357.62848000001</v>
      </c>
      <c r="U89" s="423"/>
      <c r="V89" s="423">
        <f t="shared" si="78"/>
        <v>475357.62848000001</v>
      </c>
      <c r="W89" s="430">
        <v>12</v>
      </c>
      <c r="X89" s="423">
        <f t="shared" si="79"/>
        <v>39613.135706666697</v>
      </c>
      <c r="Y89" s="426"/>
      <c r="Z89" s="434">
        <f t="shared" si="80"/>
        <v>39613.135706666697</v>
      </c>
      <c r="AA89" s="423">
        <v>33825.986562666702</v>
      </c>
      <c r="AB89" s="435">
        <f t="shared" si="84"/>
        <v>5787.149144</v>
      </c>
      <c r="AC89" s="435" t="s">
        <v>171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34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34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174</v>
      </c>
      <c r="C92" s="423"/>
      <c r="Z92" s="437"/>
      <c r="AC92" s="435"/>
      <c r="AD92" s="435"/>
      <c r="AE92" s="435"/>
    </row>
    <row r="93" spans="1:31" ht="37.5">
      <c r="A93" s="420">
        <v>79</v>
      </c>
      <c r="B93" s="12" t="s">
        <v>175</v>
      </c>
      <c r="C93" s="423">
        <v>852373.16666666698</v>
      </c>
      <c r="D93" s="422">
        <v>12</v>
      </c>
      <c r="E93" s="423">
        <f>C93*D93</f>
        <v>10228478</v>
      </c>
      <c r="F93" s="423">
        <f>'[6]JANUARY 2024'!$V$98*12</f>
        <v>12795.951000000001</v>
      </c>
      <c r="G93" s="424">
        <v>731878.24</v>
      </c>
      <c r="H93" s="426"/>
      <c r="I93" s="423">
        <f>E93-F93-G93-H93</f>
        <v>9483803.8090000004</v>
      </c>
      <c r="J93" s="423">
        <v>200000</v>
      </c>
      <c r="K93" s="423">
        <v>0.2</v>
      </c>
      <c r="L93" s="423">
        <f>I93*K93</f>
        <v>1896760.7618000002</v>
      </c>
      <c r="M93" s="423">
        <f>J93+L93</f>
        <v>2096760.7618000002</v>
      </c>
      <c r="N93" s="423">
        <f>F93+G93+H93+M93</f>
        <v>2841434.9528000001</v>
      </c>
      <c r="O93" s="423">
        <f>E93-N93</f>
        <v>7387043.0471999999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1004890.3313279999</v>
      </c>
      <c r="V93" s="423">
        <f>P93+Q93+R93+S93+T93+U93</f>
        <v>1564890.3313279999</v>
      </c>
      <c r="W93" s="430">
        <v>12</v>
      </c>
      <c r="X93" s="423">
        <f>V93/W93</f>
        <v>130407.52761066666</v>
      </c>
      <c r="Y93" s="426"/>
      <c r="Z93" s="434">
        <f>X93</f>
        <v>130407.52761066666</v>
      </c>
      <c r="AA93" s="435">
        <v>82423.216202666707</v>
      </c>
      <c r="AB93" s="435">
        <f>Z93-AA93</f>
        <v>47984.31140799995</v>
      </c>
      <c r="AC93" s="435" t="s">
        <v>175</v>
      </c>
      <c r="AD93" s="435"/>
      <c r="AE93" s="435"/>
    </row>
    <row r="94" spans="1:31" ht="18.75">
      <c r="A94" s="420">
        <v>80</v>
      </c>
      <c r="B94" s="9" t="s">
        <v>178</v>
      </c>
      <c r="C94" s="423">
        <v>526622.25</v>
      </c>
      <c r="D94" s="422">
        <v>12</v>
      </c>
      <c r="E94" s="423">
        <f t="shared" ref="E94:E96" si="85">C94*D94</f>
        <v>6319467</v>
      </c>
      <c r="F94" s="423"/>
      <c r="G94" s="424">
        <v>438357.36</v>
      </c>
      <c r="H94" s="426"/>
      <c r="I94" s="423">
        <f>E94-F94-G94-H94</f>
        <v>5881109.6399999997</v>
      </c>
      <c r="J94" s="423">
        <v>200000</v>
      </c>
      <c r="K94" s="423">
        <v>0.2</v>
      </c>
      <c r="L94" s="423">
        <f>I94*K94</f>
        <v>1176221.9280000001</v>
      </c>
      <c r="M94" s="423">
        <f>J94+L94</f>
        <v>1376221.9280000001</v>
      </c>
      <c r="N94" s="423">
        <f>F94+G94+H94+M94</f>
        <v>1814579.2879999999</v>
      </c>
      <c r="O94" s="423">
        <f>E94-N94</f>
        <v>4504887.7120000003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336000</v>
      </c>
      <c r="U94" s="423">
        <f t="shared" ref="U94:U95" si="86">24%*(O94-3200000)</f>
        <v>313173.05088</v>
      </c>
      <c r="V94" s="423">
        <f>P94+Q94+R94+S94+T94+U94</f>
        <v>873173.05088</v>
      </c>
      <c r="W94" s="430">
        <v>12</v>
      </c>
      <c r="X94" s="423">
        <f>V94/W94</f>
        <v>72764.420906666695</v>
      </c>
      <c r="Y94" s="426"/>
      <c r="Z94" s="434">
        <f>X94</f>
        <v>72764.420906666695</v>
      </c>
      <c r="AA94" s="435">
        <v>82627.951418666693</v>
      </c>
      <c r="AB94" s="435">
        <f t="shared" ref="AB94:AB96" si="87">Z94-AA94</f>
        <v>-9863.5305120000303</v>
      </c>
      <c r="AC94" s="435" t="s">
        <v>178</v>
      </c>
      <c r="AD94" s="435"/>
      <c r="AE94" s="435"/>
    </row>
    <row r="95" spans="1:31" ht="37.5">
      <c r="A95" s="420">
        <v>81</v>
      </c>
      <c r="B95" s="9" t="s">
        <v>182</v>
      </c>
      <c r="C95" s="423">
        <v>437895.16666666698</v>
      </c>
      <c r="D95" s="422">
        <v>12</v>
      </c>
      <c r="E95" s="423">
        <f t="shared" si="85"/>
        <v>5254742</v>
      </c>
      <c r="F95" s="423"/>
      <c r="G95" s="424">
        <v>362779.36</v>
      </c>
      <c r="H95" s="426"/>
      <c r="I95" s="423">
        <f>E95-F95-G95-H95</f>
        <v>4891962.6399999997</v>
      </c>
      <c r="J95" s="423">
        <v>200000</v>
      </c>
      <c r="K95" s="423">
        <v>0.2</v>
      </c>
      <c r="L95" s="423">
        <f>I95*K95</f>
        <v>978392.52800000005</v>
      </c>
      <c r="M95" s="423">
        <f>J95+L95</f>
        <v>1178392.5279999999</v>
      </c>
      <c r="N95" s="423">
        <f>F95+G95+H95+M95</f>
        <v>1541171.888</v>
      </c>
      <c r="O95" s="423">
        <f>E95-N95</f>
        <v>3713570.1120000002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336000</v>
      </c>
      <c r="U95" s="423">
        <f t="shared" si="86"/>
        <v>123256.82687999999</v>
      </c>
      <c r="V95" s="423">
        <f>P95+Q95+R95+S95+T95+U95</f>
        <v>683256.82687999995</v>
      </c>
      <c r="W95" s="430">
        <v>12</v>
      </c>
      <c r="X95" s="423">
        <f>V95/W95</f>
        <v>56938.068906666696</v>
      </c>
      <c r="Y95" s="426"/>
      <c r="Z95" s="434">
        <f>X95</f>
        <v>56938.068906666696</v>
      </c>
      <c r="AA95" s="435">
        <v>43492.373376666699</v>
      </c>
      <c r="AB95" s="435">
        <f t="shared" si="87"/>
        <v>13445.695530000001</v>
      </c>
      <c r="AC95" s="435" t="s">
        <v>182</v>
      </c>
      <c r="AD95" s="435"/>
      <c r="AE95" s="435"/>
    </row>
    <row r="96" spans="1:31" ht="18.75">
      <c r="A96" s="420"/>
      <c r="B96" s="9" t="s">
        <v>184</v>
      </c>
      <c r="C96" s="423">
        <v>360965.58333333302</v>
      </c>
      <c r="D96" s="422">
        <v>12</v>
      </c>
      <c r="E96" s="423">
        <f t="shared" si="85"/>
        <v>4331587</v>
      </c>
      <c r="F96" s="423"/>
      <c r="G96" s="424">
        <v>288926.96000000002</v>
      </c>
      <c r="H96" s="426"/>
      <c r="I96" s="423">
        <f>E96-F96-G96-H96</f>
        <v>4042660.04</v>
      </c>
      <c r="J96" s="423">
        <v>200000</v>
      </c>
      <c r="K96" s="423">
        <v>0.2</v>
      </c>
      <c r="L96" s="423">
        <f>I96*K96</f>
        <v>808532.00800000003</v>
      </c>
      <c r="M96" s="423">
        <f>J96+L96</f>
        <v>1008532.008</v>
      </c>
      <c r="N96" s="423">
        <f>F96+G96+H96+M96</f>
        <v>1297458.9680000001</v>
      </c>
      <c r="O96" s="423">
        <f>E96-N96</f>
        <v>3034128.0320000001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301166.88672000001</v>
      </c>
      <c r="U96" s="423"/>
      <c r="V96" s="423">
        <f>P96+Q96+R96+S96+T96+U96</f>
        <v>525166.88671999995</v>
      </c>
      <c r="W96" s="430">
        <v>12</v>
      </c>
      <c r="X96" s="423">
        <f>V96/W96</f>
        <v>43763.907226666699</v>
      </c>
      <c r="Y96" s="426"/>
      <c r="Z96" s="434">
        <f>X96</f>
        <v>43763.907226666699</v>
      </c>
      <c r="AA96" s="435">
        <v>34968.882414666703</v>
      </c>
      <c r="AB96" s="435">
        <f t="shared" si="87"/>
        <v>8795.0248119999997</v>
      </c>
      <c r="AC96" s="435" t="s">
        <v>184</v>
      </c>
      <c r="AD96" s="435"/>
      <c r="AE96" s="435"/>
    </row>
    <row r="97" spans="1:31" ht="18.75">
      <c r="A97" s="420"/>
      <c r="B97" s="18" t="s">
        <v>96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34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Z98" s="437"/>
      <c r="AC98" s="435"/>
      <c r="AD98" s="435"/>
      <c r="AE98" s="435"/>
    </row>
    <row r="99" spans="1:31" ht="37.5">
      <c r="A99" s="420">
        <v>84</v>
      </c>
      <c r="B99" s="18" t="s">
        <v>186</v>
      </c>
      <c r="C99" s="423"/>
      <c r="G99" s="258">
        <v>0</v>
      </c>
      <c r="Z99" s="437"/>
      <c r="AB99" s="258" t="s">
        <v>516</v>
      </c>
      <c r="AC99" s="435"/>
      <c r="AD99" s="435"/>
      <c r="AE99" s="435"/>
    </row>
    <row r="100" spans="1:31" ht="18.75">
      <c r="A100" s="420">
        <v>85</v>
      </c>
      <c r="B100" s="9" t="s">
        <v>187</v>
      </c>
      <c r="C100" s="423">
        <v>1635720</v>
      </c>
      <c r="D100" s="422">
        <v>12</v>
      </c>
      <c r="E100" s="423">
        <f>C100*D100</f>
        <v>19628640</v>
      </c>
      <c r="F100" s="423"/>
      <c r="G100" s="424">
        <v>1378291.2</v>
      </c>
      <c r="H100" s="426"/>
      <c r="I100" s="423">
        <f t="shared" ref="I100:I105" si="88">E100-F100-G100-H100</f>
        <v>18250348.800000001</v>
      </c>
      <c r="J100" s="423">
        <v>200000</v>
      </c>
      <c r="K100" s="423">
        <v>0.2</v>
      </c>
      <c r="L100" s="423">
        <f t="shared" ref="L100:L106" si="89">I100*K100</f>
        <v>3650069.76</v>
      </c>
      <c r="M100" s="423">
        <f t="shared" ref="M100:M106" si="90">J100+L100</f>
        <v>3850069.76</v>
      </c>
      <c r="N100" s="423">
        <f t="shared" ref="N100:N105" si="91">F100+G100+H100+M100</f>
        <v>5228360.96</v>
      </c>
      <c r="O100" s="423">
        <f t="shared" ref="O100:O106" si="92">E100-N100</f>
        <v>14400279.039999999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2688066.9696</v>
      </c>
      <c r="V100" s="423">
        <f t="shared" ref="V100:V106" si="98">P100+Q100+R100+S100+T100+U100</f>
        <v>3248066.9696</v>
      </c>
      <c r="W100" s="430">
        <v>12</v>
      </c>
      <c r="X100" s="423">
        <f t="shared" ref="X100:X106" si="99">V100/W100</f>
        <v>270672.24746666697</v>
      </c>
      <c r="Y100" s="426"/>
      <c r="Z100" s="434">
        <f t="shared" ref="Z100:Z106" si="100">X100</f>
        <v>270672.24746666697</v>
      </c>
      <c r="AA100" s="435">
        <v>180306.806858667</v>
      </c>
      <c r="AB100" s="435">
        <f>Z100-AA100</f>
        <v>90365.440607999903</v>
      </c>
      <c r="AC100" s="435" t="s">
        <v>187</v>
      </c>
      <c r="AD100" s="435"/>
      <c r="AE100" s="435"/>
    </row>
    <row r="101" spans="1:31" ht="18.75">
      <c r="A101" s="420">
        <v>86</v>
      </c>
      <c r="B101" s="9" t="s">
        <v>189</v>
      </c>
      <c r="C101" s="423">
        <v>942373.16666666698</v>
      </c>
      <c r="D101" s="422">
        <v>12</v>
      </c>
      <c r="E101" s="423">
        <f t="shared" ref="E101:E106" si="101">C101*D101</f>
        <v>11308478</v>
      </c>
      <c r="F101" s="423">
        <f>'[6]JANUARY 2024'!$V$106*12</f>
        <v>12795.951000000001</v>
      </c>
      <c r="G101" s="424">
        <v>731878.24</v>
      </c>
      <c r="H101" s="426"/>
      <c r="I101" s="423">
        <f t="shared" si="88"/>
        <v>10563803.809</v>
      </c>
      <c r="J101" s="423">
        <v>200000</v>
      </c>
      <c r="K101" s="423">
        <v>0.2</v>
      </c>
      <c r="L101" s="423">
        <f t="shared" si="89"/>
        <v>2112760.7618</v>
      </c>
      <c r="M101" s="423">
        <f t="shared" si="90"/>
        <v>2312760.7618</v>
      </c>
      <c r="N101" s="423">
        <f t="shared" si="91"/>
        <v>3057434.9528000001</v>
      </c>
      <c r="O101" s="423">
        <f t="shared" si="92"/>
        <v>8251043.0471999999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1212250.3313279999</v>
      </c>
      <c r="V101" s="423">
        <f t="shared" si="98"/>
        <v>1772250.3313279999</v>
      </c>
      <c r="W101" s="430">
        <v>12</v>
      </c>
      <c r="X101" s="423">
        <f t="shared" si="99"/>
        <v>147687.52761066667</v>
      </c>
      <c r="Y101" s="426"/>
      <c r="Z101" s="434">
        <f t="shared" si="100"/>
        <v>147687.52761066667</v>
      </c>
      <c r="AA101" s="435">
        <v>99703.216202666707</v>
      </c>
      <c r="AB101" s="435">
        <f t="shared" ref="AB101:AB106" si="102">Z101-AA101</f>
        <v>47984.311407999965</v>
      </c>
      <c r="AC101" s="435" t="s">
        <v>189</v>
      </c>
      <c r="AD101" s="435"/>
      <c r="AE101" s="435"/>
    </row>
    <row r="102" spans="1:31" ht="18.75">
      <c r="A102" s="420">
        <v>87</v>
      </c>
      <c r="B102" s="9" t="s">
        <v>192</v>
      </c>
      <c r="C102" s="423">
        <v>603237.85519166698</v>
      </c>
      <c r="D102" s="422">
        <v>12</v>
      </c>
      <c r="E102" s="423">
        <f t="shared" si="101"/>
        <v>7238854.2622999996</v>
      </c>
      <c r="F102" s="423">
        <f>'[6]JANUARY 2024'!$V$107*12</f>
        <v>7901.7899999999991</v>
      </c>
      <c r="G102" s="424">
        <v>424132.72</v>
      </c>
      <c r="H102" s="426"/>
      <c r="I102" s="423">
        <f t="shared" si="88"/>
        <v>6806819.7522999998</v>
      </c>
      <c r="J102" s="423">
        <v>200000</v>
      </c>
      <c r="K102" s="423">
        <v>0.2</v>
      </c>
      <c r="L102" s="423">
        <f t="shared" si="89"/>
        <v>1361363.95046</v>
      </c>
      <c r="M102" s="423">
        <f t="shared" si="90"/>
        <v>1561363.95046</v>
      </c>
      <c r="N102" s="423">
        <f t="shared" si="91"/>
        <v>1993398.46046</v>
      </c>
      <c r="O102" s="423">
        <f t="shared" si="92"/>
        <v>5245455.8018399999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490909.39244159992</v>
      </c>
      <c r="V102" s="423">
        <f t="shared" si="98"/>
        <v>1050909.3924415999</v>
      </c>
      <c r="W102" s="430">
        <v>12</v>
      </c>
      <c r="X102" s="423">
        <f t="shared" si="99"/>
        <v>87575.782703466655</v>
      </c>
      <c r="Y102" s="426"/>
      <c r="Z102" s="434">
        <f t="shared" si="100"/>
        <v>87575.782703466655</v>
      </c>
      <c r="AA102" s="435">
        <v>180180.378218667</v>
      </c>
      <c r="AB102" s="435">
        <f t="shared" si="102"/>
        <v>-92604.595515200344</v>
      </c>
      <c r="AC102" s="435" t="s">
        <v>192</v>
      </c>
      <c r="AD102" s="435"/>
      <c r="AE102" s="435"/>
    </row>
    <row r="103" spans="1:31" ht="18.75">
      <c r="A103" s="420">
        <v>88</v>
      </c>
      <c r="B103" s="9" t="s">
        <v>195</v>
      </c>
      <c r="C103" s="423">
        <v>601625.033321667</v>
      </c>
      <c r="D103" s="422">
        <v>12</v>
      </c>
      <c r="E103" s="423">
        <f t="shared" si="101"/>
        <v>7219500.3998600002</v>
      </c>
      <c r="F103" s="423"/>
      <c r="G103" s="424">
        <v>424132.72</v>
      </c>
      <c r="H103" s="426"/>
      <c r="I103" s="423">
        <f t="shared" si="88"/>
        <v>6795367.6798599996</v>
      </c>
      <c r="J103" s="423">
        <v>200000</v>
      </c>
      <c r="K103" s="423">
        <v>0.2</v>
      </c>
      <c r="L103" s="423">
        <f t="shared" si="89"/>
        <v>1359073.5359720001</v>
      </c>
      <c r="M103" s="423">
        <f t="shared" si="90"/>
        <v>1559073.5359720001</v>
      </c>
      <c r="N103" s="423">
        <f t="shared" si="91"/>
        <v>1983206.2559720001</v>
      </c>
      <c r="O103" s="423">
        <f t="shared" si="92"/>
        <v>5236294.1438880004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488710.59453311999</v>
      </c>
      <c r="V103" s="423">
        <f t="shared" si="98"/>
        <v>1048710.59453312</v>
      </c>
      <c r="W103" s="430">
        <v>12</v>
      </c>
      <c r="X103" s="423">
        <f t="shared" si="99"/>
        <v>87392.5495444267</v>
      </c>
      <c r="Y103" s="426"/>
      <c r="Z103" s="434">
        <f t="shared" si="100"/>
        <v>87392.5495444267</v>
      </c>
      <c r="AA103" s="435">
        <v>99907.951418666693</v>
      </c>
      <c r="AB103" s="435">
        <f t="shared" si="102"/>
        <v>-12515.40187424</v>
      </c>
      <c r="AC103" s="435" t="s">
        <v>195</v>
      </c>
      <c r="AD103" s="435"/>
      <c r="AE103" s="435"/>
    </row>
    <row r="104" spans="1:31" ht="18.75">
      <c r="A104" s="420">
        <v>89</v>
      </c>
      <c r="B104" s="9" t="s">
        <v>196</v>
      </c>
      <c r="C104" s="423">
        <v>374481.86414666701</v>
      </c>
      <c r="D104" s="422">
        <v>12</v>
      </c>
      <c r="E104" s="423">
        <f t="shared" si="101"/>
        <v>4493782.3697600001</v>
      </c>
      <c r="F104" s="423"/>
      <c r="G104" s="424">
        <v>239182.48</v>
      </c>
      <c r="H104" s="426"/>
      <c r="I104" s="423">
        <f t="shared" si="88"/>
        <v>4254599.8897599997</v>
      </c>
      <c r="J104" s="423">
        <v>200000</v>
      </c>
      <c r="K104" s="423">
        <v>0.2</v>
      </c>
      <c r="L104" s="423">
        <f t="shared" si="89"/>
        <v>850919.97795199999</v>
      </c>
      <c r="M104" s="423">
        <f t="shared" si="90"/>
        <v>1050919.977952</v>
      </c>
      <c r="N104" s="423">
        <f t="shared" si="91"/>
        <v>1290102.457952</v>
      </c>
      <c r="O104" s="423">
        <f t="shared" si="92"/>
        <v>3203679.9118079999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336000</v>
      </c>
      <c r="U104" s="423">
        <f>0.24*(O104-3200000)</f>
        <v>883.17883391987505</v>
      </c>
      <c r="V104" s="423">
        <f t="shared" si="98"/>
        <v>560883.17883392004</v>
      </c>
      <c r="W104" s="430">
        <v>12</v>
      </c>
      <c r="X104" s="423">
        <f t="shared" si="99"/>
        <v>46740.264902826697</v>
      </c>
      <c r="Y104" s="426"/>
      <c r="Z104" s="434">
        <f t="shared" si="100"/>
        <v>46740.264902826697</v>
      </c>
      <c r="AA104" s="435">
        <v>58941.101743466701</v>
      </c>
      <c r="AB104" s="435">
        <f t="shared" si="102"/>
        <v>-12200.83684064</v>
      </c>
      <c r="AC104" s="435" t="s">
        <v>196</v>
      </c>
      <c r="AD104" s="435"/>
      <c r="AE104" s="435"/>
    </row>
    <row r="105" spans="1:31" ht="37.5">
      <c r="A105" s="420"/>
      <c r="B105" s="16" t="s">
        <v>199</v>
      </c>
      <c r="C105" s="423">
        <v>367926.02100000001</v>
      </c>
      <c r="D105" s="422">
        <v>12</v>
      </c>
      <c r="E105" s="423">
        <f t="shared" si="101"/>
        <v>4415112.2520000003</v>
      </c>
      <c r="F105" s="423"/>
      <c r="G105" s="424">
        <v>233257.2</v>
      </c>
      <c r="H105" s="426"/>
      <c r="I105" s="423">
        <f t="shared" si="88"/>
        <v>4181855.0520000001</v>
      </c>
      <c r="J105" s="423">
        <v>200000</v>
      </c>
      <c r="K105" s="423">
        <v>0.2</v>
      </c>
      <c r="L105" s="423">
        <f t="shared" si="89"/>
        <v>836371.01040000003</v>
      </c>
      <c r="M105" s="423">
        <f t="shared" si="90"/>
        <v>1036371.0104</v>
      </c>
      <c r="N105" s="423">
        <f t="shared" si="91"/>
        <v>1269628.2104</v>
      </c>
      <c r="O105" s="423">
        <f t="shared" si="92"/>
        <v>3145484.0416000001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324551.648736</v>
      </c>
      <c r="U105" s="423"/>
      <c r="V105" s="423">
        <f t="shared" si="98"/>
        <v>548551.64873599994</v>
      </c>
      <c r="W105" s="430">
        <v>12</v>
      </c>
      <c r="X105" s="423">
        <f t="shared" si="99"/>
        <v>45712.637394666701</v>
      </c>
      <c r="Y105" s="426"/>
      <c r="Z105" s="434">
        <f t="shared" si="100"/>
        <v>45712.637394666701</v>
      </c>
      <c r="AA105" s="435">
        <v>58631.439944426696</v>
      </c>
      <c r="AB105" s="435">
        <f t="shared" si="102"/>
        <v>-12918.802549759999</v>
      </c>
      <c r="AC105" s="435" t="s">
        <v>199</v>
      </c>
      <c r="AD105" s="435"/>
      <c r="AE105" s="435"/>
    </row>
    <row r="106" spans="1:31" ht="18.75">
      <c r="A106" s="420"/>
      <c r="B106" s="16" t="s">
        <v>201</v>
      </c>
      <c r="C106" s="423">
        <v>355198.112111667</v>
      </c>
      <c r="D106" s="422">
        <v>12</v>
      </c>
      <c r="E106" s="423">
        <f t="shared" si="10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89"/>
        <v>808194.141068</v>
      </c>
      <c r="M106" s="423">
        <f t="shared" si="90"/>
        <v>1008194.141068</v>
      </c>
      <c r="N106" s="423">
        <f>F107+G106+H106+M106</f>
        <v>1229600.781068</v>
      </c>
      <c r="O106" s="423">
        <f t="shared" si="92"/>
        <v>3032776.564272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300883.07849712</v>
      </c>
      <c r="U106" s="423"/>
      <c r="V106" s="423">
        <f t="shared" si="98"/>
        <v>524883.07849711995</v>
      </c>
      <c r="W106" s="430">
        <v>12</v>
      </c>
      <c r="X106" s="423">
        <f t="shared" si="99"/>
        <v>43740.256541426701</v>
      </c>
      <c r="Y106" s="426"/>
      <c r="Z106" s="434">
        <f t="shared" si="100"/>
        <v>43740.256541426701</v>
      </c>
      <c r="AA106" s="435">
        <v>31871.335203306699</v>
      </c>
      <c r="AB106" s="435">
        <f t="shared" si="102"/>
        <v>11868.921338120001</v>
      </c>
      <c r="AC106" s="435" t="s">
        <v>201</v>
      </c>
      <c r="AD106" s="435"/>
      <c r="AE106" s="435"/>
    </row>
    <row r="107" spans="1:31" ht="18.75">
      <c r="A107" s="420"/>
      <c r="B107" s="18" t="s">
        <v>96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34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Z108" s="437"/>
      <c r="AC108" s="435"/>
      <c r="AD108" s="435"/>
      <c r="AE108" s="435"/>
    </row>
    <row r="109" spans="1:31" ht="37.5">
      <c r="A109" s="420">
        <v>91</v>
      </c>
      <c r="B109" s="18" t="s">
        <v>202</v>
      </c>
      <c r="C109" s="423"/>
      <c r="G109" s="424"/>
      <c r="U109" s="423"/>
      <c r="Z109" s="437"/>
      <c r="AC109" s="435"/>
      <c r="AD109" s="435"/>
      <c r="AE109" s="435"/>
    </row>
    <row r="110" spans="1:31" ht="37.5">
      <c r="A110" s="420">
        <v>92</v>
      </c>
      <c r="B110" s="12" t="s">
        <v>203</v>
      </c>
      <c r="C110" s="423">
        <v>761396.83333333302</v>
      </c>
      <c r="D110" s="422">
        <v>12</v>
      </c>
      <c r="E110" s="423">
        <f>C110*D110</f>
        <v>9136762</v>
      </c>
      <c r="F110" s="423">
        <f>'[6]JANUARY 2024'!$V$115*12</f>
        <v>9678.9600000000009</v>
      </c>
      <c r="G110" s="424">
        <v>577340.96</v>
      </c>
      <c r="H110" s="426"/>
      <c r="I110" s="423">
        <f>E110-F110-G110-H110</f>
        <v>8549742.0799999982</v>
      </c>
      <c r="J110" s="423">
        <v>200000</v>
      </c>
      <c r="K110" s="423">
        <v>0.2</v>
      </c>
      <c r="L110" s="423">
        <f>I110*K110</f>
        <v>1709948.4159999997</v>
      </c>
      <c r="M110" s="423">
        <f>J110+L110</f>
        <v>1909948.4159999997</v>
      </c>
      <c r="N110" s="423">
        <f>F110+G110+H110+M110</f>
        <v>2496968.3359999997</v>
      </c>
      <c r="O110" s="423">
        <f>E110-N110</f>
        <v>6639793.6640000008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41" si="103">0.24*(O110-3200000)</f>
        <v>825550.47936000011</v>
      </c>
      <c r="V110" s="423">
        <f>P110+Q110+R110+S110+T110+U110</f>
        <v>1385550.4793600002</v>
      </c>
      <c r="W110" s="430">
        <v>12</v>
      </c>
      <c r="X110" s="423">
        <f>V110/W110</f>
        <v>115462.53994666669</v>
      </c>
      <c r="Y110" s="426"/>
      <c r="Z110" s="434">
        <f>X110</f>
        <v>115462.53994666669</v>
      </c>
      <c r="AA110" s="435">
        <v>77610.116906666706</v>
      </c>
      <c r="AB110" s="435">
        <f>Z110-AA110</f>
        <v>37852.42303999998</v>
      </c>
      <c r="AC110" s="435"/>
      <c r="AD110" s="435"/>
      <c r="AE110" s="435"/>
    </row>
    <row r="111" spans="1:31" ht="18.75">
      <c r="A111" s="420">
        <v>93</v>
      </c>
      <c r="B111" s="9" t="s">
        <v>204</v>
      </c>
      <c r="C111" s="423">
        <v>487895.16666666698</v>
      </c>
      <c r="D111" s="422">
        <v>12</v>
      </c>
      <c r="E111" s="423">
        <f t="shared" ref="E111:E112" si="104">C111*D111</f>
        <v>5854742</v>
      </c>
      <c r="F111" s="423"/>
      <c r="G111" s="424">
        <v>362779.36</v>
      </c>
      <c r="H111" s="426"/>
      <c r="I111" s="423">
        <f>E111-F111-G111-H111</f>
        <v>5491962.6399999997</v>
      </c>
      <c r="J111" s="423">
        <v>200000</v>
      </c>
      <c r="K111" s="423">
        <v>0.2</v>
      </c>
      <c r="L111" s="423">
        <f>I111*K111</f>
        <v>1098392.5279999999</v>
      </c>
      <c r="M111" s="423">
        <f>J111+L111</f>
        <v>1298392.5279999999</v>
      </c>
      <c r="N111" s="423">
        <f>F111+G111+H111+M111</f>
        <v>1661171.888</v>
      </c>
      <c r="O111" s="423">
        <f>E111-N111</f>
        <v>4193570.1120000002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336000</v>
      </c>
      <c r="U111" s="423">
        <f t="shared" si="103"/>
        <v>238456.82688000001</v>
      </c>
      <c r="V111" s="423">
        <f>P111+Q111+R111+S111+T111+U111</f>
        <v>798456.82687999995</v>
      </c>
      <c r="W111" s="430">
        <v>12</v>
      </c>
      <c r="X111" s="423">
        <f>V111/W111</f>
        <v>66538.068906666696</v>
      </c>
      <c r="Y111" s="426"/>
      <c r="Z111" s="434">
        <f>X111</f>
        <v>66538.068906666696</v>
      </c>
      <c r="AA111" s="435">
        <v>43368.882414666703</v>
      </c>
      <c r="AB111" s="435">
        <f t="shared" ref="AB111:AB112" si="105">Z111-AA111</f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206</v>
      </c>
      <c r="C112" s="429">
        <v>450086.5</v>
      </c>
      <c r="D112" s="422">
        <v>12</v>
      </c>
      <c r="E112" s="423">
        <f t="shared" si="104"/>
        <v>5401038</v>
      </c>
      <c r="F112" s="423">
        <f>'[6]JANUARY 2024'!$V$117*12</f>
        <v>6919.4549999999999</v>
      </c>
      <c r="G112" s="424">
        <v>374483.04</v>
      </c>
      <c r="H112" s="426"/>
      <c r="I112" s="423">
        <f>E112-F112-G112-H112</f>
        <v>5019635.5049999999</v>
      </c>
      <c r="J112" s="423">
        <v>200000</v>
      </c>
      <c r="K112" s="423">
        <v>0.2</v>
      </c>
      <c r="L112" s="423">
        <f>I112*K112</f>
        <v>1003927.101</v>
      </c>
      <c r="M112" s="423">
        <f>J112+L112</f>
        <v>1203927.101</v>
      </c>
      <c r="N112" s="423">
        <f>F112+G112+H112+M112</f>
        <v>1585329.5959999999</v>
      </c>
      <c r="O112" s="423">
        <f>E112-N112</f>
        <v>3815708.4040000001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336000</v>
      </c>
      <c r="U112" s="423">
        <f t="shared" si="103"/>
        <v>147770.01696000001</v>
      </c>
      <c r="V112" s="423">
        <f>P112+Q112+R112+S112+T112+U112</f>
        <v>707770.01696000004</v>
      </c>
      <c r="W112" s="430">
        <v>12</v>
      </c>
      <c r="X112" s="423">
        <f>V112/W112</f>
        <v>58980.834746666667</v>
      </c>
      <c r="Y112" s="426"/>
      <c r="Z112" s="434">
        <f>X112</f>
        <v>58980.834746666667</v>
      </c>
      <c r="AA112" s="435">
        <v>35221.954086666701</v>
      </c>
      <c r="AB112" s="435">
        <f t="shared" si="105"/>
        <v>23758.880659999966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34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Z114" s="437"/>
      <c r="AC114" s="435"/>
      <c r="AD114" s="435"/>
      <c r="AE114" s="435"/>
    </row>
    <row r="115" spans="1:31" ht="18.75">
      <c r="A115" s="420">
        <v>97</v>
      </c>
      <c r="B115" s="18" t="s">
        <v>215</v>
      </c>
      <c r="C115" s="423"/>
      <c r="U115" s="436"/>
      <c r="Z115" s="437"/>
      <c r="AC115" s="435"/>
      <c r="AD115" s="435"/>
      <c r="AE115" s="435"/>
    </row>
    <row r="116" spans="1:31" ht="18.75">
      <c r="A116" s="420">
        <v>98</v>
      </c>
      <c r="B116" s="9" t="s">
        <v>216</v>
      </c>
      <c r="C116" s="423">
        <v>1635720</v>
      </c>
      <c r="D116" s="422">
        <v>12</v>
      </c>
      <c r="E116" s="423">
        <f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06">E116-F116-G116-H116</f>
        <v>18225826.794</v>
      </c>
      <c r="J116" s="423">
        <v>200000</v>
      </c>
      <c r="K116" s="423">
        <v>0.2</v>
      </c>
      <c r="L116" s="423">
        <f>I116*K116</f>
        <v>3645165.3588</v>
      </c>
      <c r="M116" s="423">
        <f>J116+L116</f>
        <v>3845165.3588</v>
      </c>
      <c r="N116" s="423">
        <f t="shared" ref="N116:N125" si="107">F116+G116+H116+M116</f>
        <v>5247978.5647999998</v>
      </c>
      <c r="O116" s="423">
        <f t="shared" ref="O116:O125" si="108">E116-N116</f>
        <v>14380661.4352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2683358.7444480001</v>
      </c>
      <c r="V116" s="423">
        <f>P116+Q116+R116+S116+T116+U116</f>
        <v>3243358.7444480001</v>
      </c>
      <c r="W116" s="430">
        <v>12</v>
      </c>
      <c r="X116" s="423">
        <f>V116/W116</f>
        <v>270279.89537066699</v>
      </c>
      <c r="Y116" s="426"/>
      <c r="Z116" s="434">
        <f>X116</f>
        <v>270279.89537066699</v>
      </c>
      <c r="AA116" s="435">
        <v>179914.45476266701</v>
      </c>
      <c r="AB116" s="435">
        <f>Z116-AA116</f>
        <v>90365.440608000004</v>
      </c>
      <c r="AC116" s="435"/>
      <c r="AD116" s="435"/>
      <c r="AE116" s="435"/>
    </row>
    <row r="117" spans="1:31" ht="18.75">
      <c r="A117" s="420">
        <v>99</v>
      </c>
      <c r="B117" s="9" t="s">
        <v>218</v>
      </c>
      <c r="C117" s="423">
        <v>929203.58333333302</v>
      </c>
      <c r="D117" s="422">
        <v>12</v>
      </c>
      <c r="E117" s="423">
        <f t="shared" ref="E117:E125" si="109">C117*D117</f>
        <v>11150443</v>
      </c>
      <c r="F117" s="423">
        <f>1028.94225*12</f>
        <v>12347.307000000001</v>
      </c>
      <c r="G117" s="424">
        <v>709635.44</v>
      </c>
      <c r="H117" s="426"/>
      <c r="I117" s="423">
        <f t="shared" si="106"/>
        <v>10428460.253</v>
      </c>
      <c r="J117" s="423">
        <v>200000</v>
      </c>
      <c r="K117" s="423">
        <v>0.2</v>
      </c>
      <c r="L117" s="423">
        <f>I117*K117</f>
        <v>2085692.0506</v>
      </c>
      <c r="M117" s="423">
        <f>J117+L117</f>
        <v>2285692.0506000002</v>
      </c>
      <c r="N117" s="423">
        <f t="shared" si="107"/>
        <v>3007674.7976000002</v>
      </c>
      <c r="O117" s="423">
        <f t="shared" si="108"/>
        <v>8142768.2023999998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1186264.368576</v>
      </c>
      <c r="V117" s="423">
        <f>P117+Q117+R117+S117+T117+U117</f>
        <v>1746264.368576</v>
      </c>
      <c r="W117" s="430">
        <v>12</v>
      </c>
      <c r="X117" s="423">
        <f>V117/W117</f>
        <v>145522.03071466699</v>
      </c>
      <c r="Y117" s="426"/>
      <c r="Z117" s="434">
        <f>X117</f>
        <v>145522.03071466699</v>
      </c>
      <c r="AA117" s="435">
        <v>98995.956938666699</v>
      </c>
      <c r="AB117" s="435">
        <f t="shared" ref="AB117:AB125" si="110">Z117-AA117</f>
        <v>46526.073775999997</v>
      </c>
      <c r="AC117" s="435"/>
      <c r="AD117" s="435"/>
      <c r="AE117" s="435"/>
    </row>
    <row r="118" spans="1:31" ht="18.75">
      <c r="A118" s="420"/>
      <c r="B118" s="12" t="s">
        <v>220</v>
      </c>
      <c r="C118" s="423">
        <v>830675.58333333302</v>
      </c>
      <c r="D118" s="422">
        <v>12</v>
      </c>
      <c r="E118" s="423">
        <f t="shared" si="109"/>
        <v>9968107</v>
      </c>
      <c r="F118" s="423">
        <f>837.6875*12</f>
        <v>10052.25</v>
      </c>
      <c r="G118" s="424">
        <v>595848.56000000006</v>
      </c>
      <c r="H118" s="426"/>
      <c r="I118" s="423">
        <f t="shared" si="106"/>
        <v>9362206.1899999995</v>
      </c>
      <c r="J118" s="423">
        <v>200000</v>
      </c>
      <c r="K118" s="423">
        <v>0.2</v>
      </c>
      <c r="L118" s="423">
        <f>I118*K118</f>
        <v>1872441.2379999999</v>
      </c>
      <c r="M118" s="423">
        <f>J118+L118</f>
        <v>2072441.2379999999</v>
      </c>
      <c r="N118" s="423">
        <f t="shared" si="107"/>
        <v>2678342.048</v>
      </c>
      <c r="O118" s="423">
        <f t="shared" si="108"/>
        <v>7289764.9519999996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981543.58848000003</v>
      </c>
      <c r="V118" s="423">
        <f>P118+Q118+R118+S118+T118+U118</f>
        <v>1541543.5884799999</v>
      </c>
      <c r="W118" s="430">
        <v>12</v>
      </c>
      <c r="X118" s="423">
        <f>V118/W118</f>
        <v>128461.965706667</v>
      </c>
      <c r="Y118" s="426"/>
      <c r="Z118" s="434">
        <f>X118</f>
        <v>128461.965706667</v>
      </c>
      <c r="AA118" s="435">
        <v>89396.103146666603</v>
      </c>
      <c r="AB118" s="435">
        <f t="shared" si="110"/>
        <v>39065.862560000001</v>
      </c>
      <c r="AC118" s="435"/>
      <c r="AD118" s="435"/>
      <c r="AE118" s="435"/>
    </row>
    <row r="119" spans="1:31" ht="18.75">
      <c r="A119" s="420"/>
      <c r="B119" s="12" t="s">
        <v>521</v>
      </c>
      <c r="C119" s="423">
        <v>662118.08333333302</v>
      </c>
      <c r="D119" s="422">
        <v>12</v>
      </c>
      <c r="E119" s="423">
        <f t="shared" si="109"/>
        <v>7945417</v>
      </c>
      <c r="F119" s="423"/>
      <c r="G119" s="424">
        <v>0</v>
      </c>
      <c r="H119" s="426"/>
      <c r="I119" s="423">
        <f t="shared" si="106"/>
        <v>7945417</v>
      </c>
      <c r="J119" s="423">
        <v>200000</v>
      </c>
      <c r="K119" s="423">
        <v>0.2</v>
      </c>
      <c r="L119" s="423">
        <f>I119*K119</f>
        <v>1589083.4</v>
      </c>
      <c r="M119" s="423">
        <f>J119+L119</f>
        <v>1789083.4</v>
      </c>
      <c r="N119" s="423">
        <f t="shared" si="107"/>
        <v>1789083.4</v>
      </c>
      <c r="O119" s="423">
        <f t="shared" si="108"/>
        <v>6156333.5999999996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709520.06400000001</v>
      </c>
      <c r="V119" s="423">
        <f>P119+Q119+R119+S119+T119+U119</f>
        <v>1269520.064</v>
      </c>
      <c r="W119" s="430">
        <v>12</v>
      </c>
      <c r="X119" s="423">
        <f>V119/W119</f>
        <v>105793.338666667</v>
      </c>
      <c r="Y119" s="426"/>
      <c r="Z119" s="434">
        <f>X119</f>
        <v>105793.338666667</v>
      </c>
      <c r="AA119" s="435">
        <v>60214.677290666703</v>
      </c>
      <c r="AB119" s="435">
        <f t="shared" si="110"/>
        <v>45578.661375999996</v>
      </c>
      <c r="AC119" s="435"/>
      <c r="AD119" s="435"/>
      <c r="AE119" s="435"/>
    </row>
    <row r="120" spans="1:31" ht="18.75">
      <c r="A120" s="420">
        <v>101</v>
      </c>
      <c r="B120" s="9" t="s">
        <v>222</v>
      </c>
      <c r="C120" s="423">
        <v>540498</v>
      </c>
      <c r="D120" s="422">
        <v>12</v>
      </c>
      <c r="E120" s="423">
        <f t="shared" si="109"/>
        <v>6485976</v>
      </c>
      <c r="F120" s="423"/>
      <c r="G120" s="424">
        <v>451678.08</v>
      </c>
      <c r="H120" s="426"/>
      <c r="I120" s="423">
        <f t="shared" si="106"/>
        <v>6034297.9199999999</v>
      </c>
      <c r="J120" s="423">
        <v>200000</v>
      </c>
      <c r="K120" s="423">
        <v>0.2</v>
      </c>
      <c r="L120" s="423">
        <f t="shared" ref="L120:L125" si="111">I120*K120</f>
        <v>1206859.584</v>
      </c>
      <c r="M120" s="423">
        <f t="shared" ref="M120:M125" si="112">J120+L120</f>
        <v>1406859.584</v>
      </c>
      <c r="N120" s="423">
        <f t="shared" si="107"/>
        <v>1858537.6640000001</v>
      </c>
      <c r="O120" s="423">
        <f t="shared" si="108"/>
        <v>4627438.3360000001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336000</v>
      </c>
      <c r="U120" s="423">
        <f t="shared" si="103"/>
        <v>342585.20064</v>
      </c>
      <c r="V120" s="423">
        <f t="shared" ref="V120:V125" si="118">P120+Q120+R120+S120+T120+U120</f>
        <v>902585.20064000005</v>
      </c>
      <c r="W120" s="430">
        <v>12</v>
      </c>
      <c r="X120" s="423">
        <f t="shared" ref="X120:X125" si="119">V120/W120</f>
        <v>75215.4333866667</v>
      </c>
      <c r="Y120" s="426"/>
      <c r="Z120" s="434">
        <f t="shared" ref="Z120:Z125" si="120">X120</f>
        <v>75215.4333866667</v>
      </c>
      <c r="AA120" s="435">
        <v>44846.6165886667</v>
      </c>
      <c r="AB120" s="435">
        <f t="shared" si="110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225</v>
      </c>
      <c r="C121" s="423">
        <v>512746.5</v>
      </c>
      <c r="D121" s="422">
        <v>12</v>
      </c>
      <c r="E121" s="423">
        <f t="shared" si="109"/>
        <v>6152958</v>
      </c>
      <c r="F121" s="429">
        <f>646.3525*12</f>
        <v>7756.23</v>
      </c>
      <c r="G121" s="424">
        <v>425036.64</v>
      </c>
      <c r="H121" s="426"/>
      <c r="I121" s="423">
        <f t="shared" si="106"/>
        <v>5720165.1299999999</v>
      </c>
      <c r="J121" s="423">
        <v>200000</v>
      </c>
      <c r="K121" s="423">
        <v>0.2</v>
      </c>
      <c r="L121" s="423">
        <f t="shared" si="111"/>
        <v>1144033.0260000001</v>
      </c>
      <c r="M121" s="423">
        <f t="shared" si="112"/>
        <v>1344033.0260000001</v>
      </c>
      <c r="N121" s="423">
        <f t="shared" si="107"/>
        <v>1776825.8959999999</v>
      </c>
      <c r="O121" s="423">
        <f t="shared" si="108"/>
        <v>4376132.1040000003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336000</v>
      </c>
      <c r="U121" s="423">
        <f t="shared" si="103"/>
        <v>282271.70496</v>
      </c>
      <c r="V121" s="423">
        <f t="shared" si="118"/>
        <v>842271.70496</v>
      </c>
      <c r="W121" s="430">
        <v>12</v>
      </c>
      <c r="X121" s="423">
        <f t="shared" si="119"/>
        <v>70189.308746666706</v>
      </c>
      <c r="Y121" s="426"/>
      <c r="Z121" s="434">
        <f t="shared" si="120"/>
        <v>70189.308746666706</v>
      </c>
      <c r="AA121" s="435">
        <v>42029.589186666701</v>
      </c>
      <c r="AB121" s="435">
        <f t="shared" si="110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227</v>
      </c>
      <c r="C122" s="423">
        <v>526622.25</v>
      </c>
      <c r="D122" s="422">
        <v>12</v>
      </c>
      <c r="E122" s="423">
        <f t="shared" si="109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06"/>
        <v>5873089.8449999997</v>
      </c>
      <c r="J122" s="423">
        <v>200000</v>
      </c>
      <c r="K122" s="423">
        <v>0.2</v>
      </c>
      <c r="L122" s="423">
        <f t="shared" si="111"/>
        <v>1174617.969</v>
      </c>
      <c r="M122" s="423">
        <f t="shared" si="112"/>
        <v>1374617.969</v>
      </c>
      <c r="N122" s="423">
        <f t="shared" si="107"/>
        <v>1820995.1240000001</v>
      </c>
      <c r="O122" s="423">
        <f t="shared" si="108"/>
        <v>4498471.8760000002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336000</v>
      </c>
      <c r="U122" s="423">
        <f t="shared" si="103"/>
        <v>311633.25024000002</v>
      </c>
      <c r="V122" s="423">
        <f t="shared" si="118"/>
        <v>871633.25023999996</v>
      </c>
      <c r="W122" s="430">
        <v>12</v>
      </c>
      <c r="X122" s="423">
        <f t="shared" si="119"/>
        <v>72636.104186666693</v>
      </c>
      <c r="Y122" s="426"/>
      <c r="Z122" s="434">
        <f t="shared" si="120"/>
        <v>72636.104186666693</v>
      </c>
      <c r="AA122" s="435">
        <v>43380.096246666697</v>
      </c>
      <c r="AB122" s="435">
        <f t="shared" si="110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228</v>
      </c>
      <c r="C123" s="423">
        <v>330481.66666666698</v>
      </c>
      <c r="D123" s="422">
        <v>12</v>
      </c>
      <c r="E123" s="423">
        <f t="shared" si="109"/>
        <v>3965780</v>
      </c>
      <c r="F123" s="423"/>
      <c r="G123" s="424">
        <v>259662.4</v>
      </c>
      <c r="H123" s="426"/>
      <c r="I123" s="423">
        <f t="shared" si="106"/>
        <v>3706117.6</v>
      </c>
      <c r="J123" s="423">
        <v>200000</v>
      </c>
      <c r="K123" s="423">
        <v>0.2</v>
      </c>
      <c r="L123" s="423">
        <f t="shared" si="111"/>
        <v>741223.52</v>
      </c>
      <c r="M123" s="423">
        <f t="shared" si="112"/>
        <v>941223.52</v>
      </c>
      <c r="N123" s="423">
        <f t="shared" si="107"/>
        <v>1200885.92</v>
      </c>
      <c r="O123" s="423">
        <f t="shared" si="108"/>
        <v>2764894.08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244627.7568</v>
      </c>
      <c r="U123" s="423"/>
      <c r="V123" s="423">
        <f t="shared" si="118"/>
        <v>468627.75679999997</v>
      </c>
      <c r="W123" s="430">
        <v>12</v>
      </c>
      <c r="X123" s="423">
        <f t="shared" si="119"/>
        <v>39052.313066666698</v>
      </c>
      <c r="Y123" s="426"/>
      <c r="Z123" s="434">
        <f t="shared" si="120"/>
        <v>39052.313066666698</v>
      </c>
      <c r="AA123" s="435">
        <v>23036.012346666699</v>
      </c>
      <c r="AB123" s="435">
        <f t="shared" si="110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230</v>
      </c>
      <c r="C124" s="423">
        <v>274459.75</v>
      </c>
      <c r="D124" s="422">
        <v>12</v>
      </c>
      <c r="E124" s="423">
        <f t="shared" si="109"/>
        <v>3293517</v>
      </c>
      <c r="F124" s="423"/>
      <c r="G124" s="424">
        <v>215481.36</v>
      </c>
      <c r="H124" s="426"/>
      <c r="I124" s="423">
        <f t="shared" si="106"/>
        <v>3078035.64</v>
      </c>
      <c r="J124" s="423">
        <v>200000</v>
      </c>
      <c r="K124" s="423">
        <v>0.2</v>
      </c>
      <c r="L124" s="423">
        <f t="shared" si="111"/>
        <v>615607.12800000003</v>
      </c>
      <c r="M124" s="423">
        <f t="shared" si="112"/>
        <v>815607.12800000003</v>
      </c>
      <c r="N124" s="423">
        <f t="shared" si="107"/>
        <v>1031088.488</v>
      </c>
      <c r="O124" s="423">
        <f t="shared" si="108"/>
        <v>2262428.5120000001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95000</v>
      </c>
      <c r="T124" s="423">
        <f t="shared" si="117"/>
        <v>139109.98752</v>
      </c>
      <c r="U124" s="423"/>
      <c r="V124" s="423">
        <f t="shared" si="118"/>
        <v>363109.98752000002</v>
      </c>
      <c r="W124" s="430">
        <v>12</v>
      </c>
      <c r="X124" s="423">
        <f t="shared" si="119"/>
        <v>30259.165626666701</v>
      </c>
      <c r="Y124" s="426"/>
      <c r="Z124" s="434">
        <f t="shared" si="120"/>
        <v>30259.165626666701</v>
      </c>
      <c r="AA124" s="435">
        <v>17042.713866666702</v>
      </c>
      <c r="AB124" s="435">
        <f t="shared" si="110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232</v>
      </c>
      <c r="C125" s="423">
        <v>274459.75</v>
      </c>
      <c r="D125" s="422">
        <v>12</v>
      </c>
      <c r="E125" s="423">
        <f t="shared" si="109"/>
        <v>3293517</v>
      </c>
      <c r="F125" s="423"/>
      <c r="G125" s="424">
        <v>215481.36</v>
      </c>
      <c r="H125" s="426"/>
      <c r="I125" s="423">
        <f t="shared" si="106"/>
        <v>3078035.64</v>
      </c>
      <c r="J125" s="423">
        <v>200000</v>
      </c>
      <c r="K125" s="423">
        <v>0.2</v>
      </c>
      <c r="L125" s="423">
        <f t="shared" si="111"/>
        <v>615607.12800000003</v>
      </c>
      <c r="M125" s="423">
        <f t="shared" si="112"/>
        <v>815607.12800000003</v>
      </c>
      <c r="N125" s="423">
        <f t="shared" si="107"/>
        <v>1031088.488</v>
      </c>
      <c r="O125" s="423">
        <f t="shared" si="108"/>
        <v>2262428.5120000001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95000</v>
      </c>
      <c r="T125" s="423">
        <f t="shared" si="117"/>
        <v>139109.98752</v>
      </c>
      <c r="U125" s="423"/>
      <c r="V125" s="423">
        <f t="shared" si="118"/>
        <v>363109.98752000002</v>
      </c>
      <c r="W125" s="430">
        <v>12</v>
      </c>
      <c r="X125" s="423">
        <f t="shared" si="119"/>
        <v>30259.165626666701</v>
      </c>
      <c r="Y125" s="426"/>
      <c r="Z125" s="434">
        <f t="shared" si="120"/>
        <v>30259.165626666701</v>
      </c>
      <c r="AA125" s="435">
        <v>17042.713866666702</v>
      </c>
      <c r="AB125" s="435">
        <f t="shared" si="110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96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34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Z127" s="437"/>
      <c r="AC127" s="435"/>
      <c r="AD127" s="435"/>
      <c r="AE127" s="435"/>
    </row>
    <row r="128" spans="1:31" ht="37.5">
      <c r="A128" s="420">
        <v>111</v>
      </c>
      <c r="B128" s="18" t="s">
        <v>236</v>
      </c>
      <c r="C128" s="423"/>
      <c r="U128" s="436"/>
      <c r="Z128" s="437"/>
      <c r="AC128" s="435"/>
      <c r="AD128" s="435"/>
      <c r="AE128" s="435"/>
    </row>
    <row r="129" spans="1:31" ht="18.75">
      <c r="A129" s="420">
        <v>112</v>
      </c>
      <c r="B129" s="9" t="s">
        <v>237</v>
      </c>
      <c r="C129" s="423">
        <v>1535720</v>
      </c>
      <c r="D129" s="422">
        <v>12</v>
      </c>
      <c r="E129" s="423">
        <f>C129*D129</f>
        <v>18428640</v>
      </c>
      <c r="F129" s="423"/>
      <c r="G129" s="424">
        <v>1378291.2</v>
      </c>
      <c r="H129" s="426"/>
      <c r="I129" s="423">
        <f t="shared" ref="I129:I187" si="121">E129-F129-G129-H129</f>
        <v>17050348.800000001</v>
      </c>
      <c r="J129" s="423">
        <v>200000</v>
      </c>
      <c r="K129" s="423">
        <v>0.2</v>
      </c>
      <c r="L129" s="423">
        <f t="shared" ref="L129:L187" si="122">I129*K129</f>
        <v>3410069.76</v>
      </c>
      <c r="M129" s="423">
        <f t="shared" ref="M129:M187" si="123">J129+L129</f>
        <v>3610069.76</v>
      </c>
      <c r="N129" s="423">
        <f t="shared" ref="N129:N187" si="124">F129+G129+H129+M129</f>
        <v>4988360.96</v>
      </c>
      <c r="O129" s="423">
        <f t="shared" ref="O129:O187" si="125">E129-N129</f>
        <v>13440279.039999999</v>
      </c>
      <c r="P129" s="423">
        <f t="shared" ref="P129:P187" si="126">IF(O129&lt;300000,0.07*O129,21000)</f>
        <v>21000</v>
      </c>
      <c r="Q129" s="423">
        <f t="shared" ref="Q129:Q187" si="127">IF((O129-300000)&lt;0,0,IF((O129-300000)&lt;300000,0.11*(O129-300000),33000))</f>
        <v>33000</v>
      </c>
      <c r="R129" s="423">
        <f t="shared" ref="R129:R187" si="128">IF((O129-600000)&lt;0,0,IF((O129-600000)&lt;500000,0.15*(O129-600000),75000))</f>
        <v>75000</v>
      </c>
      <c r="S129" s="423">
        <f t="shared" ref="S129:S187" si="129">IF((O129-1100000)&lt;0,0,IF((O129-1100000)&lt;500000,0.19*(O129-1100000),95000))</f>
        <v>95000</v>
      </c>
      <c r="T129" s="423">
        <f t="shared" ref="T129:T187" si="130">IF((O129-1600000)&lt;0,0,IF((O129-1600000)&lt;1600000,0.21*(O129-1600000),336000))</f>
        <v>336000</v>
      </c>
      <c r="U129" s="423">
        <f t="shared" si="103"/>
        <v>2457666.9696</v>
      </c>
      <c r="V129" s="423">
        <f>P129+Q129+R129+S129+T129+U129</f>
        <v>3017666.9696</v>
      </c>
      <c r="W129" s="430">
        <v>12</v>
      </c>
      <c r="X129" s="423">
        <f t="shared" ref="X129:X187" si="131">V129/W129</f>
        <v>251472.247466667</v>
      </c>
      <c r="Y129" s="426"/>
      <c r="Z129" s="434">
        <f t="shared" ref="Z129:Z187" si="132">X129</f>
        <v>251472.247466667</v>
      </c>
      <c r="AA129" s="435">
        <v>161106.806858667</v>
      </c>
      <c r="AB129" s="435">
        <f>Z129-AA129</f>
        <v>90365.440607999903</v>
      </c>
      <c r="AC129" s="435"/>
      <c r="AD129" s="435"/>
      <c r="AE129" s="435"/>
    </row>
    <row r="130" spans="1:31" ht="18.75">
      <c r="A130" s="420">
        <v>113</v>
      </c>
      <c r="B130" s="9" t="s">
        <v>522</v>
      </c>
      <c r="C130" s="423">
        <v>852373.16666666698</v>
      </c>
      <c r="D130" s="422">
        <v>12</v>
      </c>
      <c r="E130" s="423">
        <f t="shared" ref="E130:E187" si="133">C130*D130</f>
        <v>10228478</v>
      </c>
      <c r="F130" s="423"/>
      <c r="G130" s="424">
        <v>0</v>
      </c>
      <c r="H130" s="426"/>
      <c r="I130" s="423">
        <f t="shared" si="121"/>
        <v>10228478</v>
      </c>
      <c r="J130" s="423">
        <v>200000</v>
      </c>
      <c r="K130" s="423">
        <v>0.2</v>
      </c>
      <c r="L130" s="423">
        <f t="shared" si="122"/>
        <v>2045695.6</v>
      </c>
      <c r="M130" s="423">
        <f t="shared" si="123"/>
        <v>2245695.6</v>
      </c>
      <c r="N130" s="423">
        <f t="shared" si="124"/>
        <v>2245695.6</v>
      </c>
      <c r="O130" s="423">
        <f t="shared" si="125"/>
        <v>7982782.4000000004</v>
      </c>
      <c r="P130" s="423">
        <f t="shared" si="126"/>
        <v>21000</v>
      </c>
      <c r="Q130" s="423">
        <f t="shared" si="127"/>
        <v>33000</v>
      </c>
      <c r="R130" s="423">
        <f t="shared" si="128"/>
        <v>75000</v>
      </c>
      <c r="S130" s="423">
        <f t="shared" si="129"/>
        <v>95000</v>
      </c>
      <c r="T130" s="423">
        <f t="shared" si="130"/>
        <v>336000</v>
      </c>
      <c r="U130" s="423">
        <f t="shared" si="103"/>
        <v>1147867.7760000001</v>
      </c>
      <c r="V130" s="423">
        <f>P130+Q130+R130+S130+T130+U130</f>
        <v>1707867.7760000001</v>
      </c>
      <c r="W130" s="430">
        <v>12</v>
      </c>
      <c r="X130" s="423">
        <f t="shared" si="131"/>
        <v>142322.31466666699</v>
      </c>
      <c r="Y130" s="426"/>
      <c r="Z130" s="434">
        <f t="shared" si="132"/>
        <v>142322.31466666699</v>
      </c>
      <c r="AA130" s="435">
        <v>82627.951418666693</v>
      </c>
      <c r="AB130" s="435">
        <f t="shared" ref="AB130:AB187" si="134">Z130-AA130</f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239</v>
      </c>
      <c r="C131" s="423">
        <v>902373.16666666698</v>
      </c>
      <c r="D131" s="422">
        <v>12</v>
      </c>
      <c r="E131" s="423">
        <f t="shared" si="133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21"/>
        <v>10083803.809</v>
      </c>
      <c r="J131" s="423">
        <v>200000</v>
      </c>
      <c r="K131" s="423">
        <v>0.2</v>
      </c>
      <c r="L131" s="423">
        <f t="shared" si="122"/>
        <v>2016760.7618</v>
      </c>
      <c r="M131" s="423">
        <f t="shared" si="123"/>
        <v>2216760.7618</v>
      </c>
      <c r="N131" s="423">
        <f t="shared" si="124"/>
        <v>2961434.9528000001</v>
      </c>
      <c r="O131" s="423">
        <f t="shared" si="125"/>
        <v>7867043.0471999999</v>
      </c>
      <c r="P131" s="423">
        <f t="shared" si="126"/>
        <v>21000</v>
      </c>
      <c r="Q131" s="423">
        <f t="shared" si="127"/>
        <v>33000</v>
      </c>
      <c r="R131" s="423">
        <f t="shared" si="128"/>
        <v>75000</v>
      </c>
      <c r="S131" s="423">
        <f t="shared" si="129"/>
        <v>95000</v>
      </c>
      <c r="T131" s="423">
        <f t="shared" si="130"/>
        <v>336000</v>
      </c>
      <c r="U131" s="423">
        <f t="shared" si="103"/>
        <v>1120090.3313279999</v>
      </c>
      <c r="V131" s="423">
        <f>P131+Q131+R131+S131+T131+U131</f>
        <v>1680090.3313279999</v>
      </c>
      <c r="W131" s="430">
        <v>12</v>
      </c>
      <c r="X131" s="423">
        <f t="shared" si="131"/>
        <v>140007.52761066699</v>
      </c>
      <c r="Y131" s="426"/>
      <c r="Z131" s="434">
        <f t="shared" si="132"/>
        <v>140007.52761066699</v>
      </c>
      <c r="AA131" s="435">
        <v>92023.216202666707</v>
      </c>
      <c r="AB131" s="435">
        <f t="shared" si="13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241</v>
      </c>
      <c r="C132" s="423">
        <v>554373.75</v>
      </c>
      <c r="D132" s="422">
        <v>12</v>
      </c>
      <c r="E132" s="423">
        <f t="shared" si="133"/>
        <v>6652485</v>
      </c>
      <c r="F132" s="423">
        <f>712.24525*12</f>
        <v>8546.9429999999993</v>
      </c>
      <c r="G132" s="424">
        <v>464998.8</v>
      </c>
      <c r="H132" s="426"/>
      <c r="I132" s="423">
        <f t="shared" si="121"/>
        <v>6178939.2570000002</v>
      </c>
      <c r="J132" s="423">
        <v>200000</v>
      </c>
      <c r="K132" s="423">
        <v>0.2</v>
      </c>
      <c r="L132" s="423">
        <f t="shared" si="122"/>
        <v>1235787.8514</v>
      </c>
      <c r="M132" s="423">
        <f t="shared" si="123"/>
        <v>1435787.8514</v>
      </c>
      <c r="N132" s="423">
        <f t="shared" si="124"/>
        <v>1909333.5944000001</v>
      </c>
      <c r="O132" s="423">
        <f t="shared" si="125"/>
        <v>4743151.4056000002</v>
      </c>
      <c r="P132" s="423">
        <f t="shared" si="126"/>
        <v>21000</v>
      </c>
      <c r="Q132" s="423">
        <f t="shared" si="127"/>
        <v>33000</v>
      </c>
      <c r="R132" s="423">
        <f t="shared" si="128"/>
        <v>75000</v>
      </c>
      <c r="S132" s="423">
        <f t="shared" si="129"/>
        <v>95000</v>
      </c>
      <c r="T132" s="423">
        <f t="shared" si="130"/>
        <v>336000</v>
      </c>
      <c r="U132" s="423">
        <f t="shared" si="103"/>
        <v>370356.337344</v>
      </c>
      <c r="V132" s="423">
        <f t="shared" ref="V132:V187" si="135">P132+Q132+R132+S132+T132+U132</f>
        <v>930356.337344</v>
      </c>
      <c r="W132" s="430">
        <v>12</v>
      </c>
      <c r="X132" s="423">
        <f t="shared" si="131"/>
        <v>77529.694778666701</v>
      </c>
      <c r="Y132" s="426"/>
      <c r="Z132" s="434">
        <f t="shared" si="132"/>
        <v>77529.694778666701</v>
      </c>
      <c r="AA132" s="435">
        <v>46081.202598666699</v>
      </c>
      <c r="AB132" s="435">
        <f t="shared" si="13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243</v>
      </c>
      <c r="C133" s="423">
        <v>554373.75</v>
      </c>
      <c r="D133" s="422">
        <v>12</v>
      </c>
      <c r="E133" s="423">
        <f t="shared" si="133"/>
        <v>6652485</v>
      </c>
      <c r="F133" s="423">
        <f>712.24525*12</f>
        <v>8546.9429999999993</v>
      </c>
      <c r="G133" s="424">
        <v>464998.8</v>
      </c>
      <c r="H133" s="426"/>
      <c r="I133" s="423">
        <f t="shared" si="121"/>
        <v>6178939.2570000002</v>
      </c>
      <c r="J133" s="423">
        <v>200000</v>
      </c>
      <c r="K133" s="423">
        <v>0.2</v>
      </c>
      <c r="L133" s="423">
        <f t="shared" si="122"/>
        <v>1235787.8514</v>
      </c>
      <c r="M133" s="423">
        <f t="shared" si="123"/>
        <v>1435787.8514</v>
      </c>
      <c r="N133" s="423">
        <f t="shared" si="124"/>
        <v>1909333.5944000001</v>
      </c>
      <c r="O133" s="423">
        <f t="shared" si="125"/>
        <v>4743151.4056000002</v>
      </c>
      <c r="P133" s="423">
        <f t="shared" si="126"/>
        <v>21000</v>
      </c>
      <c r="Q133" s="423">
        <f t="shared" si="127"/>
        <v>33000</v>
      </c>
      <c r="R133" s="423">
        <f t="shared" si="128"/>
        <v>75000</v>
      </c>
      <c r="S133" s="423">
        <f t="shared" si="129"/>
        <v>95000</v>
      </c>
      <c r="T133" s="423">
        <f t="shared" si="130"/>
        <v>336000</v>
      </c>
      <c r="U133" s="423">
        <f t="shared" si="103"/>
        <v>370356.337344</v>
      </c>
      <c r="V133" s="423">
        <f t="shared" si="135"/>
        <v>930356.337344</v>
      </c>
      <c r="W133" s="430">
        <v>12</v>
      </c>
      <c r="X133" s="423">
        <f t="shared" si="131"/>
        <v>77529.694778666701</v>
      </c>
      <c r="Y133" s="426"/>
      <c r="Z133" s="434">
        <f t="shared" si="132"/>
        <v>77529.694778666701</v>
      </c>
      <c r="AA133" s="435">
        <v>46081.202598666699</v>
      </c>
      <c r="AB133" s="435">
        <f t="shared" si="13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245</v>
      </c>
      <c r="C134" s="423">
        <v>554373.75</v>
      </c>
      <c r="D134" s="422">
        <v>12</v>
      </c>
      <c r="E134" s="423">
        <f t="shared" si="133"/>
        <v>6652485</v>
      </c>
      <c r="F134" s="423">
        <f>712.24525*12</f>
        <v>8546.9429999999993</v>
      </c>
      <c r="G134" s="424">
        <v>464998.8</v>
      </c>
      <c r="H134" s="426"/>
      <c r="I134" s="423">
        <f t="shared" si="121"/>
        <v>6178939.2570000002</v>
      </c>
      <c r="J134" s="423">
        <v>200000</v>
      </c>
      <c r="K134" s="423">
        <v>0.2</v>
      </c>
      <c r="L134" s="423">
        <f t="shared" si="122"/>
        <v>1235787.8514</v>
      </c>
      <c r="M134" s="423">
        <f t="shared" si="123"/>
        <v>1435787.8514</v>
      </c>
      <c r="N134" s="423">
        <f t="shared" si="124"/>
        <v>1909333.5944000001</v>
      </c>
      <c r="O134" s="423">
        <f t="shared" si="125"/>
        <v>4743151.4056000002</v>
      </c>
      <c r="P134" s="423">
        <f t="shared" si="126"/>
        <v>21000</v>
      </c>
      <c r="Q134" s="423">
        <f t="shared" si="127"/>
        <v>33000</v>
      </c>
      <c r="R134" s="423">
        <f t="shared" si="128"/>
        <v>75000</v>
      </c>
      <c r="S134" s="423">
        <f t="shared" si="129"/>
        <v>95000</v>
      </c>
      <c r="T134" s="423">
        <f t="shared" si="130"/>
        <v>336000</v>
      </c>
      <c r="U134" s="423">
        <f t="shared" si="103"/>
        <v>370356.337344</v>
      </c>
      <c r="V134" s="423">
        <f t="shared" si="135"/>
        <v>930356.337344</v>
      </c>
      <c r="W134" s="430">
        <v>12</v>
      </c>
      <c r="X134" s="423">
        <f t="shared" si="131"/>
        <v>77529.694778666701</v>
      </c>
      <c r="Y134" s="426"/>
      <c r="Z134" s="434">
        <f t="shared" si="132"/>
        <v>77529.694778666701</v>
      </c>
      <c r="AA134" s="435">
        <v>46081.202598666699</v>
      </c>
      <c r="AB134" s="435">
        <f t="shared" si="13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180</v>
      </c>
      <c r="C135" s="423">
        <v>450086.5</v>
      </c>
      <c r="D135" s="422">
        <v>12</v>
      </c>
      <c r="E135" s="423">
        <f t="shared" si="133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21"/>
        <v>5019635.5049999999</v>
      </c>
      <c r="J135" s="423">
        <v>200000</v>
      </c>
      <c r="K135" s="423">
        <v>0.2</v>
      </c>
      <c r="L135" s="423">
        <f t="shared" si="122"/>
        <v>1003927.101</v>
      </c>
      <c r="M135" s="423">
        <f t="shared" si="123"/>
        <v>1203927.101</v>
      </c>
      <c r="N135" s="423">
        <f t="shared" si="124"/>
        <v>1585329.5959999999</v>
      </c>
      <c r="O135" s="423">
        <f t="shared" si="125"/>
        <v>3815708.4040000001</v>
      </c>
      <c r="P135" s="423">
        <f t="shared" si="126"/>
        <v>21000</v>
      </c>
      <c r="Q135" s="423">
        <f t="shared" si="127"/>
        <v>33000</v>
      </c>
      <c r="R135" s="423">
        <f t="shared" si="128"/>
        <v>75000</v>
      </c>
      <c r="S135" s="423">
        <f t="shared" si="129"/>
        <v>95000</v>
      </c>
      <c r="T135" s="423">
        <f t="shared" si="130"/>
        <v>336000</v>
      </c>
      <c r="U135" s="423">
        <f t="shared" si="103"/>
        <v>147770.01696000001</v>
      </c>
      <c r="V135" s="423">
        <f t="shared" si="135"/>
        <v>707770.01696000004</v>
      </c>
      <c r="W135" s="430">
        <v>12</v>
      </c>
      <c r="X135" s="423">
        <f t="shared" si="131"/>
        <v>58980.834746666696</v>
      </c>
      <c r="Y135" s="426"/>
      <c r="Z135" s="434">
        <f t="shared" si="132"/>
        <v>58980.834746666696</v>
      </c>
      <c r="AA135" s="435">
        <v>35221.954086666701</v>
      </c>
      <c r="AB135" s="435">
        <f t="shared" si="13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246</v>
      </c>
      <c r="C136" s="423">
        <v>450086.5</v>
      </c>
      <c r="D136" s="422">
        <v>12</v>
      </c>
      <c r="E136" s="423">
        <f t="shared" si="133"/>
        <v>5401038</v>
      </c>
      <c r="F136" s="423"/>
      <c r="G136" s="424">
        <v>374483.04</v>
      </c>
      <c r="H136" s="426"/>
      <c r="I136" s="423">
        <f t="shared" si="121"/>
        <v>5026554.96</v>
      </c>
      <c r="J136" s="423">
        <v>200000</v>
      </c>
      <c r="K136" s="423">
        <v>0.2</v>
      </c>
      <c r="L136" s="423">
        <f t="shared" si="122"/>
        <v>1005310.992</v>
      </c>
      <c r="M136" s="423">
        <f t="shared" si="123"/>
        <v>1205310.9920000001</v>
      </c>
      <c r="N136" s="423">
        <f t="shared" si="124"/>
        <v>1579794.0319999999</v>
      </c>
      <c r="O136" s="423">
        <f t="shared" si="125"/>
        <v>3821243.9679999999</v>
      </c>
      <c r="P136" s="423">
        <f t="shared" si="126"/>
        <v>21000</v>
      </c>
      <c r="Q136" s="423">
        <f t="shared" si="127"/>
        <v>33000</v>
      </c>
      <c r="R136" s="423">
        <f t="shared" si="128"/>
        <v>75000</v>
      </c>
      <c r="S136" s="423">
        <f t="shared" si="129"/>
        <v>95000</v>
      </c>
      <c r="T136" s="423">
        <f t="shared" si="130"/>
        <v>336000</v>
      </c>
      <c r="U136" s="423">
        <f t="shared" si="103"/>
        <v>149098.55231999999</v>
      </c>
      <c r="V136" s="423">
        <f t="shared" si="135"/>
        <v>709098.55232000002</v>
      </c>
      <c r="W136" s="430">
        <v>12</v>
      </c>
      <c r="X136" s="423">
        <f t="shared" si="131"/>
        <v>59091.5460266667</v>
      </c>
      <c r="Y136" s="426"/>
      <c r="Z136" s="434">
        <f t="shared" si="132"/>
        <v>59091.5460266667</v>
      </c>
      <c r="AA136" s="435">
        <v>35318.826456666699</v>
      </c>
      <c r="AB136" s="435">
        <f t="shared" si="13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247</v>
      </c>
      <c r="C137" s="423">
        <v>450086.5</v>
      </c>
      <c r="D137" s="422">
        <v>12</v>
      </c>
      <c r="E137" s="423">
        <f t="shared" si="133"/>
        <v>5401038</v>
      </c>
      <c r="F137" s="423"/>
      <c r="G137" s="424">
        <v>374483.04</v>
      </c>
      <c r="H137" s="426"/>
      <c r="I137" s="423">
        <f t="shared" si="121"/>
        <v>5026554.96</v>
      </c>
      <c r="J137" s="423">
        <v>200000</v>
      </c>
      <c r="K137" s="423">
        <v>0.2</v>
      </c>
      <c r="L137" s="423">
        <f t="shared" si="122"/>
        <v>1005310.992</v>
      </c>
      <c r="M137" s="423">
        <f t="shared" si="123"/>
        <v>1205310.9920000001</v>
      </c>
      <c r="N137" s="423">
        <f t="shared" si="124"/>
        <v>1579794.0319999999</v>
      </c>
      <c r="O137" s="423">
        <f t="shared" si="125"/>
        <v>3821243.9679999999</v>
      </c>
      <c r="P137" s="423">
        <f t="shared" si="126"/>
        <v>21000</v>
      </c>
      <c r="Q137" s="423">
        <f t="shared" si="127"/>
        <v>33000</v>
      </c>
      <c r="R137" s="423">
        <f t="shared" si="128"/>
        <v>75000</v>
      </c>
      <c r="S137" s="423">
        <f t="shared" si="129"/>
        <v>95000</v>
      </c>
      <c r="T137" s="423">
        <f t="shared" si="130"/>
        <v>336000</v>
      </c>
      <c r="U137" s="423">
        <f t="shared" si="103"/>
        <v>149098.55231999999</v>
      </c>
      <c r="V137" s="423">
        <f t="shared" si="135"/>
        <v>709098.55232000002</v>
      </c>
      <c r="W137" s="430">
        <v>12</v>
      </c>
      <c r="X137" s="423">
        <f t="shared" si="131"/>
        <v>59091.5460266667</v>
      </c>
      <c r="Y137" s="426"/>
      <c r="Z137" s="434">
        <f t="shared" si="132"/>
        <v>59091.5460266667</v>
      </c>
      <c r="AA137" s="435">
        <v>35318.826456666699</v>
      </c>
      <c r="AB137" s="435">
        <f t="shared" si="134"/>
        <v>23772.719570000001</v>
      </c>
      <c r="AC137" s="435"/>
      <c r="AD137" s="435"/>
      <c r="AE137" s="435"/>
    </row>
    <row r="138" spans="1:31" ht="37.5">
      <c r="A138" s="420">
        <v>121</v>
      </c>
      <c r="B138" s="9" t="s">
        <v>249</v>
      </c>
      <c r="C138" s="423">
        <v>437895.16666666698</v>
      </c>
      <c r="D138" s="422">
        <v>12</v>
      </c>
      <c r="E138" s="423">
        <f t="shared" si="133"/>
        <v>5254742</v>
      </c>
      <c r="F138" s="423"/>
      <c r="G138" s="424">
        <v>362779.36</v>
      </c>
      <c r="H138" s="426"/>
      <c r="I138" s="423">
        <f t="shared" si="121"/>
        <v>4891962.6399999997</v>
      </c>
      <c r="J138" s="423">
        <v>200000</v>
      </c>
      <c r="K138" s="423">
        <v>0.2</v>
      </c>
      <c r="L138" s="423">
        <f t="shared" si="122"/>
        <v>978392.52800000005</v>
      </c>
      <c r="M138" s="423">
        <f t="shared" si="123"/>
        <v>1178392.5279999999</v>
      </c>
      <c r="N138" s="423">
        <f t="shared" si="124"/>
        <v>1541171.888</v>
      </c>
      <c r="O138" s="423">
        <f t="shared" si="125"/>
        <v>3713570.1120000002</v>
      </c>
      <c r="P138" s="423">
        <f t="shared" si="126"/>
        <v>21000</v>
      </c>
      <c r="Q138" s="423">
        <f t="shared" si="127"/>
        <v>33000</v>
      </c>
      <c r="R138" s="423">
        <f t="shared" si="128"/>
        <v>75000</v>
      </c>
      <c r="S138" s="423">
        <f t="shared" si="129"/>
        <v>95000</v>
      </c>
      <c r="T138" s="423">
        <f t="shared" si="130"/>
        <v>336000</v>
      </c>
      <c r="U138" s="423">
        <f t="shared" si="103"/>
        <v>123256.82687999999</v>
      </c>
      <c r="V138" s="423">
        <f t="shared" si="135"/>
        <v>683256.82687999995</v>
      </c>
      <c r="W138" s="430">
        <v>12</v>
      </c>
      <c r="X138" s="423">
        <f t="shared" si="131"/>
        <v>56938.068906666696</v>
      </c>
      <c r="Y138" s="426"/>
      <c r="Z138" s="434">
        <f t="shared" si="132"/>
        <v>56938.068906666696</v>
      </c>
      <c r="AA138" s="435">
        <v>34968.882414666703</v>
      </c>
      <c r="AB138" s="435">
        <f t="shared" si="13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251</v>
      </c>
      <c r="C139" s="423">
        <v>425703.83333333302</v>
      </c>
      <c r="D139" s="422">
        <v>12</v>
      </c>
      <c r="E139" s="423">
        <f t="shared" si="133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21"/>
        <v>4750914.0559999999</v>
      </c>
      <c r="J139" s="423">
        <v>200000</v>
      </c>
      <c r="K139" s="423">
        <v>0.2</v>
      </c>
      <c r="L139" s="423">
        <f t="shared" si="122"/>
        <v>950182.8112</v>
      </c>
      <c r="M139" s="423">
        <f t="shared" si="123"/>
        <v>1150182.8112000001</v>
      </c>
      <c r="N139" s="423">
        <f t="shared" si="124"/>
        <v>1507714.7552</v>
      </c>
      <c r="O139" s="423">
        <f t="shared" si="125"/>
        <v>3600731.2448</v>
      </c>
      <c r="P139" s="423">
        <f t="shared" si="126"/>
        <v>21000</v>
      </c>
      <c r="Q139" s="423">
        <f t="shared" si="127"/>
        <v>33000</v>
      </c>
      <c r="R139" s="423">
        <f t="shared" si="128"/>
        <v>75000</v>
      </c>
      <c r="S139" s="423">
        <f t="shared" si="129"/>
        <v>95000</v>
      </c>
      <c r="T139" s="423">
        <f t="shared" si="130"/>
        <v>336000</v>
      </c>
      <c r="U139" s="423">
        <f t="shared" si="103"/>
        <v>96175.498752</v>
      </c>
      <c r="V139" s="423">
        <f t="shared" si="135"/>
        <v>656175.49875200004</v>
      </c>
      <c r="W139" s="430">
        <v>12</v>
      </c>
      <c r="X139" s="423">
        <f t="shared" si="131"/>
        <v>54681.291562666702</v>
      </c>
      <c r="Y139" s="426"/>
      <c r="Z139" s="434">
        <f t="shared" si="132"/>
        <v>54681.291562666702</v>
      </c>
      <c r="AA139" s="435">
        <v>32848.563402666703</v>
      </c>
      <c r="AB139" s="435">
        <f t="shared" si="134"/>
        <v>21832.728159999999</v>
      </c>
      <c r="AC139" s="435"/>
      <c r="AD139" s="435"/>
      <c r="AE139" s="435"/>
    </row>
    <row r="140" spans="1:31" ht="37.5">
      <c r="A140" s="420">
        <v>123</v>
      </c>
      <c r="B140" s="9" t="s">
        <v>253</v>
      </c>
      <c r="C140" s="423">
        <v>450086.5</v>
      </c>
      <c r="D140" s="422">
        <v>12</v>
      </c>
      <c r="E140" s="423">
        <f t="shared" si="133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21"/>
        <v>5019635.5049999999</v>
      </c>
      <c r="J140" s="423">
        <v>200000</v>
      </c>
      <c r="K140" s="423">
        <v>0.2</v>
      </c>
      <c r="L140" s="423">
        <f t="shared" si="122"/>
        <v>1003927.101</v>
      </c>
      <c r="M140" s="423">
        <f t="shared" si="123"/>
        <v>1203927.101</v>
      </c>
      <c r="N140" s="423">
        <f t="shared" si="124"/>
        <v>1585329.5959999999</v>
      </c>
      <c r="O140" s="423">
        <f t="shared" si="125"/>
        <v>3815708.4040000001</v>
      </c>
      <c r="P140" s="423">
        <f t="shared" si="126"/>
        <v>21000</v>
      </c>
      <c r="Q140" s="423">
        <f t="shared" si="127"/>
        <v>33000</v>
      </c>
      <c r="R140" s="423">
        <f t="shared" si="128"/>
        <v>75000</v>
      </c>
      <c r="S140" s="423">
        <f t="shared" si="129"/>
        <v>95000</v>
      </c>
      <c r="T140" s="423">
        <f t="shared" si="130"/>
        <v>336000</v>
      </c>
      <c r="U140" s="423">
        <f t="shared" si="103"/>
        <v>147770.01696000001</v>
      </c>
      <c r="V140" s="423">
        <f t="shared" si="135"/>
        <v>707770.01696000004</v>
      </c>
      <c r="W140" s="430">
        <v>12</v>
      </c>
      <c r="X140" s="423">
        <f t="shared" si="131"/>
        <v>58980.834746666696</v>
      </c>
      <c r="Y140" s="426"/>
      <c r="Z140" s="434">
        <f t="shared" si="132"/>
        <v>58980.834746666696</v>
      </c>
      <c r="AA140" s="435">
        <v>35221.954086666701</v>
      </c>
      <c r="AB140" s="435">
        <f t="shared" si="134"/>
        <v>23758.880659999999</v>
      </c>
      <c r="AC140" s="435"/>
      <c r="AD140" s="435"/>
      <c r="AE140" s="435"/>
    </row>
    <row r="141" spans="1:31" ht="18.75">
      <c r="A141" s="420">
        <v>124</v>
      </c>
      <c r="B141" s="16" t="s">
        <v>256</v>
      </c>
      <c r="C141" s="423">
        <v>413512.5</v>
      </c>
      <c r="D141" s="422">
        <v>12</v>
      </c>
      <c r="E141" s="423">
        <f t="shared" si="133"/>
        <v>4962150</v>
      </c>
      <c r="F141" s="423">
        <v>0</v>
      </c>
      <c r="G141" s="424">
        <v>339372</v>
      </c>
      <c r="H141" s="426"/>
      <c r="I141" s="423">
        <f t="shared" si="121"/>
        <v>4622778</v>
      </c>
      <c r="J141" s="423">
        <v>200000</v>
      </c>
      <c r="K141" s="423">
        <v>0.2</v>
      </c>
      <c r="L141" s="423">
        <f t="shared" si="122"/>
        <v>924555.6</v>
      </c>
      <c r="M141" s="423">
        <f t="shared" si="123"/>
        <v>1124555.6000000001</v>
      </c>
      <c r="N141" s="423">
        <f t="shared" si="124"/>
        <v>1463927.6</v>
      </c>
      <c r="O141" s="423">
        <f t="shared" si="125"/>
        <v>3498222.4</v>
      </c>
      <c r="P141" s="423">
        <f t="shared" si="126"/>
        <v>21000</v>
      </c>
      <c r="Q141" s="423">
        <f t="shared" si="127"/>
        <v>33000</v>
      </c>
      <c r="R141" s="423">
        <f t="shared" si="128"/>
        <v>75000</v>
      </c>
      <c r="S141" s="423">
        <f t="shared" si="129"/>
        <v>95000</v>
      </c>
      <c r="T141" s="423">
        <f t="shared" si="130"/>
        <v>336000</v>
      </c>
      <c r="U141" s="423">
        <f t="shared" si="103"/>
        <v>71573.376000000004</v>
      </c>
      <c r="V141" s="423">
        <f t="shared" si="135"/>
        <v>631573.37600000005</v>
      </c>
      <c r="W141" s="430">
        <v>12</v>
      </c>
      <c r="X141" s="423">
        <f t="shared" si="131"/>
        <v>52631.114666666697</v>
      </c>
      <c r="Y141" s="426"/>
      <c r="Z141" s="434">
        <f t="shared" si="132"/>
        <v>52631.114666666697</v>
      </c>
      <c r="AA141" s="435">
        <v>31749.175266666702</v>
      </c>
      <c r="AB141" s="435">
        <f t="shared" si="13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258</v>
      </c>
      <c r="C142" s="423">
        <v>368901.5</v>
      </c>
      <c r="D142" s="422">
        <v>12</v>
      </c>
      <c r="E142" s="423">
        <f t="shared" si="133"/>
        <v>4426818</v>
      </c>
      <c r="F142" s="423"/>
      <c r="G142" s="424">
        <v>296545.44</v>
      </c>
      <c r="H142" s="426"/>
      <c r="I142" s="423">
        <f t="shared" si="121"/>
        <v>4130272.56</v>
      </c>
      <c r="J142" s="423">
        <v>200000</v>
      </c>
      <c r="K142" s="423">
        <v>0.2</v>
      </c>
      <c r="L142" s="423">
        <f t="shared" si="122"/>
        <v>826054.51199999999</v>
      </c>
      <c r="M142" s="423">
        <f t="shared" si="123"/>
        <v>1026054.512</v>
      </c>
      <c r="N142" s="423">
        <f t="shared" si="124"/>
        <v>1322599.952</v>
      </c>
      <c r="O142" s="423">
        <f t="shared" si="125"/>
        <v>3104218.048</v>
      </c>
      <c r="P142" s="423">
        <f t="shared" si="126"/>
        <v>21000</v>
      </c>
      <c r="Q142" s="423">
        <f t="shared" si="127"/>
        <v>33000</v>
      </c>
      <c r="R142" s="423">
        <f t="shared" si="128"/>
        <v>75000</v>
      </c>
      <c r="S142" s="423">
        <f t="shared" si="129"/>
        <v>95000</v>
      </c>
      <c r="T142" s="423">
        <f t="shared" si="130"/>
        <v>315885.79008000001</v>
      </c>
      <c r="U142" s="423"/>
      <c r="V142" s="423">
        <f t="shared" si="135"/>
        <v>539885.79007999995</v>
      </c>
      <c r="W142" s="430">
        <v>12</v>
      </c>
      <c r="X142" s="423">
        <f t="shared" si="131"/>
        <v>44990.482506666704</v>
      </c>
      <c r="Y142" s="426"/>
      <c r="Z142" s="434">
        <f t="shared" si="132"/>
        <v>44990.482506666704</v>
      </c>
      <c r="AA142" s="435">
        <v>27105.986562666702</v>
      </c>
      <c r="AB142" s="435">
        <f t="shared" si="13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259</v>
      </c>
      <c r="C143" s="423">
        <v>376837.41666666698</v>
      </c>
      <c r="D143" s="422">
        <v>12</v>
      </c>
      <c r="E143" s="423">
        <f t="shared" si="133"/>
        <v>4522049</v>
      </c>
      <c r="F143" s="423">
        <f>469.4825*12</f>
        <v>5633.79</v>
      </c>
      <c r="G143" s="424">
        <v>304163.92</v>
      </c>
      <c r="H143" s="426"/>
      <c r="I143" s="423">
        <f t="shared" si="121"/>
        <v>4212251.29</v>
      </c>
      <c r="J143" s="423">
        <v>200000</v>
      </c>
      <c r="K143" s="423">
        <v>0.2</v>
      </c>
      <c r="L143" s="423">
        <f t="shared" si="122"/>
        <v>842450.25800000003</v>
      </c>
      <c r="M143" s="423">
        <f t="shared" si="123"/>
        <v>1042450.258</v>
      </c>
      <c r="N143" s="423">
        <f t="shared" si="124"/>
        <v>1352247.9680000001</v>
      </c>
      <c r="O143" s="423">
        <f t="shared" si="125"/>
        <v>3169801.0320000001</v>
      </c>
      <c r="P143" s="423">
        <f t="shared" si="126"/>
        <v>21000</v>
      </c>
      <c r="Q143" s="423">
        <f t="shared" si="127"/>
        <v>33000</v>
      </c>
      <c r="R143" s="423">
        <f t="shared" si="128"/>
        <v>75000</v>
      </c>
      <c r="S143" s="423">
        <f t="shared" si="129"/>
        <v>95000</v>
      </c>
      <c r="T143" s="423">
        <f t="shared" si="130"/>
        <v>329658.21672000003</v>
      </c>
      <c r="U143" s="423"/>
      <c r="V143" s="423">
        <f t="shared" si="135"/>
        <v>553658.21672000003</v>
      </c>
      <c r="W143" s="430">
        <v>12</v>
      </c>
      <c r="X143" s="423">
        <f t="shared" si="131"/>
        <v>46138.184726666703</v>
      </c>
      <c r="Y143" s="426"/>
      <c r="Z143" s="434">
        <f t="shared" si="132"/>
        <v>46138.184726666703</v>
      </c>
      <c r="AA143" s="435">
        <v>27794.206626666699</v>
      </c>
      <c r="AB143" s="435">
        <f t="shared" si="13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260</v>
      </c>
      <c r="C144" s="423">
        <v>376837.41666666698</v>
      </c>
      <c r="D144" s="422">
        <v>12</v>
      </c>
      <c r="E144" s="423">
        <f t="shared" si="133"/>
        <v>4522049</v>
      </c>
      <c r="F144" s="423"/>
      <c r="G144" s="424">
        <v>304163.92</v>
      </c>
      <c r="H144" s="426"/>
      <c r="I144" s="423">
        <f t="shared" si="121"/>
        <v>4217885.08</v>
      </c>
      <c r="J144" s="423">
        <v>200000</v>
      </c>
      <c r="K144" s="423">
        <v>0.2</v>
      </c>
      <c r="L144" s="423">
        <f t="shared" si="122"/>
        <v>843577.01599999995</v>
      </c>
      <c r="M144" s="423">
        <f t="shared" si="123"/>
        <v>1043577.0159999999</v>
      </c>
      <c r="N144" s="423">
        <f t="shared" si="124"/>
        <v>1347740.936</v>
      </c>
      <c r="O144" s="423">
        <f t="shared" si="125"/>
        <v>3174308.0639999998</v>
      </c>
      <c r="P144" s="423">
        <f t="shared" si="126"/>
        <v>21000</v>
      </c>
      <c r="Q144" s="423">
        <f t="shared" si="127"/>
        <v>33000</v>
      </c>
      <c r="R144" s="423">
        <f t="shared" si="128"/>
        <v>75000</v>
      </c>
      <c r="S144" s="423">
        <f t="shared" si="129"/>
        <v>95000</v>
      </c>
      <c r="T144" s="423">
        <f t="shared" si="130"/>
        <v>330604.69344</v>
      </c>
      <c r="U144" s="423"/>
      <c r="V144" s="423">
        <f t="shared" si="135"/>
        <v>554604.69343999994</v>
      </c>
      <c r="W144" s="430">
        <v>12</v>
      </c>
      <c r="X144" s="423">
        <f t="shared" si="131"/>
        <v>46217.057786666701</v>
      </c>
      <c r="Y144" s="426"/>
      <c r="Z144" s="434">
        <f t="shared" si="132"/>
        <v>46217.057786666701</v>
      </c>
      <c r="AA144" s="435">
        <v>27873.079686666701</v>
      </c>
      <c r="AB144" s="435">
        <f t="shared" si="13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261</v>
      </c>
      <c r="C145" s="423">
        <v>360965.58333333302</v>
      </c>
      <c r="D145" s="422">
        <v>12</v>
      </c>
      <c r="E145" s="423">
        <f t="shared" si="133"/>
        <v>4331587</v>
      </c>
      <c r="F145" s="423"/>
      <c r="G145" s="424">
        <v>288926.96000000002</v>
      </c>
      <c r="H145" s="426"/>
      <c r="I145" s="423">
        <f t="shared" si="121"/>
        <v>4042660.04</v>
      </c>
      <c r="J145" s="423">
        <v>200000</v>
      </c>
      <c r="K145" s="423">
        <v>0.2</v>
      </c>
      <c r="L145" s="423">
        <f t="shared" si="122"/>
        <v>808532.00800000003</v>
      </c>
      <c r="M145" s="423">
        <f t="shared" si="123"/>
        <v>1008532.008</v>
      </c>
      <c r="N145" s="423">
        <f t="shared" si="124"/>
        <v>1297458.9680000001</v>
      </c>
      <c r="O145" s="423">
        <f t="shared" si="125"/>
        <v>3034128.0320000001</v>
      </c>
      <c r="P145" s="423">
        <f t="shared" si="126"/>
        <v>21000</v>
      </c>
      <c r="Q145" s="423">
        <f t="shared" si="127"/>
        <v>33000</v>
      </c>
      <c r="R145" s="423">
        <f t="shared" si="128"/>
        <v>75000</v>
      </c>
      <c r="S145" s="423">
        <f t="shared" si="129"/>
        <v>95000</v>
      </c>
      <c r="T145" s="423">
        <f t="shared" si="130"/>
        <v>301166.88672000001</v>
      </c>
      <c r="U145" s="423"/>
      <c r="V145" s="423">
        <f t="shared" si="135"/>
        <v>525166.88671999995</v>
      </c>
      <c r="W145" s="430">
        <v>12</v>
      </c>
      <c r="X145" s="423">
        <f t="shared" si="131"/>
        <v>43763.907226666699</v>
      </c>
      <c r="Y145" s="426"/>
      <c r="Z145" s="434">
        <f t="shared" si="132"/>
        <v>43763.907226666699</v>
      </c>
      <c r="AA145" s="435">
        <v>27105.986562666702</v>
      </c>
      <c r="AB145" s="435">
        <f t="shared" si="134"/>
        <v>16657.920664000001</v>
      </c>
      <c r="AC145" s="435"/>
      <c r="AD145" s="435"/>
      <c r="AE145" s="435"/>
    </row>
    <row r="146" spans="1:31" ht="37.5">
      <c r="A146" s="420">
        <v>129</v>
      </c>
      <c r="B146" s="9" t="s">
        <v>263</v>
      </c>
      <c r="C146" s="423">
        <v>323165.33333333302</v>
      </c>
      <c r="D146" s="422">
        <v>12</v>
      </c>
      <c r="E146" s="423">
        <f t="shared" si="133"/>
        <v>3877984</v>
      </c>
      <c r="F146" s="423"/>
      <c r="G146" s="424">
        <v>252638.72</v>
      </c>
      <c r="H146" s="426"/>
      <c r="I146" s="423">
        <f t="shared" si="121"/>
        <v>3625345.28</v>
      </c>
      <c r="J146" s="423">
        <v>200000</v>
      </c>
      <c r="K146" s="423">
        <v>0.2</v>
      </c>
      <c r="L146" s="423">
        <f t="shared" si="122"/>
        <v>725069.05599999998</v>
      </c>
      <c r="M146" s="423">
        <f t="shared" si="123"/>
        <v>925069.05599999998</v>
      </c>
      <c r="N146" s="423">
        <f t="shared" si="124"/>
        <v>1177707.7760000001</v>
      </c>
      <c r="O146" s="423">
        <f t="shared" si="125"/>
        <v>2700276.2239999999</v>
      </c>
      <c r="P146" s="423">
        <f t="shared" si="126"/>
        <v>21000</v>
      </c>
      <c r="Q146" s="423">
        <f t="shared" si="127"/>
        <v>33000</v>
      </c>
      <c r="R146" s="423">
        <f t="shared" si="128"/>
        <v>75000</v>
      </c>
      <c r="S146" s="423">
        <f t="shared" si="129"/>
        <v>95000</v>
      </c>
      <c r="T146" s="423">
        <f t="shared" si="130"/>
        <v>231058.00704</v>
      </c>
      <c r="U146" s="423"/>
      <c r="V146" s="423">
        <f t="shared" si="135"/>
        <v>455058.00704</v>
      </c>
      <c r="W146" s="430">
        <v>12</v>
      </c>
      <c r="X146" s="423">
        <f t="shared" si="131"/>
        <v>37921.500586666698</v>
      </c>
      <c r="Y146" s="426"/>
      <c r="Z146" s="434">
        <f t="shared" si="132"/>
        <v>37921.500586666698</v>
      </c>
      <c r="AA146" s="435">
        <v>22338.4826046667</v>
      </c>
      <c r="AB146" s="435">
        <f t="shared" si="134"/>
        <v>15583.017981999999</v>
      </c>
      <c r="AC146" s="435"/>
      <c r="AD146" s="435"/>
      <c r="AE146" s="435"/>
    </row>
    <row r="147" spans="1:31" ht="18.75">
      <c r="A147" s="420">
        <v>130</v>
      </c>
      <c r="B147" s="9" t="s">
        <v>265</v>
      </c>
      <c r="C147" s="423">
        <v>368901.5</v>
      </c>
      <c r="D147" s="422">
        <v>12</v>
      </c>
      <c r="E147" s="423">
        <f t="shared" si="133"/>
        <v>4426818</v>
      </c>
      <c r="F147" s="423"/>
      <c r="G147" s="424">
        <v>296545.44</v>
      </c>
      <c r="H147" s="426"/>
      <c r="I147" s="423">
        <f t="shared" si="121"/>
        <v>4130272.56</v>
      </c>
      <c r="J147" s="423">
        <v>200000</v>
      </c>
      <c r="K147" s="423">
        <v>0.2</v>
      </c>
      <c r="L147" s="423">
        <f t="shared" si="122"/>
        <v>826054.51199999999</v>
      </c>
      <c r="M147" s="423">
        <f t="shared" si="123"/>
        <v>1026054.512</v>
      </c>
      <c r="N147" s="423">
        <f t="shared" si="124"/>
        <v>1322599.952</v>
      </c>
      <c r="O147" s="423">
        <f t="shared" si="125"/>
        <v>3104218.048</v>
      </c>
      <c r="P147" s="423">
        <f t="shared" si="126"/>
        <v>21000</v>
      </c>
      <c r="Q147" s="423">
        <f t="shared" si="127"/>
        <v>33000</v>
      </c>
      <c r="R147" s="423">
        <f t="shared" si="128"/>
        <v>75000</v>
      </c>
      <c r="S147" s="423">
        <f t="shared" si="129"/>
        <v>95000</v>
      </c>
      <c r="T147" s="423">
        <f t="shared" si="130"/>
        <v>315885.79008000001</v>
      </c>
      <c r="U147" s="423"/>
      <c r="V147" s="423">
        <f t="shared" si="135"/>
        <v>539885.79007999995</v>
      </c>
      <c r="W147" s="430">
        <v>12</v>
      </c>
      <c r="X147" s="423">
        <f t="shared" si="131"/>
        <v>44990.482506666704</v>
      </c>
      <c r="Y147" s="426"/>
      <c r="Z147" s="434">
        <f t="shared" si="132"/>
        <v>44990.482506666704</v>
      </c>
      <c r="AA147" s="435">
        <v>27105.986562666702</v>
      </c>
      <c r="AB147" s="435">
        <f t="shared" si="13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268</v>
      </c>
      <c r="C148" s="423">
        <v>330481.66666666698</v>
      </c>
      <c r="D148" s="422">
        <v>12</v>
      </c>
      <c r="E148" s="423">
        <f t="shared" si="133"/>
        <v>3965780</v>
      </c>
      <c r="F148" s="423"/>
      <c r="G148" s="424">
        <v>259662.4</v>
      </c>
      <c r="H148" s="426"/>
      <c r="I148" s="423">
        <f t="shared" si="121"/>
        <v>3706117.6</v>
      </c>
      <c r="J148" s="423">
        <v>200000</v>
      </c>
      <c r="K148" s="423">
        <v>0.2</v>
      </c>
      <c r="L148" s="423">
        <f t="shared" si="122"/>
        <v>741223.52</v>
      </c>
      <c r="M148" s="423">
        <f t="shared" si="123"/>
        <v>941223.52</v>
      </c>
      <c r="N148" s="423">
        <f t="shared" si="124"/>
        <v>1200885.92</v>
      </c>
      <c r="O148" s="423">
        <f t="shared" si="125"/>
        <v>2764894.08</v>
      </c>
      <c r="P148" s="423">
        <f t="shared" si="126"/>
        <v>21000</v>
      </c>
      <c r="Q148" s="423">
        <f t="shared" si="127"/>
        <v>33000</v>
      </c>
      <c r="R148" s="423">
        <f t="shared" si="128"/>
        <v>75000</v>
      </c>
      <c r="S148" s="423">
        <f t="shared" si="129"/>
        <v>95000</v>
      </c>
      <c r="T148" s="423">
        <f t="shared" si="130"/>
        <v>244627.7568</v>
      </c>
      <c r="U148" s="423"/>
      <c r="V148" s="423">
        <f t="shared" si="135"/>
        <v>468627.75679999997</v>
      </c>
      <c r="W148" s="430">
        <v>12</v>
      </c>
      <c r="X148" s="423">
        <f t="shared" si="131"/>
        <v>39052.313066666698</v>
      </c>
      <c r="Y148" s="426"/>
      <c r="Z148" s="434">
        <f t="shared" si="132"/>
        <v>39052.313066666698</v>
      </c>
      <c r="AA148" s="435">
        <v>23036.012346666699</v>
      </c>
      <c r="AB148" s="435">
        <f t="shared" si="13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270</v>
      </c>
      <c r="C149" s="423">
        <v>368901.5</v>
      </c>
      <c r="D149" s="422">
        <v>12</v>
      </c>
      <c r="E149" s="423">
        <f t="shared" si="133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21"/>
        <v>4124788.068</v>
      </c>
      <c r="J149" s="423">
        <v>200000</v>
      </c>
      <c r="K149" s="423">
        <v>0.2</v>
      </c>
      <c r="L149" s="423">
        <f t="shared" si="122"/>
        <v>824957.61360000004</v>
      </c>
      <c r="M149" s="423">
        <f t="shared" si="123"/>
        <v>1024957.6136</v>
      </c>
      <c r="N149" s="423">
        <f t="shared" si="124"/>
        <v>1326987.5456000001</v>
      </c>
      <c r="O149" s="423">
        <f t="shared" si="125"/>
        <v>3099830.4544000002</v>
      </c>
      <c r="P149" s="423">
        <f t="shared" si="126"/>
        <v>21000</v>
      </c>
      <c r="Q149" s="423">
        <f t="shared" si="127"/>
        <v>33000</v>
      </c>
      <c r="R149" s="423">
        <f t="shared" si="128"/>
        <v>75000</v>
      </c>
      <c r="S149" s="423">
        <f t="shared" si="129"/>
        <v>95000</v>
      </c>
      <c r="T149" s="423">
        <f t="shared" si="130"/>
        <v>314964.39542399999</v>
      </c>
      <c r="U149" s="423"/>
      <c r="V149" s="423">
        <f t="shared" si="135"/>
        <v>538964.39542399999</v>
      </c>
      <c r="W149" s="430">
        <v>12</v>
      </c>
      <c r="X149" s="423">
        <f t="shared" si="131"/>
        <v>44913.699618666702</v>
      </c>
      <c r="Y149" s="426"/>
      <c r="Z149" s="434">
        <f t="shared" si="132"/>
        <v>44913.699618666702</v>
      </c>
      <c r="AA149" s="435">
        <v>27029.2036746667</v>
      </c>
      <c r="AB149" s="435">
        <f t="shared" si="13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272</v>
      </c>
      <c r="C150" s="423">
        <v>330481.66666666698</v>
      </c>
      <c r="D150" s="422">
        <v>12</v>
      </c>
      <c r="E150" s="423">
        <f t="shared" si="133"/>
        <v>3965780</v>
      </c>
      <c r="F150" s="423"/>
      <c r="G150" s="424">
        <v>259662.4</v>
      </c>
      <c r="H150" s="426"/>
      <c r="I150" s="423">
        <f t="shared" si="121"/>
        <v>3706117.6</v>
      </c>
      <c r="J150" s="423">
        <v>200000</v>
      </c>
      <c r="K150" s="423">
        <v>0.2</v>
      </c>
      <c r="L150" s="423">
        <f t="shared" si="122"/>
        <v>741223.52</v>
      </c>
      <c r="M150" s="423">
        <f t="shared" si="123"/>
        <v>941223.52</v>
      </c>
      <c r="N150" s="423">
        <f t="shared" si="124"/>
        <v>1200885.92</v>
      </c>
      <c r="O150" s="423">
        <f t="shared" si="125"/>
        <v>2764894.08</v>
      </c>
      <c r="P150" s="423">
        <f t="shared" si="126"/>
        <v>21000</v>
      </c>
      <c r="Q150" s="423">
        <f t="shared" si="127"/>
        <v>33000</v>
      </c>
      <c r="R150" s="423">
        <f t="shared" si="128"/>
        <v>75000</v>
      </c>
      <c r="S150" s="423">
        <f t="shared" si="129"/>
        <v>95000</v>
      </c>
      <c r="T150" s="423">
        <f t="shared" si="130"/>
        <v>244627.7568</v>
      </c>
      <c r="U150" s="423"/>
      <c r="V150" s="423">
        <f t="shared" si="135"/>
        <v>468627.75679999997</v>
      </c>
      <c r="W150" s="430">
        <v>12</v>
      </c>
      <c r="X150" s="423">
        <f t="shared" si="131"/>
        <v>39052.313066666698</v>
      </c>
      <c r="Y150" s="426"/>
      <c r="Z150" s="434">
        <f t="shared" si="132"/>
        <v>39052.313066666698</v>
      </c>
      <c r="AA150" s="435">
        <v>22338.4826046667</v>
      </c>
      <c r="AB150" s="435">
        <f t="shared" si="13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274</v>
      </c>
      <c r="C151" s="423">
        <v>315849</v>
      </c>
      <c r="D151" s="422">
        <v>12</v>
      </c>
      <c r="E151" s="423">
        <f t="shared" si="133"/>
        <v>3790188</v>
      </c>
      <c r="F151" s="423"/>
      <c r="G151" s="424">
        <v>245615.04</v>
      </c>
      <c r="H151" s="426"/>
      <c r="I151" s="423">
        <f t="shared" si="121"/>
        <v>3544572.96</v>
      </c>
      <c r="J151" s="423">
        <v>200000</v>
      </c>
      <c r="K151" s="423">
        <v>0.2</v>
      </c>
      <c r="L151" s="423">
        <f t="shared" si="122"/>
        <v>708914.59199999995</v>
      </c>
      <c r="M151" s="423">
        <f t="shared" si="123"/>
        <v>908914.59199999995</v>
      </c>
      <c r="N151" s="423">
        <f t="shared" si="124"/>
        <v>1154529.632</v>
      </c>
      <c r="O151" s="423">
        <f t="shared" si="125"/>
        <v>2635658.3679999998</v>
      </c>
      <c r="P151" s="423">
        <f t="shared" si="126"/>
        <v>21000</v>
      </c>
      <c r="Q151" s="423">
        <f t="shared" si="127"/>
        <v>33000</v>
      </c>
      <c r="R151" s="423">
        <f t="shared" si="128"/>
        <v>75000</v>
      </c>
      <c r="S151" s="423">
        <f t="shared" si="129"/>
        <v>95000</v>
      </c>
      <c r="T151" s="423">
        <f t="shared" si="130"/>
        <v>217488.25727999999</v>
      </c>
      <c r="U151" s="423"/>
      <c r="V151" s="423">
        <f t="shared" si="135"/>
        <v>441488.25728000002</v>
      </c>
      <c r="W151" s="430">
        <v>12</v>
      </c>
      <c r="X151" s="423">
        <f t="shared" si="131"/>
        <v>36790.688106666697</v>
      </c>
      <c r="Y151" s="426"/>
      <c r="Z151" s="434">
        <f t="shared" si="132"/>
        <v>36790.688106666697</v>
      </c>
      <c r="AA151" s="435">
        <v>21640.952862666702</v>
      </c>
      <c r="AB151" s="435">
        <f t="shared" si="13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277</v>
      </c>
      <c r="C152" s="423">
        <v>274459.75</v>
      </c>
      <c r="D152" s="422">
        <v>12</v>
      </c>
      <c r="E152" s="423">
        <f t="shared" si="133"/>
        <v>3293517</v>
      </c>
      <c r="F152" s="423">
        <v>0</v>
      </c>
      <c r="G152" s="424">
        <v>215481.36</v>
      </c>
      <c r="H152" s="426"/>
      <c r="I152" s="423">
        <f t="shared" si="121"/>
        <v>3078035.64</v>
      </c>
      <c r="J152" s="423">
        <v>200000</v>
      </c>
      <c r="K152" s="423">
        <v>0.2</v>
      </c>
      <c r="L152" s="423">
        <f t="shared" si="122"/>
        <v>615607.12800000003</v>
      </c>
      <c r="M152" s="423">
        <f t="shared" si="123"/>
        <v>815607.12800000003</v>
      </c>
      <c r="N152" s="423">
        <f t="shared" si="124"/>
        <v>1031088.488</v>
      </c>
      <c r="O152" s="423">
        <f t="shared" si="125"/>
        <v>2262428.5120000001</v>
      </c>
      <c r="P152" s="423">
        <f t="shared" si="126"/>
        <v>21000</v>
      </c>
      <c r="Q152" s="423">
        <f t="shared" si="127"/>
        <v>33000</v>
      </c>
      <c r="R152" s="423">
        <f t="shared" si="128"/>
        <v>75000</v>
      </c>
      <c r="S152" s="423">
        <f t="shared" si="129"/>
        <v>95000</v>
      </c>
      <c r="T152" s="423">
        <f t="shared" si="130"/>
        <v>139109.98752</v>
      </c>
      <c r="U152" s="423"/>
      <c r="V152" s="423">
        <f t="shared" si="135"/>
        <v>363109.98752000002</v>
      </c>
      <c r="W152" s="430">
        <v>12</v>
      </c>
      <c r="X152" s="423">
        <f t="shared" si="131"/>
        <v>30259.165626666701</v>
      </c>
      <c r="Y152" s="426"/>
      <c r="Z152" s="434">
        <f t="shared" si="132"/>
        <v>30259.165626666701</v>
      </c>
      <c r="AA152" s="435">
        <v>17042.713866666702</v>
      </c>
      <c r="AB152" s="435">
        <f t="shared" si="13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279</v>
      </c>
      <c r="C153" s="423">
        <v>274459.75</v>
      </c>
      <c r="D153" s="422">
        <v>12</v>
      </c>
      <c r="E153" s="423">
        <f t="shared" si="133"/>
        <v>3293517</v>
      </c>
      <c r="F153" s="423">
        <v>0</v>
      </c>
      <c r="G153" s="424">
        <v>215481.36</v>
      </c>
      <c r="H153" s="426"/>
      <c r="I153" s="423">
        <f t="shared" si="121"/>
        <v>3078035.64</v>
      </c>
      <c r="J153" s="423">
        <v>200000</v>
      </c>
      <c r="K153" s="423">
        <v>0.2</v>
      </c>
      <c r="L153" s="423">
        <f t="shared" si="122"/>
        <v>615607.12800000003</v>
      </c>
      <c r="M153" s="423">
        <f t="shared" si="123"/>
        <v>815607.12800000003</v>
      </c>
      <c r="N153" s="423">
        <f t="shared" si="124"/>
        <v>1031088.488</v>
      </c>
      <c r="O153" s="423">
        <f t="shared" si="125"/>
        <v>2262428.5120000001</v>
      </c>
      <c r="P153" s="423">
        <f t="shared" si="126"/>
        <v>21000</v>
      </c>
      <c r="Q153" s="423">
        <f t="shared" si="127"/>
        <v>33000</v>
      </c>
      <c r="R153" s="423">
        <f t="shared" si="128"/>
        <v>75000</v>
      </c>
      <c r="S153" s="423">
        <f t="shared" si="129"/>
        <v>95000</v>
      </c>
      <c r="T153" s="423">
        <f t="shared" si="130"/>
        <v>139109.98752</v>
      </c>
      <c r="U153" s="423"/>
      <c r="V153" s="423">
        <f t="shared" si="135"/>
        <v>363109.98752000002</v>
      </c>
      <c r="W153" s="430">
        <v>12</v>
      </c>
      <c r="X153" s="423">
        <f t="shared" si="131"/>
        <v>30259.165626666701</v>
      </c>
      <c r="Y153" s="426"/>
      <c r="Z153" s="434">
        <f t="shared" si="132"/>
        <v>30259.165626666701</v>
      </c>
      <c r="AA153" s="435">
        <v>17042.713866666702</v>
      </c>
      <c r="AB153" s="435">
        <f t="shared" si="13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281</v>
      </c>
      <c r="C154" s="423">
        <v>274459.75</v>
      </c>
      <c r="D154" s="422">
        <v>12</v>
      </c>
      <c r="E154" s="423">
        <f t="shared" si="133"/>
        <v>3293517</v>
      </c>
      <c r="F154" s="423">
        <v>0</v>
      </c>
      <c r="G154" s="424">
        <v>215481.36</v>
      </c>
      <c r="H154" s="426"/>
      <c r="I154" s="423">
        <f t="shared" si="121"/>
        <v>3078035.64</v>
      </c>
      <c r="J154" s="423">
        <v>200000</v>
      </c>
      <c r="K154" s="423">
        <v>0.2</v>
      </c>
      <c r="L154" s="423">
        <f t="shared" si="122"/>
        <v>615607.12800000003</v>
      </c>
      <c r="M154" s="423">
        <f t="shared" si="123"/>
        <v>815607.12800000003</v>
      </c>
      <c r="N154" s="423">
        <f t="shared" si="124"/>
        <v>1031088.488</v>
      </c>
      <c r="O154" s="423">
        <f t="shared" si="125"/>
        <v>2262428.5120000001</v>
      </c>
      <c r="P154" s="423">
        <f t="shared" si="126"/>
        <v>21000</v>
      </c>
      <c r="Q154" s="423">
        <f t="shared" si="127"/>
        <v>33000</v>
      </c>
      <c r="R154" s="423">
        <f t="shared" si="128"/>
        <v>75000</v>
      </c>
      <c r="S154" s="423">
        <f t="shared" si="129"/>
        <v>95000</v>
      </c>
      <c r="T154" s="423">
        <f t="shared" si="130"/>
        <v>139109.98752</v>
      </c>
      <c r="U154" s="423"/>
      <c r="V154" s="423">
        <f t="shared" si="135"/>
        <v>363109.98752000002</v>
      </c>
      <c r="W154" s="430">
        <v>12</v>
      </c>
      <c r="X154" s="423">
        <f t="shared" si="131"/>
        <v>30259.165626666701</v>
      </c>
      <c r="Y154" s="426"/>
      <c r="Z154" s="434">
        <f t="shared" si="132"/>
        <v>30259.165626666701</v>
      </c>
      <c r="AA154" s="435">
        <v>17042.713866666702</v>
      </c>
      <c r="AB154" s="435">
        <f t="shared" si="13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283</v>
      </c>
      <c r="C155" s="423">
        <v>280631.91666666698</v>
      </c>
      <c r="D155" s="422">
        <v>12</v>
      </c>
      <c r="E155" s="423">
        <f t="shared" si="133"/>
        <v>3367583</v>
      </c>
      <c r="F155" s="423">
        <v>0</v>
      </c>
      <c r="G155" s="424">
        <v>221406.64</v>
      </c>
      <c r="H155" s="426"/>
      <c r="I155" s="423">
        <f t="shared" si="121"/>
        <v>3146176.36</v>
      </c>
      <c r="J155" s="423">
        <v>200000</v>
      </c>
      <c r="K155" s="423">
        <v>0.2</v>
      </c>
      <c r="L155" s="423">
        <f t="shared" si="122"/>
        <v>629235.272</v>
      </c>
      <c r="M155" s="423">
        <f t="shared" si="123"/>
        <v>829235.272</v>
      </c>
      <c r="N155" s="423">
        <f t="shared" si="124"/>
        <v>1050641.912</v>
      </c>
      <c r="O155" s="423">
        <f t="shared" si="125"/>
        <v>2316941.088</v>
      </c>
      <c r="P155" s="423">
        <f t="shared" si="126"/>
        <v>21000</v>
      </c>
      <c r="Q155" s="423">
        <f t="shared" si="127"/>
        <v>33000</v>
      </c>
      <c r="R155" s="423">
        <f t="shared" si="128"/>
        <v>75000</v>
      </c>
      <c r="S155" s="423">
        <f t="shared" si="129"/>
        <v>95000</v>
      </c>
      <c r="T155" s="423">
        <f t="shared" si="130"/>
        <v>150557.62848000001</v>
      </c>
      <c r="U155" s="423"/>
      <c r="V155" s="423">
        <f t="shared" si="135"/>
        <v>374557.62848000001</v>
      </c>
      <c r="W155" s="430">
        <v>12</v>
      </c>
      <c r="X155" s="423">
        <f t="shared" si="131"/>
        <v>31213.135706666701</v>
      </c>
      <c r="Y155" s="426"/>
      <c r="Z155" s="434">
        <f t="shared" si="132"/>
        <v>31213.135706666701</v>
      </c>
      <c r="AA155" s="435">
        <v>17572.885002666699</v>
      </c>
      <c r="AB155" s="435">
        <f t="shared" si="13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285</v>
      </c>
      <c r="C156" s="423">
        <v>274459.75</v>
      </c>
      <c r="D156" s="422">
        <v>12</v>
      </c>
      <c r="E156" s="423">
        <f t="shared" si="133"/>
        <v>3293517</v>
      </c>
      <c r="F156" s="423">
        <v>0</v>
      </c>
      <c r="G156" s="424">
        <v>215481.36</v>
      </c>
      <c r="H156" s="426"/>
      <c r="I156" s="423">
        <f t="shared" si="121"/>
        <v>3078035.64</v>
      </c>
      <c r="J156" s="423">
        <v>200000</v>
      </c>
      <c r="K156" s="423">
        <v>0.2</v>
      </c>
      <c r="L156" s="423">
        <f t="shared" si="122"/>
        <v>615607.12800000003</v>
      </c>
      <c r="M156" s="423">
        <f t="shared" si="123"/>
        <v>815607.12800000003</v>
      </c>
      <c r="N156" s="423">
        <f t="shared" si="124"/>
        <v>1031088.488</v>
      </c>
      <c r="O156" s="423">
        <f t="shared" si="125"/>
        <v>2262428.5120000001</v>
      </c>
      <c r="P156" s="423">
        <f t="shared" si="126"/>
        <v>21000</v>
      </c>
      <c r="Q156" s="423">
        <f t="shared" si="127"/>
        <v>33000</v>
      </c>
      <c r="R156" s="423">
        <f t="shared" si="128"/>
        <v>75000</v>
      </c>
      <c r="S156" s="423">
        <f t="shared" si="129"/>
        <v>95000</v>
      </c>
      <c r="T156" s="423">
        <f t="shared" si="130"/>
        <v>139109.98752</v>
      </c>
      <c r="U156" s="423"/>
      <c r="V156" s="423">
        <f t="shared" si="135"/>
        <v>363109.98752000002</v>
      </c>
      <c r="W156" s="430">
        <v>12</v>
      </c>
      <c r="X156" s="423">
        <f t="shared" si="131"/>
        <v>30259.165626666701</v>
      </c>
      <c r="Y156" s="426"/>
      <c r="Z156" s="434">
        <f t="shared" si="132"/>
        <v>30259.165626666701</v>
      </c>
      <c r="AA156" s="435">
        <v>17042.713866666702</v>
      </c>
      <c r="AB156" s="435">
        <f t="shared" si="13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289</v>
      </c>
      <c r="C157" s="423">
        <v>202598.16666666701</v>
      </c>
      <c r="D157" s="422">
        <v>12</v>
      </c>
      <c r="E157" s="423">
        <f t="shared" si="133"/>
        <v>2431178</v>
      </c>
      <c r="F157" s="423">
        <f>263.19*12</f>
        <v>3158.28</v>
      </c>
      <c r="G157" s="424">
        <v>161854.24</v>
      </c>
      <c r="H157" s="426"/>
      <c r="I157" s="423">
        <f t="shared" si="121"/>
        <v>2266165.48</v>
      </c>
      <c r="J157" s="423">
        <v>200000</v>
      </c>
      <c r="K157" s="423">
        <v>0.2</v>
      </c>
      <c r="L157" s="423">
        <f t="shared" si="122"/>
        <v>453233.09600000002</v>
      </c>
      <c r="M157" s="423">
        <f t="shared" si="123"/>
        <v>653233.09600000002</v>
      </c>
      <c r="N157" s="423">
        <f t="shared" si="124"/>
        <v>818245.61600000004</v>
      </c>
      <c r="O157" s="423">
        <f t="shared" si="125"/>
        <v>1612932.3840000001</v>
      </c>
      <c r="P157" s="423">
        <f t="shared" si="126"/>
        <v>21000</v>
      </c>
      <c r="Q157" s="423">
        <f t="shared" si="127"/>
        <v>33000</v>
      </c>
      <c r="R157" s="423">
        <f t="shared" si="128"/>
        <v>75000</v>
      </c>
      <c r="S157" s="423">
        <f t="shared" si="129"/>
        <v>95000</v>
      </c>
      <c r="T157" s="423">
        <f t="shared" si="130"/>
        <v>2715.8006399999699</v>
      </c>
      <c r="U157" s="423"/>
      <c r="V157" s="423">
        <f t="shared" si="135"/>
        <v>226715.80064</v>
      </c>
      <c r="W157" s="430">
        <v>12</v>
      </c>
      <c r="X157" s="423">
        <f t="shared" si="131"/>
        <v>18892.9833866667</v>
      </c>
      <c r="Y157" s="426"/>
      <c r="Z157" s="434">
        <f t="shared" si="132"/>
        <v>18892.9833866667</v>
      </c>
      <c r="AA157" s="435">
        <v>10739.3048</v>
      </c>
      <c r="AB157" s="435">
        <f t="shared" si="134"/>
        <v>8153.6785866666696</v>
      </c>
      <c r="AC157" s="435"/>
      <c r="AD157" s="435"/>
      <c r="AE157" s="435"/>
    </row>
    <row r="158" spans="1:31" ht="18.75">
      <c r="A158" s="420">
        <v>141</v>
      </c>
      <c r="B158" s="9" t="s">
        <v>292</v>
      </c>
      <c r="C158" s="423">
        <v>205598.16666666701</v>
      </c>
      <c r="D158" s="422">
        <v>12</v>
      </c>
      <c r="E158" s="423">
        <f t="shared" si="133"/>
        <v>2467178</v>
      </c>
      <c r="F158" s="423"/>
      <c r="G158" s="424">
        <v>161854.24</v>
      </c>
      <c r="H158" s="426"/>
      <c r="I158" s="423">
        <f t="shared" si="121"/>
        <v>2305323.7599999998</v>
      </c>
      <c r="J158" s="423">
        <v>200000</v>
      </c>
      <c r="K158" s="423">
        <v>0.2</v>
      </c>
      <c r="L158" s="423">
        <f t="shared" si="122"/>
        <v>461064.75199999998</v>
      </c>
      <c r="M158" s="423">
        <f t="shared" si="123"/>
        <v>661064.75199999998</v>
      </c>
      <c r="N158" s="423">
        <f t="shared" si="124"/>
        <v>822918.99199999997</v>
      </c>
      <c r="O158" s="423">
        <f t="shared" si="125"/>
        <v>1644259.0079999999</v>
      </c>
      <c r="P158" s="423">
        <f t="shared" si="126"/>
        <v>21000</v>
      </c>
      <c r="Q158" s="423">
        <f t="shared" si="127"/>
        <v>33000</v>
      </c>
      <c r="R158" s="423">
        <f t="shared" si="128"/>
        <v>75000</v>
      </c>
      <c r="S158" s="423">
        <f t="shared" si="129"/>
        <v>95000</v>
      </c>
      <c r="T158" s="423">
        <f t="shared" si="130"/>
        <v>9294.3916799999806</v>
      </c>
      <c r="U158" s="423"/>
      <c r="V158" s="423">
        <f t="shared" si="135"/>
        <v>233294.39168</v>
      </c>
      <c r="W158" s="430">
        <v>12</v>
      </c>
      <c r="X158" s="423">
        <f t="shared" si="131"/>
        <v>19441.199306666698</v>
      </c>
      <c r="Y158" s="426"/>
      <c r="Z158" s="434">
        <f t="shared" si="132"/>
        <v>19441.199306666698</v>
      </c>
      <c r="AA158" s="435">
        <v>11232.457626666701</v>
      </c>
      <c r="AB158" s="435">
        <f t="shared" si="134"/>
        <v>8208.7416799999992</v>
      </c>
      <c r="AC158" s="435"/>
      <c r="AD158" s="435"/>
      <c r="AE158" s="435"/>
    </row>
    <row r="159" spans="1:31" ht="15.75" customHeight="1">
      <c r="A159" s="420">
        <v>142</v>
      </c>
      <c r="B159" s="9" t="s">
        <v>293</v>
      </c>
      <c r="C159" s="423">
        <v>202598.16666666701</v>
      </c>
      <c r="D159" s="422">
        <v>12</v>
      </c>
      <c r="E159" s="423">
        <f t="shared" si="133"/>
        <v>2431178</v>
      </c>
      <c r="F159" s="423"/>
      <c r="G159" s="424">
        <v>161854.24</v>
      </c>
      <c r="H159" s="426"/>
      <c r="I159" s="423">
        <f t="shared" si="121"/>
        <v>2269323.7599999998</v>
      </c>
      <c r="J159" s="423">
        <v>200000</v>
      </c>
      <c r="K159" s="423">
        <v>0.2</v>
      </c>
      <c r="L159" s="423">
        <f t="shared" si="122"/>
        <v>453864.75199999998</v>
      </c>
      <c r="M159" s="423">
        <f t="shared" si="123"/>
        <v>653864.75199999998</v>
      </c>
      <c r="N159" s="423">
        <f t="shared" si="124"/>
        <v>815718.99199999997</v>
      </c>
      <c r="O159" s="423">
        <f t="shared" si="125"/>
        <v>1615459.0079999999</v>
      </c>
      <c r="P159" s="423">
        <f t="shared" si="126"/>
        <v>21000</v>
      </c>
      <c r="Q159" s="423">
        <f t="shared" si="127"/>
        <v>33000</v>
      </c>
      <c r="R159" s="423">
        <f t="shared" si="128"/>
        <v>75000</v>
      </c>
      <c r="S159" s="423">
        <f t="shared" si="129"/>
        <v>95000</v>
      </c>
      <c r="T159" s="423">
        <f t="shared" si="130"/>
        <v>3246.3916799999802</v>
      </c>
      <c r="U159" s="423"/>
      <c r="V159" s="423">
        <f t="shared" si="135"/>
        <v>227246.39168</v>
      </c>
      <c r="W159" s="430">
        <v>12</v>
      </c>
      <c r="X159" s="423">
        <f t="shared" si="131"/>
        <v>18937.199306666698</v>
      </c>
      <c r="Y159" s="426"/>
      <c r="Z159" s="434">
        <f t="shared" si="132"/>
        <v>18937.199306666698</v>
      </c>
      <c r="AA159" s="435">
        <v>10776.457626666701</v>
      </c>
      <c r="AB159" s="435">
        <f t="shared" si="134"/>
        <v>8160.7416800000001</v>
      </c>
      <c r="AC159" s="435"/>
      <c r="AD159" s="435"/>
      <c r="AE159" s="435"/>
    </row>
    <row r="160" spans="1:31" ht="18.75">
      <c r="A160" s="420">
        <v>143</v>
      </c>
      <c r="B160" s="9" t="s">
        <v>294</v>
      </c>
      <c r="C160" s="423">
        <v>202598.16666666701</v>
      </c>
      <c r="D160" s="422">
        <v>12</v>
      </c>
      <c r="E160" s="423">
        <f t="shared" si="133"/>
        <v>2431178</v>
      </c>
      <c r="F160" s="423">
        <f>263.19*12</f>
        <v>3158.28</v>
      </c>
      <c r="G160" s="424">
        <v>161854.24</v>
      </c>
      <c r="H160" s="426"/>
      <c r="I160" s="423">
        <f t="shared" si="121"/>
        <v>2266165.48</v>
      </c>
      <c r="J160" s="423">
        <v>200000</v>
      </c>
      <c r="K160" s="423">
        <v>0.2</v>
      </c>
      <c r="L160" s="423">
        <f t="shared" si="122"/>
        <v>453233.09600000002</v>
      </c>
      <c r="M160" s="423">
        <f t="shared" si="123"/>
        <v>653233.09600000002</v>
      </c>
      <c r="N160" s="423">
        <f t="shared" si="124"/>
        <v>818245.61600000004</v>
      </c>
      <c r="O160" s="423">
        <f t="shared" si="125"/>
        <v>1612932.3840000001</v>
      </c>
      <c r="P160" s="423">
        <f t="shared" si="126"/>
        <v>21000</v>
      </c>
      <c r="Q160" s="423">
        <f t="shared" si="127"/>
        <v>33000</v>
      </c>
      <c r="R160" s="423">
        <f t="shared" si="128"/>
        <v>75000</v>
      </c>
      <c r="S160" s="423">
        <f t="shared" si="129"/>
        <v>95000</v>
      </c>
      <c r="T160" s="423">
        <f t="shared" si="130"/>
        <v>2715.8006399999699</v>
      </c>
      <c r="U160" s="423"/>
      <c r="V160" s="423">
        <f t="shared" si="135"/>
        <v>226715.80064</v>
      </c>
      <c r="W160" s="430">
        <v>12</v>
      </c>
      <c r="X160" s="423">
        <f t="shared" si="131"/>
        <v>18892.9833866667</v>
      </c>
      <c r="Y160" s="426"/>
      <c r="Z160" s="434">
        <f t="shared" si="132"/>
        <v>18892.9833866667</v>
      </c>
      <c r="AA160" s="435">
        <v>10739.3048</v>
      </c>
      <c r="AB160" s="435">
        <f t="shared" si="134"/>
        <v>8153.6785866666696</v>
      </c>
      <c r="AC160" s="435"/>
      <c r="AD160" s="435"/>
      <c r="AE160" s="435"/>
    </row>
    <row r="161" spans="1:31" ht="18.75">
      <c r="A161" s="420">
        <v>144</v>
      </c>
      <c r="B161" s="9" t="s">
        <v>295</v>
      </c>
      <c r="C161" s="423">
        <v>202598.16666666701</v>
      </c>
      <c r="D161" s="422">
        <v>12</v>
      </c>
      <c r="E161" s="423">
        <f t="shared" si="133"/>
        <v>2431178</v>
      </c>
      <c r="F161" s="423"/>
      <c r="G161" s="424">
        <v>161854.24</v>
      </c>
      <c r="H161" s="426"/>
      <c r="I161" s="423">
        <f t="shared" si="121"/>
        <v>2269323.7599999998</v>
      </c>
      <c r="J161" s="423">
        <v>200000</v>
      </c>
      <c r="K161" s="423">
        <v>0.2</v>
      </c>
      <c r="L161" s="423">
        <f t="shared" si="122"/>
        <v>453864.75199999998</v>
      </c>
      <c r="M161" s="423">
        <f t="shared" si="123"/>
        <v>653864.75199999998</v>
      </c>
      <c r="N161" s="423">
        <f t="shared" si="124"/>
        <v>815718.99199999997</v>
      </c>
      <c r="O161" s="423">
        <f t="shared" si="125"/>
        <v>1615459.0079999999</v>
      </c>
      <c r="P161" s="423">
        <f t="shared" si="126"/>
        <v>21000</v>
      </c>
      <c r="Q161" s="423">
        <f t="shared" si="127"/>
        <v>33000</v>
      </c>
      <c r="R161" s="423">
        <f t="shared" si="128"/>
        <v>75000</v>
      </c>
      <c r="S161" s="423">
        <f t="shared" si="129"/>
        <v>95000</v>
      </c>
      <c r="T161" s="423">
        <f t="shared" si="130"/>
        <v>3246.3916799999802</v>
      </c>
      <c r="U161" s="423"/>
      <c r="V161" s="423">
        <f t="shared" si="135"/>
        <v>227246.39168</v>
      </c>
      <c r="W161" s="430">
        <v>12</v>
      </c>
      <c r="X161" s="423">
        <f t="shared" si="131"/>
        <v>18937.199306666698</v>
      </c>
      <c r="Y161" s="426"/>
      <c r="Z161" s="434">
        <f t="shared" si="132"/>
        <v>18937.199306666698</v>
      </c>
      <c r="AA161" s="435">
        <v>10776.457626666701</v>
      </c>
      <c r="AB161" s="435">
        <f t="shared" si="134"/>
        <v>8160.7416800000001</v>
      </c>
      <c r="AC161" s="435"/>
      <c r="AD161" s="435"/>
      <c r="AE161" s="435"/>
    </row>
    <row r="162" spans="1:31" ht="18.75">
      <c r="A162" s="420">
        <v>145</v>
      </c>
      <c r="B162" s="9" t="s">
        <v>296</v>
      </c>
      <c r="C162" s="423">
        <v>200336.83333333299</v>
      </c>
      <c r="D162" s="422">
        <v>12</v>
      </c>
      <c r="E162" s="423">
        <f t="shared" si="133"/>
        <v>2404042</v>
      </c>
      <c r="F162" s="423"/>
      <c r="G162" s="424">
        <v>156803.35999999999</v>
      </c>
      <c r="H162" s="426"/>
      <c r="I162" s="423">
        <f t="shared" si="121"/>
        <v>2247238.64</v>
      </c>
      <c r="J162" s="423">
        <v>200000</v>
      </c>
      <c r="K162" s="423">
        <v>0.2</v>
      </c>
      <c r="L162" s="423">
        <f t="shared" si="122"/>
        <v>449447.728</v>
      </c>
      <c r="M162" s="423">
        <f t="shared" si="123"/>
        <v>649447.728</v>
      </c>
      <c r="N162" s="423">
        <f t="shared" si="124"/>
        <v>806251.08799999999</v>
      </c>
      <c r="O162" s="423">
        <f t="shared" si="125"/>
        <v>1597790.912</v>
      </c>
      <c r="P162" s="423">
        <f t="shared" si="126"/>
        <v>21000</v>
      </c>
      <c r="Q162" s="423">
        <f t="shared" si="127"/>
        <v>33000</v>
      </c>
      <c r="R162" s="423">
        <f t="shared" si="128"/>
        <v>75000</v>
      </c>
      <c r="S162" s="423">
        <f t="shared" si="129"/>
        <v>94580.273279999994</v>
      </c>
      <c r="T162" s="423">
        <f t="shared" si="130"/>
        <v>0</v>
      </c>
      <c r="U162" s="423"/>
      <c r="V162" s="423">
        <f t="shared" si="135"/>
        <v>223580.27327999999</v>
      </c>
      <c r="W162" s="430">
        <v>12</v>
      </c>
      <c r="X162" s="423">
        <f t="shared" si="131"/>
        <v>18631.689439999998</v>
      </c>
      <c r="Y162" s="426"/>
      <c r="Z162" s="434">
        <f t="shared" si="132"/>
        <v>18631.689439999998</v>
      </c>
      <c r="AA162" s="435">
        <v>11232.457626666701</v>
      </c>
      <c r="AB162" s="435">
        <f t="shared" si="134"/>
        <v>7399.2318133333401</v>
      </c>
      <c r="AC162" s="435"/>
      <c r="AD162" s="435"/>
      <c r="AE162" s="435"/>
    </row>
    <row r="163" spans="1:31" ht="18.75">
      <c r="A163" s="420">
        <v>146</v>
      </c>
      <c r="B163" s="9" t="s">
        <v>298</v>
      </c>
      <c r="C163" s="423">
        <v>197336.83333333299</v>
      </c>
      <c r="D163" s="422">
        <v>12</v>
      </c>
      <c r="E163" s="423">
        <f t="shared" si="133"/>
        <v>2368042</v>
      </c>
      <c r="F163" s="423"/>
      <c r="G163" s="424">
        <v>156803.35999999999</v>
      </c>
      <c r="H163" s="426"/>
      <c r="I163" s="423">
        <f t="shared" si="121"/>
        <v>2211238.64</v>
      </c>
      <c r="J163" s="423">
        <v>200000</v>
      </c>
      <c r="K163" s="423">
        <v>0.2</v>
      </c>
      <c r="L163" s="423">
        <f t="shared" si="122"/>
        <v>442247.728</v>
      </c>
      <c r="M163" s="423">
        <f t="shared" si="123"/>
        <v>642247.728</v>
      </c>
      <c r="N163" s="423">
        <f t="shared" si="124"/>
        <v>799051.08799999999</v>
      </c>
      <c r="O163" s="423">
        <f t="shared" si="125"/>
        <v>1568990.912</v>
      </c>
      <c r="P163" s="423">
        <f t="shared" si="126"/>
        <v>21000</v>
      </c>
      <c r="Q163" s="423">
        <f t="shared" si="127"/>
        <v>33000</v>
      </c>
      <c r="R163" s="423">
        <f t="shared" si="128"/>
        <v>75000</v>
      </c>
      <c r="S163" s="423">
        <f t="shared" si="129"/>
        <v>89108.273279999994</v>
      </c>
      <c r="T163" s="423">
        <f t="shared" si="130"/>
        <v>0</v>
      </c>
      <c r="U163" s="423"/>
      <c r="V163" s="423">
        <f t="shared" si="135"/>
        <v>218108.27327999999</v>
      </c>
      <c r="W163" s="430">
        <v>12</v>
      </c>
      <c r="X163" s="423">
        <f t="shared" si="131"/>
        <v>18175.689439999998</v>
      </c>
      <c r="Y163" s="426"/>
      <c r="Z163" s="434">
        <f t="shared" si="132"/>
        <v>18175.689439999998</v>
      </c>
      <c r="AA163" s="435">
        <v>10776.457626666701</v>
      </c>
      <c r="AB163" s="435">
        <f t="shared" si="134"/>
        <v>7399.2318133333401</v>
      </c>
      <c r="AC163" s="435"/>
      <c r="AD163" s="435"/>
      <c r="AE163" s="435"/>
    </row>
    <row r="164" spans="1:31" ht="18.75">
      <c r="A164" s="420">
        <v>147</v>
      </c>
      <c r="B164" s="12" t="s">
        <v>299</v>
      </c>
      <c r="C164" s="423">
        <v>200336.83333333299</v>
      </c>
      <c r="D164" s="422">
        <v>12</v>
      </c>
      <c r="E164" s="423">
        <f t="shared" si="133"/>
        <v>2404042</v>
      </c>
      <c r="F164" s="423"/>
      <c r="G164" s="424">
        <v>156803.35999999999</v>
      </c>
      <c r="H164" s="426"/>
      <c r="I164" s="423">
        <f t="shared" si="121"/>
        <v>2247238.64</v>
      </c>
      <c r="J164" s="423">
        <v>200000</v>
      </c>
      <c r="K164" s="423">
        <v>0.2</v>
      </c>
      <c r="L164" s="423">
        <f t="shared" si="122"/>
        <v>449447.728</v>
      </c>
      <c r="M164" s="423">
        <f t="shared" si="123"/>
        <v>649447.728</v>
      </c>
      <c r="N164" s="423">
        <f t="shared" si="124"/>
        <v>806251.08799999999</v>
      </c>
      <c r="O164" s="423">
        <f t="shared" si="125"/>
        <v>1597790.912</v>
      </c>
      <c r="P164" s="423">
        <f t="shared" si="126"/>
        <v>21000</v>
      </c>
      <c r="Q164" s="423">
        <f t="shared" si="127"/>
        <v>33000</v>
      </c>
      <c r="R164" s="423">
        <f t="shared" si="128"/>
        <v>75000</v>
      </c>
      <c r="S164" s="423">
        <f t="shared" si="129"/>
        <v>94580.273279999994</v>
      </c>
      <c r="T164" s="423">
        <f t="shared" si="130"/>
        <v>0</v>
      </c>
      <c r="U164" s="423"/>
      <c r="V164" s="423">
        <f t="shared" si="135"/>
        <v>223580.27327999999</v>
      </c>
      <c r="W164" s="430">
        <v>12</v>
      </c>
      <c r="X164" s="423">
        <f t="shared" si="131"/>
        <v>18631.689439999998</v>
      </c>
      <c r="Y164" s="426"/>
      <c r="Z164" s="434">
        <f t="shared" si="132"/>
        <v>18631.689439999998</v>
      </c>
      <c r="AA164" s="435">
        <v>11232.457626666701</v>
      </c>
      <c r="AB164" s="435">
        <f t="shared" si="134"/>
        <v>7399.2318133333401</v>
      </c>
      <c r="AC164" s="435"/>
      <c r="AD164" s="435"/>
      <c r="AE164" s="435"/>
    </row>
    <row r="165" spans="1:31" ht="18.75">
      <c r="A165" s="420">
        <v>148</v>
      </c>
      <c r="B165" s="9" t="s">
        <v>300</v>
      </c>
      <c r="C165" s="423">
        <v>197336.83333333299</v>
      </c>
      <c r="D165" s="422">
        <v>12</v>
      </c>
      <c r="E165" s="423">
        <f t="shared" si="133"/>
        <v>2368042</v>
      </c>
      <c r="F165" s="423"/>
      <c r="G165" s="424">
        <v>156803.35999999999</v>
      </c>
      <c r="H165" s="426"/>
      <c r="I165" s="423">
        <f t="shared" si="121"/>
        <v>2211238.64</v>
      </c>
      <c r="J165" s="423">
        <v>200000</v>
      </c>
      <c r="K165" s="423">
        <v>0.2</v>
      </c>
      <c r="L165" s="423">
        <f t="shared" si="122"/>
        <v>442247.728</v>
      </c>
      <c r="M165" s="423">
        <f t="shared" si="123"/>
        <v>642247.728</v>
      </c>
      <c r="N165" s="423">
        <f t="shared" si="124"/>
        <v>799051.08799999999</v>
      </c>
      <c r="O165" s="423">
        <f t="shared" si="125"/>
        <v>1568990.912</v>
      </c>
      <c r="P165" s="423">
        <f t="shared" si="126"/>
        <v>21000</v>
      </c>
      <c r="Q165" s="423">
        <f t="shared" si="127"/>
        <v>33000</v>
      </c>
      <c r="R165" s="423">
        <f t="shared" si="128"/>
        <v>75000</v>
      </c>
      <c r="S165" s="423">
        <f t="shared" si="129"/>
        <v>89108.273279999994</v>
      </c>
      <c r="T165" s="423">
        <f t="shared" si="130"/>
        <v>0</v>
      </c>
      <c r="U165" s="423"/>
      <c r="V165" s="423">
        <f t="shared" si="135"/>
        <v>218108.27327999999</v>
      </c>
      <c r="W165" s="430">
        <v>12</v>
      </c>
      <c r="X165" s="423">
        <f t="shared" si="131"/>
        <v>18175.689439999998</v>
      </c>
      <c r="Y165" s="426"/>
      <c r="Z165" s="434">
        <f t="shared" si="132"/>
        <v>18175.689439999998</v>
      </c>
      <c r="AA165" s="435">
        <v>10776.457626666701</v>
      </c>
      <c r="AB165" s="435">
        <f t="shared" si="134"/>
        <v>7399.2318133333401</v>
      </c>
      <c r="AC165" s="435"/>
      <c r="AD165" s="435"/>
      <c r="AE165" s="435"/>
    </row>
    <row r="166" spans="1:31" ht="18.75">
      <c r="A166" s="420">
        <v>149</v>
      </c>
      <c r="B166" s="16" t="s">
        <v>301</v>
      </c>
      <c r="C166" s="423">
        <v>197336.83333333299</v>
      </c>
      <c r="D166" s="422">
        <v>12</v>
      </c>
      <c r="E166" s="423">
        <f t="shared" si="133"/>
        <v>2368042</v>
      </c>
      <c r="F166" s="423"/>
      <c r="G166" s="424">
        <v>156803.35999999999</v>
      </c>
      <c r="H166" s="426"/>
      <c r="I166" s="423">
        <f t="shared" si="121"/>
        <v>2211238.64</v>
      </c>
      <c r="J166" s="423">
        <v>200000</v>
      </c>
      <c r="K166" s="423">
        <v>0.2</v>
      </c>
      <c r="L166" s="423">
        <f t="shared" si="122"/>
        <v>442247.728</v>
      </c>
      <c r="M166" s="423">
        <f t="shared" si="123"/>
        <v>642247.728</v>
      </c>
      <c r="N166" s="423">
        <f t="shared" si="124"/>
        <v>799051.08799999999</v>
      </c>
      <c r="O166" s="423">
        <f t="shared" si="125"/>
        <v>1568990.912</v>
      </c>
      <c r="P166" s="423">
        <f t="shared" si="126"/>
        <v>21000</v>
      </c>
      <c r="Q166" s="423">
        <f t="shared" si="127"/>
        <v>33000</v>
      </c>
      <c r="R166" s="423">
        <f t="shared" si="128"/>
        <v>75000</v>
      </c>
      <c r="S166" s="423">
        <f t="shared" si="129"/>
        <v>89108.273279999994</v>
      </c>
      <c r="T166" s="423">
        <f t="shared" si="130"/>
        <v>0</v>
      </c>
      <c r="U166" s="423"/>
      <c r="V166" s="423">
        <f t="shared" si="135"/>
        <v>218108.27327999999</v>
      </c>
      <c r="W166" s="430">
        <v>12</v>
      </c>
      <c r="X166" s="423">
        <f t="shared" si="131"/>
        <v>18175.689439999998</v>
      </c>
      <c r="Y166" s="426"/>
      <c r="Z166" s="434">
        <f t="shared" si="132"/>
        <v>18175.689439999998</v>
      </c>
      <c r="AA166" s="435">
        <v>10776.457626666701</v>
      </c>
      <c r="AB166" s="435">
        <f t="shared" si="134"/>
        <v>7399.2318133333401</v>
      </c>
      <c r="AC166" s="435"/>
      <c r="AD166" s="435"/>
      <c r="AE166" s="435"/>
    </row>
    <row r="167" spans="1:31" ht="18.75">
      <c r="A167" s="420">
        <v>150</v>
      </c>
      <c r="B167" s="16" t="s">
        <v>302</v>
      </c>
      <c r="C167" s="423">
        <v>200336.83333333299</v>
      </c>
      <c r="D167" s="422">
        <v>12</v>
      </c>
      <c r="E167" s="423">
        <f t="shared" si="133"/>
        <v>2404042</v>
      </c>
      <c r="F167" s="423"/>
      <c r="G167" s="424">
        <v>156803.35999999999</v>
      </c>
      <c r="H167" s="426"/>
      <c r="I167" s="423">
        <f t="shared" si="121"/>
        <v>2247238.64</v>
      </c>
      <c r="J167" s="423">
        <v>200000</v>
      </c>
      <c r="K167" s="423">
        <v>0.2</v>
      </c>
      <c r="L167" s="423">
        <f t="shared" si="122"/>
        <v>449447.728</v>
      </c>
      <c r="M167" s="423">
        <f t="shared" si="123"/>
        <v>649447.728</v>
      </c>
      <c r="N167" s="423">
        <f t="shared" si="124"/>
        <v>806251.08799999999</v>
      </c>
      <c r="O167" s="423">
        <f t="shared" si="125"/>
        <v>1597790.912</v>
      </c>
      <c r="P167" s="423">
        <f t="shared" si="126"/>
        <v>21000</v>
      </c>
      <c r="Q167" s="423">
        <f t="shared" si="127"/>
        <v>33000</v>
      </c>
      <c r="R167" s="423">
        <f t="shared" si="128"/>
        <v>75000</v>
      </c>
      <c r="S167" s="423">
        <f t="shared" si="129"/>
        <v>94580.273279999994</v>
      </c>
      <c r="T167" s="423">
        <f t="shared" si="130"/>
        <v>0</v>
      </c>
      <c r="U167" s="423"/>
      <c r="V167" s="423">
        <f t="shared" si="135"/>
        <v>223580.27327999999</v>
      </c>
      <c r="W167" s="430">
        <v>12</v>
      </c>
      <c r="X167" s="423">
        <f t="shared" si="131"/>
        <v>18631.689439999998</v>
      </c>
      <c r="Y167" s="426"/>
      <c r="Z167" s="434">
        <f t="shared" si="132"/>
        <v>18631.689439999998</v>
      </c>
      <c r="AA167" s="435">
        <v>11232.457626666701</v>
      </c>
      <c r="AB167" s="435">
        <f t="shared" si="134"/>
        <v>7399.2318133333401</v>
      </c>
      <c r="AC167" s="435"/>
      <c r="AD167" s="435"/>
      <c r="AE167" s="435"/>
    </row>
    <row r="168" spans="1:31" ht="37.5">
      <c r="A168" s="420">
        <v>151</v>
      </c>
      <c r="B168" s="9" t="s">
        <v>303</v>
      </c>
      <c r="C168" s="423">
        <v>189814.16666666701</v>
      </c>
      <c r="D168" s="422">
        <v>12</v>
      </c>
      <c r="E168" s="423">
        <f t="shared" si="133"/>
        <v>2277770</v>
      </c>
      <c r="F168" s="423"/>
      <c r="G168" s="424">
        <v>146701.6</v>
      </c>
      <c r="H168" s="426"/>
      <c r="I168" s="423">
        <f t="shared" si="121"/>
        <v>2131068.4</v>
      </c>
      <c r="J168" s="423">
        <v>200000</v>
      </c>
      <c r="K168" s="423">
        <v>0.2</v>
      </c>
      <c r="L168" s="423">
        <f t="shared" si="122"/>
        <v>426213.68</v>
      </c>
      <c r="M168" s="423">
        <f t="shared" si="123"/>
        <v>626213.68000000005</v>
      </c>
      <c r="N168" s="423">
        <f t="shared" si="124"/>
        <v>772915.28</v>
      </c>
      <c r="O168" s="423">
        <f t="shared" si="125"/>
        <v>1504854.72</v>
      </c>
      <c r="P168" s="423">
        <f t="shared" si="126"/>
        <v>21000</v>
      </c>
      <c r="Q168" s="423">
        <f t="shared" si="127"/>
        <v>33000</v>
      </c>
      <c r="R168" s="423">
        <f t="shared" si="128"/>
        <v>75000</v>
      </c>
      <c r="S168" s="423">
        <f t="shared" si="129"/>
        <v>76922.396800000002</v>
      </c>
      <c r="T168" s="423">
        <f t="shared" si="130"/>
        <v>0</v>
      </c>
      <c r="U168" s="423"/>
      <c r="V168" s="423">
        <f t="shared" si="135"/>
        <v>205922.39679999999</v>
      </c>
      <c r="W168" s="430">
        <v>12</v>
      </c>
      <c r="X168" s="423">
        <f t="shared" si="131"/>
        <v>17160.199733333298</v>
      </c>
      <c r="Y168" s="426"/>
      <c r="Z168" s="434">
        <f t="shared" si="132"/>
        <v>17160.199733333298</v>
      </c>
      <c r="AA168" s="435">
        <v>9152.5997900000002</v>
      </c>
      <c r="AB168" s="435">
        <f t="shared" si="134"/>
        <v>8007.59994333334</v>
      </c>
      <c r="AC168" s="435"/>
      <c r="AD168" s="435"/>
      <c r="AE168" s="435"/>
    </row>
    <row r="169" spans="1:31" ht="18.75">
      <c r="A169" s="420">
        <v>152</v>
      </c>
      <c r="B169" s="9" t="s">
        <v>306</v>
      </c>
      <c r="C169" s="423">
        <v>189814.16666666701</v>
      </c>
      <c r="D169" s="422">
        <v>12</v>
      </c>
      <c r="E169" s="423">
        <f t="shared" si="133"/>
        <v>2277770</v>
      </c>
      <c r="F169" s="423"/>
      <c r="G169" s="424">
        <v>146701.6</v>
      </c>
      <c r="H169" s="426"/>
      <c r="I169" s="423">
        <f t="shared" si="121"/>
        <v>2131068.4</v>
      </c>
      <c r="J169" s="423">
        <v>200000</v>
      </c>
      <c r="K169" s="423">
        <v>0.2</v>
      </c>
      <c r="L169" s="423">
        <f t="shared" si="122"/>
        <v>426213.68</v>
      </c>
      <c r="M169" s="423">
        <f t="shared" si="123"/>
        <v>626213.68000000005</v>
      </c>
      <c r="N169" s="423">
        <f t="shared" si="124"/>
        <v>772915.28</v>
      </c>
      <c r="O169" s="423">
        <f t="shared" si="125"/>
        <v>1504854.72</v>
      </c>
      <c r="P169" s="423">
        <f t="shared" si="126"/>
        <v>21000</v>
      </c>
      <c r="Q169" s="423">
        <f t="shared" si="127"/>
        <v>33000</v>
      </c>
      <c r="R169" s="423">
        <f t="shared" si="128"/>
        <v>75000</v>
      </c>
      <c r="S169" s="423">
        <f t="shared" si="129"/>
        <v>76922.396800000002</v>
      </c>
      <c r="T169" s="423">
        <f t="shared" si="130"/>
        <v>0</v>
      </c>
      <c r="U169" s="423"/>
      <c r="V169" s="423">
        <f t="shared" si="135"/>
        <v>205922.39679999999</v>
      </c>
      <c r="W169" s="430">
        <v>12</v>
      </c>
      <c r="X169" s="423">
        <f t="shared" si="131"/>
        <v>17160.199733333298</v>
      </c>
      <c r="Y169" s="426"/>
      <c r="Z169" s="434">
        <f t="shared" si="132"/>
        <v>17160.199733333298</v>
      </c>
      <c r="AA169" s="435">
        <v>9152.5997900000002</v>
      </c>
      <c r="AB169" s="435">
        <f t="shared" si="134"/>
        <v>8007.59994333334</v>
      </c>
      <c r="AC169" s="435"/>
      <c r="AD169" s="435"/>
      <c r="AE169" s="435"/>
    </row>
    <row r="170" spans="1:31" ht="18.75">
      <c r="A170" s="420">
        <v>153</v>
      </c>
      <c r="B170" s="16" t="s">
        <v>307</v>
      </c>
      <c r="C170" s="423">
        <v>195075.5</v>
      </c>
      <c r="D170" s="422">
        <v>12</v>
      </c>
      <c r="E170" s="423">
        <f t="shared" si="133"/>
        <v>2340906</v>
      </c>
      <c r="F170" s="423"/>
      <c r="G170" s="424">
        <v>151752.48000000001</v>
      </c>
      <c r="H170" s="426"/>
      <c r="I170" s="423">
        <f t="shared" si="121"/>
        <v>2189153.52</v>
      </c>
      <c r="J170" s="423">
        <v>200000</v>
      </c>
      <c r="K170" s="423">
        <v>0.2</v>
      </c>
      <c r="L170" s="423">
        <f t="shared" si="122"/>
        <v>437830.70400000003</v>
      </c>
      <c r="M170" s="423">
        <f t="shared" si="123"/>
        <v>637830.70400000003</v>
      </c>
      <c r="N170" s="423">
        <f t="shared" si="124"/>
        <v>789583.18400000001</v>
      </c>
      <c r="O170" s="423">
        <f t="shared" si="125"/>
        <v>1551322.8160000001</v>
      </c>
      <c r="P170" s="423">
        <f t="shared" si="126"/>
        <v>21000</v>
      </c>
      <c r="Q170" s="423">
        <f t="shared" si="127"/>
        <v>33000</v>
      </c>
      <c r="R170" s="423">
        <f t="shared" si="128"/>
        <v>75000</v>
      </c>
      <c r="S170" s="423">
        <f t="shared" si="129"/>
        <v>85751.335040000005</v>
      </c>
      <c r="T170" s="423">
        <f t="shared" si="130"/>
        <v>0</v>
      </c>
      <c r="U170" s="423"/>
      <c r="V170" s="423">
        <f t="shared" si="135"/>
        <v>214751.33504000001</v>
      </c>
      <c r="W170" s="430">
        <v>12</v>
      </c>
      <c r="X170" s="423">
        <f t="shared" si="131"/>
        <v>17895.944586666701</v>
      </c>
      <c r="Y170" s="426"/>
      <c r="Z170" s="434">
        <f t="shared" si="132"/>
        <v>17895.944586666701</v>
      </c>
      <c r="AA170" s="435">
        <v>9504.2041399999998</v>
      </c>
      <c r="AB170" s="435">
        <f t="shared" si="13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309</v>
      </c>
      <c r="C171" s="423">
        <v>121145.75</v>
      </c>
      <c r="D171" s="422">
        <v>12</v>
      </c>
      <c r="E171" s="423">
        <f t="shared" si="133"/>
        <v>1453749</v>
      </c>
      <c r="F171" s="423"/>
      <c r="G171" s="424">
        <v>90379.92</v>
      </c>
      <c r="H171" s="426"/>
      <c r="I171" s="423">
        <f t="shared" si="121"/>
        <v>1363369.08</v>
      </c>
      <c r="J171" s="423">
        <v>200000</v>
      </c>
      <c r="K171" s="423">
        <v>0.2</v>
      </c>
      <c r="L171" s="423">
        <f t="shared" si="122"/>
        <v>272673.81599999999</v>
      </c>
      <c r="M171" s="423">
        <f t="shared" si="123"/>
        <v>472673.81599999999</v>
      </c>
      <c r="N171" s="423">
        <f t="shared" si="124"/>
        <v>563053.73600000003</v>
      </c>
      <c r="O171" s="423">
        <f t="shared" si="125"/>
        <v>890695.26399999997</v>
      </c>
      <c r="P171" s="423">
        <f t="shared" si="126"/>
        <v>21000</v>
      </c>
      <c r="Q171" s="423">
        <f t="shared" si="127"/>
        <v>33000</v>
      </c>
      <c r="R171" s="423">
        <f t="shared" si="128"/>
        <v>43604.289599999996</v>
      </c>
      <c r="S171" s="423">
        <f t="shared" si="129"/>
        <v>0</v>
      </c>
      <c r="T171" s="423">
        <f t="shared" si="130"/>
        <v>0</v>
      </c>
      <c r="U171" s="423"/>
      <c r="V171" s="423">
        <f t="shared" si="135"/>
        <v>97604.289600000004</v>
      </c>
      <c r="W171" s="430">
        <v>12</v>
      </c>
      <c r="X171" s="423">
        <f t="shared" si="131"/>
        <v>8133.6908000000003</v>
      </c>
      <c r="Y171" s="426"/>
      <c r="Z171" s="434">
        <f t="shared" si="132"/>
        <v>8133.6908000000003</v>
      </c>
      <c r="AA171" s="435">
        <v>4365.3307546666701</v>
      </c>
      <c r="AB171" s="435">
        <f t="shared" si="13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312</v>
      </c>
      <c r="C172" s="423">
        <v>118598</v>
      </c>
      <c r="D172" s="422">
        <v>12</v>
      </c>
      <c r="E172" s="423">
        <f t="shared" si="133"/>
        <v>1423176</v>
      </c>
      <c r="F172" s="423"/>
      <c r="G172" s="424">
        <v>87934.080000000002</v>
      </c>
      <c r="H172" s="426"/>
      <c r="I172" s="423">
        <f t="shared" si="121"/>
        <v>1335241.92</v>
      </c>
      <c r="J172" s="423">
        <v>200000</v>
      </c>
      <c r="K172" s="423">
        <v>0.2</v>
      </c>
      <c r="L172" s="423">
        <f t="shared" si="122"/>
        <v>267048.38400000002</v>
      </c>
      <c r="M172" s="423">
        <f t="shared" si="123"/>
        <v>467048.38400000002</v>
      </c>
      <c r="N172" s="423">
        <f t="shared" si="124"/>
        <v>554982.46400000004</v>
      </c>
      <c r="O172" s="423">
        <f t="shared" si="125"/>
        <v>868193.53599999996</v>
      </c>
      <c r="P172" s="423">
        <f t="shared" si="126"/>
        <v>21000</v>
      </c>
      <c r="Q172" s="423">
        <f t="shared" si="127"/>
        <v>33000</v>
      </c>
      <c r="R172" s="423">
        <f t="shared" si="128"/>
        <v>40229.030400000003</v>
      </c>
      <c r="S172" s="423">
        <f t="shared" si="129"/>
        <v>0</v>
      </c>
      <c r="T172" s="423">
        <f t="shared" si="130"/>
        <v>0</v>
      </c>
      <c r="U172" s="423"/>
      <c r="V172" s="423">
        <f t="shared" si="135"/>
        <v>94229.030400000003</v>
      </c>
      <c r="W172" s="430">
        <v>12</v>
      </c>
      <c r="X172" s="423">
        <f t="shared" si="131"/>
        <v>7852.4192000000003</v>
      </c>
      <c r="Y172" s="426"/>
      <c r="Z172" s="434">
        <f t="shared" si="132"/>
        <v>7852.4192000000003</v>
      </c>
      <c r="AA172" s="435">
        <v>4227.5237226666704</v>
      </c>
      <c r="AB172" s="435">
        <f t="shared" si="13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315</v>
      </c>
      <c r="C173" s="423">
        <v>115598</v>
      </c>
      <c r="D173" s="422">
        <v>12</v>
      </c>
      <c r="E173" s="423">
        <f t="shared" si="133"/>
        <v>1387176</v>
      </c>
      <c r="F173" s="423"/>
      <c r="G173" s="424">
        <v>87934.080000000002</v>
      </c>
      <c r="H173" s="426"/>
      <c r="I173" s="423">
        <f t="shared" si="121"/>
        <v>1299241.92</v>
      </c>
      <c r="J173" s="423">
        <v>200000</v>
      </c>
      <c r="K173" s="423">
        <v>0.2</v>
      </c>
      <c r="L173" s="423">
        <f t="shared" si="122"/>
        <v>259848.38399999999</v>
      </c>
      <c r="M173" s="423">
        <f t="shared" si="123"/>
        <v>459848.38400000002</v>
      </c>
      <c r="N173" s="423">
        <f t="shared" si="124"/>
        <v>547782.46400000004</v>
      </c>
      <c r="O173" s="423">
        <f t="shared" si="125"/>
        <v>839393.53599999996</v>
      </c>
      <c r="P173" s="423">
        <f t="shared" si="126"/>
        <v>21000</v>
      </c>
      <c r="Q173" s="423">
        <f t="shared" si="127"/>
        <v>33000</v>
      </c>
      <c r="R173" s="423">
        <f t="shared" si="128"/>
        <v>35909.030400000003</v>
      </c>
      <c r="S173" s="423">
        <f t="shared" si="129"/>
        <v>0</v>
      </c>
      <c r="T173" s="423">
        <f t="shared" si="130"/>
        <v>0</v>
      </c>
      <c r="U173" s="423"/>
      <c r="V173" s="423">
        <f t="shared" si="135"/>
        <v>89909.030400000003</v>
      </c>
      <c r="W173" s="430">
        <v>12</v>
      </c>
      <c r="X173" s="423">
        <f t="shared" si="131"/>
        <v>7492.4192000000003</v>
      </c>
      <c r="Y173" s="426"/>
      <c r="Z173" s="434">
        <f t="shared" si="132"/>
        <v>7492.4192000000003</v>
      </c>
      <c r="AA173" s="435">
        <v>3963.52372266667</v>
      </c>
      <c r="AB173" s="435">
        <f t="shared" si="13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316</v>
      </c>
      <c r="C174" s="423">
        <v>118598</v>
      </c>
      <c r="D174" s="422">
        <v>12</v>
      </c>
      <c r="E174" s="423">
        <f t="shared" si="133"/>
        <v>1423176</v>
      </c>
      <c r="F174" s="423"/>
      <c r="G174" s="424">
        <v>87934.080000000002</v>
      </c>
      <c r="H174" s="426"/>
      <c r="I174" s="423">
        <f t="shared" si="121"/>
        <v>1335241.92</v>
      </c>
      <c r="J174" s="423">
        <v>200000</v>
      </c>
      <c r="K174" s="423">
        <v>0.2</v>
      </c>
      <c r="L174" s="423">
        <f t="shared" si="122"/>
        <v>267048.38400000002</v>
      </c>
      <c r="M174" s="423">
        <f t="shared" si="123"/>
        <v>467048.38400000002</v>
      </c>
      <c r="N174" s="423">
        <f t="shared" si="124"/>
        <v>554982.46400000004</v>
      </c>
      <c r="O174" s="423">
        <f t="shared" si="125"/>
        <v>868193.53599999996</v>
      </c>
      <c r="P174" s="423">
        <f t="shared" si="126"/>
        <v>21000</v>
      </c>
      <c r="Q174" s="423">
        <f t="shared" si="127"/>
        <v>33000</v>
      </c>
      <c r="R174" s="423">
        <f t="shared" si="128"/>
        <v>40229.030400000003</v>
      </c>
      <c r="S174" s="423">
        <f t="shared" si="129"/>
        <v>0</v>
      </c>
      <c r="T174" s="423">
        <f t="shared" si="130"/>
        <v>0</v>
      </c>
      <c r="U174" s="423"/>
      <c r="V174" s="423">
        <f t="shared" si="135"/>
        <v>94229.030400000003</v>
      </c>
      <c r="W174" s="430">
        <v>12</v>
      </c>
      <c r="X174" s="423">
        <f t="shared" si="131"/>
        <v>7852.4192000000003</v>
      </c>
      <c r="Y174" s="426"/>
      <c r="Z174" s="434">
        <f t="shared" si="132"/>
        <v>7852.4192000000003</v>
      </c>
      <c r="AA174" s="435">
        <v>4227.5237226666704</v>
      </c>
      <c r="AB174" s="435">
        <f t="shared" si="134"/>
        <v>3624.8954773333298</v>
      </c>
      <c r="AC174" s="435"/>
      <c r="AD174" s="435"/>
      <c r="AE174" s="435"/>
    </row>
    <row r="175" spans="1:31" ht="18.75">
      <c r="A175" s="431"/>
      <c r="B175" s="9" t="s">
        <v>317</v>
      </c>
      <c r="C175" s="439">
        <v>115598</v>
      </c>
      <c r="D175" s="422">
        <v>12</v>
      </c>
      <c r="E175" s="423">
        <f t="shared" si="133"/>
        <v>1387176</v>
      </c>
      <c r="F175" s="423"/>
      <c r="G175" s="424">
        <v>87934.080000000002</v>
      </c>
      <c r="H175" s="426"/>
      <c r="I175" s="423">
        <f t="shared" si="121"/>
        <v>1299241.92</v>
      </c>
      <c r="J175" s="423">
        <v>200000</v>
      </c>
      <c r="K175" s="423">
        <v>0.2</v>
      </c>
      <c r="L175" s="423">
        <f t="shared" si="122"/>
        <v>259848.38399999999</v>
      </c>
      <c r="M175" s="423">
        <f t="shared" si="123"/>
        <v>459848.38400000002</v>
      </c>
      <c r="N175" s="423">
        <f t="shared" si="124"/>
        <v>547782.46400000004</v>
      </c>
      <c r="O175" s="423">
        <f t="shared" si="125"/>
        <v>839393.53599999996</v>
      </c>
      <c r="P175" s="423">
        <f t="shared" si="126"/>
        <v>21000</v>
      </c>
      <c r="Q175" s="423">
        <f t="shared" si="127"/>
        <v>33000</v>
      </c>
      <c r="R175" s="423">
        <f t="shared" si="128"/>
        <v>35909.030400000003</v>
      </c>
      <c r="S175" s="423">
        <f t="shared" si="129"/>
        <v>0</v>
      </c>
      <c r="T175" s="423">
        <f t="shared" si="130"/>
        <v>0</v>
      </c>
      <c r="U175" s="423"/>
      <c r="V175" s="423">
        <f t="shared" si="135"/>
        <v>89909.030400000003</v>
      </c>
      <c r="W175" s="430">
        <v>12</v>
      </c>
      <c r="X175" s="423">
        <f t="shared" si="131"/>
        <v>7492.4192000000003</v>
      </c>
      <c r="Y175" s="426"/>
      <c r="Z175" s="434">
        <f t="shared" si="132"/>
        <v>7492.4192000000003</v>
      </c>
      <c r="AA175" s="435">
        <v>3963.52372266667</v>
      </c>
      <c r="AB175" s="435">
        <f t="shared" si="134"/>
        <v>3528.8954773333298</v>
      </c>
      <c r="AC175" s="435"/>
      <c r="AD175" s="435"/>
      <c r="AE175" s="435"/>
    </row>
    <row r="176" spans="1:31" ht="18.75">
      <c r="A176" s="431"/>
      <c r="B176" s="9" t="s">
        <v>318</v>
      </c>
      <c r="C176" s="439">
        <v>118598</v>
      </c>
      <c r="D176" s="422">
        <v>12</v>
      </c>
      <c r="E176" s="423">
        <f t="shared" si="133"/>
        <v>1423176</v>
      </c>
      <c r="F176" s="423"/>
      <c r="G176" s="424">
        <v>87934.080000000002</v>
      </c>
      <c r="H176" s="426"/>
      <c r="I176" s="423">
        <f t="shared" si="121"/>
        <v>1335241.92</v>
      </c>
      <c r="J176" s="423">
        <v>200000</v>
      </c>
      <c r="K176" s="423">
        <v>0.2</v>
      </c>
      <c r="L176" s="423">
        <f t="shared" si="122"/>
        <v>267048.38400000002</v>
      </c>
      <c r="M176" s="423">
        <f t="shared" si="123"/>
        <v>467048.38400000002</v>
      </c>
      <c r="N176" s="423">
        <f t="shared" si="124"/>
        <v>554982.46400000004</v>
      </c>
      <c r="O176" s="423">
        <f t="shared" si="125"/>
        <v>868193.53599999996</v>
      </c>
      <c r="P176" s="423">
        <f t="shared" si="126"/>
        <v>21000</v>
      </c>
      <c r="Q176" s="423">
        <f t="shared" si="127"/>
        <v>33000</v>
      </c>
      <c r="R176" s="423">
        <f t="shared" si="128"/>
        <v>40229.030400000003</v>
      </c>
      <c r="S176" s="423">
        <f t="shared" si="129"/>
        <v>0</v>
      </c>
      <c r="T176" s="423">
        <f t="shared" si="130"/>
        <v>0</v>
      </c>
      <c r="U176" s="423"/>
      <c r="V176" s="423">
        <f t="shared" si="135"/>
        <v>94229.030400000003</v>
      </c>
      <c r="W176" s="430">
        <v>12</v>
      </c>
      <c r="X176" s="423">
        <f t="shared" si="131"/>
        <v>7852.4192000000003</v>
      </c>
      <c r="Y176" s="426"/>
      <c r="Z176" s="434">
        <f t="shared" si="132"/>
        <v>7852.4192000000003</v>
      </c>
      <c r="AA176" s="435">
        <v>4227.5237226666704</v>
      </c>
      <c r="AB176" s="435">
        <f t="shared" si="134"/>
        <v>3624.8954773333298</v>
      </c>
    </row>
    <row r="177" spans="2:28" ht="18.75">
      <c r="B177" s="16" t="s">
        <v>319</v>
      </c>
      <c r="C177" s="435">
        <v>115598</v>
      </c>
      <c r="D177" s="422">
        <v>12</v>
      </c>
      <c r="E177" s="423">
        <f t="shared" si="133"/>
        <v>1387176</v>
      </c>
      <c r="G177" s="424">
        <v>87934.080000000002</v>
      </c>
      <c r="I177" s="423">
        <f t="shared" si="121"/>
        <v>1299241.92</v>
      </c>
      <c r="J177" s="423">
        <v>200000</v>
      </c>
      <c r="K177" s="423">
        <v>0.2</v>
      </c>
      <c r="L177" s="423">
        <f t="shared" si="122"/>
        <v>259848.38399999999</v>
      </c>
      <c r="M177" s="423">
        <f t="shared" si="123"/>
        <v>459848.38400000002</v>
      </c>
      <c r="N177" s="423">
        <f t="shared" si="124"/>
        <v>547782.46400000004</v>
      </c>
      <c r="O177" s="423">
        <f t="shared" si="125"/>
        <v>839393.53599999996</v>
      </c>
      <c r="P177" s="423">
        <f t="shared" si="126"/>
        <v>21000</v>
      </c>
      <c r="Q177" s="423">
        <f t="shared" si="127"/>
        <v>33000</v>
      </c>
      <c r="R177" s="423">
        <f t="shared" si="128"/>
        <v>35909.030400000003</v>
      </c>
      <c r="S177" s="423">
        <f t="shared" si="129"/>
        <v>0</v>
      </c>
      <c r="T177" s="423">
        <f t="shared" si="130"/>
        <v>0</v>
      </c>
      <c r="U177" s="423"/>
      <c r="V177" s="423">
        <f t="shared" si="135"/>
        <v>89909.030400000003</v>
      </c>
      <c r="W177" s="430">
        <v>12</v>
      </c>
      <c r="X177" s="423">
        <f t="shared" si="131"/>
        <v>7492.4192000000003</v>
      </c>
      <c r="Z177" s="434">
        <f t="shared" si="132"/>
        <v>7492.4192000000003</v>
      </c>
      <c r="AA177" s="435">
        <v>3963.52372266667</v>
      </c>
      <c r="AB177" s="435">
        <f t="shared" si="134"/>
        <v>3528.8954773333298</v>
      </c>
    </row>
    <row r="178" spans="2:28" ht="18.75">
      <c r="B178" s="16" t="s">
        <v>320</v>
      </c>
      <c r="C178" s="435">
        <v>118598</v>
      </c>
      <c r="D178" s="422">
        <v>12</v>
      </c>
      <c r="E178" s="423">
        <f t="shared" si="133"/>
        <v>1423176</v>
      </c>
      <c r="G178" s="424">
        <v>87934.080000000002</v>
      </c>
      <c r="I178" s="423">
        <f t="shared" si="121"/>
        <v>1335241.92</v>
      </c>
      <c r="J178" s="423">
        <v>200000</v>
      </c>
      <c r="K178" s="423">
        <v>0.2</v>
      </c>
      <c r="L178" s="423">
        <f t="shared" si="122"/>
        <v>267048.38400000002</v>
      </c>
      <c r="M178" s="423">
        <f t="shared" si="123"/>
        <v>467048.38400000002</v>
      </c>
      <c r="N178" s="423">
        <f t="shared" si="124"/>
        <v>554982.46400000004</v>
      </c>
      <c r="O178" s="423">
        <f t="shared" si="125"/>
        <v>868193.53599999996</v>
      </c>
      <c r="P178" s="423">
        <f t="shared" si="126"/>
        <v>21000</v>
      </c>
      <c r="Q178" s="423">
        <f t="shared" si="127"/>
        <v>33000</v>
      </c>
      <c r="R178" s="423">
        <f t="shared" si="128"/>
        <v>40229.030400000003</v>
      </c>
      <c r="S178" s="423">
        <f t="shared" si="129"/>
        <v>0</v>
      </c>
      <c r="T178" s="423">
        <f t="shared" si="130"/>
        <v>0</v>
      </c>
      <c r="U178" s="423"/>
      <c r="V178" s="423">
        <f t="shared" si="135"/>
        <v>94229.030400000003</v>
      </c>
      <c r="W178" s="430">
        <v>12</v>
      </c>
      <c r="X178" s="423">
        <f t="shared" si="131"/>
        <v>7852.4192000000003</v>
      </c>
      <c r="Z178" s="434">
        <f t="shared" si="132"/>
        <v>7852.4192000000003</v>
      </c>
      <c r="AA178" s="435">
        <v>4227.5237226666704</v>
      </c>
      <c r="AB178" s="435">
        <f t="shared" si="134"/>
        <v>3624.8954773333298</v>
      </c>
    </row>
    <row r="179" spans="2:28" ht="18.75">
      <c r="B179" s="9" t="s">
        <v>321</v>
      </c>
      <c r="C179" s="435">
        <v>118598</v>
      </c>
      <c r="D179" s="422">
        <v>12</v>
      </c>
      <c r="E179" s="423">
        <f t="shared" si="133"/>
        <v>1423176</v>
      </c>
      <c r="G179" s="424">
        <v>87934.080000000002</v>
      </c>
      <c r="I179" s="423">
        <f t="shared" si="121"/>
        <v>1335241.92</v>
      </c>
      <c r="J179" s="423">
        <v>200000</v>
      </c>
      <c r="K179" s="423">
        <v>0.2</v>
      </c>
      <c r="L179" s="423">
        <f t="shared" si="122"/>
        <v>267048.38400000002</v>
      </c>
      <c r="M179" s="423">
        <f t="shared" si="123"/>
        <v>467048.38400000002</v>
      </c>
      <c r="N179" s="423">
        <f t="shared" si="124"/>
        <v>554982.46400000004</v>
      </c>
      <c r="O179" s="423">
        <f t="shared" si="125"/>
        <v>868193.53599999996</v>
      </c>
      <c r="P179" s="423">
        <f t="shared" si="126"/>
        <v>21000</v>
      </c>
      <c r="Q179" s="423">
        <f t="shared" si="127"/>
        <v>33000</v>
      </c>
      <c r="R179" s="423">
        <f t="shared" si="128"/>
        <v>40229.030400000003</v>
      </c>
      <c r="S179" s="423">
        <f t="shared" si="129"/>
        <v>0</v>
      </c>
      <c r="T179" s="423">
        <f t="shared" si="130"/>
        <v>0</v>
      </c>
      <c r="V179" s="423">
        <f t="shared" si="135"/>
        <v>94229.030400000003</v>
      </c>
      <c r="W179" s="430">
        <v>12</v>
      </c>
      <c r="X179" s="423">
        <f t="shared" si="131"/>
        <v>7852.4192000000003</v>
      </c>
      <c r="Z179" s="434">
        <f t="shared" si="132"/>
        <v>7852.4192000000003</v>
      </c>
      <c r="AA179" s="435">
        <v>4089.7166906666698</v>
      </c>
      <c r="AB179" s="435">
        <f t="shared" si="134"/>
        <v>3762.70250933333</v>
      </c>
    </row>
    <row r="180" spans="2:28" ht="18.75">
      <c r="B180" s="9" t="s">
        <v>322</v>
      </c>
      <c r="C180" s="435">
        <v>118598</v>
      </c>
      <c r="D180" s="422">
        <v>12</v>
      </c>
      <c r="E180" s="423">
        <f t="shared" si="133"/>
        <v>1423176</v>
      </c>
      <c r="G180" s="424">
        <v>87934.080000000002</v>
      </c>
      <c r="I180" s="423">
        <f t="shared" si="121"/>
        <v>1335241.92</v>
      </c>
      <c r="J180" s="423">
        <v>200000</v>
      </c>
      <c r="K180" s="423">
        <v>0.2</v>
      </c>
      <c r="L180" s="423">
        <f t="shared" si="122"/>
        <v>267048.38400000002</v>
      </c>
      <c r="M180" s="423">
        <f t="shared" si="123"/>
        <v>467048.38400000002</v>
      </c>
      <c r="N180" s="423">
        <f t="shared" si="124"/>
        <v>554982.46400000004</v>
      </c>
      <c r="O180" s="423">
        <f t="shared" si="125"/>
        <v>868193.53599999996</v>
      </c>
      <c r="P180" s="423">
        <f t="shared" si="126"/>
        <v>21000</v>
      </c>
      <c r="Q180" s="423">
        <f t="shared" si="127"/>
        <v>33000</v>
      </c>
      <c r="R180" s="423">
        <f t="shared" si="128"/>
        <v>40229.030400000003</v>
      </c>
      <c r="S180" s="423">
        <f t="shared" si="129"/>
        <v>0</v>
      </c>
      <c r="T180" s="423">
        <f t="shared" si="130"/>
        <v>0</v>
      </c>
      <c r="V180" s="423">
        <f t="shared" si="135"/>
        <v>94229.030400000003</v>
      </c>
      <c r="W180" s="430">
        <v>12</v>
      </c>
      <c r="X180" s="423">
        <f t="shared" si="131"/>
        <v>7852.4192000000003</v>
      </c>
      <c r="Z180" s="434">
        <f t="shared" si="132"/>
        <v>7852.4192000000003</v>
      </c>
      <c r="AA180" s="435">
        <v>4227.5237226666704</v>
      </c>
      <c r="AB180" s="435">
        <f t="shared" si="134"/>
        <v>3624.8954773333298</v>
      </c>
    </row>
    <row r="181" spans="2:28" ht="18.75">
      <c r="B181" s="16" t="s">
        <v>323</v>
      </c>
      <c r="C181" s="435">
        <v>116050.25</v>
      </c>
      <c r="D181" s="422">
        <v>12</v>
      </c>
      <c r="E181" s="423">
        <f t="shared" si="133"/>
        <v>1392603</v>
      </c>
      <c r="G181" s="424">
        <v>85488.24</v>
      </c>
      <c r="I181" s="423">
        <f t="shared" si="121"/>
        <v>1307114.76</v>
      </c>
      <c r="J181" s="423">
        <v>200000</v>
      </c>
      <c r="K181" s="423">
        <v>0.2</v>
      </c>
      <c r="L181" s="423">
        <f t="shared" si="122"/>
        <v>261422.95199999999</v>
      </c>
      <c r="M181" s="423">
        <f t="shared" si="123"/>
        <v>461422.95199999999</v>
      </c>
      <c r="N181" s="423">
        <f t="shared" si="124"/>
        <v>546911.19200000004</v>
      </c>
      <c r="O181" s="423">
        <f t="shared" si="125"/>
        <v>845691.80799999996</v>
      </c>
      <c r="P181" s="423">
        <f t="shared" si="126"/>
        <v>21000</v>
      </c>
      <c r="Q181" s="423">
        <f t="shared" si="127"/>
        <v>33000</v>
      </c>
      <c r="R181" s="423">
        <f t="shared" si="128"/>
        <v>36853.771200000003</v>
      </c>
      <c r="S181" s="423">
        <f t="shared" si="129"/>
        <v>0</v>
      </c>
      <c r="T181" s="423">
        <f t="shared" si="130"/>
        <v>0</v>
      </c>
      <c r="V181" s="423">
        <f t="shared" si="135"/>
        <v>90853.771200000003</v>
      </c>
      <c r="W181" s="430">
        <v>12</v>
      </c>
      <c r="X181" s="423">
        <f t="shared" si="131"/>
        <v>7571.1476000000002</v>
      </c>
      <c r="Z181" s="434">
        <f t="shared" si="132"/>
        <v>7571.1476000000002</v>
      </c>
      <c r="AA181" s="435">
        <v>4089.7166906666698</v>
      </c>
      <c r="AB181" s="435">
        <f t="shared" si="134"/>
        <v>3481.43090933333</v>
      </c>
    </row>
    <row r="182" spans="2:28" ht="18.75">
      <c r="B182" s="16" t="s">
        <v>328</v>
      </c>
      <c r="C182" s="435">
        <v>102926.91666666701</v>
      </c>
      <c r="D182" s="422">
        <v>12</v>
      </c>
      <c r="E182" s="423">
        <f t="shared" si="133"/>
        <v>1235123</v>
      </c>
      <c r="G182" s="424">
        <v>77689.84</v>
      </c>
      <c r="I182" s="423">
        <f t="shared" si="121"/>
        <v>1157433.1599999999</v>
      </c>
      <c r="J182" s="423">
        <v>200000</v>
      </c>
      <c r="K182" s="423">
        <v>0.2</v>
      </c>
      <c r="L182" s="423">
        <f t="shared" si="122"/>
        <v>231486.63200000001</v>
      </c>
      <c r="M182" s="423">
        <f t="shared" si="123"/>
        <v>431486.63199999998</v>
      </c>
      <c r="N182" s="423">
        <f t="shared" si="124"/>
        <v>509176.47200000001</v>
      </c>
      <c r="O182" s="423">
        <f t="shared" si="125"/>
        <v>725946.52800000005</v>
      </c>
      <c r="P182" s="423">
        <f t="shared" si="126"/>
        <v>21000</v>
      </c>
      <c r="Q182" s="423">
        <f t="shared" si="127"/>
        <v>33000</v>
      </c>
      <c r="R182" s="423">
        <f t="shared" si="128"/>
        <v>18891.979200000002</v>
      </c>
      <c r="S182" s="423">
        <f t="shared" si="129"/>
        <v>0</v>
      </c>
      <c r="T182" s="423">
        <f t="shared" si="130"/>
        <v>0</v>
      </c>
      <c r="V182" s="423">
        <f t="shared" si="135"/>
        <v>72891.979200000002</v>
      </c>
      <c r="W182" s="430">
        <v>12</v>
      </c>
      <c r="X182" s="423">
        <f t="shared" si="131"/>
        <v>6074.3316000000004</v>
      </c>
      <c r="Z182" s="434">
        <f t="shared" si="132"/>
        <v>6074.3316000000004</v>
      </c>
      <c r="AA182" s="435">
        <v>3210.1544048666701</v>
      </c>
      <c r="AB182" s="435">
        <f t="shared" si="134"/>
        <v>2864.1771951333299</v>
      </c>
    </row>
    <row r="183" spans="2:28" ht="18.75">
      <c r="B183" s="16" t="s">
        <v>329</v>
      </c>
      <c r="C183" s="435">
        <v>95540.75</v>
      </c>
      <c r="D183" s="422">
        <v>12</v>
      </c>
      <c r="E183" s="423">
        <f t="shared" si="133"/>
        <v>1146489</v>
      </c>
      <c r="G183" s="424">
        <f>6123.26*12</f>
        <v>73479.12</v>
      </c>
      <c r="I183" s="423">
        <f t="shared" si="121"/>
        <v>1073009.8799999999</v>
      </c>
      <c r="J183" s="423">
        <v>200000</v>
      </c>
      <c r="K183" s="423">
        <v>0.2</v>
      </c>
      <c r="L183" s="423">
        <f t="shared" si="122"/>
        <v>214601.976</v>
      </c>
      <c r="M183" s="423">
        <f t="shared" si="123"/>
        <v>414601.97600000002</v>
      </c>
      <c r="N183" s="423">
        <f t="shared" si="124"/>
        <v>488081.09600000002</v>
      </c>
      <c r="O183" s="423">
        <f t="shared" si="125"/>
        <v>658407.90399999998</v>
      </c>
      <c r="P183" s="423">
        <f t="shared" si="126"/>
        <v>21000</v>
      </c>
      <c r="Q183" s="423">
        <f t="shared" si="127"/>
        <v>33000</v>
      </c>
      <c r="R183" s="423">
        <f t="shared" si="128"/>
        <v>8761.1856000000007</v>
      </c>
      <c r="S183" s="423">
        <f t="shared" si="129"/>
        <v>0</v>
      </c>
      <c r="T183" s="423">
        <f t="shared" si="130"/>
        <v>0</v>
      </c>
      <c r="V183" s="423">
        <f t="shared" si="135"/>
        <v>62761.185599999997</v>
      </c>
      <c r="W183" s="430">
        <v>12</v>
      </c>
      <c r="X183" s="423">
        <f t="shared" si="131"/>
        <v>5230.0987999999998</v>
      </c>
      <c r="Z183" s="434">
        <f t="shared" si="132"/>
        <v>5230.0987999999998</v>
      </c>
      <c r="AA183" s="435">
        <v>2708.9136406666698</v>
      </c>
      <c r="AB183" s="435">
        <f t="shared" si="134"/>
        <v>2521.1851593333299</v>
      </c>
    </row>
    <row r="184" spans="2:28" ht="18.75">
      <c r="B184" s="16" t="s">
        <v>332</v>
      </c>
      <c r="C184" s="435">
        <v>95540.75</v>
      </c>
      <c r="D184" s="422">
        <v>12</v>
      </c>
      <c r="E184" s="423">
        <f t="shared" si="133"/>
        <v>1146489</v>
      </c>
      <c r="G184" s="424">
        <f t="shared" ref="G184:G185" si="136">6123.26*12</f>
        <v>73479.12</v>
      </c>
      <c r="I184" s="423">
        <f t="shared" si="121"/>
        <v>1073009.8799999999</v>
      </c>
      <c r="J184" s="423">
        <v>200000</v>
      </c>
      <c r="K184" s="423">
        <v>0.2</v>
      </c>
      <c r="L184" s="423">
        <f t="shared" si="122"/>
        <v>214601.976</v>
      </c>
      <c r="M184" s="423">
        <f t="shared" si="123"/>
        <v>414601.97600000002</v>
      </c>
      <c r="N184" s="423">
        <f t="shared" si="124"/>
        <v>488081.09600000002</v>
      </c>
      <c r="O184" s="423">
        <f t="shared" si="125"/>
        <v>658407.90399999998</v>
      </c>
      <c r="P184" s="423">
        <f t="shared" si="126"/>
        <v>21000</v>
      </c>
      <c r="Q184" s="423">
        <f t="shared" si="127"/>
        <v>33000</v>
      </c>
      <c r="R184" s="423">
        <f t="shared" si="128"/>
        <v>8761.1856000000007</v>
      </c>
      <c r="S184" s="423">
        <f t="shared" si="129"/>
        <v>0</v>
      </c>
      <c r="T184" s="423">
        <f t="shared" si="130"/>
        <v>0</v>
      </c>
      <c r="V184" s="423">
        <f t="shared" si="135"/>
        <v>62761.185599999997</v>
      </c>
      <c r="W184" s="430">
        <v>12</v>
      </c>
      <c r="X184" s="423">
        <f t="shared" si="131"/>
        <v>5230.0987999999998</v>
      </c>
      <c r="Z184" s="434">
        <f t="shared" si="132"/>
        <v>5230.0987999999998</v>
      </c>
      <c r="AA184" s="435">
        <v>2708.9136406666698</v>
      </c>
      <c r="AB184" s="435">
        <f t="shared" si="134"/>
        <v>2521.1851593333299</v>
      </c>
    </row>
    <row r="185" spans="2:28" ht="18.75">
      <c r="B185" s="16" t="s">
        <v>333</v>
      </c>
      <c r="C185" s="435">
        <v>95540.75</v>
      </c>
      <c r="D185" s="422">
        <v>12</v>
      </c>
      <c r="E185" s="423">
        <f t="shared" si="133"/>
        <v>1146489</v>
      </c>
      <c r="G185" s="424">
        <f t="shared" si="136"/>
        <v>73479.12</v>
      </c>
      <c r="I185" s="423">
        <f t="shared" si="121"/>
        <v>1073009.8799999999</v>
      </c>
      <c r="J185" s="423">
        <v>200000</v>
      </c>
      <c r="K185" s="423">
        <v>0.2</v>
      </c>
      <c r="L185" s="423">
        <f t="shared" si="122"/>
        <v>214601.976</v>
      </c>
      <c r="M185" s="423">
        <f t="shared" si="123"/>
        <v>414601.97600000002</v>
      </c>
      <c r="N185" s="423">
        <f t="shared" si="124"/>
        <v>488081.09600000002</v>
      </c>
      <c r="O185" s="423">
        <f t="shared" si="125"/>
        <v>658407.90399999998</v>
      </c>
      <c r="P185" s="423">
        <f t="shared" si="126"/>
        <v>21000</v>
      </c>
      <c r="Q185" s="423">
        <f t="shared" si="127"/>
        <v>33000</v>
      </c>
      <c r="R185" s="423">
        <f t="shared" si="128"/>
        <v>8761.1856000000007</v>
      </c>
      <c r="S185" s="423">
        <f t="shared" si="129"/>
        <v>0</v>
      </c>
      <c r="T185" s="423">
        <f t="shared" si="130"/>
        <v>0</v>
      </c>
      <c r="V185" s="423">
        <f t="shared" si="135"/>
        <v>62761.185599999997</v>
      </c>
      <c r="W185" s="430">
        <v>12</v>
      </c>
      <c r="X185" s="423">
        <f t="shared" si="131"/>
        <v>5230.0987999999998</v>
      </c>
      <c r="Z185" s="434">
        <f t="shared" si="132"/>
        <v>5230.0987999999998</v>
      </c>
      <c r="AA185" s="435">
        <v>2708.9136406666698</v>
      </c>
      <c r="AB185" s="435">
        <f t="shared" si="134"/>
        <v>2521.1851593333299</v>
      </c>
    </row>
    <row r="186" spans="2:28" ht="18.75">
      <c r="B186" s="440" t="s">
        <v>334</v>
      </c>
      <c r="C186" s="435">
        <v>108502.5</v>
      </c>
      <c r="D186" s="441">
        <v>12</v>
      </c>
      <c r="E186" s="442">
        <f t="shared" si="133"/>
        <v>1302030</v>
      </c>
      <c r="G186" s="443">
        <f>6920.2*12</f>
        <v>83042.399999999994</v>
      </c>
      <c r="I186" s="442">
        <f t="shared" si="121"/>
        <v>1218987.6000000001</v>
      </c>
      <c r="J186" s="423">
        <v>200000</v>
      </c>
      <c r="K186" s="423">
        <v>0.2</v>
      </c>
      <c r="L186" s="423">
        <f t="shared" si="122"/>
        <v>243797.52</v>
      </c>
      <c r="M186" s="423">
        <f t="shared" si="123"/>
        <v>443797.52</v>
      </c>
      <c r="N186" s="423">
        <f t="shared" si="124"/>
        <v>526839.92000000004</v>
      </c>
      <c r="O186" s="423">
        <f t="shared" si="125"/>
        <v>775190.08</v>
      </c>
      <c r="P186" s="423">
        <f t="shared" si="126"/>
        <v>21000</v>
      </c>
      <c r="Q186" s="423">
        <f t="shared" si="127"/>
        <v>33000</v>
      </c>
      <c r="R186" s="423">
        <f t="shared" si="128"/>
        <v>26278.511999999999</v>
      </c>
      <c r="S186" s="423">
        <f t="shared" si="129"/>
        <v>0</v>
      </c>
      <c r="T186" s="423">
        <f t="shared" si="130"/>
        <v>0</v>
      </c>
      <c r="V186" s="423">
        <f t="shared" si="135"/>
        <v>80278.512000000002</v>
      </c>
      <c r="W186" s="430">
        <v>12</v>
      </c>
      <c r="X186" s="423">
        <f t="shared" si="131"/>
        <v>6689.8760000000002</v>
      </c>
      <c r="Z186" s="434">
        <f t="shared" si="132"/>
        <v>6689.8760000000002</v>
      </c>
      <c r="AA186" s="435">
        <v>3511.7966226666699</v>
      </c>
      <c r="AB186" s="435">
        <f t="shared" si="134"/>
        <v>3178.0793773333298</v>
      </c>
    </row>
    <row r="187" spans="2:28" ht="18.75">
      <c r="B187" s="440" t="s">
        <v>337</v>
      </c>
      <c r="C187" s="444">
        <v>108502.5</v>
      </c>
      <c r="D187" s="441">
        <v>12</v>
      </c>
      <c r="E187" s="442">
        <f t="shared" si="133"/>
        <v>1302030</v>
      </c>
      <c r="F187" s="445"/>
      <c r="G187" s="443">
        <f>6920.2*12</f>
        <v>83042.399999999994</v>
      </c>
      <c r="H187" s="445"/>
      <c r="I187" s="442">
        <f t="shared" si="121"/>
        <v>1218987.6000000001</v>
      </c>
      <c r="J187" s="442">
        <v>200000</v>
      </c>
      <c r="K187" s="442">
        <v>0.2</v>
      </c>
      <c r="L187" s="442">
        <f t="shared" si="122"/>
        <v>243797.52</v>
      </c>
      <c r="M187" s="442">
        <f t="shared" si="123"/>
        <v>443797.52</v>
      </c>
      <c r="N187" s="442">
        <f t="shared" si="124"/>
        <v>526839.92000000004</v>
      </c>
      <c r="O187" s="442">
        <f t="shared" si="125"/>
        <v>775190.08</v>
      </c>
      <c r="P187" s="442">
        <f t="shared" si="126"/>
        <v>21000</v>
      </c>
      <c r="Q187" s="442">
        <f t="shared" si="127"/>
        <v>33000</v>
      </c>
      <c r="R187" s="442">
        <f t="shared" si="128"/>
        <v>26278.511999999999</v>
      </c>
      <c r="S187" s="442">
        <f t="shared" si="129"/>
        <v>0</v>
      </c>
      <c r="T187" s="442">
        <f t="shared" si="130"/>
        <v>0</v>
      </c>
      <c r="V187" s="442">
        <f t="shared" si="135"/>
        <v>80278.512000000002</v>
      </c>
      <c r="W187" s="456">
        <v>12</v>
      </c>
      <c r="X187" s="442">
        <f t="shared" si="131"/>
        <v>6689.8760000000002</v>
      </c>
      <c r="Z187" s="457">
        <f t="shared" si="132"/>
        <v>6689.8760000000002</v>
      </c>
      <c r="AA187" s="435">
        <v>3511.7966226666699</v>
      </c>
      <c r="AB187" s="435">
        <f t="shared" si="134"/>
        <v>3178.0793773333298</v>
      </c>
    </row>
    <row r="188" spans="2:28" ht="35.25" customHeight="1">
      <c r="B188" s="446" t="s">
        <v>484</v>
      </c>
      <c r="C188" s="447">
        <f>SUM(C6:C187)</f>
        <v>79212127.886105001</v>
      </c>
      <c r="D188" s="448"/>
      <c r="E188" s="449"/>
      <c r="F188" s="450">
        <f>SUM(F6:F187)</f>
        <v>276375.74700000009</v>
      </c>
      <c r="G188" s="450">
        <f>SUM(G6:G187)</f>
        <v>54773768.880000003</v>
      </c>
      <c r="H188" s="451"/>
      <c r="I188" s="451"/>
      <c r="J188" s="451"/>
      <c r="K188" s="451"/>
      <c r="L188" s="451"/>
      <c r="M188" s="451"/>
      <c r="N188" s="451"/>
      <c r="O188" s="451"/>
      <c r="P188" s="451"/>
      <c r="Q188" s="451"/>
      <c r="R188" s="451"/>
      <c r="S188" s="451"/>
      <c r="T188" s="451"/>
      <c r="U188" s="451"/>
      <c r="V188" s="450">
        <f>SUM(V6:V187)</f>
        <v>135631933.58243379</v>
      </c>
      <c r="W188" s="450"/>
      <c r="X188" s="450">
        <f t="shared" ref="X188" si="137">SUM(X6:X187)</f>
        <v>11302661.131869497</v>
      </c>
      <c r="Y188" s="450"/>
      <c r="Z188" s="450">
        <f t="shared" ref="Z188" si="138">SUM(Z6:Z187)</f>
        <v>11302661.131869497</v>
      </c>
      <c r="AA188" s="451"/>
      <c r="AB188" s="451"/>
    </row>
    <row r="189" spans="2:28" ht="26.25" customHeight="1">
      <c r="B189" s="452" t="s">
        <v>485</v>
      </c>
      <c r="C189" s="447"/>
      <c r="D189" s="448"/>
      <c r="E189" s="448"/>
      <c r="F189" s="453">
        <f>F188/12</f>
        <v>23031.312250000006</v>
      </c>
      <c r="G189" s="453">
        <f>G188/12</f>
        <v>4564480.74</v>
      </c>
      <c r="H189" s="451"/>
      <c r="I189" s="451"/>
      <c r="J189" s="451"/>
      <c r="K189" s="451"/>
      <c r="L189" s="451"/>
      <c r="M189" s="451"/>
      <c r="N189" s="451"/>
      <c r="O189" s="451"/>
      <c r="P189" s="451"/>
      <c r="Q189" s="451"/>
      <c r="R189" s="451"/>
      <c r="S189" s="451"/>
      <c r="T189" s="451"/>
      <c r="U189" s="451"/>
      <c r="V189" s="453">
        <f>V188/12</f>
        <v>11302661.131869482</v>
      </c>
      <c r="W189" s="448"/>
      <c r="X189" s="448"/>
      <c r="Y189" s="448"/>
      <c r="Z189" s="448"/>
      <c r="AA189" s="451"/>
      <c r="AB189" s="451"/>
    </row>
    <row r="190" spans="2:28" ht="18.75">
      <c r="B190" s="31"/>
      <c r="C190" s="435"/>
      <c r="F190" s="454"/>
    </row>
    <row r="191" spans="2:28">
      <c r="F191" s="455"/>
      <c r="Z191" s="450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807" t="s">
        <v>0</v>
      </c>
      <c r="B1" s="807"/>
      <c r="C1" s="807"/>
      <c r="D1" s="807"/>
      <c r="E1" s="807"/>
      <c r="F1" s="807"/>
    </row>
    <row r="2" spans="1:7" ht="20.25" customHeight="1">
      <c r="A2" s="807" t="s">
        <v>637</v>
      </c>
      <c r="B2" s="807"/>
      <c r="C2" s="807"/>
      <c r="D2" s="807"/>
      <c r="E2" s="807"/>
      <c r="F2" s="807"/>
    </row>
    <row r="3" spans="1:7" ht="9.75" customHeight="1">
      <c r="A3" s="807"/>
      <c r="B3" s="807"/>
      <c r="C3" s="807"/>
      <c r="D3" s="807"/>
      <c r="E3" s="807"/>
      <c r="F3" s="807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638</v>
      </c>
      <c r="F5" s="184" t="s">
        <v>15</v>
      </c>
    </row>
    <row r="6" spans="1:7" ht="17.25" customHeight="1">
      <c r="C6" s="6"/>
      <c r="D6" s="6"/>
      <c r="E6" s="67" t="s">
        <v>19</v>
      </c>
      <c r="F6" s="67" t="s">
        <v>19</v>
      </c>
    </row>
    <row r="7" spans="1:7" ht="20.100000000000001" customHeight="1">
      <c r="A7" s="7" t="s">
        <v>20</v>
      </c>
      <c r="B7" s="6" t="s">
        <v>21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22</v>
      </c>
      <c r="C8" s="10" t="s">
        <v>23</v>
      </c>
      <c r="D8" s="10" t="s">
        <v>24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25</v>
      </c>
      <c r="C9" s="10" t="s">
        <v>26</v>
      </c>
      <c r="D9" s="8" t="s">
        <v>27</v>
      </c>
      <c r="E9" s="70">
        <v>762373.16666666698</v>
      </c>
      <c r="F9" s="70">
        <f t="shared" ref="F9:F34" si="0">E9*0.08</f>
        <v>60989.853333333303</v>
      </c>
      <c r="G9" s="11"/>
    </row>
    <row r="10" spans="1:7" ht="20.100000000000001" customHeight="1">
      <c r="A10" s="8">
        <v>3</v>
      </c>
      <c r="B10" s="12" t="s">
        <v>28</v>
      </c>
      <c r="C10" s="2" t="s">
        <v>29</v>
      </c>
      <c r="D10" s="8" t="s">
        <v>27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30</v>
      </c>
      <c r="C11" s="15" t="s">
        <v>31</v>
      </c>
      <c r="D11" s="8" t="s">
        <v>27</v>
      </c>
      <c r="E11" s="70">
        <v>762373.16666666698</v>
      </c>
      <c r="F11" s="70">
        <f t="shared" si="0"/>
        <v>60989.853333333303</v>
      </c>
      <c r="G11" s="11"/>
    </row>
    <row r="12" spans="1:7" ht="20.100000000000001" customHeight="1">
      <c r="A12" s="8">
        <v>5</v>
      </c>
      <c r="B12" s="12" t="s">
        <v>32</v>
      </c>
      <c r="C12" s="2" t="s">
        <v>605</v>
      </c>
      <c r="D12" s="8" t="s">
        <v>27</v>
      </c>
      <c r="E12" s="70">
        <v>762373.16666666698</v>
      </c>
      <c r="F12" s="70">
        <f t="shared" si="0"/>
        <v>60989.853333333303</v>
      </c>
      <c r="G12" s="11"/>
    </row>
    <row r="13" spans="1:7" ht="20.100000000000001" customHeight="1">
      <c r="A13" s="8">
        <v>6</v>
      </c>
      <c r="B13" s="16" t="s">
        <v>574</v>
      </c>
      <c r="C13" s="8" t="s">
        <v>575</v>
      </c>
      <c r="D13" s="8" t="s">
        <v>27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34</v>
      </c>
      <c r="C14" s="10" t="s">
        <v>35</v>
      </c>
      <c r="D14" s="13" t="s">
        <v>36</v>
      </c>
      <c r="E14" s="70">
        <v>620675.58333333302</v>
      </c>
      <c r="F14" s="70">
        <f t="shared" si="0"/>
        <v>49654.046666666698</v>
      </c>
      <c r="G14" s="11"/>
    </row>
    <row r="15" spans="1:7" ht="20.100000000000001" customHeight="1">
      <c r="A15" s="8">
        <v>8</v>
      </c>
      <c r="B15" s="9" t="s">
        <v>37</v>
      </c>
      <c r="C15" s="2" t="s">
        <v>38</v>
      </c>
      <c r="D15" s="8" t="s">
        <v>39</v>
      </c>
      <c r="E15" s="70">
        <v>582118.08333333302</v>
      </c>
      <c r="F15" s="70">
        <f t="shared" si="0"/>
        <v>46569.446666666699</v>
      </c>
      <c r="G15" s="11"/>
    </row>
    <row r="16" spans="1:7" ht="20.100000000000001" customHeight="1">
      <c r="A16" s="8">
        <v>9</v>
      </c>
      <c r="B16" s="9" t="s">
        <v>40</v>
      </c>
      <c r="C16" s="2" t="s">
        <v>41</v>
      </c>
      <c r="D16" s="13" t="s">
        <v>42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43</v>
      </c>
      <c r="C17" s="15" t="s">
        <v>135</v>
      </c>
      <c r="D17" s="13" t="s">
        <v>224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45</v>
      </c>
      <c r="C18" s="2" t="s">
        <v>46</v>
      </c>
      <c r="D18" s="8" t="s">
        <v>47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48</v>
      </c>
      <c r="C19" s="2" t="s">
        <v>577</v>
      </c>
      <c r="D19" s="8" t="s">
        <v>194</v>
      </c>
      <c r="E19" s="70">
        <v>441804.91666666698</v>
      </c>
      <c r="F19" s="70">
        <f t="shared" si="0"/>
        <v>35344.393333333297</v>
      </c>
    </row>
    <row r="20" spans="1:7" ht="20.100000000000001" customHeight="1">
      <c r="A20" s="8">
        <v>13</v>
      </c>
      <c r="B20" s="9" t="s">
        <v>50</v>
      </c>
      <c r="C20" s="10" t="s">
        <v>51</v>
      </c>
      <c r="D20" s="13" t="s">
        <v>52</v>
      </c>
      <c r="E20" s="70">
        <v>428915.91666666698</v>
      </c>
      <c r="F20" s="70">
        <f t="shared" si="0"/>
        <v>34313.273333333302</v>
      </c>
      <c r="G20" s="11"/>
    </row>
    <row r="21" spans="1:7" ht="20.100000000000001" customHeight="1">
      <c r="A21" s="8">
        <v>14</v>
      </c>
      <c r="B21" s="16" t="s">
        <v>53</v>
      </c>
      <c r="C21" s="2" t="s">
        <v>606</v>
      </c>
      <c r="D21" s="13" t="s">
        <v>55</v>
      </c>
      <c r="E21" s="70">
        <v>416026.91666666698</v>
      </c>
      <c r="F21" s="70">
        <f t="shared" si="0"/>
        <v>33282.153333333299</v>
      </c>
      <c r="G21" s="11"/>
    </row>
    <row r="22" spans="1:7" ht="18.75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377895.16666666698</v>
      </c>
      <c r="F22" s="70">
        <f t="shared" si="0"/>
        <v>30231.613333333298</v>
      </c>
      <c r="G22" s="11"/>
    </row>
    <row r="23" spans="1:7" ht="20.100000000000001" customHeight="1">
      <c r="A23" s="8">
        <v>16</v>
      </c>
      <c r="B23" s="12" t="s">
        <v>63</v>
      </c>
      <c r="C23" s="15" t="s">
        <v>607</v>
      </c>
      <c r="D23" s="8" t="s">
        <v>65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66</v>
      </c>
      <c r="C24" s="15" t="s">
        <v>67</v>
      </c>
      <c r="D24" s="13" t="s">
        <v>65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68</v>
      </c>
      <c r="C25" s="15" t="s">
        <v>69</v>
      </c>
      <c r="D25" s="8" t="s">
        <v>70</v>
      </c>
      <c r="E25" s="70">
        <v>293029.66666666698</v>
      </c>
      <c r="F25" s="70">
        <f t="shared" si="0"/>
        <v>23442.3733333333</v>
      </c>
      <c r="G25" s="11"/>
    </row>
    <row r="26" spans="1:7" ht="18.75" customHeight="1">
      <c r="A26" s="8">
        <v>19</v>
      </c>
      <c r="B26" s="2" t="s">
        <v>73</v>
      </c>
      <c r="C26" s="2" t="s">
        <v>74</v>
      </c>
      <c r="D26" s="8" t="s">
        <v>75</v>
      </c>
      <c r="E26" s="70">
        <v>270481.66666666698</v>
      </c>
      <c r="F26" s="70">
        <f t="shared" si="0"/>
        <v>21638.5333333333</v>
      </c>
      <c r="G26" s="11"/>
    </row>
    <row r="27" spans="1:7" ht="18.75" customHeight="1">
      <c r="A27" s="8">
        <v>20</v>
      </c>
      <c r="B27" s="16" t="s">
        <v>76</v>
      </c>
      <c r="C27" s="10" t="s">
        <v>74</v>
      </c>
      <c r="D27" s="13" t="s">
        <v>75</v>
      </c>
      <c r="E27" s="70">
        <v>270481.66666666698</v>
      </c>
      <c r="F27" s="70">
        <f t="shared" si="0"/>
        <v>21638.5333333333</v>
      </c>
      <c r="G27" s="11"/>
    </row>
    <row r="28" spans="1:7" ht="20.100000000000001" customHeight="1">
      <c r="A28" s="8">
        <v>21</v>
      </c>
      <c r="B28" s="9" t="s">
        <v>77</v>
      </c>
      <c r="C28" s="15" t="s">
        <v>64</v>
      </c>
      <c r="D28" s="8" t="s">
        <v>75</v>
      </c>
      <c r="E28" s="70">
        <v>270481.66666666698</v>
      </c>
      <c r="F28" s="70">
        <f t="shared" si="0"/>
        <v>21638.5333333333</v>
      </c>
      <c r="G28" s="11"/>
    </row>
    <row r="29" spans="1:7" ht="18.75" customHeight="1">
      <c r="A29" s="8">
        <v>22</v>
      </c>
      <c r="B29" s="16" t="s">
        <v>78</v>
      </c>
      <c r="C29" s="10" t="s">
        <v>79</v>
      </c>
      <c r="D29" s="13" t="s">
        <v>80</v>
      </c>
      <c r="E29" s="70">
        <v>263165.33333333302</v>
      </c>
      <c r="F29" s="70">
        <f t="shared" si="0"/>
        <v>21053.226666666698</v>
      </c>
      <c r="G29" s="11"/>
    </row>
    <row r="30" spans="1:7" ht="18.75" customHeight="1">
      <c r="A30" s="8">
        <v>23</v>
      </c>
      <c r="B30" s="16" t="s">
        <v>81</v>
      </c>
      <c r="C30" s="2" t="s">
        <v>82</v>
      </c>
      <c r="D30" s="8" t="s">
        <v>83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84</v>
      </c>
      <c r="C31" s="2" t="s">
        <v>82</v>
      </c>
      <c r="D31" s="8" t="s">
        <v>83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85</v>
      </c>
      <c r="C32" s="15" t="s">
        <v>86</v>
      </c>
      <c r="D32" s="13" t="s">
        <v>75</v>
      </c>
      <c r="E32" s="70">
        <v>270481.66666666698</v>
      </c>
      <c r="F32" s="70">
        <f t="shared" si="0"/>
        <v>21638.5333333333</v>
      </c>
      <c r="G32" s="11"/>
    </row>
    <row r="33" spans="1:7" ht="18.75" customHeight="1">
      <c r="A33" s="8">
        <v>26</v>
      </c>
      <c r="B33" s="16" t="s">
        <v>88</v>
      </c>
      <c r="C33" s="2" t="s">
        <v>89</v>
      </c>
      <c r="D33" s="8" t="s">
        <v>173</v>
      </c>
      <c r="E33" s="70">
        <v>230631.91666666701</v>
      </c>
      <c r="F33" s="70">
        <f t="shared" si="0"/>
        <v>18450.553333333301</v>
      </c>
      <c r="G33" s="11"/>
    </row>
    <row r="34" spans="1:7" ht="18.75" customHeight="1">
      <c r="A34" s="8">
        <v>27</v>
      </c>
      <c r="B34" s="16" t="s">
        <v>90</v>
      </c>
      <c r="C34" s="10" t="s">
        <v>91</v>
      </c>
      <c r="D34" s="13" t="s">
        <v>92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96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97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101</v>
      </c>
      <c r="C39" s="2" t="s">
        <v>608</v>
      </c>
      <c r="D39" s="8" t="s">
        <v>70</v>
      </c>
      <c r="E39" s="70">
        <v>293029.66666666698</v>
      </c>
      <c r="F39" s="70">
        <f t="shared" ref="F39:F40" si="2">E39*0.08</f>
        <v>23442.3733333333</v>
      </c>
      <c r="G39" s="11"/>
    </row>
    <row r="40" spans="1:7" ht="18.75" customHeight="1">
      <c r="A40" s="8">
        <v>3</v>
      </c>
      <c r="B40" s="9" t="s">
        <v>103</v>
      </c>
      <c r="C40" s="10" t="s">
        <v>609</v>
      </c>
      <c r="D40" s="13" t="s">
        <v>104</v>
      </c>
      <c r="E40" s="70">
        <v>300965.58333333302</v>
      </c>
      <c r="F40" s="70">
        <f t="shared" si="2"/>
        <v>24077.246666666699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107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108</v>
      </c>
      <c r="C44" s="2" t="s">
        <v>109</v>
      </c>
      <c r="D44" s="8" t="s">
        <v>100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491</v>
      </c>
      <c r="C45" s="2" t="s">
        <v>44</v>
      </c>
      <c r="D45" s="8" t="s">
        <v>36</v>
      </c>
      <c r="E45" s="70">
        <v>620675.58333333302</v>
      </c>
      <c r="F45" s="70">
        <f t="shared" ref="F45:F54" si="4">E45*0.08</f>
        <v>49654.046666666698</v>
      </c>
      <c r="G45" s="11"/>
    </row>
    <row r="46" spans="1:7" ht="20.100000000000001" customHeight="1">
      <c r="A46" s="8">
        <v>3</v>
      </c>
      <c r="B46" s="9" t="s">
        <v>110</v>
      </c>
      <c r="C46" s="2" t="s">
        <v>111</v>
      </c>
      <c r="D46" s="8" t="s">
        <v>112</v>
      </c>
      <c r="E46" s="70">
        <v>739203.58333333302</v>
      </c>
      <c r="F46" s="70">
        <f t="shared" si="4"/>
        <v>59136.286666666703</v>
      </c>
      <c r="G46" s="11"/>
    </row>
    <row r="47" spans="1:7" ht="20.100000000000001" customHeight="1">
      <c r="A47" s="8">
        <v>4</v>
      </c>
      <c r="B47" s="9" t="s">
        <v>113</v>
      </c>
      <c r="C47" s="2" t="s">
        <v>114</v>
      </c>
      <c r="D47" s="8" t="s">
        <v>36</v>
      </c>
      <c r="E47" s="70">
        <v>620675.58333333302</v>
      </c>
      <c r="F47" s="70">
        <f t="shared" si="4"/>
        <v>49654.046666666698</v>
      </c>
      <c r="G47" s="11"/>
    </row>
    <row r="48" spans="1:7" ht="20.100000000000001" customHeight="1">
      <c r="A48" s="8">
        <v>5</v>
      </c>
      <c r="B48" s="9" t="s">
        <v>115</v>
      </c>
      <c r="C48" s="2" t="s">
        <v>114</v>
      </c>
      <c r="D48" s="8" t="s">
        <v>36</v>
      </c>
      <c r="E48" s="70">
        <v>620675.58333333302</v>
      </c>
      <c r="F48" s="70">
        <f t="shared" si="4"/>
        <v>49654.046666666698</v>
      </c>
      <c r="G48" s="11"/>
    </row>
    <row r="49" spans="1:7" ht="20.100000000000001" customHeight="1">
      <c r="A49" s="8">
        <v>6</v>
      </c>
      <c r="B49" s="9" t="s">
        <v>116</v>
      </c>
      <c r="C49" s="2" t="s">
        <v>114</v>
      </c>
      <c r="D49" s="8" t="s">
        <v>39</v>
      </c>
      <c r="E49" s="70">
        <v>582118.08333333302</v>
      </c>
      <c r="F49" s="70">
        <f t="shared" si="4"/>
        <v>46569.446666666699</v>
      </c>
      <c r="G49" s="11"/>
    </row>
    <row r="50" spans="1:7" ht="20.100000000000001" customHeight="1">
      <c r="A50" s="8">
        <v>7</v>
      </c>
      <c r="B50" s="12" t="s">
        <v>117</v>
      </c>
      <c r="C50" s="2" t="s">
        <v>135</v>
      </c>
      <c r="D50" s="14" t="s">
        <v>224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118</v>
      </c>
      <c r="C51" s="2" t="s">
        <v>119</v>
      </c>
      <c r="D51" s="8" t="s">
        <v>104</v>
      </c>
      <c r="E51" s="70">
        <v>300965.58333333302</v>
      </c>
      <c r="F51" s="70">
        <f t="shared" si="4"/>
        <v>24077.246666666699</v>
      </c>
      <c r="G51" s="11"/>
    </row>
    <row r="52" spans="1:7" ht="20.100000000000001" customHeight="1">
      <c r="A52" s="8">
        <v>9</v>
      </c>
      <c r="B52" s="9" t="s">
        <v>120</v>
      </c>
      <c r="C52" s="2" t="s">
        <v>119</v>
      </c>
      <c r="D52" s="8" t="s">
        <v>80</v>
      </c>
      <c r="E52" s="70">
        <v>263165.33333333302</v>
      </c>
      <c r="F52" s="70">
        <f t="shared" si="4"/>
        <v>21053.226666666698</v>
      </c>
      <c r="G52" s="11"/>
    </row>
    <row r="53" spans="1:7" ht="20.100000000000001" customHeight="1">
      <c r="A53" s="8">
        <v>10</v>
      </c>
      <c r="B53" s="9" t="s">
        <v>578</v>
      </c>
      <c r="C53" s="2" t="s">
        <v>119</v>
      </c>
      <c r="D53" s="8" t="s">
        <v>80</v>
      </c>
      <c r="E53" s="70">
        <v>263165.33333333302</v>
      </c>
      <c r="F53" s="70">
        <f t="shared" si="4"/>
        <v>21053.226666666698</v>
      </c>
      <c r="G53" s="11"/>
    </row>
    <row r="54" spans="1:7" ht="20.100000000000001" customHeight="1">
      <c r="A54" s="8">
        <v>11</v>
      </c>
      <c r="B54" s="9" t="s">
        <v>121</v>
      </c>
      <c r="C54" s="2" t="s">
        <v>119</v>
      </c>
      <c r="D54" s="8" t="s">
        <v>80</v>
      </c>
      <c r="E54" s="70">
        <v>263165.33333333302</v>
      </c>
      <c r="F54" s="70">
        <f t="shared" si="4"/>
        <v>21053.226666666698</v>
      </c>
      <c r="G54" s="11"/>
    </row>
    <row r="55" spans="1:7" ht="25.5" customHeight="1">
      <c r="A55" s="8"/>
      <c r="B55" s="18" t="s">
        <v>96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122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501</v>
      </c>
      <c r="C58" s="10" t="s">
        <v>124</v>
      </c>
      <c r="D58" s="13" t="s">
        <v>100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125</v>
      </c>
      <c r="C59" s="10" t="s">
        <v>126</v>
      </c>
      <c r="D59" s="13" t="s">
        <v>127</v>
      </c>
      <c r="E59" s="70">
        <v>620675.58333333302</v>
      </c>
      <c r="F59" s="70">
        <f>E59*0.08</f>
        <v>49654.046666666698</v>
      </c>
      <c r="G59" s="11"/>
    </row>
    <row r="60" spans="1:7" ht="20.100000000000001" customHeight="1">
      <c r="A60" s="8"/>
      <c r="B60" s="18" t="s">
        <v>96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128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129</v>
      </c>
      <c r="C63" s="15" t="s">
        <v>130</v>
      </c>
      <c r="D63" s="8" t="s">
        <v>100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131</v>
      </c>
      <c r="C64" s="15" t="s">
        <v>132</v>
      </c>
      <c r="D64" s="13" t="s">
        <v>133</v>
      </c>
      <c r="E64" s="70">
        <v>601396.83333333302</v>
      </c>
      <c r="F64" s="70">
        <f t="shared" ref="F64:F72" si="7">E64*0.08</f>
        <v>48111.746666666702</v>
      </c>
      <c r="G64" s="11"/>
    </row>
    <row r="65" spans="1:7" ht="20.100000000000001" customHeight="1">
      <c r="A65" s="8">
        <v>3</v>
      </c>
      <c r="B65" s="9" t="s">
        <v>134</v>
      </c>
      <c r="C65" s="2" t="s">
        <v>135</v>
      </c>
      <c r="D65" s="8" t="s">
        <v>47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487</v>
      </c>
      <c r="C66" s="15" t="s">
        <v>167</v>
      </c>
      <c r="D66" s="13" t="s">
        <v>52</v>
      </c>
      <c r="E66" s="70">
        <v>428915.91666666698</v>
      </c>
      <c r="F66" s="70">
        <f t="shared" si="7"/>
        <v>34313.273333333302</v>
      </c>
      <c r="G66" s="11"/>
    </row>
    <row r="67" spans="1:7" ht="20.100000000000001" customHeight="1">
      <c r="A67" s="8">
        <v>5</v>
      </c>
      <c r="B67" s="12" t="s">
        <v>517</v>
      </c>
      <c r="C67" s="15" t="s">
        <v>135</v>
      </c>
      <c r="D67" s="13" t="s">
        <v>42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136</v>
      </c>
      <c r="C68" s="2" t="s">
        <v>119</v>
      </c>
      <c r="D68" s="8" t="s">
        <v>137</v>
      </c>
      <c r="E68" s="70">
        <v>365703.83333333302</v>
      </c>
      <c r="F68" s="70">
        <f t="shared" si="7"/>
        <v>29256.3066666667</v>
      </c>
      <c r="G68" s="11"/>
    </row>
    <row r="69" spans="1:7" ht="20.100000000000001" customHeight="1">
      <c r="A69" s="8">
        <v>8</v>
      </c>
      <c r="B69" s="9" t="s">
        <v>138</v>
      </c>
      <c r="C69" s="15" t="s">
        <v>67</v>
      </c>
      <c r="D69" s="8" t="s">
        <v>137</v>
      </c>
      <c r="E69" s="70">
        <v>365703.83333333302</v>
      </c>
      <c r="F69" s="70">
        <f t="shared" si="7"/>
        <v>29256.3066666667</v>
      </c>
      <c r="G69" s="11"/>
    </row>
    <row r="70" spans="1:7" ht="20.100000000000001" customHeight="1">
      <c r="A70" s="8">
        <v>9</v>
      </c>
      <c r="B70" s="9" t="s">
        <v>139</v>
      </c>
      <c r="C70" s="15" t="s">
        <v>67</v>
      </c>
      <c r="D70" s="8" t="s">
        <v>137</v>
      </c>
      <c r="E70" s="70">
        <v>365703.83333333302</v>
      </c>
      <c r="F70" s="70">
        <f t="shared" si="7"/>
        <v>29256.3066666667</v>
      </c>
      <c r="G70" s="11"/>
    </row>
    <row r="71" spans="1:7" ht="20.100000000000001" customHeight="1">
      <c r="A71" s="8">
        <v>10</v>
      </c>
      <c r="B71" s="9" t="s">
        <v>140</v>
      </c>
      <c r="C71" s="2" t="s">
        <v>141</v>
      </c>
      <c r="D71" s="8" t="s">
        <v>62</v>
      </c>
      <c r="E71" s="416">
        <v>377895.16666666698</v>
      </c>
      <c r="F71" s="70">
        <f t="shared" si="7"/>
        <v>30231.613333333298</v>
      </c>
      <c r="G71" s="11"/>
    </row>
    <row r="72" spans="1:7" ht="21.6" customHeight="1">
      <c r="A72" s="8">
        <v>11</v>
      </c>
      <c r="B72" s="9" t="s">
        <v>142</v>
      </c>
      <c r="C72" s="2" t="s">
        <v>119</v>
      </c>
      <c r="D72" s="8" t="s">
        <v>104</v>
      </c>
      <c r="E72" s="186">
        <v>300965.58333333302</v>
      </c>
      <c r="F72" s="70">
        <f t="shared" si="7"/>
        <v>24077.246666666699</v>
      </c>
    </row>
    <row r="73" spans="1:7" ht="27" customHeight="1">
      <c r="A73" s="8"/>
      <c r="B73" s="18" t="s">
        <v>96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143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144</v>
      </c>
      <c r="C76" s="2" t="s">
        <v>145</v>
      </c>
      <c r="D76" s="8" t="s">
        <v>100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518</v>
      </c>
      <c r="C77" s="2" t="s">
        <v>570</v>
      </c>
      <c r="D77" s="13" t="s">
        <v>571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519</v>
      </c>
      <c r="C78" s="10" t="s">
        <v>572</v>
      </c>
      <c r="D78" s="8" t="s">
        <v>127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148</v>
      </c>
      <c r="C79" s="2" t="s">
        <v>149</v>
      </c>
      <c r="D79" s="13" t="s">
        <v>150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151</v>
      </c>
      <c r="C80" s="2" t="s">
        <v>154</v>
      </c>
      <c r="D80" s="8" t="s">
        <v>267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153</v>
      </c>
      <c r="C81" s="2" t="s">
        <v>154</v>
      </c>
      <c r="D81" s="8" t="s">
        <v>80</v>
      </c>
      <c r="E81" s="70">
        <v>263165.33333333302</v>
      </c>
      <c r="F81" s="70">
        <f t="shared" si="9"/>
        <v>21053.226666666698</v>
      </c>
      <c r="G81" s="11"/>
    </row>
    <row r="82" spans="1:7" ht="20.100000000000001" customHeight="1">
      <c r="A82" s="8">
        <v>7</v>
      </c>
      <c r="B82" s="9" t="s">
        <v>155</v>
      </c>
      <c r="C82" s="2" t="s">
        <v>156</v>
      </c>
      <c r="D82" s="8" t="s">
        <v>92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96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157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158</v>
      </c>
      <c r="C86" s="2" t="s">
        <v>114</v>
      </c>
      <c r="D86" s="8" t="s">
        <v>36</v>
      </c>
      <c r="E86" s="70">
        <v>620675.58333333302</v>
      </c>
      <c r="F86" s="70">
        <f>E86*0.08</f>
        <v>49654.046666666698</v>
      </c>
      <c r="G86" s="11"/>
    </row>
    <row r="87" spans="1:7" ht="20.100000000000001" customHeight="1">
      <c r="A87" s="8">
        <v>2</v>
      </c>
      <c r="B87" s="9" t="s">
        <v>159</v>
      </c>
      <c r="C87" s="2" t="s">
        <v>114</v>
      </c>
      <c r="D87" s="8" t="s">
        <v>36</v>
      </c>
      <c r="E87" s="70">
        <v>620675.58333333302</v>
      </c>
      <c r="F87" s="70">
        <f t="shared" ref="F87:F95" si="11">E87*0.08</f>
        <v>49654.046666666698</v>
      </c>
      <c r="G87" s="11"/>
    </row>
    <row r="88" spans="1:7" ht="20.100000000000001" customHeight="1">
      <c r="A88" s="8">
        <v>3</v>
      </c>
      <c r="B88" s="9" t="s">
        <v>160</v>
      </c>
      <c r="C88" s="2" t="s">
        <v>114</v>
      </c>
      <c r="D88" s="8" t="s">
        <v>39</v>
      </c>
      <c r="E88" s="70">
        <v>582118.08333333302</v>
      </c>
      <c r="F88" s="70">
        <f t="shared" si="11"/>
        <v>46569.446666666699</v>
      </c>
      <c r="G88" s="11"/>
    </row>
    <row r="89" spans="1:7" ht="21.6" customHeight="1">
      <c r="A89" s="8">
        <v>4</v>
      </c>
      <c r="B89" s="9" t="s">
        <v>161</v>
      </c>
      <c r="C89" s="2" t="s">
        <v>458</v>
      </c>
      <c r="D89" s="13" t="s">
        <v>194</v>
      </c>
      <c r="E89" s="70">
        <v>441804.91666666698</v>
      </c>
      <c r="F89" s="70">
        <f t="shared" si="11"/>
        <v>35344.393333333297</v>
      </c>
      <c r="G89" s="11"/>
    </row>
    <row r="90" spans="1:7" ht="21.6" customHeight="1">
      <c r="A90" s="8">
        <v>5</v>
      </c>
      <c r="B90" s="9" t="s">
        <v>162</v>
      </c>
      <c r="C90" s="10" t="s">
        <v>167</v>
      </c>
      <c r="D90" s="13" t="s">
        <v>52</v>
      </c>
      <c r="E90" s="70">
        <v>428915.91666666698</v>
      </c>
      <c r="F90" s="70">
        <f t="shared" si="11"/>
        <v>34313.273333333302</v>
      </c>
      <c r="G90" s="11"/>
    </row>
    <row r="91" spans="1:7" ht="21.6" customHeight="1">
      <c r="A91" s="8">
        <v>6</v>
      </c>
      <c r="B91" s="9" t="s">
        <v>163</v>
      </c>
      <c r="C91" s="10" t="s">
        <v>135</v>
      </c>
      <c r="D91" s="13" t="s">
        <v>164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165</v>
      </c>
      <c r="C92" s="15" t="s">
        <v>67</v>
      </c>
      <c r="D92" s="13" t="s">
        <v>137</v>
      </c>
      <c r="E92" s="70">
        <v>365703.83333333302</v>
      </c>
      <c r="F92" s="70">
        <f t="shared" si="11"/>
        <v>29256.3066666667</v>
      </c>
      <c r="G92" s="11"/>
    </row>
    <row r="93" spans="1:7" ht="21.6" customHeight="1">
      <c r="A93" s="8">
        <v>8</v>
      </c>
      <c r="B93" s="9" t="s">
        <v>166</v>
      </c>
      <c r="C93" s="15" t="s">
        <v>167</v>
      </c>
      <c r="D93" s="13" t="s">
        <v>168</v>
      </c>
      <c r="E93" s="70">
        <v>390248.91666666698</v>
      </c>
      <c r="F93" s="70">
        <f t="shared" si="11"/>
        <v>31219.913333333301</v>
      </c>
      <c r="G93" s="11"/>
    </row>
    <row r="94" spans="1:7" ht="21.6" customHeight="1">
      <c r="A94" s="8">
        <v>9</v>
      </c>
      <c r="B94" s="9" t="s">
        <v>169</v>
      </c>
      <c r="C94" s="2" t="s">
        <v>170</v>
      </c>
      <c r="D94" s="8" t="s">
        <v>104</v>
      </c>
      <c r="E94" s="186">
        <v>300965.58333333302</v>
      </c>
      <c r="F94" s="70">
        <f t="shared" si="11"/>
        <v>24077.246666666699</v>
      </c>
      <c r="G94" s="11"/>
    </row>
    <row r="95" spans="1:7" ht="21.6" customHeight="1">
      <c r="A95" s="8">
        <v>10</v>
      </c>
      <c r="B95" s="9" t="s">
        <v>171</v>
      </c>
      <c r="C95" s="15" t="s">
        <v>172</v>
      </c>
      <c r="D95" s="13" t="s">
        <v>173</v>
      </c>
      <c r="E95" s="186">
        <v>230631.91666666701</v>
      </c>
      <c r="F95" s="70">
        <f t="shared" si="11"/>
        <v>18450.553333333301</v>
      </c>
      <c r="G95" s="11"/>
    </row>
    <row r="96" spans="1:7" ht="20.100000000000001" customHeight="1">
      <c r="A96" s="8"/>
      <c r="B96" s="18" t="s">
        <v>96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174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175</v>
      </c>
      <c r="C99" s="2" t="s">
        <v>176</v>
      </c>
      <c r="D99" s="14" t="s">
        <v>191</v>
      </c>
      <c r="E99" s="70">
        <v>762373.16666666698</v>
      </c>
      <c r="F99" s="70">
        <f>E99*0.08</f>
        <v>60989.853333333303</v>
      </c>
      <c r="G99" s="11"/>
    </row>
    <row r="100" spans="1:7" ht="20.100000000000001" customHeight="1">
      <c r="A100" s="8">
        <v>2</v>
      </c>
      <c r="B100" s="9" t="s">
        <v>178</v>
      </c>
      <c r="C100" s="2" t="s">
        <v>179</v>
      </c>
      <c r="D100" s="13" t="s">
        <v>150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182</v>
      </c>
      <c r="C101" s="2" t="s">
        <v>183</v>
      </c>
      <c r="D101" s="13" t="s">
        <v>62</v>
      </c>
      <c r="E101" s="70">
        <v>377895.16666666698</v>
      </c>
      <c r="F101" s="70">
        <f t="shared" si="13"/>
        <v>30231.613333333298</v>
      </c>
      <c r="G101" s="11"/>
    </row>
    <row r="102" spans="1:7" ht="20.100000000000001" customHeight="1">
      <c r="A102" s="8">
        <v>4</v>
      </c>
      <c r="B102" s="9" t="s">
        <v>184</v>
      </c>
      <c r="C102" s="2" t="s">
        <v>185</v>
      </c>
      <c r="D102" s="13" t="s">
        <v>104</v>
      </c>
      <c r="E102" s="186">
        <v>300965.58333333302</v>
      </c>
      <c r="F102" s="70">
        <f t="shared" si="13"/>
        <v>24077.246666666699</v>
      </c>
      <c r="G102" s="11"/>
    </row>
    <row r="103" spans="1:7" ht="20.100000000000001" customHeight="1">
      <c r="A103" s="2"/>
      <c r="B103" s="18" t="s">
        <v>96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186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187</v>
      </c>
      <c r="C106" s="10" t="s">
        <v>188</v>
      </c>
      <c r="D106" s="13" t="s">
        <v>100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189</v>
      </c>
      <c r="C107" s="2" t="s">
        <v>190</v>
      </c>
      <c r="D107" s="14" t="s">
        <v>191</v>
      </c>
      <c r="E107" s="70">
        <v>762373.16666666698</v>
      </c>
      <c r="F107" s="70">
        <f t="shared" ref="F107:F112" si="15">E107*0.08</f>
        <v>60989.853333333303</v>
      </c>
      <c r="G107" s="11"/>
    </row>
    <row r="108" spans="1:7" ht="20.100000000000001" customHeight="1">
      <c r="A108" s="2">
        <v>3</v>
      </c>
      <c r="B108" s="9" t="s">
        <v>192</v>
      </c>
      <c r="C108" s="2" t="s">
        <v>193</v>
      </c>
      <c r="D108" s="8" t="s">
        <v>194</v>
      </c>
      <c r="E108" s="70">
        <v>441804.91666666698</v>
      </c>
      <c r="F108" s="70">
        <f t="shared" si="15"/>
        <v>35344.393333333297</v>
      </c>
      <c r="G108" s="11"/>
    </row>
    <row r="109" spans="1:7" ht="20.100000000000001" customHeight="1">
      <c r="A109" s="2">
        <v>4</v>
      </c>
      <c r="B109" s="9" t="s">
        <v>195</v>
      </c>
      <c r="C109" s="2" t="s">
        <v>193</v>
      </c>
      <c r="D109" s="8" t="s">
        <v>194</v>
      </c>
      <c r="E109" s="70">
        <v>441804.91666666698</v>
      </c>
      <c r="F109" s="70">
        <f t="shared" si="15"/>
        <v>35344.393333333297</v>
      </c>
      <c r="G109" s="11"/>
    </row>
    <row r="110" spans="1:7" ht="20.100000000000001" customHeight="1">
      <c r="A110" s="2">
        <v>5</v>
      </c>
      <c r="B110" s="9" t="s">
        <v>196</v>
      </c>
      <c r="C110" s="2" t="s">
        <v>197</v>
      </c>
      <c r="D110" s="13" t="s">
        <v>198</v>
      </c>
      <c r="E110" s="186">
        <v>249148.41666666701</v>
      </c>
      <c r="F110" s="70">
        <f t="shared" si="15"/>
        <v>19931.8733333333</v>
      </c>
      <c r="G110" s="11"/>
    </row>
    <row r="111" spans="1:7" ht="20.100000000000001" customHeight="1">
      <c r="A111" s="2">
        <v>6</v>
      </c>
      <c r="B111" s="16" t="s">
        <v>199</v>
      </c>
      <c r="C111" s="2" t="s">
        <v>197</v>
      </c>
      <c r="D111" s="8" t="s">
        <v>200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201</v>
      </c>
      <c r="C112" s="2" t="s">
        <v>197</v>
      </c>
      <c r="D112" s="13" t="s">
        <v>173</v>
      </c>
      <c r="E112" s="186">
        <v>230631.91666666701</v>
      </c>
      <c r="F112" s="70">
        <f t="shared" si="15"/>
        <v>18450.553333333301</v>
      </c>
      <c r="G112" s="11"/>
    </row>
    <row r="113" spans="1:7" ht="25.5" customHeight="1">
      <c r="A113" s="2"/>
      <c r="B113" s="18" t="s">
        <v>96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202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203</v>
      </c>
      <c r="C116" s="2" t="s">
        <v>114</v>
      </c>
      <c r="D116" s="8" t="s">
        <v>133</v>
      </c>
      <c r="E116" s="70">
        <v>601396.83333333302</v>
      </c>
      <c r="F116" s="70">
        <f>E116*0.08</f>
        <v>48111.746666666702</v>
      </c>
      <c r="G116" s="11"/>
    </row>
    <row r="117" spans="1:7" ht="18.75" customHeight="1">
      <c r="A117" s="8">
        <v>2</v>
      </c>
      <c r="B117" s="9" t="s">
        <v>204</v>
      </c>
      <c r="C117" s="2" t="s">
        <v>205</v>
      </c>
      <c r="D117" s="13" t="s">
        <v>62</v>
      </c>
      <c r="E117" s="70">
        <v>377895.16666666698</v>
      </c>
      <c r="F117" s="70">
        <f t="shared" ref="F117:F118" si="17">E117*0.08</f>
        <v>30231.613333333298</v>
      </c>
      <c r="G117" s="11"/>
    </row>
    <row r="118" spans="1:7" ht="20.100000000000001" customHeight="1">
      <c r="A118" s="8">
        <v>3</v>
      </c>
      <c r="B118" s="9" t="s">
        <v>206</v>
      </c>
      <c r="C118" s="10" t="s">
        <v>579</v>
      </c>
      <c r="D118" s="13" t="s">
        <v>255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96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215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218</v>
      </c>
      <c r="C123" s="10" t="s">
        <v>219</v>
      </c>
      <c r="D123" s="13" t="s">
        <v>112</v>
      </c>
      <c r="E123" s="70">
        <v>739203.58333333302</v>
      </c>
      <c r="F123" s="70">
        <f t="shared" ref="F123:F131" si="19">E123*0.08</f>
        <v>59136.286666666703</v>
      </c>
      <c r="G123" s="11"/>
    </row>
    <row r="124" spans="1:7" ht="20.100000000000001" customHeight="1">
      <c r="A124" s="2">
        <v>3</v>
      </c>
      <c r="B124" s="12" t="s">
        <v>220</v>
      </c>
      <c r="C124" s="10" t="s">
        <v>221</v>
      </c>
      <c r="D124" s="13" t="s">
        <v>36</v>
      </c>
      <c r="E124" s="70">
        <v>620675.58333333302</v>
      </c>
      <c r="F124" s="70">
        <f t="shared" si="19"/>
        <v>49654.046666666698</v>
      </c>
      <c r="G124" s="11"/>
    </row>
    <row r="125" spans="1:7" ht="20.100000000000001" customHeight="1">
      <c r="A125" s="2">
        <v>4</v>
      </c>
      <c r="B125" s="12" t="s">
        <v>521</v>
      </c>
      <c r="C125" s="10" t="s">
        <v>221</v>
      </c>
      <c r="D125" s="13" t="s">
        <v>39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222</v>
      </c>
      <c r="C126" s="10" t="s">
        <v>223</v>
      </c>
      <c r="D126" s="13" t="s">
        <v>224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225</v>
      </c>
      <c r="C127" s="10" t="s">
        <v>226</v>
      </c>
      <c r="D127" s="13" t="s">
        <v>47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227</v>
      </c>
      <c r="C128" s="10" t="s">
        <v>223</v>
      </c>
      <c r="D128" s="13" t="s">
        <v>150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228</v>
      </c>
      <c r="C129" s="10" t="s">
        <v>229</v>
      </c>
      <c r="D129" s="8" t="s">
        <v>75</v>
      </c>
      <c r="E129" s="70">
        <v>270481.66666666698</v>
      </c>
      <c r="F129" s="70">
        <f t="shared" si="19"/>
        <v>21638.5333333333</v>
      </c>
      <c r="G129" s="11"/>
    </row>
    <row r="130" spans="1:7" ht="20.100000000000001" customHeight="1">
      <c r="A130" s="2">
        <v>9</v>
      </c>
      <c r="B130" s="16" t="s">
        <v>230</v>
      </c>
      <c r="C130" s="10" t="s">
        <v>231</v>
      </c>
      <c r="D130" s="13" t="s">
        <v>92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232</v>
      </c>
      <c r="C131" s="10" t="s">
        <v>233</v>
      </c>
      <c r="D131" s="13" t="s">
        <v>92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96</v>
      </c>
      <c r="C132" s="24" t="s">
        <v>235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236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522</v>
      </c>
      <c r="C136" s="10" t="s">
        <v>573</v>
      </c>
      <c r="D136" s="13" t="s">
        <v>191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239</v>
      </c>
      <c r="C137" s="2" t="s">
        <v>240</v>
      </c>
      <c r="D137" s="14" t="s">
        <v>191</v>
      </c>
      <c r="E137" s="70">
        <v>762373.16666666698</v>
      </c>
      <c r="F137" s="70">
        <f t="shared" ref="F137:F193" si="21">E137*0.08</f>
        <v>60989.853333333303</v>
      </c>
      <c r="G137" s="11"/>
    </row>
    <row r="138" spans="1:7" ht="20.100000000000001" customHeight="1">
      <c r="A138" s="25">
        <v>4</v>
      </c>
      <c r="B138" s="9" t="s">
        <v>241</v>
      </c>
      <c r="C138" s="10" t="s">
        <v>580</v>
      </c>
      <c r="D138" s="13" t="s">
        <v>42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243</v>
      </c>
      <c r="C139" s="2" t="s">
        <v>581</v>
      </c>
      <c r="D139" s="13" t="s">
        <v>42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245</v>
      </c>
      <c r="C140" s="2" t="s">
        <v>581</v>
      </c>
      <c r="D140" s="13" t="s">
        <v>42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180</v>
      </c>
      <c r="C141" s="10" t="s">
        <v>582</v>
      </c>
      <c r="D141" s="13" t="s">
        <v>255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246</v>
      </c>
      <c r="C142" s="10" t="s">
        <v>582</v>
      </c>
      <c r="D142" s="13" t="s">
        <v>255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247</v>
      </c>
      <c r="C143" s="2" t="s">
        <v>583</v>
      </c>
      <c r="D143" s="13" t="s">
        <v>255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249</v>
      </c>
      <c r="C144" s="10" t="s">
        <v>250</v>
      </c>
      <c r="D144" s="13" t="s">
        <v>62</v>
      </c>
      <c r="E144" s="70">
        <v>377895.16666666698</v>
      </c>
      <c r="F144" s="70">
        <f t="shared" si="21"/>
        <v>30231.613333333298</v>
      </c>
      <c r="G144" s="11"/>
    </row>
    <row r="145" spans="1:7" ht="20.100000000000001" customHeight="1">
      <c r="A145" s="25">
        <v>11</v>
      </c>
      <c r="B145" s="9" t="s">
        <v>251</v>
      </c>
      <c r="C145" s="10" t="s">
        <v>252</v>
      </c>
      <c r="D145" s="13" t="s">
        <v>137</v>
      </c>
      <c r="E145" s="70">
        <v>365703.83333333302</v>
      </c>
      <c r="F145" s="70">
        <f t="shared" si="21"/>
        <v>29256.3066666667</v>
      </c>
      <c r="G145" s="11"/>
    </row>
    <row r="146" spans="1:7" ht="20.100000000000001" customHeight="1">
      <c r="A146" s="25">
        <v>12</v>
      </c>
      <c r="B146" s="9" t="s">
        <v>253</v>
      </c>
      <c r="C146" s="10" t="s">
        <v>254</v>
      </c>
      <c r="D146" s="13" t="s">
        <v>255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256</v>
      </c>
      <c r="C147" s="2" t="s">
        <v>257</v>
      </c>
      <c r="D147" s="13" t="s">
        <v>65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258</v>
      </c>
      <c r="C148" s="2" t="s">
        <v>584</v>
      </c>
      <c r="D148" s="13" t="s">
        <v>267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259</v>
      </c>
      <c r="C149" s="2" t="s">
        <v>584</v>
      </c>
      <c r="D149" s="13" t="s">
        <v>585</v>
      </c>
      <c r="E149" s="186">
        <v>316837.41666666698</v>
      </c>
      <c r="F149" s="70">
        <f t="shared" si="21"/>
        <v>25346.993333333299</v>
      </c>
      <c r="G149" s="11"/>
    </row>
    <row r="150" spans="1:7" ht="20.100000000000001" customHeight="1">
      <c r="A150" s="25">
        <v>16</v>
      </c>
      <c r="B150" s="9" t="s">
        <v>260</v>
      </c>
      <c r="C150" s="2" t="s">
        <v>584</v>
      </c>
      <c r="D150" s="13" t="s">
        <v>585</v>
      </c>
      <c r="E150" s="186">
        <v>316837.41666666698</v>
      </c>
      <c r="F150" s="70">
        <f t="shared" si="21"/>
        <v>25346.993333333299</v>
      </c>
      <c r="G150" s="11"/>
    </row>
    <row r="151" spans="1:7" ht="20.100000000000001" customHeight="1">
      <c r="A151" s="25">
        <v>17</v>
      </c>
      <c r="B151" s="9" t="s">
        <v>261</v>
      </c>
      <c r="C151" s="10" t="s">
        <v>262</v>
      </c>
      <c r="D151" s="13" t="s">
        <v>104</v>
      </c>
      <c r="E151" s="186">
        <v>300965.58333333302</v>
      </c>
      <c r="F151" s="70">
        <f t="shared" si="21"/>
        <v>24077.246666666699</v>
      </c>
      <c r="G151" s="11"/>
    </row>
    <row r="152" spans="1:7" ht="20.100000000000001" customHeight="1">
      <c r="A152" s="25">
        <v>18</v>
      </c>
      <c r="B152" s="9" t="s">
        <v>263</v>
      </c>
      <c r="C152" s="10" t="s">
        <v>264</v>
      </c>
      <c r="D152" s="8" t="s">
        <v>80</v>
      </c>
      <c r="E152" s="70">
        <v>263165.33333333302</v>
      </c>
      <c r="F152" s="70">
        <f t="shared" si="21"/>
        <v>21053.226666666698</v>
      </c>
      <c r="G152" s="11"/>
    </row>
    <row r="153" spans="1:7" ht="20.100000000000001" customHeight="1">
      <c r="A153" s="25">
        <v>19</v>
      </c>
      <c r="B153" s="9" t="s">
        <v>265</v>
      </c>
      <c r="C153" s="10" t="s">
        <v>266</v>
      </c>
      <c r="D153" s="13" t="s">
        <v>267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268</v>
      </c>
      <c r="C154" s="10" t="s">
        <v>269</v>
      </c>
      <c r="D154" s="13" t="s">
        <v>75</v>
      </c>
      <c r="E154" s="186">
        <v>270481.66666666698</v>
      </c>
      <c r="F154" s="70">
        <f t="shared" si="21"/>
        <v>21638.5333333333</v>
      </c>
      <c r="G154" s="11"/>
    </row>
    <row r="155" spans="1:7" ht="20.100000000000001" customHeight="1">
      <c r="A155" s="25">
        <v>21</v>
      </c>
      <c r="B155" s="9" t="s">
        <v>270</v>
      </c>
      <c r="C155" s="10" t="s">
        <v>271</v>
      </c>
      <c r="D155" s="13" t="s">
        <v>267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272</v>
      </c>
      <c r="C156" s="10" t="s">
        <v>273</v>
      </c>
      <c r="D156" s="13" t="s">
        <v>75</v>
      </c>
      <c r="E156" s="186">
        <v>270481.66666666698</v>
      </c>
      <c r="F156" s="70">
        <f t="shared" si="21"/>
        <v>21638.5333333333</v>
      </c>
      <c r="G156" s="11"/>
    </row>
    <row r="157" spans="1:7" ht="20.100000000000001" customHeight="1">
      <c r="A157" s="25">
        <v>23</v>
      </c>
      <c r="B157" s="16" t="s">
        <v>274</v>
      </c>
      <c r="C157" s="10" t="s">
        <v>275</v>
      </c>
      <c r="D157" s="13" t="s">
        <v>83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277</v>
      </c>
      <c r="C158" s="10" t="s">
        <v>278</v>
      </c>
      <c r="D158" s="13" t="s">
        <v>92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279</v>
      </c>
      <c r="C159" s="10" t="s">
        <v>280</v>
      </c>
      <c r="D159" s="13" t="s">
        <v>92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281</v>
      </c>
      <c r="C160" s="10" t="s">
        <v>282</v>
      </c>
      <c r="D160" s="13" t="s">
        <v>92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283</v>
      </c>
      <c r="C161" s="10" t="s">
        <v>284</v>
      </c>
      <c r="D161" s="13" t="s">
        <v>173</v>
      </c>
      <c r="E161" s="70">
        <v>230631.91666666701</v>
      </c>
      <c r="F161" s="70">
        <f t="shared" si="21"/>
        <v>18450.553333333301</v>
      </c>
      <c r="G161" s="11"/>
    </row>
    <row r="162" spans="1:7" ht="20.100000000000001" customHeight="1">
      <c r="A162" s="25">
        <v>28</v>
      </c>
      <c r="B162" s="16" t="s">
        <v>285</v>
      </c>
      <c r="C162" s="10" t="s">
        <v>280</v>
      </c>
      <c r="D162" s="13" t="s">
        <v>92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289</v>
      </c>
      <c r="C163" s="10" t="s">
        <v>290</v>
      </c>
      <c r="D163" s="13" t="s">
        <v>291</v>
      </c>
      <c r="E163" s="192">
        <v>168598.16666666701</v>
      </c>
      <c r="F163" s="70">
        <f t="shared" si="21"/>
        <v>13487.8533333333</v>
      </c>
      <c r="G163" s="11"/>
    </row>
    <row r="164" spans="1:7" ht="20.100000000000001" customHeight="1">
      <c r="A164" s="25">
        <v>30</v>
      </c>
      <c r="B164" s="9" t="s">
        <v>292</v>
      </c>
      <c r="C164" s="10" t="s">
        <v>290</v>
      </c>
      <c r="D164" s="13" t="s">
        <v>291</v>
      </c>
      <c r="E164" s="192">
        <v>168598.16666666701</v>
      </c>
      <c r="F164" s="70">
        <f t="shared" si="21"/>
        <v>13487.8533333333</v>
      </c>
      <c r="G164" s="11"/>
    </row>
    <row r="165" spans="1:7" ht="20.100000000000001" customHeight="1">
      <c r="A165" s="25">
        <v>31</v>
      </c>
      <c r="B165" s="9" t="s">
        <v>293</v>
      </c>
      <c r="C165" s="10" t="s">
        <v>290</v>
      </c>
      <c r="D165" s="13" t="s">
        <v>291</v>
      </c>
      <c r="E165" s="192">
        <v>168598.16666666701</v>
      </c>
      <c r="F165" s="70">
        <f t="shared" si="21"/>
        <v>13487.8533333333</v>
      </c>
      <c r="G165" s="11"/>
    </row>
    <row r="166" spans="1:7" ht="20.100000000000001" customHeight="1">
      <c r="A166" s="25">
        <v>32</v>
      </c>
      <c r="B166" s="9" t="s">
        <v>294</v>
      </c>
      <c r="C166" s="10" t="s">
        <v>290</v>
      </c>
      <c r="D166" s="13" t="s">
        <v>291</v>
      </c>
      <c r="E166" s="192">
        <v>168598.16666666701</v>
      </c>
      <c r="F166" s="70">
        <f t="shared" si="21"/>
        <v>13487.8533333333</v>
      </c>
      <c r="G166" s="11"/>
    </row>
    <row r="167" spans="1:7" ht="20.100000000000001" customHeight="1">
      <c r="A167" s="25">
        <v>33</v>
      </c>
      <c r="B167" s="9" t="s">
        <v>295</v>
      </c>
      <c r="C167" s="10" t="s">
        <v>290</v>
      </c>
      <c r="D167" s="13" t="s">
        <v>291</v>
      </c>
      <c r="E167" s="192">
        <v>168598.16666666701</v>
      </c>
      <c r="F167" s="70">
        <f t="shared" si="21"/>
        <v>13487.8533333333</v>
      </c>
      <c r="G167" s="11"/>
    </row>
    <row r="168" spans="1:7" ht="20.100000000000001" customHeight="1">
      <c r="A168" s="25">
        <v>34</v>
      </c>
      <c r="B168" s="9" t="s">
        <v>296</v>
      </c>
      <c r="C168" s="10" t="s">
        <v>290</v>
      </c>
      <c r="D168" s="13" t="s">
        <v>297</v>
      </c>
      <c r="E168" s="192">
        <v>163336.83333333299</v>
      </c>
      <c r="F168" s="70">
        <f t="shared" si="21"/>
        <v>13066.946666666699</v>
      </c>
      <c r="G168" s="11"/>
    </row>
    <row r="169" spans="1:7" ht="20.100000000000001" customHeight="1">
      <c r="A169" s="25">
        <v>35</v>
      </c>
      <c r="B169" s="9" t="s">
        <v>298</v>
      </c>
      <c r="C169" s="10" t="s">
        <v>290</v>
      </c>
      <c r="D169" s="13" t="s">
        <v>297</v>
      </c>
      <c r="E169" s="192">
        <v>163336.83333333299</v>
      </c>
      <c r="F169" s="70">
        <f t="shared" si="21"/>
        <v>13066.946666666699</v>
      </c>
      <c r="G169" s="11"/>
    </row>
    <row r="170" spans="1:7" ht="20.100000000000001" customHeight="1">
      <c r="A170" s="25">
        <v>36</v>
      </c>
      <c r="B170" s="12" t="s">
        <v>299</v>
      </c>
      <c r="C170" s="10" t="s">
        <v>290</v>
      </c>
      <c r="D170" s="13" t="s">
        <v>297</v>
      </c>
      <c r="E170" s="192">
        <v>163336.83333333299</v>
      </c>
      <c r="F170" s="70">
        <f t="shared" si="21"/>
        <v>13066.946666666699</v>
      </c>
      <c r="G170" s="11"/>
    </row>
    <row r="171" spans="1:7" ht="20.100000000000001" customHeight="1">
      <c r="A171" s="25">
        <v>37</v>
      </c>
      <c r="B171" s="9" t="s">
        <v>300</v>
      </c>
      <c r="C171" s="10" t="s">
        <v>290</v>
      </c>
      <c r="D171" s="13" t="s">
        <v>297</v>
      </c>
      <c r="E171" s="192">
        <v>163336.83333333299</v>
      </c>
      <c r="F171" s="70">
        <f t="shared" si="21"/>
        <v>13066.946666666699</v>
      </c>
      <c r="G171" s="11"/>
    </row>
    <row r="172" spans="1:7" ht="20.100000000000001" customHeight="1">
      <c r="A172" s="25">
        <v>38</v>
      </c>
      <c r="B172" s="16" t="s">
        <v>301</v>
      </c>
      <c r="C172" s="10" t="s">
        <v>290</v>
      </c>
      <c r="D172" s="13" t="s">
        <v>297</v>
      </c>
      <c r="E172" s="192">
        <v>163336.83333333299</v>
      </c>
      <c r="F172" s="70">
        <f t="shared" si="21"/>
        <v>13066.946666666699</v>
      </c>
      <c r="G172" s="11"/>
    </row>
    <row r="173" spans="1:7" ht="20.100000000000001" customHeight="1">
      <c r="A173" s="25">
        <v>39</v>
      </c>
      <c r="B173" s="16" t="s">
        <v>302</v>
      </c>
      <c r="C173" s="10" t="s">
        <v>290</v>
      </c>
      <c r="D173" s="13" t="s">
        <v>297</v>
      </c>
      <c r="E173" s="192">
        <v>163336.83333333299</v>
      </c>
      <c r="F173" s="70">
        <f t="shared" si="21"/>
        <v>13066.946666666699</v>
      </c>
      <c r="G173" s="11"/>
    </row>
    <row r="174" spans="1:7" ht="20.100000000000001" customHeight="1">
      <c r="A174" s="25">
        <v>40</v>
      </c>
      <c r="B174" s="9" t="s">
        <v>303</v>
      </c>
      <c r="C174" s="10" t="s">
        <v>304</v>
      </c>
      <c r="D174" s="13" t="s">
        <v>305</v>
      </c>
      <c r="E174" s="70">
        <v>152814.16666666701</v>
      </c>
      <c r="F174" s="70">
        <f t="shared" si="21"/>
        <v>12225.1333333333</v>
      </c>
      <c r="G174" s="11"/>
    </row>
    <row r="175" spans="1:7" ht="20.100000000000001" customHeight="1">
      <c r="A175" s="25">
        <v>41</v>
      </c>
      <c r="B175" s="9" t="s">
        <v>306</v>
      </c>
      <c r="C175" s="10" t="s">
        <v>304</v>
      </c>
      <c r="D175" s="13" t="s">
        <v>305</v>
      </c>
      <c r="E175" s="70">
        <v>152814.16666666701</v>
      </c>
      <c r="F175" s="70">
        <f t="shared" si="21"/>
        <v>12225.1333333333</v>
      </c>
      <c r="G175" s="11"/>
    </row>
    <row r="176" spans="1:7" ht="20.100000000000001" customHeight="1">
      <c r="A176" s="25">
        <v>42</v>
      </c>
      <c r="B176" s="16" t="s">
        <v>307</v>
      </c>
      <c r="C176" s="10" t="s">
        <v>304</v>
      </c>
      <c r="D176" s="13" t="s">
        <v>308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309</v>
      </c>
      <c r="C177" s="10" t="s">
        <v>310</v>
      </c>
      <c r="D177" s="13" t="s">
        <v>311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312</v>
      </c>
      <c r="C178" s="10" t="s">
        <v>313</v>
      </c>
      <c r="D178" s="13" t="s">
        <v>314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315</v>
      </c>
      <c r="C179" s="10" t="s">
        <v>313</v>
      </c>
      <c r="D179" s="13" t="s">
        <v>314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316</v>
      </c>
      <c r="C180" s="10" t="s">
        <v>313</v>
      </c>
      <c r="D180" s="13" t="s">
        <v>314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317</v>
      </c>
      <c r="C181" s="10" t="s">
        <v>313</v>
      </c>
      <c r="D181" s="13" t="s">
        <v>314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318</v>
      </c>
      <c r="C182" s="10" t="s">
        <v>313</v>
      </c>
      <c r="D182" s="13" t="s">
        <v>314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319</v>
      </c>
      <c r="C183" s="10" t="s">
        <v>313</v>
      </c>
      <c r="D183" s="13" t="s">
        <v>314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320</v>
      </c>
      <c r="C184" s="10" t="s">
        <v>313</v>
      </c>
      <c r="D184" s="13" t="s">
        <v>314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321</v>
      </c>
      <c r="C185" s="10" t="s">
        <v>310</v>
      </c>
      <c r="D185" s="13" t="s">
        <v>314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322</v>
      </c>
      <c r="C186" s="10" t="s">
        <v>310</v>
      </c>
      <c r="D186" s="13" t="s">
        <v>314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323</v>
      </c>
      <c r="C187" s="10" t="s">
        <v>324</v>
      </c>
      <c r="D187" s="13" t="s">
        <v>325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328</v>
      </c>
      <c r="C188" s="10" t="s">
        <v>313</v>
      </c>
      <c r="D188" s="13" t="s">
        <v>586</v>
      </c>
      <c r="E188" s="186">
        <v>80926.916666666701</v>
      </c>
      <c r="F188" s="70">
        <f t="shared" si="21"/>
        <v>6474.15333333333</v>
      </c>
      <c r="G188" s="11"/>
    </row>
    <row r="189" spans="1:7" ht="20.100000000000001" customHeight="1">
      <c r="A189" s="25">
        <v>55</v>
      </c>
      <c r="B189" s="16" t="s">
        <v>329</v>
      </c>
      <c r="C189" s="10" t="s">
        <v>330</v>
      </c>
      <c r="D189" s="13" t="s">
        <v>331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332</v>
      </c>
      <c r="C190" s="10" t="s">
        <v>330</v>
      </c>
      <c r="D190" s="13" t="s">
        <v>331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333</v>
      </c>
      <c r="C191" s="10" t="s">
        <v>330</v>
      </c>
      <c r="D191" s="13" t="s">
        <v>331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334</v>
      </c>
      <c r="C192" s="10" t="s">
        <v>335</v>
      </c>
      <c r="D192" s="13" t="s">
        <v>336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337</v>
      </c>
      <c r="C193" s="10" t="s">
        <v>335</v>
      </c>
      <c r="D193" s="13" t="s">
        <v>336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96</v>
      </c>
      <c r="C194" s="26" t="s">
        <v>587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339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93" t="s">
        <v>0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639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640</v>
      </c>
      <c r="H4" s="22" t="s">
        <v>641</v>
      </c>
      <c r="I4" s="184" t="s">
        <v>642</v>
      </c>
      <c r="J4" s="22" t="s">
        <v>643</v>
      </c>
      <c r="K4" s="22" t="s">
        <v>644</v>
      </c>
      <c r="L4" s="22" t="s">
        <v>645</v>
      </c>
      <c r="M4" s="184" t="s">
        <v>7</v>
      </c>
      <c r="N4" s="184" t="s">
        <v>7</v>
      </c>
      <c r="O4" s="22" t="s">
        <v>646</v>
      </c>
      <c r="P4" s="22" t="s">
        <v>646</v>
      </c>
      <c r="Q4" s="184" t="s">
        <v>8</v>
      </c>
      <c r="R4" s="296" t="s">
        <v>9</v>
      </c>
      <c r="S4" s="184" t="s">
        <v>10</v>
      </c>
      <c r="T4" s="184" t="s">
        <v>11</v>
      </c>
      <c r="U4" s="184" t="s">
        <v>12</v>
      </c>
      <c r="V4" s="184" t="s">
        <v>13</v>
      </c>
      <c r="W4" s="22" t="s">
        <v>14</v>
      </c>
      <c r="X4" s="309" t="s">
        <v>16</v>
      </c>
      <c r="Y4" s="283" t="s">
        <v>647</v>
      </c>
    </row>
    <row r="5" spans="1:25" ht="18.75">
      <c r="A5" s="1"/>
      <c r="B5" s="1"/>
      <c r="C5" s="6"/>
      <c r="D5" s="6"/>
      <c r="E5" s="67" t="s">
        <v>19</v>
      </c>
      <c r="F5" s="19"/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67" t="s">
        <v>19</v>
      </c>
      <c r="R5" s="269" t="s">
        <v>19</v>
      </c>
      <c r="S5" s="67" t="s">
        <v>19</v>
      </c>
      <c r="T5" s="67" t="s">
        <v>19</v>
      </c>
      <c r="U5" s="67" t="s">
        <v>19</v>
      </c>
      <c r="V5" s="67" t="s">
        <v>19</v>
      </c>
      <c r="W5" s="67" t="s">
        <v>19</v>
      </c>
      <c r="X5" s="408" t="s">
        <v>19</v>
      </c>
      <c r="Y5" s="196" t="s">
        <v>19</v>
      </c>
    </row>
    <row r="6" spans="1:25" ht="18.75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101</v>
      </c>
      <c r="C7" s="2" t="s">
        <v>612</v>
      </c>
      <c r="D7" s="8" t="s">
        <v>92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648</v>
      </c>
      <c r="C8" s="12" t="s">
        <v>608</v>
      </c>
      <c r="D8" s="8" t="s">
        <v>70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203030.25774999999</v>
      </c>
    </row>
    <row r="9" spans="1:25" ht="18.75">
      <c r="B9" s="20" t="s">
        <v>591</v>
      </c>
      <c r="C9" s="406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7"/>
      <c r="N9" s="407">
        <f>N8-N7</f>
        <v>10000</v>
      </c>
      <c r="O9" s="122">
        <f t="shared" si="5"/>
        <v>455.43299999999999</v>
      </c>
      <c r="P9" s="122">
        <v>0</v>
      </c>
      <c r="Q9" s="122"/>
      <c r="R9" s="274">
        <f>SUM(E9:Q9)</f>
        <v>51785.977749999998</v>
      </c>
      <c r="S9" s="122"/>
      <c r="T9" s="122"/>
      <c r="U9" s="122"/>
      <c r="V9" s="122"/>
      <c r="W9" s="122">
        <f>W8-W7</f>
        <v>8529.10613333334</v>
      </c>
      <c r="X9" s="409"/>
      <c r="Y9" s="199">
        <f>R9-W9</f>
        <v>43256.8716166667</v>
      </c>
    </row>
    <row r="10" spans="1:25" ht="18.75">
      <c r="W10" s="410"/>
      <c r="X10" s="411" t="s">
        <v>456</v>
      </c>
      <c r="Y10" s="414">
        <f>1+(27/31)</f>
        <v>1.87096774193548</v>
      </c>
    </row>
    <row r="11" spans="1:25" ht="18.75">
      <c r="W11" s="412"/>
      <c r="X11" s="413" t="s">
        <v>649</v>
      </c>
      <c r="Y11" s="415">
        <f>Y9*Y10</f>
        <v>80932.211411828001</v>
      </c>
    </row>
  </sheetData>
  <mergeCells count="1">
    <mergeCell ref="A1:K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3" t="s">
        <v>650</v>
      </c>
      <c r="B1" s="344"/>
      <c r="C1" s="343"/>
      <c r="D1" s="343"/>
      <c r="E1" s="345"/>
      <c r="F1" s="345"/>
      <c r="G1" s="346"/>
    </row>
    <row r="2" spans="1:10" ht="22.5">
      <c r="A2" s="343" t="s">
        <v>651</v>
      </c>
      <c r="B2" s="343"/>
      <c r="C2" s="343"/>
      <c r="D2" s="343"/>
      <c r="E2" s="345"/>
      <c r="F2" s="345"/>
      <c r="G2" s="346"/>
    </row>
    <row r="3" spans="1:10" ht="22.5">
      <c r="A3" s="343" t="s">
        <v>652</v>
      </c>
      <c r="B3" s="343"/>
      <c r="C3" s="343"/>
      <c r="D3" s="343"/>
      <c r="E3" s="345"/>
      <c r="F3" s="345"/>
      <c r="G3" s="346"/>
    </row>
    <row r="4" spans="1:10" ht="45" customHeight="1">
      <c r="A4" s="347" t="s">
        <v>20</v>
      </c>
      <c r="B4" s="348" t="s">
        <v>653</v>
      </c>
      <c r="C4" s="349" t="s">
        <v>654</v>
      </c>
      <c r="D4" s="350" t="s">
        <v>655</v>
      </c>
      <c r="E4" s="350" t="s">
        <v>656</v>
      </c>
      <c r="F4" s="350" t="s">
        <v>657</v>
      </c>
      <c r="G4" s="350" t="s">
        <v>658</v>
      </c>
      <c r="H4" s="351" t="s">
        <v>96</v>
      </c>
    </row>
    <row r="5" spans="1:10" ht="16.5">
      <c r="A5" s="776" t="s">
        <v>659</v>
      </c>
      <c r="B5" s="352" t="s">
        <v>660</v>
      </c>
      <c r="C5" s="353">
        <v>45323</v>
      </c>
      <c r="D5" s="354">
        <f>0</f>
        <v>0</v>
      </c>
      <c r="E5" s="354">
        <v>0</v>
      </c>
      <c r="F5" s="354">
        <v>0</v>
      </c>
      <c r="G5" s="354">
        <f>0</f>
        <v>0</v>
      </c>
      <c r="H5" s="355">
        <f>D5+E5+F5+G5</f>
        <v>0</v>
      </c>
      <c r="I5" s="367"/>
    </row>
    <row r="6" spans="1:10" ht="16.5">
      <c r="A6" s="776" t="s">
        <v>661</v>
      </c>
      <c r="B6" s="356" t="s">
        <v>662</v>
      </c>
      <c r="C6" s="353">
        <v>45323</v>
      </c>
      <c r="D6" s="357">
        <v>250000</v>
      </c>
      <c r="E6" s="357">
        <v>0</v>
      </c>
      <c r="F6" s="357"/>
      <c r="G6" s="355">
        <f>0</f>
        <v>0</v>
      </c>
      <c r="H6" s="355">
        <f t="shared" ref="H6:H69" si="0">D6+E6+F6+G6</f>
        <v>250000</v>
      </c>
      <c r="I6" s="368"/>
    </row>
    <row r="7" spans="1:10" ht="16.5">
      <c r="A7" s="776" t="s">
        <v>663</v>
      </c>
      <c r="B7" s="352" t="s">
        <v>664</v>
      </c>
      <c r="C7" s="353">
        <v>45323</v>
      </c>
      <c r="D7" s="357">
        <f>0</f>
        <v>0</v>
      </c>
      <c r="E7" s="357">
        <v>0</v>
      </c>
      <c r="F7" s="357">
        <v>0</v>
      </c>
      <c r="G7" s="357">
        <f>0</f>
        <v>0</v>
      </c>
      <c r="H7" s="355">
        <f t="shared" si="0"/>
        <v>0</v>
      </c>
      <c r="I7" s="367"/>
    </row>
    <row r="8" spans="1:10" ht="16.5">
      <c r="A8" s="776" t="s">
        <v>665</v>
      </c>
      <c r="B8" s="352" t="s">
        <v>666</v>
      </c>
      <c r="C8" s="353">
        <v>45323</v>
      </c>
      <c r="D8" s="357">
        <v>200000</v>
      </c>
      <c r="E8" s="357">
        <v>0</v>
      </c>
      <c r="F8" s="357">
        <v>0</v>
      </c>
      <c r="G8" s="357">
        <f>327777.78</f>
        <v>327777.78000000003</v>
      </c>
      <c r="H8" s="355">
        <f t="shared" si="0"/>
        <v>527777.78</v>
      </c>
      <c r="I8" s="368"/>
    </row>
    <row r="9" spans="1:10" ht="16.5">
      <c r="A9" s="776" t="s">
        <v>667</v>
      </c>
      <c r="B9" s="352" t="s">
        <v>668</v>
      </c>
      <c r="C9" s="353">
        <v>45323</v>
      </c>
      <c r="D9" s="357">
        <f>0</f>
        <v>0</v>
      </c>
      <c r="E9" s="357"/>
      <c r="F9" s="357"/>
      <c r="G9" s="357">
        <f>0</f>
        <v>0</v>
      </c>
      <c r="H9" s="355">
        <f t="shared" si="0"/>
        <v>0</v>
      </c>
      <c r="I9" s="367"/>
    </row>
    <row r="10" spans="1:10" ht="16.5">
      <c r="A10" s="776" t="s">
        <v>669</v>
      </c>
      <c r="B10" s="352" t="s">
        <v>670</v>
      </c>
      <c r="C10" s="353">
        <v>45323</v>
      </c>
      <c r="D10" s="357">
        <f>0</f>
        <v>0</v>
      </c>
      <c r="E10" s="357">
        <v>0</v>
      </c>
      <c r="F10" s="357">
        <v>0</v>
      </c>
      <c r="G10" s="357">
        <f>0</f>
        <v>0</v>
      </c>
      <c r="H10" s="355">
        <f t="shared" si="0"/>
        <v>0</v>
      </c>
      <c r="I10" s="367"/>
      <c r="J10" s="369"/>
    </row>
    <row r="11" spans="1:10" ht="16.5">
      <c r="A11" s="776" t="s">
        <v>671</v>
      </c>
      <c r="B11" s="352" t="s">
        <v>672</v>
      </c>
      <c r="C11" s="353">
        <v>45323</v>
      </c>
      <c r="D11" s="357">
        <v>0</v>
      </c>
      <c r="E11" s="357">
        <v>0</v>
      </c>
      <c r="F11" s="357">
        <v>0</v>
      </c>
      <c r="G11" s="357">
        <v>0</v>
      </c>
      <c r="H11" s="355">
        <f t="shared" si="0"/>
        <v>0</v>
      </c>
      <c r="I11" s="370"/>
    </row>
    <row r="12" spans="1:10" ht="16.5">
      <c r="A12" s="776" t="s">
        <v>673</v>
      </c>
      <c r="B12" s="352" t="s">
        <v>674</v>
      </c>
      <c r="C12" s="353">
        <v>45323</v>
      </c>
      <c r="D12" s="357">
        <v>50000</v>
      </c>
      <c r="E12" s="357">
        <v>0</v>
      </c>
      <c r="F12" s="357">
        <v>0</v>
      </c>
      <c r="G12" s="357">
        <f>385000</f>
        <v>385000</v>
      </c>
      <c r="H12" s="355">
        <f t="shared" si="0"/>
        <v>435000</v>
      </c>
      <c r="I12" s="368"/>
    </row>
    <row r="13" spans="1:10" ht="16.5">
      <c r="A13" s="776" t="s">
        <v>675</v>
      </c>
      <c r="B13" s="352" t="s">
        <v>676</v>
      </c>
      <c r="C13" s="353">
        <v>45323</v>
      </c>
      <c r="D13" s="357">
        <v>0</v>
      </c>
      <c r="E13" s="357">
        <v>0</v>
      </c>
      <c r="F13" s="357">
        <v>0</v>
      </c>
      <c r="G13" s="357">
        <v>0</v>
      </c>
      <c r="H13" s="355">
        <f t="shared" si="0"/>
        <v>0</v>
      </c>
      <c r="I13" s="370"/>
    </row>
    <row r="14" spans="1:10" ht="16.5">
      <c r="A14" s="776" t="s">
        <v>677</v>
      </c>
      <c r="B14" s="352" t="s">
        <v>678</v>
      </c>
      <c r="C14" s="353">
        <v>45323</v>
      </c>
      <c r="D14" s="357">
        <f>0</f>
        <v>0</v>
      </c>
      <c r="E14" s="357">
        <v>0</v>
      </c>
      <c r="F14" s="357">
        <v>0</v>
      </c>
      <c r="G14" s="357">
        <f>0</f>
        <v>0</v>
      </c>
      <c r="H14" s="355">
        <f t="shared" si="0"/>
        <v>0</v>
      </c>
      <c r="I14" s="367"/>
    </row>
    <row r="15" spans="1:10" ht="16.5">
      <c r="A15" s="776" t="s">
        <v>679</v>
      </c>
      <c r="B15" s="352" t="s">
        <v>412</v>
      </c>
      <c r="C15" s="353">
        <v>45323</v>
      </c>
      <c r="D15" s="357">
        <v>30000</v>
      </c>
      <c r="E15" s="357">
        <v>0</v>
      </c>
      <c r="F15" s="357">
        <v>0</v>
      </c>
      <c r="G15" s="357">
        <v>91666.67</v>
      </c>
      <c r="H15" s="355">
        <f t="shared" si="0"/>
        <v>121666.67</v>
      </c>
      <c r="I15" s="368"/>
    </row>
    <row r="16" spans="1:10" ht="16.5">
      <c r="A16" s="776" t="s">
        <v>680</v>
      </c>
      <c r="B16" s="352" t="s">
        <v>218</v>
      </c>
      <c r="C16" s="353">
        <v>45323</v>
      </c>
      <c r="D16" s="357">
        <f>100000</f>
        <v>100000</v>
      </c>
      <c r="E16" s="357">
        <v>0</v>
      </c>
      <c r="F16" s="357">
        <v>0</v>
      </c>
      <c r="G16" s="357">
        <f>0</f>
        <v>0</v>
      </c>
      <c r="H16" s="355">
        <f t="shared" si="0"/>
        <v>100000</v>
      </c>
      <c r="I16" s="368"/>
    </row>
    <row r="17" spans="1:9" ht="16.5">
      <c r="A17" s="776" t="s">
        <v>681</v>
      </c>
      <c r="B17" s="352" t="s">
        <v>682</v>
      </c>
      <c r="C17" s="353">
        <v>45323</v>
      </c>
      <c r="D17" s="357">
        <f>0</f>
        <v>0</v>
      </c>
      <c r="E17" s="357">
        <v>0</v>
      </c>
      <c r="F17" s="357">
        <v>0</v>
      </c>
      <c r="G17" s="357">
        <f>0</f>
        <v>0</v>
      </c>
      <c r="H17" s="355">
        <f t="shared" si="0"/>
        <v>0</v>
      </c>
      <c r="I17" s="367"/>
    </row>
    <row r="18" spans="1:9" ht="16.5">
      <c r="A18" s="776" t="s">
        <v>683</v>
      </c>
      <c r="B18" s="352" t="s">
        <v>684</v>
      </c>
      <c r="C18" s="353">
        <v>45323</v>
      </c>
      <c r="D18" s="357">
        <v>0</v>
      </c>
      <c r="E18" s="357">
        <v>0</v>
      </c>
      <c r="F18" s="357">
        <v>0</v>
      </c>
      <c r="G18" s="357">
        <v>0</v>
      </c>
      <c r="H18" s="355">
        <f t="shared" si="0"/>
        <v>0</v>
      </c>
      <c r="I18" s="371"/>
    </row>
    <row r="19" spans="1:9" ht="16.5">
      <c r="A19" s="776" t="s">
        <v>685</v>
      </c>
      <c r="B19" s="352" t="s">
        <v>686</v>
      </c>
      <c r="C19" s="353">
        <v>45323</v>
      </c>
      <c r="D19" s="357">
        <f>100000</f>
        <v>100000</v>
      </c>
      <c r="E19" s="357">
        <v>0</v>
      </c>
      <c r="F19" s="357">
        <v>0</v>
      </c>
      <c r="G19" s="357">
        <f>0</f>
        <v>0</v>
      </c>
      <c r="H19" s="355">
        <f t="shared" si="0"/>
        <v>100000</v>
      </c>
      <c r="I19" s="372"/>
    </row>
    <row r="20" spans="1:9" ht="16.5">
      <c r="A20" s="776" t="s">
        <v>687</v>
      </c>
      <c r="B20" s="352" t="s">
        <v>688</v>
      </c>
      <c r="C20" s="353">
        <v>45323</v>
      </c>
      <c r="D20" s="357">
        <f>50000</f>
        <v>50000</v>
      </c>
      <c r="E20" s="357">
        <v>0</v>
      </c>
      <c r="F20" s="357">
        <v>0</v>
      </c>
      <c r="G20" s="355">
        <f>200000</f>
        <v>200000</v>
      </c>
      <c r="H20" s="355">
        <f t="shared" si="0"/>
        <v>250000</v>
      </c>
      <c r="I20" s="373"/>
    </row>
    <row r="21" spans="1:9" ht="16.5">
      <c r="A21" s="776" t="s">
        <v>689</v>
      </c>
      <c r="B21" s="352" t="s">
        <v>690</v>
      </c>
      <c r="C21" s="353">
        <v>45323</v>
      </c>
      <c r="D21" s="354">
        <f>0</f>
        <v>0</v>
      </c>
      <c r="E21" s="354">
        <v>0</v>
      </c>
      <c r="F21" s="354">
        <v>0</v>
      </c>
      <c r="G21" s="358">
        <f>0</f>
        <v>0</v>
      </c>
      <c r="H21" s="355">
        <f t="shared" si="0"/>
        <v>0</v>
      </c>
      <c r="I21" s="374"/>
    </row>
    <row r="22" spans="1:9" ht="16.5">
      <c r="A22" s="776" t="s">
        <v>691</v>
      </c>
      <c r="B22" s="352" t="s">
        <v>692</v>
      </c>
      <c r="C22" s="353">
        <v>45323</v>
      </c>
      <c r="D22" s="357">
        <v>50000</v>
      </c>
      <c r="E22" s="357">
        <v>0</v>
      </c>
      <c r="F22" s="357">
        <v>0</v>
      </c>
      <c r="G22" s="357">
        <f>0</f>
        <v>0</v>
      </c>
      <c r="H22" s="355">
        <f t="shared" si="0"/>
        <v>50000</v>
      </c>
      <c r="I22" s="373"/>
    </row>
    <row r="23" spans="1:9" ht="16.5">
      <c r="A23" s="776" t="s">
        <v>693</v>
      </c>
      <c r="B23" s="352" t="s">
        <v>694</v>
      </c>
      <c r="C23" s="353">
        <v>45323</v>
      </c>
      <c r="D23" s="357">
        <v>0</v>
      </c>
      <c r="E23" s="357">
        <v>0</v>
      </c>
      <c r="F23" s="357">
        <v>0</v>
      </c>
      <c r="G23" s="357">
        <v>0</v>
      </c>
      <c r="H23" s="355">
        <f t="shared" si="0"/>
        <v>0</v>
      </c>
    </row>
    <row r="24" spans="1:9" ht="16.5">
      <c r="A24" s="776" t="s">
        <v>695</v>
      </c>
      <c r="B24" s="352" t="s">
        <v>225</v>
      </c>
      <c r="C24" s="353">
        <v>45323</v>
      </c>
      <c r="D24" s="354">
        <f>20000</f>
        <v>20000</v>
      </c>
      <c r="E24" s="354">
        <v>0</v>
      </c>
      <c r="F24" s="354">
        <f>0</f>
        <v>0</v>
      </c>
      <c r="G24" s="354">
        <v>75694.44</v>
      </c>
      <c r="H24" s="355">
        <f t="shared" si="0"/>
        <v>95694.44</v>
      </c>
      <c r="I24" s="368"/>
    </row>
    <row r="25" spans="1:9" ht="16.5">
      <c r="A25" s="776" t="s">
        <v>696</v>
      </c>
      <c r="B25" s="352" t="s">
        <v>697</v>
      </c>
      <c r="C25" s="353">
        <v>45323</v>
      </c>
      <c r="D25" s="357">
        <v>0</v>
      </c>
      <c r="E25" s="357">
        <v>0</v>
      </c>
      <c r="F25" s="357">
        <v>0</v>
      </c>
      <c r="G25" s="357">
        <v>0</v>
      </c>
      <c r="H25" s="355">
        <f t="shared" si="0"/>
        <v>0</v>
      </c>
      <c r="I25" s="367"/>
    </row>
    <row r="26" spans="1:9" ht="16.5">
      <c r="A26" s="776" t="s">
        <v>698</v>
      </c>
      <c r="B26" s="352" t="s">
        <v>699</v>
      </c>
      <c r="C26" s="353">
        <v>45323</v>
      </c>
      <c r="D26" s="357">
        <v>10000</v>
      </c>
      <c r="E26" s="357">
        <v>0</v>
      </c>
      <c r="F26" s="357">
        <v>0</v>
      </c>
      <c r="G26" s="357">
        <f>65885.83</f>
        <v>65885.83</v>
      </c>
      <c r="H26" s="355">
        <f t="shared" si="0"/>
        <v>75885.83</v>
      </c>
      <c r="I26" s="368"/>
    </row>
    <row r="27" spans="1:9" ht="16.5">
      <c r="A27" s="776" t="s">
        <v>700</v>
      </c>
      <c r="B27" s="352" t="s">
        <v>701</v>
      </c>
      <c r="C27" s="353">
        <v>45323</v>
      </c>
      <c r="D27" s="357">
        <v>30000</v>
      </c>
      <c r="E27" s="357">
        <v>0</v>
      </c>
      <c r="F27" s="357">
        <v>10000</v>
      </c>
      <c r="G27" s="357">
        <f>238888.89</f>
        <v>238888.89</v>
      </c>
      <c r="H27" s="355">
        <f t="shared" si="0"/>
        <v>278888.89</v>
      </c>
      <c r="I27" s="368"/>
    </row>
    <row r="28" spans="1:9" ht="16.5">
      <c r="A28" s="776" t="s">
        <v>702</v>
      </c>
      <c r="B28" s="352" t="s">
        <v>703</v>
      </c>
      <c r="C28" s="353">
        <v>45323</v>
      </c>
      <c r="D28" s="357">
        <v>30000</v>
      </c>
      <c r="E28" s="357">
        <v>0</v>
      </c>
      <c r="F28" s="357">
        <v>0</v>
      </c>
      <c r="G28" s="357">
        <f>61111.11</f>
        <v>61111.11</v>
      </c>
      <c r="H28" s="355">
        <f t="shared" si="0"/>
        <v>91111.11</v>
      </c>
      <c r="I28" s="368"/>
    </row>
    <row r="29" spans="1:9" ht="18">
      <c r="A29" s="776" t="s">
        <v>704</v>
      </c>
      <c r="B29" s="352" t="s">
        <v>705</v>
      </c>
      <c r="C29" s="353">
        <v>45323</v>
      </c>
      <c r="D29" s="359">
        <f>15000</f>
        <v>15000</v>
      </c>
      <c r="E29" s="359"/>
      <c r="F29" s="359"/>
      <c r="G29" s="360">
        <f>30000</f>
        <v>30000</v>
      </c>
      <c r="H29" s="355">
        <f t="shared" si="0"/>
        <v>45000</v>
      </c>
      <c r="I29" s="368"/>
    </row>
    <row r="30" spans="1:9" ht="16.5">
      <c r="A30" s="776" t="s">
        <v>706</v>
      </c>
      <c r="B30" s="352" t="s">
        <v>707</v>
      </c>
      <c r="C30" s="353">
        <v>45323</v>
      </c>
      <c r="D30" s="357">
        <v>20000</v>
      </c>
      <c r="E30" s="357">
        <v>0</v>
      </c>
      <c r="F30" s="357">
        <v>0</v>
      </c>
      <c r="G30" s="357">
        <f>163103.59</f>
        <v>163103.59</v>
      </c>
      <c r="H30" s="355">
        <f t="shared" si="0"/>
        <v>183103.59</v>
      </c>
      <c r="I30" s="368"/>
    </row>
    <row r="31" spans="1:9" ht="16.5">
      <c r="A31" s="776" t="s">
        <v>708</v>
      </c>
      <c r="B31" s="352" t="s">
        <v>148</v>
      </c>
      <c r="C31" s="353">
        <v>45323</v>
      </c>
      <c r="D31" s="357">
        <v>20000</v>
      </c>
      <c r="E31" s="357">
        <v>0</v>
      </c>
      <c r="F31" s="357">
        <v>0</v>
      </c>
      <c r="G31" s="357">
        <v>96664.65</v>
      </c>
      <c r="H31" s="355">
        <f t="shared" si="0"/>
        <v>116664.65</v>
      </c>
      <c r="I31" s="368"/>
    </row>
    <row r="32" spans="1:9" ht="16.5">
      <c r="A32" s="776" t="s">
        <v>709</v>
      </c>
      <c r="B32" s="352" t="s">
        <v>710</v>
      </c>
      <c r="C32" s="353">
        <v>45323</v>
      </c>
      <c r="D32" s="357">
        <v>20000</v>
      </c>
      <c r="E32" s="357">
        <v>0</v>
      </c>
      <c r="F32" s="357">
        <v>0</v>
      </c>
      <c r="G32" s="361"/>
      <c r="H32" s="355">
        <f t="shared" si="0"/>
        <v>20000</v>
      </c>
      <c r="I32" s="368"/>
    </row>
    <row r="33" spans="1:9" ht="16.5">
      <c r="A33" s="776" t="s">
        <v>711</v>
      </c>
      <c r="B33" s="352" t="s">
        <v>712</v>
      </c>
      <c r="C33" s="353">
        <v>45323</v>
      </c>
      <c r="D33" s="358"/>
      <c r="E33" s="358"/>
      <c r="F33" s="358"/>
      <c r="G33" s="358"/>
      <c r="H33" s="355">
        <f t="shared" si="0"/>
        <v>0</v>
      </c>
      <c r="I33" s="367"/>
    </row>
    <row r="34" spans="1:9" ht="16.5">
      <c r="A34" s="776" t="s">
        <v>713</v>
      </c>
      <c r="B34" s="352" t="s">
        <v>714</v>
      </c>
      <c r="C34" s="353">
        <v>45323</v>
      </c>
      <c r="D34" s="357">
        <v>20000</v>
      </c>
      <c r="E34" s="357">
        <v>0</v>
      </c>
      <c r="F34" s="359">
        <f>5000+5000</f>
        <v>10000</v>
      </c>
      <c r="G34" s="357">
        <f>47916.66</f>
        <v>47916.66</v>
      </c>
      <c r="H34" s="355">
        <f t="shared" si="0"/>
        <v>77916.66</v>
      </c>
      <c r="I34" s="368"/>
    </row>
    <row r="35" spans="1:9" ht="16.5">
      <c r="A35" s="776" t="s">
        <v>715</v>
      </c>
      <c r="B35" s="352" t="s">
        <v>716</v>
      </c>
      <c r="C35" s="353">
        <v>45323</v>
      </c>
      <c r="D35" s="357">
        <v>0</v>
      </c>
      <c r="E35" s="357">
        <v>0</v>
      </c>
      <c r="F35" s="357">
        <v>0</v>
      </c>
      <c r="G35" s="357">
        <v>0</v>
      </c>
      <c r="H35" s="355">
        <f t="shared" si="0"/>
        <v>0</v>
      </c>
      <c r="I35" s="367"/>
    </row>
    <row r="36" spans="1:9" ht="16.5">
      <c r="A36" s="776" t="s">
        <v>717</v>
      </c>
      <c r="B36" s="352" t="s">
        <v>718</v>
      </c>
      <c r="C36" s="353">
        <v>45323</v>
      </c>
      <c r="D36" s="357">
        <f>20000</f>
        <v>20000</v>
      </c>
      <c r="E36" s="357">
        <v>0</v>
      </c>
      <c r="F36" s="357">
        <v>0</v>
      </c>
      <c r="G36" s="357">
        <f>43750</f>
        <v>43750</v>
      </c>
      <c r="H36" s="355">
        <f t="shared" si="0"/>
        <v>63750</v>
      </c>
      <c r="I36" s="368"/>
    </row>
    <row r="37" spans="1:9" ht="16.5">
      <c r="A37" s="776" t="s">
        <v>719</v>
      </c>
      <c r="B37" s="352" t="s">
        <v>720</v>
      </c>
      <c r="C37" s="353">
        <v>45323</v>
      </c>
      <c r="D37" s="357">
        <f>10000</f>
        <v>10000</v>
      </c>
      <c r="E37" s="357">
        <f>0</f>
        <v>0</v>
      </c>
      <c r="F37" s="357">
        <f>0</f>
        <v>0</v>
      </c>
      <c r="G37" s="357">
        <f>90000+25000</f>
        <v>115000</v>
      </c>
      <c r="H37" s="355">
        <f t="shared" si="0"/>
        <v>125000</v>
      </c>
      <c r="I37" s="368"/>
    </row>
    <row r="38" spans="1:9" ht="16.5">
      <c r="A38" s="776" t="s">
        <v>721</v>
      </c>
      <c r="B38" s="352" t="s">
        <v>245</v>
      </c>
      <c r="C38" s="353">
        <v>45323</v>
      </c>
      <c r="D38" s="357">
        <f>0</f>
        <v>0</v>
      </c>
      <c r="E38" s="357">
        <v>0</v>
      </c>
      <c r="F38" s="357">
        <v>0</v>
      </c>
      <c r="G38" s="357">
        <f>50000</f>
        <v>50000</v>
      </c>
      <c r="H38" s="355">
        <f t="shared" si="0"/>
        <v>50000</v>
      </c>
      <c r="I38" s="367"/>
    </row>
    <row r="39" spans="1:9" ht="16.5">
      <c r="A39" s="776" t="s">
        <v>722</v>
      </c>
      <c r="B39" s="352" t="s">
        <v>34</v>
      </c>
      <c r="C39" s="353">
        <v>45323</v>
      </c>
      <c r="D39" s="357">
        <f>10000</f>
        <v>10000</v>
      </c>
      <c r="E39" s="357">
        <v>0</v>
      </c>
      <c r="F39" s="357">
        <v>0</v>
      </c>
      <c r="G39" s="357">
        <f>200000</f>
        <v>200000</v>
      </c>
      <c r="H39" s="355">
        <f t="shared" si="0"/>
        <v>210000</v>
      </c>
      <c r="I39" s="368"/>
    </row>
    <row r="40" spans="1:9" ht="16.5">
      <c r="A40" s="776" t="s">
        <v>723</v>
      </c>
      <c r="B40" s="352" t="s">
        <v>227</v>
      </c>
      <c r="C40" s="353">
        <v>45323</v>
      </c>
      <c r="D40" s="357">
        <v>35000</v>
      </c>
      <c r="E40" s="357">
        <v>0</v>
      </c>
      <c r="F40" s="357">
        <f>25000</f>
        <v>25000</v>
      </c>
      <c r="G40" s="357">
        <f>55000</f>
        <v>55000</v>
      </c>
      <c r="H40" s="355">
        <f t="shared" si="0"/>
        <v>115000</v>
      </c>
      <c r="I40" s="368"/>
    </row>
    <row r="41" spans="1:9" ht="16.5">
      <c r="A41" s="776" t="s">
        <v>724</v>
      </c>
      <c r="B41" s="352" t="s">
        <v>251</v>
      </c>
      <c r="C41" s="353">
        <v>45323</v>
      </c>
      <c r="D41" s="357">
        <v>10000</v>
      </c>
      <c r="E41" s="357">
        <v>0</v>
      </c>
      <c r="F41" s="357">
        <v>0</v>
      </c>
      <c r="G41" s="357">
        <f>100000</f>
        <v>100000</v>
      </c>
      <c r="H41" s="355">
        <f t="shared" si="0"/>
        <v>110000</v>
      </c>
      <c r="I41" s="368"/>
    </row>
    <row r="42" spans="1:9" ht="16.5">
      <c r="A42" s="776" t="s">
        <v>725</v>
      </c>
      <c r="B42" s="352" t="s">
        <v>726</v>
      </c>
      <c r="C42" s="353">
        <v>45323</v>
      </c>
      <c r="D42" s="357">
        <f>10000</f>
        <v>10000</v>
      </c>
      <c r="E42" s="358"/>
      <c r="F42" s="358"/>
      <c r="G42" s="358"/>
      <c r="H42" s="355">
        <f t="shared" si="0"/>
        <v>10000</v>
      </c>
      <c r="I42" s="368"/>
    </row>
    <row r="43" spans="1:9" ht="16.5">
      <c r="A43" s="776" t="s">
        <v>727</v>
      </c>
      <c r="B43" s="352" t="s">
        <v>302</v>
      </c>
      <c r="C43" s="353">
        <v>45323</v>
      </c>
      <c r="D43" s="355">
        <v>10000</v>
      </c>
      <c r="E43" s="362">
        <v>0</v>
      </c>
      <c r="F43" s="359">
        <f>5000+5000</f>
        <v>10000</v>
      </c>
      <c r="G43" s="355">
        <f>22361.11</f>
        <v>22361.11</v>
      </c>
      <c r="H43" s="355">
        <f t="shared" si="0"/>
        <v>42361.11</v>
      </c>
      <c r="I43" s="368"/>
    </row>
    <row r="44" spans="1:9" ht="16.5">
      <c r="A44" s="776" t="s">
        <v>728</v>
      </c>
      <c r="B44" s="352" t="s">
        <v>729</v>
      </c>
      <c r="C44" s="353">
        <v>45323</v>
      </c>
      <c r="D44" s="355">
        <f>10000</f>
        <v>10000</v>
      </c>
      <c r="E44" s="362">
        <v>0</v>
      </c>
      <c r="F44" s="359">
        <f>5000+5000</f>
        <v>10000</v>
      </c>
      <c r="G44" s="355">
        <f>20000</f>
        <v>20000</v>
      </c>
      <c r="H44" s="355">
        <f t="shared" si="0"/>
        <v>40000</v>
      </c>
      <c r="I44" s="368"/>
    </row>
    <row r="45" spans="1:9" ht="16.5">
      <c r="A45" s="776" t="s">
        <v>730</v>
      </c>
      <c r="B45" s="352" t="s">
        <v>731</v>
      </c>
      <c r="C45" s="353">
        <v>45323</v>
      </c>
      <c r="D45" s="357">
        <f>5000</f>
        <v>5000</v>
      </c>
      <c r="E45" s="357">
        <v>0</v>
      </c>
      <c r="F45" s="359">
        <f>5000+5000</f>
        <v>10000</v>
      </c>
      <c r="G45" s="357">
        <f>35704.84</f>
        <v>35704.839999999997</v>
      </c>
      <c r="H45" s="355">
        <f t="shared" si="0"/>
        <v>50704.84</v>
      </c>
      <c r="I45" s="368"/>
    </row>
    <row r="46" spans="1:9" ht="16.5">
      <c r="A46" s="776" t="s">
        <v>732</v>
      </c>
      <c r="B46" s="352" t="s">
        <v>283</v>
      </c>
      <c r="C46" s="353">
        <v>45323</v>
      </c>
      <c r="D46" s="357">
        <v>10000</v>
      </c>
      <c r="E46" s="357">
        <v>0</v>
      </c>
      <c r="F46" s="357">
        <f>5000+5000</f>
        <v>10000</v>
      </c>
      <c r="G46" s="357">
        <f>32000</f>
        <v>32000</v>
      </c>
      <c r="H46" s="355">
        <f t="shared" si="0"/>
        <v>52000</v>
      </c>
      <c r="I46" s="368"/>
    </row>
    <row r="47" spans="1:9" ht="16.5">
      <c r="A47" s="776" t="s">
        <v>733</v>
      </c>
      <c r="B47" s="352" t="s">
        <v>734</v>
      </c>
      <c r="C47" s="353">
        <v>45323</v>
      </c>
      <c r="D47" s="357">
        <v>0</v>
      </c>
      <c r="E47" s="357">
        <v>0</v>
      </c>
      <c r="F47" s="357">
        <v>0</v>
      </c>
      <c r="G47" s="357">
        <v>0</v>
      </c>
      <c r="H47" s="355">
        <f t="shared" si="0"/>
        <v>0</v>
      </c>
      <c r="I47" s="367"/>
    </row>
    <row r="48" spans="1:9" ht="16.5">
      <c r="A48" s="776" t="s">
        <v>735</v>
      </c>
      <c r="B48" s="352" t="s">
        <v>736</v>
      </c>
      <c r="C48" s="353">
        <v>45323</v>
      </c>
      <c r="D48" s="357">
        <f>0</f>
        <v>0</v>
      </c>
      <c r="E48" s="357">
        <v>0</v>
      </c>
      <c r="F48" s="357">
        <v>0</v>
      </c>
      <c r="G48" s="357">
        <f>0</f>
        <v>0</v>
      </c>
      <c r="H48" s="355">
        <f t="shared" si="0"/>
        <v>0</v>
      </c>
      <c r="I48" s="367"/>
    </row>
    <row r="49" spans="1:11" ht="16.5">
      <c r="A49" s="776" t="s">
        <v>737</v>
      </c>
      <c r="B49" s="352" t="s">
        <v>738</v>
      </c>
      <c r="C49" s="353">
        <v>45323</v>
      </c>
      <c r="D49" s="357">
        <f>0</f>
        <v>0</v>
      </c>
      <c r="E49" s="357">
        <v>0</v>
      </c>
      <c r="F49" s="359">
        <f>0</f>
        <v>0</v>
      </c>
      <c r="G49" s="357">
        <f>0</f>
        <v>0</v>
      </c>
      <c r="H49" s="355">
        <f t="shared" si="0"/>
        <v>0</v>
      </c>
      <c r="I49" s="367"/>
    </row>
    <row r="50" spans="1:11" ht="16.5">
      <c r="A50" s="776" t="s">
        <v>739</v>
      </c>
      <c r="B50" s="352" t="s">
        <v>293</v>
      </c>
      <c r="C50" s="353">
        <v>45323</v>
      </c>
      <c r="D50" s="357">
        <v>10000</v>
      </c>
      <c r="E50" s="357">
        <v>0</v>
      </c>
      <c r="F50" s="357">
        <f>5000+5000</f>
        <v>10000</v>
      </c>
      <c r="G50" s="363">
        <f>0</f>
        <v>0</v>
      </c>
      <c r="H50" s="355">
        <f t="shared" si="0"/>
        <v>20000</v>
      </c>
      <c r="I50" s="368"/>
    </row>
    <row r="51" spans="1:11" ht="16.5">
      <c r="A51" s="776" t="s">
        <v>740</v>
      </c>
      <c r="B51" s="352" t="s">
        <v>741</v>
      </c>
      <c r="C51" s="353">
        <v>45323</v>
      </c>
      <c r="D51" s="355">
        <v>20000</v>
      </c>
      <c r="E51" s="364">
        <f>0</f>
        <v>0</v>
      </c>
      <c r="F51" s="357">
        <f>5000+5000</f>
        <v>10000</v>
      </c>
      <c r="G51" s="357">
        <f>26430.62</f>
        <v>26430.62</v>
      </c>
      <c r="H51" s="355">
        <f t="shared" si="0"/>
        <v>56430.62</v>
      </c>
      <c r="I51" s="368"/>
      <c r="J51" s="371"/>
    </row>
    <row r="52" spans="1:11" ht="16.5">
      <c r="A52" s="776" t="s">
        <v>742</v>
      </c>
      <c r="B52" s="352" t="s">
        <v>307</v>
      </c>
      <c r="C52" s="353">
        <v>45323</v>
      </c>
      <c r="D52" s="355">
        <f>3000</f>
        <v>3000</v>
      </c>
      <c r="E52" s="355"/>
      <c r="F52" s="357">
        <f>5000+5000</f>
        <v>10000</v>
      </c>
      <c r="G52" s="355">
        <f>44000</f>
        <v>44000</v>
      </c>
      <c r="H52" s="355">
        <f t="shared" si="0"/>
        <v>57000</v>
      </c>
      <c r="I52" s="368"/>
    </row>
    <row r="53" spans="1:11" ht="16.5">
      <c r="A53" s="776" t="s">
        <v>743</v>
      </c>
      <c r="B53" s="352" t="s">
        <v>295</v>
      </c>
      <c r="C53" s="353">
        <v>45323</v>
      </c>
      <c r="D53" s="357">
        <v>10000</v>
      </c>
      <c r="E53" s="357">
        <v>0</v>
      </c>
      <c r="F53" s="357">
        <f>5000+5000</f>
        <v>10000</v>
      </c>
      <c r="G53" s="357">
        <f>15112.49</f>
        <v>15112.49</v>
      </c>
      <c r="H53" s="355">
        <f t="shared" si="0"/>
        <v>35112.49</v>
      </c>
      <c r="I53" s="368"/>
      <c r="K53" s="369"/>
    </row>
    <row r="54" spans="1:11" ht="16.5">
      <c r="A54" s="776" t="s">
        <v>744</v>
      </c>
      <c r="B54" s="352" t="s">
        <v>745</v>
      </c>
      <c r="C54" s="353">
        <v>45323</v>
      </c>
      <c r="D54" s="357">
        <v>20000</v>
      </c>
      <c r="E54" s="357">
        <v>0</v>
      </c>
      <c r="F54" s="357">
        <f>5000+5000</f>
        <v>10000</v>
      </c>
      <c r="G54" s="357">
        <f>25555.56</f>
        <v>25555.56</v>
      </c>
      <c r="H54" s="355">
        <f t="shared" si="0"/>
        <v>55555.56</v>
      </c>
      <c r="I54" s="368"/>
    </row>
    <row r="55" spans="1:11" ht="16.5">
      <c r="A55" s="777" t="s">
        <v>746</v>
      </c>
      <c r="B55" s="365" t="s">
        <v>747</v>
      </c>
      <c r="C55" s="353">
        <v>45323</v>
      </c>
      <c r="D55" s="366">
        <v>0</v>
      </c>
      <c r="E55" s="366">
        <v>0</v>
      </c>
      <c r="F55" s="366">
        <v>0</v>
      </c>
      <c r="G55" s="366">
        <v>0</v>
      </c>
      <c r="H55" s="355">
        <f t="shared" si="0"/>
        <v>0</v>
      </c>
      <c r="I55" s="367"/>
      <c r="K55" s="369"/>
    </row>
    <row r="56" spans="1:11" ht="16.5">
      <c r="A56" s="776" t="s">
        <v>748</v>
      </c>
      <c r="B56" s="352" t="s">
        <v>237</v>
      </c>
      <c r="C56" s="353">
        <v>45323</v>
      </c>
      <c r="D56" s="354">
        <v>100000</v>
      </c>
      <c r="E56" s="354">
        <v>0</v>
      </c>
      <c r="F56" s="354">
        <v>0</v>
      </c>
      <c r="G56" s="354">
        <v>208526.23499999999</v>
      </c>
      <c r="H56" s="355">
        <f t="shared" si="0"/>
        <v>308526.23499999999</v>
      </c>
      <c r="I56" s="368"/>
    </row>
    <row r="57" spans="1:11" ht="16.5">
      <c r="A57" s="776" t="s">
        <v>749</v>
      </c>
      <c r="B57" s="352" t="s">
        <v>750</v>
      </c>
      <c r="C57" s="353">
        <v>45323</v>
      </c>
      <c r="D57" s="355"/>
      <c r="E57" s="355">
        <v>0</v>
      </c>
      <c r="F57" s="355">
        <v>0</v>
      </c>
      <c r="G57" s="355">
        <v>0</v>
      </c>
      <c r="H57" s="355">
        <f t="shared" si="0"/>
        <v>0</v>
      </c>
      <c r="I57" s="367"/>
    </row>
    <row r="58" spans="1:11" ht="16.5">
      <c r="A58" s="776" t="s">
        <v>751</v>
      </c>
      <c r="B58" s="352" t="s">
        <v>752</v>
      </c>
      <c r="C58" s="353">
        <v>45323</v>
      </c>
      <c r="D58" s="355">
        <f>80000</f>
        <v>80000</v>
      </c>
      <c r="E58" s="355">
        <v>0</v>
      </c>
      <c r="F58" s="355">
        <v>0</v>
      </c>
      <c r="G58" s="357">
        <f>230499.8</f>
        <v>230499.8</v>
      </c>
      <c r="H58" s="355">
        <f t="shared" si="0"/>
        <v>310499.8</v>
      </c>
      <c r="I58" s="368"/>
      <c r="J58" s="367"/>
    </row>
    <row r="59" spans="1:11" ht="16.5">
      <c r="A59" s="777" t="s">
        <v>753</v>
      </c>
      <c r="B59" s="365" t="s">
        <v>754</v>
      </c>
      <c r="C59" s="353">
        <v>45323</v>
      </c>
      <c r="D59" s="366">
        <v>0</v>
      </c>
      <c r="E59" s="366">
        <v>0</v>
      </c>
      <c r="F59" s="366">
        <v>0</v>
      </c>
      <c r="G59" s="366">
        <v>0</v>
      </c>
      <c r="H59" s="355">
        <f t="shared" si="0"/>
        <v>0</v>
      </c>
      <c r="I59" s="367"/>
    </row>
    <row r="60" spans="1:11" ht="16.5">
      <c r="A60" s="776" t="s">
        <v>755</v>
      </c>
      <c r="B60" s="352" t="s">
        <v>756</v>
      </c>
      <c r="C60" s="353">
        <v>45323</v>
      </c>
      <c r="D60" s="357">
        <f>30000</f>
        <v>30000</v>
      </c>
      <c r="E60" s="357">
        <v>0</v>
      </c>
      <c r="F60" s="357">
        <f>10000</f>
        <v>10000</v>
      </c>
      <c r="G60" s="357">
        <f>70000</f>
        <v>70000</v>
      </c>
      <c r="H60" s="355">
        <f t="shared" si="0"/>
        <v>110000</v>
      </c>
      <c r="I60" s="368"/>
    </row>
    <row r="61" spans="1:11" ht="16.5">
      <c r="A61" s="776" t="s">
        <v>757</v>
      </c>
      <c r="B61" s="352" t="s">
        <v>758</v>
      </c>
      <c r="C61" s="353">
        <v>45323</v>
      </c>
      <c r="D61" s="357">
        <f>0</f>
        <v>0</v>
      </c>
      <c r="E61" s="357">
        <v>0</v>
      </c>
      <c r="F61" s="357">
        <v>0</v>
      </c>
      <c r="G61" s="357">
        <f>0</f>
        <v>0</v>
      </c>
      <c r="H61" s="355">
        <f t="shared" si="0"/>
        <v>0</v>
      </c>
      <c r="I61" s="367"/>
    </row>
    <row r="62" spans="1:11" ht="16.5">
      <c r="A62" s="776" t="s">
        <v>759</v>
      </c>
      <c r="B62" s="352" t="s">
        <v>760</v>
      </c>
      <c r="C62" s="353">
        <v>45323</v>
      </c>
      <c r="D62" s="358">
        <v>0</v>
      </c>
      <c r="E62" s="358">
        <v>0</v>
      </c>
      <c r="F62" s="358">
        <v>0</v>
      </c>
      <c r="G62" s="358">
        <v>0</v>
      </c>
      <c r="H62" s="355">
        <f t="shared" si="0"/>
        <v>0</v>
      </c>
      <c r="I62" s="367"/>
    </row>
    <row r="63" spans="1:11" ht="16.5">
      <c r="A63" s="776" t="s">
        <v>761</v>
      </c>
      <c r="B63" s="352" t="s">
        <v>762</v>
      </c>
      <c r="C63" s="353">
        <v>45323</v>
      </c>
      <c r="D63" s="357">
        <f>0</f>
        <v>0</v>
      </c>
      <c r="E63" s="357"/>
      <c r="F63" s="357"/>
      <c r="G63" s="357">
        <f>0</f>
        <v>0</v>
      </c>
      <c r="H63" s="355">
        <f t="shared" si="0"/>
        <v>0</v>
      </c>
      <c r="I63" s="368"/>
    </row>
    <row r="64" spans="1:11" ht="16.5">
      <c r="A64" s="776" t="s">
        <v>763</v>
      </c>
      <c r="B64" s="352" t="s">
        <v>764</v>
      </c>
      <c r="C64" s="353">
        <v>45323</v>
      </c>
      <c r="D64" s="357">
        <f>0</f>
        <v>0</v>
      </c>
      <c r="E64" s="357">
        <v>0</v>
      </c>
      <c r="F64" s="357">
        <f>0</f>
        <v>0</v>
      </c>
      <c r="G64" s="357"/>
      <c r="H64" s="355">
        <f t="shared" si="0"/>
        <v>0</v>
      </c>
      <c r="I64" s="367"/>
    </row>
    <row r="65" spans="1:9" ht="16.5">
      <c r="A65" s="776" t="s">
        <v>765</v>
      </c>
      <c r="B65" s="352" t="s">
        <v>243</v>
      </c>
      <c r="C65" s="353">
        <v>45323</v>
      </c>
      <c r="D65" s="357">
        <f>0</f>
        <v>0</v>
      </c>
      <c r="E65" s="357">
        <v>0</v>
      </c>
      <c r="F65" s="357">
        <v>0</v>
      </c>
      <c r="G65" s="357">
        <f>133333.33+30000</f>
        <v>163333.32999999999</v>
      </c>
      <c r="H65" s="355">
        <f t="shared" si="0"/>
        <v>163333.32999999999</v>
      </c>
      <c r="I65" s="368"/>
    </row>
    <row r="66" spans="1:9" ht="16.5">
      <c r="A66" s="776" t="s">
        <v>766</v>
      </c>
      <c r="B66" s="352" t="s">
        <v>767</v>
      </c>
      <c r="C66" s="353">
        <v>45323</v>
      </c>
      <c r="D66" s="357"/>
      <c r="E66" s="357"/>
      <c r="F66" s="357"/>
      <c r="G66" s="357"/>
      <c r="H66" s="355">
        <f t="shared" si="0"/>
        <v>0</v>
      </c>
      <c r="I66" s="368"/>
    </row>
    <row r="67" spans="1:9" ht="16.5">
      <c r="A67" s="776" t="s">
        <v>768</v>
      </c>
      <c r="B67" s="352" t="s">
        <v>292</v>
      </c>
      <c r="C67" s="353">
        <v>45323</v>
      </c>
      <c r="D67" s="357">
        <v>5000</v>
      </c>
      <c r="E67" s="357">
        <v>0</v>
      </c>
      <c r="F67" s="357">
        <f>5000+5000</f>
        <v>10000</v>
      </c>
      <c r="G67" s="357">
        <f>14524.11</f>
        <v>14524.11</v>
      </c>
      <c r="H67" s="355">
        <f t="shared" si="0"/>
        <v>29524.11</v>
      </c>
      <c r="I67" s="368"/>
    </row>
    <row r="68" spans="1:9" ht="16.5">
      <c r="A68" s="776" t="s">
        <v>769</v>
      </c>
      <c r="B68" s="352" t="s">
        <v>113</v>
      </c>
      <c r="C68" s="353">
        <v>45323</v>
      </c>
      <c r="D68" s="357">
        <v>30000</v>
      </c>
      <c r="E68" s="357">
        <v>0</v>
      </c>
      <c r="F68" s="357"/>
      <c r="G68" s="363">
        <f>176288.88</f>
        <v>176288.88</v>
      </c>
      <c r="H68" s="355">
        <f t="shared" si="0"/>
        <v>206288.88</v>
      </c>
      <c r="I68" s="368"/>
    </row>
    <row r="69" spans="1:9" ht="16.5">
      <c r="A69" s="776" t="s">
        <v>770</v>
      </c>
      <c r="B69" s="352" t="s">
        <v>771</v>
      </c>
      <c r="C69" s="353">
        <v>45323</v>
      </c>
      <c r="D69" s="357">
        <v>80000</v>
      </c>
      <c r="E69" s="357">
        <v>0</v>
      </c>
      <c r="F69" s="357">
        <f>23000</f>
        <v>23000</v>
      </c>
      <c r="G69" s="357">
        <v>246905.964583333</v>
      </c>
      <c r="H69" s="355">
        <f t="shared" si="0"/>
        <v>349905.964583333</v>
      </c>
      <c r="I69" s="368"/>
    </row>
    <row r="70" spans="1:9" ht="16.5">
      <c r="A70" s="776" t="s">
        <v>772</v>
      </c>
      <c r="B70" s="352" t="s">
        <v>40</v>
      </c>
      <c r="C70" s="353">
        <v>45323</v>
      </c>
      <c r="D70" s="357">
        <v>0</v>
      </c>
      <c r="E70" s="357">
        <v>0</v>
      </c>
      <c r="F70" s="357">
        <v>0</v>
      </c>
      <c r="G70" s="357">
        <v>0</v>
      </c>
      <c r="H70" s="355">
        <f t="shared" ref="H70:H133" si="1">D70+E70+F70+G70</f>
        <v>0</v>
      </c>
      <c r="I70" s="367"/>
    </row>
    <row r="71" spans="1:9" ht="16.5">
      <c r="A71" s="776" t="s">
        <v>773</v>
      </c>
      <c r="B71" s="352" t="s">
        <v>774</v>
      </c>
      <c r="C71" s="353">
        <v>45323</v>
      </c>
      <c r="D71" s="357">
        <f>70000</f>
        <v>70000</v>
      </c>
      <c r="E71" s="357">
        <f>0</f>
        <v>0</v>
      </c>
      <c r="F71" s="357">
        <v>0</v>
      </c>
      <c r="G71" s="357">
        <f>50000</f>
        <v>50000</v>
      </c>
      <c r="H71" s="355">
        <f t="shared" si="1"/>
        <v>120000</v>
      </c>
      <c r="I71" s="368"/>
    </row>
    <row r="72" spans="1:9" ht="16.5">
      <c r="A72" s="776" t="s">
        <v>775</v>
      </c>
      <c r="B72" s="352" t="s">
        <v>776</v>
      </c>
      <c r="C72" s="353">
        <v>45323</v>
      </c>
      <c r="D72" s="357">
        <f>10000</f>
        <v>10000</v>
      </c>
      <c r="E72" s="357">
        <v>0</v>
      </c>
      <c r="F72" s="357">
        <v>0</v>
      </c>
      <c r="G72" s="357">
        <f>54585.66</f>
        <v>54585.66</v>
      </c>
      <c r="H72" s="355">
        <f t="shared" si="1"/>
        <v>64585.66</v>
      </c>
      <c r="I72" s="370"/>
    </row>
    <row r="73" spans="1:9" ht="16.5">
      <c r="A73" s="776" t="s">
        <v>777</v>
      </c>
      <c r="B73" s="352" t="s">
        <v>778</v>
      </c>
      <c r="C73" s="353">
        <v>45323</v>
      </c>
      <c r="D73" s="357">
        <v>10000</v>
      </c>
      <c r="E73" s="357">
        <v>0</v>
      </c>
      <c r="F73" s="357">
        <f>5000+5000</f>
        <v>10000</v>
      </c>
      <c r="G73" s="357">
        <f>13750</f>
        <v>13750</v>
      </c>
      <c r="H73" s="355">
        <f t="shared" si="1"/>
        <v>33750</v>
      </c>
      <c r="I73" s="368"/>
    </row>
    <row r="74" spans="1:9" ht="18">
      <c r="A74" s="776" t="s">
        <v>779</v>
      </c>
      <c r="B74" s="352" t="s">
        <v>301</v>
      </c>
      <c r="C74" s="353">
        <v>45323</v>
      </c>
      <c r="D74" s="357">
        <f>10000</f>
        <v>10000</v>
      </c>
      <c r="E74" s="357">
        <v>0</v>
      </c>
      <c r="F74" s="357">
        <f>5000+5000</f>
        <v>10000</v>
      </c>
      <c r="G74" s="375">
        <f>16958.34</f>
        <v>16958.34</v>
      </c>
      <c r="H74" s="355">
        <f t="shared" si="1"/>
        <v>36958.339999999997</v>
      </c>
      <c r="I74" s="368"/>
    </row>
    <row r="75" spans="1:9" ht="16.5">
      <c r="A75" s="776" t="s">
        <v>780</v>
      </c>
      <c r="B75" s="352" t="s">
        <v>781</v>
      </c>
      <c r="C75" s="353">
        <v>45323</v>
      </c>
      <c r="D75" s="357">
        <f>0</f>
        <v>0</v>
      </c>
      <c r="E75" s="357">
        <v>0</v>
      </c>
      <c r="F75" s="357">
        <f>0</f>
        <v>0</v>
      </c>
      <c r="G75" s="357">
        <f>0</f>
        <v>0</v>
      </c>
      <c r="H75" s="355">
        <f t="shared" si="1"/>
        <v>0</v>
      </c>
      <c r="I75" s="367"/>
    </row>
    <row r="76" spans="1:9" ht="18">
      <c r="A76" s="776" t="s">
        <v>782</v>
      </c>
      <c r="B76" s="352" t="s">
        <v>783</v>
      </c>
      <c r="C76" s="353">
        <v>45323</v>
      </c>
      <c r="D76" s="375">
        <f>20000</f>
        <v>20000</v>
      </c>
      <c r="E76" s="362"/>
      <c r="F76" s="362"/>
      <c r="G76" s="357">
        <f>111833.33</f>
        <v>111833.33</v>
      </c>
      <c r="H76" s="355">
        <f t="shared" si="1"/>
        <v>131833.32999999999</v>
      </c>
      <c r="I76" s="368"/>
    </row>
    <row r="77" spans="1:9" ht="16.5">
      <c r="A77" s="776" t="s">
        <v>784</v>
      </c>
      <c r="B77" s="352" t="s">
        <v>785</v>
      </c>
      <c r="C77" s="353">
        <v>45323</v>
      </c>
      <c r="D77" s="357"/>
      <c r="E77" s="357"/>
      <c r="F77" s="357"/>
      <c r="G77" s="376"/>
      <c r="H77" s="355">
        <f t="shared" si="1"/>
        <v>0</v>
      </c>
      <c r="I77" s="368"/>
    </row>
    <row r="78" spans="1:9" ht="16.5">
      <c r="A78" s="776" t="s">
        <v>786</v>
      </c>
      <c r="B78" s="352" t="s">
        <v>787</v>
      </c>
      <c r="C78" s="353">
        <v>45323</v>
      </c>
      <c r="D78" s="357">
        <v>0</v>
      </c>
      <c r="E78" s="357">
        <v>0</v>
      </c>
      <c r="F78" s="357">
        <v>0</v>
      </c>
      <c r="G78" s="357"/>
      <c r="H78" s="355">
        <f t="shared" si="1"/>
        <v>0</v>
      </c>
      <c r="I78" s="370"/>
    </row>
    <row r="79" spans="1:9" ht="16.5">
      <c r="A79" s="776" t="s">
        <v>788</v>
      </c>
      <c r="B79" s="352" t="s">
        <v>789</v>
      </c>
      <c r="C79" s="353">
        <v>45323</v>
      </c>
      <c r="D79" s="357">
        <v>0</v>
      </c>
      <c r="E79" s="357">
        <v>0</v>
      </c>
      <c r="F79" s="357">
        <v>0</v>
      </c>
      <c r="G79" s="357"/>
      <c r="H79" s="355">
        <f t="shared" si="1"/>
        <v>0</v>
      </c>
      <c r="I79" s="367"/>
    </row>
    <row r="80" spans="1:9" ht="16.5">
      <c r="A80" s="776" t="s">
        <v>790</v>
      </c>
      <c r="B80" s="352" t="s">
        <v>791</v>
      </c>
      <c r="C80" s="353">
        <v>45323</v>
      </c>
      <c r="D80" s="357">
        <v>20000</v>
      </c>
      <c r="E80" s="357">
        <v>0</v>
      </c>
      <c r="F80" s="357">
        <v>0</v>
      </c>
      <c r="G80" s="357">
        <f>68750</f>
        <v>68750</v>
      </c>
      <c r="H80" s="355">
        <f t="shared" si="1"/>
        <v>88750</v>
      </c>
      <c r="I80" s="368"/>
    </row>
    <row r="81" spans="1:9" ht="16.5">
      <c r="A81" s="776" t="s">
        <v>792</v>
      </c>
      <c r="B81" s="352" t="s">
        <v>793</v>
      </c>
      <c r="C81" s="353">
        <v>45323</v>
      </c>
      <c r="D81" s="357">
        <f>37500</f>
        <v>37500</v>
      </c>
      <c r="E81" s="357">
        <v>0</v>
      </c>
      <c r="F81" s="357"/>
      <c r="G81" s="357"/>
      <c r="H81" s="355">
        <f t="shared" si="1"/>
        <v>37500</v>
      </c>
      <c r="I81" s="368"/>
    </row>
    <row r="82" spans="1:9" ht="16.5">
      <c r="A82" s="776" t="s">
        <v>794</v>
      </c>
      <c r="B82" s="352" t="s">
        <v>795</v>
      </c>
      <c r="C82" s="353">
        <v>45323</v>
      </c>
      <c r="D82" s="354">
        <v>0</v>
      </c>
      <c r="E82" s="354">
        <v>0</v>
      </c>
      <c r="F82" s="354">
        <v>0</v>
      </c>
      <c r="G82" s="358">
        <v>0</v>
      </c>
      <c r="H82" s="355">
        <f t="shared" si="1"/>
        <v>0</v>
      </c>
      <c r="I82" s="367"/>
    </row>
    <row r="83" spans="1:9" ht="16.5">
      <c r="A83" s="776" t="s">
        <v>796</v>
      </c>
      <c r="B83" s="352" t="s">
        <v>797</v>
      </c>
      <c r="C83" s="353">
        <v>45323</v>
      </c>
      <c r="D83" s="357">
        <v>50000</v>
      </c>
      <c r="E83" s="357">
        <v>0</v>
      </c>
      <c r="F83" s="357"/>
      <c r="G83" s="376">
        <f>103000</f>
        <v>103000</v>
      </c>
      <c r="H83" s="355">
        <f t="shared" si="1"/>
        <v>153000</v>
      </c>
      <c r="I83" s="368"/>
    </row>
    <row r="84" spans="1:9" ht="16.5">
      <c r="A84" s="776" t="s">
        <v>798</v>
      </c>
      <c r="B84" s="352" t="s">
        <v>799</v>
      </c>
      <c r="C84" s="353">
        <v>45323</v>
      </c>
      <c r="D84" s="357">
        <v>100000</v>
      </c>
      <c r="E84" s="357">
        <v>0</v>
      </c>
      <c r="F84" s="357">
        <v>10000</v>
      </c>
      <c r="G84" s="357"/>
      <c r="H84" s="355">
        <f t="shared" si="1"/>
        <v>110000</v>
      </c>
      <c r="I84" s="368"/>
    </row>
    <row r="85" spans="1:9" ht="16.5">
      <c r="A85" s="776" t="s">
        <v>800</v>
      </c>
      <c r="B85" s="352" t="s">
        <v>801</v>
      </c>
      <c r="C85" s="353">
        <v>45323</v>
      </c>
      <c r="D85" s="357">
        <v>0</v>
      </c>
      <c r="E85" s="357">
        <v>0</v>
      </c>
      <c r="F85" s="357">
        <v>0</v>
      </c>
      <c r="G85" s="357"/>
      <c r="H85" s="355">
        <f t="shared" si="1"/>
        <v>0</v>
      </c>
      <c r="I85" s="367"/>
    </row>
    <row r="86" spans="1:9" ht="16.5">
      <c r="A86" s="776" t="s">
        <v>802</v>
      </c>
      <c r="B86" s="352" t="s">
        <v>803</v>
      </c>
      <c r="C86" s="353">
        <v>45323</v>
      </c>
      <c r="D86" s="357">
        <f>0</f>
        <v>0</v>
      </c>
      <c r="E86" s="357">
        <v>0</v>
      </c>
      <c r="F86" s="357">
        <f>0</f>
        <v>0</v>
      </c>
      <c r="G86" s="357">
        <f>0</f>
        <v>0</v>
      </c>
      <c r="H86" s="355">
        <f t="shared" si="1"/>
        <v>0</v>
      </c>
      <c r="I86" s="367"/>
    </row>
    <row r="87" spans="1:9" ht="16.5">
      <c r="A87" s="776" t="s">
        <v>804</v>
      </c>
      <c r="B87" s="352" t="s">
        <v>805</v>
      </c>
      <c r="C87" s="353">
        <v>45323</v>
      </c>
      <c r="D87" s="357">
        <v>15000</v>
      </c>
      <c r="E87" s="357">
        <f>0</f>
        <v>0</v>
      </c>
      <c r="F87" s="357">
        <v>0</v>
      </c>
      <c r="G87" s="357">
        <f>133333.34+25000+33333.33+25000</f>
        <v>216666.67</v>
      </c>
      <c r="H87" s="355">
        <f t="shared" si="1"/>
        <v>231666.67</v>
      </c>
      <c r="I87" s="368"/>
    </row>
    <row r="88" spans="1:9" ht="16.5">
      <c r="A88" s="776" t="s">
        <v>806</v>
      </c>
      <c r="B88" s="352" t="s">
        <v>807</v>
      </c>
      <c r="C88" s="353">
        <v>45323</v>
      </c>
      <c r="D88" s="357">
        <v>50000</v>
      </c>
      <c r="E88" s="357">
        <v>0</v>
      </c>
      <c r="F88" s="357">
        <f>20000</f>
        <v>20000</v>
      </c>
      <c r="G88" s="357">
        <f>0</f>
        <v>0</v>
      </c>
      <c r="H88" s="355">
        <f t="shared" si="1"/>
        <v>70000</v>
      </c>
      <c r="I88" s="368"/>
    </row>
    <row r="89" spans="1:9" ht="16.5">
      <c r="A89" s="776" t="s">
        <v>808</v>
      </c>
      <c r="B89" s="352" t="s">
        <v>809</v>
      </c>
      <c r="C89" s="353">
        <v>45323</v>
      </c>
      <c r="D89" s="357">
        <f>50000</f>
        <v>50000</v>
      </c>
      <c r="E89" s="357">
        <v>0</v>
      </c>
      <c r="F89" s="357"/>
      <c r="G89" s="357"/>
      <c r="H89" s="355">
        <f t="shared" si="1"/>
        <v>50000</v>
      </c>
      <c r="I89" s="367"/>
    </row>
    <row r="90" spans="1:9" ht="16.5">
      <c r="A90" s="776" t="s">
        <v>810</v>
      </c>
      <c r="B90" s="352" t="s">
        <v>811</v>
      </c>
      <c r="C90" s="353">
        <v>45323</v>
      </c>
      <c r="D90" s="361"/>
      <c r="E90" s="357">
        <v>0</v>
      </c>
      <c r="F90" s="357"/>
      <c r="G90" s="357"/>
      <c r="H90" s="355">
        <f t="shared" si="1"/>
        <v>0</v>
      </c>
      <c r="I90" s="367"/>
    </row>
    <row r="91" spans="1:9" ht="16.5">
      <c r="A91" s="776" t="s">
        <v>812</v>
      </c>
      <c r="B91" s="352" t="s">
        <v>813</v>
      </c>
      <c r="C91" s="353">
        <v>45323</v>
      </c>
      <c r="D91" s="357">
        <f>10000</f>
        <v>10000</v>
      </c>
      <c r="E91" s="357">
        <v>0</v>
      </c>
      <c r="F91" s="357"/>
      <c r="G91" s="361"/>
      <c r="H91" s="355">
        <f t="shared" si="1"/>
        <v>10000</v>
      </c>
      <c r="I91" s="368"/>
    </row>
    <row r="92" spans="1:9" ht="16.5">
      <c r="A92" s="776" t="s">
        <v>814</v>
      </c>
      <c r="B92" s="352" t="s">
        <v>815</v>
      </c>
      <c r="C92" s="353">
        <v>45323</v>
      </c>
      <c r="D92" s="357">
        <f>50000</f>
        <v>50000</v>
      </c>
      <c r="E92" s="357">
        <v>0</v>
      </c>
      <c r="F92" s="357"/>
      <c r="G92" s="363">
        <f>79861.11</f>
        <v>79861.11</v>
      </c>
      <c r="H92" s="355">
        <f t="shared" si="1"/>
        <v>129861.11</v>
      </c>
      <c r="I92" s="368"/>
    </row>
    <row r="93" spans="1:9" ht="16.5">
      <c r="A93" s="776" t="s">
        <v>816</v>
      </c>
      <c r="B93" s="352" t="s">
        <v>817</v>
      </c>
      <c r="C93" s="353">
        <v>45323</v>
      </c>
      <c r="D93" s="357">
        <f>30000</f>
        <v>30000</v>
      </c>
      <c r="E93" s="357">
        <v>0</v>
      </c>
      <c r="F93" s="357">
        <v>0</v>
      </c>
      <c r="G93" s="355">
        <f>68750+30000</f>
        <v>98750</v>
      </c>
      <c r="H93" s="355">
        <f t="shared" si="1"/>
        <v>128750</v>
      </c>
      <c r="I93" s="368"/>
    </row>
    <row r="94" spans="1:9" ht="16.5">
      <c r="A94" s="776" t="s">
        <v>818</v>
      </c>
      <c r="B94" s="352" t="s">
        <v>819</v>
      </c>
      <c r="C94" s="353">
        <v>45323</v>
      </c>
      <c r="D94" s="357">
        <v>0</v>
      </c>
      <c r="E94" s="357">
        <v>0</v>
      </c>
      <c r="F94" s="358">
        <v>0</v>
      </c>
      <c r="G94" s="357">
        <v>0</v>
      </c>
      <c r="H94" s="355">
        <f t="shared" si="1"/>
        <v>0</v>
      </c>
      <c r="I94" s="367"/>
    </row>
    <row r="95" spans="1:9" ht="16.5">
      <c r="A95" s="776" t="s">
        <v>820</v>
      </c>
      <c r="B95" s="352" t="s">
        <v>317</v>
      </c>
      <c r="C95" s="353">
        <v>45323</v>
      </c>
      <c r="D95" s="357">
        <f>10000</f>
        <v>10000</v>
      </c>
      <c r="E95" s="357">
        <v>0</v>
      </c>
      <c r="F95" s="359">
        <f>5000+5000</f>
        <v>10000</v>
      </c>
      <c r="G95" s="357">
        <f>8416.67</f>
        <v>8416.67</v>
      </c>
      <c r="H95" s="355">
        <f t="shared" si="1"/>
        <v>28416.67</v>
      </c>
      <c r="I95" s="368"/>
    </row>
    <row r="96" spans="1:9" ht="16.5">
      <c r="A96" s="776" t="s">
        <v>821</v>
      </c>
      <c r="B96" s="352" t="s">
        <v>822</v>
      </c>
      <c r="C96" s="353">
        <v>45323</v>
      </c>
      <c r="D96" s="357">
        <f>20000</f>
        <v>20000</v>
      </c>
      <c r="E96" s="357">
        <v>0</v>
      </c>
      <c r="F96" s="357">
        <f>5000+5000</f>
        <v>10000</v>
      </c>
      <c r="G96" s="357">
        <f>25555.56</f>
        <v>25555.56</v>
      </c>
      <c r="H96" s="355">
        <f t="shared" si="1"/>
        <v>55555.56</v>
      </c>
      <c r="I96" s="368"/>
    </row>
    <row r="97" spans="1:9" ht="16.5">
      <c r="A97" s="776" t="s">
        <v>823</v>
      </c>
      <c r="B97" s="352" t="s">
        <v>824</v>
      </c>
      <c r="C97" s="353">
        <v>45323</v>
      </c>
      <c r="D97" s="357">
        <f>5000</f>
        <v>5000</v>
      </c>
      <c r="E97" s="357">
        <v>0</v>
      </c>
      <c r="F97" s="359">
        <f>5000+5000</f>
        <v>10000</v>
      </c>
      <c r="G97" s="357">
        <f>15972.22</f>
        <v>15972.22</v>
      </c>
      <c r="H97" s="355">
        <f t="shared" si="1"/>
        <v>30972.22</v>
      </c>
      <c r="I97" s="368"/>
    </row>
    <row r="98" spans="1:9" ht="16.5">
      <c r="A98" s="776" t="s">
        <v>825</v>
      </c>
      <c r="B98" s="352" t="s">
        <v>826</v>
      </c>
      <c r="C98" s="353">
        <v>45323</v>
      </c>
      <c r="D98" s="357">
        <v>10000</v>
      </c>
      <c r="E98" s="357">
        <v>0</v>
      </c>
      <c r="F98" s="357">
        <f>10000</f>
        <v>10000</v>
      </c>
      <c r="G98" s="357">
        <f>30000</f>
        <v>30000</v>
      </c>
      <c r="H98" s="355">
        <f t="shared" si="1"/>
        <v>50000</v>
      </c>
      <c r="I98" s="368"/>
    </row>
    <row r="99" spans="1:9" ht="16.5">
      <c r="A99" s="776" t="s">
        <v>827</v>
      </c>
      <c r="B99" s="352" t="s">
        <v>828</v>
      </c>
      <c r="C99" s="353">
        <v>45323</v>
      </c>
      <c r="D99" s="357">
        <v>0</v>
      </c>
      <c r="E99" s="357">
        <v>0</v>
      </c>
      <c r="F99" s="357">
        <v>0</v>
      </c>
      <c r="G99" s="357">
        <v>0</v>
      </c>
      <c r="H99" s="355">
        <f t="shared" si="1"/>
        <v>0</v>
      </c>
      <c r="I99" s="367"/>
    </row>
    <row r="100" spans="1:9" ht="16.5">
      <c r="A100" s="776" t="s">
        <v>829</v>
      </c>
      <c r="B100" s="352" t="s">
        <v>830</v>
      </c>
      <c r="C100" s="353">
        <v>45323</v>
      </c>
      <c r="D100" s="357">
        <f>0</f>
        <v>0</v>
      </c>
      <c r="E100" s="357">
        <v>0</v>
      </c>
      <c r="F100" s="357">
        <v>0</v>
      </c>
      <c r="G100" s="357">
        <f>0</f>
        <v>0</v>
      </c>
      <c r="H100" s="355">
        <f t="shared" si="1"/>
        <v>0</v>
      </c>
      <c r="I100" s="367"/>
    </row>
    <row r="101" spans="1:9" ht="16.5">
      <c r="A101" s="776" t="s">
        <v>831</v>
      </c>
      <c r="B101" s="352" t="s">
        <v>832</v>
      </c>
      <c r="C101" s="353">
        <v>45323</v>
      </c>
      <c r="D101" s="357">
        <v>0</v>
      </c>
      <c r="E101" s="357">
        <v>0</v>
      </c>
      <c r="F101" s="357">
        <v>0</v>
      </c>
      <c r="G101" s="357">
        <v>0</v>
      </c>
      <c r="H101" s="355">
        <f t="shared" si="1"/>
        <v>0</v>
      </c>
      <c r="I101" s="367"/>
    </row>
    <row r="102" spans="1:9" ht="16.5">
      <c r="A102" s="776" t="s">
        <v>833</v>
      </c>
      <c r="B102" s="352" t="s">
        <v>834</v>
      </c>
      <c r="C102" s="353">
        <v>45323</v>
      </c>
      <c r="D102" s="357">
        <f>10000</f>
        <v>10000</v>
      </c>
      <c r="E102" s="357">
        <v>0</v>
      </c>
      <c r="F102" s="357">
        <v>0</v>
      </c>
      <c r="G102" s="357">
        <f>50000</f>
        <v>50000</v>
      </c>
      <c r="H102" s="355">
        <f t="shared" si="1"/>
        <v>60000</v>
      </c>
      <c r="I102" s="368"/>
    </row>
    <row r="103" spans="1:9" ht="16.5">
      <c r="A103" s="776" t="s">
        <v>835</v>
      </c>
      <c r="B103" s="352" t="s">
        <v>836</v>
      </c>
      <c r="C103" s="353">
        <v>45323</v>
      </c>
      <c r="D103" s="357">
        <v>0</v>
      </c>
      <c r="E103" s="357">
        <v>0</v>
      </c>
      <c r="F103" s="357">
        <v>0</v>
      </c>
      <c r="G103" s="357">
        <v>0</v>
      </c>
      <c r="H103" s="355">
        <f t="shared" si="1"/>
        <v>0</v>
      </c>
      <c r="I103" s="367"/>
    </row>
    <row r="104" spans="1:9" ht="16.5">
      <c r="A104" s="776" t="s">
        <v>837</v>
      </c>
      <c r="B104" s="352" t="s">
        <v>838</v>
      </c>
      <c r="C104" s="353">
        <v>45323</v>
      </c>
      <c r="D104" s="357"/>
      <c r="E104" s="357"/>
      <c r="F104" s="357"/>
      <c r="G104" s="357">
        <f>0</f>
        <v>0</v>
      </c>
      <c r="H104" s="355">
        <f t="shared" si="1"/>
        <v>0</v>
      </c>
      <c r="I104" s="368"/>
    </row>
    <row r="105" spans="1:9" ht="16.5">
      <c r="A105" s="776" t="s">
        <v>839</v>
      </c>
      <c r="B105" s="352" t="s">
        <v>840</v>
      </c>
      <c r="C105" s="353">
        <v>45323</v>
      </c>
      <c r="D105" s="357"/>
      <c r="E105" s="357"/>
      <c r="F105" s="357"/>
      <c r="G105" s="361"/>
      <c r="H105" s="355">
        <f t="shared" si="1"/>
        <v>0</v>
      </c>
      <c r="I105" s="367"/>
    </row>
    <row r="106" spans="1:9" ht="16.5">
      <c r="A106" s="776" t="s">
        <v>841</v>
      </c>
      <c r="B106" s="352" t="s">
        <v>842</v>
      </c>
      <c r="C106" s="353">
        <v>45323</v>
      </c>
      <c r="D106" s="357">
        <v>0</v>
      </c>
      <c r="E106" s="357">
        <v>0</v>
      </c>
      <c r="F106" s="357">
        <v>0</v>
      </c>
      <c r="G106" s="357">
        <v>0</v>
      </c>
      <c r="H106" s="355">
        <f t="shared" si="1"/>
        <v>0</v>
      </c>
      <c r="I106" s="367"/>
    </row>
    <row r="107" spans="1:9" ht="15" customHeight="1">
      <c r="A107" s="778" t="s">
        <v>843</v>
      </c>
      <c r="B107" s="352" t="s">
        <v>844</v>
      </c>
      <c r="C107" s="353">
        <v>45323</v>
      </c>
      <c r="D107" s="355">
        <f>50000</f>
        <v>50000</v>
      </c>
      <c r="E107" s="358"/>
      <c r="F107" s="358"/>
      <c r="G107" s="376">
        <f>0</f>
        <v>0</v>
      </c>
      <c r="H107" s="355">
        <f t="shared" si="1"/>
        <v>50000</v>
      </c>
      <c r="I107" s="368"/>
    </row>
    <row r="108" spans="1:9" ht="18">
      <c r="A108" s="778" t="s">
        <v>845</v>
      </c>
      <c r="B108" s="352" t="s">
        <v>846</v>
      </c>
      <c r="C108" s="353">
        <v>45323</v>
      </c>
      <c r="D108" s="355">
        <f>30000</f>
        <v>30000</v>
      </c>
      <c r="E108" s="357"/>
      <c r="F108" s="357">
        <f>0</f>
        <v>0</v>
      </c>
      <c r="G108" s="377">
        <f>17500</f>
        <v>17500</v>
      </c>
      <c r="H108" s="355">
        <f t="shared" si="1"/>
        <v>47500</v>
      </c>
      <c r="I108" s="368"/>
    </row>
    <row r="109" spans="1:9" ht="18">
      <c r="A109" s="776" t="s">
        <v>847</v>
      </c>
      <c r="B109" s="352" t="s">
        <v>848</v>
      </c>
      <c r="C109" s="353">
        <v>45323</v>
      </c>
      <c r="D109" s="357">
        <v>100000</v>
      </c>
      <c r="E109" s="357"/>
      <c r="F109" s="357">
        <v>0</v>
      </c>
      <c r="G109" s="377">
        <v>0</v>
      </c>
      <c r="H109" s="355">
        <f t="shared" si="1"/>
        <v>100000</v>
      </c>
      <c r="I109" s="368"/>
    </row>
    <row r="110" spans="1:9" ht="18">
      <c r="A110" s="776" t="s">
        <v>849</v>
      </c>
      <c r="B110" s="352" t="s">
        <v>850</v>
      </c>
      <c r="C110" s="353">
        <v>45323</v>
      </c>
      <c r="D110" s="357">
        <f>20000</f>
        <v>20000</v>
      </c>
      <c r="E110" s="357"/>
      <c r="F110" s="357">
        <f>10000</f>
        <v>10000</v>
      </c>
      <c r="G110" s="377">
        <v>45833.333333333299</v>
      </c>
      <c r="H110" s="355">
        <f t="shared" si="1"/>
        <v>75833.333333333299</v>
      </c>
      <c r="I110" s="368"/>
    </row>
    <row r="111" spans="1:9" ht="18">
      <c r="A111" s="778" t="s">
        <v>851</v>
      </c>
      <c r="B111" s="352" t="s">
        <v>162</v>
      </c>
      <c r="C111" s="353">
        <v>45323</v>
      </c>
      <c r="D111" s="375">
        <f>50000</f>
        <v>50000</v>
      </c>
      <c r="E111" s="375"/>
      <c r="F111" s="358"/>
      <c r="G111" s="375">
        <f>0</f>
        <v>0</v>
      </c>
      <c r="H111" s="355">
        <f t="shared" si="1"/>
        <v>50000</v>
      </c>
      <c r="I111" s="367"/>
    </row>
    <row r="112" spans="1:9" ht="18">
      <c r="A112" s="776" t="s">
        <v>852</v>
      </c>
      <c r="B112" s="352" t="s">
        <v>853</v>
      </c>
      <c r="C112" s="353">
        <v>45323</v>
      </c>
      <c r="D112" s="377">
        <f>15000</f>
        <v>15000</v>
      </c>
      <c r="E112" s="377"/>
      <c r="F112" s="357"/>
      <c r="G112" s="357">
        <f>20000</f>
        <v>20000</v>
      </c>
      <c r="H112" s="355">
        <f t="shared" si="1"/>
        <v>35000</v>
      </c>
      <c r="I112" s="368"/>
    </row>
    <row r="113" spans="1:15" ht="18">
      <c r="A113" s="779" t="s">
        <v>854</v>
      </c>
      <c r="B113" s="352" t="s">
        <v>163</v>
      </c>
      <c r="C113" s="353">
        <v>45323</v>
      </c>
      <c r="D113" s="375">
        <f>0</f>
        <v>0</v>
      </c>
      <c r="E113" s="377"/>
      <c r="F113" s="357"/>
      <c r="G113" s="357">
        <f>0</f>
        <v>0</v>
      </c>
      <c r="H113" s="355">
        <f t="shared" si="1"/>
        <v>0</v>
      </c>
      <c r="I113" s="367"/>
    </row>
    <row r="114" spans="1:15" ht="18">
      <c r="A114" s="776" t="s">
        <v>855</v>
      </c>
      <c r="B114" s="352" t="s">
        <v>856</v>
      </c>
      <c r="C114" s="353">
        <v>45323</v>
      </c>
      <c r="D114" s="377">
        <f>20000</f>
        <v>20000</v>
      </c>
      <c r="E114" s="378"/>
      <c r="F114" s="357">
        <v>0</v>
      </c>
      <c r="G114" s="357">
        <f>50000</f>
        <v>50000</v>
      </c>
      <c r="H114" s="355">
        <f t="shared" si="1"/>
        <v>70000</v>
      </c>
      <c r="I114" s="368"/>
    </row>
    <row r="115" spans="1:15" ht="18">
      <c r="A115" s="776" t="s">
        <v>857</v>
      </c>
      <c r="B115" s="352" t="s">
        <v>858</v>
      </c>
      <c r="C115" s="353">
        <v>45323</v>
      </c>
      <c r="D115" s="377">
        <f>10000</f>
        <v>10000</v>
      </c>
      <c r="E115" s="378"/>
      <c r="F115" s="359">
        <f>5000+5000</f>
        <v>10000</v>
      </c>
      <c r="G115" s="357">
        <f>14222.06+12000</f>
        <v>26222.06</v>
      </c>
      <c r="H115" s="355">
        <f t="shared" si="1"/>
        <v>46222.06</v>
      </c>
      <c r="I115" s="368"/>
    </row>
    <row r="116" spans="1:15" ht="18">
      <c r="A116" s="776" t="s">
        <v>859</v>
      </c>
      <c r="B116" s="352" t="s">
        <v>249</v>
      </c>
      <c r="C116" s="353">
        <v>45323</v>
      </c>
      <c r="D116" s="377">
        <f>35000</f>
        <v>35000</v>
      </c>
      <c r="E116" s="378"/>
      <c r="F116" s="357">
        <v>0</v>
      </c>
      <c r="G116" s="357">
        <v>159722.22222222199</v>
      </c>
      <c r="H116" s="355">
        <f t="shared" si="1"/>
        <v>194722.22222222199</v>
      </c>
      <c r="I116" s="368"/>
    </row>
    <row r="117" spans="1:15" ht="16.5">
      <c r="A117" s="779" t="s">
        <v>860</v>
      </c>
      <c r="B117" s="352" t="s">
        <v>861</v>
      </c>
      <c r="C117" s="353">
        <v>45323</v>
      </c>
      <c r="D117" s="355">
        <f>35000</f>
        <v>35000</v>
      </c>
      <c r="E117" s="355"/>
      <c r="F117" s="355">
        <f>50000</f>
        <v>50000</v>
      </c>
      <c r="G117" s="379"/>
      <c r="H117" s="355">
        <f t="shared" si="1"/>
        <v>85000</v>
      </c>
      <c r="I117" s="368"/>
    </row>
    <row r="118" spans="1:15" ht="18">
      <c r="A118" s="776" t="s">
        <v>862</v>
      </c>
      <c r="B118" s="352" t="s">
        <v>863</v>
      </c>
      <c r="C118" s="353">
        <v>45323</v>
      </c>
      <c r="D118" s="357">
        <f>10000</f>
        <v>10000</v>
      </c>
      <c r="E118" s="357"/>
      <c r="F118" s="359">
        <f>10000</f>
        <v>10000</v>
      </c>
      <c r="G118" s="380">
        <f>18333.33</f>
        <v>18333.330000000002</v>
      </c>
      <c r="H118" s="355">
        <f t="shared" si="1"/>
        <v>38333.33</v>
      </c>
      <c r="I118" s="368"/>
      <c r="J118" s="367"/>
      <c r="L118" s="369"/>
    </row>
    <row r="119" spans="1:15" ht="16.5">
      <c r="A119" s="776" t="s">
        <v>864</v>
      </c>
      <c r="B119" s="352" t="s">
        <v>865</v>
      </c>
      <c r="C119" s="353">
        <v>45323</v>
      </c>
      <c r="D119" s="357">
        <f>10000</f>
        <v>10000</v>
      </c>
      <c r="E119" s="357"/>
      <c r="F119" s="359">
        <f>5000+5000</f>
        <v>10000</v>
      </c>
      <c r="G119" s="357">
        <f>13125+2500</f>
        <v>15625</v>
      </c>
      <c r="H119" s="355">
        <f t="shared" si="1"/>
        <v>35625</v>
      </c>
      <c r="I119" s="368"/>
    </row>
    <row r="120" spans="1:15" ht="16.5">
      <c r="A120" s="776" t="s">
        <v>866</v>
      </c>
      <c r="B120" s="352" t="s">
        <v>867</v>
      </c>
      <c r="C120" s="353">
        <v>45323</v>
      </c>
      <c r="D120" s="357">
        <f>10000</f>
        <v>10000</v>
      </c>
      <c r="E120" s="357"/>
      <c r="F120" s="359">
        <f>10000</f>
        <v>10000</v>
      </c>
      <c r="G120" s="357">
        <f>10000</f>
        <v>10000</v>
      </c>
      <c r="H120" s="355">
        <f t="shared" si="1"/>
        <v>30000</v>
      </c>
      <c r="I120" s="368"/>
    </row>
    <row r="121" spans="1:15" ht="16.5">
      <c r="A121" s="776" t="s">
        <v>868</v>
      </c>
      <c r="B121" s="352" t="s">
        <v>869</v>
      </c>
      <c r="C121" s="353">
        <v>45323</v>
      </c>
      <c r="D121" s="357">
        <v>10000</v>
      </c>
      <c r="E121" s="357"/>
      <c r="F121" s="359"/>
      <c r="G121" s="357">
        <v>63888.89</v>
      </c>
      <c r="H121" s="355">
        <f t="shared" si="1"/>
        <v>73888.89</v>
      </c>
      <c r="I121" s="368"/>
    </row>
    <row r="122" spans="1:15" ht="16.5">
      <c r="A122" s="776" t="s">
        <v>870</v>
      </c>
      <c r="B122" s="352" t="s">
        <v>871</v>
      </c>
      <c r="C122" s="353">
        <v>45323</v>
      </c>
      <c r="D122" s="357">
        <f>50000</f>
        <v>50000</v>
      </c>
      <c r="E122" s="357"/>
      <c r="F122" s="357">
        <f>50000</f>
        <v>50000</v>
      </c>
      <c r="G122" s="357"/>
      <c r="H122" s="355">
        <f t="shared" si="1"/>
        <v>100000</v>
      </c>
      <c r="I122" s="368"/>
      <c r="O122" s="367"/>
    </row>
    <row r="123" spans="1:15" ht="18">
      <c r="A123" s="776" t="s">
        <v>872</v>
      </c>
      <c r="B123" s="352" t="s">
        <v>182</v>
      </c>
      <c r="C123" s="353">
        <v>45323</v>
      </c>
      <c r="D123" s="357">
        <f>5000</f>
        <v>5000</v>
      </c>
      <c r="E123" s="357"/>
      <c r="F123" s="357"/>
      <c r="G123" s="377">
        <f>64806.29</f>
        <v>64806.29</v>
      </c>
      <c r="H123" s="355">
        <f t="shared" si="1"/>
        <v>69806.289999999994</v>
      </c>
      <c r="I123" s="368"/>
      <c r="O123" s="367"/>
    </row>
    <row r="124" spans="1:15" ht="18">
      <c r="A124" s="776" t="s">
        <v>873</v>
      </c>
      <c r="B124" s="352" t="s">
        <v>874</v>
      </c>
      <c r="C124" s="353">
        <v>45323</v>
      </c>
      <c r="D124" s="359">
        <f>30000</f>
        <v>30000</v>
      </c>
      <c r="E124" s="359">
        <f>0</f>
        <v>0</v>
      </c>
      <c r="F124" s="359">
        <f>0</f>
        <v>0</v>
      </c>
      <c r="G124" s="381">
        <f>60000</f>
        <v>60000</v>
      </c>
      <c r="H124" s="355">
        <f t="shared" si="1"/>
        <v>90000</v>
      </c>
      <c r="I124" s="368"/>
      <c r="N124" s="367"/>
      <c r="O124" s="367"/>
    </row>
    <row r="125" spans="1:15" ht="18">
      <c r="A125" s="779" t="s">
        <v>875</v>
      </c>
      <c r="B125" s="352" t="s">
        <v>876</v>
      </c>
      <c r="C125" s="353">
        <v>45323</v>
      </c>
      <c r="D125" s="359">
        <f>20000</f>
        <v>20000</v>
      </c>
      <c r="E125" s="359"/>
      <c r="F125" s="376"/>
      <c r="G125" s="382">
        <f>17500</f>
        <v>17500</v>
      </c>
      <c r="H125" s="355">
        <f t="shared" si="1"/>
        <v>37500</v>
      </c>
      <c r="I125" s="368"/>
      <c r="N125" s="367"/>
      <c r="O125" s="367"/>
    </row>
    <row r="126" spans="1:15" ht="16.5">
      <c r="A126" s="779" t="s">
        <v>877</v>
      </c>
      <c r="B126" s="352" t="s">
        <v>246</v>
      </c>
      <c r="C126" s="353">
        <v>45323</v>
      </c>
      <c r="D126" s="357">
        <v>0</v>
      </c>
      <c r="E126" s="357">
        <v>0</v>
      </c>
      <c r="F126" s="357">
        <v>0</v>
      </c>
      <c r="G126" s="357">
        <f>100000</f>
        <v>100000</v>
      </c>
      <c r="H126" s="355">
        <f t="shared" si="1"/>
        <v>100000</v>
      </c>
      <c r="I126" s="368"/>
      <c r="N126" s="367"/>
      <c r="O126" s="371"/>
    </row>
    <row r="127" spans="1:15" ht="16.5">
      <c r="A127" s="779" t="s">
        <v>878</v>
      </c>
      <c r="B127" s="352" t="s">
        <v>879</v>
      </c>
      <c r="C127" s="353">
        <v>45323</v>
      </c>
      <c r="D127" s="357"/>
      <c r="E127" s="357"/>
      <c r="F127" s="357"/>
      <c r="G127" s="357"/>
      <c r="H127" s="355">
        <f t="shared" si="1"/>
        <v>0</v>
      </c>
      <c r="I127" s="367"/>
      <c r="N127" s="367"/>
      <c r="O127" s="369"/>
    </row>
    <row r="128" spans="1:15" ht="16.5">
      <c r="A128" s="779" t="s">
        <v>880</v>
      </c>
      <c r="B128" s="352" t="s">
        <v>881</v>
      </c>
      <c r="C128" s="353">
        <v>45323</v>
      </c>
      <c r="D128" s="355">
        <f>0</f>
        <v>0</v>
      </c>
      <c r="E128" s="357"/>
      <c r="F128" s="357"/>
      <c r="G128" s="357">
        <f>0</f>
        <v>0</v>
      </c>
      <c r="H128" s="355">
        <f t="shared" si="1"/>
        <v>0</v>
      </c>
      <c r="I128" s="367"/>
      <c r="N128" s="367"/>
    </row>
    <row r="129" spans="1:15" ht="16.5">
      <c r="A129" s="779" t="s">
        <v>882</v>
      </c>
      <c r="B129" s="352" t="s">
        <v>883</v>
      </c>
      <c r="C129" s="353">
        <v>45323</v>
      </c>
      <c r="D129" s="355">
        <f>50000</f>
        <v>50000</v>
      </c>
      <c r="E129" s="357"/>
      <c r="F129" s="357">
        <f>0</f>
        <v>0</v>
      </c>
      <c r="G129" s="357"/>
      <c r="H129" s="355">
        <f t="shared" si="1"/>
        <v>50000</v>
      </c>
      <c r="I129" s="368"/>
      <c r="K129" s="367"/>
    </row>
    <row r="130" spans="1:15" ht="16.5">
      <c r="A130" s="779" t="s">
        <v>882</v>
      </c>
      <c r="B130" s="352" t="s">
        <v>884</v>
      </c>
      <c r="C130" s="353">
        <v>45323</v>
      </c>
      <c r="D130" s="355"/>
      <c r="E130" s="357"/>
      <c r="F130" s="357"/>
      <c r="G130" s="357"/>
      <c r="H130" s="355">
        <f t="shared" si="1"/>
        <v>0</v>
      </c>
      <c r="I130" s="368"/>
      <c r="K130" s="367"/>
      <c r="O130" s="369"/>
    </row>
    <row r="131" spans="1:15" ht="16.5">
      <c r="A131" s="779" t="s">
        <v>885</v>
      </c>
      <c r="B131" s="352" t="s">
        <v>161</v>
      </c>
      <c r="C131" s="353">
        <v>45323</v>
      </c>
      <c r="D131" s="357">
        <f>50000</f>
        <v>50000</v>
      </c>
      <c r="E131" s="357">
        <f>0</f>
        <v>0</v>
      </c>
      <c r="F131" s="357">
        <v>0</v>
      </c>
      <c r="G131" s="357">
        <f>0</f>
        <v>0</v>
      </c>
      <c r="H131" s="355">
        <f t="shared" si="1"/>
        <v>50000</v>
      </c>
      <c r="I131" s="368"/>
      <c r="K131" s="367"/>
      <c r="L131" s="369"/>
    </row>
    <row r="132" spans="1:15" ht="16.5">
      <c r="A132" s="779" t="s">
        <v>886</v>
      </c>
      <c r="B132" s="352" t="s">
        <v>887</v>
      </c>
      <c r="C132" s="353">
        <v>45323</v>
      </c>
      <c r="D132" s="357">
        <f>0</f>
        <v>0</v>
      </c>
      <c r="E132" s="357">
        <f>0</f>
        <v>0</v>
      </c>
      <c r="F132" s="357">
        <f>0</f>
        <v>0</v>
      </c>
      <c r="G132" s="357">
        <v>0</v>
      </c>
      <c r="H132" s="355">
        <f t="shared" si="1"/>
        <v>0</v>
      </c>
      <c r="I132" s="367"/>
      <c r="K132" s="369"/>
      <c r="L132" s="369"/>
      <c r="N132" s="367"/>
    </row>
    <row r="133" spans="1:15" ht="16.5">
      <c r="A133" s="779" t="s">
        <v>888</v>
      </c>
      <c r="B133" s="352" t="s">
        <v>889</v>
      </c>
      <c r="C133" s="353">
        <v>45323</v>
      </c>
      <c r="D133" s="355">
        <f>50000</f>
        <v>50000</v>
      </c>
      <c r="E133" s="357"/>
      <c r="F133" s="357"/>
      <c r="G133" s="357">
        <v>59583.333333333299</v>
      </c>
      <c r="H133" s="355">
        <f t="shared" si="1"/>
        <v>109583.33333333299</v>
      </c>
      <c r="I133" s="368"/>
      <c r="L133" s="369"/>
      <c r="N133" s="367"/>
    </row>
    <row r="134" spans="1:15" ht="16.5">
      <c r="A134" s="779" t="s">
        <v>890</v>
      </c>
      <c r="B134" s="352" t="s">
        <v>891</v>
      </c>
      <c r="C134" s="353">
        <v>45323</v>
      </c>
      <c r="D134" s="358"/>
      <c r="E134" s="358"/>
      <c r="F134" s="357"/>
      <c r="G134" s="357"/>
      <c r="H134" s="355">
        <f t="shared" ref="H134:H184" si="2">D134+E134+F134+G134</f>
        <v>0</v>
      </c>
      <c r="I134" s="367"/>
      <c r="N134" s="367"/>
    </row>
    <row r="135" spans="1:15" ht="16.5">
      <c r="A135" s="779" t="s">
        <v>892</v>
      </c>
      <c r="B135" s="352" t="s">
        <v>893</v>
      </c>
      <c r="C135" s="353">
        <v>45323</v>
      </c>
      <c r="D135" s="357">
        <f>10000</f>
        <v>10000</v>
      </c>
      <c r="E135" s="357">
        <f>0</f>
        <v>0</v>
      </c>
      <c r="F135" s="357"/>
      <c r="G135" s="357">
        <f>95833.33</f>
        <v>95833.33</v>
      </c>
      <c r="H135" s="355">
        <f t="shared" si="2"/>
        <v>105833.33</v>
      </c>
      <c r="I135" s="368"/>
      <c r="J135" s="367"/>
      <c r="L135" s="369"/>
      <c r="M135" s="367"/>
      <c r="N135" s="367"/>
    </row>
    <row r="136" spans="1:15" ht="16.5">
      <c r="A136" s="779" t="s">
        <v>894</v>
      </c>
      <c r="B136" s="352" t="s">
        <v>895</v>
      </c>
      <c r="C136" s="353">
        <v>45323</v>
      </c>
      <c r="D136" s="357">
        <f>10000</f>
        <v>10000</v>
      </c>
      <c r="E136" s="357">
        <v>0</v>
      </c>
      <c r="F136" s="357">
        <f>5000+5000</f>
        <v>10000</v>
      </c>
      <c r="G136" s="359">
        <f>22916.67+10000</f>
        <v>32916.67</v>
      </c>
      <c r="H136" s="355">
        <f t="shared" si="2"/>
        <v>52916.67</v>
      </c>
      <c r="I136" s="368"/>
      <c r="J136" s="367"/>
      <c r="M136" s="367"/>
      <c r="N136" s="367"/>
    </row>
    <row r="137" spans="1:15" ht="16.5">
      <c r="A137" s="779" t="s">
        <v>896</v>
      </c>
      <c r="B137" s="352" t="s">
        <v>897</v>
      </c>
      <c r="C137" s="353">
        <v>45323</v>
      </c>
      <c r="D137" s="359">
        <f>100000</f>
        <v>100000</v>
      </c>
      <c r="E137" s="357"/>
      <c r="F137" s="357"/>
      <c r="G137" s="359">
        <f>131250</f>
        <v>131250</v>
      </c>
      <c r="H137" s="355">
        <f t="shared" si="2"/>
        <v>231250</v>
      </c>
      <c r="I137" s="368"/>
      <c r="J137" s="367"/>
      <c r="M137" s="367"/>
    </row>
    <row r="138" spans="1:15" ht="16.5">
      <c r="A138" s="779" t="s">
        <v>898</v>
      </c>
      <c r="B138" s="352" t="s">
        <v>899</v>
      </c>
      <c r="C138" s="353">
        <v>45323</v>
      </c>
      <c r="D138" s="359">
        <f>50000</f>
        <v>50000</v>
      </c>
      <c r="E138" s="359">
        <f>0</f>
        <v>0</v>
      </c>
      <c r="F138" s="359"/>
      <c r="G138" s="359"/>
      <c r="H138" s="355">
        <f t="shared" si="2"/>
        <v>50000</v>
      </c>
      <c r="I138" s="368"/>
      <c r="J138" s="367"/>
      <c r="M138" s="367"/>
    </row>
    <row r="139" spans="1:15" ht="16.5">
      <c r="A139" s="779" t="s">
        <v>900</v>
      </c>
      <c r="B139" s="352" t="s">
        <v>270</v>
      </c>
      <c r="C139" s="353">
        <v>45323</v>
      </c>
      <c r="D139" s="359">
        <f>10000</f>
        <v>10000</v>
      </c>
      <c r="E139" s="359">
        <f>0</f>
        <v>0</v>
      </c>
      <c r="F139" s="359"/>
      <c r="G139" s="355">
        <f>90000</f>
        <v>90000</v>
      </c>
      <c r="H139" s="355">
        <f t="shared" si="2"/>
        <v>100000</v>
      </c>
      <c r="I139" s="368"/>
      <c r="J139" s="367"/>
      <c r="M139" s="367"/>
    </row>
    <row r="140" spans="1:15" ht="16.5">
      <c r="A140" s="779" t="s">
        <v>901</v>
      </c>
      <c r="B140" s="352" t="s">
        <v>151</v>
      </c>
      <c r="C140" s="353">
        <v>45323</v>
      </c>
      <c r="D140" s="359">
        <f>50000</f>
        <v>50000</v>
      </c>
      <c r="E140" s="359"/>
      <c r="F140" s="359"/>
      <c r="G140" s="355">
        <f>50000</f>
        <v>50000</v>
      </c>
      <c r="H140" s="355">
        <f t="shared" si="2"/>
        <v>100000</v>
      </c>
      <c r="I140" s="368"/>
      <c r="M140" s="367"/>
    </row>
    <row r="141" spans="1:15" ht="16.5">
      <c r="A141" s="779" t="s">
        <v>902</v>
      </c>
      <c r="B141" s="352" t="s">
        <v>903</v>
      </c>
      <c r="C141" s="353">
        <v>45323</v>
      </c>
      <c r="D141" s="359">
        <f>100000</f>
        <v>100000</v>
      </c>
      <c r="E141" s="359">
        <f>0</f>
        <v>0</v>
      </c>
      <c r="F141" s="359">
        <f>100000</f>
        <v>100000</v>
      </c>
      <c r="G141" s="359">
        <f>223611.11</f>
        <v>223611.11</v>
      </c>
      <c r="H141" s="355">
        <f t="shared" si="2"/>
        <v>423611.11</v>
      </c>
      <c r="I141" s="368"/>
      <c r="J141" s="367"/>
      <c r="M141" s="367"/>
      <c r="N141" s="369"/>
    </row>
    <row r="142" spans="1:15" ht="16.5">
      <c r="A142" s="779" t="s">
        <v>904</v>
      </c>
      <c r="B142" s="352" t="s">
        <v>905</v>
      </c>
      <c r="C142" s="353">
        <v>45323</v>
      </c>
      <c r="D142" s="359">
        <f>10000</f>
        <v>10000</v>
      </c>
      <c r="E142" s="359">
        <f>0</f>
        <v>0</v>
      </c>
      <c r="F142" s="359"/>
      <c r="G142" s="359">
        <f>70000</f>
        <v>70000</v>
      </c>
      <c r="H142" s="355">
        <f t="shared" si="2"/>
        <v>80000</v>
      </c>
      <c r="I142" s="368"/>
      <c r="J142" s="367"/>
      <c r="M142" s="367"/>
    </row>
    <row r="143" spans="1:15" ht="16.5">
      <c r="A143" s="779" t="s">
        <v>906</v>
      </c>
      <c r="B143" s="352" t="s">
        <v>312</v>
      </c>
      <c r="C143" s="353">
        <v>45323</v>
      </c>
      <c r="D143" s="359">
        <f>5000</f>
        <v>5000</v>
      </c>
      <c r="E143" s="359">
        <f>0</f>
        <v>0</v>
      </c>
      <c r="F143" s="359">
        <f>5000+5000</f>
        <v>10000</v>
      </c>
      <c r="G143" s="359">
        <f>15000</f>
        <v>15000</v>
      </c>
      <c r="H143" s="355">
        <f t="shared" si="2"/>
        <v>30000</v>
      </c>
      <c r="I143" s="368"/>
      <c r="M143" s="367"/>
    </row>
    <row r="144" spans="1:15" ht="16.5">
      <c r="A144" s="779" t="s">
        <v>907</v>
      </c>
      <c r="B144" s="352" t="s">
        <v>908</v>
      </c>
      <c r="C144" s="353">
        <v>45323</v>
      </c>
      <c r="D144" s="359">
        <f>0</f>
        <v>0</v>
      </c>
      <c r="E144" s="359">
        <v>0</v>
      </c>
      <c r="F144" s="359"/>
      <c r="G144" s="359">
        <f>0</f>
        <v>0</v>
      </c>
      <c r="H144" s="355">
        <f t="shared" si="2"/>
        <v>0</v>
      </c>
      <c r="I144" s="367"/>
      <c r="L144" s="367"/>
      <c r="M144" s="367"/>
    </row>
    <row r="145" spans="1:13" ht="18">
      <c r="A145" s="779" t="s">
        <v>909</v>
      </c>
      <c r="B145" s="352" t="s">
        <v>910</v>
      </c>
      <c r="C145" s="353">
        <v>45323</v>
      </c>
      <c r="D145" s="359"/>
      <c r="E145" s="359"/>
      <c r="F145" s="359"/>
      <c r="G145" s="377"/>
      <c r="H145" s="355">
        <f t="shared" si="2"/>
        <v>0</v>
      </c>
      <c r="I145" s="368"/>
      <c r="L145" s="367"/>
      <c r="M145" s="367"/>
    </row>
    <row r="146" spans="1:13" ht="16.5">
      <c r="A146" s="779" t="s">
        <v>911</v>
      </c>
      <c r="B146" s="352" t="s">
        <v>912</v>
      </c>
      <c r="C146" s="353">
        <v>45323</v>
      </c>
      <c r="D146" s="359">
        <f>200000</f>
        <v>200000</v>
      </c>
      <c r="E146" s="359">
        <f>0</f>
        <v>0</v>
      </c>
      <c r="F146" s="359"/>
      <c r="G146" s="359">
        <f>52500*2+275000</f>
        <v>380000</v>
      </c>
      <c r="H146" s="355">
        <f t="shared" si="2"/>
        <v>580000</v>
      </c>
      <c r="I146" s="368"/>
      <c r="L146" s="367"/>
    </row>
    <row r="147" spans="1:13" ht="16.5">
      <c r="A147" s="779" t="s">
        <v>913</v>
      </c>
      <c r="B147" s="352" t="s">
        <v>914</v>
      </c>
      <c r="C147" s="353">
        <v>45323</v>
      </c>
      <c r="D147" s="359">
        <f>25000</f>
        <v>25000</v>
      </c>
      <c r="E147" s="359"/>
      <c r="F147" s="359"/>
      <c r="G147" s="361"/>
      <c r="H147" s="355">
        <f t="shared" si="2"/>
        <v>25000</v>
      </c>
      <c r="I147" s="368"/>
      <c r="L147" s="367"/>
    </row>
    <row r="148" spans="1:13" ht="16.5">
      <c r="A148" s="779" t="s">
        <v>915</v>
      </c>
      <c r="B148" s="352" t="s">
        <v>916</v>
      </c>
      <c r="C148" s="353">
        <v>45323</v>
      </c>
      <c r="D148" s="359">
        <f>0</f>
        <v>0</v>
      </c>
      <c r="E148" s="359"/>
      <c r="F148" s="359"/>
      <c r="G148" s="359"/>
      <c r="H148" s="355">
        <f t="shared" si="2"/>
        <v>0</v>
      </c>
      <c r="I148" s="368"/>
      <c r="L148" s="367"/>
    </row>
    <row r="149" spans="1:13" ht="16.5">
      <c r="A149" s="779" t="s">
        <v>917</v>
      </c>
      <c r="B149" s="352" t="s">
        <v>125</v>
      </c>
      <c r="C149" s="353">
        <v>45323</v>
      </c>
      <c r="D149" s="359">
        <v>50000</v>
      </c>
      <c r="E149" s="359"/>
      <c r="F149" s="359"/>
      <c r="G149" s="359">
        <v>145000</v>
      </c>
      <c r="H149" s="355">
        <f t="shared" si="2"/>
        <v>195000</v>
      </c>
      <c r="I149" s="368"/>
    </row>
    <row r="150" spans="1:13" ht="16.5">
      <c r="A150" s="779" t="s">
        <v>918</v>
      </c>
      <c r="B150" s="352" t="s">
        <v>184</v>
      </c>
      <c r="C150" s="353">
        <v>45323</v>
      </c>
      <c r="D150" s="359">
        <f>10000</f>
        <v>10000</v>
      </c>
      <c r="E150" s="359">
        <f>0</f>
        <v>0</v>
      </c>
      <c r="F150" s="359"/>
      <c r="G150" s="357">
        <v>19583.330000000002</v>
      </c>
      <c r="H150" s="355">
        <f t="shared" si="2"/>
        <v>29583.33</v>
      </c>
      <c r="I150" s="367"/>
      <c r="L150" s="367"/>
    </row>
    <row r="151" spans="1:13" ht="16.5">
      <c r="A151" s="779" t="s">
        <v>919</v>
      </c>
      <c r="B151" s="352" t="s">
        <v>920</v>
      </c>
      <c r="C151" s="353">
        <v>45323</v>
      </c>
      <c r="D151" s="359">
        <f>10000</f>
        <v>10000</v>
      </c>
      <c r="E151" s="359"/>
      <c r="F151" s="359"/>
      <c r="G151" s="359">
        <f>95833.33</f>
        <v>95833.33</v>
      </c>
      <c r="H151" s="355">
        <f t="shared" si="2"/>
        <v>105833.33</v>
      </c>
      <c r="I151" s="368"/>
    </row>
    <row r="152" spans="1:13" ht="16.5">
      <c r="A152" s="779" t="s">
        <v>921</v>
      </c>
      <c r="B152" s="352" t="s">
        <v>88</v>
      </c>
      <c r="C152" s="353">
        <v>45323</v>
      </c>
      <c r="D152" s="359">
        <f>0</f>
        <v>0</v>
      </c>
      <c r="E152" s="359"/>
      <c r="F152" s="359"/>
      <c r="G152" s="359">
        <f>26666.67</f>
        <v>26666.67</v>
      </c>
      <c r="H152" s="355">
        <f t="shared" si="2"/>
        <v>26666.67</v>
      </c>
      <c r="I152" s="368"/>
    </row>
    <row r="153" spans="1:13" ht="16.5">
      <c r="A153" s="779" t="s">
        <v>922</v>
      </c>
      <c r="B153" s="352" t="s">
        <v>85</v>
      </c>
      <c r="C153" s="353">
        <v>45323</v>
      </c>
      <c r="D153" s="359">
        <f>50000</f>
        <v>50000</v>
      </c>
      <c r="E153" s="359"/>
      <c r="F153" s="359"/>
      <c r="G153" s="359">
        <f>50000</f>
        <v>50000</v>
      </c>
      <c r="H153" s="355">
        <f t="shared" si="2"/>
        <v>100000</v>
      </c>
      <c r="I153" s="368"/>
    </row>
    <row r="154" spans="1:13" ht="16.5">
      <c r="A154" s="779" t="s">
        <v>923</v>
      </c>
      <c r="B154" s="352" t="s">
        <v>924</v>
      </c>
      <c r="C154" s="353">
        <v>45323</v>
      </c>
      <c r="D154" s="359">
        <f>30000</f>
        <v>30000</v>
      </c>
      <c r="E154" s="359"/>
      <c r="F154" s="359"/>
      <c r="G154" s="359"/>
      <c r="H154" s="355">
        <f t="shared" si="2"/>
        <v>30000</v>
      </c>
      <c r="I154" s="368"/>
    </row>
    <row r="155" spans="1:13" ht="16.5">
      <c r="A155" s="779" t="s">
        <v>925</v>
      </c>
      <c r="B155" s="352" t="s">
        <v>926</v>
      </c>
      <c r="C155" s="353">
        <v>45323</v>
      </c>
      <c r="D155" s="359">
        <f>0</f>
        <v>0</v>
      </c>
      <c r="E155" s="359"/>
      <c r="F155" s="359"/>
      <c r="G155" s="359"/>
      <c r="H155" s="355">
        <f t="shared" si="2"/>
        <v>0</v>
      </c>
      <c r="I155" s="367"/>
    </row>
    <row r="156" spans="1:13" ht="16.5">
      <c r="A156" s="779" t="s">
        <v>927</v>
      </c>
      <c r="B156" s="352" t="s">
        <v>928</v>
      </c>
      <c r="C156" s="353">
        <v>45323</v>
      </c>
      <c r="D156" s="359">
        <f>100000</f>
        <v>100000</v>
      </c>
      <c r="E156" s="359"/>
      <c r="F156" s="359"/>
      <c r="G156" s="359">
        <f>51500</f>
        <v>51500</v>
      </c>
      <c r="H156" s="355">
        <f t="shared" si="2"/>
        <v>151500</v>
      </c>
      <c r="I156" s="368"/>
    </row>
    <row r="157" spans="1:13" ht="16.5">
      <c r="A157" s="779" t="s">
        <v>929</v>
      </c>
      <c r="B157" s="352" t="s">
        <v>930</v>
      </c>
      <c r="C157" s="353">
        <v>45323</v>
      </c>
      <c r="D157" s="359">
        <f>10000</f>
        <v>10000</v>
      </c>
      <c r="E157" s="359"/>
      <c r="F157" s="359">
        <f>10000</f>
        <v>10000</v>
      </c>
      <c r="G157" s="359">
        <f>11518</f>
        <v>11518</v>
      </c>
      <c r="H157" s="355">
        <f t="shared" si="2"/>
        <v>31518</v>
      </c>
      <c r="I157" s="368"/>
    </row>
    <row r="158" spans="1:13" ht="16.5">
      <c r="A158" s="779" t="s">
        <v>931</v>
      </c>
      <c r="B158" s="352" t="s">
        <v>932</v>
      </c>
      <c r="C158" s="353">
        <v>45323</v>
      </c>
      <c r="D158" s="359">
        <f>20000</f>
        <v>20000</v>
      </c>
      <c r="E158" s="359"/>
      <c r="F158" s="359"/>
      <c r="G158" s="359"/>
      <c r="H158" s="355">
        <f t="shared" si="2"/>
        <v>20000</v>
      </c>
      <c r="I158" s="368"/>
    </row>
    <row r="159" spans="1:13" ht="16.5">
      <c r="A159" s="779" t="s">
        <v>933</v>
      </c>
      <c r="B159" s="352" t="s">
        <v>320</v>
      </c>
      <c r="C159" s="353">
        <v>45323</v>
      </c>
      <c r="D159" s="359">
        <v>10000</v>
      </c>
      <c r="E159" s="359"/>
      <c r="F159" s="359">
        <f>5000+5000</f>
        <v>10000</v>
      </c>
      <c r="G159" s="359"/>
      <c r="H159" s="355">
        <f t="shared" si="2"/>
        <v>20000</v>
      </c>
      <c r="I159" s="368"/>
    </row>
    <row r="160" spans="1:13" ht="16.5">
      <c r="A160" s="779" t="s">
        <v>934</v>
      </c>
      <c r="B160" s="352" t="s">
        <v>935</v>
      </c>
      <c r="C160" s="353">
        <v>45323</v>
      </c>
      <c r="D160" s="359">
        <v>200000</v>
      </c>
      <c r="E160" s="359"/>
      <c r="F160" s="359"/>
      <c r="G160" s="383">
        <f>0</f>
        <v>0</v>
      </c>
      <c r="H160" s="355">
        <f t="shared" si="2"/>
        <v>200000</v>
      </c>
      <c r="I160" s="368"/>
    </row>
    <row r="161" spans="1:9" ht="16.5">
      <c r="A161" s="779" t="s">
        <v>936</v>
      </c>
      <c r="B161" s="352" t="s">
        <v>937</v>
      </c>
      <c r="C161" s="353">
        <v>45323</v>
      </c>
      <c r="D161" s="359">
        <f>0</f>
        <v>0</v>
      </c>
      <c r="E161" s="359"/>
      <c r="F161" s="359"/>
      <c r="G161" s="359">
        <f>0</f>
        <v>0</v>
      </c>
      <c r="H161" s="355">
        <f t="shared" si="2"/>
        <v>0</v>
      </c>
      <c r="I161" s="367"/>
    </row>
    <row r="162" spans="1:9" ht="16.5">
      <c r="A162" s="779" t="s">
        <v>938</v>
      </c>
      <c r="B162" s="352" t="s">
        <v>939</v>
      </c>
      <c r="C162" s="353">
        <v>45323</v>
      </c>
      <c r="D162" s="359">
        <f>100000</f>
        <v>100000</v>
      </c>
      <c r="E162" s="359"/>
      <c r="F162" s="359"/>
      <c r="G162" s="359"/>
      <c r="H162" s="355">
        <f t="shared" si="2"/>
        <v>100000</v>
      </c>
      <c r="I162" s="368"/>
    </row>
    <row r="163" spans="1:9" ht="16.5">
      <c r="A163" s="779" t="s">
        <v>940</v>
      </c>
      <c r="B163" s="352" t="s">
        <v>941</v>
      </c>
      <c r="C163" s="353">
        <v>45323</v>
      </c>
      <c r="D163" s="359">
        <f>5000</f>
        <v>5000</v>
      </c>
      <c r="E163" s="359">
        <f>0</f>
        <v>0</v>
      </c>
      <c r="F163" s="359">
        <f>10000</f>
        <v>10000</v>
      </c>
      <c r="G163" s="359">
        <v>20000</v>
      </c>
      <c r="H163" s="355">
        <f t="shared" si="2"/>
        <v>35000</v>
      </c>
      <c r="I163" s="368"/>
    </row>
    <row r="164" spans="1:9" ht="16.5">
      <c r="A164" s="779" t="s">
        <v>942</v>
      </c>
      <c r="B164" s="352" t="s">
        <v>943</v>
      </c>
      <c r="C164" s="353">
        <v>45323</v>
      </c>
      <c r="D164" s="359">
        <f>20000</f>
        <v>20000</v>
      </c>
      <c r="E164" s="359"/>
      <c r="F164" s="359"/>
      <c r="G164" s="359"/>
      <c r="H164" s="355">
        <f t="shared" si="2"/>
        <v>20000</v>
      </c>
      <c r="I164" s="368"/>
    </row>
    <row r="165" spans="1:9" ht="16.5">
      <c r="A165" s="779" t="s">
        <v>944</v>
      </c>
      <c r="B165" s="352" t="s">
        <v>945</v>
      </c>
      <c r="C165" s="353">
        <v>45323</v>
      </c>
      <c r="D165" s="359">
        <f>50000</f>
        <v>50000</v>
      </c>
      <c r="E165" s="359"/>
      <c r="F165" s="359"/>
      <c r="G165" s="359">
        <f>91666.67</f>
        <v>91666.67</v>
      </c>
      <c r="H165" s="355">
        <f t="shared" si="2"/>
        <v>141666.67000000001</v>
      </c>
      <c r="I165" s="368"/>
    </row>
    <row r="166" spans="1:9" ht="16.5">
      <c r="A166" s="779" t="s">
        <v>946</v>
      </c>
      <c r="B166" s="352" t="s">
        <v>165</v>
      </c>
      <c r="C166" s="353">
        <v>45323</v>
      </c>
      <c r="D166" s="359">
        <f>20000</f>
        <v>20000</v>
      </c>
      <c r="E166" s="359">
        <f>0</f>
        <v>0</v>
      </c>
      <c r="F166" s="359"/>
      <c r="G166" s="359">
        <f>43750</f>
        <v>43750</v>
      </c>
      <c r="H166" s="355">
        <f t="shared" si="2"/>
        <v>63750</v>
      </c>
      <c r="I166" s="368"/>
    </row>
    <row r="167" spans="1:9" ht="16.5">
      <c r="A167" s="779" t="s">
        <v>947</v>
      </c>
      <c r="B167" s="352" t="s">
        <v>948</v>
      </c>
      <c r="C167" s="353">
        <v>45323</v>
      </c>
      <c r="D167" s="359">
        <f>10000</f>
        <v>10000</v>
      </c>
      <c r="E167" s="359">
        <f>0</f>
        <v>0</v>
      </c>
      <c r="F167" s="359"/>
      <c r="G167" s="359"/>
      <c r="H167" s="355">
        <f t="shared" si="2"/>
        <v>10000</v>
      </c>
      <c r="I167" s="368"/>
    </row>
    <row r="168" spans="1:9" ht="16.5">
      <c r="A168" s="779" t="s">
        <v>949</v>
      </c>
      <c r="B168" s="352" t="s">
        <v>73</v>
      </c>
      <c r="C168" s="353">
        <v>45323</v>
      </c>
      <c r="D168" s="359">
        <f>10000</f>
        <v>10000</v>
      </c>
      <c r="E168" s="359">
        <f>0</f>
        <v>0</v>
      </c>
      <c r="F168" s="359"/>
      <c r="G168" s="359">
        <f>20000</f>
        <v>20000</v>
      </c>
      <c r="H168" s="355">
        <f t="shared" si="2"/>
        <v>30000</v>
      </c>
      <c r="I168" s="368"/>
    </row>
    <row r="169" spans="1:9" ht="16.5">
      <c r="A169" s="779" t="s">
        <v>950</v>
      </c>
      <c r="B169" s="352" t="s">
        <v>951</v>
      </c>
      <c r="C169" s="353">
        <v>45323</v>
      </c>
      <c r="D169" s="359">
        <v>20000</v>
      </c>
      <c r="E169" s="359">
        <f>0</f>
        <v>0</v>
      </c>
      <c r="F169" s="359"/>
      <c r="G169" s="359"/>
      <c r="H169" s="355">
        <f t="shared" si="2"/>
        <v>20000</v>
      </c>
      <c r="I169" s="368"/>
    </row>
    <row r="170" spans="1:9" ht="16.5">
      <c r="A170" s="779" t="s">
        <v>952</v>
      </c>
      <c r="B170" s="352" t="s">
        <v>953</v>
      </c>
      <c r="C170" s="353">
        <v>45323</v>
      </c>
      <c r="D170" s="359">
        <f>0</f>
        <v>0</v>
      </c>
      <c r="E170" s="359">
        <f>0</f>
        <v>0</v>
      </c>
      <c r="F170" s="359">
        <f>120000</f>
        <v>120000</v>
      </c>
      <c r="G170" s="359"/>
      <c r="H170" s="355">
        <f t="shared" si="2"/>
        <v>120000</v>
      </c>
      <c r="I170" s="368"/>
    </row>
    <row r="171" spans="1:9" ht="16.5">
      <c r="A171" s="779" t="s">
        <v>954</v>
      </c>
      <c r="B171" s="352" t="s">
        <v>955</v>
      </c>
      <c r="C171" s="353">
        <v>45323</v>
      </c>
      <c r="D171" s="359">
        <f>50000</f>
        <v>50000</v>
      </c>
      <c r="E171" s="359"/>
      <c r="F171" s="359"/>
      <c r="G171" s="359"/>
      <c r="H171" s="355">
        <f t="shared" si="2"/>
        <v>50000</v>
      </c>
      <c r="I171" s="368"/>
    </row>
    <row r="172" spans="1:9" ht="16.5">
      <c r="A172" s="779" t="s">
        <v>956</v>
      </c>
      <c r="B172" s="352" t="s">
        <v>139</v>
      </c>
      <c r="C172" s="353">
        <v>45323</v>
      </c>
      <c r="D172" s="359">
        <f>65000</f>
        <v>65000</v>
      </c>
      <c r="E172" s="359"/>
      <c r="F172" s="359"/>
      <c r="G172" s="359"/>
      <c r="H172" s="355">
        <f t="shared" si="2"/>
        <v>65000</v>
      </c>
      <c r="I172" s="368"/>
    </row>
    <row r="173" spans="1:9" ht="16.5">
      <c r="A173" s="779" t="s">
        <v>957</v>
      </c>
      <c r="B173" s="352" t="s">
        <v>279</v>
      </c>
      <c r="C173" s="353">
        <v>45323</v>
      </c>
      <c r="D173" s="359">
        <f>10000</f>
        <v>10000</v>
      </c>
      <c r="E173" s="359"/>
      <c r="F173" s="359"/>
      <c r="G173" s="359"/>
      <c r="H173" s="355">
        <f t="shared" si="2"/>
        <v>10000</v>
      </c>
      <c r="I173" s="368"/>
    </row>
    <row r="174" spans="1:9" ht="16.5">
      <c r="A174" s="779" t="s">
        <v>958</v>
      </c>
      <c r="B174" s="352" t="s">
        <v>959</v>
      </c>
      <c r="C174" s="353">
        <v>45323</v>
      </c>
      <c r="D174" s="359">
        <f>10000</f>
        <v>10000</v>
      </c>
      <c r="E174" s="359"/>
      <c r="F174" s="359"/>
      <c r="G174" s="359"/>
      <c r="H174" s="355">
        <f t="shared" si="2"/>
        <v>10000</v>
      </c>
      <c r="I174" s="368"/>
    </row>
    <row r="175" spans="1:9" ht="16.5">
      <c r="A175" s="779" t="s">
        <v>960</v>
      </c>
      <c r="B175" s="352" t="s">
        <v>961</v>
      </c>
      <c r="C175" s="353">
        <v>45323</v>
      </c>
      <c r="D175" s="359">
        <f>30000</f>
        <v>30000</v>
      </c>
      <c r="E175" s="359"/>
      <c r="F175" s="359"/>
      <c r="G175" s="359"/>
      <c r="H175" s="355">
        <f t="shared" si="2"/>
        <v>30000</v>
      </c>
      <c r="I175" s="368"/>
    </row>
    <row r="176" spans="1:9" ht="16.5">
      <c r="A176" s="779" t="s">
        <v>962</v>
      </c>
      <c r="B176" s="352" t="s">
        <v>90</v>
      </c>
      <c r="C176" s="353">
        <v>45323</v>
      </c>
      <c r="D176" s="359">
        <f>20000</f>
        <v>20000</v>
      </c>
      <c r="E176" s="359"/>
      <c r="F176" s="359"/>
      <c r="G176" s="359"/>
      <c r="H176" s="355">
        <f t="shared" si="2"/>
        <v>20000</v>
      </c>
      <c r="I176" s="368"/>
    </row>
    <row r="177" spans="1:12" ht="16.5">
      <c r="A177" s="779" t="s">
        <v>963</v>
      </c>
      <c r="B177" s="352" t="s">
        <v>964</v>
      </c>
      <c r="C177" s="353">
        <v>45323</v>
      </c>
      <c r="D177" s="359">
        <f>30000</f>
        <v>30000</v>
      </c>
      <c r="E177" s="359"/>
      <c r="F177" s="359"/>
      <c r="G177" s="359"/>
      <c r="H177" s="355">
        <f t="shared" si="2"/>
        <v>30000</v>
      </c>
      <c r="I177" s="368"/>
    </row>
    <row r="178" spans="1:12" ht="16.5">
      <c r="A178" s="779" t="s">
        <v>965</v>
      </c>
      <c r="B178" s="352" t="s">
        <v>966</v>
      </c>
      <c r="C178" s="353">
        <v>45323</v>
      </c>
      <c r="D178" s="359">
        <v>30000</v>
      </c>
      <c r="E178" s="359"/>
      <c r="F178" s="359"/>
      <c r="G178" s="359"/>
      <c r="H178" s="355">
        <f t="shared" si="2"/>
        <v>30000</v>
      </c>
      <c r="I178" s="368"/>
    </row>
    <row r="179" spans="1:12" ht="16.5">
      <c r="A179" s="779" t="s">
        <v>967</v>
      </c>
      <c r="B179" s="352" t="s">
        <v>968</v>
      </c>
      <c r="C179" s="353">
        <v>45323</v>
      </c>
      <c r="D179" s="359">
        <f>50000</f>
        <v>50000</v>
      </c>
      <c r="E179" s="359"/>
      <c r="F179" s="359"/>
      <c r="G179" s="359"/>
      <c r="H179" s="355">
        <f t="shared" si="2"/>
        <v>50000</v>
      </c>
      <c r="I179" s="368"/>
    </row>
    <row r="180" spans="1:12" ht="16.5">
      <c r="A180" s="779" t="s">
        <v>969</v>
      </c>
      <c r="B180" s="352" t="s">
        <v>970</v>
      </c>
      <c r="C180" s="353">
        <v>45323</v>
      </c>
      <c r="D180" s="359">
        <v>5000</v>
      </c>
      <c r="E180" s="359"/>
      <c r="F180" s="359">
        <f>10000</f>
        <v>10000</v>
      </c>
      <c r="G180" s="359"/>
      <c r="H180" s="355">
        <f t="shared" si="2"/>
        <v>15000</v>
      </c>
      <c r="I180" s="368"/>
    </row>
    <row r="181" spans="1:12" ht="16.5">
      <c r="A181" s="779" t="s">
        <v>971</v>
      </c>
      <c r="B181" s="352" t="s">
        <v>334</v>
      </c>
      <c r="C181" s="353">
        <v>45323</v>
      </c>
      <c r="D181" s="359">
        <f>10000</f>
        <v>10000</v>
      </c>
      <c r="E181" s="359"/>
      <c r="F181" s="359">
        <f>10000</f>
        <v>10000</v>
      </c>
      <c r="G181" s="359"/>
      <c r="H181" s="355">
        <f t="shared" si="2"/>
        <v>20000</v>
      </c>
      <c r="I181" s="368"/>
    </row>
    <row r="182" spans="1:12" ht="16.5">
      <c r="A182" s="779" t="s">
        <v>969</v>
      </c>
      <c r="B182" s="352" t="s">
        <v>972</v>
      </c>
      <c r="C182" s="353">
        <v>45323</v>
      </c>
      <c r="D182" s="359">
        <f>10000</f>
        <v>10000</v>
      </c>
      <c r="E182" s="359"/>
      <c r="F182" s="359"/>
      <c r="G182" s="359"/>
      <c r="H182" s="355">
        <f t="shared" si="2"/>
        <v>10000</v>
      </c>
      <c r="I182" s="368"/>
    </row>
    <row r="183" spans="1:12" ht="16.5">
      <c r="A183" s="779" t="s">
        <v>969</v>
      </c>
      <c r="B183" s="352" t="s">
        <v>329</v>
      </c>
      <c r="C183" s="353">
        <v>45323</v>
      </c>
      <c r="D183" s="359">
        <f>10000</f>
        <v>10000</v>
      </c>
      <c r="E183" s="359"/>
      <c r="F183" s="359"/>
      <c r="G183" s="359"/>
      <c r="H183" s="355">
        <f t="shared" si="2"/>
        <v>10000</v>
      </c>
      <c r="I183" s="368"/>
    </row>
    <row r="184" spans="1:12" ht="16.5">
      <c r="A184" s="779" t="s">
        <v>969</v>
      </c>
      <c r="B184" s="352" t="s">
        <v>973</v>
      </c>
      <c r="C184" s="353">
        <v>45323</v>
      </c>
      <c r="D184" s="359">
        <f>10000</f>
        <v>10000</v>
      </c>
      <c r="E184" s="359"/>
      <c r="F184" s="359"/>
      <c r="G184" s="359"/>
      <c r="H184" s="355">
        <f t="shared" si="2"/>
        <v>10000</v>
      </c>
      <c r="I184" s="368"/>
    </row>
    <row r="185" spans="1:12" ht="16.5">
      <c r="A185" s="352"/>
      <c r="B185" s="352"/>
      <c r="C185" s="384"/>
      <c r="D185" s="385">
        <f>SUM(D5:D184)</f>
        <v>4415500</v>
      </c>
      <c r="E185" s="385">
        <f>SUM(E5:E184)</f>
        <v>0</v>
      </c>
      <c r="F185" s="385">
        <f>SUM(F5:F184)</f>
        <v>708000</v>
      </c>
      <c r="G185" s="385">
        <f>SUM(G5:G184)</f>
        <v>7015945.6884722197</v>
      </c>
      <c r="H185" s="386">
        <f>SUM(H5:H184)</f>
        <v>12139445.6884722</v>
      </c>
      <c r="I185" s="367"/>
      <c r="J185" s="367"/>
      <c r="L185" s="367"/>
    </row>
    <row r="186" spans="1:12" ht="22.5">
      <c r="A186" s="387"/>
      <c r="B186" s="388" t="s">
        <v>96</v>
      </c>
      <c r="C186" s="352"/>
      <c r="D186" s="389">
        <f>D185+E185+F185</f>
        <v>5123500</v>
      </c>
      <c r="E186" s="390"/>
      <c r="F186" s="390"/>
      <c r="G186" s="390"/>
      <c r="H186" s="390"/>
      <c r="I186" s="369"/>
      <c r="J186" s="369"/>
      <c r="L186" s="367"/>
    </row>
    <row r="187" spans="1:12" ht="15.75">
      <c r="A187" s="344"/>
      <c r="B187" s="347" t="s">
        <v>974</v>
      </c>
      <c r="C187" s="347"/>
      <c r="D187" s="391"/>
      <c r="E187" s="352"/>
      <c r="F187" s="369"/>
      <c r="G187" s="392"/>
      <c r="H187" s="367"/>
      <c r="I187" s="367"/>
      <c r="L187" s="393"/>
    </row>
    <row r="188" spans="1:12" ht="15.75">
      <c r="A188" s="344"/>
      <c r="B188" s="352"/>
      <c r="C188" s="347" t="s">
        <v>975</v>
      </c>
      <c r="D188" s="347" t="s">
        <v>976</v>
      </c>
      <c r="E188" s="352"/>
      <c r="F188" s="392"/>
      <c r="G188" s="392"/>
      <c r="H188" s="393"/>
      <c r="I188" s="367"/>
    </row>
    <row r="189" spans="1:12" ht="18">
      <c r="A189" s="352"/>
      <c r="B189" s="352" t="s">
        <v>977</v>
      </c>
      <c r="C189" s="375">
        <f>22000</f>
        <v>22000</v>
      </c>
      <c r="D189" s="394">
        <f>20000</f>
        <v>20000</v>
      </c>
      <c r="E189" s="395">
        <f>D189-C189</f>
        <v>-2000</v>
      </c>
      <c r="F189" t="s">
        <v>978</v>
      </c>
      <c r="G189" s="367"/>
      <c r="H189" s="367"/>
      <c r="I189" s="367"/>
      <c r="K189" s="367"/>
    </row>
    <row r="190" spans="1:12" ht="18">
      <c r="A190" s="352"/>
      <c r="B190" s="352" t="s">
        <v>979</v>
      </c>
      <c r="C190" s="375">
        <f>52000</f>
        <v>52000</v>
      </c>
      <c r="D190" s="396">
        <f>50000</f>
        <v>50000</v>
      </c>
      <c r="E190" s="375">
        <f t="shared" ref="E190:E191" si="3">D190-C190</f>
        <v>-2000</v>
      </c>
      <c r="G190" s="367"/>
      <c r="H190" s="367"/>
      <c r="I190" s="367"/>
      <c r="K190" s="367"/>
    </row>
    <row r="191" spans="1:12" ht="18">
      <c r="A191" s="352"/>
      <c r="B191" s="352" t="s">
        <v>980</v>
      </c>
      <c r="C191" s="375">
        <f>17000</f>
        <v>17000</v>
      </c>
      <c r="D191" s="396">
        <f>15000</f>
        <v>15000</v>
      </c>
      <c r="E191" s="375">
        <f t="shared" si="3"/>
        <v>-2000</v>
      </c>
      <c r="F191" s="368"/>
      <c r="G191" s="367"/>
      <c r="H191" s="367"/>
      <c r="I191" s="367"/>
      <c r="K191" s="367"/>
    </row>
    <row r="192" spans="1:12" ht="18">
      <c r="A192" s="352"/>
      <c r="B192" s="352" t="s">
        <v>334</v>
      </c>
      <c r="C192" s="375">
        <v>22000</v>
      </c>
      <c r="D192" s="396">
        <f>20000</f>
        <v>20000</v>
      </c>
      <c r="E192" s="375">
        <f t="shared" ref="E192:E195" si="4">D192-C192</f>
        <v>-2000</v>
      </c>
      <c r="F192" s="368"/>
      <c r="G192" s="367"/>
      <c r="H192" s="367"/>
      <c r="I192" s="367"/>
      <c r="K192" s="367"/>
    </row>
    <row r="193" spans="1:11" ht="18">
      <c r="A193" s="352"/>
      <c r="B193" s="352" t="s">
        <v>972</v>
      </c>
      <c r="C193" s="375">
        <v>12000</v>
      </c>
      <c r="D193" s="396">
        <f>10000</f>
        <v>10000</v>
      </c>
      <c r="E193" s="375">
        <f t="shared" si="4"/>
        <v>-2000</v>
      </c>
      <c r="F193" s="368"/>
      <c r="G193" s="367"/>
      <c r="H193" s="367"/>
      <c r="I193" s="367"/>
      <c r="K193" s="367"/>
    </row>
    <row r="194" spans="1:11" ht="18">
      <c r="A194" s="352"/>
      <c r="B194" s="352" t="s">
        <v>329</v>
      </c>
      <c r="C194" s="375">
        <v>12000</v>
      </c>
      <c r="D194" s="396">
        <f>10000</f>
        <v>10000</v>
      </c>
      <c r="E194" s="375">
        <f t="shared" si="4"/>
        <v>-2000</v>
      </c>
      <c r="F194" s="368"/>
      <c r="G194" s="367"/>
      <c r="H194" s="367"/>
      <c r="I194" s="367"/>
      <c r="K194" s="367"/>
    </row>
    <row r="195" spans="1:11" ht="18">
      <c r="A195" s="352"/>
      <c r="B195" s="352" t="s">
        <v>973</v>
      </c>
      <c r="C195" s="375">
        <v>12000</v>
      </c>
      <c r="D195" s="396">
        <f>10000</f>
        <v>10000</v>
      </c>
      <c r="E195" s="375">
        <f t="shared" si="4"/>
        <v>-2000</v>
      </c>
      <c r="F195" s="368"/>
      <c r="G195" s="367"/>
      <c r="H195" s="367"/>
      <c r="I195" s="367"/>
      <c r="K195" s="367"/>
    </row>
    <row r="196" spans="1:11" ht="18">
      <c r="A196" s="344"/>
      <c r="B196" s="397" t="s">
        <v>511</v>
      </c>
      <c r="C196" s="362"/>
      <c r="D196" s="398">
        <f>0</f>
        <v>0</v>
      </c>
      <c r="E196" s="399">
        <f>SUM(E190:E195)</f>
        <v>-12000</v>
      </c>
      <c r="I196" s="371"/>
      <c r="K196" s="367"/>
    </row>
    <row r="197" spans="1:11" ht="15">
      <c r="A197" s="352"/>
      <c r="B197" s="352"/>
      <c r="C197" s="347"/>
      <c r="D197" s="352"/>
      <c r="E197" s="352"/>
      <c r="K197" s="367"/>
    </row>
    <row r="198" spans="1:11" ht="15">
      <c r="A198" s="352"/>
      <c r="B198" s="347" t="s">
        <v>981</v>
      </c>
      <c r="C198" s="347"/>
      <c r="D198" s="352"/>
      <c r="E198" s="352"/>
      <c r="K198" s="367"/>
    </row>
    <row r="199" spans="1:11" ht="15">
      <c r="A199" s="352"/>
      <c r="B199" s="347"/>
      <c r="C199" s="347" t="s">
        <v>975</v>
      </c>
      <c r="D199" s="347" t="s">
        <v>976</v>
      </c>
      <c r="E199" s="352"/>
      <c r="K199" s="367"/>
    </row>
    <row r="200" spans="1:11" ht="18">
      <c r="A200" s="400"/>
      <c r="B200" s="400" t="s">
        <v>982</v>
      </c>
      <c r="C200" s="355">
        <f>20000</f>
        <v>20000</v>
      </c>
      <c r="D200" s="357">
        <f>0</f>
        <v>0</v>
      </c>
      <c r="E200" s="375">
        <f>D200-C200</f>
        <v>-20000</v>
      </c>
      <c r="G200" s="367"/>
      <c r="K200" s="367"/>
    </row>
    <row r="201" spans="1:11" ht="18">
      <c r="A201" s="400"/>
      <c r="B201" s="400" t="s">
        <v>983</v>
      </c>
      <c r="C201" s="355">
        <v>120000</v>
      </c>
      <c r="D201" s="357"/>
      <c r="E201" s="375">
        <f>D201-C201</f>
        <v>-120000</v>
      </c>
      <c r="G201" s="367"/>
      <c r="K201" s="367"/>
    </row>
    <row r="202" spans="1:11" ht="18">
      <c r="A202" s="400"/>
      <c r="B202" s="400"/>
      <c r="C202" s="355"/>
      <c r="D202" s="357"/>
      <c r="E202" s="375"/>
      <c r="G202" s="367"/>
      <c r="K202" s="367"/>
    </row>
    <row r="203" spans="1:11" ht="18">
      <c r="A203" s="400"/>
      <c r="B203" s="400"/>
      <c r="C203" s="375"/>
      <c r="D203" s="375"/>
      <c r="E203" s="375"/>
      <c r="G203" s="367"/>
      <c r="K203" s="367"/>
    </row>
    <row r="204" spans="1:11" ht="18">
      <c r="A204" s="400"/>
      <c r="B204" s="400"/>
      <c r="C204" s="355"/>
      <c r="D204" s="357"/>
      <c r="E204" s="375"/>
      <c r="G204" s="367"/>
      <c r="H204" s="367"/>
      <c r="K204" s="367"/>
    </row>
    <row r="205" spans="1:11" ht="18">
      <c r="A205" s="344"/>
      <c r="B205" s="344"/>
      <c r="C205" s="344"/>
      <c r="D205" s="344"/>
      <c r="E205" s="399">
        <f>SUM(E200:E204)</f>
        <v>-140000</v>
      </c>
      <c r="G205" s="367"/>
      <c r="K205" s="367"/>
    </row>
    <row r="206" spans="1:11" ht="30" customHeight="1">
      <c r="A206" s="344"/>
      <c r="B206" s="397" t="s">
        <v>984</v>
      </c>
      <c r="C206" s="344"/>
      <c r="D206" s="344"/>
      <c r="E206" s="401">
        <f>E196+E205</f>
        <v>-152000</v>
      </c>
      <c r="G206" s="367"/>
      <c r="K206" s="367"/>
    </row>
    <row r="207" spans="1:11" ht="18.75">
      <c r="E207" s="402"/>
      <c r="K207" s="367"/>
    </row>
    <row r="208" spans="1:11" ht="16.5">
      <c r="A208" s="779" t="s">
        <v>711</v>
      </c>
      <c r="B208" s="352" t="s">
        <v>712</v>
      </c>
      <c r="C208" s="353">
        <v>45292</v>
      </c>
      <c r="D208" s="357">
        <v>10000</v>
      </c>
      <c r="E208" s="357">
        <v>0</v>
      </c>
      <c r="F208" s="357">
        <v>0</v>
      </c>
      <c r="G208" s="357">
        <f>40000</f>
        <v>40000</v>
      </c>
      <c r="H208" s="355">
        <f t="shared" ref="H208:H223" si="5">D208+E208+F208+G208</f>
        <v>50000</v>
      </c>
      <c r="I208" s="367"/>
      <c r="K208" s="367"/>
    </row>
    <row r="209" spans="1:14" ht="16.5">
      <c r="A209" s="779" t="s">
        <v>759</v>
      </c>
      <c r="B209" s="352" t="s">
        <v>760</v>
      </c>
      <c r="C209" s="353">
        <v>45292</v>
      </c>
      <c r="D209" s="359">
        <v>30000</v>
      </c>
      <c r="E209" s="359">
        <v>0</v>
      </c>
      <c r="F209" s="359">
        <v>0</v>
      </c>
      <c r="G209" s="359">
        <f>0</f>
        <v>0</v>
      </c>
      <c r="H209" s="355">
        <f t="shared" si="5"/>
        <v>30000</v>
      </c>
      <c r="K209" s="367"/>
    </row>
    <row r="210" spans="1:14" ht="16.5">
      <c r="A210" s="779" t="s">
        <v>794</v>
      </c>
      <c r="B210" s="352" t="s">
        <v>795</v>
      </c>
      <c r="C210" s="353">
        <v>45292</v>
      </c>
      <c r="D210" s="359">
        <v>10000</v>
      </c>
      <c r="E210" s="359">
        <v>0</v>
      </c>
      <c r="F210" s="359"/>
      <c r="G210" s="359">
        <f>20000</f>
        <v>20000</v>
      </c>
      <c r="H210" s="355">
        <f t="shared" si="5"/>
        <v>30000</v>
      </c>
      <c r="K210" s="367"/>
      <c r="N210" s="367"/>
    </row>
    <row r="211" spans="1:14" ht="16.5">
      <c r="A211" s="779" t="s">
        <v>868</v>
      </c>
      <c r="B211" s="352" t="s">
        <v>869</v>
      </c>
      <c r="C211" s="353">
        <v>45292</v>
      </c>
      <c r="D211" s="359"/>
      <c r="E211" s="359"/>
      <c r="F211" s="359"/>
      <c r="G211" s="359"/>
      <c r="H211" s="355">
        <f t="shared" si="5"/>
        <v>0</v>
      </c>
      <c r="I211" s="367"/>
      <c r="K211" s="367"/>
      <c r="N211" s="367"/>
    </row>
    <row r="212" spans="1:14" ht="16.5">
      <c r="A212" s="779" t="s">
        <v>985</v>
      </c>
      <c r="B212" s="352" t="s">
        <v>986</v>
      </c>
      <c r="C212" s="353">
        <v>45292</v>
      </c>
      <c r="D212" s="359">
        <f>5000</f>
        <v>5000</v>
      </c>
      <c r="E212" s="359">
        <f>0</f>
        <v>0</v>
      </c>
      <c r="F212" s="359">
        <f>5000+5000</f>
        <v>10000</v>
      </c>
      <c r="G212" s="359">
        <f>14350</f>
        <v>14350</v>
      </c>
      <c r="H212" s="355">
        <f t="shared" si="5"/>
        <v>29350</v>
      </c>
      <c r="I212" s="369"/>
      <c r="K212" s="367"/>
      <c r="N212" s="367"/>
    </row>
    <row r="213" spans="1:14" ht="16.5">
      <c r="A213" s="779" t="s">
        <v>987</v>
      </c>
      <c r="B213" s="352" t="s">
        <v>988</v>
      </c>
      <c r="C213" s="353">
        <v>45292</v>
      </c>
      <c r="D213" s="359">
        <f>0</f>
        <v>0</v>
      </c>
      <c r="E213" s="359"/>
      <c r="F213" s="359"/>
      <c r="G213" s="359"/>
      <c r="H213" s="355">
        <f t="shared" si="5"/>
        <v>0</v>
      </c>
      <c r="K213" s="367"/>
      <c r="N213" s="367"/>
    </row>
    <row r="214" spans="1:14" ht="16.5">
      <c r="A214" s="779" t="s">
        <v>989</v>
      </c>
      <c r="B214" s="352" t="s">
        <v>990</v>
      </c>
      <c r="C214" s="353">
        <v>45292</v>
      </c>
      <c r="D214" s="359">
        <f>5000</f>
        <v>5000</v>
      </c>
      <c r="E214" s="359"/>
      <c r="F214" s="359"/>
      <c r="G214" s="359">
        <f>0</f>
        <v>0</v>
      </c>
      <c r="H214" s="355">
        <f t="shared" si="5"/>
        <v>5000</v>
      </c>
      <c r="K214" s="367"/>
      <c r="N214" s="367"/>
    </row>
    <row r="215" spans="1:14" ht="16.5">
      <c r="A215" s="779" t="s">
        <v>991</v>
      </c>
      <c r="B215" s="352" t="s">
        <v>992</v>
      </c>
      <c r="C215" s="353">
        <v>45292</v>
      </c>
      <c r="D215" s="359">
        <f>10000</f>
        <v>10000</v>
      </c>
      <c r="E215" s="359">
        <f>0</f>
        <v>0</v>
      </c>
      <c r="F215" s="359"/>
      <c r="G215" s="359">
        <f>20000</f>
        <v>20000</v>
      </c>
      <c r="H215" s="355">
        <f t="shared" si="5"/>
        <v>30000</v>
      </c>
      <c r="J215" s="367"/>
      <c r="K215" s="367"/>
      <c r="N215" s="367"/>
    </row>
    <row r="216" spans="1:14" ht="16.5">
      <c r="A216" s="779" t="s">
        <v>993</v>
      </c>
      <c r="B216" s="352" t="s">
        <v>994</v>
      </c>
      <c r="C216" s="353">
        <v>45292</v>
      </c>
      <c r="D216" s="359">
        <f>25000</f>
        <v>25000</v>
      </c>
      <c r="E216" s="359"/>
      <c r="F216" s="359"/>
      <c r="G216" s="359">
        <f>60640</f>
        <v>60640</v>
      </c>
      <c r="H216" s="355">
        <f t="shared" si="5"/>
        <v>85640</v>
      </c>
      <c r="J216" s="367"/>
      <c r="K216" s="367"/>
      <c r="N216" s="367"/>
    </row>
    <row r="217" spans="1:14" ht="18">
      <c r="A217" s="779" t="s">
        <v>995</v>
      </c>
      <c r="B217" s="352" t="s">
        <v>996</v>
      </c>
      <c r="C217" s="353">
        <v>45292</v>
      </c>
      <c r="D217" s="359">
        <v>10000</v>
      </c>
      <c r="E217" s="359"/>
      <c r="F217" s="359"/>
      <c r="G217" s="360">
        <f>0</f>
        <v>0</v>
      </c>
      <c r="H217" s="355">
        <f t="shared" si="5"/>
        <v>10000</v>
      </c>
      <c r="J217" s="367"/>
      <c r="K217" s="367"/>
      <c r="N217" s="367"/>
    </row>
    <row r="218" spans="1:14" ht="16.5">
      <c r="A218" s="779" t="s">
        <v>950</v>
      </c>
      <c r="B218" s="352" t="s">
        <v>951</v>
      </c>
      <c r="C218" s="353">
        <v>45292</v>
      </c>
      <c r="D218" s="359"/>
      <c r="E218" s="359">
        <f>0</f>
        <v>0</v>
      </c>
      <c r="F218" s="359"/>
      <c r="G218" s="359"/>
      <c r="H218" s="355">
        <f t="shared" si="5"/>
        <v>0</v>
      </c>
      <c r="J218" s="367"/>
      <c r="K218" s="367"/>
      <c r="N218" s="369"/>
    </row>
    <row r="219" spans="1:14" ht="16.5">
      <c r="A219" s="779" t="s">
        <v>965</v>
      </c>
      <c r="B219" s="352" t="s">
        <v>966</v>
      </c>
      <c r="C219" s="353">
        <v>45292</v>
      </c>
      <c r="D219" s="359"/>
      <c r="E219" s="359">
        <f>0</f>
        <v>0</v>
      </c>
      <c r="F219" s="359"/>
      <c r="G219" s="359"/>
      <c r="H219" s="355">
        <f t="shared" si="5"/>
        <v>0</v>
      </c>
      <c r="J219" s="367"/>
      <c r="K219" s="367"/>
      <c r="N219" s="369"/>
    </row>
    <row r="220" spans="1:14" ht="16.5">
      <c r="A220" s="779" t="s">
        <v>997</v>
      </c>
      <c r="B220" s="352" t="s">
        <v>998</v>
      </c>
      <c r="C220" s="353">
        <v>45292</v>
      </c>
      <c r="D220" s="359">
        <f>20000</f>
        <v>20000</v>
      </c>
      <c r="E220" s="359"/>
      <c r="F220" s="359"/>
      <c r="G220" s="359"/>
      <c r="H220" s="355">
        <f t="shared" si="5"/>
        <v>20000</v>
      </c>
      <c r="J220" s="367"/>
      <c r="K220" s="367"/>
      <c r="N220" s="369"/>
    </row>
    <row r="221" spans="1:14" ht="16.5">
      <c r="A221" s="779" t="s">
        <v>999</v>
      </c>
      <c r="B221" s="352" t="s">
        <v>1000</v>
      </c>
      <c r="C221" s="353">
        <v>45292</v>
      </c>
      <c r="D221" s="359">
        <f>20000</f>
        <v>20000</v>
      </c>
      <c r="E221" s="359"/>
      <c r="F221" s="359"/>
      <c r="G221" s="359"/>
      <c r="H221" s="355">
        <f t="shared" si="5"/>
        <v>20000</v>
      </c>
      <c r="J221" s="367"/>
      <c r="K221" s="367"/>
      <c r="N221" s="369"/>
    </row>
    <row r="222" spans="1:14" ht="16.5">
      <c r="A222" s="779" t="s">
        <v>1001</v>
      </c>
      <c r="B222" s="352" t="s">
        <v>93</v>
      </c>
      <c r="C222" s="353">
        <v>45292</v>
      </c>
      <c r="D222" s="359">
        <f>50000</f>
        <v>50000</v>
      </c>
      <c r="E222" s="359"/>
      <c r="F222" s="359"/>
      <c r="G222" s="359"/>
      <c r="H222" s="355">
        <f t="shared" si="5"/>
        <v>50000</v>
      </c>
      <c r="J222" s="367"/>
      <c r="K222" s="367"/>
      <c r="N222" s="369"/>
    </row>
    <row r="223" spans="1:14" ht="16.5">
      <c r="A223" s="779" t="s">
        <v>1002</v>
      </c>
      <c r="B223" s="352" t="s">
        <v>977</v>
      </c>
      <c r="C223" s="353">
        <v>45292</v>
      </c>
      <c r="D223" s="359">
        <f>20000</f>
        <v>20000</v>
      </c>
      <c r="E223" s="359">
        <f>2000</f>
        <v>2000</v>
      </c>
      <c r="F223" s="359"/>
      <c r="G223" s="359"/>
      <c r="H223" s="355">
        <f t="shared" si="5"/>
        <v>22000</v>
      </c>
      <c r="J223" s="367"/>
      <c r="K223" s="367"/>
      <c r="N223" s="369"/>
    </row>
    <row r="224" spans="1:14" ht="16.5">
      <c r="A224" s="344"/>
      <c r="B224" s="344"/>
      <c r="C224" s="403"/>
      <c r="D224" s="386">
        <f>SUM(D208:D223)</f>
        <v>215000</v>
      </c>
      <c r="E224" s="386">
        <f>SUM(E208:E223)</f>
        <v>2000</v>
      </c>
      <c r="F224" s="386">
        <f>SUM(F208:F223)</f>
        <v>10000</v>
      </c>
      <c r="G224" s="386">
        <f>SUM(G208:G223)</f>
        <v>154990</v>
      </c>
      <c r="H224" s="386">
        <f>SUM(H208:H223)</f>
        <v>381990</v>
      </c>
      <c r="I224" s="371"/>
      <c r="J224" s="367"/>
      <c r="K224" s="367"/>
      <c r="N224" s="369"/>
    </row>
    <row r="225" spans="1:13" ht="15">
      <c r="A225" s="346"/>
      <c r="B225" s="346"/>
      <c r="C225" s="346"/>
      <c r="D225" s="404"/>
      <c r="E225" s="404"/>
      <c r="F225" s="404"/>
      <c r="G225" s="404"/>
      <c r="H225" s="404"/>
      <c r="I225" s="367"/>
      <c r="J225" s="367"/>
      <c r="K225" s="367"/>
      <c r="L225" s="367"/>
      <c r="M225" s="367"/>
    </row>
    <row r="226" spans="1:13" ht="15">
      <c r="A226" s="346"/>
      <c r="B226" s="346"/>
      <c r="C226" s="346"/>
      <c r="D226" s="405">
        <f>D185+D224</f>
        <v>4630500</v>
      </c>
      <c r="E226" s="405">
        <f>E185+E224</f>
        <v>2000</v>
      </c>
      <c r="F226" s="405">
        <f>F185+F224</f>
        <v>718000</v>
      </c>
      <c r="G226" s="405">
        <f>G185+G224</f>
        <v>7170935.6884722197</v>
      </c>
      <c r="H226" s="405">
        <f>H185+H224</f>
        <v>12521435.6884722</v>
      </c>
      <c r="I226" s="367"/>
      <c r="J226" s="367"/>
      <c r="K226" s="367"/>
      <c r="L226" s="367"/>
      <c r="M226" s="367"/>
    </row>
    <row r="227" spans="1:13" ht="16.5">
      <c r="B227" s="379"/>
      <c r="E227" s="369"/>
      <c r="F227" s="392"/>
      <c r="H227" s="392"/>
      <c r="I227" s="367"/>
      <c r="J227" s="393"/>
      <c r="K227" s="367"/>
      <c r="M227" s="367"/>
    </row>
    <row r="228" spans="1:13">
      <c r="H228" s="367"/>
      <c r="I228" s="371"/>
      <c r="J228" s="367"/>
      <c r="K228" s="367"/>
      <c r="L228" s="371"/>
      <c r="M228" s="367"/>
    </row>
    <row r="229" spans="1:13">
      <c r="D229" s="369"/>
      <c r="G229" s="369"/>
      <c r="H229" s="367"/>
      <c r="I229" s="369"/>
      <c r="J229" s="367"/>
      <c r="K229" s="367"/>
      <c r="M229" s="367"/>
    </row>
    <row r="230" spans="1:13">
      <c r="E230" s="369"/>
      <c r="H230" s="367"/>
      <c r="K230" s="367"/>
      <c r="M230" s="367"/>
    </row>
    <row r="231" spans="1:13">
      <c r="H231" s="367"/>
      <c r="K231" s="367"/>
      <c r="M231" s="367"/>
    </row>
    <row r="232" spans="1:13" ht="15">
      <c r="H232" s="367"/>
      <c r="K232" s="367"/>
      <c r="M232" s="393"/>
    </row>
    <row r="233" spans="1:13">
      <c r="H233" s="367"/>
      <c r="K233" s="367"/>
    </row>
    <row r="234" spans="1:13">
      <c r="H234" s="367"/>
      <c r="K234" s="367"/>
    </row>
    <row r="235" spans="1:13">
      <c r="H235" s="367"/>
      <c r="K235" s="367"/>
      <c r="M235" s="369"/>
    </row>
    <row r="236" spans="1:13">
      <c r="H236" s="367"/>
      <c r="K236" s="367"/>
    </row>
    <row r="237" spans="1:13">
      <c r="K237" s="367"/>
    </row>
    <row r="238" spans="1:13" ht="15">
      <c r="K238" s="39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812" t="s">
        <v>0</v>
      </c>
      <c r="B1" s="812"/>
      <c r="C1" s="812"/>
      <c r="D1" s="812"/>
      <c r="E1" s="812"/>
    </row>
    <row r="2" spans="1:7" ht="33.75" customHeight="1">
      <c r="A2" s="202" t="s">
        <v>1003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500</v>
      </c>
      <c r="F4" s="65" t="s">
        <v>1004</v>
      </c>
      <c r="G4" s="65" t="s">
        <v>1005</v>
      </c>
    </row>
    <row r="5" spans="1:7" ht="17.25" customHeight="1"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28</v>
      </c>
      <c r="C9" s="2" t="s">
        <v>29</v>
      </c>
      <c r="D9" s="8" t="s">
        <v>27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30</v>
      </c>
      <c r="C10" s="15" t="s">
        <v>31</v>
      </c>
      <c r="D10" s="8" t="s">
        <v>27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32</v>
      </c>
      <c r="C11" s="2" t="s">
        <v>33</v>
      </c>
      <c r="D11" s="8" t="s">
        <v>27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574</v>
      </c>
      <c r="C12" s="8" t="s">
        <v>575</v>
      </c>
      <c r="D12" s="8" t="s">
        <v>27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40</v>
      </c>
      <c r="C15" s="2" t="s">
        <v>41</v>
      </c>
      <c r="D15" s="13" t="s">
        <v>42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43</v>
      </c>
      <c r="C16" s="15" t="s">
        <v>135</v>
      </c>
      <c r="D16" s="13" t="s">
        <v>224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48</v>
      </c>
      <c r="C17" s="2" t="s">
        <v>577</v>
      </c>
      <c r="D17" s="8" t="s">
        <v>194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52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55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60</v>
      </c>
      <c r="C20" s="10" t="s">
        <v>61</v>
      </c>
      <c r="D20" s="13" t="s">
        <v>62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63</v>
      </c>
      <c r="C21" s="15" t="s">
        <v>64</v>
      </c>
      <c r="D21" s="8" t="s">
        <v>65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68</v>
      </c>
      <c r="C22" s="15" t="s">
        <v>69</v>
      </c>
      <c r="D22" s="8" t="s">
        <v>70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73</v>
      </c>
      <c r="C23" s="2" t="s">
        <v>74</v>
      </c>
      <c r="D23" s="8" t="s">
        <v>75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76</v>
      </c>
      <c r="C24" s="10" t="s">
        <v>74</v>
      </c>
      <c r="D24" s="13" t="s">
        <v>75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78</v>
      </c>
      <c r="C25" s="10" t="s">
        <v>79</v>
      </c>
      <c r="D25" s="13" t="s">
        <v>80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81</v>
      </c>
      <c r="C26" s="2" t="s">
        <v>82</v>
      </c>
      <c r="D26" s="8" t="s">
        <v>83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85</v>
      </c>
      <c r="C27" s="15" t="s">
        <v>86</v>
      </c>
      <c r="D27" s="13" t="s">
        <v>80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88</v>
      </c>
      <c r="C28" s="2" t="s">
        <v>89</v>
      </c>
      <c r="D28" s="8" t="s">
        <v>173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1006</v>
      </c>
      <c r="C29" s="10" t="s">
        <v>91</v>
      </c>
      <c r="D29" s="8" t="s">
        <v>173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90</v>
      </c>
      <c r="C30" s="10" t="s">
        <v>91</v>
      </c>
      <c r="D30" s="13" t="s">
        <v>92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96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97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98</v>
      </c>
      <c r="C34" s="2" t="s">
        <v>99</v>
      </c>
      <c r="D34" s="8" t="s">
        <v>100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101</v>
      </c>
      <c r="C35" s="2" t="s">
        <v>612</v>
      </c>
      <c r="D35" s="8" t="s">
        <v>92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103</v>
      </c>
      <c r="C36" s="10" t="s">
        <v>609</v>
      </c>
      <c r="D36" s="13" t="s">
        <v>104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107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108</v>
      </c>
      <c r="C40" s="2" t="s">
        <v>109</v>
      </c>
      <c r="D40" s="8" t="s">
        <v>100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491</v>
      </c>
      <c r="C41" s="2" t="s">
        <v>44</v>
      </c>
      <c r="D41" s="8" t="s">
        <v>36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110</v>
      </c>
      <c r="C42" s="2" t="s">
        <v>111</v>
      </c>
      <c r="D42" s="8" t="s">
        <v>112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113</v>
      </c>
      <c r="C43" s="2" t="s">
        <v>114</v>
      </c>
      <c r="D43" s="8" t="s">
        <v>36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115</v>
      </c>
      <c r="C44" s="2" t="s">
        <v>114</v>
      </c>
      <c r="D44" s="8" t="s">
        <v>36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116</v>
      </c>
      <c r="C45" s="2" t="s">
        <v>114</v>
      </c>
      <c r="D45" s="8" t="s">
        <v>39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117</v>
      </c>
      <c r="C46" s="2" t="s">
        <v>135</v>
      </c>
      <c r="D46" s="14" t="s">
        <v>224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45</v>
      </c>
      <c r="C47" s="2" t="s">
        <v>46</v>
      </c>
      <c r="D47" s="8" t="s">
        <v>47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118</v>
      </c>
      <c r="C48" s="2" t="s">
        <v>119</v>
      </c>
      <c r="D48" s="8" t="s">
        <v>104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120</v>
      </c>
      <c r="C49" s="2" t="s">
        <v>119</v>
      </c>
      <c r="D49" s="8" t="s">
        <v>80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578</v>
      </c>
      <c r="C50" s="2" t="s">
        <v>119</v>
      </c>
      <c r="D50" s="8" t="s">
        <v>80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121</v>
      </c>
      <c r="C51" s="2" t="s">
        <v>119</v>
      </c>
      <c r="D51" s="8" t="s">
        <v>80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96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122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501</v>
      </c>
      <c r="C55" s="10" t="s">
        <v>124</v>
      </c>
      <c r="D55" s="13" t="s">
        <v>100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125</v>
      </c>
      <c r="C56" s="10" t="s">
        <v>126</v>
      </c>
      <c r="D56" s="13" t="s">
        <v>127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96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128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129</v>
      </c>
      <c r="C60" s="15" t="s">
        <v>130</v>
      </c>
      <c r="D60" s="8" t="s">
        <v>100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131</v>
      </c>
      <c r="C61" s="15" t="s">
        <v>132</v>
      </c>
      <c r="D61" s="13" t="s">
        <v>133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134</v>
      </c>
      <c r="C62" s="2" t="s">
        <v>135</v>
      </c>
      <c r="D62" s="8" t="s">
        <v>47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487</v>
      </c>
      <c r="C63" s="15" t="s">
        <v>167</v>
      </c>
      <c r="D63" s="13" t="s">
        <v>52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517</v>
      </c>
      <c r="C64" s="15" t="s">
        <v>135</v>
      </c>
      <c r="D64" s="13" t="s">
        <v>42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136</v>
      </c>
      <c r="C65" s="2" t="s">
        <v>119</v>
      </c>
      <c r="D65" s="8" t="s">
        <v>137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138</v>
      </c>
      <c r="C66" s="15" t="s">
        <v>67</v>
      </c>
      <c r="D66" s="8" t="s">
        <v>137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139</v>
      </c>
      <c r="C67" s="15" t="s">
        <v>67</v>
      </c>
      <c r="D67" s="8" t="s">
        <v>137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140</v>
      </c>
      <c r="C68" s="2" t="s">
        <v>141</v>
      </c>
      <c r="D68" s="8" t="s">
        <v>62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142</v>
      </c>
      <c r="C69" s="2" t="s">
        <v>119</v>
      </c>
      <c r="D69" s="8" t="s">
        <v>104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77</v>
      </c>
      <c r="C70" s="15" t="s">
        <v>64</v>
      </c>
      <c r="D70" s="8" t="s">
        <v>75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96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143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144</v>
      </c>
      <c r="C74" s="2" t="s">
        <v>145</v>
      </c>
      <c r="D74" s="8" t="s">
        <v>100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518</v>
      </c>
      <c r="C75" s="2" t="s">
        <v>570</v>
      </c>
      <c r="D75" s="13" t="s">
        <v>571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519</v>
      </c>
      <c r="C76" s="10" t="s">
        <v>572</v>
      </c>
      <c r="D76" s="8" t="s">
        <v>127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148</v>
      </c>
      <c r="C77" s="2" t="s">
        <v>149</v>
      </c>
      <c r="D77" s="13" t="s">
        <v>150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151</v>
      </c>
      <c r="C78" s="2" t="s">
        <v>154</v>
      </c>
      <c r="D78" s="8" t="s">
        <v>267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153</v>
      </c>
      <c r="C79" s="2" t="s">
        <v>154</v>
      </c>
      <c r="D79" s="8" t="s">
        <v>80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155</v>
      </c>
      <c r="C80" s="2" t="s">
        <v>156</v>
      </c>
      <c r="D80" s="8" t="s">
        <v>92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96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157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158</v>
      </c>
      <c r="C84" s="2" t="s">
        <v>114</v>
      </c>
      <c r="D84" s="8" t="s">
        <v>36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159</v>
      </c>
      <c r="C85" s="2" t="s">
        <v>114</v>
      </c>
      <c r="D85" s="8" t="s">
        <v>36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203</v>
      </c>
      <c r="C86" s="2" t="s">
        <v>114</v>
      </c>
      <c r="D86" s="8" t="s">
        <v>133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160</v>
      </c>
      <c r="C87" s="2" t="s">
        <v>114</v>
      </c>
      <c r="D87" s="8" t="s">
        <v>39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161</v>
      </c>
      <c r="C88" s="2" t="s">
        <v>458</v>
      </c>
      <c r="D88" s="13" t="s">
        <v>194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162</v>
      </c>
      <c r="C89" s="10" t="s">
        <v>167</v>
      </c>
      <c r="D89" s="13" t="s">
        <v>52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163</v>
      </c>
      <c r="C90" s="10" t="s">
        <v>135</v>
      </c>
      <c r="D90" s="13" t="s">
        <v>164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165</v>
      </c>
      <c r="C91" s="15" t="s">
        <v>67</v>
      </c>
      <c r="D91" s="13" t="s">
        <v>137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166</v>
      </c>
      <c r="C92" s="15" t="s">
        <v>67</v>
      </c>
      <c r="D92" s="13" t="s">
        <v>168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169</v>
      </c>
      <c r="C93" s="2" t="s">
        <v>170</v>
      </c>
      <c r="D93" s="8" t="s">
        <v>104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171</v>
      </c>
      <c r="C94" s="15" t="s">
        <v>172</v>
      </c>
      <c r="D94" s="13" t="s">
        <v>173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96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174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175</v>
      </c>
      <c r="C98" s="2" t="s">
        <v>176</v>
      </c>
      <c r="D98" s="14" t="s">
        <v>191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178</v>
      </c>
      <c r="C99" s="2" t="s">
        <v>179</v>
      </c>
      <c r="D99" s="13" t="s">
        <v>150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182</v>
      </c>
      <c r="C100" s="2" t="s">
        <v>183</v>
      </c>
      <c r="D100" s="13" t="s">
        <v>62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184</v>
      </c>
      <c r="C101" s="2" t="s">
        <v>185</v>
      </c>
      <c r="D101" s="13" t="s">
        <v>104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96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186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189</v>
      </c>
      <c r="C106" s="2" t="s">
        <v>190</v>
      </c>
      <c r="D106" s="14" t="s">
        <v>191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196</v>
      </c>
      <c r="C109" s="2" t="s">
        <v>197</v>
      </c>
      <c r="D109" s="13" t="s">
        <v>198</v>
      </c>
      <c r="E109" s="331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199</v>
      </c>
      <c r="C110" s="2" t="s">
        <v>197</v>
      </c>
      <c r="D110" s="8" t="s">
        <v>200</v>
      </c>
      <c r="E110" s="331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201</v>
      </c>
      <c r="C111" s="2" t="s">
        <v>197</v>
      </c>
      <c r="D111" s="13" t="s">
        <v>173</v>
      </c>
      <c r="E111" s="331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96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202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204</v>
      </c>
      <c r="C115" s="2" t="s">
        <v>205</v>
      </c>
      <c r="D115" s="13" t="s">
        <v>62</v>
      </c>
      <c r="E115" s="332">
        <v>400000</v>
      </c>
      <c r="F115" s="332">
        <f>E115</f>
        <v>400000</v>
      </c>
      <c r="G115" s="332"/>
    </row>
    <row r="116" spans="1:7" ht="18.75" customHeight="1">
      <c r="A116" s="8">
        <v>2</v>
      </c>
      <c r="B116" s="9" t="s">
        <v>206</v>
      </c>
      <c r="C116" s="10" t="s">
        <v>579</v>
      </c>
      <c r="D116" s="13" t="s">
        <v>255</v>
      </c>
      <c r="E116" s="332">
        <v>400000</v>
      </c>
      <c r="F116" s="332">
        <f>E116</f>
        <v>400000</v>
      </c>
      <c r="G116" s="332"/>
    </row>
    <row r="117" spans="1:7" ht="20.100000000000001" customHeight="1">
      <c r="A117" s="2"/>
      <c r="B117" s="18" t="s">
        <v>96</v>
      </c>
      <c r="C117" s="19">
        <v>2</v>
      </c>
      <c r="D117" s="24"/>
      <c r="E117" s="333">
        <f>SUM(E115:E116)</f>
        <v>800000</v>
      </c>
      <c r="F117" s="333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215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218</v>
      </c>
      <c r="C121" s="10" t="s">
        <v>219</v>
      </c>
      <c r="D121" s="13" t="s">
        <v>112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521</v>
      </c>
      <c r="C123" s="10" t="s">
        <v>221</v>
      </c>
      <c r="D123" s="13" t="s">
        <v>133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222</v>
      </c>
      <c r="C124" s="10" t="s">
        <v>223</v>
      </c>
      <c r="D124" s="13" t="s">
        <v>224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225</v>
      </c>
      <c r="C125" s="10" t="s">
        <v>226</v>
      </c>
      <c r="D125" s="13" t="s">
        <v>47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227</v>
      </c>
      <c r="C126" s="10" t="s">
        <v>223</v>
      </c>
      <c r="D126" s="13" t="s">
        <v>150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228</v>
      </c>
      <c r="C127" s="10" t="s">
        <v>229</v>
      </c>
      <c r="D127" s="8" t="s">
        <v>75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230</v>
      </c>
      <c r="C128" s="10" t="s">
        <v>231</v>
      </c>
      <c r="D128" s="13" t="s">
        <v>92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232</v>
      </c>
      <c r="C129" s="10" t="s">
        <v>233</v>
      </c>
      <c r="D129" s="13" t="s">
        <v>92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96</v>
      </c>
      <c r="C130" s="24" t="s">
        <v>235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236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522</v>
      </c>
      <c r="C134" s="10" t="s">
        <v>573</v>
      </c>
      <c r="D134" s="13" t="s">
        <v>191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239</v>
      </c>
      <c r="C135" s="2" t="s">
        <v>240</v>
      </c>
      <c r="D135" s="14" t="s">
        <v>191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241</v>
      </c>
      <c r="C136" s="10" t="s">
        <v>580</v>
      </c>
      <c r="D136" s="13" t="s">
        <v>42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243</v>
      </c>
      <c r="C137" s="2" t="s">
        <v>581</v>
      </c>
      <c r="D137" s="13" t="s">
        <v>42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245</v>
      </c>
      <c r="C138" s="2" t="s">
        <v>581</v>
      </c>
      <c r="D138" s="13" t="s">
        <v>42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180</v>
      </c>
      <c r="C139" s="10" t="s">
        <v>582</v>
      </c>
      <c r="D139" s="13" t="s">
        <v>255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246</v>
      </c>
      <c r="C140" s="10" t="s">
        <v>582</v>
      </c>
      <c r="D140" s="13" t="s">
        <v>255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247</v>
      </c>
      <c r="C141" s="2" t="s">
        <v>583</v>
      </c>
      <c r="D141" s="13" t="s">
        <v>255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249</v>
      </c>
      <c r="C142" s="10" t="s">
        <v>250</v>
      </c>
      <c r="D142" s="13" t="s">
        <v>62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251</v>
      </c>
      <c r="C143" s="10" t="s">
        <v>252</v>
      </c>
      <c r="D143" s="13" t="s">
        <v>137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253</v>
      </c>
      <c r="C144" s="10" t="s">
        <v>254</v>
      </c>
      <c r="D144" s="13" t="s">
        <v>255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256</v>
      </c>
      <c r="C145" s="2" t="s">
        <v>257</v>
      </c>
      <c r="D145" s="13" t="s">
        <v>65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258</v>
      </c>
      <c r="C146" s="2" t="s">
        <v>584</v>
      </c>
      <c r="D146" s="13" t="s">
        <v>267</v>
      </c>
      <c r="E146" s="331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259</v>
      </c>
      <c r="C147" s="2" t="s">
        <v>584</v>
      </c>
      <c r="D147" s="13" t="s">
        <v>585</v>
      </c>
      <c r="E147" s="331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260</v>
      </c>
      <c r="C148" s="2" t="s">
        <v>584</v>
      </c>
      <c r="D148" s="13" t="s">
        <v>585</v>
      </c>
      <c r="E148" s="331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261</v>
      </c>
      <c r="C149" s="10" t="s">
        <v>262</v>
      </c>
      <c r="D149" s="13" t="s">
        <v>104</v>
      </c>
      <c r="E149" s="331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263</v>
      </c>
      <c r="C150" s="10" t="s">
        <v>264</v>
      </c>
      <c r="D150" s="8" t="s">
        <v>80</v>
      </c>
      <c r="E150" s="331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265</v>
      </c>
      <c r="C151" s="10" t="s">
        <v>266</v>
      </c>
      <c r="D151" s="13" t="s">
        <v>267</v>
      </c>
      <c r="E151" s="331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268</v>
      </c>
      <c r="C152" s="10" t="s">
        <v>269</v>
      </c>
      <c r="D152" s="13" t="s">
        <v>75</v>
      </c>
      <c r="E152" s="331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270</v>
      </c>
      <c r="C153" s="10" t="s">
        <v>271</v>
      </c>
      <c r="D153" s="13" t="s">
        <v>267</v>
      </c>
      <c r="E153" s="331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272</v>
      </c>
      <c r="C154" s="10" t="s">
        <v>273</v>
      </c>
      <c r="D154" s="13" t="s">
        <v>75</v>
      </c>
      <c r="E154" s="331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274</v>
      </c>
      <c r="C155" s="10" t="s">
        <v>275</v>
      </c>
      <c r="D155" s="13" t="s">
        <v>83</v>
      </c>
      <c r="E155" s="331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277</v>
      </c>
      <c r="C156" s="10" t="s">
        <v>278</v>
      </c>
      <c r="D156" s="13" t="s">
        <v>92</v>
      </c>
      <c r="E156" s="331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279</v>
      </c>
      <c r="C157" s="10" t="s">
        <v>280</v>
      </c>
      <c r="D157" s="13" t="s">
        <v>92</v>
      </c>
      <c r="E157" s="331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281</v>
      </c>
      <c r="C158" s="10" t="s">
        <v>282</v>
      </c>
      <c r="D158" s="13" t="s">
        <v>92</v>
      </c>
      <c r="E158" s="331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283</v>
      </c>
      <c r="C159" s="10" t="s">
        <v>284</v>
      </c>
      <c r="D159" s="13" t="s">
        <v>173</v>
      </c>
      <c r="E159" s="331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285</v>
      </c>
      <c r="C160" s="10" t="s">
        <v>280</v>
      </c>
      <c r="D160" s="13" t="s">
        <v>92</v>
      </c>
      <c r="E160" s="331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289</v>
      </c>
      <c r="C161" s="10" t="s">
        <v>290</v>
      </c>
      <c r="D161" s="13" t="s">
        <v>291</v>
      </c>
      <c r="E161" s="334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292</v>
      </c>
      <c r="C162" s="10" t="s">
        <v>290</v>
      </c>
      <c r="D162" s="13" t="s">
        <v>291</v>
      </c>
      <c r="E162" s="334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293</v>
      </c>
      <c r="C163" s="10" t="s">
        <v>290</v>
      </c>
      <c r="D163" s="13" t="s">
        <v>291</v>
      </c>
      <c r="E163" s="334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294</v>
      </c>
      <c r="C164" s="10" t="s">
        <v>290</v>
      </c>
      <c r="D164" s="13" t="s">
        <v>291</v>
      </c>
      <c r="E164" s="334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295</v>
      </c>
      <c r="C165" s="10" t="s">
        <v>290</v>
      </c>
      <c r="D165" s="13" t="s">
        <v>291</v>
      </c>
      <c r="E165" s="334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296</v>
      </c>
      <c r="C166" s="10" t="s">
        <v>290</v>
      </c>
      <c r="D166" s="13" t="s">
        <v>297</v>
      </c>
      <c r="E166" s="334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298</v>
      </c>
      <c r="C167" s="10" t="s">
        <v>290</v>
      </c>
      <c r="D167" s="13" t="s">
        <v>297</v>
      </c>
      <c r="E167" s="334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299</v>
      </c>
      <c r="C168" s="10" t="s">
        <v>290</v>
      </c>
      <c r="D168" s="13" t="s">
        <v>297</v>
      </c>
      <c r="E168" s="334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300</v>
      </c>
      <c r="C169" s="10" t="s">
        <v>290</v>
      </c>
      <c r="D169" s="13" t="s">
        <v>297</v>
      </c>
      <c r="E169" s="334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301</v>
      </c>
      <c r="C170" s="10" t="s">
        <v>290</v>
      </c>
      <c r="D170" s="13" t="s">
        <v>297</v>
      </c>
      <c r="E170" s="334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302</v>
      </c>
      <c r="C171" s="10" t="s">
        <v>290</v>
      </c>
      <c r="D171" s="13" t="s">
        <v>297</v>
      </c>
      <c r="E171" s="334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303</v>
      </c>
      <c r="C172" s="10" t="s">
        <v>304</v>
      </c>
      <c r="D172" s="13" t="s">
        <v>305</v>
      </c>
      <c r="E172" s="334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306</v>
      </c>
      <c r="C173" s="10" t="s">
        <v>304</v>
      </c>
      <c r="D173" s="13" t="s">
        <v>305</v>
      </c>
      <c r="E173" s="334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307</v>
      </c>
      <c r="C174" s="10" t="s">
        <v>304</v>
      </c>
      <c r="D174" s="13" t="s">
        <v>308</v>
      </c>
      <c r="E174" s="334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309</v>
      </c>
      <c r="C175" s="10" t="s">
        <v>310</v>
      </c>
      <c r="D175" s="13" t="s">
        <v>311</v>
      </c>
      <c r="E175" s="334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312</v>
      </c>
      <c r="C176" s="10" t="s">
        <v>313</v>
      </c>
      <c r="D176" s="13" t="s">
        <v>314</v>
      </c>
      <c r="E176" s="334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315</v>
      </c>
      <c r="C177" s="10" t="s">
        <v>313</v>
      </c>
      <c r="D177" s="13" t="s">
        <v>314</v>
      </c>
      <c r="E177" s="334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316</v>
      </c>
      <c r="C178" s="10" t="s">
        <v>313</v>
      </c>
      <c r="D178" s="13" t="s">
        <v>314</v>
      </c>
      <c r="E178" s="334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317</v>
      </c>
      <c r="C179" s="10" t="s">
        <v>313</v>
      </c>
      <c r="D179" s="13" t="s">
        <v>314</v>
      </c>
      <c r="E179" s="334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318</v>
      </c>
      <c r="C180" s="10" t="s">
        <v>313</v>
      </c>
      <c r="D180" s="13" t="s">
        <v>314</v>
      </c>
      <c r="E180" s="334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319</v>
      </c>
      <c r="C181" s="10" t="s">
        <v>313</v>
      </c>
      <c r="D181" s="13" t="s">
        <v>314</v>
      </c>
      <c r="E181" s="334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320</v>
      </c>
      <c r="C182" s="10" t="s">
        <v>313</v>
      </c>
      <c r="D182" s="13" t="s">
        <v>314</v>
      </c>
      <c r="E182" s="334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321</v>
      </c>
      <c r="C183" s="10" t="s">
        <v>310</v>
      </c>
      <c r="D183" s="13" t="s">
        <v>314</v>
      </c>
      <c r="E183" s="334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322</v>
      </c>
      <c r="C184" s="10" t="s">
        <v>310</v>
      </c>
      <c r="D184" s="13" t="s">
        <v>314</v>
      </c>
      <c r="E184" s="334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323</v>
      </c>
      <c r="C185" s="10" t="s">
        <v>324</v>
      </c>
      <c r="D185" s="13" t="s">
        <v>325</v>
      </c>
      <c r="E185" s="334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328</v>
      </c>
      <c r="C186" s="10" t="s">
        <v>313</v>
      </c>
      <c r="D186" s="13" t="s">
        <v>586</v>
      </c>
      <c r="E186" s="334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329</v>
      </c>
      <c r="C187" s="10" t="s">
        <v>330</v>
      </c>
      <c r="D187" s="13" t="s">
        <v>331</v>
      </c>
      <c r="E187" s="334">
        <v>100000</v>
      </c>
      <c r="F187" s="69">
        <f t="shared" si="23"/>
        <v>100000</v>
      </c>
      <c r="G187" s="335"/>
    </row>
    <row r="188" spans="1:7" ht="20.100000000000001" customHeight="1">
      <c r="A188" s="25">
        <v>56</v>
      </c>
      <c r="B188" s="16" t="s">
        <v>332</v>
      </c>
      <c r="C188" s="10" t="s">
        <v>330</v>
      </c>
      <c r="D188" s="13" t="s">
        <v>331</v>
      </c>
      <c r="E188" s="334">
        <v>100000</v>
      </c>
      <c r="F188" s="69">
        <f t="shared" si="23"/>
        <v>100000</v>
      </c>
      <c r="G188" s="335"/>
    </row>
    <row r="189" spans="1:7" ht="20.100000000000001" customHeight="1">
      <c r="A189" s="25">
        <v>57</v>
      </c>
      <c r="B189" s="16" t="s">
        <v>333</v>
      </c>
      <c r="C189" s="10" t="s">
        <v>330</v>
      </c>
      <c r="D189" s="13" t="s">
        <v>331</v>
      </c>
      <c r="E189" s="334">
        <v>100000</v>
      </c>
      <c r="F189" s="69">
        <f t="shared" si="23"/>
        <v>100000</v>
      </c>
      <c r="G189" s="335"/>
    </row>
    <row r="190" spans="1:7" ht="20.100000000000001" customHeight="1">
      <c r="A190" s="25">
        <v>58</v>
      </c>
      <c r="B190" s="16" t="s">
        <v>334</v>
      </c>
      <c r="C190" s="10" t="s">
        <v>335</v>
      </c>
      <c r="D190" s="13" t="s">
        <v>336</v>
      </c>
      <c r="E190" s="334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337</v>
      </c>
      <c r="C191" s="10" t="s">
        <v>335</v>
      </c>
      <c r="D191" s="13" t="s">
        <v>336</v>
      </c>
      <c r="E191" s="334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96</v>
      </c>
      <c r="C192" s="26" t="s">
        <v>587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339</v>
      </c>
      <c r="C194" s="29">
        <f>C192+C130+C117+C112+C102+C95+C81+C71+C57+C52+J1+C37+C31</f>
        <v>153</v>
      </c>
      <c r="D194" s="29"/>
      <c r="E194" s="336">
        <f>E192+E130+E117+E112+E102+E95+E81+E71+E57+E52+E37+E31</f>
        <v>61550000</v>
      </c>
      <c r="F194" s="336">
        <f t="shared" ref="F194:G194" si="25">F192+F130+F117+F112+F102+F95+F81+F71+F57+F52+F37+F31</f>
        <v>27600000</v>
      </c>
      <c r="G194" s="336">
        <f t="shared" si="25"/>
        <v>33950000</v>
      </c>
    </row>
    <row r="195" spans="1:7" ht="20.100000000000001" customHeight="1">
      <c r="B195" s="31"/>
      <c r="D195" s="32"/>
      <c r="E195" s="337"/>
      <c r="F195" s="337"/>
      <c r="G195" s="337"/>
    </row>
    <row r="196" spans="1:7" ht="36.75" customHeight="1">
      <c r="A196" s="338"/>
      <c r="B196" s="339"/>
      <c r="C196" s="340"/>
      <c r="D196" s="340"/>
      <c r="E196" s="341"/>
      <c r="F196" s="341"/>
      <c r="G196" s="342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793" t="s">
        <v>0</v>
      </c>
      <c r="B1" s="793"/>
      <c r="C1" s="793"/>
      <c r="D1" s="793"/>
      <c r="E1" s="793"/>
      <c r="F1" s="79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1007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1008</v>
      </c>
      <c r="E4" s="65" t="s">
        <v>5</v>
      </c>
      <c r="F4" s="19" t="s">
        <v>640</v>
      </c>
      <c r="G4" s="19" t="s">
        <v>641</v>
      </c>
      <c r="H4" s="65" t="s">
        <v>642</v>
      </c>
      <c r="I4" s="19" t="s">
        <v>643</v>
      </c>
      <c r="J4" s="19" t="s">
        <v>644</v>
      </c>
      <c r="K4" s="19" t="s">
        <v>645</v>
      </c>
      <c r="L4" s="65" t="s">
        <v>7</v>
      </c>
      <c r="M4" s="65" t="s">
        <v>7</v>
      </c>
      <c r="N4" s="19" t="s">
        <v>646</v>
      </c>
      <c r="O4" s="19" t="s">
        <v>646</v>
      </c>
      <c r="P4" s="65" t="s">
        <v>8</v>
      </c>
      <c r="Q4" s="268" t="s">
        <v>446</v>
      </c>
      <c r="R4" s="5" t="s">
        <v>447</v>
      </c>
      <c r="S4" s="268" t="s">
        <v>448</v>
      </c>
      <c r="T4" s="65" t="s">
        <v>449</v>
      </c>
      <c r="U4" s="65" t="s">
        <v>450</v>
      </c>
      <c r="V4" s="65" t="s">
        <v>451</v>
      </c>
      <c r="W4" s="65" t="s">
        <v>452</v>
      </c>
      <c r="X4" s="65" t="s">
        <v>453</v>
      </c>
      <c r="Y4" s="281" t="s">
        <v>454</v>
      </c>
      <c r="Z4" s="282" t="s">
        <v>455</v>
      </c>
      <c r="AA4" s="65" t="s">
        <v>456</v>
      </c>
      <c r="AB4" s="283" t="s">
        <v>457</v>
      </c>
    </row>
    <row r="5" spans="1:30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30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1009</v>
      </c>
      <c r="C7" s="1" t="s">
        <v>1010</v>
      </c>
      <c r="D7" s="13" t="s">
        <v>1011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83</v>
      </c>
      <c r="S7" s="185">
        <f>205204.08</f>
        <v>205204.08</v>
      </c>
      <c r="T7" s="70">
        <f>205204.08-183791.03</f>
        <v>21413.05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96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107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110</v>
      </c>
      <c r="C11" s="2" t="s">
        <v>114</v>
      </c>
      <c r="D11" s="8" t="s">
        <v>36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1012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116</v>
      </c>
      <c r="C12" s="2" t="s">
        <v>46</v>
      </c>
      <c r="D12" s="8" t="s">
        <v>224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39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96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215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218</v>
      </c>
      <c r="C17" s="10" t="s">
        <v>221</v>
      </c>
      <c r="D17" s="13" t="s">
        <v>36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1012</v>
      </c>
      <c r="S17" s="185">
        <f>'SALARY STRUCTURE'!H19+190000</f>
        <v>614023.33333333302</v>
      </c>
      <c r="T17" s="70">
        <f>S17-Q17</f>
        <v>66469.830833333297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53697.620833333298</v>
      </c>
      <c r="AA17" s="70">
        <v>11</v>
      </c>
      <c r="AB17" s="197">
        <f t="shared" si="7"/>
        <v>590673.82916666602</v>
      </c>
      <c r="AC17" s="11"/>
    </row>
    <row r="18" spans="1:29" ht="20.100000000000001" customHeight="1">
      <c r="A18" s="2"/>
      <c r="B18" s="9" t="s">
        <v>225</v>
      </c>
      <c r="C18" s="10" t="s">
        <v>226</v>
      </c>
      <c r="D18" s="13" t="s">
        <v>52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1013</v>
      </c>
      <c r="S18" s="70">
        <f>'DECEMBER 2024'!J133</f>
        <v>526622.25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96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66469.830833333297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53697.620833333298</v>
      </c>
      <c r="AA19" s="122"/>
      <c r="AB19" s="199">
        <f>SUM(AB17:AB17)</f>
        <v>590673.82916666602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215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303</v>
      </c>
      <c r="C22" s="10" t="s">
        <v>310</v>
      </c>
      <c r="D22" s="13" t="s">
        <v>311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305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'[10]October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306</v>
      </c>
      <c r="C23" s="264" t="s">
        <v>310</v>
      </c>
      <c r="D23" s="265" t="s">
        <v>311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5" t="s">
        <v>305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'[10]October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307</v>
      </c>
      <c r="C24" s="10" t="s">
        <v>310</v>
      </c>
      <c r="D24" s="13" t="s">
        <v>1014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305</v>
      </c>
      <c r="S24" s="185">
        <v>115104.91666666701</v>
      </c>
      <c r="T24" s="70">
        <f t="shared" si="33"/>
        <v>31734.8256666667</v>
      </c>
      <c r="U24" s="70"/>
      <c r="V24" s="70"/>
      <c r="W24" s="271">
        <v>4504.4109200000003</v>
      </c>
      <c r="X24" s="70">
        <f>'[10]October 2023'!$Z$164</f>
        <v>8312.59</v>
      </c>
      <c r="Y24" s="70">
        <f t="shared" si="34"/>
        <v>3808.1790799999999</v>
      </c>
      <c r="Z24" s="197">
        <f t="shared" si="35"/>
        <v>27926.646586666699</v>
      </c>
      <c r="AA24" s="70">
        <v>8</v>
      </c>
      <c r="AB24" s="197">
        <f t="shared" si="36"/>
        <v>223413.17269333359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339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806" t="s">
        <v>0</v>
      </c>
      <c r="B1" s="806"/>
      <c r="C1" s="806"/>
      <c r="D1" s="806"/>
      <c r="E1" s="806"/>
    </row>
    <row r="2" spans="1:6" ht="33.75" customHeight="1">
      <c r="A2" s="202" t="s">
        <v>1015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8" t="s">
        <v>500</v>
      </c>
    </row>
    <row r="5" spans="1:6" ht="17.25" customHeight="1">
      <c r="C5" s="6"/>
      <c r="D5" s="6"/>
      <c r="E5" s="319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319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317">
        <v>540000</v>
      </c>
      <c r="F7" s="11"/>
    </row>
    <row r="8" spans="1:6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317">
        <v>180000</v>
      </c>
      <c r="F8" s="11"/>
    </row>
    <row r="9" spans="1:6" ht="20.100000000000001" customHeight="1">
      <c r="A9" s="8">
        <v>3</v>
      </c>
      <c r="B9" s="12" t="s">
        <v>28</v>
      </c>
      <c r="C9" s="2" t="s">
        <v>29</v>
      </c>
      <c r="D9" s="13" t="s">
        <v>112</v>
      </c>
      <c r="E9" s="317">
        <v>180000</v>
      </c>
      <c r="F9" s="11"/>
    </row>
    <row r="10" spans="1:6" ht="20.100000000000001" customHeight="1">
      <c r="A10" s="8">
        <v>4</v>
      </c>
      <c r="B10" s="9" t="s">
        <v>30</v>
      </c>
      <c r="C10" s="15" t="s">
        <v>31</v>
      </c>
      <c r="D10" s="14" t="s">
        <v>112</v>
      </c>
      <c r="E10" s="317">
        <v>180000</v>
      </c>
      <c r="F10" s="11"/>
    </row>
    <row r="11" spans="1:6" ht="20.100000000000001" customHeight="1">
      <c r="A11" s="8">
        <v>5</v>
      </c>
      <c r="B11" s="12" t="s">
        <v>32</v>
      </c>
      <c r="C11" s="2" t="s">
        <v>33</v>
      </c>
      <c r="D11" s="14" t="s">
        <v>112</v>
      </c>
      <c r="E11" s="317">
        <v>180000</v>
      </c>
      <c r="F11" s="11"/>
    </row>
    <row r="12" spans="1:6" ht="20.100000000000001" customHeight="1">
      <c r="A12" s="8">
        <v>6</v>
      </c>
      <c r="B12" s="16" t="s">
        <v>574</v>
      </c>
      <c r="C12" s="8" t="s">
        <v>575</v>
      </c>
      <c r="D12" s="13" t="s">
        <v>112</v>
      </c>
      <c r="E12" s="317">
        <v>180000</v>
      </c>
      <c r="F12" s="11"/>
    </row>
    <row r="13" spans="1:6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317">
        <v>126000</v>
      </c>
      <c r="F13" s="11"/>
    </row>
    <row r="14" spans="1:6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317">
        <v>126000</v>
      </c>
      <c r="F14" s="11"/>
    </row>
    <row r="15" spans="1:6" ht="20.100000000000001" customHeight="1">
      <c r="A15" s="8">
        <v>9</v>
      </c>
      <c r="B15" s="9" t="s">
        <v>40</v>
      </c>
      <c r="C15" s="2" t="s">
        <v>41</v>
      </c>
      <c r="D15" s="13" t="s">
        <v>224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43</v>
      </c>
      <c r="C16" s="15" t="s">
        <v>135</v>
      </c>
      <c r="D16" s="13" t="s">
        <v>150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48</v>
      </c>
      <c r="C17" s="2" t="s">
        <v>577</v>
      </c>
      <c r="D17" s="8" t="s">
        <v>194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1016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1017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60</v>
      </c>
      <c r="C20" s="10" t="s">
        <v>61</v>
      </c>
      <c r="D20" s="13" t="s">
        <v>137</v>
      </c>
      <c r="E20" s="317">
        <v>54000</v>
      </c>
      <c r="F20" s="11"/>
    </row>
    <row r="21" spans="1:6" ht="20.100000000000001" customHeight="1">
      <c r="A21" s="8">
        <v>15</v>
      </c>
      <c r="B21" s="12" t="s">
        <v>63</v>
      </c>
      <c r="C21" s="15" t="s">
        <v>64</v>
      </c>
      <c r="D21" s="8" t="s">
        <v>65</v>
      </c>
      <c r="E21" s="317">
        <v>54000</v>
      </c>
      <c r="F21" s="11"/>
    </row>
    <row r="22" spans="1:6" ht="20.100000000000001" customHeight="1">
      <c r="A22" s="8">
        <v>16</v>
      </c>
      <c r="B22" s="12" t="s">
        <v>68</v>
      </c>
      <c r="C22" s="15" t="s">
        <v>69</v>
      </c>
      <c r="D22" s="8" t="s">
        <v>70</v>
      </c>
      <c r="E22" s="317">
        <v>54000</v>
      </c>
      <c r="F22" s="11"/>
    </row>
    <row r="23" spans="1:6" ht="18.75" customHeight="1">
      <c r="A23" s="8">
        <v>17</v>
      </c>
      <c r="B23" s="2" t="s">
        <v>73</v>
      </c>
      <c r="C23" s="2" t="s">
        <v>74</v>
      </c>
      <c r="D23" s="8" t="s">
        <v>80</v>
      </c>
      <c r="E23" s="317">
        <v>54000</v>
      </c>
      <c r="F23" s="11"/>
    </row>
    <row r="24" spans="1:6" ht="18.75" customHeight="1">
      <c r="A24" s="8">
        <v>18</v>
      </c>
      <c r="B24" s="16" t="s">
        <v>76</v>
      </c>
      <c r="C24" s="10" t="s">
        <v>74</v>
      </c>
      <c r="D24" s="13" t="s">
        <v>80</v>
      </c>
      <c r="E24" s="317">
        <v>54000</v>
      </c>
      <c r="F24" s="11"/>
    </row>
    <row r="25" spans="1:6" ht="18.75" customHeight="1">
      <c r="A25" s="8">
        <v>19</v>
      </c>
      <c r="B25" s="16" t="s">
        <v>78</v>
      </c>
      <c r="C25" s="10" t="s">
        <v>79</v>
      </c>
      <c r="D25" s="13" t="s">
        <v>83</v>
      </c>
      <c r="E25" s="317">
        <v>54000</v>
      </c>
      <c r="F25" s="11"/>
    </row>
    <row r="26" spans="1:6" ht="18.75" customHeight="1">
      <c r="A26" s="8">
        <v>20</v>
      </c>
      <c r="B26" s="16" t="s">
        <v>81</v>
      </c>
      <c r="C26" s="2" t="s">
        <v>82</v>
      </c>
      <c r="D26" s="8" t="s">
        <v>83</v>
      </c>
      <c r="E26" s="317">
        <v>54000</v>
      </c>
      <c r="F26" s="11"/>
    </row>
    <row r="27" spans="1:6" ht="18.75" customHeight="1">
      <c r="A27" s="8">
        <v>21</v>
      </c>
      <c r="B27" s="16" t="s">
        <v>85</v>
      </c>
      <c r="C27" s="15" t="s">
        <v>86</v>
      </c>
      <c r="D27" s="13" t="s">
        <v>80</v>
      </c>
      <c r="E27" s="317">
        <v>54000</v>
      </c>
      <c r="F27" s="11"/>
    </row>
    <row r="28" spans="1:6" ht="18.75" customHeight="1">
      <c r="A28" s="8">
        <v>22</v>
      </c>
      <c r="B28" s="16" t="s">
        <v>88</v>
      </c>
      <c r="C28" s="2" t="s">
        <v>89</v>
      </c>
      <c r="D28" s="8" t="s">
        <v>92</v>
      </c>
      <c r="E28" s="317">
        <v>54000</v>
      </c>
      <c r="F28" s="11"/>
    </row>
    <row r="29" spans="1:6" ht="18.75" customHeight="1">
      <c r="A29" s="8">
        <v>23</v>
      </c>
      <c r="B29" s="16" t="s">
        <v>1006</v>
      </c>
      <c r="C29" s="10" t="s">
        <v>91</v>
      </c>
      <c r="D29" s="13" t="s">
        <v>92</v>
      </c>
      <c r="E29" s="317">
        <v>54000</v>
      </c>
      <c r="F29" s="11"/>
    </row>
    <row r="30" spans="1:6" ht="18.75" customHeight="1">
      <c r="A30" s="8">
        <v>24</v>
      </c>
      <c r="B30" s="16" t="s">
        <v>90</v>
      </c>
      <c r="C30" s="10" t="s">
        <v>91</v>
      </c>
      <c r="D30" s="13" t="s">
        <v>95</v>
      </c>
      <c r="E30" s="317">
        <v>54000</v>
      </c>
      <c r="F30" s="11"/>
    </row>
    <row r="31" spans="1:6" ht="26.25" customHeight="1">
      <c r="A31" s="8"/>
      <c r="B31" s="18" t="s">
        <v>96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97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98</v>
      </c>
      <c r="C34" s="2" t="s">
        <v>99</v>
      </c>
      <c r="D34" s="8" t="s">
        <v>100</v>
      </c>
      <c r="E34" s="317">
        <v>270000</v>
      </c>
      <c r="F34" s="11"/>
    </row>
    <row r="35" spans="1:6" ht="18.75" customHeight="1">
      <c r="A35" s="8">
        <v>2</v>
      </c>
      <c r="B35" s="16" t="s">
        <v>101</v>
      </c>
      <c r="C35" s="2" t="s">
        <v>612</v>
      </c>
      <c r="D35" s="8" t="s">
        <v>95</v>
      </c>
      <c r="E35" s="317">
        <v>54000</v>
      </c>
      <c r="F35" s="11"/>
    </row>
    <row r="36" spans="1:6" ht="18.75" customHeight="1">
      <c r="A36" s="8">
        <v>3</v>
      </c>
      <c r="B36" s="9" t="s">
        <v>103</v>
      </c>
      <c r="C36" s="10" t="s">
        <v>609</v>
      </c>
      <c r="D36" s="13" t="s">
        <v>70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107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108</v>
      </c>
      <c r="C40" s="2" t="s">
        <v>109</v>
      </c>
      <c r="D40" s="8" t="s">
        <v>100</v>
      </c>
      <c r="E40" s="317">
        <v>270000</v>
      </c>
      <c r="F40" s="11"/>
    </row>
    <row r="41" spans="1:6" ht="20.100000000000001" customHeight="1">
      <c r="A41" s="8">
        <v>2</v>
      </c>
      <c r="B41" s="9" t="s">
        <v>110</v>
      </c>
      <c r="C41" s="2" t="s">
        <v>111</v>
      </c>
      <c r="D41" s="8" t="s">
        <v>1012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491</v>
      </c>
      <c r="C42" s="2" t="s">
        <v>44</v>
      </c>
      <c r="D42" s="8" t="s">
        <v>36</v>
      </c>
      <c r="E42" s="317">
        <v>126000</v>
      </c>
      <c r="F42" s="11"/>
    </row>
    <row r="43" spans="1:6" ht="20.100000000000001" customHeight="1">
      <c r="A43" s="8">
        <v>4</v>
      </c>
      <c r="B43" s="9" t="s">
        <v>113</v>
      </c>
      <c r="C43" s="2" t="s">
        <v>114</v>
      </c>
      <c r="D43" s="8" t="s">
        <v>36</v>
      </c>
      <c r="E43" s="317">
        <v>126000</v>
      </c>
      <c r="F43" s="11"/>
    </row>
    <row r="44" spans="1:6" ht="20.100000000000001" customHeight="1">
      <c r="A44" s="8">
        <v>5</v>
      </c>
      <c r="B44" s="9" t="s">
        <v>115</v>
      </c>
      <c r="C44" s="2" t="s">
        <v>114</v>
      </c>
      <c r="D44" s="8" t="s">
        <v>133</v>
      </c>
      <c r="E44" s="317">
        <v>126000</v>
      </c>
      <c r="F44" s="11"/>
    </row>
    <row r="45" spans="1:6" ht="20.100000000000001" customHeight="1">
      <c r="A45" s="8">
        <v>6</v>
      </c>
      <c r="B45" s="9" t="s">
        <v>116</v>
      </c>
      <c r="C45" s="2" t="s">
        <v>114</v>
      </c>
      <c r="D45" s="8" t="s">
        <v>39</v>
      </c>
      <c r="E45" s="317">
        <v>126000</v>
      </c>
      <c r="F45" s="11"/>
    </row>
    <row r="46" spans="1:6" ht="20.100000000000001" customHeight="1">
      <c r="A46" s="8">
        <v>7</v>
      </c>
      <c r="B46" s="12" t="s">
        <v>117</v>
      </c>
      <c r="C46" s="2" t="s">
        <v>135</v>
      </c>
      <c r="D46" s="14" t="s">
        <v>224</v>
      </c>
      <c r="E46" s="317">
        <v>90000</v>
      </c>
      <c r="F46" s="11"/>
    </row>
    <row r="47" spans="1:6" ht="20.100000000000001" customHeight="1">
      <c r="A47" s="8">
        <v>8</v>
      </c>
      <c r="B47" s="9" t="s">
        <v>45</v>
      </c>
      <c r="C47" s="2" t="s">
        <v>46</v>
      </c>
      <c r="D47" s="8" t="s">
        <v>47</v>
      </c>
      <c r="E47" s="317">
        <v>90000</v>
      </c>
      <c r="F47" s="11"/>
    </row>
    <row r="48" spans="1:6" ht="20.100000000000001" customHeight="1">
      <c r="A48" s="8">
        <v>9</v>
      </c>
      <c r="B48" s="9" t="s">
        <v>118</v>
      </c>
      <c r="C48" s="2" t="s">
        <v>119</v>
      </c>
      <c r="D48" s="8" t="s">
        <v>70</v>
      </c>
      <c r="E48" s="317">
        <v>54000</v>
      </c>
      <c r="F48" s="11"/>
    </row>
    <row r="49" spans="1:6" ht="20.100000000000001" customHeight="1">
      <c r="A49" s="8">
        <v>10</v>
      </c>
      <c r="B49" s="9" t="s">
        <v>120</v>
      </c>
      <c r="C49" s="2" t="s">
        <v>119</v>
      </c>
      <c r="D49" s="8" t="s">
        <v>83</v>
      </c>
      <c r="E49" s="317">
        <v>54000</v>
      </c>
      <c r="F49" s="11"/>
    </row>
    <row r="50" spans="1:6" ht="20.100000000000001" customHeight="1">
      <c r="A50" s="8">
        <v>11</v>
      </c>
      <c r="B50" s="9" t="s">
        <v>578</v>
      </c>
      <c r="C50" s="2" t="s">
        <v>119</v>
      </c>
      <c r="D50" s="8" t="s">
        <v>83</v>
      </c>
      <c r="E50" s="317">
        <v>54000</v>
      </c>
      <c r="F50" s="11"/>
    </row>
    <row r="51" spans="1:6" ht="20.100000000000001" customHeight="1">
      <c r="A51" s="8">
        <v>12</v>
      </c>
      <c r="B51" s="9" t="s">
        <v>121</v>
      </c>
      <c r="C51" s="2" t="s">
        <v>119</v>
      </c>
      <c r="D51" s="8" t="s">
        <v>83</v>
      </c>
      <c r="E51" s="317">
        <v>54000</v>
      </c>
      <c r="F51" s="11"/>
    </row>
    <row r="52" spans="1:6" ht="25.5" customHeight="1">
      <c r="A52" s="8"/>
      <c r="B52" s="18" t="s">
        <v>96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122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501</v>
      </c>
      <c r="C55" s="10" t="s">
        <v>124</v>
      </c>
      <c r="D55" s="13" t="s">
        <v>100</v>
      </c>
      <c r="E55" s="317">
        <v>270000</v>
      </c>
      <c r="F55" s="11"/>
    </row>
    <row r="56" spans="1:6" ht="20.100000000000001" customHeight="1">
      <c r="A56" s="8">
        <v>2</v>
      </c>
      <c r="B56" s="9" t="s">
        <v>125</v>
      </c>
      <c r="C56" s="10" t="s">
        <v>126</v>
      </c>
      <c r="D56" s="13" t="s">
        <v>571</v>
      </c>
      <c r="E56" s="317">
        <v>126000</v>
      </c>
      <c r="F56" s="11"/>
    </row>
    <row r="57" spans="1:6" ht="20.100000000000001" customHeight="1">
      <c r="A57" s="8"/>
      <c r="B57" s="18" t="s">
        <v>96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128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129</v>
      </c>
      <c r="C60" s="15" t="s">
        <v>130</v>
      </c>
      <c r="D60" s="8" t="s">
        <v>100</v>
      </c>
      <c r="E60" s="317">
        <v>270000</v>
      </c>
      <c r="F60" s="11"/>
    </row>
    <row r="61" spans="1:6" ht="20.100000000000001" customHeight="1">
      <c r="A61" s="8">
        <v>2</v>
      </c>
      <c r="B61" s="312" t="s">
        <v>131</v>
      </c>
      <c r="C61" s="15" t="s">
        <v>132</v>
      </c>
      <c r="D61" s="13" t="s">
        <v>1018</v>
      </c>
      <c r="E61" s="317">
        <v>126000</v>
      </c>
      <c r="F61" s="11"/>
    </row>
    <row r="62" spans="1:6" ht="20.100000000000001" customHeight="1">
      <c r="A62" s="8">
        <v>3</v>
      </c>
      <c r="B62" s="9" t="s">
        <v>134</v>
      </c>
      <c r="C62" s="2" t="s">
        <v>135</v>
      </c>
      <c r="D62" s="8" t="s">
        <v>47</v>
      </c>
      <c r="E62" s="317">
        <v>90000</v>
      </c>
      <c r="F62" s="11"/>
    </row>
    <row r="63" spans="1:6" ht="20.100000000000001" customHeight="1">
      <c r="A63" s="8">
        <v>4</v>
      </c>
      <c r="B63" s="16" t="s">
        <v>487</v>
      </c>
      <c r="C63" s="15" t="s">
        <v>167</v>
      </c>
      <c r="D63" s="13" t="s">
        <v>1016</v>
      </c>
      <c r="E63" s="317">
        <v>90000</v>
      </c>
      <c r="F63" s="11"/>
    </row>
    <row r="64" spans="1:6" ht="20.100000000000001" customHeight="1">
      <c r="A64" s="8">
        <v>5</v>
      </c>
      <c r="B64" s="12" t="s">
        <v>517</v>
      </c>
      <c r="C64" s="15" t="s">
        <v>135</v>
      </c>
      <c r="D64" s="13" t="s">
        <v>224</v>
      </c>
      <c r="E64" s="317">
        <v>90000</v>
      </c>
      <c r="F64" s="11"/>
    </row>
    <row r="65" spans="1:6" ht="20.100000000000001" customHeight="1">
      <c r="A65" s="8">
        <v>7</v>
      </c>
      <c r="B65" s="9" t="s">
        <v>136</v>
      </c>
      <c r="C65" s="2" t="s">
        <v>119</v>
      </c>
      <c r="D65" s="8" t="s">
        <v>65</v>
      </c>
      <c r="E65" s="317">
        <v>54000</v>
      </c>
      <c r="F65" s="11"/>
    </row>
    <row r="66" spans="1:6" ht="20.100000000000001" customHeight="1">
      <c r="A66" s="8">
        <v>8</v>
      </c>
      <c r="B66" s="9" t="s">
        <v>138</v>
      </c>
      <c r="C66" s="15" t="s">
        <v>67</v>
      </c>
      <c r="D66" s="13" t="s">
        <v>65</v>
      </c>
      <c r="E66" s="317">
        <v>54000</v>
      </c>
      <c r="F66" s="11"/>
    </row>
    <row r="67" spans="1:6" ht="20.100000000000001" customHeight="1">
      <c r="A67" s="8">
        <v>9</v>
      </c>
      <c r="B67" s="9" t="s">
        <v>139</v>
      </c>
      <c r="C67" s="15" t="s">
        <v>67</v>
      </c>
      <c r="D67" s="13" t="s">
        <v>65</v>
      </c>
      <c r="E67" s="317">
        <v>54000</v>
      </c>
      <c r="F67" s="11"/>
    </row>
    <row r="68" spans="1:6" ht="20.100000000000001" customHeight="1">
      <c r="A68" s="8">
        <v>10</v>
      </c>
      <c r="B68" s="9" t="s">
        <v>140</v>
      </c>
      <c r="C68" s="2" t="s">
        <v>141</v>
      </c>
      <c r="D68" s="8" t="s">
        <v>137</v>
      </c>
      <c r="E68" s="317">
        <v>54000</v>
      </c>
      <c r="F68" s="11"/>
    </row>
    <row r="69" spans="1:6" ht="21.6" customHeight="1">
      <c r="A69" s="8">
        <v>11</v>
      </c>
      <c r="B69" s="9" t="s">
        <v>142</v>
      </c>
      <c r="C69" s="2" t="s">
        <v>119</v>
      </c>
      <c r="D69" s="8" t="s">
        <v>70</v>
      </c>
      <c r="E69" s="317">
        <v>54000</v>
      </c>
    </row>
    <row r="70" spans="1:6" ht="20.100000000000001" customHeight="1">
      <c r="A70" s="8">
        <v>12</v>
      </c>
      <c r="B70" s="9" t="s">
        <v>77</v>
      </c>
      <c r="C70" s="15" t="s">
        <v>64</v>
      </c>
      <c r="D70" s="8" t="s">
        <v>80</v>
      </c>
      <c r="E70" s="317">
        <v>54000</v>
      </c>
      <c r="F70" s="11"/>
    </row>
    <row r="71" spans="1:6" ht="27" customHeight="1">
      <c r="A71" s="8"/>
      <c r="B71" s="18" t="s">
        <v>96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143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144</v>
      </c>
      <c r="C74" s="2" t="s">
        <v>145</v>
      </c>
      <c r="D74" s="8" t="s">
        <v>100</v>
      </c>
      <c r="E74" s="317">
        <v>270000</v>
      </c>
      <c r="F74" s="11"/>
    </row>
    <row r="75" spans="1:6" ht="20.100000000000001" customHeight="1">
      <c r="A75" s="8">
        <v>2</v>
      </c>
      <c r="B75" s="12" t="s">
        <v>518</v>
      </c>
      <c r="C75" s="2" t="s">
        <v>570</v>
      </c>
      <c r="D75" s="13" t="s">
        <v>1018</v>
      </c>
      <c r="E75" s="317">
        <v>126000</v>
      </c>
      <c r="F75" s="11"/>
    </row>
    <row r="76" spans="1:6" ht="20.100000000000001" customHeight="1">
      <c r="A76" s="8">
        <v>3</v>
      </c>
      <c r="B76" s="16" t="s">
        <v>519</v>
      </c>
      <c r="C76" s="10" t="s">
        <v>572</v>
      </c>
      <c r="D76" s="8" t="s">
        <v>571</v>
      </c>
      <c r="E76" s="317">
        <v>126000</v>
      </c>
      <c r="F76" s="11"/>
    </row>
    <row r="77" spans="1:6" ht="20.100000000000001" customHeight="1">
      <c r="A77" s="8">
        <v>4</v>
      </c>
      <c r="B77" s="9" t="s">
        <v>148</v>
      </c>
      <c r="C77" s="2" t="s">
        <v>149</v>
      </c>
      <c r="D77" s="13" t="s">
        <v>47</v>
      </c>
      <c r="E77" s="317">
        <v>90000</v>
      </c>
      <c r="F77" s="11"/>
    </row>
    <row r="78" spans="1:6" ht="20.100000000000001" customHeight="1">
      <c r="A78" s="8">
        <v>5</v>
      </c>
      <c r="B78" s="9" t="s">
        <v>151</v>
      </c>
      <c r="C78" s="2" t="s">
        <v>154</v>
      </c>
      <c r="D78" s="8" t="s">
        <v>104</v>
      </c>
      <c r="E78" s="317">
        <v>54000</v>
      </c>
      <c r="F78" s="11"/>
    </row>
    <row r="79" spans="1:6" ht="20.100000000000001" customHeight="1">
      <c r="A79" s="8">
        <v>6</v>
      </c>
      <c r="B79" s="9" t="s">
        <v>153</v>
      </c>
      <c r="C79" s="2" t="s">
        <v>154</v>
      </c>
      <c r="D79" s="8" t="s">
        <v>83</v>
      </c>
      <c r="E79" s="317">
        <v>54000</v>
      </c>
      <c r="F79" s="11"/>
    </row>
    <row r="80" spans="1:6" ht="20.100000000000001" customHeight="1">
      <c r="A80" s="8">
        <v>7</v>
      </c>
      <c r="B80" s="9" t="s">
        <v>155</v>
      </c>
      <c r="C80" s="2" t="s">
        <v>156</v>
      </c>
      <c r="D80" s="8" t="s">
        <v>95</v>
      </c>
      <c r="E80" s="317">
        <v>54000</v>
      </c>
      <c r="F80" s="11"/>
    </row>
    <row r="81" spans="1:6" ht="20.100000000000001" customHeight="1">
      <c r="A81" s="8"/>
      <c r="B81" s="18" t="s">
        <v>96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157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158</v>
      </c>
      <c r="C84" s="2" t="s">
        <v>114</v>
      </c>
      <c r="D84" s="8" t="s">
        <v>36</v>
      </c>
      <c r="E84" s="317">
        <v>126000</v>
      </c>
      <c r="F84" s="11"/>
    </row>
    <row r="85" spans="1:6" ht="20.100000000000001" customHeight="1">
      <c r="A85" s="8">
        <v>2</v>
      </c>
      <c r="B85" s="9" t="s">
        <v>159</v>
      </c>
      <c r="C85" s="2" t="s">
        <v>114</v>
      </c>
      <c r="D85" s="8" t="s">
        <v>36</v>
      </c>
      <c r="E85" s="317">
        <v>126000</v>
      </c>
      <c r="F85" s="11"/>
    </row>
    <row r="86" spans="1:6" ht="20.100000000000001" customHeight="1">
      <c r="A86" s="8">
        <v>3</v>
      </c>
      <c r="B86" s="12" t="s">
        <v>203</v>
      </c>
      <c r="C86" s="2" t="s">
        <v>114</v>
      </c>
      <c r="D86" s="8" t="s">
        <v>39</v>
      </c>
      <c r="E86" s="317">
        <v>126000</v>
      </c>
      <c r="F86" s="11"/>
    </row>
    <row r="87" spans="1:6" ht="20.100000000000001" customHeight="1">
      <c r="A87" s="8">
        <v>4</v>
      </c>
      <c r="B87" s="9" t="s">
        <v>160</v>
      </c>
      <c r="C87" s="2" t="s">
        <v>114</v>
      </c>
      <c r="D87" s="8" t="s">
        <v>39</v>
      </c>
      <c r="E87" s="317">
        <v>126000</v>
      </c>
      <c r="F87" s="11"/>
    </row>
    <row r="88" spans="1:6" ht="21.6" customHeight="1">
      <c r="A88" s="8">
        <v>5</v>
      </c>
      <c r="B88" s="9" t="s">
        <v>161</v>
      </c>
      <c r="C88" s="2" t="s">
        <v>458</v>
      </c>
      <c r="D88" s="13" t="s">
        <v>52</v>
      </c>
      <c r="E88" s="317">
        <v>90000</v>
      </c>
      <c r="F88" s="11"/>
    </row>
    <row r="89" spans="1:6" ht="21.6" customHeight="1">
      <c r="A89" s="8">
        <v>6</v>
      </c>
      <c r="B89" s="9" t="s">
        <v>162</v>
      </c>
      <c r="C89" s="10" t="s">
        <v>167</v>
      </c>
      <c r="D89" s="13" t="s">
        <v>1016</v>
      </c>
      <c r="E89" s="317">
        <v>90000</v>
      </c>
      <c r="F89" s="11"/>
    </row>
    <row r="90" spans="1:6" ht="21.6" customHeight="1">
      <c r="A90" s="8">
        <v>7</v>
      </c>
      <c r="B90" s="9" t="s">
        <v>163</v>
      </c>
      <c r="C90" s="10" t="s">
        <v>135</v>
      </c>
      <c r="D90" s="13" t="s">
        <v>164</v>
      </c>
      <c r="E90" s="317">
        <v>90000</v>
      </c>
      <c r="F90" s="11"/>
    </row>
    <row r="91" spans="1:6" ht="21.6" customHeight="1">
      <c r="A91" s="8">
        <v>8</v>
      </c>
      <c r="B91" s="9" t="s">
        <v>165</v>
      </c>
      <c r="C91" s="15" t="s">
        <v>67</v>
      </c>
      <c r="D91" s="13" t="s">
        <v>65</v>
      </c>
      <c r="E91" s="317">
        <v>54000</v>
      </c>
      <c r="F91" s="11"/>
    </row>
    <row r="92" spans="1:6" ht="21.6" customHeight="1">
      <c r="A92" s="8">
        <v>9</v>
      </c>
      <c r="B92" s="9" t="s">
        <v>166</v>
      </c>
      <c r="C92" s="15" t="s">
        <v>67</v>
      </c>
      <c r="D92" s="13" t="s">
        <v>65</v>
      </c>
      <c r="E92" s="317">
        <v>54000</v>
      </c>
      <c r="F92" s="11"/>
    </row>
    <row r="93" spans="1:6" ht="21.6" customHeight="1">
      <c r="A93" s="8">
        <v>10</v>
      </c>
      <c r="B93" s="9" t="s">
        <v>169</v>
      </c>
      <c r="C93" s="2" t="s">
        <v>170</v>
      </c>
      <c r="D93" s="8" t="s">
        <v>70</v>
      </c>
      <c r="E93" s="317">
        <v>54000</v>
      </c>
      <c r="F93" s="11"/>
    </row>
    <row r="94" spans="1:6" ht="21.6" customHeight="1">
      <c r="A94" s="8">
        <v>11</v>
      </c>
      <c r="B94" s="9" t="s">
        <v>171</v>
      </c>
      <c r="C94" s="15" t="s">
        <v>172</v>
      </c>
      <c r="D94" s="13" t="s">
        <v>92</v>
      </c>
      <c r="E94" s="317">
        <v>54000</v>
      </c>
      <c r="F94" s="11"/>
    </row>
    <row r="95" spans="1:6" ht="20.100000000000001" customHeight="1">
      <c r="A95" s="8"/>
      <c r="B95" s="18" t="s">
        <v>96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174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175</v>
      </c>
      <c r="C98" s="2" t="s">
        <v>176</v>
      </c>
      <c r="D98" s="14" t="s">
        <v>112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178</v>
      </c>
      <c r="C99" s="2" t="s">
        <v>179</v>
      </c>
      <c r="D99" s="13" t="s">
        <v>47</v>
      </c>
      <c r="E99" s="317">
        <v>90000</v>
      </c>
      <c r="F99" s="11"/>
    </row>
    <row r="100" spans="1:6" ht="20.100000000000001" customHeight="1">
      <c r="A100" s="8">
        <v>3</v>
      </c>
      <c r="B100" s="9" t="s">
        <v>182</v>
      </c>
      <c r="C100" s="2" t="s">
        <v>183</v>
      </c>
      <c r="D100" s="13" t="s">
        <v>137</v>
      </c>
      <c r="E100" s="317">
        <v>54000</v>
      </c>
      <c r="F100" s="11"/>
    </row>
    <row r="101" spans="1:6" ht="20.100000000000001" customHeight="1">
      <c r="A101" s="8">
        <v>4</v>
      </c>
      <c r="B101" s="9" t="s">
        <v>184</v>
      </c>
      <c r="C101" s="2" t="s">
        <v>185</v>
      </c>
      <c r="D101" s="13" t="s">
        <v>70</v>
      </c>
      <c r="E101" s="317">
        <v>54000</v>
      </c>
      <c r="F101" s="11"/>
    </row>
    <row r="102" spans="1:6" ht="20.100000000000001" customHeight="1">
      <c r="A102" s="2"/>
      <c r="B102" s="18" t="s">
        <v>96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186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189</v>
      </c>
      <c r="C106" s="2" t="s">
        <v>190</v>
      </c>
      <c r="D106" s="14" t="s">
        <v>112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317">
        <v>90000</v>
      </c>
      <c r="F107" s="11"/>
    </row>
    <row r="108" spans="1:6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317">
        <v>90000</v>
      </c>
      <c r="F108" s="11"/>
    </row>
    <row r="109" spans="1:6" ht="20.100000000000001" customHeight="1">
      <c r="A109" s="2">
        <v>5</v>
      </c>
      <c r="B109" s="9" t="s">
        <v>196</v>
      </c>
      <c r="C109" s="2" t="s">
        <v>197</v>
      </c>
      <c r="D109" s="13" t="s">
        <v>200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199</v>
      </c>
      <c r="C110" s="2" t="s">
        <v>197</v>
      </c>
      <c r="D110" s="8" t="s">
        <v>1011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201</v>
      </c>
      <c r="C111" s="2" t="s">
        <v>197</v>
      </c>
      <c r="D111" s="13" t="s">
        <v>92</v>
      </c>
      <c r="E111" s="324">
        <v>54000</v>
      </c>
      <c r="F111" s="11"/>
    </row>
    <row r="112" spans="1:6" ht="25.5" customHeight="1">
      <c r="A112" s="2"/>
      <c r="B112" s="18" t="s">
        <v>96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202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204</v>
      </c>
      <c r="C115" s="2" t="s">
        <v>205</v>
      </c>
      <c r="D115" s="13" t="s">
        <v>137</v>
      </c>
      <c r="E115" s="317">
        <v>54000</v>
      </c>
      <c r="F115" s="11"/>
    </row>
    <row r="116" spans="1:6" ht="20.100000000000001" customHeight="1">
      <c r="A116" s="8">
        <v>2</v>
      </c>
      <c r="B116" s="9" t="s">
        <v>206</v>
      </c>
      <c r="C116" s="10" t="s">
        <v>579</v>
      </c>
      <c r="D116" s="13" t="s">
        <v>62</v>
      </c>
      <c r="E116" s="317">
        <v>54000</v>
      </c>
      <c r="F116" s="11"/>
    </row>
    <row r="117" spans="1:6" ht="24.75" customHeight="1">
      <c r="A117" s="2"/>
      <c r="B117" s="18" t="s">
        <v>96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215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218</v>
      </c>
      <c r="C121" s="10" t="s">
        <v>219</v>
      </c>
      <c r="D121" s="13" t="s">
        <v>1012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521</v>
      </c>
      <c r="C123" s="10" t="s">
        <v>221</v>
      </c>
      <c r="D123" s="13" t="s">
        <v>39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222</v>
      </c>
      <c r="C124" s="10" t="s">
        <v>223</v>
      </c>
      <c r="D124" s="13" t="s">
        <v>150</v>
      </c>
      <c r="E124" s="317">
        <v>90000</v>
      </c>
      <c r="F124" s="11"/>
    </row>
    <row r="125" spans="1:6" ht="20.100000000000001" customHeight="1">
      <c r="A125" s="2">
        <v>6</v>
      </c>
      <c r="B125" s="9" t="s">
        <v>225</v>
      </c>
      <c r="C125" s="10" t="s">
        <v>226</v>
      </c>
      <c r="D125" s="13" t="s">
        <v>47</v>
      </c>
      <c r="E125" s="317">
        <v>90000</v>
      </c>
      <c r="F125" s="11"/>
    </row>
    <row r="126" spans="1:6" ht="20.100000000000001" customHeight="1">
      <c r="A126" s="2">
        <v>7</v>
      </c>
      <c r="B126" s="9" t="s">
        <v>227</v>
      </c>
      <c r="C126" s="10" t="s">
        <v>223</v>
      </c>
      <c r="D126" s="13" t="s">
        <v>47</v>
      </c>
      <c r="E126" s="317">
        <v>90000</v>
      </c>
      <c r="F126" s="11"/>
    </row>
    <row r="127" spans="1:6" ht="20.100000000000001" customHeight="1">
      <c r="A127" s="2">
        <v>8</v>
      </c>
      <c r="B127" s="9" t="s">
        <v>228</v>
      </c>
      <c r="C127" s="10" t="s">
        <v>229</v>
      </c>
      <c r="D127" s="8" t="s">
        <v>80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230</v>
      </c>
      <c r="C128" s="10" t="s">
        <v>231</v>
      </c>
      <c r="D128" s="13" t="s">
        <v>95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232</v>
      </c>
      <c r="C129" s="10" t="s">
        <v>233</v>
      </c>
      <c r="D129" s="13" t="s">
        <v>95</v>
      </c>
      <c r="E129" s="317">
        <v>54000</v>
      </c>
      <c r="F129" s="11"/>
    </row>
    <row r="130" spans="1:6" ht="28.5" customHeight="1">
      <c r="A130" s="2"/>
      <c r="B130" s="18" t="s">
        <v>96</v>
      </c>
      <c r="C130" s="24" t="s">
        <v>235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236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522</v>
      </c>
      <c r="C134" s="10" t="s">
        <v>573</v>
      </c>
      <c r="D134" s="13" t="s">
        <v>191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239</v>
      </c>
      <c r="C135" s="2" t="s">
        <v>240</v>
      </c>
      <c r="D135" s="14" t="s">
        <v>112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241</v>
      </c>
      <c r="C136" s="10" t="s">
        <v>580</v>
      </c>
      <c r="D136" s="13" t="s">
        <v>224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243</v>
      </c>
      <c r="C137" s="2" t="s">
        <v>581</v>
      </c>
      <c r="D137" s="13" t="s">
        <v>224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245</v>
      </c>
      <c r="C138" s="2" t="s">
        <v>581</v>
      </c>
      <c r="D138" s="13" t="s">
        <v>224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180</v>
      </c>
      <c r="C139" s="10" t="s">
        <v>582</v>
      </c>
      <c r="D139" s="13" t="s">
        <v>62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246</v>
      </c>
      <c r="C140" s="10" t="s">
        <v>582</v>
      </c>
      <c r="D140" s="13" t="s">
        <v>62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247</v>
      </c>
      <c r="C141" s="2" t="s">
        <v>583</v>
      </c>
      <c r="D141" s="13" t="s">
        <v>62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249</v>
      </c>
      <c r="C142" s="10" t="s">
        <v>250</v>
      </c>
      <c r="D142" s="13" t="s">
        <v>137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251</v>
      </c>
      <c r="C143" s="10" t="s">
        <v>252</v>
      </c>
      <c r="D143" s="13" t="s">
        <v>65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253</v>
      </c>
      <c r="C144" s="10" t="s">
        <v>254</v>
      </c>
      <c r="D144" s="13" t="s">
        <v>62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256</v>
      </c>
      <c r="C145" s="2" t="s">
        <v>257</v>
      </c>
      <c r="D145" s="13" t="s">
        <v>65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258</v>
      </c>
      <c r="C146" s="2" t="s">
        <v>584</v>
      </c>
      <c r="D146" s="13" t="s">
        <v>104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259</v>
      </c>
      <c r="C147" s="2" t="s">
        <v>584</v>
      </c>
      <c r="D147" s="13" t="s">
        <v>267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260</v>
      </c>
      <c r="C148" s="2" t="s">
        <v>584</v>
      </c>
      <c r="D148" s="13" t="s">
        <v>267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261</v>
      </c>
      <c r="C149" s="10" t="s">
        <v>262</v>
      </c>
      <c r="D149" s="13" t="s">
        <v>70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1019</v>
      </c>
      <c r="C150" s="10" t="s">
        <v>264</v>
      </c>
      <c r="D150" s="8" t="s">
        <v>83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265</v>
      </c>
      <c r="C151" s="10" t="s">
        <v>266</v>
      </c>
      <c r="D151" s="13" t="s">
        <v>104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268</v>
      </c>
      <c r="C152" s="10" t="s">
        <v>269</v>
      </c>
      <c r="D152" s="13" t="s">
        <v>80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270</v>
      </c>
      <c r="C153" s="10" t="s">
        <v>271</v>
      </c>
      <c r="D153" s="13" t="s">
        <v>104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272</v>
      </c>
      <c r="C154" s="10" t="s">
        <v>273</v>
      </c>
      <c r="D154" s="13" t="s">
        <v>80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274</v>
      </c>
      <c r="C155" s="10" t="s">
        <v>275</v>
      </c>
      <c r="D155" s="13" t="s">
        <v>83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277</v>
      </c>
      <c r="C156" s="10" t="s">
        <v>278</v>
      </c>
      <c r="D156" s="13" t="s">
        <v>95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279</v>
      </c>
      <c r="C157" s="10" t="s">
        <v>280</v>
      </c>
      <c r="D157" s="13" t="s">
        <v>95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281</v>
      </c>
      <c r="C158" s="10" t="s">
        <v>282</v>
      </c>
      <c r="D158" s="13" t="s">
        <v>95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283</v>
      </c>
      <c r="C159" s="10" t="s">
        <v>284</v>
      </c>
      <c r="D159" s="13" t="s">
        <v>92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285</v>
      </c>
      <c r="C160" s="10" t="s">
        <v>280</v>
      </c>
      <c r="D160" s="13" t="s">
        <v>95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289</v>
      </c>
      <c r="C161" s="10" t="s">
        <v>290</v>
      </c>
      <c r="D161" s="13" t="s">
        <v>297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292</v>
      </c>
      <c r="C162" s="10" t="s">
        <v>290</v>
      </c>
      <c r="D162" s="13" t="s">
        <v>297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293</v>
      </c>
      <c r="C163" s="10" t="s">
        <v>290</v>
      </c>
      <c r="D163" s="13" t="s">
        <v>297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294</v>
      </c>
      <c r="C164" s="10" t="s">
        <v>290</v>
      </c>
      <c r="D164" s="13" t="s">
        <v>297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295</v>
      </c>
      <c r="C165" s="10" t="s">
        <v>290</v>
      </c>
      <c r="D165" s="13" t="s">
        <v>297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296</v>
      </c>
      <c r="C166" s="10" t="s">
        <v>290</v>
      </c>
      <c r="D166" s="13" t="s">
        <v>308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298</v>
      </c>
      <c r="C167" s="10" t="s">
        <v>290</v>
      </c>
      <c r="D167" s="13" t="s">
        <v>308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299</v>
      </c>
      <c r="C168" s="10" t="s">
        <v>290</v>
      </c>
      <c r="D168" s="13" t="s">
        <v>308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300</v>
      </c>
      <c r="C169" s="10" t="s">
        <v>290</v>
      </c>
      <c r="D169" s="13" t="s">
        <v>308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301</v>
      </c>
      <c r="C170" s="10" t="s">
        <v>290</v>
      </c>
      <c r="D170" s="13" t="s">
        <v>308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302</v>
      </c>
      <c r="C171" s="10" t="s">
        <v>290</v>
      </c>
      <c r="D171" s="13" t="s">
        <v>308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303</v>
      </c>
      <c r="C172" s="10" t="s">
        <v>304</v>
      </c>
      <c r="D172" s="13" t="s">
        <v>305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306</v>
      </c>
      <c r="C173" s="10" t="s">
        <v>304</v>
      </c>
      <c r="D173" s="13" t="s">
        <v>305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307</v>
      </c>
      <c r="C174" s="10" t="s">
        <v>304</v>
      </c>
      <c r="D174" s="13" t="s">
        <v>305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309</v>
      </c>
      <c r="C175" s="10" t="s">
        <v>310</v>
      </c>
      <c r="D175" s="13" t="s">
        <v>1020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312</v>
      </c>
      <c r="C176" s="10" t="s">
        <v>313</v>
      </c>
      <c r="D176" s="13" t="s">
        <v>1021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315</v>
      </c>
      <c r="C177" s="10" t="s">
        <v>313</v>
      </c>
      <c r="D177" s="13" t="s">
        <v>1021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316</v>
      </c>
      <c r="C178" s="10" t="s">
        <v>313</v>
      </c>
      <c r="D178" s="13" t="s">
        <v>1021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317</v>
      </c>
      <c r="C179" s="10" t="s">
        <v>313</v>
      </c>
      <c r="D179" s="13" t="s">
        <v>1021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318</v>
      </c>
      <c r="C180" s="10" t="s">
        <v>313</v>
      </c>
      <c r="D180" s="13" t="s">
        <v>1021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319</v>
      </c>
      <c r="C181" s="10" t="s">
        <v>313</v>
      </c>
      <c r="D181" s="13" t="s">
        <v>1021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320</v>
      </c>
      <c r="C182" s="10" t="s">
        <v>313</v>
      </c>
      <c r="D182" s="13" t="s">
        <v>1021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321</v>
      </c>
      <c r="C183" s="10" t="s">
        <v>310</v>
      </c>
      <c r="D183" s="13" t="s">
        <v>1021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322</v>
      </c>
      <c r="C184" s="10" t="s">
        <v>310</v>
      </c>
      <c r="D184" s="13" t="s">
        <v>1021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323</v>
      </c>
      <c r="C185" s="10" t="s">
        <v>324</v>
      </c>
      <c r="D185" s="13" t="s">
        <v>336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328</v>
      </c>
      <c r="C186" s="10" t="s">
        <v>313</v>
      </c>
      <c r="D186" s="13" t="s">
        <v>1022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329</v>
      </c>
      <c r="C187" s="10" t="s">
        <v>330</v>
      </c>
      <c r="D187" s="13" t="s">
        <v>1023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332</v>
      </c>
      <c r="C188" s="10" t="s">
        <v>330</v>
      </c>
      <c r="D188" s="13" t="s">
        <v>1023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333</v>
      </c>
      <c r="C189" s="10" t="s">
        <v>330</v>
      </c>
      <c r="D189" s="13" t="s">
        <v>1023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334</v>
      </c>
      <c r="C190" s="10" t="s">
        <v>335</v>
      </c>
      <c r="D190" s="13" t="s">
        <v>327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337</v>
      </c>
      <c r="C191" s="10" t="s">
        <v>335</v>
      </c>
      <c r="D191" s="13" t="s">
        <v>327</v>
      </c>
      <c r="E191" s="327">
        <v>36000</v>
      </c>
      <c r="F191" s="11"/>
    </row>
    <row r="192" spans="1:6" ht="24.75" customHeight="1">
      <c r="A192" s="25"/>
      <c r="B192" s="6" t="s">
        <v>96</v>
      </c>
      <c r="C192" s="26" t="s">
        <v>587</v>
      </c>
      <c r="D192" s="27"/>
      <c r="E192" s="321">
        <f>SUM(E133:E191)</f>
        <v>3204000</v>
      </c>
      <c r="F192" s="11"/>
    </row>
    <row r="193" spans="1:6" ht="20.100000000000001" customHeight="1">
      <c r="A193" s="813"/>
      <c r="B193" s="813"/>
      <c r="C193" s="813"/>
      <c r="D193" s="813"/>
      <c r="E193" s="813"/>
      <c r="F193" s="11"/>
    </row>
    <row r="194" spans="1:6" ht="29.25" customHeight="1">
      <c r="A194" s="2"/>
      <c r="B194" s="28" t="s">
        <v>339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801" t="s">
        <v>1024</v>
      </c>
      <c r="B2" s="801"/>
      <c r="C2" s="801"/>
      <c r="D2" s="801"/>
      <c r="E2" s="801"/>
      <c r="F2" s="801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8" t="s">
        <v>1025</v>
      </c>
      <c r="F4" s="283" t="s">
        <v>513</v>
      </c>
    </row>
    <row r="5" spans="1:7" ht="17.25" customHeight="1">
      <c r="C5" s="6"/>
      <c r="D5" s="6"/>
      <c r="E5" s="269" t="s">
        <v>19</v>
      </c>
      <c r="F5" s="196" t="s">
        <v>19</v>
      </c>
    </row>
    <row r="6" spans="1:7" ht="20.100000000000001" customHeight="1">
      <c r="A6" s="7" t="s">
        <v>20</v>
      </c>
      <c r="B6" s="6" t="s">
        <v>21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25</v>
      </c>
      <c r="C8" s="10" t="s">
        <v>26</v>
      </c>
      <c r="D8" s="8" t="s">
        <v>27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28</v>
      </c>
      <c r="C9" s="2" t="s">
        <v>29</v>
      </c>
      <c r="D9" s="13" t="s">
        <v>112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30</v>
      </c>
      <c r="C10" s="15" t="s">
        <v>31</v>
      </c>
      <c r="D10" s="14" t="s">
        <v>112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32</v>
      </c>
      <c r="C11" s="2" t="s">
        <v>33</v>
      </c>
      <c r="D11" s="14" t="s">
        <v>112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574</v>
      </c>
      <c r="C12" s="8" t="s">
        <v>575</v>
      </c>
      <c r="D12" s="13" t="s">
        <v>112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34</v>
      </c>
      <c r="C13" s="10" t="s">
        <v>35</v>
      </c>
      <c r="D13" s="13" t="s">
        <v>36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37</v>
      </c>
      <c r="C14" s="2" t="s">
        <v>38</v>
      </c>
      <c r="D14" s="8" t="s">
        <v>39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40</v>
      </c>
      <c r="C15" s="2" t="s">
        <v>41</v>
      </c>
      <c r="D15" s="13" t="s">
        <v>224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43</v>
      </c>
      <c r="C16" s="15" t="s">
        <v>135</v>
      </c>
      <c r="D16" s="13" t="s">
        <v>150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48</v>
      </c>
      <c r="C17" s="2" t="s">
        <v>577</v>
      </c>
      <c r="D17" s="8" t="s">
        <v>194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1016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1017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60</v>
      </c>
      <c r="C20" s="10" t="s">
        <v>61</v>
      </c>
      <c r="D20" s="13" t="s">
        <v>137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63</v>
      </c>
      <c r="C21" s="15" t="s">
        <v>64</v>
      </c>
      <c r="D21" s="8" t="s">
        <v>65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68</v>
      </c>
      <c r="C22" s="15" t="s">
        <v>69</v>
      </c>
      <c r="D22" s="8" t="s">
        <v>70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73</v>
      </c>
      <c r="C23" s="2" t="s">
        <v>74</v>
      </c>
      <c r="D23" s="8" t="s">
        <v>80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76</v>
      </c>
      <c r="C24" s="10" t="s">
        <v>74</v>
      </c>
      <c r="D24" s="13" t="s">
        <v>80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78</v>
      </c>
      <c r="C25" s="10" t="s">
        <v>79</v>
      </c>
      <c r="D25" s="13" t="s">
        <v>83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81</v>
      </c>
      <c r="C26" s="2" t="s">
        <v>82</v>
      </c>
      <c r="D26" s="8" t="s">
        <v>83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85</v>
      </c>
      <c r="C27" s="15" t="s">
        <v>86</v>
      </c>
      <c r="D27" s="13" t="s">
        <v>80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88</v>
      </c>
      <c r="C28" s="2" t="s">
        <v>89</v>
      </c>
      <c r="D28" s="8" t="s">
        <v>92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1006</v>
      </c>
      <c r="C29" s="10" t="s">
        <v>91</v>
      </c>
      <c r="D29" s="13" t="s">
        <v>92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90</v>
      </c>
      <c r="C30" s="10" t="s">
        <v>91</v>
      </c>
      <c r="D30" s="13" t="s">
        <v>95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96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97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98</v>
      </c>
      <c r="C34" s="2" t="s">
        <v>99</v>
      </c>
      <c r="D34" s="8" t="s">
        <v>100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101</v>
      </c>
      <c r="C35" s="2" t="s">
        <v>612</v>
      </c>
      <c r="D35" s="8" t="s">
        <v>95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103</v>
      </c>
      <c r="C36" s="10" t="s">
        <v>609</v>
      </c>
      <c r="D36" s="13" t="s">
        <v>70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107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108</v>
      </c>
      <c r="C40" s="2" t="s">
        <v>109</v>
      </c>
      <c r="D40" s="8" t="s">
        <v>100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491</v>
      </c>
      <c r="C41" s="2" t="s">
        <v>44</v>
      </c>
      <c r="D41" s="8" t="s">
        <v>36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110</v>
      </c>
      <c r="C42" s="2" t="s">
        <v>111</v>
      </c>
      <c r="D42" s="8" t="s">
        <v>1012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113</v>
      </c>
      <c r="C43" s="2" t="s">
        <v>114</v>
      </c>
      <c r="D43" s="8" t="s">
        <v>36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115</v>
      </c>
      <c r="C44" s="2" t="s">
        <v>114</v>
      </c>
      <c r="D44" s="8" t="s">
        <v>133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116</v>
      </c>
      <c r="C45" s="2" t="s">
        <v>114</v>
      </c>
      <c r="D45" s="8" t="s">
        <v>39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117</v>
      </c>
      <c r="C46" s="2" t="s">
        <v>135</v>
      </c>
      <c r="D46" s="14" t="s">
        <v>224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45</v>
      </c>
      <c r="C47" s="2" t="s">
        <v>46</v>
      </c>
      <c r="D47" s="8" t="s">
        <v>47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118</v>
      </c>
      <c r="C48" s="2" t="s">
        <v>119</v>
      </c>
      <c r="D48" s="8" t="s">
        <v>70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120</v>
      </c>
      <c r="C49" s="2" t="s">
        <v>119</v>
      </c>
      <c r="D49" s="8" t="s">
        <v>83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578</v>
      </c>
      <c r="C50" s="2" t="s">
        <v>119</v>
      </c>
      <c r="D50" s="8" t="s">
        <v>83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121</v>
      </c>
      <c r="C51" s="2" t="s">
        <v>119</v>
      </c>
      <c r="D51" s="8" t="s">
        <v>83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96</v>
      </c>
      <c r="C52" s="19">
        <v>12</v>
      </c>
      <c r="D52" s="19"/>
      <c r="E52" s="78">
        <v>6101043.8132499997</v>
      </c>
      <c r="F52" s="284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122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501</v>
      </c>
      <c r="C55" s="10" t="s">
        <v>124</v>
      </c>
      <c r="D55" s="13" t="s">
        <v>100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125</v>
      </c>
      <c r="C56" s="10" t="s">
        <v>126</v>
      </c>
      <c r="D56" s="13" t="s">
        <v>571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96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128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129</v>
      </c>
      <c r="C60" s="15" t="s">
        <v>130</v>
      </c>
      <c r="D60" s="8" t="s">
        <v>100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131</v>
      </c>
      <c r="C61" s="15" t="s">
        <v>132</v>
      </c>
      <c r="D61" s="13" t="s">
        <v>1018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134</v>
      </c>
      <c r="C62" s="2" t="s">
        <v>135</v>
      </c>
      <c r="D62" s="8" t="s">
        <v>47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487</v>
      </c>
      <c r="C63" s="15" t="s">
        <v>167</v>
      </c>
      <c r="D63" s="13" t="s">
        <v>1016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517</v>
      </c>
      <c r="C64" s="15" t="s">
        <v>135</v>
      </c>
      <c r="D64" s="13" t="s">
        <v>224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136</v>
      </c>
      <c r="C65" s="2" t="s">
        <v>119</v>
      </c>
      <c r="D65" s="8" t="s">
        <v>65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138</v>
      </c>
      <c r="C66" s="15" t="s">
        <v>67</v>
      </c>
      <c r="D66" s="13" t="s">
        <v>65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139</v>
      </c>
      <c r="C67" s="15" t="s">
        <v>67</v>
      </c>
      <c r="D67" s="13" t="s">
        <v>65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140</v>
      </c>
      <c r="C68" s="2" t="s">
        <v>141</v>
      </c>
      <c r="D68" s="8" t="s">
        <v>137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142</v>
      </c>
      <c r="C69" s="2" t="s">
        <v>119</v>
      </c>
      <c r="D69" s="8" t="s">
        <v>70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77</v>
      </c>
      <c r="C70" s="15" t="s">
        <v>64</v>
      </c>
      <c r="D70" s="8" t="s">
        <v>80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96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143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144</v>
      </c>
      <c r="C74" s="2" t="s">
        <v>145</v>
      </c>
      <c r="D74" s="8" t="s">
        <v>100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518</v>
      </c>
      <c r="C75" s="2" t="s">
        <v>570</v>
      </c>
      <c r="D75" s="13" t="s">
        <v>1018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519</v>
      </c>
      <c r="C76" s="10" t="s">
        <v>572</v>
      </c>
      <c r="D76" s="8" t="s">
        <v>571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148</v>
      </c>
      <c r="C77" s="2" t="s">
        <v>149</v>
      </c>
      <c r="D77" s="13" t="s">
        <v>47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151</v>
      </c>
      <c r="C78" s="2" t="s">
        <v>154</v>
      </c>
      <c r="D78" s="8" t="s">
        <v>104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153</v>
      </c>
      <c r="C79" s="2" t="s">
        <v>154</v>
      </c>
      <c r="D79" s="8" t="s">
        <v>83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155</v>
      </c>
      <c r="C80" s="2" t="s">
        <v>156</v>
      </c>
      <c r="D80" s="8" t="s">
        <v>95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96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157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158</v>
      </c>
      <c r="C84" s="2" t="s">
        <v>114</v>
      </c>
      <c r="D84" s="8" t="s">
        <v>36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159</v>
      </c>
      <c r="C85" s="2" t="s">
        <v>114</v>
      </c>
      <c r="D85" s="8" t="s">
        <v>36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203</v>
      </c>
      <c r="C86" s="2" t="s">
        <v>114</v>
      </c>
      <c r="D86" s="8" t="s">
        <v>39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160</v>
      </c>
      <c r="C87" s="2" t="s">
        <v>114</v>
      </c>
      <c r="D87" s="8" t="s">
        <v>39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161</v>
      </c>
      <c r="C88" s="2" t="s">
        <v>458</v>
      </c>
      <c r="D88" s="13" t="s">
        <v>52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162</v>
      </c>
      <c r="C89" s="10" t="s">
        <v>167</v>
      </c>
      <c r="D89" s="13" t="s">
        <v>1016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163</v>
      </c>
      <c r="C90" s="10" t="s">
        <v>135</v>
      </c>
      <c r="D90" s="13" t="s">
        <v>164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165</v>
      </c>
      <c r="C91" s="15" t="s">
        <v>67</v>
      </c>
      <c r="D91" s="13" t="s">
        <v>65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166</v>
      </c>
      <c r="C92" s="15" t="s">
        <v>67</v>
      </c>
      <c r="D92" s="13" t="s">
        <v>65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169</v>
      </c>
      <c r="C93" s="2" t="s">
        <v>170</v>
      </c>
      <c r="D93" s="8" t="s">
        <v>70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171</v>
      </c>
      <c r="C94" s="15" t="s">
        <v>172</v>
      </c>
      <c r="D94" s="13" t="s">
        <v>92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96</v>
      </c>
      <c r="C95" s="19">
        <v>11</v>
      </c>
      <c r="D95" s="19"/>
      <c r="E95" s="78">
        <v>4407943.3822499998</v>
      </c>
      <c r="F95" s="284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174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175</v>
      </c>
      <c r="C98" s="2" t="s">
        <v>176</v>
      </c>
      <c r="D98" s="14" t="s">
        <v>112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178</v>
      </c>
      <c r="C99" s="2" t="s">
        <v>179</v>
      </c>
      <c r="D99" s="13" t="s">
        <v>47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182</v>
      </c>
      <c r="C100" s="2" t="s">
        <v>183</v>
      </c>
      <c r="D100" s="13" t="s">
        <v>137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184</v>
      </c>
      <c r="C101" s="2" t="s">
        <v>185</v>
      </c>
      <c r="D101" s="13" t="s">
        <v>70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96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186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187</v>
      </c>
      <c r="C105" s="10" t="s">
        <v>188</v>
      </c>
      <c r="D105" s="13" t="s">
        <v>100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189</v>
      </c>
      <c r="C106" s="2" t="s">
        <v>190</v>
      </c>
      <c r="D106" s="14" t="s">
        <v>112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192</v>
      </c>
      <c r="C107" s="2" t="s">
        <v>193</v>
      </c>
      <c r="D107" s="8" t="s">
        <v>194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195</v>
      </c>
      <c r="C108" s="2" t="s">
        <v>193</v>
      </c>
      <c r="D108" s="8" t="s">
        <v>194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196</v>
      </c>
      <c r="C109" s="2" t="s">
        <v>197</v>
      </c>
      <c r="D109" s="13" t="s">
        <v>200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199</v>
      </c>
      <c r="C110" s="2" t="s">
        <v>197</v>
      </c>
      <c r="D110" s="8" t="s">
        <v>1011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201</v>
      </c>
      <c r="C111" s="2" t="s">
        <v>197</v>
      </c>
      <c r="D111" s="13" t="s">
        <v>92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96</v>
      </c>
      <c r="C112" s="19">
        <v>7</v>
      </c>
      <c r="D112" s="2"/>
      <c r="E112" s="314">
        <v>3275268.0801050002</v>
      </c>
      <c r="F112" s="315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202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204</v>
      </c>
      <c r="C115" s="2" t="s">
        <v>205</v>
      </c>
      <c r="D115" s="13" t="s">
        <v>137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206</v>
      </c>
      <c r="C116" s="10" t="s">
        <v>579</v>
      </c>
      <c r="D116" s="13" t="s">
        <v>62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96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215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218</v>
      </c>
      <c r="C121" s="10" t="s">
        <v>219</v>
      </c>
      <c r="D121" s="13" t="s">
        <v>1012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521</v>
      </c>
      <c r="C123" s="10" t="s">
        <v>221</v>
      </c>
      <c r="D123" s="13" t="s">
        <v>39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222</v>
      </c>
      <c r="C124" s="10" t="s">
        <v>223</v>
      </c>
      <c r="D124" s="13" t="s">
        <v>150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225</v>
      </c>
      <c r="C125" s="10" t="s">
        <v>226</v>
      </c>
      <c r="D125" s="13" t="s">
        <v>47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227</v>
      </c>
      <c r="C126" s="10" t="s">
        <v>223</v>
      </c>
      <c r="D126" s="13" t="s">
        <v>47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228</v>
      </c>
      <c r="C127" s="10" t="s">
        <v>229</v>
      </c>
      <c r="D127" s="8" t="s">
        <v>80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230</v>
      </c>
      <c r="C128" s="10" t="s">
        <v>231</v>
      </c>
      <c r="D128" s="13" t="s">
        <v>95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232</v>
      </c>
      <c r="C129" s="10" t="s">
        <v>233</v>
      </c>
      <c r="D129" s="13" t="s">
        <v>95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96</v>
      </c>
      <c r="C130" s="24" t="s">
        <v>235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236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522</v>
      </c>
      <c r="C134" s="10" t="s">
        <v>573</v>
      </c>
      <c r="D134" s="13" t="s">
        <v>191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239</v>
      </c>
      <c r="C135" s="2" t="s">
        <v>240</v>
      </c>
      <c r="D135" s="14" t="s">
        <v>112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241</v>
      </c>
      <c r="C136" s="10" t="s">
        <v>580</v>
      </c>
      <c r="D136" s="13" t="s">
        <v>224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243</v>
      </c>
      <c r="C137" s="2" t="s">
        <v>581</v>
      </c>
      <c r="D137" s="13" t="s">
        <v>224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245</v>
      </c>
      <c r="C138" s="2" t="s">
        <v>581</v>
      </c>
      <c r="D138" s="13" t="s">
        <v>224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180</v>
      </c>
      <c r="C139" s="10" t="s">
        <v>582</v>
      </c>
      <c r="D139" s="13" t="s">
        <v>62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246</v>
      </c>
      <c r="C140" s="10" t="s">
        <v>582</v>
      </c>
      <c r="D140" s="13" t="s">
        <v>62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247</v>
      </c>
      <c r="C141" s="2" t="s">
        <v>583</v>
      </c>
      <c r="D141" s="13" t="s">
        <v>62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249</v>
      </c>
      <c r="C142" s="10" t="s">
        <v>250</v>
      </c>
      <c r="D142" s="13" t="s">
        <v>137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251</v>
      </c>
      <c r="C143" s="10" t="s">
        <v>252</v>
      </c>
      <c r="D143" s="13" t="s">
        <v>65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253</v>
      </c>
      <c r="C144" s="10" t="s">
        <v>254</v>
      </c>
      <c r="D144" s="13" t="s">
        <v>62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256</v>
      </c>
      <c r="C145" s="2" t="s">
        <v>257</v>
      </c>
      <c r="D145" s="13" t="s">
        <v>65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258</v>
      </c>
      <c r="C146" s="2" t="s">
        <v>584</v>
      </c>
      <c r="D146" s="13" t="s">
        <v>104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259</v>
      </c>
      <c r="C147" s="2" t="s">
        <v>584</v>
      </c>
      <c r="D147" s="13" t="s">
        <v>267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260</v>
      </c>
      <c r="C148" s="2" t="s">
        <v>584</v>
      </c>
      <c r="D148" s="13" t="s">
        <v>267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261</v>
      </c>
      <c r="C149" s="10" t="s">
        <v>262</v>
      </c>
      <c r="D149" s="13" t="s">
        <v>70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1019</v>
      </c>
      <c r="C150" s="10" t="s">
        <v>264</v>
      </c>
      <c r="D150" s="8" t="s">
        <v>83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265</v>
      </c>
      <c r="C151" s="10" t="s">
        <v>266</v>
      </c>
      <c r="D151" s="13" t="s">
        <v>104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268</v>
      </c>
      <c r="C152" s="10" t="s">
        <v>269</v>
      </c>
      <c r="D152" s="13" t="s">
        <v>80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270</v>
      </c>
      <c r="C153" s="10" t="s">
        <v>271</v>
      </c>
      <c r="D153" s="13" t="s">
        <v>104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272</v>
      </c>
      <c r="C154" s="10" t="s">
        <v>273</v>
      </c>
      <c r="D154" s="13" t="s">
        <v>80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274</v>
      </c>
      <c r="C155" s="10" t="s">
        <v>275</v>
      </c>
      <c r="D155" s="13" t="s">
        <v>83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277</v>
      </c>
      <c r="C156" s="10" t="s">
        <v>278</v>
      </c>
      <c r="D156" s="13" t="s">
        <v>95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279</v>
      </c>
      <c r="C157" s="10" t="s">
        <v>280</v>
      </c>
      <c r="D157" s="13" t="s">
        <v>95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281</v>
      </c>
      <c r="C158" s="10" t="s">
        <v>282</v>
      </c>
      <c r="D158" s="13" t="s">
        <v>95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283</v>
      </c>
      <c r="C159" s="10" t="s">
        <v>284</v>
      </c>
      <c r="D159" s="13" t="s">
        <v>92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285</v>
      </c>
      <c r="C160" s="10" t="s">
        <v>280</v>
      </c>
      <c r="D160" s="13" t="s">
        <v>95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289</v>
      </c>
      <c r="C161" s="10" t="s">
        <v>290</v>
      </c>
      <c r="D161" s="13" t="s">
        <v>297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292</v>
      </c>
      <c r="C162" s="10" t="s">
        <v>290</v>
      </c>
      <c r="D162" s="13" t="s">
        <v>297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293</v>
      </c>
      <c r="C163" s="10" t="s">
        <v>290</v>
      </c>
      <c r="D163" s="13" t="s">
        <v>297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294</v>
      </c>
      <c r="C164" s="10" t="s">
        <v>290</v>
      </c>
      <c r="D164" s="13" t="s">
        <v>297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295</v>
      </c>
      <c r="C165" s="10" t="s">
        <v>290</v>
      </c>
      <c r="D165" s="13" t="s">
        <v>297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296</v>
      </c>
      <c r="C166" s="10" t="s">
        <v>290</v>
      </c>
      <c r="D166" s="13" t="s">
        <v>308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298</v>
      </c>
      <c r="C167" s="10" t="s">
        <v>290</v>
      </c>
      <c r="D167" s="13" t="s">
        <v>308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299</v>
      </c>
      <c r="C168" s="10" t="s">
        <v>290</v>
      </c>
      <c r="D168" s="13" t="s">
        <v>308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300</v>
      </c>
      <c r="C169" s="10" t="s">
        <v>290</v>
      </c>
      <c r="D169" s="13" t="s">
        <v>308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301</v>
      </c>
      <c r="C170" s="10" t="s">
        <v>290</v>
      </c>
      <c r="D170" s="13" t="s">
        <v>308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302</v>
      </c>
      <c r="C171" s="10" t="s">
        <v>290</v>
      </c>
      <c r="D171" s="13" t="s">
        <v>308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303</v>
      </c>
      <c r="C172" s="10" t="s">
        <v>304</v>
      </c>
      <c r="D172" s="13" t="s">
        <v>305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306</v>
      </c>
      <c r="C173" s="10" t="s">
        <v>304</v>
      </c>
      <c r="D173" s="13" t="s">
        <v>305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307</v>
      </c>
      <c r="C174" s="10" t="s">
        <v>304</v>
      </c>
      <c r="D174" s="13" t="s">
        <v>305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309</v>
      </c>
      <c r="C175" s="10" t="s">
        <v>310</v>
      </c>
      <c r="D175" s="13" t="s">
        <v>1020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312</v>
      </c>
      <c r="C176" s="10" t="s">
        <v>313</v>
      </c>
      <c r="D176" s="13" t="s">
        <v>1021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315</v>
      </c>
      <c r="C177" s="10" t="s">
        <v>313</v>
      </c>
      <c r="D177" s="13" t="s">
        <v>1021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316</v>
      </c>
      <c r="C178" s="10" t="s">
        <v>313</v>
      </c>
      <c r="D178" s="13" t="s">
        <v>1021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317</v>
      </c>
      <c r="C179" s="10" t="s">
        <v>313</v>
      </c>
      <c r="D179" s="13" t="s">
        <v>1021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318</v>
      </c>
      <c r="C180" s="10" t="s">
        <v>313</v>
      </c>
      <c r="D180" s="13" t="s">
        <v>1021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319</v>
      </c>
      <c r="C181" s="10" t="s">
        <v>313</v>
      </c>
      <c r="D181" s="13" t="s">
        <v>1021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320</v>
      </c>
      <c r="C182" s="10" t="s">
        <v>313</v>
      </c>
      <c r="D182" s="13" t="s">
        <v>1021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321</v>
      </c>
      <c r="C183" s="10" t="s">
        <v>310</v>
      </c>
      <c r="D183" s="13" t="s">
        <v>1021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322</v>
      </c>
      <c r="C184" s="10" t="s">
        <v>310</v>
      </c>
      <c r="D184" s="13" t="s">
        <v>1021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323</v>
      </c>
      <c r="C185" s="10" t="s">
        <v>324</v>
      </c>
      <c r="D185" s="13" t="s">
        <v>336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328</v>
      </c>
      <c r="C186" s="10" t="s">
        <v>313</v>
      </c>
      <c r="D186" s="13" t="s">
        <v>1022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329</v>
      </c>
      <c r="C187" s="10" t="s">
        <v>330</v>
      </c>
      <c r="D187" s="13" t="s">
        <v>1023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332</v>
      </c>
      <c r="C188" s="10" t="s">
        <v>330</v>
      </c>
      <c r="D188" s="13" t="s">
        <v>1023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333</v>
      </c>
      <c r="C189" s="10" t="s">
        <v>330</v>
      </c>
      <c r="D189" s="13" t="s">
        <v>1023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334</v>
      </c>
      <c r="C190" s="10" t="s">
        <v>335</v>
      </c>
      <c r="D190" s="13" t="s">
        <v>327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337</v>
      </c>
      <c r="C191" s="10" t="s">
        <v>335</v>
      </c>
      <c r="D191" s="13" t="s">
        <v>327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96</v>
      </c>
      <c r="C192" s="26" t="s">
        <v>587</v>
      </c>
      <c r="D192" s="27"/>
      <c r="E192" s="78">
        <v>11195475.7585</v>
      </c>
      <c r="F192" s="284">
        <f>SUM(F133:F191)</f>
        <v>5597737.8792500002</v>
      </c>
      <c r="G192" s="11"/>
    </row>
    <row r="193" spans="1:7" ht="19.5" customHeight="1">
      <c r="A193" s="2"/>
      <c r="B193" s="28" t="s">
        <v>339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793" t="s">
        <v>0</v>
      </c>
      <c r="B1" s="793"/>
      <c r="C1" s="793"/>
      <c r="D1" s="793"/>
      <c r="E1" s="793"/>
      <c r="F1" s="79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1007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640</v>
      </c>
      <c r="H4" s="22" t="s">
        <v>641</v>
      </c>
      <c r="I4" s="184" t="s">
        <v>642</v>
      </c>
      <c r="J4" s="22" t="s">
        <v>643</v>
      </c>
      <c r="K4" s="22" t="s">
        <v>644</v>
      </c>
      <c r="L4" s="22" t="s">
        <v>645</v>
      </c>
      <c r="M4" s="184" t="s">
        <v>7</v>
      </c>
      <c r="N4" s="184" t="s">
        <v>7</v>
      </c>
      <c r="O4" s="22" t="s">
        <v>646</v>
      </c>
      <c r="P4" s="22" t="s">
        <v>646</v>
      </c>
      <c r="Q4" s="184" t="s">
        <v>8</v>
      </c>
      <c r="R4" s="296" t="s">
        <v>9</v>
      </c>
      <c r="S4" s="22" t="s">
        <v>14</v>
      </c>
      <c r="T4" s="309" t="s">
        <v>16</v>
      </c>
      <c r="U4" s="65" t="s">
        <v>1026</v>
      </c>
      <c r="V4" s="283" t="s">
        <v>1027</v>
      </c>
      <c r="W4" s="65" t="s">
        <v>456</v>
      </c>
      <c r="X4" s="283" t="s">
        <v>457</v>
      </c>
    </row>
    <row r="5" spans="1:25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25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48</v>
      </c>
      <c r="C7" s="2" t="s">
        <v>577</v>
      </c>
      <c r="D7" s="8" t="s">
        <v>194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7">
        <f>V7*W7</f>
        <v>284617.01750000002</v>
      </c>
    </row>
    <row r="8" spans="1:25" ht="26.25" customHeight="1">
      <c r="A8" s="8"/>
      <c r="B8" s="18" t="s">
        <v>96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0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1028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142</v>
      </c>
      <c r="C11" s="2" t="s">
        <v>119</v>
      </c>
      <c r="D11" s="8" t="s">
        <v>70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96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339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793" t="s">
        <v>0</v>
      </c>
      <c r="B1" s="793"/>
      <c r="C1" s="793"/>
      <c r="D1" s="793"/>
      <c r="E1" s="793"/>
      <c r="F1" s="79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1007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640</v>
      </c>
      <c r="H4" s="22" t="s">
        <v>641</v>
      </c>
      <c r="I4" s="184" t="s">
        <v>642</v>
      </c>
      <c r="J4" s="22" t="s">
        <v>643</v>
      </c>
      <c r="K4" s="22" t="s">
        <v>644</v>
      </c>
      <c r="L4" s="22" t="s">
        <v>645</v>
      </c>
      <c r="M4" s="184" t="s">
        <v>7</v>
      </c>
      <c r="N4" s="184" t="s">
        <v>7</v>
      </c>
      <c r="O4" s="22" t="s">
        <v>646</v>
      </c>
      <c r="P4" s="22" t="s">
        <v>646</v>
      </c>
      <c r="Q4" s="184" t="s">
        <v>8</v>
      </c>
      <c r="R4" s="296" t="s">
        <v>9</v>
      </c>
      <c r="S4" s="5" t="s">
        <v>447</v>
      </c>
      <c r="T4" s="268" t="s">
        <v>448</v>
      </c>
      <c r="U4" s="65" t="s">
        <v>449</v>
      </c>
      <c r="V4" s="65" t="s">
        <v>450</v>
      </c>
      <c r="W4" s="65" t="s">
        <v>451</v>
      </c>
      <c r="X4" s="65" t="s">
        <v>452</v>
      </c>
      <c r="Y4" s="65" t="s">
        <v>453</v>
      </c>
      <c r="Z4" s="281" t="s">
        <v>454</v>
      </c>
      <c r="AA4" s="282" t="s">
        <v>455</v>
      </c>
      <c r="AB4" s="65" t="s">
        <v>456</v>
      </c>
      <c r="AC4" s="283" t="s">
        <v>457</v>
      </c>
      <c r="AD4" s="283" t="s">
        <v>1029</v>
      </c>
      <c r="AE4" s="283" t="s">
        <v>1030</v>
      </c>
    </row>
    <row r="5" spans="1:31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70" t="s">
        <v>19</v>
      </c>
      <c r="T5" s="67"/>
      <c r="U5" s="67"/>
      <c r="V5" s="196"/>
      <c r="W5" s="67"/>
      <c r="X5" s="196"/>
    </row>
    <row r="6" spans="1:31" ht="20.100000000000001" customHeight="1">
      <c r="A6" s="7" t="s">
        <v>20</v>
      </c>
      <c r="B6" s="6" t="s">
        <v>1031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303</v>
      </c>
      <c r="C8" s="291" t="s">
        <v>304</v>
      </c>
      <c r="D8" s="292" t="s">
        <v>305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81803.001000000004</v>
      </c>
      <c r="S8" s="298" t="s">
        <v>305</v>
      </c>
      <c r="T8" s="293">
        <f>122105</f>
        <v>122105</v>
      </c>
      <c r="U8" s="293">
        <f>T8-R8</f>
        <v>40301.999000000003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35514.729754666703</v>
      </c>
      <c r="AB8" s="303">
        <f>(11/31)+3</f>
        <v>3.3548387096774199</v>
      </c>
      <c r="AC8" s="304">
        <f>AA8*AB8</f>
        <v>119146.19014468799</v>
      </c>
      <c r="AD8" s="52">
        <f>66227.57</f>
        <v>66227.570000000007</v>
      </c>
      <c r="AE8" s="305">
        <f>AC8-AD8</f>
        <v>52918.620144688102</v>
      </c>
    </row>
    <row r="9" spans="1:31" s="288" customFormat="1" ht="20.100000000000001" customHeight="1">
      <c r="A9" s="289">
        <v>41</v>
      </c>
      <c r="B9" s="290" t="s">
        <v>306</v>
      </c>
      <c r="C9" s="291" t="s">
        <v>304</v>
      </c>
      <c r="D9" s="292" t="s">
        <v>305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81803.001000000004</v>
      </c>
      <c r="S9" s="298" t="s">
        <v>305</v>
      </c>
      <c r="T9" s="293">
        <f t="shared" ref="T9:T10" si="7">122105</f>
        <v>122105</v>
      </c>
      <c r="U9" s="293">
        <f t="shared" ref="U9:U10" si="8">T9-R9</f>
        <v>40301.999000000003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35514.729754666703</v>
      </c>
      <c r="AB9" s="303">
        <f>(17/31)+2</f>
        <v>2.54838709677419</v>
      </c>
      <c r="AC9" s="304">
        <f t="shared" ref="AC9:AC10" si="12">AA9*AB9</f>
        <v>90505.279052215003</v>
      </c>
      <c r="AD9" s="197">
        <v>44151.71</v>
      </c>
      <c r="AE9" s="305">
        <f t="shared" ref="AE9:AE10" si="13">AC9-AD9</f>
        <v>46353.569052215003</v>
      </c>
    </row>
    <row r="10" spans="1:31" s="288" customFormat="1" ht="20.100000000000001" customHeight="1">
      <c r="A10" s="289">
        <v>42</v>
      </c>
      <c r="B10" s="295" t="s">
        <v>307</v>
      </c>
      <c r="C10" s="291" t="s">
        <v>304</v>
      </c>
      <c r="D10" s="292" t="s">
        <v>305</v>
      </c>
      <c r="E10" s="293">
        <v>5598.92</v>
      </c>
      <c r="F10" s="294"/>
      <c r="G10" s="293">
        <f t="shared" si="0"/>
        <v>16796.759999999998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305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90087.389280000003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303</v>
      </c>
      <c r="C13" s="291" t="s">
        <v>304</v>
      </c>
      <c r="D13" s="292" t="s">
        <v>305</v>
      </c>
      <c r="E13" s="293">
        <f>8730.79</f>
        <v>8730.7900000000009</v>
      </c>
      <c r="F13" s="294"/>
      <c r="G13" s="293">
        <f t="shared" ref="G13:G15" si="14">E13*300%</f>
        <v>26192.37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30557.764999999999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873.07899999999995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[11]PROMOTIONS!$X$42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78167.408250000008</v>
      </c>
      <c r="AA13" s="307"/>
    </row>
    <row r="14" spans="1:31" s="288" customFormat="1" ht="20.100000000000001" customHeight="1">
      <c r="A14" s="289">
        <v>41</v>
      </c>
      <c r="B14" s="290" t="s">
        <v>306</v>
      </c>
      <c r="C14" s="291" t="s">
        <v>304</v>
      </c>
      <c r="D14" s="292" t="s">
        <v>305</v>
      </c>
      <c r="E14" s="293">
        <f t="shared" ref="E14:E15" si="23">8730.79</f>
        <v>8730.7900000000009</v>
      </c>
      <c r="F14" s="294"/>
      <c r="G14" s="293">
        <f t="shared" si="14"/>
        <v>26192.37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30557.764999999999</v>
      </c>
      <c r="L14" s="293">
        <f t="shared" si="18"/>
        <v>8730.7900000000009</v>
      </c>
      <c r="M14" s="294"/>
      <c r="N14" s="294">
        <v>30000</v>
      </c>
      <c r="O14" s="293">
        <f t="shared" si="19"/>
        <v>873.07899999999995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[11]PROMOTIONS!$X$42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307</v>
      </c>
      <c r="C15" s="291" t="s">
        <v>304</v>
      </c>
      <c r="D15" s="292" t="s">
        <v>305</v>
      </c>
      <c r="E15" s="293">
        <f t="shared" si="23"/>
        <v>8730.7900000000009</v>
      </c>
      <c r="F15" s="294"/>
      <c r="G15" s="293">
        <f t="shared" si="14"/>
        <v>26192.37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30557.764999999999</v>
      </c>
      <c r="L15" s="293">
        <f t="shared" si="18"/>
        <v>8730.7900000000009</v>
      </c>
      <c r="M15" s="294"/>
      <c r="N15" s="294">
        <v>30000</v>
      </c>
      <c r="O15" s="293">
        <f t="shared" si="19"/>
        <v>873.07899999999995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[11]PROMOTIONS!$X$42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56792.408250000008</v>
      </c>
      <c r="AA15" s="307"/>
    </row>
    <row r="16" spans="1:31" ht="19.5" customHeight="1">
      <c r="A16" s="2"/>
      <c r="B16" s="28" t="s">
        <v>339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51011.250754666667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793" t="s">
        <v>0</v>
      </c>
      <c r="B1" s="793"/>
      <c r="C1" s="793"/>
      <c r="D1" s="793"/>
      <c r="E1" s="793"/>
      <c r="F1" s="79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1032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1008</v>
      </c>
      <c r="E4" s="65" t="s">
        <v>5</v>
      </c>
      <c r="F4" s="19" t="s">
        <v>640</v>
      </c>
      <c r="G4" s="19" t="s">
        <v>641</v>
      </c>
      <c r="H4" s="65" t="s">
        <v>642</v>
      </c>
      <c r="I4" s="19" t="s">
        <v>643</v>
      </c>
      <c r="J4" s="19" t="s">
        <v>644</v>
      </c>
      <c r="K4" s="19" t="s">
        <v>645</v>
      </c>
      <c r="L4" s="65" t="s">
        <v>7</v>
      </c>
      <c r="M4" s="65" t="s">
        <v>7</v>
      </c>
      <c r="N4" s="19" t="s">
        <v>646</v>
      </c>
      <c r="O4" s="19" t="s">
        <v>646</v>
      </c>
      <c r="P4" s="65" t="s">
        <v>8</v>
      </c>
      <c r="Q4" s="268" t="s">
        <v>446</v>
      </c>
      <c r="R4" s="5" t="s">
        <v>447</v>
      </c>
      <c r="S4" s="268" t="s">
        <v>448</v>
      </c>
      <c r="T4" s="65" t="s">
        <v>449</v>
      </c>
      <c r="U4" s="65" t="s">
        <v>450</v>
      </c>
      <c r="V4" s="65" t="s">
        <v>451</v>
      </c>
      <c r="W4" s="65" t="s">
        <v>452</v>
      </c>
      <c r="X4" s="65" t="s">
        <v>453</v>
      </c>
      <c r="Y4" s="281" t="s">
        <v>454</v>
      </c>
      <c r="Z4" s="282" t="s">
        <v>455</v>
      </c>
      <c r="AA4" s="65" t="s">
        <v>456</v>
      </c>
      <c r="AB4" s="283" t="s">
        <v>457</v>
      </c>
    </row>
    <row r="5" spans="1:29" ht="17.25" customHeight="1"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  <c r="I5" s="67" t="s">
        <v>19</v>
      </c>
      <c r="J5" s="67" t="s">
        <v>19</v>
      </c>
      <c r="K5" s="67" t="s">
        <v>19</v>
      </c>
      <c r="L5" s="67" t="s">
        <v>19</v>
      </c>
      <c r="M5" s="67" t="s">
        <v>19</v>
      </c>
      <c r="N5" s="67" t="s">
        <v>19</v>
      </c>
      <c r="O5" s="67" t="s">
        <v>19</v>
      </c>
      <c r="P5" s="67" t="s">
        <v>19</v>
      </c>
      <c r="Q5" s="269" t="s">
        <v>19</v>
      </c>
      <c r="R5" s="6"/>
      <c r="S5" s="269" t="s">
        <v>19</v>
      </c>
      <c r="T5" s="67"/>
      <c r="U5" s="67" t="s">
        <v>19</v>
      </c>
      <c r="V5" s="67"/>
      <c r="W5" s="270" t="s">
        <v>19</v>
      </c>
      <c r="X5" s="67"/>
      <c r="Y5" s="67"/>
      <c r="Z5" s="196"/>
      <c r="AA5" s="67"/>
      <c r="AB5" s="196"/>
    </row>
    <row r="6" spans="1:29" ht="20.100000000000001" customHeight="1">
      <c r="A6" s="7" t="s">
        <v>20</v>
      </c>
      <c r="B6" s="6" t="s">
        <v>21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78</v>
      </c>
      <c r="C7" s="10" t="s">
        <v>1033</v>
      </c>
      <c r="D7" s="13" t="s">
        <v>1011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83</v>
      </c>
      <c r="S7" s="185">
        <f>'SALARY STRUCTURE'!H13+60000</f>
        <v>205203.66666666701</v>
      </c>
      <c r="T7" s="70">
        <f t="shared" ref="T7:T45" si="0">S7-Q7</f>
        <v>21412.6399166667</v>
      </c>
      <c r="U7" s="70"/>
      <c r="V7" s="70"/>
      <c r="W7" s="271">
        <v>18102.902732666698</v>
      </c>
      <c r="X7" s="70">
        <f>'[10]October 2023'!$Z$29</f>
        <v>21640.882666666701</v>
      </c>
      <c r="Y7" s="70">
        <f>X7-W7</f>
        <v>3537.9799340000027</v>
      </c>
      <c r="Z7" s="197">
        <f>T7-Y7</f>
        <v>17874.659982666697</v>
      </c>
      <c r="AA7" s="70">
        <f>(19/31)+4</f>
        <v>4.6129032258064502</v>
      </c>
      <c r="AB7" s="197">
        <f>Z7*AA7</f>
        <v>82454.076694236675</v>
      </c>
      <c r="AC7" s="11"/>
    </row>
    <row r="8" spans="1:29" ht="26.25" customHeight="1">
      <c r="A8" s="8"/>
      <c r="B8" s="18" t="s">
        <v>96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21412.6399166667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3537.9799340000027</v>
      </c>
      <c r="Z8" s="198">
        <f t="shared" si="2"/>
        <v>17874.659982666697</v>
      </c>
      <c r="AA8" s="187"/>
      <c r="AB8" s="198">
        <f>SUM(AB7:AB7)</f>
        <v>82454.076694236675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107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45</v>
      </c>
      <c r="C11" s="2" t="s">
        <v>458</v>
      </c>
      <c r="D11" s="8" t="s">
        <v>52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47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1">
        <v>49548.776186666699</v>
      </c>
      <c r="X11" s="70">
        <f>'[10]October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35991.138343548329</v>
      </c>
      <c r="AC11" s="11"/>
    </row>
    <row r="12" spans="1:29" ht="25.5" customHeight="1">
      <c r="A12" s="8"/>
      <c r="B12" s="18" t="s">
        <v>96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22769.903849999999</v>
      </c>
      <c r="AA12" s="78"/>
      <c r="AB12" s="284">
        <f>SUM(AB11:AB11)</f>
        <v>35991.138343548329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128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203</v>
      </c>
      <c r="C15" s="2" t="s">
        <v>135</v>
      </c>
      <c r="D15" s="8" t="s">
        <v>42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39</v>
      </c>
      <c r="S15" s="185">
        <f>'SALARY STRUCTURE'!H18+160000</f>
        <v>504720.16666666698</v>
      </c>
      <c r="T15" s="70">
        <f t="shared" si="0"/>
        <v>83326.159916666598</v>
      </c>
      <c r="U15" s="70">
        <v>712.24525000000006</v>
      </c>
      <c r="V15" s="70">
        <f>837.69</f>
        <v>837.69</v>
      </c>
      <c r="W15" s="271">
        <v>59441.782042666702</v>
      </c>
      <c r="X15" s="70">
        <f>'[10]October 2023'!$Z$85</f>
        <v>75440.404746666696</v>
      </c>
      <c r="Y15" s="70">
        <f t="shared" si="4"/>
        <v>15998.622703999994</v>
      </c>
      <c r="Z15" s="197">
        <f t="shared" si="5"/>
        <v>67327.537212666604</v>
      </c>
      <c r="AA15" s="70">
        <f>9</f>
        <v>9</v>
      </c>
      <c r="AB15" s="197">
        <f t="shared" si="6"/>
        <v>605947.83491399942</v>
      </c>
      <c r="AC15" s="11"/>
    </row>
    <row r="16" spans="1:29" ht="20.100000000000001" customHeight="1">
      <c r="A16" s="8">
        <v>4</v>
      </c>
      <c r="B16" s="9" t="s">
        <v>134</v>
      </c>
      <c r="C16" s="2" t="s">
        <v>167</v>
      </c>
      <c r="D16" s="8" t="s">
        <v>52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47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1">
        <v>49548.776186666699</v>
      </c>
      <c r="X16" s="70">
        <f>'[10]October 2023'!$Z$62</f>
        <v>54931.226666666698</v>
      </c>
      <c r="Y16" s="70">
        <f t="shared" si="4"/>
        <v>5382.4504799999995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50417.066391290246</v>
      </c>
      <c r="AC16" s="11"/>
    </row>
    <row r="17" spans="1:29" ht="20.100000000000001" customHeight="1">
      <c r="A17" s="8"/>
      <c r="B17" s="18" t="s">
        <v>96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130371.63141333339</v>
      </c>
      <c r="Y17" s="78">
        <f t="shared" si="11"/>
        <v>21381.073183999993</v>
      </c>
      <c r="Z17" s="284">
        <f t="shared" si="11"/>
        <v>89978.682982666607</v>
      </c>
      <c r="AA17" s="78"/>
      <c r="AB17" s="284">
        <f t="shared" si="11"/>
        <v>656364.90130528971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143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148</v>
      </c>
      <c r="C20" s="2" t="s">
        <v>1034</v>
      </c>
      <c r="D20" s="13" t="s">
        <v>52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47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1">
        <v>49548.776186666699</v>
      </c>
      <c r="X20" s="70">
        <f>'[10]October 2023'!$Z$78</f>
        <v>54931.226666666698</v>
      </c>
      <c r="Y20" s="70">
        <f t="shared" si="4"/>
        <v>5382.4504799999995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96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5382.4504799999995</v>
      </c>
      <c r="Z21" s="285">
        <f t="shared" si="13"/>
        <v>22651.145769999999</v>
      </c>
      <c r="AA21" s="276"/>
      <c r="AB21" s="285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157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160</v>
      </c>
      <c r="C24" s="2" t="s">
        <v>46</v>
      </c>
      <c r="D24" s="8" t="s">
        <v>224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39</v>
      </c>
      <c r="S24" s="185">
        <f>'SALARY STRUCTURE'!H18+160000</f>
        <v>504720.16666666698</v>
      </c>
      <c r="T24" s="70">
        <f t="shared" si="0"/>
        <v>91387.131416666598</v>
      </c>
      <c r="U24" s="70"/>
      <c r="V24" s="70"/>
      <c r="W24" s="271">
        <v>58026.609434666701</v>
      </c>
      <c r="X24" s="70">
        <f>'[10]October 2023'!$Z$86</f>
        <v>75572.938666666698</v>
      </c>
      <c r="Y24" s="70">
        <f t="shared" si="4"/>
        <v>17546.329231999996</v>
      </c>
      <c r="Z24" s="197">
        <f t="shared" si="5"/>
        <v>73840.802184666594</v>
      </c>
      <c r="AA24" s="70">
        <v>1</v>
      </c>
      <c r="AB24" s="197">
        <f t="shared" si="6"/>
        <v>73840.802184666594</v>
      </c>
      <c r="AC24" s="11"/>
    </row>
    <row r="25" spans="1:29" ht="21.6" customHeight="1">
      <c r="A25" s="8">
        <v>7</v>
      </c>
      <c r="B25" s="9" t="s">
        <v>163</v>
      </c>
      <c r="C25" s="10" t="s">
        <v>167</v>
      </c>
      <c r="D25" s="13" t="s">
        <v>1016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164</v>
      </c>
      <c r="S25" s="185">
        <f>'SALARY STRUCTURE'!H17+140000</f>
        <v>389153.41666666698</v>
      </c>
      <c r="T25" s="70">
        <f t="shared" si="0"/>
        <v>27152.356166666701</v>
      </c>
      <c r="U25" s="70"/>
      <c r="V25" s="70"/>
      <c r="W25" s="271">
        <v>48170.870282666699</v>
      </c>
      <c r="X25" s="70">
        <f>'[10]October 2023'!$Z$89</f>
        <v>53384.122666666699</v>
      </c>
      <c r="Y25" s="70">
        <f t="shared" si="4"/>
        <v>5213.2523839999994</v>
      </c>
      <c r="Z25" s="197">
        <f t="shared" si="5"/>
        <v>21939.103782666702</v>
      </c>
      <c r="AA25" s="70">
        <f>(19/31)+2</f>
        <v>2.6129032258064502</v>
      </c>
      <c r="AB25" s="197">
        <f t="shared" si="6"/>
        <v>57324.755045032318</v>
      </c>
      <c r="AC25" s="11"/>
    </row>
    <row r="26" spans="1:29" ht="20.100000000000001" customHeight="1">
      <c r="A26" s="8"/>
      <c r="B26" s="18" t="s">
        <v>96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893873.58333333302</v>
      </c>
      <c r="T26" s="78">
        <f t="shared" ref="T26:AB26" si="16">SUM(T24:T25)</f>
        <v>118539.487583333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128957.0613333334</v>
      </c>
      <c r="Y26" s="78">
        <f t="shared" si="16"/>
        <v>22759.581615999996</v>
      </c>
      <c r="Z26" s="284">
        <f t="shared" si="16"/>
        <v>95779.905967333296</v>
      </c>
      <c r="AA26" s="78"/>
      <c r="AB26" s="284">
        <f t="shared" si="16"/>
        <v>131165.55722969893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174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37</v>
      </c>
      <c r="C29" s="2" t="s">
        <v>179</v>
      </c>
      <c r="D29" s="8" t="s">
        <v>224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39</v>
      </c>
      <c r="S29" s="185">
        <f>'SALARY STRUCTURE'!H18+160000+100000</f>
        <v>604720.16666666698</v>
      </c>
      <c r="T29" s="70">
        <f t="shared" si="0"/>
        <v>91387.1314166667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'[10]October 2023'!$Z$97</f>
        <v>94644.621866666697</v>
      </c>
      <c r="Y29" s="70">
        <f t="shared" si="4"/>
        <v>17546.331866666704</v>
      </c>
      <c r="Z29" s="197">
        <f t="shared" si="5"/>
        <v>73840.799549999996</v>
      </c>
      <c r="AA29" s="70">
        <f>3</f>
        <v>3</v>
      </c>
      <c r="AB29" s="197">
        <f t="shared" si="6"/>
        <v>221522.39864999999</v>
      </c>
      <c r="AC29" s="11"/>
    </row>
    <row r="30" spans="1:29" ht="20.100000000000001" customHeight="1">
      <c r="A30" s="8">
        <v>9</v>
      </c>
      <c r="B30" s="9" t="s">
        <v>178</v>
      </c>
      <c r="C30" s="2" t="s">
        <v>583</v>
      </c>
      <c r="D30" s="13" t="s">
        <v>52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47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1">
        <v>40698.124856666698</v>
      </c>
      <c r="X30" s="70">
        <f>'[10]October 2023'!$Z$129</f>
        <v>42047.769026666698</v>
      </c>
      <c r="Y30" s="70">
        <f t="shared" si="4"/>
        <v>1349.6441699999996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184</v>
      </c>
      <c r="C31" s="2" t="s">
        <v>1035</v>
      </c>
      <c r="D31" s="13" t="s">
        <v>1011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70</v>
      </c>
      <c r="S31" s="185">
        <f>'SALARY STRUCTURE'!H14+60000</f>
        <v>228601.58333333299</v>
      </c>
      <c r="T31" s="70">
        <f t="shared" si="0"/>
        <v>44810.556583333397</v>
      </c>
      <c r="U31" s="70"/>
      <c r="V31" s="70"/>
      <c r="W31" s="271">
        <v>18102.902732666698</v>
      </c>
      <c r="X31" s="70">
        <f>'[10]October 2023'!$Z$30</f>
        <v>25571.7326666667</v>
      </c>
      <c r="Y31" s="70">
        <f t="shared" si="4"/>
        <v>7468.8299340000012</v>
      </c>
      <c r="Z31" s="197">
        <f t="shared" si="5"/>
        <v>37341.726649333395</v>
      </c>
      <c r="AA31" s="70">
        <v>1</v>
      </c>
      <c r="AB31" s="197">
        <f t="shared" si="6"/>
        <v>37341.726649333395</v>
      </c>
      <c r="AC31" s="11"/>
    </row>
    <row r="32" spans="1:29" ht="20.100000000000001" customHeight="1">
      <c r="A32" s="2"/>
      <c r="B32" s="18" t="s">
        <v>96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6">
        <f>SUM(W29:W31)</f>
        <v>135899.31758933299</v>
      </c>
      <c r="X32" s="276">
        <f t="shared" ref="X32:AB32" si="18">SUM(X29:X31)</f>
        <v>162264.12356000009</v>
      </c>
      <c r="Y32" s="276">
        <f t="shared" si="18"/>
        <v>26364.805970666705</v>
      </c>
      <c r="Z32" s="285">
        <f t="shared" si="18"/>
        <v>117866.47827933339</v>
      </c>
      <c r="AA32" s="276"/>
      <c r="AB32" s="285">
        <f t="shared" si="18"/>
        <v>305651.78985933337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215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227</v>
      </c>
      <c r="C35" s="10" t="s">
        <v>1036</v>
      </c>
      <c r="D35" s="13" t="s">
        <v>52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47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1">
        <v>40684.599176666699</v>
      </c>
      <c r="X35" s="70">
        <f>'[10]October 2023'!$Z$118</f>
        <v>42034.243346666699</v>
      </c>
      <c r="Y35" s="70">
        <f t="shared" si="4"/>
        <v>1349.6441699999996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96</v>
      </c>
      <c r="C36" s="24" t="s">
        <v>1037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1349.6441699999996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236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251</v>
      </c>
      <c r="C39" s="10" t="s">
        <v>1038</v>
      </c>
      <c r="D39" s="13" t="s">
        <v>585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65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'[10]October 2023'!$Z$134</f>
        <v>31653.201066666701</v>
      </c>
      <c r="Y39" s="70">
        <f t="shared" si="4"/>
        <v>3858.9944400000022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256</v>
      </c>
      <c r="C40" s="2" t="s">
        <v>264</v>
      </c>
      <c r="D40" s="13" t="s">
        <v>585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65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1">
        <v>27873.079686666701</v>
      </c>
      <c r="X40" s="70">
        <f>'[10]October 2023'!$Z$24</f>
        <v>31749.120666666699</v>
      </c>
      <c r="Y40" s="70">
        <f t="shared" si="4"/>
        <v>3876.0409799999979</v>
      </c>
      <c r="Z40" s="197">
        <f t="shared" si="5"/>
        <v>19195.631520000003</v>
      </c>
      <c r="AA40" s="70">
        <v>1</v>
      </c>
      <c r="AB40" s="197">
        <f t="shared" si="6"/>
        <v>19195.631520000003</v>
      </c>
      <c r="AC40" s="11"/>
    </row>
    <row r="41" spans="1:29" ht="20.100000000000001" customHeight="1">
      <c r="A41" s="25">
        <v>14</v>
      </c>
      <c r="B41" s="16" t="s">
        <v>274</v>
      </c>
      <c r="C41" s="10" t="s">
        <v>280</v>
      </c>
      <c r="D41" s="13" t="s">
        <v>1011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83</v>
      </c>
      <c r="S41" s="185">
        <f>'SALARY STRUCTURE'!H13+60000</f>
        <v>205203.66666666701</v>
      </c>
      <c r="T41" s="70">
        <f t="shared" si="0"/>
        <v>21412.6399166667</v>
      </c>
      <c r="U41" s="70"/>
      <c r="V41" s="70"/>
      <c r="W41" s="271">
        <v>18102.902732666698</v>
      </c>
      <c r="X41" s="70">
        <f>'[10]October 2023'!$Z$145</f>
        <v>21640.882666666701</v>
      </c>
      <c r="Y41" s="70">
        <f t="shared" si="4"/>
        <v>3537.9799340000027</v>
      </c>
      <c r="Z41" s="197">
        <f t="shared" si="5"/>
        <v>17874.659982666697</v>
      </c>
      <c r="AA41" s="70">
        <v>2</v>
      </c>
      <c r="AB41" s="197">
        <f t="shared" si="6"/>
        <v>35749.319965333394</v>
      </c>
      <c r="AC41" s="11"/>
    </row>
    <row r="42" spans="1:29" ht="20.100000000000001" customHeight="1">
      <c r="A42" s="25">
        <v>15</v>
      </c>
      <c r="B42" s="9" t="s">
        <v>303</v>
      </c>
      <c r="C42" s="10" t="s">
        <v>310</v>
      </c>
      <c r="D42" s="13" t="s">
        <v>311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305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1">
        <v>4365.3307546666701</v>
      </c>
      <c r="X42" s="70">
        <f>'[10]October 2023'!$Z$164</f>
        <v>8312.59</v>
      </c>
      <c r="Y42" s="70">
        <f t="shared" si="4"/>
        <v>3947.25924533333</v>
      </c>
      <c r="Z42" s="197">
        <f t="shared" si="5"/>
        <v>29354.656421333366</v>
      </c>
      <c r="AA42" s="70">
        <f>(10/31)+2</f>
        <v>2.32258064516129</v>
      </c>
      <c r="AB42" s="197">
        <f t="shared" si="6"/>
        <v>68178.556849548448</v>
      </c>
      <c r="AC42" s="11"/>
    </row>
    <row r="43" spans="1:29" s="259" customFormat="1" ht="20.100000000000001" customHeight="1">
      <c r="A43" s="262">
        <v>16</v>
      </c>
      <c r="B43" s="263" t="s">
        <v>306</v>
      </c>
      <c r="C43" s="264" t="s">
        <v>310</v>
      </c>
      <c r="D43" s="265" t="s">
        <v>311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5" t="s">
        <v>305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79">
        <f>4365.33075466667</f>
        <v>4365.3307546666701</v>
      </c>
      <c r="X43" s="52">
        <f>'[10]October 2023'!$Z$164</f>
        <v>8312.59</v>
      </c>
      <c r="Y43" s="52">
        <f t="shared" si="4"/>
        <v>3947.25924533333</v>
      </c>
      <c r="Z43" s="52">
        <f t="shared" si="5"/>
        <v>29354.656421333366</v>
      </c>
      <c r="AA43" s="52">
        <f>(17/31)+1</f>
        <v>1.54838709677419</v>
      </c>
      <c r="AB43" s="52">
        <f t="shared" si="6"/>
        <v>45452.371233032201</v>
      </c>
      <c r="AC43" s="286"/>
    </row>
    <row r="44" spans="1:29" ht="20.100000000000001" customHeight="1">
      <c r="A44" s="25">
        <v>17</v>
      </c>
      <c r="B44" s="16" t="s">
        <v>307</v>
      </c>
      <c r="C44" s="10" t="s">
        <v>310</v>
      </c>
      <c r="D44" s="13" t="s">
        <v>1014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305</v>
      </c>
      <c r="S44" s="185">
        <v>115104.91666666701</v>
      </c>
      <c r="T44" s="70">
        <f t="shared" si="0"/>
        <v>31734.8256666667</v>
      </c>
      <c r="U44" s="70"/>
      <c r="V44" s="70"/>
      <c r="W44" s="271">
        <v>4504.4109200000003</v>
      </c>
      <c r="X44" s="70">
        <f>'[10]October 2023'!$Z$164</f>
        <v>8312.59</v>
      </c>
      <c r="Y44" s="70">
        <f t="shared" si="4"/>
        <v>3808.1790799999999</v>
      </c>
      <c r="Z44" s="197">
        <f t="shared" si="5"/>
        <v>27926.646586666699</v>
      </c>
      <c r="AA44" s="70">
        <v>8</v>
      </c>
      <c r="AB44" s="197">
        <f t="shared" si="6"/>
        <v>223413.17269333359</v>
      </c>
      <c r="AC44" s="11"/>
    </row>
    <row r="45" spans="1:29" ht="20.100000000000001" customHeight="1">
      <c r="A45" s="25">
        <v>18</v>
      </c>
      <c r="B45" s="16" t="s">
        <v>323</v>
      </c>
      <c r="C45" s="10" t="s">
        <v>313</v>
      </c>
      <c r="D45" s="13" t="s">
        <v>1039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336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1">
        <v>3064.8720786666699</v>
      </c>
      <c r="X45" s="70">
        <f>'[10]October 2023'!$Z$177</f>
        <v>3951.8553333333298</v>
      </c>
      <c r="Y45" s="70">
        <f t="shared" si="4"/>
        <v>886.98325466665983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96</v>
      </c>
      <c r="C46" s="26" t="s">
        <v>1040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113932.82973333342</v>
      </c>
      <c r="Y46" s="78">
        <f t="shared" si="30"/>
        <v>23862.696179333325</v>
      </c>
      <c r="Z46" s="284">
        <f t="shared" si="30"/>
        <v>152111.30090400015</v>
      </c>
      <c r="AA46" s="78"/>
      <c r="AB46" s="284">
        <f t="shared" si="30"/>
        <v>626877.53317569953</v>
      </c>
      <c r="AC46" s="11"/>
    </row>
    <row r="47" spans="1:29" ht="19.5" customHeight="1">
      <c r="A47" s="2"/>
      <c r="B47" s="28" t="s">
        <v>339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607584.35750000004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109901.92393400002</v>
      </c>
      <c r="Z47" s="287">
        <f t="shared" si="31"/>
        <v>525716.02981600014</v>
      </c>
      <c r="AA47" s="193">
        <f t="shared" si="31"/>
        <v>0</v>
      </c>
      <c r="AB47" s="287">
        <f t="shared" si="31"/>
        <v>2102520.8772578067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1041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1042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1043</v>
      </c>
      <c r="C3" s="236" t="s">
        <v>1044</v>
      </c>
      <c r="D3" s="236" t="s">
        <v>1045</v>
      </c>
      <c r="E3" s="236" t="s">
        <v>1046</v>
      </c>
      <c r="F3" s="236" t="s">
        <v>1047</v>
      </c>
      <c r="G3" s="236" t="s">
        <v>1048</v>
      </c>
      <c r="H3" s="253" t="s">
        <v>1049</v>
      </c>
      <c r="I3" s="236" t="s">
        <v>1050</v>
      </c>
      <c r="J3" s="236" t="s">
        <v>1051</v>
      </c>
      <c r="K3" s="236" t="s">
        <v>1052</v>
      </c>
      <c r="L3" s="236" t="s">
        <v>1053</v>
      </c>
      <c r="M3" s="236" t="s">
        <v>1054</v>
      </c>
      <c r="N3" s="236" t="s">
        <v>1055</v>
      </c>
      <c r="O3" s="236" t="s">
        <v>1056</v>
      </c>
      <c r="P3" s="236" t="s">
        <v>1057</v>
      </c>
      <c r="Q3" s="256"/>
      <c r="R3" s="256"/>
    </row>
    <row r="4" spans="1:18">
      <c r="A4" s="236" t="s">
        <v>1058</v>
      </c>
      <c r="B4" s="236" t="s">
        <v>19</v>
      </c>
      <c r="C4" s="236" t="s">
        <v>19</v>
      </c>
      <c r="D4" s="236" t="s">
        <v>19</v>
      </c>
      <c r="E4" s="236" t="s">
        <v>19</v>
      </c>
      <c r="F4" s="236" t="s">
        <v>19</v>
      </c>
      <c r="G4" s="236" t="s">
        <v>19</v>
      </c>
      <c r="H4" s="253" t="s">
        <v>19</v>
      </c>
      <c r="I4" s="236" t="s">
        <v>19</v>
      </c>
      <c r="J4" s="236" t="s">
        <v>19</v>
      </c>
      <c r="K4" s="236" t="s">
        <v>19</v>
      </c>
      <c r="L4" s="236" t="s">
        <v>19</v>
      </c>
      <c r="M4" s="236" t="s">
        <v>19</v>
      </c>
      <c r="N4" s="236" t="s">
        <v>19</v>
      </c>
      <c r="O4" s="236" t="s">
        <v>19</v>
      </c>
      <c r="P4" s="236" t="s">
        <v>19</v>
      </c>
      <c r="Q4" s="256"/>
      <c r="R4" s="256"/>
    </row>
    <row r="5" spans="1:18" ht="14.25">
      <c r="A5" s="254" t="s">
        <v>1059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1060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1061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1062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1063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1064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1065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1066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1067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1068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1069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1070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1071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1072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1073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1074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814" t="s">
        <v>0</v>
      </c>
      <c r="B1" s="814"/>
      <c r="C1" s="814"/>
      <c r="D1" s="814"/>
      <c r="E1" s="814"/>
      <c r="F1" s="814"/>
      <c r="G1" s="814"/>
      <c r="H1" s="814"/>
      <c r="I1" s="814"/>
      <c r="J1" s="238"/>
      <c r="K1" s="238"/>
    </row>
    <row r="2" spans="1:11" ht="14.25">
      <c r="A2" s="814" t="s">
        <v>1075</v>
      </c>
      <c r="B2" s="814"/>
      <c r="C2" s="814"/>
      <c r="D2" s="814"/>
      <c r="E2" s="814"/>
      <c r="F2" s="814"/>
      <c r="G2" s="814"/>
      <c r="H2" s="814"/>
      <c r="I2" s="814"/>
      <c r="J2" s="239"/>
      <c r="K2" s="239"/>
    </row>
    <row r="3" spans="1:11" ht="23.25" customHeight="1">
      <c r="A3" s="815" t="s">
        <v>1076</v>
      </c>
      <c r="B3" s="815"/>
      <c r="C3" s="815"/>
      <c r="D3" s="815"/>
      <c r="E3" s="815"/>
      <c r="F3" s="815"/>
      <c r="G3" s="815"/>
      <c r="H3" s="815"/>
      <c r="I3" s="815"/>
    </row>
    <row r="5" spans="1:11" ht="42.75" customHeight="1">
      <c r="A5" s="240" t="s">
        <v>20</v>
      </c>
      <c r="B5" s="240" t="s">
        <v>2</v>
      </c>
      <c r="C5" s="240" t="s">
        <v>3</v>
      </c>
      <c r="D5" s="241" t="s">
        <v>4</v>
      </c>
      <c r="E5" s="241" t="s">
        <v>1077</v>
      </c>
      <c r="F5" s="241" t="s">
        <v>1078</v>
      </c>
      <c r="G5" s="241" t="s">
        <v>1079</v>
      </c>
      <c r="H5" s="241" t="s">
        <v>1080</v>
      </c>
      <c r="I5" s="248" t="s">
        <v>1081</v>
      </c>
    </row>
    <row r="6" spans="1:11">
      <c r="B6" s="236" t="s">
        <v>21</v>
      </c>
    </row>
    <row r="7" spans="1:11">
      <c r="A7" s="242">
        <v>1</v>
      </c>
      <c r="B7" s="242" t="s">
        <v>22</v>
      </c>
      <c r="C7" s="242" t="s">
        <v>23</v>
      </c>
      <c r="D7" s="242" t="s">
        <v>420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1082</v>
      </c>
      <c r="C8" s="242" t="s">
        <v>1083</v>
      </c>
      <c r="D8" s="242" t="s">
        <v>191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25</v>
      </c>
      <c r="C9" s="242" t="s">
        <v>26</v>
      </c>
      <c r="D9" s="242" t="s">
        <v>27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28</v>
      </c>
      <c r="C10" s="242" t="s">
        <v>29</v>
      </c>
      <c r="D10" s="242" t="s">
        <v>112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175</v>
      </c>
      <c r="C11" s="242" t="s">
        <v>1084</v>
      </c>
      <c r="D11" s="242" t="s">
        <v>112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30</v>
      </c>
      <c r="C12" s="242" t="s">
        <v>31</v>
      </c>
      <c r="D12" s="242" t="s">
        <v>112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32</v>
      </c>
      <c r="C13" s="242" t="s">
        <v>33</v>
      </c>
      <c r="D13" s="242" t="s">
        <v>112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34</v>
      </c>
      <c r="C14" s="242" t="s">
        <v>35</v>
      </c>
      <c r="D14" s="242" t="s">
        <v>36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1085</v>
      </c>
      <c r="C15" s="242" t="s">
        <v>41</v>
      </c>
      <c r="D15" s="242" t="s">
        <v>224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40</v>
      </c>
      <c r="C16" s="242" t="s">
        <v>41</v>
      </c>
      <c r="D16" s="242" t="s">
        <v>224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50</v>
      </c>
      <c r="C17" s="242" t="s">
        <v>51</v>
      </c>
      <c r="D17" s="242" t="s">
        <v>1016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53</v>
      </c>
      <c r="C18" s="242" t="s">
        <v>54</v>
      </c>
      <c r="D18" s="242" t="s">
        <v>1017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60</v>
      </c>
      <c r="C19" s="242" t="s">
        <v>61</v>
      </c>
      <c r="D19" s="242" t="s">
        <v>137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76</v>
      </c>
      <c r="C20" s="242" t="s">
        <v>74</v>
      </c>
      <c r="D20" s="242" t="s">
        <v>80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1086</v>
      </c>
      <c r="C21" s="242" t="s">
        <v>1087</v>
      </c>
      <c r="D21" s="242" t="s">
        <v>80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78</v>
      </c>
      <c r="C22" s="242" t="s">
        <v>1033</v>
      </c>
      <c r="D22" s="242" t="s">
        <v>1011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81</v>
      </c>
      <c r="C23" s="242" t="s">
        <v>1088</v>
      </c>
      <c r="D23" s="242" t="s">
        <v>1011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85</v>
      </c>
      <c r="C24" s="242" t="s">
        <v>86</v>
      </c>
      <c r="D24" s="242" t="s">
        <v>80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88</v>
      </c>
      <c r="C25" s="242" t="s">
        <v>89</v>
      </c>
      <c r="D25" s="242" t="s">
        <v>92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1006</v>
      </c>
      <c r="C26" s="242" t="s">
        <v>91</v>
      </c>
      <c r="D26" s="242" t="s">
        <v>92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90</v>
      </c>
      <c r="C27" s="242" t="s">
        <v>91</v>
      </c>
      <c r="D27" s="242" t="s">
        <v>95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1089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97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98</v>
      </c>
      <c r="C31" s="242" t="s">
        <v>99</v>
      </c>
      <c r="D31" s="242" t="s">
        <v>100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101</v>
      </c>
      <c r="C32" s="242" t="s">
        <v>612</v>
      </c>
      <c r="D32" s="242" t="s">
        <v>95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1090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107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108</v>
      </c>
      <c r="C36" s="242" t="s">
        <v>109</v>
      </c>
      <c r="D36" s="242" t="s">
        <v>100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491</v>
      </c>
      <c r="C37" s="242" t="s">
        <v>44</v>
      </c>
      <c r="D37" s="242" t="s">
        <v>36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110</v>
      </c>
      <c r="C38" s="242" t="s">
        <v>114</v>
      </c>
      <c r="D38" s="242" t="s">
        <v>36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113</v>
      </c>
      <c r="C39" s="242" t="s">
        <v>114</v>
      </c>
      <c r="D39" s="242" t="s">
        <v>36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115</v>
      </c>
      <c r="C40" s="242" t="s">
        <v>114</v>
      </c>
      <c r="D40" s="242" t="s">
        <v>133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116</v>
      </c>
      <c r="C41" s="242" t="s">
        <v>46</v>
      </c>
      <c r="D41" s="242" t="s">
        <v>224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117</v>
      </c>
      <c r="C42" s="242" t="s">
        <v>135</v>
      </c>
      <c r="D42" s="242" t="s">
        <v>224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1091</v>
      </c>
      <c r="C43" s="242" t="s">
        <v>135</v>
      </c>
      <c r="D43" s="242" t="s">
        <v>150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45</v>
      </c>
      <c r="C44" s="242" t="s">
        <v>458</v>
      </c>
      <c r="D44" s="242" t="s">
        <v>52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118</v>
      </c>
      <c r="C45" s="242" t="s">
        <v>119</v>
      </c>
      <c r="D45" s="242" t="s">
        <v>70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120</v>
      </c>
      <c r="C46" s="242" t="s">
        <v>119</v>
      </c>
      <c r="D46" s="242" t="s">
        <v>83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578</v>
      </c>
      <c r="C47" s="242" t="s">
        <v>119</v>
      </c>
      <c r="D47" s="242" t="s">
        <v>83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121</v>
      </c>
      <c r="C48" s="242" t="s">
        <v>119</v>
      </c>
      <c r="D48" s="242" t="s">
        <v>83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1092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122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501</v>
      </c>
      <c r="C52" s="242" t="s">
        <v>124</v>
      </c>
      <c r="D52" s="242" t="s">
        <v>100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125</v>
      </c>
      <c r="C53" s="242" t="s">
        <v>126</v>
      </c>
      <c r="D53" s="242" t="s">
        <v>571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1093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128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129</v>
      </c>
      <c r="C57" s="242" t="s">
        <v>130</v>
      </c>
      <c r="D57" s="242" t="s">
        <v>100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131</v>
      </c>
      <c r="C58" s="242" t="s">
        <v>132</v>
      </c>
      <c r="D58" s="242" t="s">
        <v>1018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134</v>
      </c>
      <c r="C59" s="242" t="s">
        <v>167</v>
      </c>
      <c r="D59" s="242" t="s">
        <v>52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487</v>
      </c>
      <c r="C60" s="242" t="s">
        <v>167</v>
      </c>
      <c r="D60" s="242" t="s">
        <v>1016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517</v>
      </c>
      <c r="C61" s="242" t="s">
        <v>135</v>
      </c>
      <c r="D61" s="242" t="s">
        <v>224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43</v>
      </c>
      <c r="C62" s="242" t="s">
        <v>135</v>
      </c>
      <c r="D62" s="242" t="s">
        <v>150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136</v>
      </c>
      <c r="C63" s="242" t="s">
        <v>119</v>
      </c>
      <c r="D63" s="242" t="s">
        <v>65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138</v>
      </c>
      <c r="C64" s="242" t="s">
        <v>67</v>
      </c>
      <c r="D64" s="242" t="s">
        <v>65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139</v>
      </c>
      <c r="C65" s="242" t="s">
        <v>67</v>
      </c>
      <c r="D65" s="242" t="s">
        <v>65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140</v>
      </c>
      <c r="C66" s="242" t="s">
        <v>141</v>
      </c>
      <c r="D66" s="242" t="s">
        <v>137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77</v>
      </c>
      <c r="C67" s="242" t="s">
        <v>64</v>
      </c>
      <c r="D67" s="242" t="s">
        <v>80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63</v>
      </c>
      <c r="C68" s="242" t="s">
        <v>64</v>
      </c>
      <c r="D68" s="242" t="s">
        <v>92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1094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143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144</v>
      </c>
      <c r="C72" s="242" t="s">
        <v>145</v>
      </c>
      <c r="D72" s="242" t="s">
        <v>100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518</v>
      </c>
      <c r="C73" s="242" t="s">
        <v>570</v>
      </c>
      <c r="D73" s="242" t="s">
        <v>1018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519</v>
      </c>
      <c r="C74" s="242" t="s">
        <v>572</v>
      </c>
      <c r="D74" s="242" t="s">
        <v>571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148</v>
      </c>
      <c r="C75" s="242" t="s">
        <v>1034</v>
      </c>
      <c r="D75" s="242" t="s">
        <v>52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151</v>
      </c>
      <c r="C76" s="242" t="s">
        <v>154</v>
      </c>
      <c r="D76" s="242" t="s">
        <v>104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153</v>
      </c>
      <c r="C77" s="242" t="s">
        <v>154</v>
      </c>
      <c r="D77" s="242" t="s">
        <v>83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155</v>
      </c>
      <c r="C78" s="242" t="s">
        <v>156</v>
      </c>
      <c r="D78" s="242" t="s">
        <v>95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1095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157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158</v>
      </c>
      <c r="C82" s="242" t="s">
        <v>114</v>
      </c>
      <c r="D82" s="242" t="s">
        <v>36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159</v>
      </c>
      <c r="C83" s="242" t="s">
        <v>114</v>
      </c>
      <c r="D83" s="242" t="s">
        <v>36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203</v>
      </c>
      <c r="C84" s="242" t="s">
        <v>135</v>
      </c>
      <c r="D84" s="242" t="s">
        <v>42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160</v>
      </c>
      <c r="C85" s="242" t="s">
        <v>46</v>
      </c>
      <c r="D85" s="242" t="s">
        <v>224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161</v>
      </c>
      <c r="C86" s="242" t="s">
        <v>458</v>
      </c>
      <c r="D86" s="242" t="s">
        <v>52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162</v>
      </c>
      <c r="C87" s="242" t="s">
        <v>167</v>
      </c>
      <c r="D87" s="242" t="s">
        <v>1016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163</v>
      </c>
      <c r="C88" s="242" t="s">
        <v>167</v>
      </c>
      <c r="D88" s="242" t="s">
        <v>1016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165</v>
      </c>
      <c r="C89" s="242" t="s">
        <v>67</v>
      </c>
      <c r="D89" s="242" t="s">
        <v>65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166</v>
      </c>
      <c r="C90" s="242" t="s">
        <v>67</v>
      </c>
      <c r="D90" s="242" t="s">
        <v>65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169</v>
      </c>
      <c r="C91" s="242" t="s">
        <v>170</v>
      </c>
      <c r="D91" s="242" t="s">
        <v>70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171</v>
      </c>
      <c r="C92" s="242" t="s">
        <v>172</v>
      </c>
      <c r="D92" s="242" t="s">
        <v>92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1096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174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574</v>
      </c>
      <c r="C96" s="242" t="s">
        <v>575</v>
      </c>
      <c r="D96" s="242" t="s">
        <v>112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37</v>
      </c>
      <c r="C97" s="242" t="s">
        <v>179</v>
      </c>
      <c r="D97" s="242" t="s">
        <v>224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182</v>
      </c>
      <c r="C98" s="242" t="s">
        <v>183</v>
      </c>
      <c r="D98" s="242" t="s">
        <v>137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184</v>
      </c>
      <c r="C99" s="242" t="s">
        <v>1035</v>
      </c>
      <c r="D99" s="242" t="s">
        <v>1011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1097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186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187</v>
      </c>
      <c r="C103" s="242" t="s">
        <v>188</v>
      </c>
      <c r="D103" s="242" t="s">
        <v>100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189</v>
      </c>
      <c r="C104" s="242" t="s">
        <v>190</v>
      </c>
      <c r="D104" s="242" t="s">
        <v>112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192</v>
      </c>
      <c r="C105" s="242" t="s">
        <v>193</v>
      </c>
      <c r="D105" s="242" t="s">
        <v>194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195</v>
      </c>
      <c r="C106" s="242" t="s">
        <v>193</v>
      </c>
      <c r="D106" s="242" t="s">
        <v>194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196</v>
      </c>
      <c r="C107" s="242" t="s">
        <v>197</v>
      </c>
      <c r="D107" s="242" t="s">
        <v>200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199</v>
      </c>
      <c r="C108" s="242" t="s">
        <v>197</v>
      </c>
      <c r="D108" s="242" t="s">
        <v>1011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201</v>
      </c>
      <c r="C109" s="242" t="s">
        <v>197</v>
      </c>
      <c r="D109" s="242" t="s">
        <v>92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1098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202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1099</v>
      </c>
      <c r="C113" s="242" t="s">
        <v>67</v>
      </c>
      <c r="D113" s="242" t="s">
        <v>62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204</v>
      </c>
      <c r="C114" s="242" t="s">
        <v>205</v>
      </c>
      <c r="D114" s="242" t="s">
        <v>137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206</v>
      </c>
      <c r="C115" s="242" t="s">
        <v>579</v>
      </c>
      <c r="D115" s="242" t="s">
        <v>62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1100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215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216</v>
      </c>
      <c r="C119" s="242" t="s">
        <v>217</v>
      </c>
      <c r="D119" s="242" t="s">
        <v>100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218</v>
      </c>
      <c r="C120" s="242" t="s">
        <v>221</v>
      </c>
      <c r="D120" s="242" t="s">
        <v>36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220</v>
      </c>
      <c r="C121" s="242" t="s">
        <v>221</v>
      </c>
      <c r="D121" s="242" t="s">
        <v>36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222</v>
      </c>
      <c r="C122" s="242" t="s">
        <v>223</v>
      </c>
      <c r="D122" s="242" t="s">
        <v>150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225</v>
      </c>
      <c r="C123" s="242" t="s">
        <v>226</v>
      </c>
      <c r="D123" s="242" t="s">
        <v>52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227</v>
      </c>
      <c r="C124" s="242" t="s">
        <v>1036</v>
      </c>
      <c r="D124" s="242" t="s">
        <v>52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228</v>
      </c>
      <c r="C125" s="242" t="s">
        <v>229</v>
      </c>
      <c r="D125" s="242" t="s">
        <v>80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230</v>
      </c>
      <c r="C126" s="242" t="s">
        <v>231</v>
      </c>
      <c r="D126" s="242" t="s">
        <v>95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232</v>
      </c>
      <c r="C127" s="242" t="s">
        <v>233</v>
      </c>
      <c r="D127" s="242" t="s">
        <v>95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1101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236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237</v>
      </c>
      <c r="C131" s="242" t="s">
        <v>238</v>
      </c>
      <c r="D131" s="242" t="s">
        <v>100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239</v>
      </c>
      <c r="C132" s="242" t="s">
        <v>240</v>
      </c>
      <c r="D132" s="242" t="s">
        <v>112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241</v>
      </c>
      <c r="C133" s="242" t="s">
        <v>580</v>
      </c>
      <c r="D133" s="242" t="s">
        <v>224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243</v>
      </c>
      <c r="C134" s="242" t="s">
        <v>581</v>
      </c>
      <c r="D134" s="242" t="s">
        <v>224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245</v>
      </c>
      <c r="C135" s="242" t="s">
        <v>581</v>
      </c>
      <c r="D135" s="242" t="s">
        <v>224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178</v>
      </c>
      <c r="C136" s="242" t="s">
        <v>583</v>
      </c>
      <c r="D136" s="242" t="s">
        <v>52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180</v>
      </c>
      <c r="C137" s="242" t="s">
        <v>582</v>
      </c>
      <c r="D137" s="242" t="s">
        <v>62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246</v>
      </c>
      <c r="C138" s="242" t="s">
        <v>582</v>
      </c>
      <c r="D138" s="242" t="s">
        <v>62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247</v>
      </c>
      <c r="C139" s="242" t="s">
        <v>583</v>
      </c>
      <c r="D139" s="242" t="s">
        <v>62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249</v>
      </c>
      <c r="C140" s="242" t="s">
        <v>250</v>
      </c>
      <c r="D140" s="242" t="s">
        <v>137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251</v>
      </c>
      <c r="C141" s="242" t="s">
        <v>1038</v>
      </c>
      <c r="D141" s="242" t="s">
        <v>585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253</v>
      </c>
      <c r="C142" s="242" t="s">
        <v>254</v>
      </c>
      <c r="D142" s="242" t="s">
        <v>62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256</v>
      </c>
      <c r="C143" s="242" t="s">
        <v>264</v>
      </c>
      <c r="D143" s="242" t="s">
        <v>585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258</v>
      </c>
      <c r="C144" s="242" t="s">
        <v>584</v>
      </c>
      <c r="D144" s="242" t="s">
        <v>104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259</v>
      </c>
      <c r="C145" s="242" t="s">
        <v>584</v>
      </c>
      <c r="D145" s="242" t="s">
        <v>267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260</v>
      </c>
      <c r="C146" s="242" t="s">
        <v>584</v>
      </c>
      <c r="D146" s="242" t="s">
        <v>267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261</v>
      </c>
      <c r="C147" s="242" t="s">
        <v>262</v>
      </c>
      <c r="D147" s="242" t="s">
        <v>70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1019</v>
      </c>
      <c r="C148" s="242" t="s">
        <v>264</v>
      </c>
      <c r="D148" s="242" t="s">
        <v>83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265</v>
      </c>
      <c r="C149" s="242" t="s">
        <v>266</v>
      </c>
      <c r="D149" s="242" t="s">
        <v>104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268</v>
      </c>
      <c r="C150" s="242" t="s">
        <v>269</v>
      </c>
      <c r="D150" s="242" t="s">
        <v>80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270</v>
      </c>
      <c r="C151" s="242" t="s">
        <v>271</v>
      </c>
      <c r="D151" s="242" t="s">
        <v>104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272</v>
      </c>
      <c r="C152" s="242" t="s">
        <v>273</v>
      </c>
      <c r="D152" s="242" t="s">
        <v>80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274</v>
      </c>
      <c r="C153" s="242" t="s">
        <v>280</v>
      </c>
      <c r="D153" s="242" t="s">
        <v>1011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277</v>
      </c>
      <c r="C154" s="242" t="s">
        <v>278</v>
      </c>
      <c r="D154" s="242" t="s">
        <v>95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279</v>
      </c>
      <c r="C155" s="242" t="s">
        <v>280</v>
      </c>
      <c r="D155" s="242" t="s">
        <v>95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281</v>
      </c>
      <c r="C156" s="242" t="s">
        <v>282</v>
      </c>
      <c r="D156" s="242" t="s">
        <v>95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283</v>
      </c>
      <c r="C157" s="242" t="s">
        <v>284</v>
      </c>
      <c r="D157" s="242" t="s">
        <v>92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285</v>
      </c>
      <c r="C158" s="242" t="s">
        <v>280</v>
      </c>
      <c r="D158" s="242" t="s">
        <v>95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289</v>
      </c>
      <c r="C159" s="242" t="s">
        <v>290</v>
      </c>
      <c r="D159" s="242" t="s">
        <v>297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292</v>
      </c>
      <c r="C160" s="242" t="s">
        <v>290</v>
      </c>
      <c r="D160" s="242" t="s">
        <v>297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293</v>
      </c>
      <c r="C161" s="242" t="s">
        <v>290</v>
      </c>
      <c r="D161" s="242" t="s">
        <v>297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294</v>
      </c>
      <c r="C162" s="242" t="s">
        <v>290</v>
      </c>
      <c r="D162" s="242" t="s">
        <v>297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295</v>
      </c>
      <c r="C163" s="242" t="s">
        <v>290</v>
      </c>
      <c r="D163" s="242" t="s">
        <v>297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296</v>
      </c>
      <c r="C164" s="242" t="s">
        <v>290</v>
      </c>
      <c r="D164" s="242" t="s">
        <v>308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298</v>
      </c>
      <c r="C165" s="242" t="s">
        <v>290</v>
      </c>
      <c r="D165" s="242" t="s">
        <v>308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299</v>
      </c>
      <c r="C166" s="242" t="s">
        <v>290</v>
      </c>
      <c r="D166" s="242" t="s">
        <v>308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300</v>
      </c>
      <c r="C167" s="242" t="s">
        <v>290</v>
      </c>
      <c r="D167" s="242" t="s">
        <v>308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301</v>
      </c>
      <c r="C168" s="242" t="s">
        <v>290</v>
      </c>
      <c r="D168" s="242" t="s">
        <v>308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302</v>
      </c>
      <c r="C169" s="242" t="s">
        <v>290</v>
      </c>
      <c r="D169" s="242" t="s">
        <v>308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303</v>
      </c>
      <c r="C170" s="242" t="s">
        <v>310</v>
      </c>
      <c r="D170" s="242" t="s">
        <v>311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306</v>
      </c>
      <c r="C171" s="242" t="s">
        <v>310</v>
      </c>
      <c r="D171" s="242" t="s">
        <v>311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307</v>
      </c>
      <c r="C172" s="242" t="s">
        <v>310</v>
      </c>
      <c r="D172" s="242" t="s">
        <v>1014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309</v>
      </c>
      <c r="C173" s="242" t="s">
        <v>310</v>
      </c>
      <c r="D173" s="242" t="s">
        <v>1020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312</v>
      </c>
      <c r="C174" s="242" t="s">
        <v>313</v>
      </c>
      <c r="D174" s="242" t="s">
        <v>1021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315</v>
      </c>
      <c r="C175" s="242" t="s">
        <v>313</v>
      </c>
      <c r="D175" s="242" t="s">
        <v>1021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316</v>
      </c>
      <c r="C176" s="242" t="s">
        <v>313</v>
      </c>
      <c r="D176" s="242" t="s">
        <v>1021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317</v>
      </c>
      <c r="C177" s="242" t="s">
        <v>313</v>
      </c>
      <c r="D177" s="242" t="s">
        <v>1021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318</v>
      </c>
      <c r="C178" s="242" t="s">
        <v>313</v>
      </c>
      <c r="D178" s="242" t="s">
        <v>1021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319</v>
      </c>
      <c r="C179" s="242" t="s">
        <v>313</v>
      </c>
      <c r="D179" s="242" t="s">
        <v>1021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320</v>
      </c>
      <c r="C180" s="242" t="s">
        <v>313</v>
      </c>
      <c r="D180" s="242" t="s">
        <v>1021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321</v>
      </c>
      <c r="C181" s="242" t="s">
        <v>310</v>
      </c>
      <c r="D181" s="242" t="s">
        <v>1021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322</v>
      </c>
      <c r="C182" s="242" t="s">
        <v>310</v>
      </c>
      <c r="D182" s="242" t="s">
        <v>1021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323</v>
      </c>
      <c r="C183" s="242" t="s">
        <v>313</v>
      </c>
      <c r="D183" s="242" t="s">
        <v>1039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328</v>
      </c>
      <c r="C184" s="242" t="s">
        <v>313</v>
      </c>
      <c r="D184" s="242" t="s">
        <v>1022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329</v>
      </c>
      <c r="C185" s="242" t="s">
        <v>330</v>
      </c>
      <c r="D185" s="242" t="s">
        <v>1023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332</v>
      </c>
      <c r="C186" s="242" t="s">
        <v>330</v>
      </c>
      <c r="D186" s="242" t="s">
        <v>1023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333</v>
      </c>
      <c r="C187" s="242" t="s">
        <v>330</v>
      </c>
      <c r="D187" s="242" t="s">
        <v>1023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334</v>
      </c>
      <c r="C188" s="242" t="s">
        <v>335</v>
      </c>
      <c r="D188" s="242" t="s">
        <v>327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337</v>
      </c>
      <c r="C189" s="242" t="s">
        <v>335</v>
      </c>
      <c r="D189" s="242" t="s">
        <v>327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1102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816" t="s">
        <v>1103</v>
      </c>
      <c r="C192" s="816"/>
      <c r="D192" s="816"/>
      <c r="E192" s="816"/>
      <c r="F192" s="816"/>
      <c r="G192" s="816"/>
      <c r="H192" s="816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807" t="s">
        <v>0</v>
      </c>
      <c r="B1" s="807"/>
      <c r="C1" s="807"/>
      <c r="D1" s="807"/>
      <c r="E1" s="807"/>
      <c r="F1" s="807"/>
      <c r="G1" s="807"/>
      <c r="H1" s="807"/>
      <c r="I1" s="238"/>
      <c r="J1" s="238"/>
    </row>
    <row r="2" spans="1:10" ht="18.75">
      <c r="A2" s="817" t="s">
        <v>1075</v>
      </c>
      <c r="B2" s="817"/>
      <c r="C2" s="817"/>
      <c r="D2" s="817"/>
      <c r="E2" s="817"/>
      <c r="F2" s="817"/>
      <c r="G2" s="817"/>
      <c r="H2" s="817"/>
      <c r="I2" s="239"/>
      <c r="J2" s="239"/>
    </row>
    <row r="3" spans="1:10" ht="37.5" customHeight="1">
      <c r="A3" s="818" t="s">
        <v>1076</v>
      </c>
      <c r="B3" s="818"/>
      <c r="C3" s="818"/>
      <c r="D3" s="818"/>
      <c r="E3" s="818"/>
      <c r="F3" s="818"/>
      <c r="G3" s="818"/>
      <c r="H3" s="818"/>
    </row>
    <row r="5" spans="1:10" ht="42.75" customHeight="1">
      <c r="A5" s="230" t="s">
        <v>20</v>
      </c>
      <c r="B5" s="48" t="s">
        <v>2</v>
      </c>
      <c r="C5" s="48" t="s">
        <v>3</v>
      </c>
      <c r="D5" s="231" t="s">
        <v>1104</v>
      </c>
      <c r="E5" s="231" t="s">
        <v>1026</v>
      </c>
      <c r="F5" s="231" t="s">
        <v>1027</v>
      </c>
      <c r="G5" s="231" t="s">
        <v>1105</v>
      </c>
      <c r="H5" s="232" t="s">
        <v>1081</v>
      </c>
      <c r="I5" s="44"/>
    </row>
    <row r="6" spans="1:10" ht="18.75">
      <c r="A6" s="41">
        <v>1</v>
      </c>
      <c r="B6" s="41" t="s">
        <v>1106</v>
      </c>
      <c r="C6" s="41" t="s">
        <v>1107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1108</v>
      </c>
      <c r="C7" s="41" t="s">
        <v>1107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1109</v>
      </c>
      <c r="C8" s="41" t="s">
        <v>1110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1108</v>
      </c>
      <c r="C9" s="41" t="s">
        <v>1107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1111</v>
      </c>
      <c r="C10" s="41" t="s">
        <v>1112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1113</v>
      </c>
      <c r="C11" s="41" t="s">
        <v>1114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1115</v>
      </c>
      <c r="C12" s="41" t="s">
        <v>1116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1117</v>
      </c>
      <c r="C13" s="41" t="s">
        <v>1118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1119</v>
      </c>
      <c r="C14" s="41" t="s">
        <v>1118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1120</v>
      </c>
      <c r="C15" s="41" t="s">
        <v>1116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1121</v>
      </c>
      <c r="C16" s="41" t="s">
        <v>1122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1123</v>
      </c>
      <c r="C17" s="41" t="s">
        <v>1110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1124</v>
      </c>
      <c r="C18" s="41" t="s">
        <v>1125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1126</v>
      </c>
      <c r="C19" s="41" t="s">
        <v>1112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1127</v>
      </c>
      <c r="C20" s="41" t="s">
        <v>1128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1129</v>
      </c>
      <c r="C21" s="41" t="s">
        <v>1130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1131</v>
      </c>
      <c r="C22" s="41" t="s">
        <v>1112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1132</v>
      </c>
      <c r="C23" s="41" t="s">
        <v>506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1133</v>
      </c>
      <c r="C24" s="41" t="s">
        <v>506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1134</v>
      </c>
      <c r="C25" s="41" t="s">
        <v>506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1135</v>
      </c>
      <c r="C26" s="41" t="s">
        <v>506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1136</v>
      </c>
      <c r="C27" s="41" t="s">
        <v>1137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1138</v>
      </c>
      <c r="C28" s="41" t="s">
        <v>1139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1140</v>
      </c>
      <c r="C29" s="41" t="s">
        <v>1141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1142</v>
      </c>
      <c r="C30" s="41" t="s">
        <v>1122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561</v>
      </c>
      <c r="C31" s="41" t="s">
        <v>506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1143</v>
      </c>
      <c r="C32" s="41" t="s">
        <v>1110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1144</v>
      </c>
      <c r="C33" s="41" t="s">
        <v>1110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532</v>
      </c>
      <c r="C34" s="41" t="s">
        <v>506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562</v>
      </c>
      <c r="C35" s="41" t="s">
        <v>506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1145</v>
      </c>
      <c r="C36" s="41" t="s">
        <v>1146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563</v>
      </c>
      <c r="C37" s="41" t="s">
        <v>506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564</v>
      </c>
      <c r="C38" s="41" t="s">
        <v>1147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1148</v>
      </c>
      <c r="C39" s="41" t="s">
        <v>506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565</v>
      </c>
      <c r="C40" s="41" t="s">
        <v>506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1149</v>
      </c>
      <c r="C41" s="41" t="s">
        <v>1112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1150</v>
      </c>
      <c r="C42" s="41" t="s">
        <v>1112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1151</v>
      </c>
      <c r="C43" s="41" t="s">
        <v>1112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1152</v>
      </c>
      <c r="C44" s="41" t="s">
        <v>1112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1153</v>
      </c>
      <c r="C45" s="41" t="s">
        <v>1112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1154</v>
      </c>
      <c r="C46" s="41" t="s">
        <v>1112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1155</v>
      </c>
      <c r="C47" s="41" t="s">
        <v>506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1156</v>
      </c>
      <c r="C48" s="41" t="s">
        <v>1112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1157</v>
      </c>
      <c r="C49" s="41" t="s">
        <v>1112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1158</v>
      </c>
      <c r="C50" s="41" t="s">
        <v>506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1159</v>
      </c>
      <c r="C51" s="41" t="s">
        <v>1112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1160</v>
      </c>
      <c r="C52" s="41" t="s">
        <v>1112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1161</v>
      </c>
      <c r="C53" s="41" t="s">
        <v>506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1162</v>
      </c>
      <c r="C54" s="41" t="s">
        <v>506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1163</v>
      </c>
      <c r="C55" s="41" t="s">
        <v>506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1164</v>
      </c>
      <c r="C56" s="41" t="s">
        <v>506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1165</v>
      </c>
      <c r="C57" s="41" t="s">
        <v>1112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1166</v>
      </c>
      <c r="C58" s="41" t="s">
        <v>1112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527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20</v>
      </c>
      <c r="B2" s="40" t="s">
        <v>462</v>
      </c>
      <c r="C2" s="40" t="s">
        <v>3</v>
      </c>
      <c r="D2" s="225" t="s">
        <v>1167</v>
      </c>
      <c r="E2" s="225" t="s">
        <v>14</v>
      </c>
      <c r="F2" s="225" t="s">
        <v>1168</v>
      </c>
      <c r="G2" s="44"/>
      <c r="H2" s="44"/>
      <c r="I2" s="44"/>
      <c r="J2" s="44"/>
    </row>
    <row r="3" spans="1:10" ht="35.1" customHeight="1">
      <c r="A3" s="45">
        <v>1</v>
      </c>
      <c r="B3" s="41" t="s">
        <v>142</v>
      </c>
      <c r="C3" s="41" t="s">
        <v>119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1169</v>
      </c>
      <c r="C4" s="41" t="s">
        <v>1170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96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1171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500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1082</v>
      </c>
      <c r="C8" s="2" t="s">
        <v>1172</v>
      </c>
      <c r="D8" s="8" t="s">
        <v>191</v>
      </c>
      <c r="E8" s="208">
        <v>150000</v>
      </c>
      <c r="F8" s="11"/>
    </row>
    <row r="9" spans="1:6" ht="20.100000000000001" customHeight="1">
      <c r="A9" s="8">
        <v>3</v>
      </c>
      <c r="B9" s="12" t="s">
        <v>1173</v>
      </c>
      <c r="C9" s="2" t="s">
        <v>1174</v>
      </c>
      <c r="D9" s="8" t="s">
        <v>191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112</v>
      </c>
      <c r="E11" s="208">
        <v>150000</v>
      </c>
      <c r="F11" s="11"/>
    </row>
    <row r="12" spans="1:6" ht="20.100000000000001" customHeight="1">
      <c r="A12" s="8">
        <v>6</v>
      </c>
      <c r="B12" s="12" t="s">
        <v>175</v>
      </c>
      <c r="C12" s="2" t="s">
        <v>1084</v>
      </c>
      <c r="D12" s="14" t="s">
        <v>112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112</v>
      </c>
      <c r="E13" s="208">
        <v>150000</v>
      </c>
      <c r="F13" s="11"/>
    </row>
    <row r="14" spans="1:6" ht="20.100000000000001" customHeight="1">
      <c r="A14" s="8">
        <v>8</v>
      </c>
      <c r="B14" s="12" t="s">
        <v>32</v>
      </c>
      <c r="C14" s="2" t="s">
        <v>33</v>
      </c>
      <c r="D14" s="14" t="s">
        <v>112</v>
      </c>
      <c r="E14" s="208">
        <v>150000</v>
      </c>
      <c r="F14" s="11"/>
    </row>
    <row r="15" spans="1:6" ht="20.100000000000001" customHeight="1">
      <c r="A15" s="8">
        <v>9</v>
      </c>
      <c r="B15" s="9" t="s">
        <v>34</v>
      </c>
      <c r="C15" s="10" t="s">
        <v>35</v>
      </c>
      <c r="D15" s="13" t="s">
        <v>36</v>
      </c>
      <c r="E15" s="208">
        <v>105000</v>
      </c>
      <c r="F15" s="11"/>
    </row>
    <row r="16" spans="1:6" ht="20.100000000000001" customHeight="1">
      <c r="A16" s="8">
        <v>10</v>
      </c>
      <c r="B16" s="16" t="s">
        <v>519</v>
      </c>
      <c r="C16" s="10" t="s">
        <v>572</v>
      </c>
      <c r="D16" s="8" t="s">
        <v>571</v>
      </c>
      <c r="E16" s="208">
        <v>105000</v>
      </c>
      <c r="F16" s="11"/>
    </row>
    <row r="17" spans="1:6" ht="20.100000000000001" customHeight="1">
      <c r="A17" s="8">
        <v>11</v>
      </c>
      <c r="B17" s="17" t="s">
        <v>1175</v>
      </c>
      <c r="C17" s="2" t="s">
        <v>1176</v>
      </c>
      <c r="D17" s="14" t="s">
        <v>224</v>
      </c>
      <c r="E17" s="208">
        <v>75000</v>
      </c>
      <c r="F17" s="11"/>
    </row>
    <row r="18" spans="1:6" ht="19.5" customHeight="1">
      <c r="A18" s="8">
        <v>12</v>
      </c>
      <c r="B18" s="12" t="s">
        <v>1085</v>
      </c>
      <c r="C18" s="2" t="s">
        <v>41</v>
      </c>
      <c r="D18" s="8" t="s">
        <v>224</v>
      </c>
      <c r="E18" s="208">
        <v>75000</v>
      </c>
      <c r="F18" s="11"/>
    </row>
    <row r="19" spans="1:6" ht="19.5" customHeight="1">
      <c r="A19" s="8">
        <v>13</v>
      </c>
      <c r="B19" s="12" t="s">
        <v>1177</v>
      </c>
      <c r="C19" s="2" t="s">
        <v>1178</v>
      </c>
      <c r="D19" s="8" t="s">
        <v>224</v>
      </c>
      <c r="E19" s="208">
        <v>75000</v>
      </c>
      <c r="F19" s="11"/>
    </row>
    <row r="20" spans="1:6" ht="20.100000000000001" customHeight="1">
      <c r="A20" s="8">
        <v>14</v>
      </c>
      <c r="B20" s="9" t="s">
        <v>40</v>
      </c>
      <c r="C20" s="2" t="s">
        <v>41</v>
      </c>
      <c r="D20" s="13" t="s">
        <v>224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1016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1017</v>
      </c>
      <c r="E22" s="208">
        <v>75000</v>
      </c>
      <c r="F22" s="11"/>
    </row>
    <row r="23" spans="1:6" ht="20.100000000000001" customHeight="1">
      <c r="A23" s="8">
        <v>17</v>
      </c>
      <c r="B23" s="9" t="s">
        <v>206</v>
      </c>
      <c r="C23" s="10" t="s">
        <v>579</v>
      </c>
      <c r="D23" s="13" t="s">
        <v>62</v>
      </c>
      <c r="E23" s="208">
        <v>45000</v>
      </c>
      <c r="F23" s="11"/>
    </row>
    <row r="24" spans="1:6" ht="18.75" customHeight="1">
      <c r="A24" s="8">
        <v>18</v>
      </c>
      <c r="B24" s="9" t="s">
        <v>60</v>
      </c>
      <c r="C24" s="10" t="s">
        <v>61</v>
      </c>
      <c r="D24" s="13" t="s">
        <v>137</v>
      </c>
      <c r="E24" s="208">
        <v>45000</v>
      </c>
      <c r="F24" s="11"/>
    </row>
    <row r="25" spans="1:6" ht="18.75" customHeight="1">
      <c r="A25" s="8">
        <v>19</v>
      </c>
      <c r="B25" s="9" t="s">
        <v>204</v>
      </c>
      <c r="C25" s="2" t="s">
        <v>205</v>
      </c>
      <c r="D25" s="13" t="s">
        <v>137</v>
      </c>
      <c r="E25" s="208">
        <v>45000</v>
      </c>
      <c r="F25" s="11"/>
    </row>
    <row r="26" spans="1:6" ht="18.75" customHeight="1">
      <c r="A26" s="8">
        <v>20</v>
      </c>
      <c r="B26" s="16" t="s">
        <v>1179</v>
      </c>
      <c r="C26" s="10" t="s">
        <v>91</v>
      </c>
      <c r="D26" s="13" t="s">
        <v>267</v>
      </c>
      <c r="E26" s="208">
        <v>45000</v>
      </c>
      <c r="F26" s="11"/>
    </row>
    <row r="27" spans="1:6" ht="18.75" customHeight="1">
      <c r="A27" s="8">
        <v>21</v>
      </c>
      <c r="B27" s="2" t="s">
        <v>73</v>
      </c>
      <c r="C27" s="2" t="s">
        <v>74</v>
      </c>
      <c r="D27" s="8" t="s">
        <v>80</v>
      </c>
      <c r="E27" s="208">
        <v>45000</v>
      </c>
      <c r="F27" s="11"/>
    </row>
    <row r="28" spans="1:6" ht="18.75" customHeight="1">
      <c r="A28" s="8">
        <v>22</v>
      </c>
      <c r="B28" s="16" t="s">
        <v>76</v>
      </c>
      <c r="C28" s="10" t="s">
        <v>74</v>
      </c>
      <c r="D28" s="13" t="s">
        <v>80</v>
      </c>
      <c r="E28" s="208">
        <v>45000</v>
      </c>
      <c r="F28" s="11"/>
    </row>
    <row r="29" spans="1:6" ht="18.75" customHeight="1">
      <c r="A29" s="8">
        <v>23</v>
      </c>
      <c r="B29" s="9" t="s">
        <v>1086</v>
      </c>
      <c r="C29" s="10" t="s">
        <v>1087</v>
      </c>
      <c r="D29" s="13" t="s">
        <v>80</v>
      </c>
      <c r="E29" s="208">
        <v>45000</v>
      </c>
      <c r="F29" s="11"/>
    </row>
    <row r="30" spans="1:6" ht="18.75" customHeight="1">
      <c r="A30" s="8">
        <v>24</v>
      </c>
      <c r="B30" s="16" t="s">
        <v>78</v>
      </c>
      <c r="C30" s="10" t="s">
        <v>1033</v>
      </c>
      <c r="D30" s="13" t="s">
        <v>1011</v>
      </c>
      <c r="E30" s="208">
        <v>45000</v>
      </c>
      <c r="F30" s="11"/>
    </row>
    <row r="31" spans="1:6" ht="18.75" customHeight="1">
      <c r="A31" s="8">
        <v>25</v>
      </c>
      <c r="B31" s="16" t="s">
        <v>81</v>
      </c>
      <c r="C31" s="2" t="s">
        <v>1088</v>
      </c>
      <c r="D31" s="8" t="s">
        <v>1011</v>
      </c>
      <c r="E31" s="208">
        <v>45000</v>
      </c>
      <c r="F31" s="11"/>
    </row>
    <row r="32" spans="1:6" ht="18.75" customHeight="1">
      <c r="A32" s="8">
        <v>26</v>
      </c>
      <c r="B32" s="16" t="s">
        <v>85</v>
      </c>
      <c r="C32" s="15" t="s">
        <v>86</v>
      </c>
      <c r="D32" s="13" t="s">
        <v>80</v>
      </c>
      <c r="E32" s="208">
        <v>45000</v>
      </c>
      <c r="F32" s="11"/>
    </row>
    <row r="33" spans="1:6" ht="18.75" customHeight="1">
      <c r="A33" s="8">
        <v>27</v>
      </c>
      <c r="B33" s="16" t="s">
        <v>88</v>
      </c>
      <c r="C33" s="2" t="s">
        <v>89</v>
      </c>
      <c r="D33" s="8" t="s">
        <v>92</v>
      </c>
      <c r="E33" s="208">
        <v>45000</v>
      </c>
      <c r="F33" s="11"/>
    </row>
    <row r="34" spans="1:6" ht="18.75" customHeight="1">
      <c r="A34" s="8">
        <v>28</v>
      </c>
      <c r="B34" s="16" t="s">
        <v>1006</v>
      </c>
      <c r="C34" s="10" t="s">
        <v>91</v>
      </c>
      <c r="D34" s="13" t="s">
        <v>92</v>
      </c>
      <c r="E34" s="208">
        <v>45000</v>
      </c>
      <c r="F34" s="11"/>
    </row>
    <row r="35" spans="1:6" ht="18.75" customHeight="1">
      <c r="A35" s="8">
        <v>29</v>
      </c>
      <c r="B35" s="16" t="s">
        <v>1180</v>
      </c>
      <c r="C35" s="10" t="s">
        <v>91</v>
      </c>
      <c r="D35" s="13" t="s">
        <v>92</v>
      </c>
      <c r="E35" s="208">
        <v>45000</v>
      </c>
      <c r="F35" s="11"/>
    </row>
    <row r="36" spans="1:6" ht="18.75" customHeight="1">
      <c r="A36" s="8">
        <v>30</v>
      </c>
      <c r="B36" s="16" t="s">
        <v>232</v>
      </c>
      <c r="C36" s="10" t="s">
        <v>233</v>
      </c>
      <c r="D36" s="13" t="s">
        <v>95</v>
      </c>
      <c r="E36" s="208">
        <v>45000</v>
      </c>
      <c r="F36" s="11"/>
    </row>
    <row r="37" spans="1:6" ht="26.25" customHeight="1">
      <c r="A37" s="8"/>
      <c r="B37" s="18" t="s">
        <v>96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97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98</v>
      </c>
      <c r="C40" s="2" t="s">
        <v>99</v>
      </c>
      <c r="D40" s="8" t="s">
        <v>100</v>
      </c>
      <c r="E40" s="208">
        <v>225000</v>
      </c>
      <c r="F40" s="11"/>
    </row>
    <row r="41" spans="1:6" ht="18.75" customHeight="1">
      <c r="A41" s="8">
        <v>2</v>
      </c>
      <c r="B41" s="16" t="s">
        <v>101</v>
      </c>
      <c r="C41" s="2" t="s">
        <v>612</v>
      </c>
      <c r="D41" s="8" t="s">
        <v>95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107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108</v>
      </c>
      <c r="C45" s="2" t="s">
        <v>109</v>
      </c>
      <c r="D45" s="8" t="s">
        <v>100</v>
      </c>
      <c r="E45" s="208">
        <v>225000</v>
      </c>
      <c r="F45" s="11"/>
    </row>
    <row r="46" spans="1:6" ht="20.100000000000001" customHeight="1">
      <c r="A46" s="8">
        <v>2</v>
      </c>
      <c r="B46" s="9" t="s">
        <v>491</v>
      </c>
      <c r="C46" s="2" t="s">
        <v>44</v>
      </c>
      <c r="D46" s="8" t="s">
        <v>36</v>
      </c>
      <c r="E46" s="208">
        <v>105000</v>
      </c>
      <c r="F46" s="11"/>
    </row>
    <row r="47" spans="1:6" ht="20.100000000000001" customHeight="1">
      <c r="A47" s="8">
        <v>3</v>
      </c>
      <c r="B47" s="9" t="s">
        <v>110</v>
      </c>
      <c r="C47" s="2" t="s">
        <v>114</v>
      </c>
      <c r="D47" s="8" t="s">
        <v>36</v>
      </c>
      <c r="E47" s="208">
        <v>105000</v>
      </c>
      <c r="F47" s="11"/>
    </row>
    <row r="48" spans="1:6" ht="20.100000000000001" customHeight="1">
      <c r="A48" s="8">
        <v>4</v>
      </c>
      <c r="B48" s="9" t="s">
        <v>113</v>
      </c>
      <c r="C48" s="2" t="s">
        <v>114</v>
      </c>
      <c r="D48" s="8" t="s">
        <v>36</v>
      </c>
      <c r="E48" s="208">
        <v>105000</v>
      </c>
      <c r="F48" s="11"/>
    </row>
    <row r="49" spans="1:6" ht="20.100000000000001" customHeight="1">
      <c r="A49" s="8">
        <v>5</v>
      </c>
      <c r="B49" s="9" t="s">
        <v>115</v>
      </c>
      <c r="C49" s="2" t="s">
        <v>114</v>
      </c>
      <c r="D49" s="8" t="s">
        <v>133</v>
      </c>
      <c r="E49" s="208">
        <v>105000</v>
      </c>
      <c r="F49" s="11"/>
    </row>
    <row r="50" spans="1:6" ht="20.100000000000001" customHeight="1">
      <c r="A50" s="8">
        <v>6</v>
      </c>
      <c r="B50" s="9" t="s">
        <v>116</v>
      </c>
      <c r="C50" s="2" t="s">
        <v>46</v>
      </c>
      <c r="D50" s="8" t="s">
        <v>224</v>
      </c>
      <c r="E50" s="208">
        <v>75000</v>
      </c>
      <c r="F50" s="11"/>
    </row>
    <row r="51" spans="1:6" ht="20.100000000000001" customHeight="1">
      <c r="A51" s="8">
        <v>7</v>
      </c>
      <c r="B51" s="12" t="s">
        <v>117</v>
      </c>
      <c r="C51" s="2" t="s">
        <v>135</v>
      </c>
      <c r="D51" s="14" t="s">
        <v>224</v>
      </c>
      <c r="E51" s="208">
        <v>75000</v>
      </c>
      <c r="F51" s="11"/>
    </row>
    <row r="52" spans="1:6" ht="20.100000000000001" customHeight="1">
      <c r="A52" s="8">
        <v>8</v>
      </c>
      <c r="B52" s="9" t="s">
        <v>1091</v>
      </c>
      <c r="C52" s="2" t="s">
        <v>135</v>
      </c>
      <c r="D52" s="8" t="s">
        <v>150</v>
      </c>
      <c r="E52" s="208">
        <v>75000</v>
      </c>
      <c r="F52" s="11"/>
    </row>
    <row r="53" spans="1:6" ht="20.100000000000001" customHeight="1">
      <c r="A53" s="8">
        <v>9</v>
      </c>
      <c r="B53" s="9" t="s">
        <v>45</v>
      </c>
      <c r="C53" s="2" t="s">
        <v>458</v>
      </c>
      <c r="D53" s="8" t="s">
        <v>52</v>
      </c>
      <c r="E53" s="208">
        <v>75000</v>
      </c>
      <c r="F53" s="11"/>
    </row>
    <row r="54" spans="1:6" ht="20.100000000000001" customHeight="1">
      <c r="A54" s="8">
        <v>10</v>
      </c>
      <c r="B54" s="9" t="s">
        <v>120</v>
      </c>
      <c r="C54" s="2" t="s">
        <v>119</v>
      </c>
      <c r="D54" s="8" t="s">
        <v>83</v>
      </c>
      <c r="E54" s="208">
        <v>45000</v>
      </c>
      <c r="F54" s="11"/>
    </row>
    <row r="55" spans="1:6" ht="20.100000000000001" customHeight="1">
      <c r="A55" s="8">
        <v>11</v>
      </c>
      <c r="B55" s="9" t="s">
        <v>578</v>
      </c>
      <c r="C55" s="2" t="s">
        <v>119</v>
      </c>
      <c r="D55" s="8" t="s">
        <v>83</v>
      </c>
      <c r="E55" s="208">
        <v>45000</v>
      </c>
      <c r="F55" s="11"/>
    </row>
    <row r="56" spans="1:6" ht="20.100000000000001" customHeight="1">
      <c r="A56" s="8">
        <v>12</v>
      </c>
      <c r="B56" s="9" t="s">
        <v>121</v>
      </c>
      <c r="C56" s="2" t="s">
        <v>119</v>
      </c>
      <c r="D56" s="8" t="s">
        <v>83</v>
      </c>
      <c r="E56" s="208">
        <v>45000</v>
      </c>
      <c r="F56" s="11"/>
    </row>
    <row r="57" spans="1:6" ht="25.5" customHeight="1">
      <c r="A57" s="8"/>
      <c r="B57" s="18" t="s">
        <v>96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122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501</v>
      </c>
      <c r="C60" s="10" t="s">
        <v>124</v>
      </c>
      <c r="D60" s="13" t="s">
        <v>100</v>
      </c>
      <c r="E60" s="208">
        <v>225000</v>
      </c>
      <c r="F60" s="11"/>
    </row>
    <row r="61" spans="1:6" ht="20.100000000000001" customHeight="1">
      <c r="A61" s="8">
        <v>2</v>
      </c>
      <c r="B61" s="9" t="s">
        <v>125</v>
      </c>
      <c r="C61" s="10" t="s">
        <v>126</v>
      </c>
      <c r="D61" s="13" t="s">
        <v>571</v>
      </c>
      <c r="E61" s="208">
        <v>105000</v>
      </c>
      <c r="F61" s="11"/>
    </row>
    <row r="62" spans="1:6" ht="20.100000000000001" customHeight="1">
      <c r="A62" s="8"/>
      <c r="B62" s="18" t="s">
        <v>96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128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129</v>
      </c>
      <c r="C65" s="15" t="s">
        <v>130</v>
      </c>
      <c r="D65" s="8" t="s">
        <v>100</v>
      </c>
      <c r="E65" s="208">
        <v>225000</v>
      </c>
      <c r="F65" s="11"/>
    </row>
    <row r="66" spans="1:6" ht="20.100000000000001" customHeight="1">
      <c r="A66" s="8">
        <v>2</v>
      </c>
      <c r="B66" s="16" t="s">
        <v>131</v>
      </c>
      <c r="C66" s="15" t="s">
        <v>132</v>
      </c>
      <c r="D66" s="13" t="s">
        <v>1018</v>
      </c>
      <c r="E66" s="208">
        <v>105000</v>
      </c>
      <c r="F66" s="11"/>
    </row>
    <row r="67" spans="1:6" ht="20.100000000000001" customHeight="1">
      <c r="A67" s="8">
        <v>3</v>
      </c>
      <c r="B67" s="9" t="s">
        <v>134</v>
      </c>
      <c r="C67" s="2" t="s">
        <v>167</v>
      </c>
      <c r="D67" s="8" t="s">
        <v>52</v>
      </c>
      <c r="E67" s="208">
        <v>75000</v>
      </c>
      <c r="F67" s="11"/>
    </row>
    <row r="68" spans="1:6" ht="20.100000000000001" customHeight="1">
      <c r="A68" s="8">
        <v>4</v>
      </c>
      <c r="B68" s="16" t="s">
        <v>487</v>
      </c>
      <c r="C68" s="15" t="s">
        <v>167</v>
      </c>
      <c r="D68" s="13" t="s">
        <v>1016</v>
      </c>
      <c r="E68" s="208">
        <v>75000</v>
      </c>
      <c r="F68" s="11"/>
    </row>
    <row r="69" spans="1:6" ht="20.100000000000001" customHeight="1">
      <c r="A69" s="8">
        <v>5</v>
      </c>
      <c r="B69" s="12" t="s">
        <v>517</v>
      </c>
      <c r="C69" s="15" t="s">
        <v>135</v>
      </c>
      <c r="D69" s="13" t="s">
        <v>224</v>
      </c>
      <c r="E69" s="208">
        <v>75000</v>
      </c>
      <c r="F69" s="11"/>
    </row>
    <row r="70" spans="1:6" ht="20.100000000000001" customHeight="1">
      <c r="A70" s="8">
        <v>6</v>
      </c>
      <c r="B70" s="12" t="s">
        <v>43</v>
      </c>
      <c r="C70" s="15" t="s">
        <v>135</v>
      </c>
      <c r="D70" s="13" t="s">
        <v>150</v>
      </c>
      <c r="E70" s="208">
        <v>75000</v>
      </c>
      <c r="F70" s="11"/>
    </row>
    <row r="71" spans="1:6" ht="20.100000000000001" customHeight="1">
      <c r="A71" s="8">
        <v>7</v>
      </c>
      <c r="B71" s="9" t="s">
        <v>136</v>
      </c>
      <c r="C71" s="2" t="s">
        <v>119</v>
      </c>
      <c r="D71" s="8" t="s">
        <v>65</v>
      </c>
      <c r="E71" s="208">
        <v>45000</v>
      </c>
      <c r="F71" s="11"/>
    </row>
    <row r="72" spans="1:6" ht="20.100000000000001" customHeight="1">
      <c r="A72" s="8">
        <v>8</v>
      </c>
      <c r="B72" s="9" t="s">
        <v>1099</v>
      </c>
      <c r="C72" s="15" t="s">
        <v>67</v>
      </c>
      <c r="D72" s="13" t="s">
        <v>62</v>
      </c>
      <c r="E72" s="208">
        <v>45000</v>
      </c>
      <c r="F72" s="11"/>
    </row>
    <row r="73" spans="1:6" ht="20.100000000000001" customHeight="1">
      <c r="A73" s="8">
        <v>9</v>
      </c>
      <c r="B73" s="9" t="s">
        <v>138</v>
      </c>
      <c r="C73" s="15" t="s">
        <v>67</v>
      </c>
      <c r="D73" s="13" t="s">
        <v>65</v>
      </c>
      <c r="E73" s="208">
        <v>45000</v>
      </c>
      <c r="F73" s="11"/>
    </row>
    <row r="74" spans="1:6" ht="20.100000000000001" customHeight="1">
      <c r="A74" s="8">
        <v>10</v>
      </c>
      <c r="B74" s="9" t="s">
        <v>139</v>
      </c>
      <c r="C74" s="15" t="s">
        <v>67</v>
      </c>
      <c r="D74" s="13" t="s">
        <v>65</v>
      </c>
      <c r="E74" s="208">
        <v>45000</v>
      </c>
      <c r="F74" s="11"/>
    </row>
    <row r="75" spans="1:6" ht="20.100000000000001" customHeight="1">
      <c r="A75" s="8">
        <v>11</v>
      </c>
      <c r="B75" s="9" t="s">
        <v>140</v>
      </c>
      <c r="C75" s="2" t="s">
        <v>141</v>
      </c>
      <c r="D75" s="8" t="s">
        <v>137</v>
      </c>
      <c r="E75" s="208">
        <v>45000</v>
      </c>
      <c r="F75" s="11"/>
    </row>
    <row r="76" spans="1:6" ht="20.100000000000001" customHeight="1">
      <c r="A76" s="8">
        <v>12</v>
      </c>
      <c r="B76" s="9" t="s">
        <v>1181</v>
      </c>
      <c r="C76" s="15" t="s">
        <v>119</v>
      </c>
      <c r="D76" s="8" t="s">
        <v>104</v>
      </c>
      <c r="E76" s="208">
        <v>45000</v>
      </c>
      <c r="F76" s="11"/>
    </row>
    <row r="77" spans="1:6" ht="20.100000000000001" customHeight="1">
      <c r="A77" s="8">
        <v>13</v>
      </c>
      <c r="B77" s="9" t="s">
        <v>77</v>
      </c>
      <c r="C77" s="15" t="s">
        <v>64</v>
      </c>
      <c r="D77" s="8" t="s">
        <v>80</v>
      </c>
      <c r="E77" s="208">
        <v>45000</v>
      </c>
      <c r="F77" s="11"/>
    </row>
    <row r="78" spans="1:6" ht="20.100000000000001" customHeight="1">
      <c r="A78" s="8">
        <v>14</v>
      </c>
      <c r="B78" s="12" t="s">
        <v>63</v>
      </c>
      <c r="C78" s="15" t="s">
        <v>64</v>
      </c>
      <c r="D78" s="8" t="s">
        <v>92</v>
      </c>
      <c r="E78" s="208">
        <v>45000</v>
      </c>
      <c r="F78" s="11"/>
    </row>
    <row r="79" spans="1:6" ht="20.100000000000001" customHeight="1">
      <c r="A79" s="8"/>
      <c r="B79" s="18" t="s">
        <v>96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143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144</v>
      </c>
      <c r="C82" s="2" t="s">
        <v>145</v>
      </c>
      <c r="D82" s="8" t="s">
        <v>100</v>
      </c>
      <c r="E82" s="208">
        <v>225000</v>
      </c>
      <c r="F82" s="11"/>
    </row>
    <row r="83" spans="1:6" ht="20.100000000000001" customHeight="1">
      <c r="A83" s="8">
        <v>2</v>
      </c>
      <c r="B83" s="12" t="s">
        <v>518</v>
      </c>
      <c r="C83" s="2" t="s">
        <v>570</v>
      </c>
      <c r="D83" s="13" t="s">
        <v>1018</v>
      </c>
      <c r="E83" s="208">
        <v>105000</v>
      </c>
      <c r="F83" s="11"/>
    </row>
    <row r="84" spans="1:6" ht="20.100000000000001" customHeight="1">
      <c r="A84" s="8">
        <v>3</v>
      </c>
      <c r="B84" s="12" t="s">
        <v>1182</v>
      </c>
      <c r="C84" s="2" t="s">
        <v>1183</v>
      </c>
      <c r="D84" s="13" t="s">
        <v>1018</v>
      </c>
      <c r="E84" s="208">
        <v>105000</v>
      </c>
      <c r="F84" s="11"/>
    </row>
    <row r="85" spans="1:6" ht="20.100000000000001" customHeight="1">
      <c r="A85" s="8">
        <v>4</v>
      </c>
      <c r="B85" s="9" t="s">
        <v>148</v>
      </c>
      <c r="C85" s="2" t="s">
        <v>1034</v>
      </c>
      <c r="D85" s="13" t="s">
        <v>52</v>
      </c>
      <c r="E85" s="208">
        <v>75000</v>
      </c>
      <c r="F85" s="11"/>
    </row>
    <row r="86" spans="1:6" ht="20.100000000000001" customHeight="1">
      <c r="A86" s="8">
        <v>5</v>
      </c>
      <c r="B86" s="9" t="s">
        <v>151</v>
      </c>
      <c r="C86" s="2" t="s">
        <v>154</v>
      </c>
      <c r="D86" s="8" t="s">
        <v>104</v>
      </c>
      <c r="E86" s="208">
        <v>45000</v>
      </c>
      <c r="F86" s="11"/>
    </row>
    <row r="87" spans="1:6" ht="20.100000000000001" customHeight="1">
      <c r="A87" s="8"/>
      <c r="B87" s="18" t="s">
        <v>96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157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158</v>
      </c>
      <c r="C90" s="2" t="s">
        <v>114</v>
      </c>
      <c r="D90" s="8" t="s">
        <v>36</v>
      </c>
      <c r="E90" s="208">
        <v>105000</v>
      </c>
      <c r="F90" s="11"/>
    </row>
    <row r="91" spans="1:6" ht="20.100000000000001" customHeight="1">
      <c r="A91" s="8">
        <v>2</v>
      </c>
      <c r="B91" s="9" t="s">
        <v>159</v>
      </c>
      <c r="C91" s="2" t="s">
        <v>114</v>
      </c>
      <c r="D91" s="8" t="s">
        <v>36</v>
      </c>
      <c r="E91" s="208">
        <v>105000</v>
      </c>
      <c r="F91" s="11"/>
    </row>
    <row r="92" spans="1:6" ht="20.100000000000001" customHeight="1">
      <c r="A92" s="8">
        <v>3</v>
      </c>
      <c r="B92" s="12" t="s">
        <v>203</v>
      </c>
      <c r="C92" s="2" t="s">
        <v>135</v>
      </c>
      <c r="D92" s="8" t="s">
        <v>42</v>
      </c>
      <c r="E92" s="208">
        <v>75000</v>
      </c>
      <c r="F92" s="11"/>
    </row>
    <row r="93" spans="1:6" ht="20.100000000000001" customHeight="1">
      <c r="A93" s="8">
        <v>4</v>
      </c>
      <c r="B93" s="9" t="s">
        <v>160</v>
      </c>
      <c r="C93" s="2" t="s">
        <v>46</v>
      </c>
      <c r="D93" s="8" t="s">
        <v>224</v>
      </c>
      <c r="E93" s="208">
        <v>75000</v>
      </c>
      <c r="F93" s="11"/>
    </row>
    <row r="94" spans="1:6" ht="21.6" customHeight="1">
      <c r="A94" s="8">
        <v>5</v>
      </c>
      <c r="B94" s="9" t="s">
        <v>161</v>
      </c>
      <c r="C94" s="2" t="s">
        <v>458</v>
      </c>
      <c r="D94" s="13" t="s">
        <v>52</v>
      </c>
      <c r="E94" s="208">
        <v>75000</v>
      </c>
      <c r="F94" s="11"/>
    </row>
    <row r="95" spans="1:6" ht="21.6" customHeight="1">
      <c r="A95" s="8">
        <v>6</v>
      </c>
      <c r="B95" s="9" t="s">
        <v>162</v>
      </c>
      <c r="C95" s="10" t="s">
        <v>167</v>
      </c>
      <c r="D95" s="13" t="s">
        <v>1016</v>
      </c>
      <c r="E95" s="208">
        <v>75000</v>
      </c>
      <c r="F95" s="11"/>
    </row>
    <row r="96" spans="1:6" ht="21.6" customHeight="1">
      <c r="A96" s="8">
        <v>7</v>
      </c>
      <c r="B96" s="9" t="s">
        <v>163</v>
      </c>
      <c r="C96" s="10" t="s">
        <v>167</v>
      </c>
      <c r="D96" s="13" t="s">
        <v>1016</v>
      </c>
      <c r="E96" s="208">
        <v>75000</v>
      </c>
      <c r="F96" s="11"/>
    </row>
    <row r="97" spans="1:6" ht="21.6" customHeight="1">
      <c r="A97" s="8">
        <v>8</v>
      </c>
      <c r="B97" s="9" t="s">
        <v>165</v>
      </c>
      <c r="C97" s="15" t="s">
        <v>67</v>
      </c>
      <c r="D97" s="13" t="s">
        <v>65</v>
      </c>
      <c r="E97" s="208">
        <v>45000</v>
      </c>
      <c r="F97" s="11"/>
    </row>
    <row r="98" spans="1:6" ht="21.6" customHeight="1">
      <c r="A98" s="8">
        <v>9</v>
      </c>
      <c r="B98" s="9" t="s">
        <v>169</v>
      </c>
      <c r="C98" s="2" t="s">
        <v>170</v>
      </c>
      <c r="D98" s="8" t="s">
        <v>70</v>
      </c>
      <c r="E98" s="208">
        <v>45000</v>
      </c>
      <c r="F98" s="11"/>
    </row>
    <row r="99" spans="1:6" ht="21.6" customHeight="1">
      <c r="A99" s="8">
        <v>10</v>
      </c>
      <c r="B99" s="9" t="s">
        <v>171</v>
      </c>
      <c r="C99" s="15" t="s">
        <v>172</v>
      </c>
      <c r="D99" s="13" t="s">
        <v>92</v>
      </c>
      <c r="E99" s="208">
        <v>45000</v>
      </c>
      <c r="F99" s="11"/>
    </row>
    <row r="100" spans="1:6" ht="20.100000000000001" customHeight="1">
      <c r="A100" s="8"/>
      <c r="B100" s="18" t="s">
        <v>96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174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574</v>
      </c>
      <c r="C103" s="8" t="s">
        <v>575</v>
      </c>
      <c r="D103" s="13" t="s">
        <v>112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37</v>
      </c>
      <c r="C104" s="2" t="s">
        <v>179</v>
      </c>
      <c r="D104" s="8" t="s">
        <v>224</v>
      </c>
      <c r="E104" s="208">
        <v>75000</v>
      </c>
      <c r="F104" s="11"/>
    </row>
    <row r="105" spans="1:6" ht="20.100000000000001" customHeight="1">
      <c r="A105" s="8">
        <v>3</v>
      </c>
      <c r="B105" s="9" t="s">
        <v>182</v>
      </c>
      <c r="C105" s="2" t="s">
        <v>183</v>
      </c>
      <c r="D105" s="13" t="s">
        <v>137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1184</v>
      </c>
      <c r="C106" s="2" t="s">
        <v>1185</v>
      </c>
      <c r="D106" s="13" t="s">
        <v>1011</v>
      </c>
      <c r="E106" s="208">
        <v>45000</v>
      </c>
      <c r="F106" s="11"/>
    </row>
    <row r="107" spans="1:6" ht="20.100000000000001" customHeight="1">
      <c r="A107" s="2"/>
      <c r="B107" s="18" t="s">
        <v>96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186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187</v>
      </c>
      <c r="C110" s="10" t="s">
        <v>188</v>
      </c>
      <c r="D110" s="13" t="s">
        <v>100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189</v>
      </c>
      <c r="C111" s="2" t="s">
        <v>190</v>
      </c>
      <c r="D111" s="14" t="s">
        <v>112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192</v>
      </c>
      <c r="C112" s="2" t="s">
        <v>193</v>
      </c>
      <c r="D112" s="8" t="s">
        <v>194</v>
      </c>
      <c r="E112" s="208">
        <v>75000</v>
      </c>
      <c r="F112" s="11"/>
    </row>
    <row r="113" spans="1:6" ht="20.100000000000001" customHeight="1">
      <c r="A113" s="2">
        <v>4</v>
      </c>
      <c r="B113" s="9" t="s">
        <v>195</v>
      </c>
      <c r="C113" s="2" t="s">
        <v>193</v>
      </c>
      <c r="D113" s="8" t="s">
        <v>194</v>
      </c>
      <c r="E113" s="208">
        <v>75000</v>
      </c>
      <c r="F113" s="11"/>
    </row>
    <row r="114" spans="1:6" ht="20.100000000000001" customHeight="1">
      <c r="A114" s="2">
        <v>5</v>
      </c>
      <c r="B114" s="9" t="s">
        <v>196</v>
      </c>
      <c r="C114" s="2" t="s">
        <v>197</v>
      </c>
      <c r="D114" s="13" t="s">
        <v>200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199</v>
      </c>
      <c r="C115" s="2" t="s">
        <v>197</v>
      </c>
      <c r="D115" s="8" t="s">
        <v>1011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201</v>
      </c>
      <c r="C116" s="2" t="s">
        <v>197</v>
      </c>
      <c r="D116" s="13" t="s">
        <v>92</v>
      </c>
      <c r="E116" s="208">
        <v>45000</v>
      </c>
      <c r="F116" s="11"/>
    </row>
    <row r="117" spans="1:6" ht="20.100000000000001" customHeight="1">
      <c r="A117" s="2"/>
      <c r="B117" s="18" t="s">
        <v>96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215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216</v>
      </c>
      <c r="C120" s="10" t="s">
        <v>217</v>
      </c>
      <c r="D120" s="13" t="s">
        <v>100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218</v>
      </c>
      <c r="C121" s="10" t="s">
        <v>221</v>
      </c>
      <c r="D121" s="13" t="s">
        <v>36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220</v>
      </c>
      <c r="C122" s="10" t="s">
        <v>221</v>
      </c>
      <c r="D122" s="13" t="s">
        <v>36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521</v>
      </c>
      <c r="C123" s="10" t="s">
        <v>221</v>
      </c>
      <c r="D123" s="13" t="s">
        <v>39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222</v>
      </c>
      <c r="C124" s="10" t="s">
        <v>223</v>
      </c>
      <c r="D124" s="13" t="s">
        <v>150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225</v>
      </c>
      <c r="C125" s="10" t="s">
        <v>226</v>
      </c>
      <c r="D125" s="13" t="s">
        <v>52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227</v>
      </c>
      <c r="C126" s="10" t="s">
        <v>1036</v>
      </c>
      <c r="D126" s="13" t="s">
        <v>52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228</v>
      </c>
      <c r="C127" s="10" t="s">
        <v>229</v>
      </c>
      <c r="D127" s="8" t="s">
        <v>80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230</v>
      </c>
      <c r="C128" s="10" t="s">
        <v>231</v>
      </c>
      <c r="D128" s="13" t="s">
        <v>92</v>
      </c>
      <c r="E128" s="208">
        <v>45000</v>
      </c>
      <c r="F128" s="11"/>
    </row>
    <row r="129" spans="1:6" ht="20.100000000000001" customHeight="1">
      <c r="A129" s="2"/>
      <c r="B129" s="18" t="s">
        <v>96</v>
      </c>
      <c r="C129" s="24" t="s">
        <v>1186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236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237</v>
      </c>
      <c r="C132" s="10" t="s">
        <v>238</v>
      </c>
      <c r="D132" s="13" t="s">
        <v>100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522</v>
      </c>
      <c r="C133" s="10" t="s">
        <v>573</v>
      </c>
      <c r="D133" s="13" t="s">
        <v>191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239</v>
      </c>
      <c r="C134" s="2" t="s">
        <v>240</v>
      </c>
      <c r="D134" s="14" t="s">
        <v>112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241</v>
      </c>
      <c r="C135" s="10" t="s">
        <v>580</v>
      </c>
      <c r="D135" s="13" t="s">
        <v>224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243</v>
      </c>
      <c r="C136" s="2" t="s">
        <v>581</v>
      </c>
      <c r="D136" s="13" t="s">
        <v>224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178</v>
      </c>
      <c r="C137" s="2" t="s">
        <v>583</v>
      </c>
      <c r="D137" s="13" t="s">
        <v>52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180</v>
      </c>
      <c r="C138" s="10" t="s">
        <v>582</v>
      </c>
      <c r="D138" s="13" t="s">
        <v>62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246</v>
      </c>
      <c r="C139" s="10" t="s">
        <v>582</v>
      </c>
      <c r="D139" s="13" t="s">
        <v>62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247</v>
      </c>
      <c r="C140" s="2" t="s">
        <v>583</v>
      </c>
      <c r="D140" s="13" t="s">
        <v>62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249</v>
      </c>
      <c r="C141" s="10" t="s">
        <v>254</v>
      </c>
      <c r="D141" s="13" t="s">
        <v>137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251</v>
      </c>
      <c r="C142" s="10" t="s">
        <v>1038</v>
      </c>
      <c r="D142" s="13" t="s">
        <v>585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253</v>
      </c>
      <c r="C143" s="10" t="s">
        <v>254</v>
      </c>
      <c r="D143" s="13" t="s">
        <v>62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256</v>
      </c>
      <c r="C144" s="2" t="s">
        <v>264</v>
      </c>
      <c r="D144" s="13" t="s">
        <v>585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258</v>
      </c>
      <c r="C145" s="2" t="s">
        <v>584</v>
      </c>
      <c r="D145" s="13" t="s">
        <v>104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259</v>
      </c>
      <c r="C146" s="2" t="s">
        <v>584</v>
      </c>
      <c r="D146" s="13" t="s">
        <v>267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260</v>
      </c>
      <c r="C147" s="2" t="s">
        <v>584</v>
      </c>
      <c r="D147" s="13" t="s">
        <v>267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261</v>
      </c>
      <c r="C148" s="10" t="s">
        <v>262</v>
      </c>
      <c r="D148" s="13" t="s">
        <v>70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1019</v>
      </c>
      <c r="C149" s="10" t="s">
        <v>264</v>
      </c>
      <c r="D149" s="8" t="s">
        <v>83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265</v>
      </c>
      <c r="C150" s="10" t="s">
        <v>266</v>
      </c>
      <c r="D150" s="13" t="s">
        <v>104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268</v>
      </c>
      <c r="C151" s="10" t="s">
        <v>269</v>
      </c>
      <c r="D151" s="13" t="s">
        <v>80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270</v>
      </c>
      <c r="C152" s="10" t="s">
        <v>271</v>
      </c>
      <c r="D152" s="13" t="s">
        <v>104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272</v>
      </c>
      <c r="C153" s="10" t="s">
        <v>273</v>
      </c>
      <c r="D153" s="13" t="s">
        <v>80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274</v>
      </c>
      <c r="C154" s="10" t="s">
        <v>280</v>
      </c>
      <c r="D154" s="13" t="s">
        <v>1011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277</v>
      </c>
      <c r="C155" s="10" t="s">
        <v>278</v>
      </c>
      <c r="D155" s="13" t="s">
        <v>95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279</v>
      </c>
      <c r="C156" s="10" t="s">
        <v>280</v>
      </c>
      <c r="D156" s="13" t="s">
        <v>95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281</v>
      </c>
      <c r="C157" s="10" t="s">
        <v>282</v>
      </c>
      <c r="D157" s="13" t="s">
        <v>92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283</v>
      </c>
      <c r="C158" s="10" t="s">
        <v>284</v>
      </c>
      <c r="D158" s="13" t="s">
        <v>92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289</v>
      </c>
      <c r="C159" s="10" t="s">
        <v>290</v>
      </c>
      <c r="D159" s="13" t="s">
        <v>297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292</v>
      </c>
      <c r="C160" s="10" t="s">
        <v>290</v>
      </c>
      <c r="D160" s="13" t="s">
        <v>297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293</v>
      </c>
      <c r="C161" s="10" t="s">
        <v>290</v>
      </c>
      <c r="D161" s="13" t="s">
        <v>297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294</v>
      </c>
      <c r="C162" s="10" t="s">
        <v>290</v>
      </c>
      <c r="D162" s="13" t="s">
        <v>297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295</v>
      </c>
      <c r="C163" s="10" t="s">
        <v>290</v>
      </c>
      <c r="D163" s="13" t="s">
        <v>297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296</v>
      </c>
      <c r="C164" s="10" t="s">
        <v>290</v>
      </c>
      <c r="D164" s="13" t="s">
        <v>308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298</v>
      </c>
      <c r="C165" s="10" t="s">
        <v>290</v>
      </c>
      <c r="D165" s="13" t="s">
        <v>308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1187</v>
      </c>
      <c r="C166" s="10" t="s">
        <v>290</v>
      </c>
      <c r="D166" s="13" t="s">
        <v>308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299</v>
      </c>
      <c r="C167" s="10" t="s">
        <v>290</v>
      </c>
      <c r="D167" s="13" t="s">
        <v>308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300</v>
      </c>
      <c r="C168" s="10" t="s">
        <v>290</v>
      </c>
      <c r="D168" s="13" t="s">
        <v>308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301</v>
      </c>
      <c r="C169" s="10" t="s">
        <v>290</v>
      </c>
      <c r="D169" s="13" t="s">
        <v>308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302</v>
      </c>
      <c r="C170" s="10" t="s">
        <v>290</v>
      </c>
      <c r="D170" s="13" t="s">
        <v>308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303</v>
      </c>
      <c r="C171" s="10" t="s">
        <v>310</v>
      </c>
      <c r="D171" s="13" t="s">
        <v>311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306</v>
      </c>
      <c r="C172" s="10" t="s">
        <v>310</v>
      </c>
      <c r="D172" s="13" t="s">
        <v>311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307</v>
      </c>
      <c r="C173" s="10" t="s">
        <v>310</v>
      </c>
      <c r="D173" s="13" t="s">
        <v>1014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309</v>
      </c>
      <c r="C174" s="10" t="s">
        <v>310</v>
      </c>
      <c r="D174" s="13" t="s">
        <v>1020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312</v>
      </c>
      <c r="C175" s="10" t="s">
        <v>313</v>
      </c>
      <c r="D175" s="13" t="s">
        <v>1021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315</v>
      </c>
      <c r="C176" s="10" t="s">
        <v>313</v>
      </c>
      <c r="D176" s="13" t="s">
        <v>1021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316</v>
      </c>
      <c r="C177" s="10" t="s">
        <v>313</v>
      </c>
      <c r="D177" s="13" t="s">
        <v>1021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317</v>
      </c>
      <c r="C178" s="10" t="s">
        <v>313</v>
      </c>
      <c r="D178" s="13" t="s">
        <v>1021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318</v>
      </c>
      <c r="C179" s="10" t="s">
        <v>313</v>
      </c>
      <c r="D179" s="13" t="s">
        <v>1021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319</v>
      </c>
      <c r="C180" s="10" t="s">
        <v>313</v>
      </c>
      <c r="D180" s="13" t="s">
        <v>1021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320</v>
      </c>
      <c r="C181" s="10" t="s">
        <v>313</v>
      </c>
      <c r="D181" s="13" t="s">
        <v>1021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321</v>
      </c>
      <c r="C182" s="10" t="s">
        <v>310</v>
      </c>
      <c r="D182" s="13" t="s">
        <v>1021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322</v>
      </c>
      <c r="C183" s="10" t="s">
        <v>310</v>
      </c>
      <c r="D183" s="13" t="s">
        <v>1021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323</v>
      </c>
      <c r="C184" s="10" t="s">
        <v>313</v>
      </c>
      <c r="D184" s="13" t="s">
        <v>1039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328</v>
      </c>
      <c r="C185" s="10" t="s">
        <v>313</v>
      </c>
      <c r="D185" s="13" t="s">
        <v>1022</v>
      </c>
      <c r="E185" s="208">
        <v>30000</v>
      </c>
      <c r="F185" s="11"/>
    </row>
    <row r="186" spans="1:6" ht="20.100000000000001" customHeight="1">
      <c r="A186" s="25"/>
      <c r="B186" s="6" t="s">
        <v>96</v>
      </c>
      <c r="C186" s="26" t="s">
        <v>1188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339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1171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500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450000</v>
      </c>
      <c r="F7" s="11"/>
    </row>
    <row r="8" spans="1:6" ht="20.100000000000001" customHeight="1">
      <c r="A8" s="8">
        <v>2</v>
      </c>
      <c r="B8" s="9" t="s">
        <v>1082</v>
      </c>
      <c r="C8" s="2" t="s">
        <v>1172</v>
      </c>
      <c r="D8" s="8" t="s">
        <v>191</v>
      </c>
      <c r="E8" s="208">
        <v>150000</v>
      </c>
      <c r="F8" s="11"/>
    </row>
    <row r="9" spans="1:6" ht="20.100000000000001" customHeight="1">
      <c r="A9" s="8">
        <v>3</v>
      </c>
      <c r="B9" s="12" t="s">
        <v>1173</v>
      </c>
      <c r="C9" s="2" t="s">
        <v>1174</v>
      </c>
      <c r="D9" s="8" t="s">
        <v>191</v>
      </c>
      <c r="E9" s="208">
        <v>150000</v>
      </c>
      <c r="F9" s="11"/>
    </row>
    <row r="10" spans="1:6" ht="20.100000000000001" customHeight="1">
      <c r="A10" s="8">
        <v>4</v>
      </c>
      <c r="B10" s="9" t="s">
        <v>25</v>
      </c>
      <c r="C10" s="10" t="s">
        <v>26</v>
      </c>
      <c r="D10" s="8" t="s">
        <v>27</v>
      </c>
      <c r="E10" s="208">
        <v>150000</v>
      </c>
      <c r="F10" s="11"/>
    </row>
    <row r="11" spans="1:6" ht="20.100000000000001" customHeight="1">
      <c r="A11" s="8">
        <v>5</v>
      </c>
      <c r="B11" s="12" t="s">
        <v>28</v>
      </c>
      <c r="C11" s="2" t="s">
        <v>29</v>
      </c>
      <c r="D11" s="13" t="s">
        <v>112</v>
      </c>
      <c r="E11" s="208">
        <v>150000</v>
      </c>
      <c r="F11" s="11"/>
    </row>
    <row r="12" spans="1:6" ht="20.100000000000001" customHeight="1">
      <c r="A12" s="8">
        <v>6</v>
      </c>
      <c r="B12" s="12" t="s">
        <v>175</v>
      </c>
      <c r="C12" s="2" t="s">
        <v>1084</v>
      </c>
      <c r="D12" s="14" t="s">
        <v>112</v>
      </c>
      <c r="E12" s="208">
        <v>150000</v>
      </c>
      <c r="F12" s="11"/>
    </row>
    <row r="13" spans="1:6" ht="20.100000000000001" customHeight="1">
      <c r="A13" s="8">
        <v>7</v>
      </c>
      <c r="B13" s="9" t="s">
        <v>30</v>
      </c>
      <c r="C13" s="15" t="s">
        <v>31</v>
      </c>
      <c r="D13" s="14" t="s">
        <v>112</v>
      </c>
      <c r="E13" s="208">
        <v>150000</v>
      </c>
      <c r="F13" s="11"/>
    </row>
    <row r="14" spans="1:6" ht="20.100000000000001" customHeight="1">
      <c r="A14" s="8">
        <v>8</v>
      </c>
      <c r="B14" s="12" t="s">
        <v>32</v>
      </c>
      <c r="C14" s="2" t="s">
        <v>33</v>
      </c>
      <c r="D14" s="14" t="s">
        <v>112</v>
      </c>
      <c r="E14" s="208">
        <v>150000</v>
      </c>
      <c r="F14" s="11"/>
    </row>
    <row r="15" spans="1:6" ht="20.100000000000001" customHeight="1">
      <c r="A15" s="8">
        <v>9</v>
      </c>
      <c r="B15" s="9" t="s">
        <v>34</v>
      </c>
      <c r="C15" s="10" t="s">
        <v>35</v>
      </c>
      <c r="D15" s="13" t="s">
        <v>36</v>
      </c>
      <c r="E15" s="208">
        <v>105000</v>
      </c>
      <c r="F15" s="11"/>
    </row>
    <row r="16" spans="1:6" ht="20.100000000000001" customHeight="1">
      <c r="A16" s="8">
        <v>10</v>
      </c>
      <c r="B16" s="16" t="s">
        <v>519</v>
      </c>
      <c r="C16" s="10" t="s">
        <v>572</v>
      </c>
      <c r="D16" s="8" t="s">
        <v>571</v>
      </c>
      <c r="E16" s="208">
        <v>105000</v>
      </c>
      <c r="F16" s="11"/>
    </row>
    <row r="17" spans="1:6" ht="20.100000000000001" customHeight="1">
      <c r="A17" s="8">
        <v>11</v>
      </c>
      <c r="B17" s="17" t="s">
        <v>1175</v>
      </c>
      <c r="C17" s="2" t="s">
        <v>1176</v>
      </c>
      <c r="D17" s="14" t="s">
        <v>224</v>
      </c>
      <c r="E17" s="208">
        <v>75000</v>
      </c>
      <c r="F17" s="11"/>
    </row>
    <row r="18" spans="1:6" ht="19.5" customHeight="1">
      <c r="A18" s="8">
        <v>12</v>
      </c>
      <c r="B18" s="12" t="s">
        <v>1085</v>
      </c>
      <c r="C18" s="2" t="s">
        <v>41</v>
      </c>
      <c r="D18" s="8" t="s">
        <v>224</v>
      </c>
      <c r="E18" s="208">
        <v>75000</v>
      </c>
      <c r="F18" s="11"/>
    </row>
    <row r="19" spans="1:6" ht="19.5" customHeight="1">
      <c r="A19" s="8">
        <v>13</v>
      </c>
      <c r="B19" s="12" t="s">
        <v>1177</v>
      </c>
      <c r="C19" s="2" t="s">
        <v>1178</v>
      </c>
      <c r="D19" s="8" t="s">
        <v>224</v>
      </c>
      <c r="E19" s="208">
        <v>75000</v>
      </c>
      <c r="F19" s="11"/>
    </row>
    <row r="20" spans="1:6" ht="20.100000000000001" customHeight="1">
      <c r="A20" s="8">
        <v>14</v>
      </c>
      <c r="B20" s="9" t="s">
        <v>40</v>
      </c>
      <c r="C20" s="2" t="s">
        <v>41</v>
      </c>
      <c r="D20" s="13" t="s">
        <v>224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1016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1017</v>
      </c>
      <c r="E22" s="208">
        <v>75000</v>
      </c>
      <c r="F22" s="11"/>
    </row>
    <row r="23" spans="1:6" ht="20.100000000000001" customHeight="1">
      <c r="A23" s="8">
        <v>17</v>
      </c>
      <c r="B23" s="9" t="s">
        <v>206</v>
      </c>
      <c r="C23" s="10" t="s">
        <v>579</v>
      </c>
      <c r="D23" s="13" t="s">
        <v>62</v>
      </c>
      <c r="E23" s="208">
        <v>45000</v>
      </c>
      <c r="F23" s="11"/>
    </row>
    <row r="24" spans="1:6" ht="18.75" customHeight="1">
      <c r="A24" s="8">
        <v>18</v>
      </c>
      <c r="B24" s="9" t="s">
        <v>60</v>
      </c>
      <c r="C24" s="10" t="s">
        <v>61</v>
      </c>
      <c r="D24" s="13" t="s">
        <v>137</v>
      </c>
      <c r="E24" s="208">
        <v>45000</v>
      </c>
      <c r="F24" s="11"/>
    </row>
    <row r="25" spans="1:6" ht="18.75" customHeight="1">
      <c r="A25" s="8">
        <v>19</v>
      </c>
      <c r="B25" s="16" t="s">
        <v>1179</v>
      </c>
      <c r="C25" s="10" t="s">
        <v>91</v>
      </c>
      <c r="D25" s="13" t="s">
        <v>267</v>
      </c>
      <c r="E25" s="208">
        <v>45000</v>
      </c>
      <c r="F25" s="11"/>
    </row>
    <row r="26" spans="1:6" ht="18.75" customHeight="1">
      <c r="A26" s="8">
        <v>20</v>
      </c>
      <c r="B26" s="2" t="s">
        <v>73</v>
      </c>
      <c r="C26" s="2" t="s">
        <v>74</v>
      </c>
      <c r="D26" s="8" t="s">
        <v>80</v>
      </c>
      <c r="E26" s="208">
        <v>45000</v>
      </c>
      <c r="F26" s="11"/>
    </row>
    <row r="27" spans="1:6" ht="18.75" customHeight="1">
      <c r="A27" s="8">
        <v>21</v>
      </c>
      <c r="B27" s="16" t="s">
        <v>76</v>
      </c>
      <c r="C27" s="10" t="s">
        <v>74</v>
      </c>
      <c r="D27" s="13" t="s">
        <v>80</v>
      </c>
      <c r="E27" s="208">
        <v>45000</v>
      </c>
      <c r="F27" s="11"/>
    </row>
    <row r="28" spans="1:6" ht="18.75" customHeight="1">
      <c r="A28" s="8">
        <v>22</v>
      </c>
      <c r="B28" s="9" t="s">
        <v>1086</v>
      </c>
      <c r="C28" s="10" t="s">
        <v>1087</v>
      </c>
      <c r="D28" s="13" t="s">
        <v>80</v>
      </c>
      <c r="E28" s="208">
        <v>45000</v>
      </c>
      <c r="F28" s="11"/>
    </row>
    <row r="29" spans="1:6" ht="18.75" customHeight="1">
      <c r="A29" s="8">
        <v>23</v>
      </c>
      <c r="B29" s="16" t="s">
        <v>78</v>
      </c>
      <c r="C29" s="10" t="s">
        <v>1033</v>
      </c>
      <c r="D29" s="13" t="s">
        <v>1011</v>
      </c>
      <c r="E29" s="208">
        <v>45000</v>
      </c>
      <c r="F29" s="11"/>
    </row>
    <row r="30" spans="1:6" ht="18.75" customHeight="1">
      <c r="A30" s="8">
        <v>24</v>
      </c>
      <c r="B30" s="16" t="s">
        <v>81</v>
      </c>
      <c r="C30" s="2" t="s">
        <v>1088</v>
      </c>
      <c r="D30" s="8" t="s">
        <v>1011</v>
      </c>
      <c r="E30" s="208">
        <v>45000</v>
      </c>
      <c r="F30" s="11"/>
    </row>
    <row r="31" spans="1:6" ht="18.75" customHeight="1">
      <c r="A31" s="8">
        <v>25</v>
      </c>
      <c r="B31" s="16" t="s">
        <v>85</v>
      </c>
      <c r="C31" s="15" t="s">
        <v>86</v>
      </c>
      <c r="D31" s="13" t="s">
        <v>80</v>
      </c>
      <c r="E31" s="208">
        <v>45000</v>
      </c>
      <c r="F31" s="11"/>
    </row>
    <row r="32" spans="1:6" ht="18.75" customHeight="1">
      <c r="A32" s="8">
        <v>26</v>
      </c>
      <c r="B32" s="16" t="s">
        <v>88</v>
      </c>
      <c r="C32" s="2" t="s">
        <v>89</v>
      </c>
      <c r="D32" s="8" t="s">
        <v>92</v>
      </c>
      <c r="E32" s="208">
        <v>45000</v>
      </c>
      <c r="F32" s="11"/>
    </row>
    <row r="33" spans="1:6" ht="18.75" customHeight="1">
      <c r="A33" s="8">
        <v>27</v>
      </c>
      <c r="B33" s="16" t="s">
        <v>1006</v>
      </c>
      <c r="C33" s="10" t="s">
        <v>91</v>
      </c>
      <c r="D33" s="13" t="s">
        <v>92</v>
      </c>
      <c r="E33" s="208">
        <v>45000</v>
      </c>
      <c r="F33" s="11"/>
    </row>
    <row r="34" spans="1:6" ht="18.75" customHeight="1">
      <c r="A34" s="8">
        <v>28</v>
      </c>
      <c r="B34" s="16" t="s">
        <v>1180</v>
      </c>
      <c r="C34" s="10" t="s">
        <v>91</v>
      </c>
      <c r="D34" s="13" t="s">
        <v>92</v>
      </c>
      <c r="E34" s="208">
        <v>45000</v>
      </c>
      <c r="F34" s="11"/>
    </row>
    <row r="35" spans="1:6" ht="18.75" customHeight="1">
      <c r="A35" s="8">
        <v>29</v>
      </c>
      <c r="B35" s="16" t="s">
        <v>232</v>
      </c>
      <c r="C35" s="10" t="s">
        <v>233</v>
      </c>
      <c r="D35" s="13" t="s">
        <v>95</v>
      </c>
      <c r="E35" s="208">
        <v>45000</v>
      </c>
      <c r="F35" s="11"/>
    </row>
    <row r="36" spans="1:6" ht="26.25" customHeight="1">
      <c r="A36" s="8"/>
      <c r="B36" s="18" t="s">
        <v>96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97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98</v>
      </c>
      <c r="C39" s="2" t="s">
        <v>99</v>
      </c>
      <c r="D39" s="8" t="s">
        <v>100</v>
      </c>
      <c r="E39" s="208">
        <v>225000</v>
      </c>
      <c r="F39" s="11"/>
    </row>
    <row r="40" spans="1:6" ht="18.75" customHeight="1">
      <c r="A40" s="8">
        <v>2</v>
      </c>
      <c r="B40" s="16" t="s">
        <v>101</v>
      </c>
      <c r="C40" s="2" t="s">
        <v>612</v>
      </c>
      <c r="D40" s="8" t="s">
        <v>95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107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108</v>
      </c>
      <c r="C44" s="2" t="s">
        <v>109</v>
      </c>
      <c r="D44" s="8" t="s">
        <v>100</v>
      </c>
      <c r="E44" s="208">
        <v>225000</v>
      </c>
      <c r="F44" s="11"/>
    </row>
    <row r="45" spans="1:6" ht="20.100000000000001" customHeight="1">
      <c r="A45" s="8">
        <v>2</v>
      </c>
      <c r="B45" s="9" t="s">
        <v>491</v>
      </c>
      <c r="C45" s="2" t="s">
        <v>44</v>
      </c>
      <c r="D45" s="8" t="s">
        <v>36</v>
      </c>
      <c r="E45" s="208">
        <v>105000</v>
      </c>
      <c r="F45" s="11"/>
    </row>
    <row r="46" spans="1:6" ht="20.100000000000001" customHeight="1">
      <c r="A46" s="8">
        <v>3</v>
      </c>
      <c r="B46" s="9" t="s">
        <v>110</v>
      </c>
      <c r="C46" s="2" t="s">
        <v>114</v>
      </c>
      <c r="D46" s="8" t="s">
        <v>36</v>
      </c>
      <c r="E46" s="208">
        <v>105000</v>
      </c>
      <c r="F46" s="11"/>
    </row>
    <row r="47" spans="1:6" ht="20.100000000000001" customHeight="1">
      <c r="A47" s="8">
        <v>4</v>
      </c>
      <c r="B47" s="9" t="s">
        <v>113</v>
      </c>
      <c r="C47" s="2" t="s">
        <v>114</v>
      </c>
      <c r="D47" s="8" t="s">
        <v>36</v>
      </c>
      <c r="E47" s="208">
        <v>105000</v>
      </c>
      <c r="F47" s="11"/>
    </row>
    <row r="48" spans="1:6" ht="20.100000000000001" customHeight="1">
      <c r="A48" s="8">
        <v>5</v>
      </c>
      <c r="B48" s="9" t="s">
        <v>115</v>
      </c>
      <c r="C48" s="2" t="s">
        <v>114</v>
      </c>
      <c r="D48" s="8" t="s">
        <v>133</v>
      </c>
      <c r="E48" s="208">
        <v>105000</v>
      </c>
      <c r="F48" s="11"/>
    </row>
    <row r="49" spans="1:6" ht="20.100000000000001" customHeight="1">
      <c r="A49" s="8">
        <v>6</v>
      </c>
      <c r="B49" s="9" t="s">
        <v>116</v>
      </c>
      <c r="C49" s="2" t="s">
        <v>46</v>
      </c>
      <c r="D49" s="8" t="s">
        <v>224</v>
      </c>
      <c r="E49" s="208">
        <v>75000</v>
      </c>
      <c r="F49" s="11"/>
    </row>
    <row r="50" spans="1:6" ht="20.100000000000001" customHeight="1">
      <c r="A50" s="8">
        <v>7</v>
      </c>
      <c r="B50" s="12" t="s">
        <v>117</v>
      </c>
      <c r="C50" s="2" t="s">
        <v>135</v>
      </c>
      <c r="D50" s="14" t="s">
        <v>224</v>
      </c>
      <c r="E50" s="208">
        <v>75000</v>
      </c>
      <c r="F50" s="11"/>
    </row>
    <row r="51" spans="1:6" ht="20.100000000000001" customHeight="1">
      <c r="A51" s="8">
        <v>8</v>
      </c>
      <c r="B51" s="9" t="s">
        <v>1091</v>
      </c>
      <c r="C51" s="2" t="s">
        <v>135</v>
      </c>
      <c r="D51" s="8" t="s">
        <v>150</v>
      </c>
      <c r="E51" s="208">
        <v>75000</v>
      </c>
      <c r="F51" s="11"/>
    </row>
    <row r="52" spans="1:6" ht="20.100000000000001" customHeight="1">
      <c r="A52" s="8">
        <v>9</v>
      </c>
      <c r="B52" s="9" t="s">
        <v>45</v>
      </c>
      <c r="C52" s="2" t="s">
        <v>458</v>
      </c>
      <c r="D52" s="8" t="s">
        <v>52</v>
      </c>
      <c r="E52" s="208">
        <v>75000</v>
      </c>
      <c r="F52" s="11"/>
    </row>
    <row r="53" spans="1:6" ht="20.100000000000001" customHeight="1">
      <c r="A53" s="8">
        <v>10</v>
      </c>
      <c r="B53" s="9" t="s">
        <v>120</v>
      </c>
      <c r="C53" s="2" t="s">
        <v>119</v>
      </c>
      <c r="D53" s="8" t="s">
        <v>83</v>
      </c>
      <c r="E53" s="208">
        <v>45000</v>
      </c>
      <c r="F53" s="11"/>
    </row>
    <row r="54" spans="1:6" ht="20.100000000000001" customHeight="1">
      <c r="A54" s="8">
        <v>11</v>
      </c>
      <c r="B54" s="9" t="s">
        <v>578</v>
      </c>
      <c r="C54" s="2" t="s">
        <v>119</v>
      </c>
      <c r="D54" s="8" t="s">
        <v>83</v>
      </c>
      <c r="E54" s="208">
        <v>45000</v>
      </c>
      <c r="F54" s="11"/>
    </row>
    <row r="55" spans="1:6" ht="20.100000000000001" customHeight="1">
      <c r="A55" s="8">
        <v>12</v>
      </c>
      <c r="B55" s="9" t="s">
        <v>121</v>
      </c>
      <c r="C55" s="2" t="s">
        <v>119</v>
      </c>
      <c r="D55" s="8" t="s">
        <v>83</v>
      </c>
      <c r="E55" s="208">
        <v>45000</v>
      </c>
      <c r="F55" s="11"/>
    </row>
    <row r="56" spans="1:6" ht="25.5" customHeight="1">
      <c r="A56" s="8"/>
      <c r="B56" s="18" t="s">
        <v>96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122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501</v>
      </c>
      <c r="C59" s="10" t="s">
        <v>124</v>
      </c>
      <c r="D59" s="13" t="s">
        <v>100</v>
      </c>
      <c r="E59" s="208">
        <v>225000</v>
      </c>
      <c r="F59" s="11"/>
    </row>
    <row r="60" spans="1:6" ht="20.100000000000001" customHeight="1">
      <c r="A60" s="8">
        <v>2</v>
      </c>
      <c r="B60" s="9" t="s">
        <v>125</v>
      </c>
      <c r="C60" s="10" t="s">
        <v>126</v>
      </c>
      <c r="D60" s="13" t="s">
        <v>571</v>
      </c>
      <c r="E60" s="208">
        <v>105000</v>
      </c>
      <c r="F60" s="11"/>
    </row>
    <row r="61" spans="1:6" ht="20.100000000000001" customHeight="1">
      <c r="A61" s="8"/>
      <c r="B61" s="18" t="s">
        <v>96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128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129</v>
      </c>
      <c r="C64" s="15" t="s">
        <v>130</v>
      </c>
      <c r="D64" s="8" t="s">
        <v>100</v>
      </c>
      <c r="E64" s="208">
        <v>225000</v>
      </c>
      <c r="F64" s="11"/>
    </row>
    <row r="65" spans="1:6" ht="20.100000000000001" customHeight="1">
      <c r="A65" s="8">
        <v>2</v>
      </c>
      <c r="B65" s="16" t="s">
        <v>131</v>
      </c>
      <c r="C65" s="15" t="s">
        <v>132</v>
      </c>
      <c r="D65" s="13" t="s">
        <v>1018</v>
      </c>
      <c r="E65" s="208">
        <v>105000</v>
      </c>
      <c r="F65" s="11"/>
    </row>
    <row r="66" spans="1:6" ht="20.100000000000001" customHeight="1">
      <c r="A66" s="8">
        <v>3</v>
      </c>
      <c r="B66" s="9" t="s">
        <v>134</v>
      </c>
      <c r="C66" s="2" t="s">
        <v>167</v>
      </c>
      <c r="D66" s="8" t="s">
        <v>52</v>
      </c>
      <c r="E66" s="208">
        <v>75000</v>
      </c>
      <c r="F66" s="11"/>
    </row>
    <row r="67" spans="1:6" ht="20.100000000000001" customHeight="1">
      <c r="A67" s="8">
        <v>4</v>
      </c>
      <c r="B67" s="16" t="s">
        <v>487</v>
      </c>
      <c r="C67" s="15" t="s">
        <v>167</v>
      </c>
      <c r="D67" s="13" t="s">
        <v>1016</v>
      </c>
      <c r="E67" s="208">
        <v>75000</v>
      </c>
      <c r="F67" s="11"/>
    </row>
    <row r="68" spans="1:6" ht="20.100000000000001" customHeight="1">
      <c r="A68" s="8">
        <v>5</v>
      </c>
      <c r="B68" s="12" t="s">
        <v>517</v>
      </c>
      <c r="C68" s="15" t="s">
        <v>135</v>
      </c>
      <c r="D68" s="13" t="s">
        <v>224</v>
      </c>
      <c r="E68" s="208">
        <v>75000</v>
      </c>
      <c r="F68" s="11"/>
    </row>
    <row r="69" spans="1:6" ht="20.100000000000001" customHeight="1">
      <c r="A69" s="8">
        <v>6</v>
      </c>
      <c r="B69" s="12" t="s">
        <v>43</v>
      </c>
      <c r="C69" s="15" t="s">
        <v>135</v>
      </c>
      <c r="D69" s="13" t="s">
        <v>150</v>
      </c>
      <c r="E69" s="208">
        <v>75000</v>
      </c>
      <c r="F69" s="11"/>
    </row>
    <row r="70" spans="1:6" ht="20.100000000000001" customHeight="1">
      <c r="A70" s="8">
        <v>7</v>
      </c>
      <c r="B70" s="9" t="s">
        <v>136</v>
      </c>
      <c r="C70" s="2" t="s">
        <v>119</v>
      </c>
      <c r="D70" s="8" t="s">
        <v>65</v>
      </c>
      <c r="E70" s="208">
        <v>45000</v>
      </c>
      <c r="F70" s="11"/>
    </row>
    <row r="71" spans="1:6" ht="20.100000000000001" customHeight="1">
      <c r="A71" s="8">
        <v>8</v>
      </c>
      <c r="B71" s="9" t="s">
        <v>138</v>
      </c>
      <c r="C71" s="15" t="s">
        <v>67</v>
      </c>
      <c r="D71" s="13" t="s">
        <v>65</v>
      </c>
      <c r="E71" s="208">
        <v>45000</v>
      </c>
      <c r="F71" s="11"/>
    </row>
    <row r="72" spans="1:6" ht="20.100000000000001" customHeight="1">
      <c r="A72" s="8">
        <v>9</v>
      </c>
      <c r="B72" s="9" t="s">
        <v>139</v>
      </c>
      <c r="C72" s="15" t="s">
        <v>67</v>
      </c>
      <c r="D72" s="13" t="s">
        <v>65</v>
      </c>
      <c r="E72" s="208">
        <v>45000</v>
      </c>
      <c r="F72" s="11"/>
    </row>
    <row r="73" spans="1:6" ht="20.100000000000001" customHeight="1">
      <c r="A73" s="8">
        <v>10</v>
      </c>
      <c r="B73" s="9" t="s">
        <v>140</v>
      </c>
      <c r="C73" s="2" t="s">
        <v>141</v>
      </c>
      <c r="D73" s="8" t="s">
        <v>137</v>
      </c>
      <c r="E73" s="208">
        <v>45000</v>
      </c>
      <c r="F73" s="11"/>
    </row>
    <row r="74" spans="1:6" ht="20.100000000000001" customHeight="1">
      <c r="A74" s="8">
        <v>11</v>
      </c>
      <c r="B74" s="9" t="s">
        <v>1181</v>
      </c>
      <c r="C74" s="15" t="s">
        <v>119</v>
      </c>
      <c r="D74" s="8" t="s">
        <v>104</v>
      </c>
      <c r="E74" s="208">
        <v>45000</v>
      </c>
      <c r="F74" s="11"/>
    </row>
    <row r="75" spans="1:6" ht="20.100000000000001" customHeight="1">
      <c r="A75" s="8">
        <v>12</v>
      </c>
      <c r="B75" s="9" t="s">
        <v>77</v>
      </c>
      <c r="C75" s="15" t="s">
        <v>64</v>
      </c>
      <c r="D75" s="8" t="s">
        <v>80</v>
      </c>
      <c r="E75" s="208">
        <v>45000</v>
      </c>
      <c r="F75" s="11"/>
    </row>
    <row r="76" spans="1:6" ht="20.100000000000001" customHeight="1">
      <c r="A76" s="8">
        <v>13</v>
      </c>
      <c r="B76" s="12" t="s">
        <v>63</v>
      </c>
      <c r="C76" s="15" t="s">
        <v>64</v>
      </c>
      <c r="D76" s="8" t="s">
        <v>92</v>
      </c>
      <c r="E76" s="208">
        <v>45000</v>
      </c>
      <c r="F76" s="11"/>
    </row>
    <row r="77" spans="1:6" ht="20.100000000000001" customHeight="1">
      <c r="A77" s="8"/>
      <c r="B77" s="18" t="s">
        <v>96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143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144</v>
      </c>
      <c r="C80" s="2" t="s">
        <v>145</v>
      </c>
      <c r="D80" s="8" t="s">
        <v>100</v>
      </c>
      <c r="E80" s="208">
        <v>225000</v>
      </c>
      <c r="F80" s="11"/>
    </row>
    <row r="81" spans="1:6" ht="20.100000000000001" customHeight="1">
      <c r="A81" s="8">
        <v>2</v>
      </c>
      <c r="B81" s="12" t="s">
        <v>518</v>
      </c>
      <c r="C81" s="2" t="s">
        <v>570</v>
      </c>
      <c r="D81" s="13" t="s">
        <v>1018</v>
      </c>
      <c r="E81" s="208">
        <v>105000</v>
      </c>
      <c r="F81" s="11"/>
    </row>
    <row r="82" spans="1:6" ht="20.100000000000001" customHeight="1">
      <c r="A82" s="8">
        <v>3</v>
      </c>
      <c r="B82" s="12" t="s">
        <v>1182</v>
      </c>
      <c r="C82" s="2" t="s">
        <v>1183</v>
      </c>
      <c r="D82" s="13" t="s">
        <v>1018</v>
      </c>
      <c r="E82" s="208">
        <v>105000</v>
      </c>
      <c r="F82" s="11"/>
    </row>
    <row r="83" spans="1:6" ht="20.100000000000001" customHeight="1">
      <c r="A83" s="8">
        <v>4</v>
      </c>
      <c r="B83" s="9" t="s">
        <v>148</v>
      </c>
      <c r="C83" s="2" t="s">
        <v>1034</v>
      </c>
      <c r="D83" s="13" t="s">
        <v>52</v>
      </c>
      <c r="E83" s="208">
        <v>75000</v>
      </c>
      <c r="F83" s="11"/>
    </row>
    <row r="84" spans="1:6" ht="20.100000000000001" customHeight="1">
      <c r="A84" s="8">
        <v>5</v>
      </c>
      <c r="B84" s="9" t="s">
        <v>151</v>
      </c>
      <c r="C84" s="2" t="s">
        <v>154</v>
      </c>
      <c r="D84" s="8" t="s">
        <v>104</v>
      </c>
      <c r="E84" s="208">
        <v>45000</v>
      </c>
      <c r="F84" s="11"/>
    </row>
    <row r="85" spans="1:6" ht="20.100000000000001" customHeight="1">
      <c r="A85" s="8"/>
      <c r="B85" s="18" t="s">
        <v>96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157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158</v>
      </c>
      <c r="C88" s="2" t="s">
        <v>114</v>
      </c>
      <c r="D88" s="8" t="s">
        <v>36</v>
      </c>
      <c r="E88" s="208">
        <v>105000</v>
      </c>
      <c r="F88" s="11"/>
    </row>
    <row r="89" spans="1:6" ht="20.100000000000001" customHeight="1">
      <c r="A89" s="8">
        <v>2</v>
      </c>
      <c r="B89" s="9" t="s">
        <v>159</v>
      </c>
      <c r="C89" s="2" t="s">
        <v>114</v>
      </c>
      <c r="D89" s="8" t="s">
        <v>36</v>
      </c>
      <c r="E89" s="208">
        <v>105000</v>
      </c>
      <c r="F89" s="11"/>
    </row>
    <row r="90" spans="1:6" ht="20.100000000000001" customHeight="1">
      <c r="A90" s="8">
        <v>3</v>
      </c>
      <c r="B90" s="12" t="s">
        <v>203</v>
      </c>
      <c r="C90" s="2" t="s">
        <v>135</v>
      </c>
      <c r="D90" s="8" t="s">
        <v>42</v>
      </c>
      <c r="E90" s="208">
        <v>75000</v>
      </c>
      <c r="F90" s="11"/>
    </row>
    <row r="91" spans="1:6" ht="20.100000000000001" customHeight="1">
      <c r="A91" s="8">
        <v>4</v>
      </c>
      <c r="B91" s="9" t="s">
        <v>160</v>
      </c>
      <c r="C91" s="2" t="s">
        <v>46</v>
      </c>
      <c r="D91" s="8" t="s">
        <v>224</v>
      </c>
      <c r="E91" s="208">
        <v>75000</v>
      </c>
      <c r="F91" s="11"/>
    </row>
    <row r="92" spans="1:6" ht="21.6" customHeight="1">
      <c r="A92" s="8">
        <v>5</v>
      </c>
      <c r="B92" s="9" t="s">
        <v>161</v>
      </c>
      <c r="C92" s="2" t="s">
        <v>458</v>
      </c>
      <c r="D92" s="13" t="s">
        <v>52</v>
      </c>
      <c r="E92" s="208">
        <v>75000</v>
      </c>
      <c r="F92" s="11"/>
    </row>
    <row r="93" spans="1:6" ht="21.6" customHeight="1">
      <c r="A93" s="8">
        <v>6</v>
      </c>
      <c r="B93" s="9" t="s">
        <v>162</v>
      </c>
      <c r="C93" s="10" t="s">
        <v>167</v>
      </c>
      <c r="D93" s="13" t="s">
        <v>1016</v>
      </c>
      <c r="E93" s="208">
        <v>75000</v>
      </c>
      <c r="F93" s="11"/>
    </row>
    <row r="94" spans="1:6" ht="21.6" customHeight="1">
      <c r="A94" s="8">
        <v>7</v>
      </c>
      <c r="B94" s="9" t="s">
        <v>163</v>
      </c>
      <c r="C94" s="10" t="s">
        <v>167</v>
      </c>
      <c r="D94" s="13" t="s">
        <v>1016</v>
      </c>
      <c r="E94" s="208">
        <v>75000</v>
      </c>
      <c r="F94" s="11"/>
    </row>
    <row r="95" spans="1:6" ht="21.6" customHeight="1">
      <c r="A95" s="8">
        <v>8</v>
      </c>
      <c r="B95" s="9" t="s">
        <v>165</v>
      </c>
      <c r="C95" s="15" t="s">
        <v>67</v>
      </c>
      <c r="D95" s="13" t="s">
        <v>65</v>
      </c>
      <c r="E95" s="208">
        <v>45000</v>
      </c>
      <c r="F95" s="11"/>
    </row>
    <row r="96" spans="1:6" ht="21.6" customHeight="1">
      <c r="A96" s="8">
        <v>9</v>
      </c>
      <c r="B96" s="9" t="s">
        <v>169</v>
      </c>
      <c r="C96" s="2" t="s">
        <v>170</v>
      </c>
      <c r="D96" s="8" t="s">
        <v>70</v>
      </c>
      <c r="E96" s="208">
        <v>45000</v>
      </c>
      <c r="F96" s="11"/>
    </row>
    <row r="97" spans="1:6" ht="21.6" customHeight="1">
      <c r="A97" s="8">
        <v>10</v>
      </c>
      <c r="B97" s="9" t="s">
        <v>171</v>
      </c>
      <c r="C97" s="15" t="s">
        <v>172</v>
      </c>
      <c r="D97" s="13" t="s">
        <v>92</v>
      </c>
      <c r="E97" s="208">
        <v>45000</v>
      </c>
      <c r="F97" s="11"/>
    </row>
    <row r="98" spans="1:6" ht="20.100000000000001" customHeight="1">
      <c r="A98" s="8"/>
      <c r="B98" s="18" t="s">
        <v>96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174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574</v>
      </c>
      <c r="C101" s="8" t="s">
        <v>575</v>
      </c>
      <c r="D101" s="13" t="s">
        <v>112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37</v>
      </c>
      <c r="C102" s="2" t="s">
        <v>179</v>
      </c>
      <c r="D102" s="8" t="s">
        <v>224</v>
      </c>
      <c r="E102" s="208">
        <v>75000</v>
      </c>
      <c r="F102" s="11"/>
    </row>
    <row r="103" spans="1:6" ht="20.100000000000001" customHeight="1">
      <c r="A103" s="8">
        <v>3</v>
      </c>
      <c r="B103" s="9" t="s">
        <v>182</v>
      </c>
      <c r="C103" s="2" t="s">
        <v>183</v>
      </c>
      <c r="D103" s="13" t="s">
        <v>137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1184</v>
      </c>
      <c r="C104" s="2" t="s">
        <v>1185</v>
      </c>
      <c r="D104" s="13" t="s">
        <v>1011</v>
      </c>
      <c r="E104" s="208">
        <v>45000</v>
      </c>
      <c r="F104" s="11"/>
    </row>
    <row r="105" spans="1:6" ht="20.100000000000001" customHeight="1">
      <c r="A105" s="2"/>
      <c r="B105" s="18" t="s">
        <v>96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186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187</v>
      </c>
      <c r="C108" s="10" t="s">
        <v>188</v>
      </c>
      <c r="D108" s="13" t="s">
        <v>100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189</v>
      </c>
      <c r="C109" s="2" t="s">
        <v>190</v>
      </c>
      <c r="D109" s="14" t="s">
        <v>112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192</v>
      </c>
      <c r="C110" s="2" t="s">
        <v>193</v>
      </c>
      <c r="D110" s="8" t="s">
        <v>194</v>
      </c>
      <c r="E110" s="208">
        <v>75000</v>
      </c>
      <c r="F110" s="11"/>
    </row>
    <row r="111" spans="1:6" ht="20.100000000000001" customHeight="1">
      <c r="A111" s="2">
        <v>4</v>
      </c>
      <c r="B111" s="9" t="s">
        <v>195</v>
      </c>
      <c r="C111" s="2" t="s">
        <v>193</v>
      </c>
      <c r="D111" s="8" t="s">
        <v>194</v>
      </c>
      <c r="E111" s="208">
        <v>75000</v>
      </c>
      <c r="F111" s="11"/>
    </row>
    <row r="112" spans="1:6" ht="20.100000000000001" customHeight="1">
      <c r="A112" s="2">
        <v>5</v>
      </c>
      <c r="B112" s="9" t="s">
        <v>196</v>
      </c>
      <c r="C112" s="2" t="s">
        <v>197</v>
      </c>
      <c r="D112" s="13" t="s">
        <v>200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199</v>
      </c>
      <c r="C113" s="2" t="s">
        <v>197</v>
      </c>
      <c r="D113" s="8" t="s">
        <v>1011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201</v>
      </c>
      <c r="C114" s="2" t="s">
        <v>197</v>
      </c>
      <c r="D114" s="13" t="s">
        <v>92</v>
      </c>
      <c r="E114" s="208">
        <v>45000</v>
      </c>
      <c r="F114" s="11"/>
    </row>
    <row r="115" spans="1:6" ht="20.100000000000001" customHeight="1">
      <c r="A115" s="2"/>
      <c r="B115" s="18" t="s">
        <v>96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1189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1099</v>
      </c>
      <c r="C118" s="15" t="s">
        <v>67</v>
      </c>
      <c r="D118" s="13" t="s">
        <v>62</v>
      </c>
      <c r="E118" s="208">
        <v>45000</v>
      </c>
      <c r="F118" s="11"/>
    </row>
    <row r="119" spans="1:6" ht="27" customHeight="1">
      <c r="A119" s="8">
        <v>2</v>
      </c>
      <c r="B119" s="9" t="s">
        <v>204</v>
      </c>
      <c r="C119" s="2" t="s">
        <v>205</v>
      </c>
      <c r="D119" s="13" t="s">
        <v>137</v>
      </c>
      <c r="E119" s="208">
        <v>45000</v>
      </c>
      <c r="F119" s="11"/>
    </row>
    <row r="120" spans="1:6" ht="27" customHeight="1">
      <c r="A120" s="2"/>
      <c r="B120" s="18" t="s">
        <v>96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215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216</v>
      </c>
      <c r="C123" s="10" t="s">
        <v>217</v>
      </c>
      <c r="D123" s="13" t="s">
        <v>100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218</v>
      </c>
      <c r="C124" s="10" t="s">
        <v>221</v>
      </c>
      <c r="D124" s="13" t="s">
        <v>36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220</v>
      </c>
      <c r="C125" s="10" t="s">
        <v>221</v>
      </c>
      <c r="D125" s="13" t="s">
        <v>36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521</v>
      </c>
      <c r="C126" s="10" t="s">
        <v>221</v>
      </c>
      <c r="D126" s="13" t="s">
        <v>39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222</v>
      </c>
      <c r="C127" s="10" t="s">
        <v>223</v>
      </c>
      <c r="D127" s="13" t="s">
        <v>150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225</v>
      </c>
      <c r="C128" s="10" t="s">
        <v>226</v>
      </c>
      <c r="D128" s="13" t="s">
        <v>52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227</v>
      </c>
      <c r="C129" s="10" t="s">
        <v>1036</v>
      </c>
      <c r="D129" s="13" t="s">
        <v>52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228</v>
      </c>
      <c r="C130" s="10" t="s">
        <v>229</v>
      </c>
      <c r="D130" s="8" t="s">
        <v>80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230</v>
      </c>
      <c r="C131" s="10" t="s">
        <v>231</v>
      </c>
      <c r="D131" s="13" t="s">
        <v>92</v>
      </c>
      <c r="E131" s="208">
        <v>45000</v>
      </c>
      <c r="F131" s="11"/>
    </row>
    <row r="132" spans="1:6" ht="20.100000000000001" customHeight="1">
      <c r="A132" s="2"/>
      <c r="B132" s="18" t="s">
        <v>96</v>
      </c>
      <c r="C132" s="24" t="s">
        <v>1186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236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522</v>
      </c>
      <c r="C136" s="10" t="s">
        <v>573</v>
      </c>
      <c r="D136" s="13" t="s">
        <v>191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239</v>
      </c>
      <c r="C137" s="2" t="s">
        <v>240</v>
      </c>
      <c r="D137" s="14" t="s">
        <v>112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241</v>
      </c>
      <c r="C138" s="10" t="s">
        <v>580</v>
      </c>
      <c r="D138" s="13" t="s">
        <v>224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243</v>
      </c>
      <c r="C139" s="2" t="s">
        <v>581</v>
      </c>
      <c r="D139" s="13" t="s">
        <v>224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178</v>
      </c>
      <c r="C140" s="2" t="s">
        <v>583</v>
      </c>
      <c r="D140" s="13" t="s">
        <v>52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180</v>
      </c>
      <c r="C141" s="10" t="s">
        <v>582</v>
      </c>
      <c r="D141" s="13" t="s">
        <v>62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246</v>
      </c>
      <c r="C142" s="10" t="s">
        <v>582</v>
      </c>
      <c r="D142" s="13" t="s">
        <v>62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247</v>
      </c>
      <c r="C143" s="2" t="s">
        <v>583</v>
      </c>
      <c r="D143" s="13" t="s">
        <v>62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249</v>
      </c>
      <c r="C144" s="10" t="s">
        <v>254</v>
      </c>
      <c r="D144" s="13" t="s">
        <v>137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251</v>
      </c>
      <c r="C145" s="10" t="s">
        <v>1038</v>
      </c>
      <c r="D145" s="13" t="s">
        <v>585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253</v>
      </c>
      <c r="C146" s="10" t="s">
        <v>254</v>
      </c>
      <c r="D146" s="13" t="s">
        <v>62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256</v>
      </c>
      <c r="C147" s="2" t="s">
        <v>264</v>
      </c>
      <c r="D147" s="13" t="s">
        <v>585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258</v>
      </c>
      <c r="C148" s="2" t="s">
        <v>584</v>
      </c>
      <c r="D148" s="13" t="s">
        <v>104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259</v>
      </c>
      <c r="C149" s="2" t="s">
        <v>584</v>
      </c>
      <c r="D149" s="13" t="s">
        <v>267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260</v>
      </c>
      <c r="C150" s="2" t="s">
        <v>584</v>
      </c>
      <c r="D150" s="13" t="s">
        <v>267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261</v>
      </c>
      <c r="C151" s="10" t="s">
        <v>262</v>
      </c>
      <c r="D151" s="13" t="s">
        <v>70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1019</v>
      </c>
      <c r="C152" s="10" t="s">
        <v>264</v>
      </c>
      <c r="D152" s="8" t="s">
        <v>83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265</v>
      </c>
      <c r="C153" s="10" t="s">
        <v>266</v>
      </c>
      <c r="D153" s="13" t="s">
        <v>104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268</v>
      </c>
      <c r="C154" s="10" t="s">
        <v>269</v>
      </c>
      <c r="D154" s="13" t="s">
        <v>80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270</v>
      </c>
      <c r="C155" s="10" t="s">
        <v>271</v>
      </c>
      <c r="D155" s="13" t="s">
        <v>104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272</v>
      </c>
      <c r="C156" s="10" t="s">
        <v>273</v>
      </c>
      <c r="D156" s="13" t="s">
        <v>80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274</v>
      </c>
      <c r="C157" s="10" t="s">
        <v>280</v>
      </c>
      <c r="D157" s="13" t="s">
        <v>1011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277</v>
      </c>
      <c r="C158" s="10" t="s">
        <v>278</v>
      </c>
      <c r="D158" s="13" t="s">
        <v>95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279</v>
      </c>
      <c r="C159" s="10" t="s">
        <v>280</v>
      </c>
      <c r="D159" s="13" t="s">
        <v>95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281</v>
      </c>
      <c r="C160" s="10" t="s">
        <v>282</v>
      </c>
      <c r="D160" s="13" t="s">
        <v>92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283</v>
      </c>
      <c r="C161" s="10" t="s">
        <v>284</v>
      </c>
      <c r="D161" s="13" t="s">
        <v>92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289</v>
      </c>
      <c r="C162" s="10" t="s">
        <v>290</v>
      </c>
      <c r="D162" s="13" t="s">
        <v>297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292</v>
      </c>
      <c r="C163" s="10" t="s">
        <v>290</v>
      </c>
      <c r="D163" s="13" t="s">
        <v>297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293</v>
      </c>
      <c r="C164" s="10" t="s">
        <v>290</v>
      </c>
      <c r="D164" s="13" t="s">
        <v>297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294</v>
      </c>
      <c r="C165" s="10" t="s">
        <v>290</v>
      </c>
      <c r="D165" s="13" t="s">
        <v>297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295</v>
      </c>
      <c r="C166" s="10" t="s">
        <v>290</v>
      </c>
      <c r="D166" s="13" t="s">
        <v>297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296</v>
      </c>
      <c r="C167" s="10" t="s">
        <v>290</v>
      </c>
      <c r="D167" s="13" t="s">
        <v>308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298</v>
      </c>
      <c r="C168" s="10" t="s">
        <v>290</v>
      </c>
      <c r="D168" s="13" t="s">
        <v>308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299</v>
      </c>
      <c r="C169" s="10" t="s">
        <v>290</v>
      </c>
      <c r="D169" s="13" t="s">
        <v>308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300</v>
      </c>
      <c r="C170" s="10" t="s">
        <v>290</v>
      </c>
      <c r="D170" s="13" t="s">
        <v>308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301</v>
      </c>
      <c r="C171" s="10" t="s">
        <v>290</v>
      </c>
      <c r="D171" s="13" t="s">
        <v>308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302</v>
      </c>
      <c r="C172" s="10" t="s">
        <v>290</v>
      </c>
      <c r="D172" s="13" t="s">
        <v>308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303</v>
      </c>
      <c r="C173" s="10" t="s">
        <v>310</v>
      </c>
      <c r="D173" s="13" t="s">
        <v>311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306</v>
      </c>
      <c r="C174" s="10" t="s">
        <v>310</v>
      </c>
      <c r="D174" s="13" t="s">
        <v>311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307</v>
      </c>
      <c r="C175" s="10" t="s">
        <v>310</v>
      </c>
      <c r="D175" s="13" t="s">
        <v>1014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309</v>
      </c>
      <c r="C176" s="10" t="s">
        <v>310</v>
      </c>
      <c r="D176" s="13" t="s">
        <v>1020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312</v>
      </c>
      <c r="C177" s="10" t="s">
        <v>313</v>
      </c>
      <c r="D177" s="13" t="s">
        <v>1021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315</v>
      </c>
      <c r="C178" s="10" t="s">
        <v>313</v>
      </c>
      <c r="D178" s="13" t="s">
        <v>1021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316</v>
      </c>
      <c r="C179" s="10" t="s">
        <v>313</v>
      </c>
      <c r="D179" s="13" t="s">
        <v>1021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317</v>
      </c>
      <c r="C180" s="10" t="s">
        <v>313</v>
      </c>
      <c r="D180" s="13" t="s">
        <v>1021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318</v>
      </c>
      <c r="C181" s="10" t="s">
        <v>313</v>
      </c>
      <c r="D181" s="13" t="s">
        <v>1021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319</v>
      </c>
      <c r="C182" s="10" t="s">
        <v>313</v>
      </c>
      <c r="D182" s="13" t="s">
        <v>1021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320</v>
      </c>
      <c r="C183" s="10" t="s">
        <v>313</v>
      </c>
      <c r="D183" s="13" t="s">
        <v>1021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321</v>
      </c>
      <c r="C184" s="10" t="s">
        <v>310</v>
      </c>
      <c r="D184" s="13" t="s">
        <v>1021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322</v>
      </c>
      <c r="C185" s="10" t="s">
        <v>310</v>
      </c>
      <c r="D185" s="13" t="s">
        <v>1021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323</v>
      </c>
      <c r="C186" s="10" t="s">
        <v>313</v>
      </c>
      <c r="D186" s="13" t="s">
        <v>1039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328</v>
      </c>
      <c r="C187" s="10" t="s">
        <v>313</v>
      </c>
      <c r="D187" s="13" t="s">
        <v>1022</v>
      </c>
      <c r="E187" s="208">
        <v>30000</v>
      </c>
      <c r="F187" s="11"/>
    </row>
    <row r="188" spans="1:6" ht="20.100000000000001" customHeight="1">
      <c r="A188" s="25"/>
      <c r="B188" s="6" t="s">
        <v>96</v>
      </c>
      <c r="C188" s="26" t="s">
        <v>1190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339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'[12]Sallah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1171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500</v>
      </c>
    </row>
    <row r="5" spans="1:6" ht="17.25" customHeight="1">
      <c r="C5" s="6"/>
      <c r="D5" s="6"/>
      <c r="E5" s="196" t="s">
        <v>19</v>
      </c>
    </row>
    <row r="6" spans="1:6" ht="20.100000000000001" customHeight="1">
      <c r="A6" s="7" t="s">
        <v>20</v>
      </c>
      <c r="B6" s="6" t="s">
        <v>21</v>
      </c>
      <c r="C6" s="6"/>
      <c r="D6" s="6"/>
      <c r="E6" s="196"/>
    </row>
    <row r="7" spans="1:6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208">
        <v>540000</v>
      </c>
      <c r="F7" s="11"/>
    </row>
    <row r="8" spans="1:6" ht="20.100000000000001" customHeight="1">
      <c r="A8" s="8">
        <v>2</v>
      </c>
      <c r="B8" s="9" t="s">
        <v>1082</v>
      </c>
      <c r="C8" s="2" t="s">
        <v>1172</v>
      </c>
      <c r="D8" s="8" t="s">
        <v>191</v>
      </c>
      <c r="E8" s="208">
        <v>180000</v>
      </c>
      <c r="F8" s="11"/>
    </row>
    <row r="9" spans="1:6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208">
        <v>180000</v>
      </c>
      <c r="F9" s="11"/>
    </row>
    <row r="10" spans="1:6" ht="20.100000000000001" customHeight="1">
      <c r="A10" s="8">
        <v>4</v>
      </c>
      <c r="B10" s="12" t="s">
        <v>28</v>
      </c>
      <c r="C10" s="2" t="s">
        <v>29</v>
      </c>
      <c r="D10" s="13" t="s">
        <v>112</v>
      </c>
      <c r="E10" s="208">
        <v>180000</v>
      </c>
      <c r="F10" s="11"/>
    </row>
    <row r="11" spans="1:6" ht="20.100000000000001" customHeight="1">
      <c r="A11" s="8">
        <v>5</v>
      </c>
      <c r="B11" s="12" t="s">
        <v>175</v>
      </c>
      <c r="C11" s="2" t="s">
        <v>1084</v>
      </c>
      <c r="D11" s="14" t="s">
        <v>112</v>
      </c>
      <c r="E11" s="208">
        <v>180000</v>
      </c>
      <c r="F11" s="11"/>
    </row>
    <row r="12" spans="1:6" ht="20.100000000000001" customHeight="1">
      <c r="A12" s="8">
        <v>6</v>
      </c>
      <c r="B12" s="9" t="s">
        <v>30</v>
      </c>
      <c r="C12" s="15" t="s">
        <v>31</v>
      </c>
      <c r="D12" s="14" t="s">
        <v>112</v>
      </c>
      <c r="E12" s="208">
        <v>180000</v>
      </c>
      <c r="F12" s="11"/>
    </row>
    <row r="13" spans="1:6" ht="20.100000000000001" customHeight="1">
      <c r="A13" s="8">
        <v>7</v>
      </c>
      <c r="B13" s="12" t="s">
        <v>32</v>
      </c>
      <c r="C13" s="2" t="s">
        <v>33</v>
      </c>
      <c r="D13" s="14" t="s">
        <v>112</v>
      </c>
      <c r="E13" s="208">
        <v>180000</v>
      </c>
      <c r="F13" s="11"/>
    </row>
    <row r="14" spans="1:6" ht="20.100000000000001" customHeight="1">
      <c r="A14" s="8">
        <v>8</v>
      </c>
      <c r="B14" s="9" t="s">
        <v>34</v>
      </c>
      <c r="C14" s="10" t="s">
        <v>35</v>
      </c>
      <c r="D14" s="13" t="s">
        <v>36</v>
      </c>
      <c r="E14" s="208">
        <v>126000</v>
      </c>
      <c r="F14" s="11"/>
    </row>
    <row r="15" spans="1:6" ht="20.100000000000001" customHeight="1">
      <c r="A15" s="8">
        <v>9</v>
      </c>
      <c r="B15" s="16" t="s">
        <v>519</v>
      </c>
      <c r="C15" s="10" t="s">
        <v>572</v>
      </c>
      <c r="D15" s="8" t="s">
        <v>571</v>
      </c>
      <c r="E15" s="208">
        <v>126000</v>
      </c>
      <c r="F15" s="11"/>
    </row>
    <row r="16" spans="1:6" ht="20.100000000000001" customHeight="1">
      <c r="A16" s="8">
        <v>10</v>
      </c>
      <c r="B16" s="17" t="s">
        <v>1175</v>
      </c>
      <c r="C16" s="2" t="s">
        <v>1176</v>
      </c>
      <c r="D16" s="14" t="s">
        <v>224</v>
      </c>
      <c r="E16" s="208">
        <v>90000</v>
      </c>
      <c r="F16" s="11"/>
    </row>
    <row r="17" spans="1:6" ht="19.5" customHeight="1">
      <c r="A17" s="8">
        <v>11</v>
      </c>
      <c r="B17" s="12" t="s">
        <v>1085</v>
      </c>
      <c r="C17" s="2" t="s">
        <v>41</v>
      </c>
      <c r="D17" s="8" t="s">
        <v>224</v>
      </c>
      <c r="E17" s="208">
        <v>90000</v>
      </c>
      <c r="F17" s="11"/>
    </row>
    <row r="18" spans="1:6" ht="19.5" customHeight="1">
      <c r="A18" s="8">
        <v>12</v>
      </c>
      <c r="B18" s="12" t="s">
        <v>1177</v>
      </c>
      <c r="C18" s="2" t="s">
        <v>1178</v>
      </c>
      <c r="D18" s="8" t="s">
        <v>224</v>
      </c>
      <c r="E18" s="208">
        <v>90000</v>
      </c>
      <c r="F18" s="11"/>
    </row>
    <row r="19" spans="1:6" ht="20.100000000000001" customHeight="1">
      <c r="A19" s="8">
        <v>13</v>
      </c>
      <c r="B19" s="9" t="s">
        <v>40</v>
      </c>
      <c r="C19" s="2" t="s">
        <v>41</v>
      </c>
      <c r="D19" s="13" t="s">
        <v>224</v>
      </c>
      <c r="E19" s="208">
        <v>90000</v>
      </c>
      <c r="F19" s="11"/>
    </row>
    <row r="20" spans="1:6" ht="20.100000000000001" customHeight="1">
      <c r="A20" s="8">
        <v>14</v>
      </c>
      <c r="B20" s="9" t="s">
        <v>50</v>
      </c>
      <c r="C20" s="10" t="s">
        <v>51</v>
      </c>
      <c r="D20" s="13" t="s">
        <v>1016</v>
      </c>
      <c r="E20" s="208">
        <v>90000</v>
      </c>
      <c r="F20" s="11"/>
    </row>
    <row r="21" spans="1:6" ht="20.100000000000001" customHeight="1">
      <c r="A21" s="8">
        <v>15</v>
      </c>
      <c r="B21" s="16" t="s">
        <v>53</v>
      </c>
      <c r="C21" s="2" t="s">
        <v>54</v>
      </c>
      <c r="D21" s="13" t="s">
        <v>1017</v>
      </c>
      <c r="E21" s="208">
        <v>90000</v>
      </c>
      <c r="F21" s="11"/>
    </row>
    <row r="22" spans="1:6" ht="20.100000000000001" customHeight="1">
      <c r="A22" s="8">
        <v>16</v>
      </c>
      <c r="B22" s="9" t="s">
        <v>206</v>
      </c>
      <c r="C22" s="10" t="s">
        <v>579</v>
      </c>
      <c r="D22" s="13" t="s">
        <v>62</v>
      </c>
      <c r="E22" s="208">
        <v>54000</v>
      </c>
      <c r="F22" s="11"/>
    </row>
    <row r="23" spans="1:6" ht="18.75" customHeight="1">
      <c r="A23" s="8">
        <v>17</v>
      </c>
      <c r="B23" s="9" t="s">
        <v>60</v>
      </c>
      <c r="C23" s="10" t="s">
        <v>61</v>
      </c>
      <c r="D23" s="13" t="s">
        <v>137</v>
      </c>
      <c r="E23" s="208">
        <v>54000</v>
      </c>
      <c r="F23" s="11"/>
    </row>
    <row r="24" spans="1:6" ht="18.75" customHeight="1">
      <c r="A24" s="8">
        <v>18</v>
      </c>
      <c r="B24" s="16" t="s">
        <v>1179</v>
      </c>
      <c r="C24" s="10" t="s">
        <v>91</v>
      </c>
      <c r="D24" s="13" t="s">
        <v>267</v>
      </c>
      <c r="E24" s="208">
        <v>54000</v>
      </c>
      <c r="F24" s="11"/>
    </row>
    <row r="25" spans="1:6" ht="18.75" customHeight="1">
      <c r="A25" s="8">
        <v>19</v>
      </c>
      <c r="B25" s="2" t="s">
        <v>73</v>
      </c>
      <c r="C25" s="2" t="s">
        <v>74</v>
      </c>
      <c r="D25" s="8" t="s">
        <v>80</v>
      </c>
      <c r="E25" s="208">
        <v>54000</v>
      </c>
      <c r="F25" s="11"/>
    </row>
    <row r="26" spans="1:6" ht="18.75" customHeight="1">
      <c r="A26" s="8">
        <v>20</v>
      </c>
      <c r="B26" s="16" t="s">
        <v>76</v>
      </c>
      <c r="C26" s="10" t="s">
        <v>74</v>
      </c>
      <c r="D26" s="13" t="s">
        <v>80</v>
      </c>
      <c r="E26" s="208">
        <v>54000</v>
      </c>
      <c r="F26" s="11"/>
    </row>
    <row r="27" spans="1:6" ht="18.75" customHeight="1">
      <c r="A27" s="8">
        <v>21</v>
      </c>
      <c r="B27" s="9" t="s">
        <v>1086</v>
      </c>
      <c r="C27" s="10" t="s">
        <v>1087</v>
      </c>
      <c r="D27" s="13" t="s">
        <v>80</v>
      </c>
      <c r="E27" s="208">
        <v>54000</v>
      </c>
      <c r="F27" s="11"/>
    </row>
    <row r="28" spans="1:6" ht="18.75" customHeight="1">
      <c r="A28" s="8">
        <v>22</v>
      </c>
      <c r="B28" s="16" t="s">
        <v>78</v>
      </c>
      <c r="C28" s="10" t="s">
        <v>1033</v>
      </c>
      <c r="D28" s="13" t="s">
        <v>1011</v>
      </c>
      <c r="E28" s="208">
        <v>54000</v>
      </c>
      <c r="F28" s="11"/>
    </row>
    <row r="29" spans="1:6" ht="18.75" customHeight="1">
      <c r="A29" s="8">
        <v>23</v>
      </c>
      <c r="B29" s="16" t="s">
        <v>81</v>
      </c>
      <c r="C29" s="2" t="s">
        <v>1088</v>
      </c>
      <c r="D29" s="8" t="s">
        <v>1011</v>
      </c>
      <c r="E29" s="208">
        <v>54000</v>
      </c>
      <c r="F29" s="11"/>
    </row>
    <row r="30" spans="1:6" ht="18.75" customHeight="1">
      <c r="A30" s="8">
        <v>24</v>
      </c>
      <c r="B30" s="16" t="s">
        <v>85</v>
      </c>
      <c r="C30" s="15" t="s">
        <v>86</v>
      </c>
      <c r="D30" s="13" t="s">
        <v>80</v>
      </c>
      <c r="E30" s="208">
        <v>54000</v>
      </c>
      <c r="F30" s="11"/>
    </row>
    <row r="31" spans="1:6" ht="18.75" customHeight="1">
      <c r="A31" s="8">
        <v>25</v>
      </c>
      <c r="B31" s="16" t="s">
        <v>88</v>
      </c>
      <c r="C31" s="2" t="s">
        <v>89</v>
      </c>
      <c r="D31" s="8" t="s">
        <v>92</v>
      </c>
      <c r="E31" s="208">
        <v>54000</v>
      </c>
      <c r="F31" s="11"/>
    </row>
    <row r="32" spans="1:6" ht="18.75" customHeight="1">
      <c r="A32" s="8">
        <v>26</v>
      </c>
      <c r="B32" s="16" t="s">
        <v>1006</v>
      </c>
      <c r="C32" s="10" t="s">
        <v>91</v>
      </c>
      <c r="D32" s="13" t="s">
        <v>92</v>
      </c>
      <c r="E32" s="208">
        <v>54000</v>
      </c>
      <c r="F32" s="11"/>
    </row>
    <row r="33" spans="1:6" ht="18.75" customHeight="1">
      <c r="A33" s="8">
        <v>27</v>
      </c>
      <c r="B33" s="16" t="s">
        <v>1180</v>
      </c>
      <c r="C33" s="10" t="s">
        <v>91</v>
      </c>
      <c r="D33" s="13" t="s">
        <v>92</v>
      </c>
      <c r="E33" s="208">
        <v>54000</v>
      </c>
      <c r="F33" s="11"/>
    </row>
    <row r="34" spans="1:6" ht="18.75" customHeight="1">
      <c r="A34" s="8">
        <v>28</v>
      </c>
      <c r="B34" s="16" t="s">
        <v>232</v>
      </c>
      <c r="C34" s="10" t="s">
        <v>233</v>
      </c>
      <c r="D34" s="13" t="s">
        <v>95</v>
      </c>
      <c r="E34" s="208">
        <v>54000</v>
      </c>
      <c r="F34" s="11"/>
    </row>
    <row r="35" spans="1:6" ht="26.25" customHeight="1">
      <c r="A35" s="8"/>
      <c r="B35" s="18" t="s">
        <v>96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97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208">
        <v>270000</v>
      </c>
      <c r="F38" s="11"/>
    </row>
    <row r="39" spans="1:6" ht="18.75" customHeight="1">
      <c r="A39" s="8">
        <v>2</v>
      </c>
      <c r="B39" s="16" t="s">
        <v>101</v>
      </c>
      <c r="C39" s="2" t="s">
        <v>612</v>
      </c>
      <c r="D39" s="8" t="s">
        <v>95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107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208">
        <v>270000</v>
      </c>
      <c r="F43" s="11"/>
    </row>
    <row r="44" spans="1:6" ht="20.100000000000001" customHeight="1">
      <c r="A44" s="8">
        <v>2</v>
      </c>
      <c r="B44" s="9" t="s">
        <v>491</v>
      </c>
      <c r="C44" s="2" t="s">
        <v>44</v>
      </c>
      <c r="D44" s="8" t="s">
        <v>36</v>
      </c>
      <c r="E44" s="208">
        <v>126000</v>
      </c>
      <c r="F44" s="11"/>
    </row>
    <row r="45" spans="1:6" ht="20.100000000000001" customHeight="1">
      <c r="A45" s="8">
        <v>3</v>
      </c>
      <c r="B45" s="9" t="s">
        <v>110</v>
      </c>
      <c r="C45" s="2" t="s">
        <v>114</v>
      </c>
      <c r="D45" s="8" t="s">
        <v>36</v>
      </c>
      <c r="E45" s="208">
        <v>126000</v>
      </c>
      <c r="F45" s="11"/>
    </row>
    <row r="46" spans="1:6" ht="20.100000000000001" customHeight="1">
      <c r="A46" s="8">
        <v>4</v>
      </c>
      <c r="B46" s="9" t="s">
        <v>113</v>
      </c>
      <c r="C46" s="2" t="s">
        <v>114</v>
      </c>
      <c r="D46" s="8" t="s">
        <v>36</v>
      </c>
      <c r="E46" s="208">
        <v>126000</v>
      </c>
      <c r="F46" s="11"/>
    </row>
    <row r="47" spans="1:6" ht="20.100000000000001" customHeight="1">
      <c r="A47" s="8">
        <v>5</v>
      </c>
      <c r="B47" s="9" t="s">
        <v>115</v>
      </c>
      <c r="C47" s="2" t="s">
        <v>114</v>
      </c>
      <c r="D47" s="8" t="s">
        <v>133</v>
      </c>
      <c r="E47" s="208">
        <v>126000</v>
      </c>
      <c r="F47" s="11"/>
    </row>
    <row r="48" spans="1:6" ht="20.100000000000001" customHeight="1">
      <c r="A48" s="8">
        <v>6</v>
      </c>
      <c r="B48" s="9" t="s">
        <v>116</v>
      </c>
      <c r="C48" s="2" t="s">
        <v>46</v>
      </c>
      <c r="D48" s="8" t="s">
        <v>224</v>
      </c>
      <c r="E48" s="208">
        <v>90000</v>
      </c>
      <c r="F48" s="11"/>
    </row>
    <row r="49" spans="1:6" ht="20.100000000000001" customHeight="1">
      <c r="A49" s="8">
        <v>7</v>
      </c>
      <c r="B49" s="12" t="s">
        <v>117</v>
      </c>
      <c r="C49" s="2" t="s">
        <v>135</v>
      </c>
      <c r="D49" s="14" t="s">
        <v>224</v>
      </c>
      <c r="E49" s="208">
        <v>90000</v>
      </c>
      <c r="F49" s="11"/>
    </row>
    <row r="50" spans="1:6" ht="20.100000000000001" customHeight="1">
      <c r="A50" s="8">
        <v>8</v>
      </c>
      <c r="B50" s="9" t="s">
        <v>1091</v>
      </c>
      <c r="C50" s="2" t="s">
        <v>135</v>
      </c>
      <c r="D50" s="8" t="s">
        <v>150</v>
      </c>
      <c r="E50" s="208">
        <v>90000</v>
      </c>
      <c r="F50" s="11"/>
    </row>
    <row r="51" spans="1:6" ht="20.100000000000001" customHeight="1">
      <c r="A51" s="8">
        <v>9</v>
      </c>
      <c r="B51" s="9" t="s">
        <v>45</v>
      </c>
      <c r="C51" s="2" t="s">
        <v>458</v>
      </c>
      <c r="D51" s="8" t="s">
        <v>52</v>
      </c>
      <c r="E51" s="208">
        <v>90000</v>
      </c>
      <c r="F51" s="11"/>
    </row>
    <row r="52" spans="1:6" ht="20.100000000000001" customHeight="1">
      <c r="A52" s="8">
        <v>10</v>
      </c>
      <c r="B52" s="9" t="s">
        <v>120</v>
      </c>
      <c r="C52" s="2" t="s">
        <v>119</v>
      </c>
      <c r="D52" s="8" t="s">
        <v>83</v>
      </c>
      <c r="E52" s="208">
        <v>54000</v>
      </c>
      <c r="F52" s="11"/>
    </row>
    <row r="53" spans="1:6" ht="20.100000000000001" customHeight="1">
      <c r="A53" s="8">
        <v>11</v>
      </c>
      <c r="B53" s="9" t="s">
        <v>578</v>
      </c>
      <c r="C53" s="2" t="s">
        <v>119</v>
      </c>
      <c r="D53" s="8" t="s">
        <v>83</v>
      </c>
      <c r="E53" s="208">
        <v>54000</v>
      </c>
      <c r="F53" s="11"/>
    </row>
    <row r="54" spans="1:6" ht="20.100000000000001" customHeight="1">
      <c r="A54" s="8">
        <v>12</v>
      </c>
      <c r="B54" s="9" t="s">
        <v>121</v>
      </c>
      <c r="C54" s="2" t="s">
        <v>119</v>
      </c>
      <c r="D54" s="8" t="s">
        <v>83</v>
      </c>
      <c r="E54" s="208">
        <v>54000</v>
      </c>
      <c r="F54" s="11"/>
    </row>
    <row r="55" spans="1:6" ht="25.5" customHeight="1">
      <c r="A55" s="8"/>
      <c r="B55" s="18" t="s">
        <v>96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122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501</v>
      </c>
      <c r="C58" s="10" t="s">
        <v>124</v>
      </c>
      <c r="D58" s="13" t="s">
        <v>100</v>
      </c>
      <c r="E58" s="208">
        <v>270000</v>
      </c>
      <c r="F58" s="11"/>
    </row>
    <row r="59" spans="1:6" ht="20.100000000000001" customHeight="1">
      <c r="A59" s="8">
        <v>2</v>
      </c>
      <c r="B59" s="9" t="s">
        <v>125</v>
      </c>
      <c r="C59" s="10" t="s">
        <v>126</v>
      </c>
      <c r="D59" s="13" t="s">
        <v>571</v>
      </c>
      <c r="E59" s="208">
        <v>126000</v>
      </c>
      <c r="F59" s="11"/>
    </row>
    <row r="60" spans="1:6" ht="20.100000000000001" customHeight="1">
      <c r="A60" s="8"/>
      <c r="B60" s="18" t="s">
        <v>96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128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129</v>
      </c>
      <c r="C63" s="15" t="s">
        <v>130</v>
      </c>
      <c r="D63" s="8" t="s">
        <v>100</v>
      </c>
      <c r="E63" s="208">
        <v>270000</v>
      </c>
      <c r="F63" s="11"/>
    </row>
    <row r="64" spans="1:6" ht="20.100000000000001" customHeight="1">
      <c r="A64" s="8">
        <v>2</v>
      </c>
      <c r="B64" s="16" t="s">
        <v>131</v>
      </c>
      <c r="C64" s="15" t="s">
        <v>132</v>
      </c>
      <c r="D64" s="13" t="s">
        <v>1018</v>
      </c>
      <c r="E64" s="208">
        <v>126000</v>
      </c>
      <c r="F64" s="11"/>
    </row>
    <row r="65" spans="1:6" ht="20.100000000000001" customHeight="1">
      <c r="A65" s="8">
        <v>3</v>
      </c>
      <c r="B65" s="9" t="s">
        <v>134</v>
      </c>
      <c r="C65" s="2" t="s">
        <v>167</v>
      </c>
      <c r="D65" s="8" t="s">
        <v>52</v>
      </c>
      <c r="E65" s="208">
        <v>90000</v>
      </c>
      <c r="F65" s="11"/>
    </row>
    <row r="66" spans="1:6" ht="20.100000000000001" customHeight="1">
      <c r="A66" s="8">
        <v>4</v>
      </c>
      <c r="B66" s="16" t="s">
        <v>487</v>
      </c>
      <c r="C66" s="15" t="s">
        <v>167</v>
      </c>
      <c r="D66" s="13" t="s">
        <v>1016</v>
      </c>
      <c r="E66" s="208">
        <v>90000</v>
      </c>
      <c r="F66" s="11"/>
    </row>
    <row r="67" spans="1:6" ht="20.100000000000001" customHeight="1">
      <c r="A67" s="8">
        <v>5</v>
      </c>
      <c r="B67" s="12" t="s">
        <v>517</v>
      </c>
      <c r="C67" s="15" t="s">
        <v>135</v>
      </c>
      <c r="D67" s="13" t="s">
        <v>224</v>
      </c>
      <c r="E67" s="208">
        <v>90000</v>
      </c>
      <c r="F67" s="11"/>
    </row>
    <row r="68" spans="1:6" ht="20.100000000000001" customHeight="1">
      <c r="A68" s="8">
        <v>6</v>
      </c>
      <c r="B68" s="12" t="s">
        <v>43</v>
      </c>
      <c r="C68" s="15" t="s">
        <v>135</v>
      </c>
      <c r="D68" s="13" t="s">
        <v>150</v>
      </c>
      <c r="E68" s="208">
        <v>90000</v>
      </c>
      <c r="F68" s="11"/>
    </row>
    <row r="69" spans="1:6" ht="20.100000000000001" customHeight="1">
      <c r="A69" s="8">
        <v>7</v>
      </c>
      <c r="B69" s="9" t="s">
        <v>136</v>
      </c>
      <c r="C69" s="2" t="s">
        <v>119</v>
      </c>
      <c r="D69" s="8" t="s">
        <v>65</v>
      </c>
      <c r="E69" s="208">
        <v>54000</v>
      </c>
      <c r="F69" s="11"/>
    </row>
    <row r="70" spans="1:6" ht="20.100000000000001" customHeight="1">
      <c r="A70" s="8">
        <v>8</v>
      </c>
      <c r="B70" s="9" t="s">
        <v>138</v>
      </c>
      <c r="C70" s="15" t="s">
        <v>67</v>
      </c>
      <c r="D70" s="13" t="s">
        <v>65</v>
      </c>
      <c r="E70" s="208">
        <v>54000</v>
      </c>
      <c r="F70" s="11"/>
    </row>
    <row r="71" spans="1:6" ht="20.100000000000001" customHeight="1">
      <c r="A71" s="8">
        <v>9</v>
      </c>
      <c r="B71" s="9" t="s">
        <v>139</v>
      </c>
      <c r="C71" s="15" t="s">
        <v>67</v>
      </c>
      <c r="D71" s="13" t="s">
        <v>65</v>
      </c>
      <c r="E71" s="208">
        <v>54000</v>
      </c>
      <c r="F71" s="11"/>
    </row>
    <row r="72" spans="1:6" ht="20.100000000000001" customHeight="1">
      <c r="A72" s="8">
        <v>10</v>
      </c>
      <c r="B72" s="9" t="s">
        <v>140</v>
      </c>
      <c r="C72" s="2" t="s">
        <v>141</v>
      </c>
      <c r="D72" s="8" t="s">
        <v>137</v>
      </c>
      <c r="E72" s="208">
        <v>54000</v>
      </c>
      <c r="F72" s="11"/>
    </row>
    <row r="73" spans="1:6" ht="20.100000000000001" customHeight="1">
      <c r="A73" s="8">
        <v>11</v>
      </c>
      <c r="B73" s="9" t="s">
        <v>1181</v>
      </c>
      <c r="C73" s="15" t="s">
        <v>119</v>
      </c>
      <c r="D73" s="8" t="s">
        <v>104</v>
      </c>
      <c r="E73" s="208">
        <v>54000</v>
      </c>
      <c r="F73" s="11"/>
    </row>
    <row r="74" spans="1:6" ht="20.100000000000001" customHeight="1">
      <c r="A74" s="8">
        <v>12</v>
      </c>
      <c r="B74" s="9" t="s">
        <v>77</v>
      </c>
      <c r="C74" s="15" t="s">
        <v>64</v>
      </c>
      <c r="D74" s="8" t="s">
        <v>80</v>
      </c>
      <c r="E74" s="208">
        <v>54000</v>
      </c>
      <c r="F74" s="11"/>
    </row>
    <row r="75" spans="1:6" ht="20.100000000000001" customHeight="1">
      <c r="A75" s="8">
        <v>13</v>
      </c>
      <c r="B75" s="12" t="s">
        <v>63</v>
      </c>
      <c r="C75" s="15" t="s">
        <v>64</v>
      </c>
      <c r="D75" s="8" t="s">
        <v>92</v>
      </c>
      <c r="E75" s="208">
        <v>54000</v>
      </c>
      <c r="F75" s="11"/>
    </row>
    <row r="76" spans="1:6" ht="20.100000000000001" customHeight="1">
      <c r="A76" s="8"/>
      <c r="B76" s="18" t="s">
        <v>96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143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144</v>
      </c>
      <c r="C79" s="2" t="s">
        <v>145</v>
      </c>
      <c r="D79" s="8" t="s">
        <v>100</v>
      </c>
      <c r="E79" s="208">
        <v>270000</v>
      </c>
      <c r="F79" s="11"/>
    </row>
    <row r="80" spans="1:6" ht="20.100000000000001" customHeight="1">
      <c r="A80" s="8">
        <v>2</v>
      </c>
      <c r="B80" s="12" t="s">
        <v>518</v>
      </c>
      <c r="C80" s="2" t="s">
        <v>570</v>
      </c>
      <c r="D80" s="13" t="s">
        <v>1018</v>
      </c>
      <c r="E80" s="208">
        <v>126000</v>
      </c>
      <c r="F80" s="11"/>
    </row>
    <row r="81" spans="1:6" ht="20.100000000000001" customHeight="1">
      <c r="A81" s="8">
        <v>3</v>
      </c>
      <c r="B81" s="12" t="s">
        <v>1182</v>
      </c>
      <c r="C81" s="2" t="s">
        <v>1183</v>
      </c>
      <c r="D81" s="13" t="s">
        <v>1018</v>
      </c>
      <c r="E81" s="208">
        <v>126000</v>
      </c>
      <c r="F81" s="11"/>
    </row>
    <row r="82" spans="1:6" ht="20.100000000000001" customHeight="1">
      <c r="A82" s="8">
        <v>4</v>
      </c>
      <c r="B82" s="9" t="s">
        <v>148</v>
      </c>
      <c r="C82" s="2" t="s">
        <v>1034</v>
      </c>
      <c r="D82" s="13" t="s">
        <v>52</v>
      </c>
      <c r="E82" s="208">
        <v>90000</v>
      </c>
      <c r="F82" s="11"/>
    </row>
    <row r="83" spans="1:6" ht="20.100000000000001" customHeight="1">
      <c r="A83" s="8">
        <v>5</v>
      </c>
      <c r="B83" s="9" t="s">
        <v>151</v>
      </c>
      <c r="C83" s="2" t="s">
        <v>154</v>
      </c>
      <c r="D83" s="8" t="s">
        <v>104</v>
      </c>
      <c r="E83" s="208">
        <v>54000</v>
      </c>
      <c r="F83" s="11"/>
    </row>
    <row r="84" spans="1:6" ht="20.100000000000001" customHeight="1">
      <c r="A84" s="8"/>
      <c r="B84" s="18" t="s">
        <v>96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157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158</v>
      </c>
      <c r="C87" s="2" t="s">
        <v>114</v>
      </c>
      <c r="D87" s="8" t="s">
        <v>36</v>
      </c>
      <c r="E87" s="208">
        <v>126000</v>
      </c>
      <c r="F87" s="11"/>
    </row>
    <row r="88" spans="1:6" ht="20.100000000000001" customHeight="1">
      <c r="A88" s="8">
        <v>2</v>
      </c>
      <c r="B88" s="9" t="s">
        <v>159</v>
      </c>
      <c r="C88" s="2" t="s">
        <v>114</v>
      </c>
      <c r="D88" s="8" t="s">
        <v>36</v>
      </c>
      <c r="E88" s="208">
        <v>126000</v>
      </c>
      <c r="F88" s="11"/>
    </row>
    <row r="89" spans="1:6" ht="20.100000000000001" customHeight="1">
      <c r="A89" s="8">
        <v>3</v>
      </c>
      <c r="B89" s="12" t="s">
        <v>203</v>
      </c>
      <c r="C89" s="2" t="s">
        <v>135</v>
      </c>
      <c r="D89" s="8" t="s">
        <v>42</v>
      </c>
      <c r="E89" s="208">
        <v>90000</v>
      </c>
      <c r="F89" s="11"/>
    </row>
    <row r="90" spans="1:6" ht="20.100000000000001" customHeight="1">
      <c r="A90" s="8">
        <v>4</v>
      </c>
      <c r="B90" s="9" t="s">
        <v>160</v>
      </c>
      <c r="C90" s="2" t="s">
        <v>46</v>
      </c>
      <c r="D90" s="8" t="s">
        <v>224</v>
      </c>
      <c r="E90" s="208">
        <v>90000</v>
      </c>
      <c r="F90" s="11"/>
    </row>
    <row r="91" spans="1:6" ht="21.6" customHeight="1">
      <c r="A91" s="8">
        <v>5</v>
      </c>
      <c r="B91" s="9" t="s">
        <v>161</v>
      </c>
      <c r="C91" s="2" t="s">
        <v>458</v>
      </c>
      <c r="D91" s="13" t="s">
        <v>52</v>
      </c>
      <c r="E91" s="208">
        <v>90000</v>
      </c>
      <c r="F91" s="11"/>
    </row>
    <row r="92" spans="1:6" ht="21.6" customHeight="1">
      <c r="A92" s="8">
        <v>6</v>
      </c>
      <c r="B92" s="9" t="s">
        <v>162</v>
      </c>
      <c r="C92" s="10" t="s">
        <v>167</v>
      </c>
      <c r="D92" s="13" t="s">
        <v>1016</v>
      </c>
      <c r="E92" s="208">
        <v>90000</v>
      </c>
      <c r="F92" s="11"/>
    </row>
    <row r="93" spans="1:6" ht="21.6" customHeight="1">
      <c r="A93" s="8">
        <v>7</v>
      </c>
      <c r="B93" s="9" t="s">
        <v>163</v>
      </c>
      <c r="C93" s="10" t="s">
        <v>167</v>
      </c>
      <c r="D93" s="13" t="s">
        <v>1016</v>
      </c>
      <c r="E93" s="208">
        <v>90000</v>
      </c>
      <c r="F93" s="11"/>
    </row>
    <row r="94" spans="1:6" ht="21.6" customHeight="1">
      <c r="A94" s="8">
        <v>8</v>
      </c>
      <c r="B94" s="9" t="s">
        <v>165</v>
      </c>
      <c r="C94" s="15" t="s">
        <v>67</v>
      </c>
      <c r="D94" s="13" t="s">
        <v>65</v>
      </c>
      <c r="E94" s="208">
        <v>54000</v>
      </c>
      <c r="F94" s="11"/>
    </row>
    <row r="95" spans="1:6" ht="21.6" customHeight="1">
      <c r="A95" s="8">
        <v>9</v>
      </c>
      <c r="B95" s="9" t="s">
        <v>169</v>
      </c>
      <c r="C95" s="2" t="s">
        <v>170</v>
      </c>
      <c r="D95" s="8" t="s">
        <v>70</v>
      </c>
      <c r="E95" s="208">
        <v>54000</v>
      </c>
      <c r="F95" s="11"/>
    </row>
    <row r="96" spans="1:6" ht="21.6" customHeight="1">
      <c r="A96" s="8">
        <v>10</v>
      </c>
      <c r="B96" s="9" t="s">
        <v>171</v>
      </c>
      <c r="C96" s="15" t="s">
        <v>172</v>
      </c>
      <c r="D96" s="13" t="s">
        <v>92</v>
      </c>
      <c r="E96" s="208">
        <v>54000</v>
      </c>
      <c r="F96" s="11"/>
    </row>
    <row r="97" spans="1:6" ht="20.100000000000001" customHeight="1">
      <c r="A97" s="8"/>
      <c r="B97" s="18" t="s">
        <v>96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174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574</v>
      </c>
      <c r="C100" s="8" t="s">
        <v>575</v>
      </c>
      <c r="D100" s="13" t="s">
        <v>112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37</v>
      </c>
      <c r="C101" s="2" t="s">
        <v>179</v>
      </c>
      <c r="D101" s="8" t="s">
        <v>224</v>
      </c>
      <c r="E101" s="208">
        <v>90000</v>
      </c>
      <c r="F101" s="11"/>
    </row>
    <row r="102" spans="1:6" ht="20.100000000000001" customHeight="1">
      <c r="A102" s="8">
        <v>3</v>
      </c>
      <c r="B102" s="9" t="s">
        <v>182</v>
      </c>
      <c r="C102" s="2" t="s">
        <v>183</v>
      </c>
      <c r="D102" s="13" t="s">
        <v>137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1184</v>
      </c>
      <c r="C103" s="2" t="s">
        <v>1185</v>
      </c>
      <c r="D103" s="13" t="s">
        <v>1011</v>
      </c>
      <c r="E103" s="208">
        <v>54000</v>
      </c>
      <c r="F103" s="11"/>
    </row>
    <row r="104" spans="1:6" ht="20.100000000000001" customHeight="1">
      <c r="A104" s="2"/>
      <c r="B104" s="18" t="s">
        <v>96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186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187</v>
      </c>
      <c r="C107" s="10" t="s">
        <v>188</v>
      </c>
      <c r="D107" s="13" t="s">
        <v>100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189</v>
      </c>
      <c r="C108" s="2" t="s">
        <v>190</v>
      </c>
      <c r="D108" s="14" t="s">
        <v>112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192</v>
      </c>
      <c r="C109" s="2" t="s">
        <v>193</v>
      </c>
      <c r="D109" s="8" t="s">
        <v>194</v>
      </c>
      <c r="E109" s="208">
        <v>90000</v>
      </c>
      <c r="F109" s="11"/>
    </row>
    <row r="110" spans="1:6" ht="20.100000000000001" customHeight="1">
      <c r="A110" s="2">
        <v>4</v>
      </c>
      <c r="B110" s="9" t="s">
        <v>195</v>
      </c>
      <c r="C110" s="2" t="s">
        <v>193</v>
      </c>
      <c r="D110" s="8" t="s">
        <v>194</v>
      </c>
      <c r="E110" s="208">
        <v>90000</v>
      </c>
      <c r="F110" s="11"/>
    </row>
    <row r="111" spans="1:6" ht="20.100000000000001" customHeight="1">
      <c r="A111" s="2">
        <v>5</v>
      </c>
      <c r="B111" s="9" t="s">
        <v>196</v>
      </c>
      <c r="C111" s="2" t="s">
        <v>197</v>
      </c>
      <c r="D111" s="13" t="s">
        <v>200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199</v>
      </c>
      <c r="C112" s="2" t="s">
        <v>197</v>
      </c>
      <c r="D112" s="8" t="s">
        <v>1011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201</v>
      </c>
      <c r="C113" s="2" t="s">
        <v>197</v>
      </c>
      <c r="D113" s="13" t="s">
        <v>92</v>
      </c>
      <c r="E113" s="208">
        <v>54000</v>
      </c>
      <c r="F113" s="11"/>
    </row>
    <row r="114" spans="1:6" ht="20.100000000000001" customHeight="1">
      <c r="A114" s="2"/>
      <c r="B114" s="18" t="s">
        <v>96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1191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1099</v>
      </c>
      <c r="C117" s="15" t="s">
        <v>67</v>
      </c>
      <c r="D117" s="13" t="s">
        <v>62</v>
      </c>
      <c r="E117" s="208">
        <v>54000</v>
      </c>
      <c r="F117" s="11"/>
    </row>
    <row r="118" spans="1:6" ht="27" customHeight="1">
      <c r="A118" s="8">
        <v>2</v>
      </c>
      <c r="B118" s="9" t="s">
        <v>204</v>
      </c>
      <c r="C118" s="2" t="s">
        <v>205</v>
      </c>
      <c r="D118" s="13" t="s">
        <v>137</v>
      </c>
      <c r="E118" s="208">
        <v>54000</v>
      </c>
      <c r="F118" s="11"/>
    </row>
    <row r="119" spans="1:6" ht="27" customHeight="1">
      <c r="A119" s="2"/>
      <c r="B119" s="18" t="s">
        <v>96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215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218</v>
      </c>
      <c r="C123" s="10" t="s">
        <v>221</v>
      </c>
      <c r="D123" s="13" t="s">
        <v>36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220</v>
      </c>
      <c r="C124" s="10" t="s">
        <v>221</v>
      </c>
      <c r="D124" s="13" t="s">
        <v>36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521</v>
      </c>
      <c r="C125" s="10" t="s">
        <v>221</v>
      </c>
      <c r="D125" s="13" t="s">
        <v>39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222</v>
      </c>
      <c r="C126" s="10" t="s">
        <v>223</v>
      </c>
      <c r="D126" s="13" t="s">
        <v>150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225</v>
      </c>
      <c r="C127" s="10" t="s">
        <v>226</v>
      </c>
      <c r="D127" s="13" t="s">
        <v>52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227</v>
      </c>
      <c r="C128" s="10" t="s">
        <v>1036</v>
      </c>
      <c r="D128" s="13" t="s">
        <v>52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228</v>
      </c>
      <c r="C129" s="10" t="s">
        <v>229</v>
      </c>
      <c r="D129" s="8" t="s">
        <v>80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230</v>
      </c>
      <c r="C130" s="10" t="s">
        <v>231</v>
      </c>
      <c r="D130" s="13" t="s">
        <v>92</v>
      </c>
      <c r="E130" s="208">
        <v>54000</v>
      </c>
      <c r="F130" s="11"/>
    </row>
    <row r="131" spans="1:6" ht="20.100000000000001" customHeight="1">
      <c r="A131" s="2"/>
      <c r="B131" s="18" t="s">
        <v>96</v>
      </c>
      <c r="C131" s="24" t="s">
        <v>1186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236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237</v>
      </c>
      <c r="C134" s="10" t="s">
        <v>238</v>
      </c>
      <c r="D134" s="13" t="s">
        <v>100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522</v>
      </c>
      <c r="C135" s="10" t="s">
        <v>573</v>
      </c>
      <c r="D135" s="13" t="s">
        <v>191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239</v>
      </c>
      <c r="C136" s="2" t="s">
        <v>240</v>
      </c>
      <c r="D136" s="14" t="s">
        <v>112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241</v>
      </c>
      <c r="C137" s="10" t="s">
        <v>580</v>
      </c>
      <c r="D137" s="13" t="s">
        <v>224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243</v>
      </c>
      <c r="C138" s="2" t="s">
        <v>581</v>
      </c>
      <c r="D138" s="13" t="s">
        <v>224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178</v>
      </c>
      <c r="C139" s="2" t="s">
        <v>583</v>
      </c>
      <c r="D139" s="13" t="s">
        <v>52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180</v>
      </c>
      <c r="C140" s="10" t="s">
        <v>582</v>
      </c>
      <c r="D140" s="13" t="s">
        <v>62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246</v>
      </c>
      <c r="C141" s="10" t="s">
        <v>582</v>
      </c>
      <c r="D141" s="13" t="s">
        <v>62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247</v>
      </c>
      <c r="C142" s="2" t="s">
        <v>583</v>
      </c>
      <c r="D142" s="13" t="s">
        <v>62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249</v>
      </c>
      <c r="C143" s="10" t="s">
        <v>254</v>
      </c>
      <c r="D143" s="13" t="s">
        <v>137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251</v>
      </c>
      <c r="C144" s="10" t="s">
        <v>1038</v>
      </c>
      <c r="D144" s="13" t="s">
        <v>585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253</v>
      </c>
      <c r="C145" s="10" t="s">
        <v>254</v>
      </c>
      <c r="D145" s="13" t="s">
        <v>62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256</v>
      </c>
      <c r="C146" s="2" t="s">
        <v>264</v>
      </c>
      <c r="D146" s="13" t="s">
        <v>585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258</v>
      </c>
      <c r="C147" s="2" t="s">
        <v>584</v>
      </c>
      <c r="D147" s="13" t="s">
        <v>104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259</v>
      </c>
      <c r="C148" s="2" t="s">
        <v>584</v>
      </c>
      <c r="D148" s="13" t="s">
        <v>267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260</v>
      </c>
      <c r="C149" s="2" t="s">
        <v>584</v>
      </c>
      <c r="D149" s="13" t="s">
        <v>267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261</v>
      </c>
      <c r="C150" s="10" t="s">
        <v>262</v>
      </c>
      <c r="D150" s="13" t="s">
        <v>70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1019</v>
      </c>
      <c r="C151" s="10" t="s">
        <v>264</v>
      </c>
      <c r="D151" s="8" t="s">
        <v>83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265</v>
      </c>
      <c r="C152" s="10" t="s">
        <v>266</v>
      </c>
      <c r="D152" s="13" t="s">
        <v>104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268</v>
      </c>
      <c r="C153" s="10" t="s">
        <v>269</v>
      </c>
      <c r="D153" s="13" t="s">
        <v>80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270</v>
      </c>
      <c r="C154" s="10" t="s">
        <v>271</v>
      </c>
      <c r="D154" s="13" t="s">
        <v>104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272</v>
      </c>
      <c r="C155" s="10" t="s">
        <v>273</v>
      </c>
      <c r="D155" s="13" t="s">
        <v>80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274</v>
      </c>
      <c r="C156" s="10" t="s">
        <v>280</v>
      </c>
      <c r="D156" s="13" t="s">
        <v>1011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277</v>
      </c>
      <c r="C157" s="10" t="s">
        <v>278</v>
      </c>
      <c r="D157" s="13" t="s">
        <v>95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279</v>
      </c>
      <c r="C158" s="10" t="s">
        <v>280</v>
      </c>
      <c r="D158" s="13" t="s">
        <v>95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281</v>
      </c>
      <c r="C159" s="10" t="s">
        <v>282</v>
      </c>
      <c r="D159" s="13" t="s">
        <v>92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283</v>
      </c>
      <c r="C160" s="10" t="s">
        <v>284</v>
      </c>
      <c r="D160" s="13" t="s">
        <v>92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289</v>
      </c>
      <c r="C161" s="10" t="s">
        <v>290</v>
      </c>
      <c r="D161" s="13" t="s">
        <v>297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292</v>
      </c>
      <c r="C162" s="10" t="s">
        <v>290</v>
      </c>
      <c r="D162" s="13" t="s">
        <v>297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293</v>
      </c>
      <c r="C163" s="10" t="s">
        <v>290</v>
      </c>
      <c r="D163" s="13" t="s">
        <v>297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294</v>
      </c>
      <c r="C164" s="10" t="s">
        <v>290</v>
      </c>
      <c r="D164" s="13" t="s">
        <v>297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295</v>
      </c>
      <c r="C165" s="10" t="s">
        <v>290</v>
      </c>
      <c r="D165" s="13" t="s">
        <v>297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296</v>
      </c>
      <c r="C166" s="10" t="s">
        <v>290</v>
      </c>
      <c r="D166" s="13" t="s">
        <v>308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298</v>
      </c>
      <c r="C167" s="10" t="s">
        <v>290</v>
      </c>
      <c r="D167" s="13" t="s">
        <v>308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299</v>
      </c>
      <c r="C168" s="10" t="s">
        <v>290</v>
      </c>
      <c r="D168" s="13" t="s">
        <v>308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300</v>
      </c>
      <c r="C169" s="10" t="s">
        <v>290</v>
      </c>
      <c r="D169" s="13" t="s">
        <v>308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301</v>
      </c>
      <c r="C170" s="10" t="s">
        <v>290</v>
      </c>
      <c r="D170" s="13" t="s">
        <v>308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302</v>
      </c>
      <c r="C171" s="10" t="s">
        <v>290</v>
      </c>
      <c r="D171" s="13" t="s">
        <v>308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303</v>
      </c>
      <c r="C172" s="10" t="s">
        <v>310</v>
      </c>
      <c r="D172" s="13" t="s">
        <v>311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306</v>
      </c>
      <c r="C173" s="10" t="s">
        <v>310</v>
      </c>
      <c r="D173" s="13" t="s">
        <v>311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307</v>
      </c>
      <c r="C174" s="10" t="s">
        <v>310</v>
      </c>
      <c r="D174" s="13" t="s">
        <v>1014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309</v>
      </c>
      <c r="C175" s="10" t="s">
        <v>310</v>
      </c>
      <c r="D175" s="13" t="s">
        <v>1020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312</v>
      </c>
      <c r="C176" s="10" t="s">
        <v>313</v>
      </c>
      <c r="D176" s="13" t="s">
        <v>1021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315</v>
      </c>
      <c r="C177" s="10" t="s">
        <v>313</v>
      </c>
      <c r="D177" s="13" t="s">
        <v>1021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316</v>
      </c>
      <c r="C178" s="10" t="s">
        <v>313</v>
      </c>
      <c r="D178" s="13" t="s">
        <v>1021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317</v>
      </c>
      <c r="C179" s="10" t="s">
        <v>313</v>
      </c>
      <c r="D179" s="13" t="s">
        <v>1021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318</v>
      </c>
      <c r="C180" s="10" t="s">
        <v>313</v>
      </c>
      <c r="D180" s="13" t="s">
        <v>1021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319</v>
      </c>
      <c r="C181" s="10" t="s">
        <v>313</v>
      </c>
      <c r="D181" s="13" t="s">
        <v>1021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320</v>
      </c>
      <c r="C182" s="10" t="s">
        <v>313</v>
      </c>
      <c r="D182" s="13" t="s">
        <v>1021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321</v>
      </c>
      <c r="C183" s="10" t="s">
        <v>310</v>
      </c>
      <c r="D183" s="13" t="s">
        <v>1021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322</v>
      </c>
      <c r="C184" s="10" t="s">
        <v>310</v>
      </c>
      <c r="D184" s="13" t="s">
        <v>1021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323</v>
      </c>
      <c r="C185" s="10" t="s">
        <v>313</v>
      </c>
      <c r="D185" s="13" t="s">
        <v>1039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328</v>
      </c>
      <c r="C186" s="10" t="s">
        <v>313</v>
      </c>
      <c r="D186" s="13" t="s">
        <v>1022</v>
      </c>
      <c r="E186" s="208">
        <v>36000</v>
      </c>
      <c r="F186" s="11"/>
    </row>
    <row r="187" spans="1:6" ht="20.100000000000001" customHeight="1">
      <c r="A187" s="25"/>
      <c r="B187" s="6" t="s">
        <v>96</v>
      </c>
      <c r="C187" s="26" t="s">
        <v>1190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339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793" t="s">
        <v>0</v>
      </c>
      <c r="B1" s="793"/>
      <c r="C1" s="793"/>
      <c r="D1" s="793"/>
    </row>
    <row r="2" spans="1:9" ht="33.75" customHeight="1">
      <c r="A2" s="61" t="s">
        <v>1192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589</v>
      </c>
      <c r="F4" s="22" t="s">
        <v>453</v>
      </c>
      <c r="G4" s="65" t="s">
        <v>1193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196" t="s">
        <v>19</v>
      </c>
      <c r="G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1082</v>
      </c>
      <c r="C7" s="2" t="s">
        <v>1172</v>
      </c>
      <c r="D7" s="8" t="s">
        <v>191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1173</v>
      </c>
      <c r="C8" s="2" t="s">
        <v>1174</v>
      </c>
      <c r="D8" s="8" t="s">
        <v>191</v>
      </c>
      <c r="E8" s="70">
        <f>116473.51</f>
        <v>116473.51</v>
      </c>
      <c r="F8" s="197">
        <v>119107.951418667</v>
      </c>
      <c r="G8" s="70">
        <f t="shared" ref="G8:G36" si="0">F8-E8</f>
        <v>2634.44141866668</v>
      </c>
      <c r="H8" s="11"/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79993.51</f>
        <v>79993.509999999995</v>
      </c>
      <c r="F9" s="197">
        <v>82627.951418666693</v>
      </c>
      <c r="G9" s="70">
        <f t="shared" si="0"/>
        <v>2634.44141866668</v>
      </c>
      <c r="H9" s="11"/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112</v>
      </c>
      <c r="E10" s="70">
        <f>107095.69</f>
        <v>107095.69</v>
      </c>
      <c r="F10" s="197">
        <v>109730.053370667</v>
      </c>
      <c r="G10" s="70">
        <f t="shared" si="0"/>
        <v>2634.3633706666401</v>
      </c>
      <c r="H10" s="11"/>
      <c r="I10" s="11"/>
    </row>
    <row r="11" spans="1:9" ht="20.100000000000001" customHeight="1">
      <c r="A11" s="8">
        <v>6</v>
      </c>
      <c r="B11" s="12" t="s">
        <v>175</v>
      </c>
      <c r="C11" s="2" t="s">
        <v>1084</v>
      </c>
      <c r="D11" s="14" t="s">
        <v>112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112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32</v>
      </c>
      <c r="C13" s="2" t="s">
        <v>33</v>
      </c>
      <c r="D13" s="14" t="s">
        <v>112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34</v>
      </c>
      <c r="C14" s="10" t="s">
        <v>35</v>
      </c>
      <c r="D14" s="13" t="s">
        <v>36</v>
      </c>
      <c r="E14" s="70">
        <f>64436.1</f>
        <v>64436.1</v>
      </c>
      <c r="F14" s="197">
        <v>64436.103146666697</v>
      </c>
      <c r="G14" s="70">
        <f t="shared" si="0"/>
        <v>3.1466666623600802E-3</v>
      </c>
      <c r="H14" s="11"/>
      <c r="I14" s="11"/>
    </row>
    <row r="15" spans="1:9" ht="20.100000000000001" customHeight="1">
      <c r="A15" s="8">
        <v>10</v>
      </c>
      <c r="B15" s="16" t="s">
        <v>519</v>
      </c>
      <c r="C15" s="10" t="s">
        <v>572</v>
      </c>
      <c r="D15" s="8" t="s">
        <v>571</v>
      </c>
      <c r="E15" s="70">
        <f>60212.92</f>
        <v>60212.92</v>
      </c>
      <c r="F15" s="197">
        <v>62404.980266666702</v>
      </c>
      <c r="G15" s="70">
        <f t="shared" si="0"/>
        <v>2192.06026666666</v>
      </c>
      <c r="H15" s="11"/>
      <c r="I15" s="11"/>
    </row>
    <row r="16" spans="1:9" ht="20.100000000000001" customHeight="1">
      <c r="A16" s="8">
        <v>11</v>
      </c>
      <c r="B16" s="17" t="s">
        <v>1175</v>
      </c>
      <c r="C16" s="2" t="s">
        <v>1176</v>
      </c>
      <c r="D16" s="14" t="s">
        <v>224</v>
      </c>
      <c r="E16" s="70">
        <f>52638.9</f>
        <v>52638.9</v>
      </c>
      <c r="F16" s="197">
        <v>54186.609434666701</v>
      </c>
      <c r="G16" s="70">
        <f t="shared" si="0"/>
        <v>1547.7094346666699</v>
      </c>
      <c r="H16" s="11"/>
      <c r="I16" s="11"/>
    </row>
    <row r="17" spans="1:9" ht="19.5" customHeight="1">
      <c r="A17" s="8">
        <v>12</v>
      </c>
      <c r="B17" s="12" t="s">
        <v>1085</v>
      </c>
      <c r="C17" s="2" t="s">
        <v>41</v>
      </c>
      <c r="D17" s="8" t="s">
        <v>224</v>
      </c>
      <c r="E17" s="70">
        <f>43380</f>
        <v>43380</v>
      </c>
      <c r="F17" s="197">
        <v>44734.339388666704</v>
      </c>
      <c r="G17" s="70">
        <f t="shared" si="0"/>
        <v>1354.3393886666499</v>
      </c>
      <c r="H17" s="11"/>
      <c r="I17" s="11"/>
    </row>
    <row r="18" spans="1:9" ht="19.5" customHeight="1">
      <c r="A18" s="8">
        <v>13</v>
      </c>
      <c r="B18" s="12" t="s">
        <v>1177</v>
      </c>
      <c r="C18" s="2" t="s">
        <v>1178</v>
      </c>
      <c r="D18" s="8" t="s">
        <v>224</v>
      </c>
      <c r="E18" s="70">
        <f>85278.9</f>
        <v>85278.9</v>
      </c>
      <c r="F18" s="197">
        <v>86826.609434666694</v>
      </c>
      <c r="G18" s="70">
        <f t="shared" si="0"/>
        <v>1547.7094346666599</v>
      </c>
      <c r="H18" s="11"/>
      <c r="I18" s="11"/>
    </row>
    <row r="19" spans="1:9" ht="20.100000000000001" customHeight="1">
      <c r="A19" s="8">
        <v>14</v>
      </c>
      <c r="B19" s="9" t="s">
        <v>40</v>
      </c>
      <c r="C19" s="2" t="s">
        <v>41</v>
      </c>
      <c r="D19" s="13" t="s">
        <v>224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1016</v>
      </c>
      <c r="E20" s="70">
        <f>46673.26</f>
        <v>46673.26</v>
      </c>
      <c r="F20" s="197">
        <v>46666.666666666701</v>
      </c>
      <c r="G20" s="70">
        <f t="shared" si="0"/>
        <v>-6.5933333333378004</v>
      </c>
      <c r="H20" s="11"/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1017</v>
      </c>
      <c r="E21" s="70">
        <f>63364.81</f>
        <v>63364.81</v>
      </c>
      <c r="F21" s="197">
        <v>64913.263658666699</v>
      </c>
      <c r="G21" s="70">
        <f t="shared" si="0"/>
        <v>1548.45365866666</v>
      </c>
      <c r="H21" s="11"/>
      <c r="I21" s="11"/>
    </row>
    <row r="22" spans="1:9" ht="20.100000000000001" customHeight="1">
      <c r="A22" s="8">
        <v>17</v>
      </c>
      <c r="B22" s="9" t="s">
        <v>206</v>
      </c>
      <c r="C22" s="10" t="s">
        <v>579</v>
      </c>
      <c r="D22" s="13" t="s">
        <v>62</v>
      </c>
      <c r="E22" s="70">
        <f>31848.56</f>
        <v>31848.560000000001</v>
      </c>
      <c r="F22" s="197">
        <v>34871.967414666702</v>
      </c>
      <c r="G22" s="70">
        <f t="shared" si="0"/>
        <v>3023.4074146666599</v>
      </c>
      <c r="H22" s="11"/>
      <c r="I22" s="11"/>
    </row>
    <row r="23" spans="1:9" ht="18.75" customHeight="1">
      <c r="A23" s="8">
        <v>18</v>
      </c>
      <c r="B23" s="9" t="s">
        <v>60</v>
      </c>
      <c r="C23" s="10" t="s">
        <v>61</v>
      </c>
      <c r="D23" s="13" t="s">
        <v>137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204</v>
      </c>
      <c r="C24" s="2" t="s">
        <v>205</v>
      </c>
      <c r="D24" s="13" t="s">
        <v>137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256</v>
      </c>
      <c r="C25" s="2" t="s">
        <v>1194</v>
      </c>
      <c r="D25" s="13" t="s">
        <v>585</v>
      </c>
      <c r="E25" s="70">
        <f>27105.99</f>
        <v>27105.99</v>
      </c>
      <c r="F25" s="197">
        <v>27873.079686666701</v>
      </c>
      <c r="G25" s="70">
        <f t="shared" si="0"/>
        <v>767.08968666666306</v>
      </c>
      <c r="H25" s="11"/>
      <c r="I25" s="11"/>
    </row>
    <row r="26" spans="1:9" ht="18.75" customHeight="1">
      <c r="A26" s="8">
        <v>21</v>
      </c>
      <c r="B26" s="16" t="s">
        <v>1179</v>
      </c>
      <c r="C26" s="10" t="s">
        <v>91</v>
      </c>
      <c r="D26" s="13" t="s">
        <v>267</v>
      </c>
      <c r="E26" s="186">
        <f>26339.08</f>
        <v>26339.08</v>
      </c>
      <c r="F26" s="197">
        <v>27105.986562666702</v>
      </c>
      <c r="G26" s="70">
        <f t="shared" si="0"/>
        <v>766.90656266666701</v>
      </c>
      <c r="H26" s="11"/>
      <c r="I26" s="11"/>
    </row>
    <row r="27" spans="1:9" ht="18.75" customHeight="1">
      <c r="A27" s="8">
        <v>22</v>
      </c>
      <c r="B27" s="2" t="s">
        <v>73</v>
      </c>
      <c r="C27" s="2" t="s">
        <v>74</v>
      </c>
      <c r="D27" s="8" t="s">
        <v>80</v>
      </c>
      <c r="E27" s="70">
        <v>21640.95</v>
      </c>
      <c r="F27" s="197">
        <v>21640.952862666702</v>
      </c>
      <c r="G27" s="70">
        <f t="shared" si="0"/>
        <v>2.86266666807933E-3</v>
      </c>
      <c r="H27" s="11"/>
      <c r="I27" s="11"/>
    </row>
    <row r="28" spans="1:9" ht="18.75" customHeight="1">
      <c r="A28" s="8">
        <v>23</v>
      </c>
      <c r="B28" s="16" t="s">
        <v>76</v>
      </c>
      <c r="C28" s="10" t="s">
        <v>74</v>
      </c>
      <c r="D28" s="13" t="s">
        <v>80</v>
      </c>
      <c r="E28" s="70">
        <f>21640.95</f>
        <v>21640.95</v>
      </c>
      <c r="F28" s="197">
        <v>22338.4826046667</v>
      </c>
      <c r="G28" s="70">
        <f t="shared" si="0"/>
        <v>697.53260466665995</v>
      </c>
      <c r="H28" s="11"/>
      <c r="I28" s="11"/>
    </row>
    <row r="29" spans="1:9" ht="18.75" customHeight="1">
      <c r="A29" s="8">
        <v>24</v>
      </c>
      <c r="B29" s="9" t="s">
        <v>1086</v>
      </c>
      <c r="C29" s="10" t="s">
        <v>1087</v>
      </c>
      <c r="D29" s="13" t="s">
        <v>80</v>
      </c>
      <c r="E29" s="70">
        <v>21640.95</v>
      </c>
      <c r="F29" s="197">
        <v>22338.4826046667</v>
      </c>
      <c r="G29" s="70">
        <f t="shared" si="0"/>
        <v>697.53260466665995</v>
      </c>
      <c r="H29" s="11"/>
      <c r="I29" s="11"/>
    </row>
    <row r="30" spans="1:9" ht="18.75" customHeight="1">
      <c r="A30" s="8">
        <v>25</v>
      </c>
      <c r="B30" s="16" t="s">
        <v>78</v>
      </c>
      <c r="C30" s="10" t="s">
        <v>1033</v>
      </c>
      <c r="D30" s="13" t="s">
        <v>1195</v>
      </c>
      <c r="E30" s="70">
        <f>17572.89</f>
        <v>17572.89</v>
      </c>
      <c r="F30" s="197">
        <v>18102.902732666698</v>
      </c>
      <c r="G30" s="70">
        <f t="shared" si="0"/>
        <v>530.01273266666601</v>
      </c>
      <c r="H30" s="11"/>
      <c r="I30" s="11"/>
    </row>
    <row r="31" spans="1:9" ht="18.75" customHeight="1">
      <c r="A31" s="8">
        <v>26</v>
      </c>
      <c r="B31" s="9" t="s">
        <v>184</v>
      </c>
      <c r="C31" s="15" t="s">
        <v>1196</v>
      </c>
      <c r="D31" s="13" t="s">
        <v>1011</v>
      </c>
      <c r="E31" s="186">
        <f>17572.89</f>
        <v>17572.89</v>
      </c>
      <c r="F31" s="197">
        <v>18102.902732666698</v>
      </c>
      <c r="G31" s="70">
        <f t="shared" si="0"/>
        <v>530.01273266666601</v>
      </c>
      <c r="H31" s="11"/>
      <c r="I31" s="11"/>
    </row>
    <row r="32" spans="1:9" ht="18.75" customHeight="1">
      <c r="A32" s="8">
        <v>27</v>
      </c>
      <c r="B32" s="16" t="s">
        <v>81</v>
      </c>
      <c r="C32" s="2" t="s">
        <v>1088</v>
      </c>
      <c r="D32" s="8" t="s">
        <v>1011</v>
      </c>
      <c r="E32" s="70">
        <f>17572.89</f>
        <v>17572.89</v>
      </c>
      <c r="F32" s="197">
        <v>18102.902732666698</v>
      </c>
      <c r="G32" s="70">
        <f t="shared" si="0"/>
        <v>530.01273266666601</v>
      </c>
      <c r="H32" s="11"/>
      <c r="I32" s="11"/>
    </row>
    <row r="33" spans="1:9" ht="18.75" customHeight="1">
      <c r="A33" s="8">
        <v>28</v>
      </c>
      <c r="B33" s="16" t="s">
        <v>85</v>
      </c>
      <c r="C33" s="15" t="s">
        <v>86</v>
      </c>
      <c r="D33" s="13" t="s">
        <v>80</v>
      </c>
      <c r="E33" s="186">
        <v>21640.95</v>
      </c>
      <c r="F33" s="197">
        <v>22338.4826046667</v>
      </c>
      <c r="G33" s="70">
        <f t="shared" si="0"/>
        <v>697.53260466665995</v>
      </c>
      <c r="H33" s="11"/>
      <c r="I33" s="11"/>
    </row>
    <row r="34" spans="1:9" ht="18.75" customHeight="1">
      <c r="A34" s="8">
        <v>29</v>
      </c>
      <c r="B34" s="16" t="s">
        <v>88</v>
      </c>
      <c r="C34" s="2" t="s">
        <v>1197</v>
      </c>
      <c r="D34" s="8" t="s">
        <v>92</v>
      </c>
      <c r="E34" s="70">
        <f>16512.68</f>
        <v>16512.68</v>
      </c>
      <c r="F34" s="197">
        <v>17042.713866666702</v>
      </c>
      <c r="G34" s="70">
        <f t="shared" si="0"/>
        <v>530.03386666666802</v>
      </c>
      <c r="H34" s="11"/>
      <c r="I34" s="11"/>
    </row>
    <row r="35" spans="1:9" ht="18.75" customHeight="1">
      <c r="A35" s="8">
        <v>30</v>
      </c>
      <c r="B35" s="16" t="s">
        <v>1006</v>
      </c>
      <c r="C35" s="10" t="s">
        <v>91</v>
      </c>
      <c r="D35" s="13" t="s">
        <v>92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530.18586666666999</v>
      </c>
      <c r="H35" s="11"/>
      <c r="I35" s="11"/>
    </row>
    <row r="36" spans="1:9" ht="18.75" customHeight="1">
      <c r="A36" s="8">
        <v>31</v>
      </c>
      <c r="B36" s="16" t="s">
        <v>1180</v>
      </c>
      <c r="C36" s="10" t="s">
        <v>91</v>
      </c>
      <c r="D36" s="13" t="s">
        <v>92</v>
      </c>
      <c r="E36" s="70">
        <f t="shared" si="1"/>
        <v>16512.68</v>
      </c>
      <c r="F36" s="197">
        <v>17043.017866666702</v>
      </c>
      <c r="G36" s="70">
        <f t="shared" si="0"/>
        <v>530.33786666667197</v>
      </c>
      <c r="H36" s="11"/>
      <c r="I36" s="11"/>
    </row>
    <row r="37" spans="1:9" ht="26.25" customHeight="1">
      <c r="A37" s="8"/>
      <c r="B37" s="18" t="s">
        <v>96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97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98</v>
      </c>
      <c r="C40" s="2" t="s">
        <v>99</v>
      </c>
      <c r="D40" s="8" t="s">
        <v>100</v>
      </c>
      <c r="E40" s="70">
        <f>156349.82</f>
        <v>156349.82</v>
      </c>
      <c r="F40" s="197">
        <v>161106.806858667</v>
      </c>
      <c r="G40" s="70">
        <f>F40-E40</f>
        <v>4756.9868586666698</v>
      </c>
      <c r="H40" s="11"/>
      <c r="I40" s="11"/>
    </row>
    <row r="41" spans="1:9" ht="18.75" customHeight="1">
      <c r="A41" s="8">
        <v>2</v>
      </c>
      <c r="B41" s="16" t="s">
        <v>101</v>
      </c>
      <c r="C41" s="2" t="s">
        <v>612</v>
      </c>
      <c r="D41" s="8" t="s">
        <v>95</v>
      </c>
      <c r="E41" s="70">
        <f>16512.68</f>
        <v>16512.68</v>
      </c>
      <c r="F41" s="197">
        <v>16512.682190666699</v>
      </c>
      <c r="G41" s="70">
        <f>F41-E41</f>
        <v>2.1906666697759599E-3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</v>
      </c>
      <c r="G42" s="198">
        <f>SUM(G40:G41)</f>
        <v>4756.9890493333396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107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108</v>
      </c>
      <c r="C45" s="2" t="s">
        <v>109</v>
      </c>
      <c r="D45" s="8" t="s">
        <v>100</v>
      </c>
      <c r="E45" s="70">
        <f>180306.81</f>
        <v>180306.81</v>
      </c>
      <c r="F45" s="197">
        <v>180306.806858667</v>
      </c>
      <c r="G45" s="70">
        <f>F45-E45</f>
        <v>-3.14133329084143E-3</v>
      </c>
      <c r="H45" s="11"/>
      <c r="I45" s="11"/>
    </row>
    <row r="46" spans="1:9" ht="20.100000000000001" customHeight="1">
      <c r="A46" s="8">
        <v>2</v>
      </c>
      <c r="B46" s="9" t="s">
        <v>491</v>
      </c>
      <c r="C46" s="2" t="s">
        <v>44</v>
      </c>
      <c r="D46" s="8" t="s">
        <v>36</v>
      </c>
      <c r="E46" s="70">
        <f>79956.94</f>
        <v>79956.94</v>
      </c>
      <c r="F46" s="197">
        <v>79956.9391466667</v>
      </c>
      <c r="G46" s="70">
        <f t="shared" ref="G46:G56" si="5">F46-E46</f>
        <v>-8.5333334573078901E-4</v>
      </c>
      <c r="H46" s="11"/>
      <c r="I46" s="11"/>
    </row>
    <row r="47" spans="1:9" ht="20.100000000000001" customHeight="1">
      <c r="A47" s="8">
        <v>3</v>
      </c>
      <c r="B47" s="9" t="s">
        <v>110</v>
      </c>
      <c r="C47" s="2" t="s">
        <v>114</v>
      </c>
      <c r="D47" s="8" t="s">
        <v>36</v>
      </c>
      <c r="E47" s="70">
        <f>79956.94</f>
        <v>79956.94</v>
      </c>
      <c r="F47" s="197">
        <v>79956.9391466667</v>
      </c>
      <c r="G47" s="70">
        <f t="shared" si="5"/>
        <v>-8.5333334573078901E-4</v>
      </c>
      <c r="H47" s="11"/>
      <c r="I47" s="11"/>
    </row>
    <row r="48" spans="1:9" ht="20.100000000000001" customHeight="1">
      <c r="A48" s="8">
        <v>4</v>
      </c>
      <c r="B48" s="9" t="s">
        <v>113</v>
      </c>
      <c r="C48" s="2" t="s">
        <v>114</v>
      </c>
      <c r="D48" s="8" t="s">
        <v>36</v>
      </c>
      <c r="E48" s="70">
        <f>77764.98</f>
        <v>77764.98</v>
      </c>
      <c r="F48" s="197">
        <v>79956.9391466667</v>
      </c>
      <c r="G48" s="70">
        <f t="shared" si="5"/>
        <v>2191.9591466666602</v>
      </c>
      <c r="H48" s="11"/>
      <c r="I48" s="11"/>
    </row>
    <row r="49" spans="1:9" ht="20.100000000000001" customHeight="1">
      <c r="A49" s="8">
        <v>5</v>
      </c>
      <c r="B49" s="9" t="s">
        <v>115</v>
      </c>
      <c r="C49" s="2" t="s">
        <v>114</v>
      </c>
      <c r="D49" s="8" t="s">
        <v>133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116</v>
      </c>
      <c r="C50" s="2" t="s">
        <v>46</v>
      </c>
      <c r="D50" s="8" t="s">
        <v>224</v>
      </c>
      <c r="E50" s="70">
        <f>56478.9</f>
        <v>56478.9</v>
      </c>
      <c r="F50" s="197">
        <v>57889.864794666697</v>
      </c>
      <c r="G50" s="70">
        <f t="shared" si="5"/>
        <v>1410.9647946666701</v>
      </c>
      <c r="H50" s="11"/>
      <c r="I50" s="11"/>
    </row>
    <row r="51" spans="1:9" ht="20.100000000000001" customHeight="1">
      <c r="A51" s="8">
        <v>7</v>
      </c>
      <c r="B51" s="12" t="s">
        <v>117</v>
      </c>
      <c r="C51" s="2" t="s">
        <v>135</v>
      </c>
      <c r="D51" s="14" t="s">
        <v>224</v>
      </c>
      <c r="E51" s="70">
        <f>56478.9</f>
        <v>56478.9</v>
      </c>
      <c r="F51" s="197">
        <v>58026.609434666701</v>
      </c>
      <c r="G51" s="70">
        <f t="shared" si="5"/>
        <v>1547.7094346666699</v>
      </c>
      <c r="H51" s="11"/>
      <c r="I51" s="11"/>
    </row>
    <row r="52" spans="1:9" ht="20.100000000000001" customHeight="1">
      <c r="A52" s="8">
        <v>8</v>
      </c>
      <c r="B52" s="9" t="s">
        <v>1091</v>
      </c>
      <c r="C52" s="2" t="s">
        <v>135</v>
      </c>
      <c r="D52" s="8" t="s">
        <v>150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45</v>
      </c>
      <c r="C53" s="2" t="s">
        <v>458</v>
      </c>
      <c r="D53" s="8" t="s">
        <v>52</v>
      </c>
      <c r="E53" s="70">
        <f>48052.11</f>
        <v>48052.11</v>
      </c>
      <c r="F53" s="197">
        <v>49548.776186666699</v>
      </c>
      <c r="G53" s="70">
        <f t="shared" si="5"/>
        <v>1496.66618666666</v>
      </c>
      <c r="H53" s="11"/>
      <c r="I53" s="11"/>
    </row>
    <row r="54" spans="1:9" ht="20.100000000000001" customHeight="1">
      <c r="A54" s="8">
        <v>10</v>
      </c>
      <c r="B54" s="9" t="s">
        <v>120</v>
      </c>
      <c r="C54" s="2" t="s">
        <v>119</v>
      </c>
      <c r="D54" s="8" t="s">
        <v>83</v>
      </c>
      <c r="E54" s="70">
        <f>28360.95</f>
        <v>28360.95</v>
      </c>
      <c r="F54" s="197">
        <v>28360.952862666702</v>
      </c>
      <c r="G54" s="70">
        <f t="shared" si="5"/>
        <v>2.8626666608033702E-3</v>
      </c>
      <c r="H54" s="11"/>
      <c r="I54" s="11"/>
    </row>
    <row r="55" spans="1:9" ht="20.100000000000001" customHeight="1">
      <c r="A55" s="8">
        <v>11</v>
      </c>
      <c r="B55" s="9" t="s">
        <v>578</v>
      </c>
      <c r="C55" s="2" t="s">
        <v>119</v>
      </c>
      <c r="D55" s="8" t="s">
        <v>83</v>
      </c>
      <c r="E55" s="70">
        <f>28360.95</f>
        <v>28360.95</v>
      </c>
      <c r="F55" s="197">
        <v>28360.952862666702</v>
      </c>
      <c r="G55" s="70">
        <f t="shared" si="5"/>
        <v>2.8626666608033702E-3</v>
      </c>
      <c r="H55" s="11"/>
      <c r="I55" s="11"/>
    </row>
    <row r="56" spans="1:9" ht="20.100000000000001" customHeight="1">
      <c r="A56" s="8">
        <v>12</v>
      </c>
      <c r="B56" s="9" t="s">
        <v>121</v>
      </c>
      <c r="C56" s="2" t="s">
        <v>119</v>
      </c>
      <c r="D56" s="8" t="s">
        <v>83</v>
      </c>
      <c r="E56" s="70">
        <f>28360.95</f>
        <v>28360.95</v>
      </c>
      <c r="F56" s="197">
        <v>28360.952862666702</v>
      </c>
      <c r="G56" s="70">
        <f t="shared" si="5"/>
        <v>2.8626666608033702E-3</v>
      </c>
      <c r="H56" s="11"/>
      <c r="I56" s="11"/>
    </row>
    <row r="57" spans="1:9" ht="25.5" customHeight="1">
      <c r="A57" s="8"/>
      <c r="B57" s="18" t="s">
        <v>96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796306.15599600004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122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501</v>
      </c>
      <c r="C60" s="10" t="s">
        <v>124</v>
      </c>
      <c r="D60" s="13" t="s">
        <v>100</v>
      </c>
      <c r="E60" s="70">
        <f>180306.81</f>
        <v>180306.81</v>
      </c>
      <c r="F60" s="197">
        <f>'[13]August 2022  (2)'!$AA$56</f>
        <v>180306.806858667</v>
      </c>
      <c r="G60" s="70">
        <f>F60-E60</f>
        <v>-3.1413329998031259E-3</v>
      </c>
      <c r="H60" s="11"/>
      <c r="I60" s="11"/>
    </row>
    <row r="61" spans="1:9" ht="20.100000000000001" customHeight="1">
      <c r="A61" s="8"/>
      <c r="B61" s="18" t="s">
        <v>96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-3.1413329998031259E-3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128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129</v>
      </c>
      <c r="C64" s="15" t="s">
        <v>130</v>
      </c>
      <c r="D64" s="8" t="s">
        <v>100</v>
      </c>
      <c r="E64" s="70">
        <f>180306.81</f>
        <v>180306.81</v>
      </c>
      <c r="F64" s="197">
        <v>180306.806858667</v>
      </c>
      <c r="G64" s="70">
        <f>F64-E64</f>
        <v>-3.14133329084143E-3</v>
      </c>
      <c r="H64" s="11"/>
      <c r="I64" s="11"/>
    </row>
    <row r="65" spans="1:9" ht="20.100000000000001" customHeight="1">
      <c r="A65" s="8">
        <v>2</v>
      </c>
      <c r="B65" s="16" t="s">
        <v>131</v>
      </c>
      <c r="C65" s="15" t="s">
        <v>132</v>
      </c>
      <c r="D65" s="13" t="s">
        <v>1018</v>
      </c>
      <c r="E65" s="70">
        <v>75572.92</v>
      </c>
      <c r="F65" s="197">
        <v>75572.915690666705</v>
      </c>
      <c r="G65" s="70">
        <f t="shared" ref="G65:G76" si="7">F65-E65</f>
        <v>-4.3093333370052304E-3</v>
      </c>
      <c r="H65" s="11"/>
      <c r="I65" s="11"/>
    </row>
    <row r="66" spans="1:9" ht="20.100000000000001" customHeight="1">
      <c r="A66" s="8">
        <v>3</v>
      </c>
      <c r="B66" s="9" t="s">
        <v>134</v>
      </c>
      <c r="C66" s="2" t="s">
        <v>167</v>
      </c>
      <c r="D66" s="8" t="s">
        <v>52</v>
      </c>
      <c r="E66" s="70">
        <f>48170.87</f>
        <v>48170.87</v>
      </c>
      <c r="F66" s="197">
        <v>49548.776186666699</v>
      </c>
      <c r="G66" s="70">
        <f t="shared" si="7"/>
        <v>1377.90618666666</v>
      </c>
      <c r="H66" s="11"/>
      <c r="I66" s="11"/>
    </row>
    <row r="67" spans="1:9" ht="20.100000000000001" customHeight="1">
      <c r="A67" s="8">
        <v>4</v>
      </c>
      <c r="B67" s="16" t="s">
        <v>487</v>
      </c>
      <c r="C67" s="15" t="s">
        <v>167</v>
      </c>
      <c r="D67" s="13" t="s">
        <v>1016</v>
      </c>
      <c r="E67" s="70">
        <f>46673.26</f>
        <v>46673.26</v>
      </c>
      <c r="F67" s="197">
        <v>48170.870282666699</v>
      </c>
      <c r="G67" s="70">
        <f t="shared" si="7"/>
        <v>1497.6102826666599</v>
      </c>
      <c r="H67" s="11"/>
      <c r="I67" s="11"/>
    </row>
    <row r="68" spans="1:9" ht="20.100000000000001" customHeight="1">
      <c r="A68" s="8">
        <v>5</v>
      </c>
      <c r="B68" s="12" t="s">
        <v>517</v>
      </c>
      <c r="C68" s="15" t="s">
        <v>135</v>
      </c>
      <c r="D68" s="13" t="s">
        <v>224</v>
      </c>
      <c r="E68" s="70">
        <v>56478.9</v>
      </c>
      <c r="F68" s="197">
        <v>58026.609434666701</v>
      </c>
      <c r="G68" s="70">
        <f t="shared" si="7"/>
        <v>1547.7094346666699</v>
      </c>
      <c r="H68" s="11"/>
      <c r="I68" s="11"/>
    </row>
    <row r="69" spans="1:9" ht="20.100000000000001" customHeight="1">
      <c r="A69" s="8">
        <v>6</v>
      </c>
      <c r="B69" s="9" t="s">
        <v>136</v>
      </c>
      <c r="C69" s="2" t="s">
        <v>119</v>
      </c>
      <c r="D69" s="8" t="s">
        <v>1198</v>
      </c>
      <c r="E69" s="70">
        <v>36127.269999999997</v>
      </c>
      <c r="F69" s="197">
        <v>37661.421354666702</v>
      </c>
      <c r="G69" s="70">
        <f t="shared" si="7"/>
        <v>1534.1513546666699</v>
      </c>
      <c r="H69" s="11"/>
      <c r="I69" s="11"/>
    </row>
    <row r="70" spans="1:9" ht="20.100000000000001" customHeight="1">
      <c r="A70" s="8">
        <v>7</v>
      </c>
      <c r="B70" s="9" t="s">
        <v>1099</v>
      </c>
      <c r="C70" s="15" t="s">
        <v>67</v>
      </c>
      <c r="D70" s="13" t="s">
        <v>62</v>
      </c>
      <c r="E70" s="70">
        <v>41248.559999999998</v>
      </c>
      <c r="F70" s="197">
        <v>43278.494774666702</v>
      </c>
      <c r="G70" s="70">
        <f t="shared" si="7"/>
        <v>2029.9347746666699</v>
      </c>
      <c r="H70" s="11"/>
      <c r="I70" s="11"/>
    </row>
    <row r="71" spans="1:9" ht="20.100000000000001" customHeight="1">
      <c r="A71" s="8">
        <v>8</v>
      </c>
      <c r="B71" s="9" t="s">
        <v>138</v>
      </c>
      <c r="C71" s="15" t="s">
        <v>67</v>
      </c>
      <c r="D71" s="13" t="s">
        <v>65</v>
      </c>
      <c r="E71" s="70">
        <f>40149.18</f>
        <v>40149.18</v>
      </c>
      <c r="F71" s="197">
        <v>40149.175266666702</v>
      </c>
      <c r="G71" s="70">
        <f t="shared" si="7"/>
        <v>-4.7333333277492801E-3</v>
      </c>
      <c r="H71" s="11"/>
      <c r="I71" s="11"/>
    </row>
    <row r="72" spans="1:9" ht="20.100000000000001" customHeight="1">
      <c r="A72" s="8">
        <v>9</v>
      </c>
      <c r="B72" s="9" t="s">
        <v>139</v>
      </c>
      <c r="C72" s="15" t="s">
        <v>67</v>
      </c>
      <c r="D72" s="13" t="s">
        <v>65</v>
      </c>
      <c r="E72" s="70">
        <f>40149.18</f>
        <v>40149.18</v>
      </c>
      <c r="F72" s="197">
        <v>40149.175266666702</v>
      </c>
      <c r="G72" s="70">
        <f t="shared" si="7"/>
        <v>-4.7333333277492801E-3</v>
      </c>
      <c r="H72" s="11"/>
      <c r="I72" s="11"/>
    </row>
    <row r="73" spans="1:9" ht="20.100000000000001" customHeight="1">
      <c r="A73" s="8">
        <v>10</v>
      </c>
      <c r="B73" s="9" t="s">
        <v>140</v>
      </c>
      <c r="C73" s="2" t="s">
        <v>141</v>
      </c>
      <c r="D73" s="8" t="s">
        <v>137</v>
      </c>
      <c r="E73" s="70" t="e">
        <f>#REF!</f>
        <v>#REF!</v>
      </c>
      <c r="F73" s="197">
        <f>'[13]August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1181</v>
      </c>
      <c r="C74" s="15" t="s">
        <v>119</v>
      </c>
      <c r="D74" s="8" t="s">
        <v>104</v>
      </c>
      <c r="E74" s="70">
        <f>32291.82</f>
        <v>32291.82</v>
      </c>
      <c r="F74" s="197">
        <v>33059.078406666697</v>
      </c>
      <c r="G74" s="70">
        <f t="shared" si="7"/>
        <v>767.25840666666795</v>
      </c>
      <c r="H74" s="11"/>
      <c r="I74" s="11"/>
    </row>
    <row r="75" spans="1:9" ht="20.100000000000001" customHeight="1">
      <c r="A75" s="8">
        <v>12</v>
      </c>
      <c r="B75" s="9" t="s">
        <v>77</v>
      </c>
      <c r="C75" s="15" t="s">
        <v>64</v>
      </c>
      <c r="D75" s="8" t="s">
        <v>80</v>
      </c>
      <c r="E75" s="70">
        <f>24685.95</f>
        <v>24685.95</v>
      </c>
      <c r="F75" s="197">
        <v>29058.4826046667</v>
      </c>
      <c r="G75" s="70">
        <f t="shared" si="7"/>
        <v>4372.5326046666596</v>
      </c>
      <c r="H75" s="11"/>
      <c r="I75" s="11"/>
    </row>
    <row r="76" spans="1:9" ht="20.100000000000001" customHeight="1">
      <c r="A76" s="8">
        <v>13</v>
      </c>
      <c r="B76" s="12" t="s">
        <v>63</v>
      </c>
      <c r="C76" s="15" t="s">
        <v>64</v>
      </c>
      <c r="D76" s="8" t="s">
        <v>92</v>
      </c>
      <c r="E76" s="70">
        <f>24685.95</f>
        <v>24685.95</v>
      </c>
      <c r="F76" s="197">
        <v>25271.771466666702</v>
      </c>
      <c r="G76" s="70">
        <f t="shared" si="7"/>
        <v>585.82146666666802</v>
      </c>
      <c r="H76" s="11"/>
      <c r="I76" s="11"/>
    </row>
    <row r="77" spans="1:9" ht="20.100000000000001" customHeight="1">
      <c r="A77" s="8"/>
      <c r="B77" s="18" t="s">
        <v>96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701592.52869266737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143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144</v>
      </c>
      <c r="C80" s="2" t="s">
        <v>145</v>
      </c>
      <c r="D80" s="8" t="s">
        <v>100</v>
      </c>
      <c r="E80" s="70">
        <f>180306.81</f>
        <v>180306.81</v>
      </c>
      <c r="F80" s="197">
        <v>180306.806858667</v>
      </c>
      <c r="G80" s="70">
        <f>F80-E80</f>
        <v>-3.14133329084143E-3</v>
      </c>
      <c r="H80" s="11"/>
      <c r="I80" s="11"/>
    </row>
    <row r="81" spans="1:9" ht="20.100000000000001" customHeight="1">
      <c r="A81" s="8">
        <v>2</v>
      </c>
      <c r="B81" s="12" t="s">
        <v>518</v>
      </c>
      <c r="C81" s="2" t="s">
        <v>570</v>
      </c>
      <c r="D81" s="13" t="s">
        <v>1018</v>
      </c>
      <c r="E81" s="70">
        <f>75572.92</f>
        <v>75572.92</v>
      </c>
      <c r="F81" s="197">
        <v>75572.915690666705</v>
      </c>
      <c r="G81" s="70">
        <f t="shared" ref="G81:G84" si="9">F81-E81</f>
        <v>-4.3093333370052304E-3</v>
      </c>
      <c r="H81" s="11"/>
      <c r="I81" s="11"/>
    </row>
    <row r="82" spans="1:9" ht="20.100000000000001" customHeight="1">
      <c r="A82" s="8">
        <v>3</v>
      </c>
      <c r="B82" s="12" t="s">
        <v>1182</v>
      </c>
      <c r="C82" s="2" t="s">
        <v>1183</v>
      </c>
      <c r="D82" s="13" t="s">
        <v>1018</v>
      </c>
      <c r="E82" s="70">
        <f>75572.92</f>
        <v>75572.92</v>
      </c>
      <c r="F82" s="197">
        <v>75572.915690666705</v>
      </c>
      <c r="G82" s="70">
        <f t="shared" si="9"/>
        <v>-4.3093333370052304E-3</v>
      </c>
      <c r="H82" s="11"/>
      <c r="I82" s="11"/>
    </row>
    <row r="83" spans="1:9" ht="20.100000000000001" customHeight="1">
      <c r="A83" s="8">
        <v>4</v>
      </c>
      <c r="B83" s="9" t="s">
        <v>148</v>
      </c>
      <c r="C83" s="2" t="s">
        <v>1034</v>
      </c>
      <c r="D83" s="13" t="s">
        <v>52</v>
      </c>
      <c r="E83" s="70">
        <v>48170.87</v>
      </c>
      <c r="F83" s="197">
        <v>49548.776186666699</v>
      </c>
      <c r="G83" s="70">
        <f t="shared" si="9"/>
        <v>1377.90618666666</v>
      </c>
      <c r="H83" s="11"/>
      <c r="I83" s="11"/>
    </row>
    <row r="84" spans="1:9" ht="20.100000000000001" customHeight="1">
      <c r="A84" s="8">
        <v>5</v>
      </c>
      <c r="B84" s="9" t="s">
        <v>151</v>
      </c>
      <c r="C84" s="2" t="s">
        <v>154</v>
      </c>
      <c r="D84" s="8" t="s">
        <v>104</v>
      </c>
      <c r="E84" s="70">
        <f>32291.82</f>
        <v>32291.82</v>
      </c>
      <c r="F84" s="197">
        <v>33059.078406666697</v>
      </c>
      <c r="G84" s="70">
        <f t="shared" si="9"/>
        <v>767.25840666666795</v>
      </c>
      <c r="H84" s="11"/>
      <c r="I84" s="11"/>
    </row>
    <row r="85" spans="1:9" ht="20.100000000000001" customHeight="1">
      <c r="A85" s="8"/>
      <c r="B85" s="18" t="s">
        <v>96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414060.49283333297</v>
      </c>
      <c r="G85" s="78">
        <f t="shared" si="10"/>
        <v>2145.1528333333599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157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1199</v>
      </c>
      <c r="C88" s="2" t="s">
        <v>1200</v>
      </c>
      <c r="D88" s="8" t="s">
        <v>191</v>
      </c>
      <c r="E88" s="70">
        <f>97273.51</f>
        <v>97273.51</v>
      </c>
      <c r="F88" s="197">
        <v>99907.951418666693</v>
      </c>
      <c r="G88" s="70">
        <f>F88-E88</f>
        <v>2634.44141866668</v>
      </c>
      <c r="H88" s="11"/>
      <c r="I88" s="11"/>
    </row>
    <row r="89" spans="1:9" ht="20.100000000000001" customHeight="1">
      <c r="A89" s="8">
        <v>2</v>
      </c>
      <c r="B89" s="9" t="s">
        <v>158</v>
      </c>
      <c r="C89" s="2" t="s">
        <v>114</v>
      </c>
      <c r="D89" s="8" t="s">
        <v>36</v>
      </c>
      <c r="E89" s="70">
        <f>79956.94</f>
        <v>79956.94</v>
      </c>
      <c r="F89" s="197">
        <v>79956.9391466667</v>
      </c>
      <c r="G89" s="70">
        <f t="shared" ref="G89:G98" si="11">F89-E89</f>
        <v>-8.5333334573078901E-4</v>
      </c>
      <c r="H89" s="11"/>
      <c r="I89" s="11"/>
    </row>
    <row r="90" spans="1:9" ht="20.100000000000001" customHeight="1">
      <c r="A90" s="8">
        <v>3</v>
      </c>
      <c r="B90" s="9" t="s">
        <v>159</v>
      </c>
      <c r="C90" s="2" t="s">
        <v>114</v>
      </c>
      <c r="D90" s="8" t="s">
        <v>36</v>
      </c>
      <c r="E90" s="70">
        <f>79796.1</f>
        <v>79796.100000000006</v>
      </c>
      <c r="F90" s="197">
        <v>79796.103146666603</v>
      </c>
      <c r="G90" s="70">
        <f t="shared" si="11"/>
        <v>3.1466666405322E-3</v>
      </c>
      <c r="H90" s="11"/>
      <c r="I90" s="11"/>
    </row>
    <row r="91" spans="1:9" ht="20.100000000000001" customHeight="1">
      <c r="A91" s="8">
        <v>4</v>
      </c>
      <c r="B91" s="12" t="s">
        <v>203</v>
      </c>
      <c r="C91" s="2" t="s">
        <v>135</v>
      </c>
      <c r="D91" s="8" t="s">
        <v>42</v>
      </c>
      <c r="E91" s="70">
        <f>57894.08</f>
        <v>57894.080000000002</v>
      </c>
      <c r="F91" s="197">
        <v>59441.782042666702</v>
      </c>
      <c r="G91" s="70">
        <f t="shared" si="11"/>
        <v>1547.70204266666</v>
      </c>
      <c r="H91" s="11"/>
      <c r="I91" s="11"/>
    </row>
    <row r="92" spans="1:9" ht="20.100000000000001" customHeight="1">
      <c r="A92" s="8">
        <v>5</v>
      </c>
      <c r="B92" s="9" t="s">
        <v>160</v>
      </c>
      <c r="C92" s="2" t="s">
        <v>46</v>
      </c>
      <c r="D92" s="8" t="s">
        <v>224</v>
      </c>
      <c r="E92" s="70">
        <f>56478.9</f>
        <v>56478.9</v>
      </c>
      <c r="F92" s="197">
        <v>58026.609434666701</v>
      </c>
      <c r="G92" s="70">
        <f t="shared" si="11"/>
        <v>1547.7094346666699</v>
      </c>
      <c r="H92" s="11"/>
      <c r="I92" s="11"/>
    </row>
    <row r="93" spans="1:9" ht="21.6" customHeight="1">
      <c r="A93" s="8">
        <v>6</v>
      </c>
      <c r="B93" s="9" t="s">
        <v>161</v>
      </c>
      <c r="C93" s="2" t="s">
        <v>458</v>
      </c>
      <c r="D93" s="13" t="s">
        <v>52</v>
      </c>
      <c r="E93" s="70">
        <f>48170.87</f>
        <v>48170.87</v>
      </c>
      <c r="F93" s="197">
        <v>49548.776186666699</v>
      </c>
      <c r="G93" s="70">
        <f t="shared" si="11"/>
        <v>1377.90618666666</v>
      </c>
      <c r="H93" s="11"/>
      <c r="I93" s="11"/>
    </row>
    <row r="94" spans="1:9" ht="21.6" customHeight="1">
      <c r="A94" s="8">
        <v>7</v>
      </c>
      <c r="B94" s="9" t="s">
        <v>162</v>
      </c>
      <c r="C94" s="10" t="s">
        <v>167</v>
      </c>
      <c r="D94" s="13" t="s">
        <v>1016</v>
      </c>
      <c r="E94" s="70">
        <f>46673.26</f>
        <v>46673.26</v>
      </c>
      <c r="F94" s="197">
        <v>48170.870282666699</v>
      </c>
      <c r="G94" s="70">
        <f t="shared" si="11"/>
        <v>1497.6102826666599</v>
      </c>
      <c r="H94" s="11"/>
      <c r="I94" s="11"/>
    </row>
    <row r="95" spans="1:9" ht="21.6" customHeight="1">
      <c r="A95" s="8">
        <v>8</v>
      </c>
      <c r="B95" s="9" t="s">
        <v>163</v>
      </c>
      <c r="C95" s="10" t="s">
        <v>167</v>
      </c>
      <c r="D95" s="13" t="s">
        <v>1016</v>
      </c>
      <c r="E95" s="70">
        <f>46673.26</f>
        <v>46673.26</v>
      </c>
      <c r="F95" s="197">
        <v>48170.870282666699</v>
      </c>
      <c r="G95" s="70">
        <f t="shared" si="11"/>
        <v>1497.6102826666599</v>
      </c>
      <c r="H95" s="11"/>
      <c r="I95" s="11"/>
    </row>
    <row r="96" spans="1:9" ht="21.6" customHeight="1">
      <c r="A96" s="8">
        <v>9</v>
      </c>
      <c r="B96" s="9" t="s">
        <v>165</v>
      </c>
      <c r="C96" s="15" t="s">
        <v>67</v>
      </c>
      <c r="D96" s="13" t="s">
        <v>65</v>
      </c>
      <c r="E96" s="70">
        <f>40149.18</f>
        <v>40149.18</v>
      </c>
      <c r="F96" s="197">
        <v>40149.175266666702</v>
      </c>
      <c r="G96" s="70">
        <f t="shared" si="11"/>
        <v>-4.7333333277492801E-3</v>
      </c>
      <c r="H96" s="11"/>
      <c r="I96" s="11"/>
    </row>
    <row r="97" spans="1:9" ht="21.6" customHeight="1">
      <c r="A97" s="8">
        <v>10</v>
      </c>
      <c r="B97" s="9" t="s">
        <v>169</v>
      </c>
      <c r="C97" s="2" t="s">
        <v>170</v>
      </c>
      <c r="D97" s="8" t="s">
        <v>70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171</v>
      </c>
      <c r="C98" s="15" t="s">
        <v>172</v>
      </c>
      <c r="D98" s="13" t="s">
        <v>92</v>
      </c>
      <c r="E98" s="70">
        <f>24685.95</f>
        <v>24685.95</v>
      </c>
      <c r="F98" s="197">
        <v>24749.797062666701</v>
      </c>
      <c r="G98" s="70">
        <f t="shared" si="11"/>
        <v>63.8470626666603</v>
      </c>
      <c r="H98" s="11"/>
      <c r="I98" s="11"/>
    </row>
    <row r="99" spans="1:9" ht="20.100000000000001" customHeight="1">
      <c r="A99" s="8"/>
      <c r="B99" s="18" t="s">
        <v>96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10166.824270666601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174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574</v>
      </c>
      <c r="C102" s="8" t="s">
        <v>575</v>
      </c>
      <c r="D102" s="13" t="s">
        <v>112</v>
      </c>
      <c r="E102" s="70">
        <f>79993.51</f>
        <v>79993.509999999995</v>
      </c>
      <c r="F102" s="197">
        <v>79993.513850666699</v>
      </c>
      <c r="G102" s="70">
        <f>F102-E102</f>
        <v>3.8506666605826502E-3</v>
      </c>
      <c r="H102" s="11"/>
      <c r="I102" s="11"/>
    </row>
    <row r="103" spans="1:9" ht="20.100000000000001" customHeight="1">
      <c r="A103" s="8">
        <v>2</v>
      </c>
      <c r="B103" s="9" t="s">
        <v>37</v>
      </c>
      <c r="C103" s="2" t="s">
        <v>179</v>
      </c>
      <c r="D103" s="8" t="s">
        <v>224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1354.23938866668</v>
      </c>
      <c r="H103" s="11"/>
      <c r="I103" s="11"/>
    </row>
    <row r="104" spans="1:9" ht="20.100000000000001" customHeight="1">
      <c r="A104" s="8">
        <v>3</v>
      </c>
      <c r="B104" s="16" t="s">
        <v>1201</v>
      </c>
      <c r="C104" s="2" t="s">
        <v>1202</v>
      </c>
      <c r="D104" s="13" t="s">
        <v>1016</v>
      </c>
      <c r="E104" s="70">
        <f>38272.44</f>
        <v>38272.44</v>
      </c>
      <c r="F104" s="197">
        <v>39582.844830666698</v>
      </c>
      <c r="G104" s="70">
        <f t="shared" si="13"/>
        <v>1310.40483066666</v>
      </c>
      <c r="H104" s="11"/>
      <c r="I104" s="11"/>
    </row>
    <row r="105" spans="1:9" ht="20.100000000000001" customHeight="1">
      <c r="A105" s="8">
        <v>4</v>
      </c>
      <c r="B105" s="9" t="s">
        <v>182</v>
      </c>
      <c r="C105" s="2" t="s">
        <v>183</v>
      </c>
      <c r="D105" s="13" t="s">
        <v>137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96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186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187</v>
      </c>
      <c r="C109" s="10" t="s">
        <v>188</v>
      </c>
      <c r="D109" s="13" t="s">
        <v>100</v>
      </c>
      <c r="E109" s="70">
        <f>180306.81</f>
        <v>180306.81</v>
      </c>
      <c r="F109" s="197">
        <v>180145.97085866699</v>
      </c>
      <c r="G109" s="70">
        <f>F109-E109</f>
        <v>-160.839141333301</v>
      </c>
      <c r="H109" s="11"/>
      <c r="I109" s="11"/>
    </row>
    <row r="110" spans="1:9" ht="20.100000000000001" customHeight="1">
      <c r="A110" s="2">
        <v>2</v>
      </c>
      <c r="B110" s="9" t="s">
        <v>189</v>
      </c>
      <c r="C110" s="2" t="s">
        <v>190</v>
      </c>
      <c r="D110" s="14" t="s">
        <v>112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192</v>
      </c>
      <c r="C111" s="2" t="s">
        <v>193</v>
      </c>
      <c r="D111" s="8" t="s">
        <v>194</v>
      </c>
      <c r="E111" s="70">
        <f>58814.67</f>
        <v>58814.67</v>
      </c>
      <c r="F111" s="197">
        <v>58941.101743466701</v>
      </c>
      <c r="G111" s="70">
        <f t="shared" si="15"/>
        <v>126.431743466659</v>
      </c>
      <c r="H111" s="11"/>
      <c r="I111" s="11"/>
    </row>
    <row r="112" spans="1:9" ht="20.100000000000001" customHeight="1">
      <c r="A112" s="2">
        <v>4</v>
      </c>
      <c r="B112" s="9" t="s">
        <v>195</v>
      </c>
      <c r="C112" s="2" t="s">
        <v>193</v>
      </c>
      <c r="D112" s="8" t="s">
        <v>194</v>
      </c>
      <c r="E112" s="70">
        <f>57194.24</f>
        <v>57194.239999999998</v>
      </c>
      <c r="F112" s="197">
        <v>58941.101743466701</v>
      </c>
      <c r="G112" s="70">
        <f t="shared" si="15"/>
        <v>1746.8617434666601</v>
      </c>
      <c r="H112" s="11"/>
      <c r="I112" s="11"/>
    </row>
    <row r="113" spans="1:9" ht="20.100000000000001" customHeight="1">
      <c r="A113" s="2">
        <v>5</v>
      </c>
      <c r="B113" s="9" t="s">
        <v>196</v>
      </c>
      <c r="C113" s="2" t="s">
        <v>197</v>
      </c>
      <c r="D113" s="13" t="s">
        <v>200</v>
      </c>
      <c r="E113" s="70">
        <f>30699.58</f>
        <v>30699.58</v>
      </c>
      <c r="F113" s="197">
        <v>31285.603203306699</v>
      </c>
      <c r="G113" s="70">
        <f t="shared" si="15"/>
        <v>586.02320330665998</v>
      </c>
      <c r="H113" s="11"/>
      <c r="I113" s="11"/>
    </row>
    <row r="114" spans="1:9" ht="20.100000000000001" customHeight="1">
      <c r="A114" s="2">
        <v>6</v>
      </c>
      <c r="B114" s="16" t="s">
        <v>199</v>
      </c>
      <c r="C114" s="2" t="s">
        <v>197</v>
      </c>
      <c r="D114" s="8" t="s">
        <v>1011</v>
      </c>
      <c r="E114" s="70">
        <f>30049.31</f>
        <v>30049.31</v>
      </c>
      <c r="F114" s="197">
        <v>30635.120688666699</v>
      </c>
      <c r="G114" s="70">
        <f t="shared" si="15"/>
        <v>585.81068866666499</v>
      </c>
      <c r="H114" s="11"/>
      <c r="I114" s="11"/>
    </row>
    <row r="115" spans="1:9" ht="20.100000000000001" customHeight="1">
      <c r="A115" s="2">
        <v>7</v>
      </c>
      <c r="B115" s="16" t="s">
        <v>201</v>
      </c>
      <c r="C115" s="2" t="s">
        <v>197</v>
      </c>
      <c r="D115" s="13" t="s">
        <v>92</v>
      </c>
      <c r="E115" s="70">
        <f>28813.07</f>
        <v>28813.07</v>
      </c>
      <c r="F115" s="197">
        <v>29055.584161426701</v>
      </c>
      <c r="G115" s="70">
        <f t="shared" si="15"/>
        <v>242.51416142665801</v>
      </c>
      <c r="H115" s="11"/>
      <c r="I115" s="11"/>
    </row>
    <row r="116" spans="1:9" ht="20.100000000000001" customHeight="1">
      <c r="A116" s="2"/>
      <c r="B116" s="18" t="s">
        <v>96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215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216</v>
      </c>
      <c r="C119" s="10" t="s">
        <v>217</v>
      </c>
      <c r="D119" s="13" t="s">
        <v>100</v>
      </c>
      <c r="E119" s="70">
        <f>179914.45</f>
        <v>179914.45</v>
      </c>
      <c r="F119" s="197">
        <v>179914.45469866699</v>
      </c>
      <c r="G119" s="70">
        <f>F119-E119</f>
        <v>4.6986666857264901E-3</v>
      </c>
      <c r="H119" s="11"/>
      <c r="I119" s="11"/>
    </row>
    <row r="120" spans="1:9" ht="20.100000000000001" customHeight="1">
      <c r="A120" s="2" t="s">
        <v>1203</v>
      </c>
      <c r="B120" s="9" t="s">
        <v>1204</v>
      </c>
      <c r="C120" s="10" t="s">
        <v>1205</v>
      </c>
      <c r="D120" s="13" t="s">
        <v>191</v>
      </c>
      <c r="E120" s="70">
        <f>101827.95</f>
        <v>101827.95</v>
      </c>
      <c r="F120" s="197">
        <v>101827.951418667</v>
      </c>
      <c r="G120" s="70">
        <f t="shared" ref="G120:G129" si="17">F120-E120</f>
        <v>1.41866668127477E-3</v>
      </c>
      <c r="H120" s="11"/>
      <c r="I120" s="11"/>
    </row>
    <row r="121" spans="1:9" ht="20.100000000000001" customHeight="1">
      <c r="A121" s="2">
        <v>3</v>
      </c>
      <c r="B121" s="9" t="s">
        <v>218</v>
      </c>
      <c r="C121" s="10" t="s">
        <v>221</v>
      </c>
      <c r="D121" s="13" t="s">
        <v>36</v>
      </c>
      <c r="E121" s="70">
        <f>83636.1</f>
        <v>83636.100000000006</v>
      </c>
      <c r="F121" s="197">
        <v>83636.103146666603</v>
      </c>
      <c r="G121" s="70">
        <f t="shared" si="17"/>
        <v>3.1466666405322E-3</v>
      </c>
      <c r="H121" s="11"/>
      <c r="I121" s="11"/>
    </row>
    <row r="122" spans="1:9" ht="20.100000000000001" customHeight="1">
      <c r="A122" s="2">
        <v>4</v>
      </c>
      <c r="B122" s="12" t="s">
        <v>220</v>
      </c>
      <c r="C122" s="10" t="s">
        <v>221</v>
      </c>
      <c r="D122" s="13" t="s">
        <v>36</v>
      </c>
      <c r="E122" s="70">
        <f>64436.1</f>
        <v>64436.1</v>
      </c>
      <c r="F122" s="197">
        <v>64436.103146666697</v>
      </c>
      <c r="G122" s="70">
        <f t="shared" si="17"/>
        <v>3.1466666623600802E-3</v>
      </c>
      <c r="H122" s="11"/>
      <c r="I122" s="11"/>
    </row>
    <row r="123" spans="1:9" ht="20.100000000000001" customHeight="1">
      <c r="A123" s="2">
        <v>5</v>
      </c>
      <c r="B123" s="12" t="s">
        <v>521</v>
      </c>
      <c r="C123" s="10" t="s">
        <v>221</v>
      </c>
      <c r="D123" s="13" t="s">
        <v>39</v>
      </c>
      <c r="E123" s="70">
        <f>60212.92</f>
        <v>60212.92</v>
      </c>
      <c r="F123" s="197">
        <v>60212.915690666698</v>
      </c>
      <c r="G123" s="70">
        <f t="shared" si="17"/>
        <v>-4.3093333297292702E-3</v>
      </c>
      <c r="H123" s="11"/>
      <c r="I123" s="11"/>
    </row>
    <row r="124" spans="1:9" ht="20.100000000000001" customHeight="1">
      <c r="A124" s="2">
        <v>6</v>
      </c>
      <c r="B124" s="9" t="s">
        <v>222</v>
      </c>
      <c r="C124" s="10" t="s">
        <v>223</v>
      </c>
      <c r="D124" s="13" t="s">
        <v>150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225</v>
      </c>
      <c r="C125" s="10" t="s">
        <v>226</v>
      </c>
      <c r="D125" s="13" t="s">
        <v>52</v>
      </c>
      <c r="E125" s="70">
        <f>44518.93</f>
        <v>44518.93</v>
      </c>
      <c r="F125" s="197">
        <v>45724.599176666699</v>
      </c>
      <c r="G125" s="70">
        <f t="shared" si="17"/>
        <v>1205.66917666666</v>
      </c>
      <c r="H125" s="11"/>
      <c r="I125" s="11"/>
    </row>
    <row r="126" spans="1:9" ht="20.100000000000001" customHeight="1">
      <c r="A126" s="2">
        <v>8</v>
      </c>
      <c r="B126" s="9" t="s">
        <v>227</v>
      </c>
      <c r="C126" s="10" t="s">
        <v>1036</v>
      </c>
      <c r="D126" s="13" t="s">
        <v>52</v>
      </c>
      <c r="E126" s="70">
        <f>39478.93</f>
        <v>39478.93</v>
      </c>
      <c r="F126" s="197">
        <v>40684.599176666699</v>
      </c>
      <c r="G126" s="70">
        <f t="shared" si="17"/>
        <v>1205.66917666666</v>
      </c>
      <c r="H126" s="11"/>
      <c r="I126" s="11"/>
    </row>
    <row r="127" spans="1:9" ht="20.100000000000001" customHeight="1">
      <c r="A127" s="2">
        <v>9</v>
      </c>
      <c r="B127" s="16" t="s">
        <v>1206</v>
      </c>
      <c r="C127" s="10" t="s">
        <v>1207</v>
      </c>
      <c r="D127" s="13" t="s">
        <v>55</v>
      </c>
      <c r="E127" s="70">
        <f>38272.44</f>
        <v>38272.44</v>
      </c>
      <c r="F127" s="197">
        <v>39582.844830666698</v>
      </c>
      <c r="G127" s="70">
        <f t="shared" si="17"/>
        <v>1310.40483066666</v>
      </c>
      <c r="H127" s="11"/>
      <c r="I127" s="11"/>
    </row>
    <row r="128" spans="1:9" ht="20.100000000000001" customHeight="1">
      <c r="A128" s="2">
        <v>10</v>
      </c>
      <c r="B128" s="9" t="s">
        <v>228</v>
      </c>
      <c r="C128" s="10" t="s">
        <v>229</v>
      </c>
      <c r="D128" s="8" t="s">
        <v>80</v>
      </c>
      <c r="E128" s="70">
        <f>21640.95</f>
        <v>21640.95</v>
      </c>
      <c r="F128" s="197">
        <v>22338.4826046667</v>
      </c>
      <c r="G128" s="70">
        <f t="shared" si="17"/>
        <v>697.53260466665995</v>
      </c>
      <c r="H128" s="11"/>
      <c r="I128" s="11"/>
    </row>
    <row r="129" spans="1:9" ht="20.100000000000001" customHeight="1">
      <c r="A129" s="2">
        <v>11</v>
      </c>
      <c r="B129" s="16" t="s">
        <v>230</v>
      </c>
      <c r="C129" s="10" t="s">
        <v>231</v>
      </c>
      <c r="D129" s="13" t="s">
        <v>92</v>
      </c>
      <c r="E129" s="70">
        <f>25245.23</f>
        <v>25245.23</v>
      </c>
      <c r="F129" s="197">
        <v>17042.713866666702</v>
      </c>
      <c r="G129" s="70">
        <f t="shared" si="17"/>
        <v>-8202.5161333333399</v>
      </c>
      <c r="H129" s="11"/>
      <c r="I129" s="11"/>
    </row>
    <row r="130" spans="1:9" ht="20.100000000000001" customHeight="1">
      <c r="A130" s="2"/>
      <c r="B130" s="18" t="s">
        <v>96</v>
      </c>
      <c r="C130" s="24" t="s">
        <v>1208</v>
      </c>
      <c r="D130" s="13"/>
      <c r="E130" s="78" t="e">
        <f t="shared" ref="E130:G130" si="18">SUM(E119:E129)</f>
        <v>#REF!</v>
      </c>
      <c r="F130" s="78">
        <f t="shared" si="18"/>
        <v>698053.14113333297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236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70">
        <f>161106.81</f>
        <v>161106.81</v>
      </c>
      <c r="F133" s="197">
        <v>161106.806858667</v>
      </c>
      <c r="G133" s="70">
        <f>F133-E133</f>
        <v>-3.14133331994526E-3</v>
      </c>
      <c r="H133" s="11"/>
      <c r="I133" s="11"/>
    </row>
    <row r="134" spans="1:9" ht="20.100000000000001" customHeight="1">
      <c r="A134" s="25">
        <v>2</v>
      </c>
      <c r="B134" s="9" t="s">
        <v>522</v>
      </c>
      <c r="C134" s="10" t="s">
        <v>573</v>
      </c>
      <c r="D134" s="13" t="s">
        <v>191</v>
      </c>
      <c r="E134" s="70">
        <v>82627.95</v>
      </c>
      <c r="F134" s="197">
        <v>82467.115418666697</v>
      </c>
      <c r="G134" s="70">
        <f t="shared" ref="G134:G187" si="19">F134-E134</f>
        <v>-160.834581333329</v>
      </c>
      <c r="H134" s="11"/>
      <c r="I134" s="11"/>
    </row>
    <row r="135" spans="1:9" ht="20.100000000000001" customHeight="1">
      <c r="A135" s="25">
        <v>3</v>
      </c>
      <c r="B135" s="12" t="s">
        <v>239</v>
      </c>
      <c r="C135" s="2" t="s">
        <v>240</v>
      </c>
      <c r="D135" s="14" t="s">
        <v>112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241</v>
      </c>
      <c r="C136" s="10" t="s">
        <v>580</v>
      </c>
      <c r="D136" s="13" t="s">
        <v>224</v>
      </c>
      <c r="E136" s="70">
        <f>43380.1</f>
        <v>43380.1</v>
      </c>
      <c r="F136" s="197">
        <v>44734.339388666704</v>
      </c>
      <c r="G136" s="70">
        <f t="shared" si="19"/>
        <v>1354.23938866668</v>
      </c>
      <c r="H136" s="11"/>
      <c r="I136" s="11"/>
    </row>
    <row r="137" spans="1:9" ht="20.100000000000001" customHeight="1">
      <c r="A137" s="25">
        <v>5</v>
      </c>
      <c r="B137" s="9" t="s">
        <v>243</v>
      </c>
      <c r="C137" s="2" t="s">
        <v>581</v>
      </c>
      <c r="D137" s="13" t="s">
        <v>224</v>
      </c>
      <c r="E137" s="70">
        <f>43380.1</f>
        <v>43380.1</v>
      </c>
      <c r="F137" s="197">
        <v>44846.6165886667</v>
      </c>
      <c r="G137" s="70">
        <f t="shared" si="19"/>
        <v>1466.51658866668</v>
      </c>
      <c r="H137" s="11"/>
      <c r="I137" s="11"/>
    </row>
    <row r="138" spans="1:9" ht="20.100000000000001" customHeight="1">
      <c r="A138" s="25">
        <v>6</v>
      </c>
      <c r="B138" s="9" t="s">
        <v>178</v>
      </c>
      <c r="C138" s="2" t="s">
        <v>583</v>
      </c>
      <c r="D138" s="13" t="s">
        <v>52</v>
      </c>
      <c r="E138" s="70">
        <f>39582.84</f>
        <v>39582.839999999997</v>
      </c>
      <c r="F138" s="197">
        <v>40698.124856666698</v>
      </c>
      <c r="G138" s="70">
        <f t="shared" si="19"/>
        <v>1115.2848566666601</v>
      </c>
      <c r="H138" s="11"/>
      <c r="I138" s="11"/>
    </row>
    <row r="139" spans="1:9" ht="20.100000000000001" customHeight="1">
      <c r="A139" s="25">
        <v>7</v>
      </c>
      <c r="B139" s="9" t="s">
        <v>180</v>
      </c>
      <c r="C139" s="10" t="s">
        <v>582</v>
      </c>
      <c r="D139" s="13" t="s">
        <v>62</v>
      </c>
      <c r="E139" s="70">
        <f>32848.56</f>
        <v>32848.559999999998</v>
      </c>
      <c r="F139" s="197">
        <v>34968.882414666703</v>
      </c>
      <c r="G139" s="70">
        <f t="shared" si="19"/>
        <v>2120.3224146666698</v>
      </c>
      <c r="H139" s="11"/>
      <c r="I139" s="11"/>
    </row>
    <row r="140" spans="1:9" ht="20.100000000000001" customHeight="1">
      <c r="A140" s="25">
        <v>8</v>
      </c>
      <c r="B140" s="9" t="s">
        <v>246</v>
      </c>
      <c r="C140" s="10" t="s">
        <v>582</v>
      </c>
      <c r="D140" s="13" t="s">
        <v>62</v>
      </c>
      <c r="E140" s="70">
        <f>32938.95</f>
        <v>32938.949999999997</v>
      </c>
      <c r="F140" s="197">
        <v>34968.882414666703</v>
      </c>
      <c r="G140" s="70">
        <f t="shared" si="19"/>
        <v>2029.93241466667</v>
      </c>
      <c r="H140" s="11"/>
      <c r="I140" s="11"/>
    </row>
    <row r="141" spans="1:9" ht="20.100000000000001" customHeight="1">
      <c r="A141" s="25">
        <v>9</v>
      </c>
      <c r="B141" s="9" t="s">
        <v>247</v>
      </c>
      <c r="C141" s="2" t="s">
        <v>583</v>
      </c>
      <c r="D141" s="13" t="s">
        <v>62</v>
      </c>
      <c r="E141" s="70">
        <f>32938.95</f>
        <v>32938.949999999997</v>
      </c>
      <c r="F141" s="197">
        <v>34968.882414666703</v>
      </c>
      <c r="G141" s="70">
        <f t="shared" si="19"/>
        <v>2029.93241466667</v>
      </c>
      <c r="H141" s="11"/>
      <c r="I141" s="11"/>
    </row>
    <row r="142" spans="1:9" ht="20.100000000000001" customHeight="1">
      <c r="A142" s="25">
        <v>10</v>
      </c>
      <c r="B142" s="9" t="s">
        <v>249</v>
      </c>
      <c r="C142" s="10" t="s">
        <v>254</v>
      </c>
      <c r="D142" s="13" t="s">
        <v>137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251</v>
      </c>
      <c r="C143" s="10" t="s">
        <v>1038</v>
      </c>
      <c r="D143" s="13" t="s">
        <v>585</v>
      </c>
      <c r="E143" s="70">
        <f>27029.2</f>
        <v>27029.200000000001</v>
      </c>
      <c r="F143" s="197">
        <v>27794.206626666699</v>
      </c>
      <c r="G143" s="70">
        <f t="shared" si="19"/>
        <v>765.00662666666199</v>
      </c>
      <c r="H143" s="11"/>
      <c r="I143" s="11"/>
    </row>
    <row r="144" spans="1:9" ht="20.100000000000001" customHeight="1">
      <c r="A144" s="25">
        <v>12</v>
      </c>
      <c r="B144" s="9" t="s">
        <v>253</v>
      </c>
      <c r="C144" s="10" t="s">
        <v>254</v>
      </c>
      <c r="D144" s="13" t="s">
        <v>62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258</v>
      </c>
      <c r="C145" s="2" t="s">
        <v>584</v>
      </c>
      <c r="D145" s="13" t="s">
        <v>104</v>
      </c>
      <c r="E145" s="70">
        <f>26339.08</f>
        <v>26339.08</v>
      </c>
      <c r="F145" s="197">
        <v>27031.2933426667</v>
      </c>
      <c r="G145" s="70">
        <f t="shared" si="19"/>
        <v>692.21334266665895</v>
      </c>
      <c r="H145" s="11"/>
      <c r="I145" s="11"/>
    </row>
    <row r="146" spans="1:9" ht="20.100000000000001" customHeight="1">
      <c r="A146" s="25">
        <v>14</v>
      </c>
      <c r="B146" s="9" t="s">
        <v>259</v>
      </c>
      <c r="C146" s="2" t="s">
        <v>584</v>
      </c>
      <c r="D146" s="13" t="s">
        <v>267</v>
      </c>
      <c r="E146" s="70">
        <f>26264.39</f>
        <v>26264.39</v>
      </c>
      <c r="F146" s="197">
        <v>27105.986562666702</v>
      </c>
      <c r="G146" s="70">
        <f t="shared" si="19"/>
        <v>841.59656266665797</v>
      </c>
      <c r="H146" s="11"/>
      <c r="I146" s="11"/>
    </row>
    <row r="147" spans="1:9" ht="20.100000000000001" customHeight="1">
      <c r="A147" s="25">
        <v>15</v>
      </c>
      <c r="B147" s="9" t="s">
        <v>260</v>
      </c>
      <c r="C147" s="2" t="s">
        <v>584</v>
      </c>
      <c r="D147" s="13" t="s">
        <v>267</v>
      </c>
      <c r="E147" s="70">
        <f>26339.08</f>
        <v>26339.08</v>
      </c>
      <c r="F147" s="197">
        <v>27105.986562666702</v>
      </c>
      <c r="G147" s="70">
        <f t="shared" si="19"/>
        <v>766.90656266665599</v>
      </c>
      <c r="H147" s="11"/>
      <c r="I147" s="11"/>
    </row>
    <row r="148" spans="1:9" ht="20.100000000000001" customHeight="1">
      <c r="A148" s="25">
        <v>16</v>
      </c>
      <c r="B148" s="9" t="s">
        <v>261</v>
      </c>
      <c r="C148" s="10" t="s">
        <v>262</v>
      </c>
      <c r="D148" s="13" t="s">
        <v>70</v>
      </c>
      <c r="E148" s="70">
        <f>25571.82</f>
        <v>25571.82</v>
      </c>
      <c r="F148" s="197">
        <v>25571.815728666701</v>
      </c>
      <c r="G148" s="70">
        <f t="shared" si="19"/>
        <v>-4.2713333314168302E-3</v>
      </c>
      <c r="H148" s="11"/>
      <c r="I148" s="11"/>
    </row>
    <row r="149" spans="1:9" ht="20.100000000000001" customHeight="1">
      <c r="A149" s="25">
        <v>17</v>
      </c>
      <c r="B149" s="9" t="s">
        <v>1019</v>
      </c>
      <c r="C149" s="10" t="s">
        <v>264</v>
      </c>
      <c r="D149" s="8" t="s">
        <v>83</v>
      </c>
      <c r="E149" s="70">
        <f>21640.95</f>
        <v>21640.95</v>
      </c>
      <c r="F149" s="197">
        <v>21640.952862666702</v>
      </c>
      <c r="G149" s="70">
        <f t="shared" si="19"/>
        <v>2.86266666807933E-3</v>
      </c>
      <c r="H149" s="11"/>
      <c r="I149" s="11"/>
    </row>
    <row r="150" spans="1:9" ht="20.100000000000001" customHeight="1">
      <c r="A150" s="25">
        <v>18</v>
      </c>
      <c r="B150" s="9" t="s">
        <v>265</v>
      </c>
      <c r="C150" s="10" t="s">
        <v>266</v>
      </c>
      <c r="D150" s="13" t="s">
        <v>104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268</v>
      </c>
      <c r="C151" s="10" t="s">
        <v>269</v>
      </c>
      <c r="D151" s="13" t="s">
        <v>80</v>
      </c>
      <c r="E151" s="70">
        <v>21640.95</v>
      </c>
      <c r="F151" s="197">
        <v>22281.815364666701</v>
      </c>
      <c r="G151" s="70">
        <f t="shared" si="19"/>
        <v>640.86536466666098</v>
      </c>
      <c r="H151" s="11"/>
      <c r="I151" s="11"/>
    </row>
    <row r="152" spans="1:9" ht="20.100000000000001" customHeight="1">
      <c r="A152" s="25">
        <v>20</v>
      </c>
      <c r="B152" s="9" t="s">
        <v>270</v>
      </c>
      <c r="C152" s="10" t="s">
        <v>271</v>
      </c>
      <c r="D152" s="13" t="s">
        <v>104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272</v>
      </c>
      <c r="C153" s="10" t="s">
        <v>273</v>
      </c>
      <c r="D153" s="13" t="s">
        <v>80</v>
      </c>
      <c r="E153" s="70">
        <f>18102.9+3538.05</f>
        <v>21640.95</v>
      </c>
      <c r="F153" s="197">
        <v>22338.4826046667</v>
      </c>
      <c r="G153" s="70">
        <f t="shared" si="19"/>
        <v>697.53260466665995</v>
      </c>
      <c r="H153" s="11"/>
      <c r="I153" s="11"/>
    </row>
    <row r="154" spans="1:9" ht="20.100000000000001" customHeight="1">
      <c r="A154" s="25">
        <v>22</v>
      </c>
      <c r="B154" s="16" t="s">
        <v>274</v>
      </c>
      <c r="C154" s="10" t="s">
        <v>280</v>
      </c>
      <c r="D154" s="13" t="s">
        <v>1195</v>
      </c>
      <c r="E154" s="70">
        <f>17572.89</f>
        <v>17572.89</v>
      </c>
      <c r="F154" s="197">
        <v>18102.902732666698</v>
      </c>
      <c r="G154" s="70">
        <f t="shared" si="19"/>
        <v>530.01273266666601</v>
      </c>
      <c r="H154" s="11"/>
      <c r="I154" s="11"/>
    </row>
    <row r="155" spans="1:9" ht="20.100000000000001" customHeight="1">
      <c r="A155" s="25">
        <v>23</v>
      </c>
      <c r="B155" s="16" t="s">
        <v>1209</v>
      </c>
      <c r="C155" s="10" t="s">
        <v>278</v>
      </c>
      <c r="D155" s="13" t="s">
        <v>92</v>
      </c>
      <c r="E155" s="70">
        <f>16512.68</f>
        <v>16512.68</v>
      </c>
      <c r="F155" s="197">
        <v>17042.713866666702</v>
      </c>
      <c r="G155" s="70">
        <f t="shared" si="19"/>
        <v>530.03386666666097</v>
      </c>
      <c r="H155" s="11"/>
      <c r="I155" s="11"/>
    </row>
    <row r="156" spans="1:9" ht="20.100000000000001" customHeight="1">
      <c r="A156" s="25">
        <v>24</v>
      </c>
      <c r="B156" s="16" t="s">
        <v>277</v>
      </c>
      <c r="C156" s="10" t="s">
        <v>278</v>
      </c>
      <c r="D156" s="13" t="s">
        <v>95</v>
      </c>
      <c r="E156" s="70">
        <f>16512.68</f>
        <v>16512.68</v>
      </c>
      <c r="F156" s="197">
        <v>16512.682190666699</v>
      </c>
      <c r="G156" s="70">
        <f t="shared" si="19"/>
        <v>2.1906666697759599E-3</v>
      </c>
      <c r="H156" s="11"/>
      <c r="I156" s="11"/>
    </row>
    <row r="157" spans="1:9" ht="20.100000000000001" customHeight="1">
      <c r="A157" s="25">
        <v>25</v>
      </c>
      <c r="B157" s="16" t="s">
        <v>279</v>
      </c>
      <c r="C157" s="10" t="s">
        <v>280</v>
      </c>
      <c r="D157" s="13" t="s">
        <v>95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1.5487906666676301</v>
      </c>
      <c r="H157" s="11"/>
      <c r="I157" s="11"/>
    </row>
    <row r="158" spans="1:9" ht="20.100000000000001" customHeight="1">
      <c r="A158" s="25">
        <v>26</v>
      </c>
      <c r="B158" s="16" t="s">
        <v>281</v>
      </c>
      <c r="C158" s="10" t="s">
        <v>282</v>
      </c>
      <c r="D158" s="13" t="s">
        <v>92</v>
      </c>
      <c r="E158" s="70">
        <f t="shared" si="20"/>
        <v>16512.68</v>
      </c>
      <c r="F158" s="197">
        <v>17043.017866666702</v>
      </c>
      <c r="G158" s="70">
        <f t="shared" si="19"/>
        <v>530.33786666666094</v>
      </c>
      <c r="H158" s="11"/>
      <c r="I158" s="11"/>
    </row>
    <row r="159" spans="1:9" ht="20.100000000000001" customHeight="1">
      <c r="A159" s="25">
        <v>27</v>
      </c>
      <c r="B159" s="16" t="s">
        <v>283</v>
      </c>
      <c r="C159" s="10" t="s">
        <v>284</v>
      </c>
      <c r="D159" s="13" t="s">
        <v>92</v>
      </c>
      <c r="E159" s="70">
        <f t="shared" si="20"/>
        <v>16512.68</v>
      </c>
      <c r="F159" s="197">
        <v>17008.323359999999</v>
      </c>
      <c r="G159" s="70">
        <f t="shared" si="19"/>
        <v>495.64335999999503</v>
      </c>
      <c r="H159" s="11"/>
      <c r="I159" s="11"/>
    </row>
    <row r="160" spans="1:9" ht="20.100000000000001" customHeight="1">
      <c r="A160" s="25">
        <v>28</v>
      </c>
      <c r="B160" s="9" t="s">
        <v>289</v>
      </c>
      <c r="C160" s="10" t="s">
        <v>290</v>
      </c>
      <c r="D160" s="13" t="s">
        <v>297</v>
      </c>
      <c r="E160" s="70">
        <f>9117.05</f>
        <v>9117.0499999999993</v>
      </c>
      <c r="F160" s="197">
        <v>10776.457626666701</v>
      </c>
      <c r="G160" s="70">
        <f t="shared" si="19"/>
        <v>1659.40762666667</v>
      </c>
      <c r="H160" s="11"/>
      <c r="I160" s="11"/>
    </row>
    <row r="161" spans="1:9" ht="20.100000000000001" customHeight="1">
      <c r="A161" s="25">
        <v>29</v>
      </c>
      <c r="B161" s="9" t="s">
        <v>292</v>
      </c>
      <c r="C161" s="10" t="s">
        <v>290</v>
      </c>
      <c r="D161" s="13" t="s">
        <v>297</v>
      </c>
      <c r="E161" s="70">
        <f>9504.2</f>
        <v>9504.2000000000007</v>
      </c>
      <c r="F161" s="197">
        <v>11232.457626666701</v>
      </c>
      <c r="G161" s="70">
        <f t="shared" si="19"/>
        <v>1728.2576266666599</v>
      </c>
      <c r="H161" s="11"/>
      <c r="I161" s="11"/>
    </row>
    <row r="162" spans="1:9" ht="20.100000000000001" customHeight="1">
      <c r="A162" s="25">
        <v>30</v>
      </c>
      <c r="B162" s="9" t="s">
        <v>293</v>
      </c>
      <c r="C162" s="10" t="s">
        <v>290</v>
      </c>
      <c r="D162" s="13" t="s">
        <v>297</v>
      </c>
      <c r="E162" s="70">
        <f>9144.2</f>
        <v>9144.2000000000007</v>
      </c>
      <c r="F162" s="197">
        <v>10776.457626666701</v>
      </c>
      <c r="G162" s="70">
        <f t="shared" si="19"/>
        <v>1632.2576266666599</v>
      </c>
      <c r="H162" s="11"/>
      <c r="I162" s="11"/>
    </row>
    <row r="163" spans="1:9" ht="20.100000000000001" customHeight="1">
      <c r="A163" s="25">
        <v>31</v>
      </c>
      <c r="B163" s="9" t="s">
        <v>736</v>
      </c>
      <c r="C163" s="10" t="s">
        <v>290</v>
      </c>
      <c r="D163" s="13" t="s">
        <v>297</v>
      </c>
      <c r="E163" s="70">
        <f>9144.2</f>
        <v>9144.2000000000007</v>
      </c>
      <c r="F163" s="197">
        <v>10776.457626666701</v>
      </c>
      <c r="G163" s="70">
        <f t="shared" si="19"/>
        <v>1632.2576266666599</v>
      </c>
      <c r="H163" s="11"/>
      <c r="I163" s="11"/>
    </row>
    <row r="164" spans="1:9" ht="20.100000000000001" customHeight="1">
      <c r="A164" s="25">
        <v>32</v>
      </c>
      <c r="B164" s="9" t="s">
        <v>294</v>
      </c>
      <c r="C164" s="10" t="s">
        <v>290</v>
      </c>
      <c r="D164" s="13" t="s">
        <v>297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295</v>
      </c>
      <c r="C165" s="10" t="s">
        <v>290</v>
      </c>
      <c r="D165" s="13" t="s">
        <v>297</v>
      </c>
      <c r="E165" s="70">
        <f>9144.2</f>
        <v>9144.2000000000007</v>
      </c>
      <c r="F165" s="197">
        <v>10776.457626666701</v>
      </c>
      <c r="G165" s="70">
        <f t="shared" si="19"/>
        <v>1632.2576266666599</v>
      </c>
      <c r="H165" s="11"/>
      <c r="I165" s="11"/>
    </row>
    <row r="166" spans="1:9" ht="20.100000000000001" customHeight="1">
      <c r="A166" s="25">
        <v>34</v>
      </c>
      <c r="B166" s="9" t="s">
        <v>296</v>
      </c>
      <c r="C166" s="10" t="s">
        <v>290</v>
      </c>
      <c r="D166" s="13" t="s">
        <v>308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298</v>
      </c>
      <c r="C167" s="10" t="s">
        <v>290</v>
      </c>
      <c r="D167" s="13" t="s">
        <v>308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1187</v>
      </c>
      <c r="C168" s="10" t="s">
        <v>290</v>
      </c>
      <c r="D168" s="13" t="s">
        <v>308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299</v>
      </c>
      <c r="C169" s="10" t="s">
        <v>290</v>
      </c>
      <c r="D169" s="13" t="s">
        <v>308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300</v>
      </c>
      <c r="C170" s="10" t="s">
        <v>290</v>
      </c>
      <c r="D170" s="13" t="s">
        <v>308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301</v>
      </c>
      <c r="C171" s="10" t="s">
        <v>290</v>
      </c>
      <c r="D171" s="13" t="s">
        <v>308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302</v>
      </c>
      <c r="C172" s="10" t="s">
        <v>290</v>
      </c>
      <c r="D172" s="13" t="s">
        <v>308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303</v>
      </c>
      <c r="C173" s="10" t="s">
        <v>310</v>
      </c>
      <c r="D173" s="13" t="s">
        <v>311</v>
      </c>
      <c r="E173" s="70">
        <f>4227.52</f>
        <v>4227.5200000000004</v>
      </c>
      <c r="F173" s="197">
        <v>4365.3307546666701</v>
      </c>
      <c r="G173" s="70">
        <f t="shared" si="19"/>
        <v>137.810754666668</v>
      </c>
      <c r="H173" s="11"/>
      <c r="I173" s="11"/>
    </row>
    <row r="174" spans="1:9" ht="20.100000000000001" customHeight="1">
      <c r="A174" s="25">
        <v>42</v>
      </c>
      <c r="B174" s="9" t="s">
        <v>306</v>
      </c>
      <c r="C174" s="10" t="s">
        <v>310</v>
      </c>
      <c r="D174" s="13" t="s">
        <v>311</v>
      </c>
      <c r="E174" s="70">
        <f>4227.52</f>
        <v>4227.5200000000004</v>
      </c>
      <c r="F174" s="197">
        <v>4365.3307546666701</v>
      </c>
      <c r="G174" s="70">
        <f t="shared" si="19"/>
        <v>137.810754666668</v>
      </c>
      <c r="H174" s="11"/>
      <c r="I174" s="11"/>
    </row>
    <row r="175" spans="1:9" ht="20.100000000000001" customHeight="1">
      <c r="A175" s="25">
        <v>43</v>
      </c>
      <c r="B175" s="16" t="s">
        <v>307</v>
      </c>
      <c r="C175" s="10" t="s">
        <v>310</v>
      </c>
      <c r="D175" s="13" t="s">
        <v>1014</v>
      </c>
      <c r="E175" s="70">
        <f>4365.33</f>
        <v>4365.33</v>
      </c>
      <c r="F175" s="197">
        <v>4504.4109200000003</v>
      </c>
      <c r="G175" s="70">
        <f t="shared" si="19"/>
        <v>139.080919999999</v>
      </c>
      <c r="H175" s="11"/>
      <c r="I175" s="11"/>
    </row>
    <row r="176" spans="1:9" ht="20.100000000000001" customHeight="1">
      <c r="A176" s="25">
        <v>44</v>
      </c>
      <c r="B176" s="9" t="s">
        <v>309</v>
      </c>
      <c r="C176" s="10" t="s">
        <v>310</v>
      </c>
      <c r="D176" s="13" t="s">
        <v>1020</v>
      </c>
      <c r="E176" s="70">
        <f>4089.72</f>
        <v>4089.72</v>
      </c>
      <c r="F176" s="197">
        <v>4227.5237226666704</v>
      </c>
      <c r="G176" s="70">
        <f t="shared" si="19"/>
        <v>137.80372266666799</v>
      </c>
      <c r="H176" s="11"/>
      <c r="I176" s="11"/>
    </row>
    <row r="177" spans="1:9" ht="20.100000000000001" customHeight="1">
      <c r="A177" s="25">
        <v>45</v>
      </c>
      <c r="B177" s="9" t="s">
        <v>312</v>
      </c>
      <c r="C177" s="10" t="s">
        <v>313</v>
      </c>
      <c r="D177" s="13" t="s">
        <v>1021</v>
      </c>
      <c r="E177" s="70">
        <f>3951.8</f>
        <v>3951.8</v>
      </c>
      <c r="F177" s="197">
        <v>4089.7166906666698</v>
      </c>
      <c r="G177" s="70">
        <f t="shared" si="19"/>
        <v>137.91669066666799</v>
      </c>
      <c r="H177" s="11"/>
      <c r="I177" s="11"/>
    </row>
    <row r="178" spans="1:9" ht="20.100000000000001" customHeight="1">
      <c r="A178" s="25">
        <v>46</v>
      </c>
      <c r="B178" s="9" t="s">
        <v>315</v>
      </c>
      <c r="C178" s="10" t="s">
        <v>313</v>
      </c>
      <c r="D178" s="13" t="s">
        <v>1021</v>
      </c>
      <c r="E178" s="70">
        <f>3687.8</f>
        <v>3687.8</v>
      </c>
      <c r="F178" s="197">
        <v>3825.7166906666698</v>
      </c>
      <c r="G178" s="70">
        <f t="shared" si="19"/>
        <v>137.91669066666799</v>
      </c>
      <c r="H178" s="11"/>
      <c r="I178" s="11"/>
    </row>
    <row r="179" spans="1:9" ht="20.100000000000001" customHeight="1">
      <c r="A179" s="25">
        <v>47</v>
      </c>
      <c r="B179" s="9" t="s">
        <v>316</v>
      </c>
      <c r="C179" s="10" t="s">
        <v>313</v>
      </c>
      <c r="D179" s="13" t="s">
        <v>1021</v>
      </c>
      <c r="E179" s="70">
        <f>3951.8</f>
        <v>3951.8</v>
      </c>
      <c r="F179" s="197">
        <v>4089.7166906666698</v>
      </c>
      <c r="G179" s="70">
        <f t="shared" si="19"/>
        <v>137.91669066666799</v>
      </c>
      <c r="H179" s="11"/>
      <c r="I179" s="11"/>
    </row>
    <row r="180" spans="1:9" ht="20.100000000000001" customHeight="1">
      <c r="A180" s="25">
        <v>48</v>
      </c>
      <c r="B180" s="9" t="s">
        <v>317</v>
      </c>
      <c r="C180" s="10" t="s">
        <v>313</v>
      </c>
      <c r="D180" s="13" t="s">
        <v>1021</v>
      </c>
      <c r="E180" s="70">
        <f>3687.8</f>
        <v>3687.8</v>
      </c>
      <c r="F180" s="197">
        <v>3825.7166906666698</v>
      </c>
      <c r="G180" s="70">
        <f t="shared" si="19"/>
        <v>137.91669066666799</v>
      </c>
      <c r="H180" s="11"/>
      <c r="I180" s="11"/>
    </row>
    <row r="181" spans="1:9" ht="20.100000000000001" customHeight="1">
      <c r="A181" s="25">
        <v>49</v>
      </c>
      <c r="B181" s="9" t="s">
        <v>318</v>
      </c>
      <c r="C181" s="10" t="s">
        <v>313</v>
      </c>
      <c r="D181" s="13" t="s">
        <v>1021</v>
      </c>
      <c r="E181" s="70">
        <f>3951.8</f>
        <v>3951.8</v>
      </c>
      <c r="F181" s="197">
        <v>4089.7166906666698</v>
      </c>
      <c r="G181" s="70">
        <f t="shared" si="19"/>
        <v>137.91669066666799</v>
      </c>
      <c r="H181" s="11"/>
      <c r="I181" s="11"/>
    </row>
    <row r="182" spans="1:9" ht="20.100000000000001" customHeight="1">
      <c r="A182" s="25">
        <v>50</v>
      </c>
      <c r="B182" s="16" t="s">
        <v>319</v>
      </c>
      <c r="C182" s="10" t="s">
        <v>313</v>
      </c>
      <c r="D182" s="13" t="s">
        <v>1021</v>
      </c>
      <c r="E182" s="70">
        <f>3687.8</f>
        <v>3687.8</v>
      </c>
      <c r="F182" s="197">
        <v>3825.7166906666698</v>
      </c>
      <c r="G182" s="70">
        <f t="shared" si="19"/>
        <v>137.91669066666799</v>
      </c>
      <c r="H182" s="11"/>
      <c r="I182" s="11"/>
    </row>
    <row r="183" spans="1:9" ht="20.100000000000001" customHeight="1">
      <c r="A183" s="25">
        <v>51</v>
      </c>
      <c r="B183" s="16" t="s">
        <v>320</v>
      </c>
      <c r="C183" s="10" t="s">
        <v>313</v>
      </c>
      <c r="D183" s="13" t="s">
        <v>1021</v>
      </c>
      <c r="E183" s="70">
        <f>3951.8</f>
        <v>3951.8</v>
      </c>
      <c r="F183" s="197">
        <v>4089.7166906666698</v>
      </c>
      <c r="G183" s="70">
        <f t="shared" si="19"/>
        <v>137.91669066666799</v>
      </c>
      <c r="H183" s="11"/>
      <c r="I183" s="11"/>
    </row>
    <row r="184" spans="1:9" ht="20.100000000000001" customHeight="1">
      <c r="A184" s="25">
        <v>52</v>
      </c>
      <c r="B184" s="9" t="s">
        <v>321</v>
      </c>
      <c r="C184" s="10" t="s">
        <v>310</v>
      </c>
      <c r="D184" s="13" t="s">
        <v>1021</v>
      </c>
      <c r="E184" s="70">
        <f>3951.8</f>
        <v>3951.8</v>
      </c>
      <c r="F184" s="197">
        <v>4089.7166906666698</v>
      </c>
      <c r="G184" s="70">
        <f t="shared" si="19"/>
        <v>137.91669066666799</v>
      </c>
      <c r="H184" s="11"/>
      <c r="I184" s="11"/>
    </row>
    <row r="185" spans="1:9" ht="20.100000000000001" customHeight="1">
      <c r="A185" s="25">
        <v>53</v>
      </c>
      <c r="B185" s="9" t="s">
        <v>322</v>
      </c>
      <c r="C185" s="10" t="s">
        <v>310</v>
      </c>
      <c r="D185" s="13" t="s">
        <v>1021</v>
      </c>
      <c r="E185" s="70">
        <f>3951.8</f>
        <v>3951.8</v>
      </c>
      <c r="F185" s="197">
        <v>4089.7166906666698</v>
      </c>
      <c r="G185" s="70">
        <f t="shared" si="19"/>
        <v>137.91669066666799</v>
      </c>
      <c r="H185" s="11"/>
      <c r="I185" s="11"/>
    </row>
    <row r="186" spans="1:9" ht="20.100000000000001" customHeight="1">
      <c r="A186" s="25">
        <v>54</v>
      </c>
      <c r="B186" s="16" t="s">
        <v>323</v>
      </c>
      <c r="C186" s="10" t="s">
        <v>313</v>
      </c>
      <c r="D186" s="13" t="s">
        <v>1039</v>
      </c>
      <c r="E186" s="70">
        <f>3183.66</f>
        <v>3183.66</v>
      </c>
      <c r="F186" s="197">
        <v>3064.8720786666699</v>
      </c>
      <c r="G186" s="70">
        <f t="shared" si="19"/>
        <v>-118.787921333334</v>
      </c>
      <c r="H186" s="11"/>
      <c r="I186" s="11"/>
    </row>
    <row r="187" spans="1:9" ht="20.100000000000001" customHeight="1">
      <c r="A187" s="25">
        <v>55</v>
      </c>
      <c r="B187" s="16" t="s">
        <v>328</v>
      </c>
      <c r="C187" s="10" t="s">
        <v>313</v>
      </c>
      <c r="D187" s="13" t="s">
        <v>1022</v>
      </c>
      <c r="E187" s="70">
        <f>2972.91</f>
        <v>2972.91</v>
      </c>
      <c r="F187" s="197">
        <v>3091.5368486666698</v>
      </c>
      <c r="G187" s="70">
        <f t="shared" si="19"/>
        <v>118.626848666667</v>
      </c>
      <c r="H187" s="11"/>
      <c r="I187" s="11"/>
    </row>
    <row r="188" spans="1:9" ht="20.100000000000001" customHeight="1">
      <c r="A188" s="25"/>
      <c r="B188" s="6" t="s">
        <v>96</v>
      </c>
      <c r="C188" s="26" t="s">
        <v>1188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339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7135974.5583150052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793" t="s">
        <v>0</v>
      </c>
      <c r="B1" s="793"/>
      <c r="C1" s="793"/>
      <c r="D1" s="793"/>
      <c r="E1" s="793"/>
    </row>
    <row r="2" spans="1:9" ht="33.75" customHeight="1">
      <c r="A2" s="61" t="s">
        <v>1192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1210</v>
      </c>
      <c r="G4" s="184" t="s">
        <v>1211</v>
      </c>
      <c r="H4" s="22" t="s">
        <v>591</v>
      </c>
    </row>
    <row r="5" spans="1:9" ht="20.100000000000001" customHeight="1">
      <c r="A5" s="7" t="s">
        <v>20</v>
      </c>
      <c r="B5" s="6" t="s">
        <v>21</v>
      </c>
      <c r="C5" s="6"/>
      <c r="D5" s="6"/>
      <c r="E5" s="67" t="s">
        <v>19</v>
      </c>
      <c r="F5" s="67" t="s">
        <v>19</v>
      </c>
      <c r="G5" s="67" t="s">
        <v>19</v>
      </c>
      <c r="H5" s="67" t="s">
        <v>19</v>
      </c>
    </row>
    <row r="6" spans="1:9" ht="20.100000000000001" customHeight="1">
      <c r="A6" s="8">
        <v>1</v>
      </c>
      <c r="B6" s="9" t="s">
        <v>22</v>
      </c>
      <c r="C6" s="10" t="s">
        <v>23</v>
      </c>
      <c r="D6" s="10" t="s">
        <v>24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1082</v>
      </c>
      <c r="C7" s="2" t="s">
        <v>1172</v>
      </c>
      <c r="D7" s="8" t="s">
        <v>191</v>
      </c>
      <c r="E7" s="70">
        <f>42653.17</f>
        <v>42653.17</v>
      </c>
      <c r="F7" s="70">
        <f>0.025*E7</f>
        <v>1066.32925</v>
      </c>
      <c r="G7" s="70">
        <f>'[14]April 2022'!$H$26</f>
        <v>1028.9422500000001</v>
      </c>
      <c r="H7" s="70">
        <f>F7-G7</f>
        <v>37.386999999999944</v>
      </c>
      <c r="I7" s="11"/>
    </row>
    <row r="8" spans="1:9" ht="20.100000000000001" customHeight="1">
      <c r="A8" s="8">
        <v>3</v>
      </c>
      <c r="B8" s="12" t="s">
        <v>1173</v>
      </c>
      <c r="C8" s="2" t="s">
        <v>1174</v>
      </c>
      <c r="D8" s="8" t="s">
        <v>191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25</v>
      </c>
      <c r="C9" s="10" t="s">
        <v>26</v>
      </c>
      <c r="D9" s="8" t="s">
        <v>27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28</v>
      </c>
      <c r="C10" s="2" t="s">
        <v>29</v>
      </c>
      <c r="D10" s="13" t="s">
        <v>112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175</v>
      </c>
      <c r="C11" s="2" t="s">
        <v>1084</v>
      </c>
      <c r="D11" s="14" t="s">
        <v>112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30</v>
      </c>
      <c r="C12" s="15" t="s">
        <v>31</v>
      </c>
      <c r="D12" s="14" t="s">
        <v>112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32</v>
      </c>
      <c r="C13" s="2" t="s">
        <v>33</v>
      </c>
      <c r="D13" s="14" t="s">
        <v>112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34</v>
      </c>
      <c r="C14" s="10" t="s">
        <v>35</v>
      </c>
      <c r="D14" s="13" t="s">
        <v>36</v>
      </c>
      <c r="E14" s="70">
        <v>33507.5</v>
      </c>
      <c r="F14" s="70">
        <f>0.025*E14</f>
        <v>837.6875</v>
      </c>
      <c r="G14" s="70">
        <f>'[14]April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519</v>
      </c>
      <c r="C15" s="10" t="s">
        <v>572</v>
      </c>
      <c r="D15" s="8" t="s">
        <v>571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1175</v>
      </c>
      <c r="C16" s="2" t="s">
        <v>1176</v>
      </c>
      <c r="D16" s="14" t="s">
        <v>224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1085</v>
      </c>
      <c r="C17" s="2" t="s">
        <v>41</v>
      </c>
      <c r="D17" s="8" t="s">
        <v>224</v>
      </c>
      <c r="E17" s="70">
        <v>27611.23</v>
      </c>
      <c r="F17" s="70">
        <f>0.025*E17</f>
        <v>690.28075000000001</v>
      </c>
      <c r="G17" s="70">
        <f>'[14]April 2022'!$H$27</f>
        <v>668.31624999999997</v>
      </c>
      <c r="H17" s="70">
        <f t="shared" si="0"/>
        <v>21.964500000000044</v>
      </c>
      <c r="I17" s="11"/>
    </row>
    <row r="18" spans="1:9" ht="19.5" customHeight="1">
      <c r="A18" s="8">
        <v>13</v>
      </c>
      <c r="B18" s="12" t="s">
        <v>1177</v>
      </c>
      <c r="C18" s="2" t="s">
        <v>1178</v>
      </c>
      <c r="D18" s="8" t="s">
        <v>224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40</v>
      </c>
      <c r="C19" s="2" t="s">
        <v>41</v>
      </c>
      <c r="D19" s="13" t="s">
        <v>224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1016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1017</v>
      </c>
      <c r="E21" s="70">
        <f>23891.12</f>
        <v>23891.119999999999</v>
      </c>
      <c r="F21" s="70">
        <f>0.025*E21</f>
        <v>597.27800000000002</v>
      </c>
      <c r="G21" s="70">
        <f>'[14]April 2022'!$H$52</f>
        <v>576.87474999999995</v>
      </c>
      <c r="H21" s="70">
        <f t="shared" si="0"/>
        <v>20.403250000000071</v>
      </c>
      <c r="I21" s="11"/>
    </row>
    <row r="22" spans="1:9" ht="20.100000000000001" customHeight="1">
      <c r="A22" s="8">
        <v>17</v>
      </c>
      <c r="B22" s="9" t="s">
        <v>206</v>
      </c>
      <c r="C22" s="10" t="s">
        <v>579</v>
      </c>
      <c r="D22" s="13" t="s">
        <v>62</v>
      </c>
      <c r="E22" s="70">
        <f>22837.82</f>
        <v>22837.82</v>
      </c>
      <c r="F22" s="70">
        <f>0.025*E22</f>
        <v>570.94550000000004</v>
      </c>
      <c r="G22" s="70">
        <f>'[14]April 2022'!$H$45</f>
        <v>538.02200000000005</v>
      </c>
      <c r="H22" s="70">
        <f t="shared" si="0"/>
        <v>32.92349999999999</v>
      </c>
      <c r="I22" s="11"/>
    </row>
    <row r="23" spans="1:9" ht="18.75" customHeight="1">
      <c r="A23" s="8">
        <v>18</v>
      </c>
      <c r="B23" s="9" t="s">
        <v>60</v>
      </c>
      <c r="C23" s="10" t="s">
        <v>61</v>
      </c>
      <c r="D23" s="13" t="s">
        <v>137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204</v>
      </c>
      <c r="C24" s="2" t="s">
        <v>205</v>
      </c>
      <c r="D24" s="13" t="s">
        <v>137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256</v>
      </c>
      <c r="C25" s="2" t="s">
        <v>1194</v>
      </c>
      <c r="D25" s="13" t="s">
        <v>585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1179</v>
      </c>
      <c r="C26" s="10" t="s">
        <v>91</v>
      </c>
      <c r="D26" s="13" t="s">
        <v>267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73</v>
      </c>
      <c r="C27" s="2" t="s">
        <v>74</v>
      </c>
      <c r="D27" s="8" t="s">
        <v>80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76</v>
      </c>
      <c r="C28" s="10" t="s">
        <v>74</v>
      </c>
      <c r="D28" s="13" t="s">
        <v>80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1086</v>
      </c>
      <c r="C29" s="10" t="s">
        <v>1087</v>
      </c>
      <c r="D29" s="13" t="s">
        <v>80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78</v>
      </c>
      <c r="C30" s="10" t="s">
        <v>1033</v>
      </c>
      <c r="D30" s="13" t="s">
        <v>1195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184</v>
      </c>
      <c r="C31" s="15" t="s">
        <v>1196</v>
      </c>
      <c r="D31" s="13" t="s">
        <v>1011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81</v>
      </c>
      <c r="C32" s="2" t="s">
        <v>1088</v>
      </c>
      <c r="D32" s="8" t="s">
        <v>1011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85</v>
      </c>
      <c r="C33" s="15" t="s">
        <v>86</v>
      </c>
      <c r="D33" s="13" t="s">
        <v>80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88</v>
      </c>
      <c r="C34" s="2" t="s">
        <v>1197</v>
      </c>
      <c r="D34" s="8" t="s">
        <v>92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1006</v>
      </c>
      <c r="C35" s="10" t="s">
        <v>91</v>
      </c>
      <c r="D35" s="13" t="s">
        <v>92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1180</v>
      </c>
      <c r="C36" s="10" t="s">
        <v>91</v>
      </c>
      <c r="D36" s="13" t="s">
        <v>92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96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112.68274999999994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97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98</v>
      </c>
      <c r="C40" s="2" t="s">
        <v>99</v>
      </c>
      <c r="D40" s="8" t="s">
        <v>100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101</v>
      </c>
      <c r="C41" s="2" t="s">
        <v>612</v>
      </c>
      <c r="D41" s="8" t="s">
        <v>95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107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108</v>
      </c>
      <c r="C45" s="2" t="s">
        <v>109</v>
      </c>
      <c r="D45" s="8" t="s">
        <v>100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491</v>
      </c>
      <c r="C46" s="2" t="s">
        <v>44</v>
      </c>
      <c r="D46" s="8" t="s">
        <v>36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110</v>
      </c>
      <c r="C47" s="2" t="s">
        <v>114</v>
      </c>
      <c r="D47" s="8" t="s">
        <v>36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113</v>
      </c>
      <c r="C48" s="2" t="s">
        <v>114</v>
      </c>
      <c r="D48" s="8" t="s">
        <v>36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115</v>
      </c>
      <c r="C49" s="2" t="s">
        <v>114</v>
      </c>
      <c r="D49" s="8" t="s">
        <v>133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116</v>
      </c>
      <c r="C50" s="2" t="s">
        <v>46</v>
      </c>
      <c r="D50" s="8" t="s">
        <v>224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117</v>
      </c>
      <c r="C51" s="2" t="s">
        <v>135</v>
      </c>
      <c r="D51" s="14" t="s">
        <v>224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1091</v>
      </c>
      <c r="C52" s="2" t="s">
        <v>135</v>
      </c>
      <c r="D52" s="8" t="s">
        <v>150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45</v>
      </c>
      <c r="C53" s="2" t="s">
        <v>458</v>
      </c>
      <c r="D53" s="8" t="s">
        <v>52</v>
      </c>
      <c r="E53" s="70">
        <v>25523.45</v>
      </c>
      <c r="F53" s="70">
        <f>0.025*E53</f>
        <v>638.08624999999995</v>
      </c>
      <c r="G53" s="70">
        <f>'[14]April 2022'!$H$46</f>
        <v>618.53150000000005</v>
      </c>
      <c r="H53" s="70">
        <f t="shared" si="0"/>
        <v>19.554749999999899</v>
      </c>
      <c r="I53" s="11"/>
    </row>
    <row r="54" spans="1:9" ht="20.100000000000001" customHeight="1">
      <c r="A54" s="8">
        <v>10</v>
      </c>
      <c r="B54" s="9" t="s">
        <v>120</v>
      </c>
      <c r="C54" s="2" t="s">
        <v>119</v>
      </c>
      <c r="D54" s="8" t="s">
        <v>83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578</v>
      </c>
      <c r="C55" s="2" t="s">
        <v>119</v>
      </c>
      <c r="D55" s="8" t="s">
        <v>83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121</v>
      </c>
      <c r="C56" s="2" t="s">
        <v>119</v>
      </c>
      <c r="D56" s="8" t="s">
        <v>83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96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-11.555250000000115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122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501</v>
      </c>
      <c r="C60" s="10" t="s">
        <v>124</v>
      </c>
      <c r="D60" s="13" t="s">
        <v>100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96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128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129</v>
      </c>
      <c r="C64" s="15" t="s">
        <v>130</v>
      </c>
      <c r="D64" s="8" t="s">
        <v>100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131</v>
      </c>
      <c r="C65" s="15" t="s">
        <v>132</v>
      </c>
      <c r="D65" s="13" t="s">
        <v>1018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134</v>
      </c>
      <c r="C66" s="2" t="s">
        <v>167</v>
      </c>
      <c r="D66" s="8" t="s">
        <v>52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487</v>
      </c>
      <c r="C67" s="15" t="s">
        <v>167</v>
      </c>
      <c r="D67" s="13" t="s">
        <v>1016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517</v>
      </c>
      <c r="C68" s="15" t="s">
        <v>135</v>
      </c>
      <c r="D68" s="13" t="s">
        <v>224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136</v>
      </c>
      <c r="C69" s="2" t="s">
        <v>119</v>
      </c>
      <c r="D69" s="8" t="s">
        <v>1198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1099</v>
      </c>
      <c r="C70" s="15" t="s">
        <v>67</v>
      </c>
      <c r="D70" s="13" t="s">
        <v>62</v>
      </c>
      <c r="E70" s="70">
        <f>22837.82</f>
        <v>22837.82</v>
      </c>
      <c r="F70" s="70">
        <f>0.025*E70</f>
        <v>570.94550000000004</v>
      </c>
      <c r="G70" s="70">
        <f>'[14]April 2022'!$H$41</f>
        <v>538.02200000000005</v>
      </c>
      <c r="H70" s="70">
        <f t="shared" si="0"/>
        <v>32.92349999999999</v>
      </c>
      <c r="I70" s="11"/>
    </row>
    <row r="71" spans="1:9" ht="20.100000000000001" customHeight="1">
      <c r="A71" s="8">
        <v>8</v>
      </c>
      <c r="B71" s="9" t="s">
        <v>138</v>
      </c>
      <c r="C71" s="15" t="s">
        <v>67</v>
      </c>
      <c r="D71" s="13" t="s">
        <v>65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139</v>
      </c>
      <c r="C72" s="15" t="s">
        <v>67</v>
      </c>
      <c r="D72" s="13" t="s">
        <v>65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140</v>
      </c>
      <c r="C73" s="2" t="s">
        <v>141</v>
      </c>
      <c r="D73" s="8" t="s">
        <v>137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1181</v>
      </c>
      <c r="C74" s="15" t="s">
        <v>119</v>
      </c>
      <c r="D74" s="8" t="s">
        <v>104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77</v>
      </c>
      <c r="C75" s="15" t="s">
        <v>64</v>
      </c>
      <c r="D75" s="8" t="s">
        <v>80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63</v>
      </c>
      <c r="C76" s="15" t="s">
        <v>64</v>
      </c>
      <c r="D76" s="8" t="s">
        <v>92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96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143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144</v>
      </c>
      <c r="C80" s="2" t="s">
        <v>145</v>
      </c>
      <c r="D80" s="8" t="s">
        <v>100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518</v>
      </c>
      <c r="C81" s="2" t="s">
        <v>570</v>
      </c>
      <c r="D81" s="13" t="s">
        <v>1018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1182</v>
      </c>
      <c r="C82" s="2" t="s">
        <v>1183</v>
      </c>
      <c r="D82" s="13" t="s">
        <v>1018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148</v>
      </c>
      <c r="C83" s="2" t="s">
        <v>1034</v>
      </c>
      <c r="D83" s="13" t="s">
        <v>52</v>
      </c>
      <c r="E83" s="70">
        <v>25523.45</v>
      </c>
      <c r="F83" s="70">
        <f>0.025*E83</f>
        <v>638.08624999999995</v>
      </c>
      <c r="G83" s="70">
        <f>'[14]April 2022'!$H$38</f>
        <v>618.53150000000005</v>
      </c>
      <c r="H83" s="70">
        <f t="shared" si="6"/>
        <v>19.554749999999899</v>
      </c>
      <c r="I83" s="11"/>
    </row>
    <row r="84" spans="1:9" ht="20.100000000000001" customHeight="1">
      <c r="A84" s="8">
        <v>5</v>
      </c>
      <c r="B84" s="9" t="s">
        <v>151</v>
      </c>
      <c r="C84" s="2" t="s">
        <v>154</v>
      </c>
      <c r="D84" s="8" t="s">
        <v>104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96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19.554749999999899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157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1199</v>
      </c>
      <c r="C88" s="2" t="s">
        <v>1200</v>
      </c>
      <c r="D88" s="8" t="s">
        <v>191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158</v>
      </c>
      <c r="C89" s="2" t="s">
        <v>114</v>
      </c>
      <c r="D89" s="8" t="s">
        <v>36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159</v>
      </c>
      <c r="C90" s="2" t="s">
        <v>114</v>
      </c>
      <c r="D90" s="8" t="s">
        <v>36</v>
      </c>
      <c r="E90" s="70">
        <v>33507.5</v>
      </c>
      <c r="F90" s="70">
        <f>0.025*E90</f>
        <v>837.6875</v>
      </c>
      <c r="G90" s="70">
        <f>'[14]April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203</v>
      </c>
      <c r="C91" s="2" t="s">
        <v>135</v>
      </c>
      <c r="D91" s="8" t="s">
        <v>42</v>
      </c>
      <c r="E91" s="70">
        <f>28489.81</f>
        <v>28489.81</v>
      </c>
      <c r="F91" s="70">
        <f>0.025*E91</f>
        <v>712.24525000000006</v>
      </c>
      <c r="G91" s="70">
        <f>'[14]April 2022'!$H$44</f>
        <v>690.28075000000001</v>
      </c>
      <c r="H91" s="70">
        <f t="shared" si="6"/>
        <v>21.964500000000044</v>
      </c>
      <c r="I91" s="11"/>
    </row>
    <row r="92" spans="1:9" ht="20.100000000000001" customHeight="1">
      <c r="A92" s="8">
        <v>5</v>
      </c>
      <c r="B92" s="9" t="s">
        <v>160</v>
      </c>
      <c r="C92" s="2" t="s">
        <v>46</v>
      </c>
      <c r="D92" s="8" t="s">
        <v>224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161</v>
      </c>
      <c r="C93" s="2" t="s">
        <v>458</v>
      </c>
      <c r="D93" s="13" t="s">
        <v>52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162</v>
      </c>
      <c r="C94" s="10" t="s">
        <v>167</v>
      </c>
      <c r="D94" s="13" t="s">
        <v>1016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163</v>
      </c>
      <c r="C95" s="10" t="s">
        <v>167</v>
      </c>
      <c r="D95" s="13" t="s">
        <v>1016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165</v>
      </c>
      <c r="C96" s="15" t="s">
        <v>67</v>
      </c>
      <c r="D96" s="13" t="s">
        <v>65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169</v>
      </c>
      <c r="C97" s="2" t="s">
        <v>170</v>
      </c>
      <c r="D97" s="8" t="s">
        <v>70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171</v>
      </c>
      <c r="C98" s="15" t="s">
        <v>172</v>
      </c>
      <c r="D98" s="13" t="s">
        <v>92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96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21.964500000000044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174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574</v>
      </c>
      <c r="C102" s="8" t="s">
        <v>575</v>
      </c>
      <c r="D102" s="13" t="s">
        <v>112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37</v>
      </c>
      <c r="C103" s="2" t="s">
        <v>179</v>
      </c>
      <c r="D103" s="8" t="s">
        <v>224</v>
      </c>
      <c r="E103" s="70">
        <v>27611.23</v>
      </c>
      <c r="F103" s="70">
        <f>0.025*E103</f>
        <v>690.28075000000001</v>
      </c>
      <c r="G103" s="70">
        <f>'[14]April 2022'!$H$54</f>
        <v>668.31624999999997</v>
      </c>
      <c r="H103" s="70">
        <f t="shared" si="6"/>
        <v>21.964500000000044</v>
      </c>
      <c r="I103" s="11"/>
    </row>
    <row r="104" spans="1:9" ht="20.100000000000001" customHeight="1">
      <c r="A104" s="8">
        <v>3</v>
      </c>
      <c r="B104" s="16" t="s">
        <v>1201</v>
      </c>
      <c r="C104" s="2" t="s">
        <v>1202</v>
      </c>
      <c r="D104" s="13" t="s">
        <v>1016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182</v>
      </c>
      <c r="C105" s="2" t="s">
        <v>183</v>
      </c>
      <c r="D105" s="13" t="s">
        <v>137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96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21.964500000000044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186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187</v>
      </c>
      <c r="C109" s="10" t="s">
        <v>188</v>
      </c>
      <c r="D109" s="13" t="s">
        <v>100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189</v>
      </c>
      <c r="C110" s="2" t="s">
        <v>190</v>
      </c>
      <c r="D110" s="14" t="s">
        <v>112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192</v>
      </c>
      <c r="C111" s="2" t="s">
        <v>193</v>
      </c>
      <c r="D111" s="8" t="s">
        <v>194</v>
      </c>
      <c r="E111" s="70">
        <v>26339.3</v>
      </c>
      <c r="F111" s="70">
        <f>0.025*E111</f>
        <v>658.48249999999996</v>
      </c>
      <c r="G111" s="70">
        <f>'[14]April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195</v>
      </c>
      <c r="C112" s="2" t="s">
        <v>193</v>
      </c>
      <c r="D112" s="8" t="s">
        <v>194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196</v>
      </c>
      <c r="C113" s="2" t="s">
        <v>197</v>
      </c>
      <c r="D113" s="13" t="s">
        <v>200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199</v>
      </c>
      <c r="C114" s="2" t="s">
        <v>197</v>
      </c>
      <c r="D114" s="8" t="s">
        <v>1011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201</v>
      </c>
      <c r="C115" s="2" t="s">
        <v>197</v>
      </c>
      <c r="D115" s="13" t="s">
        <v>92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96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1687.4247500000001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215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216</v>
      </c>
      <c r="C119" s="10" t="s">
        <v>217</v>
      </c>
      <c r="D119" s="13" t="s">
        <v>100</v>
      </c>
      <c r="E119" s="70">
        <v>81740.02</v>
      </c>
      <c r="F119" s="70">
        <f>0.025*E119</f>
        <v>2043.5005000000001</v>
      </c>
      <c r="G119" s="70">
        <f>'[14]April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1203</v>
      </c>
      <c r="B120" s="9" t="s">
        <v>1204</v>
      </c>
      <c r="C120" s="10" t="s">
        <v>1205</v>
      </c>
      <c r="D120" s="13" t="s">
        <v>191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218</v>
      </c>
      <c r="C121" s="10" t="s">
        <v>221</v>
      </c>
      <c r="D121" s="13" t="s">
        <v>36</v>
      </c>
      <c r="E121" s="70">
        <v>33507.5</v>
      </c>
      <c r="F121" s="70">
        <f>0.025*E121</f>
        <v>837.6875</v>
      </c>
      <c r="G121" s="70">
        <f>'[14]April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220</v>
      </c>
      <c r="C122" s="10" t="s">
        <v>221</v>
      </c>
      <c r="D122" s="13" t="s">
        <v>36</v>
      </c>
      <c r="E122" s="70">
        <v>33507.5</v>
      </c>
      <c r="F122" s="70">
        <f>0.025*E122</f>
        <v>837.6875</v>
      </c>
      <c r="G122" s="70">
        <f>'[14]April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521</v>
      </c>
      <c r="C123" s="10" t="s">
        <v>221</v>
      </c>
      <c r="D123" s="13" t="s">
        <v>39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222</v>
      </c>
      <c r="C124" s="10" t="s">
        <v>223</v>
      </c>
      <c r="D124" s="13" t="s">
        <v>150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225</v>
      </c>
      <c r="C125" s="10" t="s">
        <v>226</v>
      </c>
      <c r="D125" s="13" t="s">
        <v>52</v>
      </c>
      <c r="E125" s="70">
        <v>25523.45</v>
      </c>
      <c r="F125" s="70">
        <f>0.025*E125</f>
        <v>638.08624999999995</v>
      </c>
      <c r="G125" s="70">
        <f>'[14]April 2022'!$H$48</f>
        <v>618.53150000000005</v>
      </c>
      <c r="H125" s="70">
        <f t="shared" si="6"/>
        <v>19.554749999999899</v>
      </c>
      <c r="I125" s="11"/>
    </row>
    <row r="126" spans="1:9" ht="20.100000000000001" customHeight="1">
      <c r="A126" s="2">
        <v>8</v>
      </c>
      <c r="B126" s="9" t="s">
        <v>227</v>
      </c>
      <c r="C126" s="10" t="s">
        <v>1036</v>
      </c>
      <c r="D126" s="13" t="s">
        <v>52</v>
      </c>
      <c r="E126" s="70">
        <v>25523.45</v>
      </c>
      <c r="F126" s="70">
        <f>0.025*E126</f>
        <v>638.08624999999995</v>
      </c>
      <c r="G126" s="70">
        <f>'[14]April 2022'!$H$24</f>
        <v>618.53150000000005</v>
      </c>
      <c r="H126" s="70">
        <f t="shared" si="6"/>
        <v>19.554749999999899</v>
      </c>
      <c r="I126" s="11"/>
    </row>
    <row r="127" spans="1:9" ht="20.100000000000001" customHeight="1">
      <c r="A127" s="2">
        <v>9</v>
      </c>
      <c r="B127" s="16" t="s">
        <v>1206</v>
      </c>
      <c r="C127" s="10" t="s">
        <v>1207</v>
      </c>
      <c r="D127" s="13" t="s">
        <v>55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228</v>
      </c>
      <c r="C128" s="10" t="s">
        <v>229</v>
      </c>
      <c r="D128" s="8" t="s">
        <v>80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230</v>
      </c>
      <c r="C129" s="10" t="s">
        <v>231</v>
      </c>
      <c r="D129" s="13" t="s">
        <v>92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96</v>
      </c>
      <c r="C130" s="24" t="s">
        <v>1208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39.109499999999571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236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237</v>
      </c>
      <c r="C133" s="10" t="s">
        <v>238</v>
      </c>
      <c r="D133" s="13" t="s">
        <v>100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522</v>
      </c>
      <c r="C134" s="10" t="s">
        <v>573</v>
      </c>
      <c r="D134" s="13" t="s">
        <v>191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239</v>
      </c>
      <c r="C135" s="2" t="s">
        <v>240</v>
      </c>
      <c r="D135" s="14" t="s">
        <v>112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241</v>
      </c>
      <c r="C136" s="10" t="s">
        <v>580</v>
      </c>
      <c r="D136" s="13" t="s">
        <v>224</v>
      </c>
      <c r="E136" s="70">
        <v>27611.23</v>
      </c>
      <c r="F136" s="70">
        <f>0.025*E136</f>
        <v>690.28075000000001</v>
      </c>
      <c r="G136" s="70">
        <f>'[14]April 2022'!$H$47</f>
        <v>668.31624999999997</v>
      </c>
      <c r="H136" s="70">
        <f t="shared" ref="H136:H189" si="14">F136-G136</f>
        <v>21.964500000000044</v>
      </c>
      <c r="I136" s="11"/>
    </row>
    <row r="137" spans="1:9" ht="20.100000000000001" customHeight="1">
      <c r="A137" s="25">
        <v>5</v>
      </c>
      <c r="B137" s="9" t="s">
        <v>243</v>
      </c>
      <c r="C137" s="2" t="s">
        <v>581</v>
      </c>
      <c r="D137" s="13" t="s">
        <v>224</v>
      </c>
      <c r="E137" s="70">
        <v>27611.23</v>
      </c>
      <c r="F137" s="70">
        <f>0.025*E137</f>
        <v>690.28075000000001</v>
      </c>
      <c r="G137" s="70">
        <f>'[14]April 2022'!$H$50</f>
        <v>668.31624999999997</v>
      </c>
      <c r="H137" s="70">
        <f t="shared" si="14"/>
        <v>21.964500000000044</v>
      </c>
      <c r="I137" s="11"/>
    </row>
    <row r="138" spans="1:9" ht="20.100000000000001" customHeight="1">
      <c r="A138" s="25">
        <v>6</v>
      </c>
      <c r="B138" s="9" t="s">
        <v>178</v>
      </c>
      <c r="C138" s="2" t="s">
        <v>583</v>
      </c>
      <c r="D138" s="13" t="s">
        <v>52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180</v>
      </c>
      <c r="C139" s="10" t="s">
        <v>582</v>
      </c>
      <c r="D139" s="13" t="s">
        <v>62</v>
      </c>
      <c r="E139" s="70">
        <f>22837.82</f>
        <v>22837.82</v>
      </c>
      <c r="F139" s="70">
        <f>0.025*E139</f>
        <v>570.94550000000004</v>
      </c>
      <c r="G139" s="70">
        <f>'[14]April 2022'!$H$40</f>
        <v>538.02200000000005</v>
      </c>
      <c r="H139" s="70">
        <f t="shared" si="14"/>
        <v>32.92349999999999</v>
      </c>
      <c r="I139" s="11"/>
    </row>
    <row r="140" spans="1:9" ht="20.100000000000001" customHeight="1">
      <c r="A140" s="25">
        <v>8</v>
      </c>
      <c r="B140" s="9" t="s">
        <v>246</v>
      </c>
      <c r="C140" s="10" t="s">
        <v>582</v>
      </c>
      <c r="D140" s="13" t="s">
        <v>62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247</v>
      </c>
      <c r="C141" s="2" t="s">
        <v>583</v>
      </c>
      <c r="D141" s="13" t="s">
        <v>62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249</v>
      </c>
      <c r="C142" s="10" t="s">
        <v>254</v>
      </c>
      <c r="D142" s="13" t="s">
        <v>137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251</v>
      </c>
      <c r="C143" s="10" t="s">
        <v>1038</v>
      </c>
      <c r="D143" s="13" t="s">
        <v>585</v>
      </c>
      <c r="E143" s="186">
        <v>18779.3</v>
      </c>
      <c r="F143" s="70">
        <f>0.025*E143</f>
        <v>469.48250000000002</v>
      </c>
      <c r="G143" s="70">
        <f>'[14]April 2022'!$H$43</f>
        <v>457.041</v>
      </c>
      <c r="H143" s="70">
        <f t="shared" si="14"/>
        <v>12.441500000000019</v>
      </c>
      <c r="I143" s="11"/>
    </row>
    <row r="144" spans="1:9" ht="20.100000000000001" customHeight="1">
      <c r="A144" s="25">
        <v>12</v>
      </c>
      <c r="B144" s="9" t="s">
        <v>253</v>
      </c>
      <c r="C144" s="10" t="s">
        <v>254</v>
      </c>
      <c r="D144" s="13" t="s">
        <v>62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</v>
      </c>
      <c r="I144" s="11"/>
    </row>
    <row r="145" spans="1:9" ht="20.100000000000001" customHeight="1">
      <c r="A145" s="25">
        <v>13</v>
      </c>
      <c r="B145" s="9" t="s">
        <v>258</v>
      </c>
      <c r="C145" s="2" t="s">
        <v>584</v>
      </c>
      <c r="D145" s="13" t="s">
        <v>104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259</v>
      </c>
      <c r="C146" s="2" t="s">
        <v>584</v>
      </c>
      <c r="D146" s="13" t="s">
        <v>267</v>
      </c>
      <c r="E146" s="186">
        <v>18281.64</v>
      </c>
      <c r="F146" s="70">
        <f>0.025*E146</f>
        <v>457.041</v>
      </c>
      <c r="G146" s="70">
        <f>'[14]April 2022'!$H$36</f>
        <v>444.60250000000002</v>
      </c>
      <c r="H146" s="70">
        <f t="shared" si="14"/>
        <v>12.438499999999976</v>
      </c>
      <c r="I146" s="11"/>
    </row>
    <row r="147" spans="1:9" ht="20.100000000000001" customHeight="1">
      <c r="A147" s="25">
        <v>15</v>
      </c>
      <c r="B147" s="9" t="s">
        <v>260</v>
      </c>
      <c r="C147" s="2" t="s">
        <v>584</v>
      </c>
      <c r="D147" s="13" t="s">
        <v>267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261</v>
      </c>
      <c r="C148" s="10" t="s">
        <v>262</v>
      </c>
      <c r="D148" s="13" t="s">
        <v>70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1019</v>
      </c>
      <c r="C149" s="10" t="s">
        <v>264</v>
      </c>
      <c r="D149" s="8" t="s">
        <v>83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265</v>
      </c>
      <c r="C150" s="10" t="s">
        <v>266</v>
      </c>
      <c r="D150" s="13" t="s">
        <v>104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268</v>
      </c>
      <c r="C151" s="10" t="s">
        <v>269</v>
      </c>
      <c r="D151" s="13" t="s">
        <v>80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270</v>
      </c>
      <c r="C152" s="10" t="s">
        <v>271</v>
      </c>
      <c r="D152" s="13" t="s">
        <v>104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12.438499999999976</v>
      </c>
      <c r="I152" s="11"/>
    </row>
    <row r="153" spans="1:9" ht="20.100000000000001" customHeight="1">
      <c r="A153" s="25">
        <v>21</v>
      </c>
      <c r="B153" s="9" t="s">
        <v>272</v>
      </c>
      <c r="C153" s="10" t="s">
        <v>273</v>
      </c>
      <c r="D153" s="13" t="s">
        <v>80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274</v>
      </c>
      <c r="C154" s="10" t="s">
        <v>280</v>
      </c>
      <c r="D154" s="13" t="s">
        <v>1195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1209</v>
      </c>
      <c r="C155" s="10" t="s">
        <v>278</v>
      </c>
      <c r="D155" s="13" t="s">
        <v>92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277</v>
      </c>
      <c r="C156" s="10" t="s">
        <v>278</v>
      </c>
      <c r="D156" s="13" t="s">
        <v>95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279</v>
      </c>
      <c r="C157" s="10" t="s">
        <v>280</v>
      </c>
      <c r="D157" s="13" t="s">
        <v>95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281</v>
      </c>
      <c r="C158" s="10" t="s">
        <v>282</v>
      </c>
      <c r="D158" s="13" t="s">
        <v>92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283</v>
      </c>
      <c r="C159" s="10" t="s">
        <v>284</v>
      </c>
      <c r="D159" s="13" t="s">
        <v>92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289</v>
      </c>
      <c r="C160" s="10" t="s">
        <v>290</v>
      </c>
      <c r="D160" s="13" t="s">
        <v>297</v>
      </c>
      <c r="E160" s="192">
        <f>10527.6</f>
        <v>10527.6</v>
      </c>
      <c r="F160" s="70">
        <f>0.025*E160</f>
        <v>263.19</v>
      </c>
      <c r="G160" s="70">
        <f>'[14]April 2022'!$H$39</f>
        <v>226.2535</v>
      </c>
      <c r="H160" s="70">
        <f t="shared" si="14"/>
        <v>36.936499999999995</v>
      </c>
      <c r="I160" s="11"/>
    </row>
    <row r="161" spans="1:9" ht="20.100000000000001" customHeight="1">
      <c r="A161" s="25">
        <v>29</v>
      </c>
      <c r="B161" s="9" t="s">
        <v>292</v>
      </c>
      <c r="C161" s="10" t="s">
        <v>290</v>
      </c>
      <c r="D161" s="13" t="s">
        <v>297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293</v>
      </c>
      <c r="C162" s="10" t="s">
        <v>290</v>
      </c>
      <c r="D162" s="13" t="s">
        <v>297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736</v>
      </c>
      <c r="C163" s="10" t="s">
        <v>290</v>
      </c>
      <c r="D163" s="13" t="s">
        <v>297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294</v>
      </c>
      <c r="C164" s="10" t="s">
        <v>290</v>
      </c>
      <c r="D164" s="13" t="s">
        <v>297</v>
      </c>
      <c r="E164" s="192">
        <f t="shared" si="16"/>
        <v>10527.6</v>
      </c>
      <c r="F164" s="70">
        <v>263.19</v>
      </c>
      <c r="G164" s="70">
        <f>'[14]April 2022'!$H$51</f>
        <v>226.2535</v>
      </c>
      <c r="H164" s="70">
        <f t="shared" si="14"/>
        <v>36.936499999999995</v>
      </c>
      <c r="I164" s="11"/>
    </row>
    <row r="165" spans="1:9" ht="20.100000000000001" customHeight="1">
      <c r="A165" s="25">
        <v>33</v>
      </c>
      <c r="B165" s="9" t="s">
        <v>295</v>
      </c>
      <c r="C165" s="10" t="s">
        <v>290</v>
      </c>
      <c r="D165" s="13" t="s">
        <v>297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296</v>
      </c>
      <c r="C166" s="10" t="s">
        <v>290</v>
      </c>
      <c r="D166" s="13" t="s">
        <v>308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298</v>
      </c>
      <c r="C167" s="10" t="s">
        <v>290</v>
      </c>
      <c r="D167" s="13" t="s">
        <v>308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1187</v>
      </c>
      <c r="C168" s="10" t="s">
        <v>290</v>
      </c>
      <c r="D168" s="13" t="s">
        <v>308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299</v>
      </c>
      <c r="C169" s="10" t="s">
        <v>290</v>
      </c>
      <c r="D169" s="13" t="s">
        <v>308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300</v>
      </c>
      <c r="C170" s="10" t="s">
        <v>290</v>
      </c>
      <c r="D170" s="13" t="s">
        <v>308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301</v>
      </c>
      <c r="C171" s="10" t="s">
        <v>290</v>
      </c>
      <c r="D171" s="13" t="s">
        <v>308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302</v>
      </c>
      <c r="C172" s="10" t="s">
        <v>290</v>
      </c>
      <c r="D172" s="13" t="s">
        <v>308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303</v>
      </c>
      <c r="C173" s="10" t="s">
        <v>310</v>
      </c>
      <c r="D173" s="13" t="s">
        <v>311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306</v>
      </c>
      <c r="C174" s="10" t="s">
        <v>310</v>
      </c>
      <c r="D174" s="13" t="s">
        <v>311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307</v>
      </c>
      <c r="C175" s="10" t="s">
        <v>310</v>
      </c>
      <c r="D175" s="13" t="s">
        <v>1014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309</v>
      </c>
      <c r="C176" s="10" t="s">
        <v>310</v>
      </c>
      <c r="D176" s="13" t="s">
        <v>1020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312</v>
      </c>
      <c r="C177" s="10" t="s">
        <v>313</v>
      </c>
      <c r="D177" s="13" t="s">
        <v>1021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315</v>
      </c>
      <c r="C178" s="10" t="s">
        <v>313</v>
      </c>
      <c r="D178" s="13" t="s">
        <v>1021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316</v>
      </c>
      <c r="C179" s="10" t="s">
        <v>313</v>
      </c>
      <c r="D179" s="13" t="s">
        <v>1021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317</v>
      </c>
      <c r="C180" s="10" t="s">
        <v>313</v>
      </c>
      <c r="D180" s="13" t="s">
        <v>1021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318</v>
      </c>
      <c r="C181" s="10" t="s">
        <v>313</v>
      </c>
      <c r="D181" s="13" t="s">
        <v>1021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319</v>
      </c>
      <c r="C182" s="10" t="s">
        <v>313</v>
      </c>
      <c r="D182" s="13" t="s">
        <v>1021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320</v>
      </c>
      <c r="C183" s="10" t="s">
        <v>313</v>
      </c>
      <c r="D183" s="13" t="s">
        <v>1021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321</v>
      </c>
      <c r="C184" s="10" t="s">
        <v>310</v>
      </c>
      <c r="D184" s="13" t="s">
        <v>1021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322</v>
      </c>
      <c r="C185" s="10" t="s">
        <v>310</v>
      </c>
      <c r="D185" s="13" t="s">
        <v>1021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323</v>
      </c>
      <c r="C186" s="10" t="s">
        <v>313</v>
      </c>
      <c r="D186" s="13" t="s">
        <v>1039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328</v>
      </c>
      <c r="C187" s="10" t="s">
        <v>313</v>
      </c>
      <c r="D187" s="13" t="s">
        <v>1022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96</v>
      </c>
      <c r="C188" s="26" t="s">
        <v>1188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5240.3717499999993</v>
      </c>
      <c r="H188" s="122">
        <f t="shared" si="14"/>
        <v>220.96750000000065</v>
      </c>
      <c r="I188" s="11"/>
    </row>
    <row r="189" spans="1:9" ht="20.100000000000001" customHeight="1">
      <c r="A189" s="2"/>
      <c r="B189" s="28" t="s">
        <v>339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457.61175000000003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459</v>
      </c>
    </row>
    <row r="3" spans="1:28">
      <c r="A3" s="180" t="s">
        <v>1212</v>
      </c>
    </row>
    <row r="4" spans="1:28" ht="90" customHeight="1">
      <c r="A4" s="181" t="s">
        <v>461</v>
      </c>
      <c r="B4" s="181" t="s">
        <v>462</v>
      </c>
      <c r="C4" s="181" t="s">
        <v>463</v>
      </c>
      <c r="D4" s="181" t="s">
        <v>456</v>
      </c>
      <c r="E4" s="181" t="s">
        <v>464</v>
      </c>
      <c r="F4" s="181" t="s">
        <v>465</v>
      </c>
      <c r="G4" s="181" t="s">
        <v>466</v>
      </c>
      <c r="H4" s="181" t="s">
        <v>467</v>
      </c>
      <c r="I4" s="181" t="s">
        <v>468</v>
      </c>
      <c r="J4" s="181"/>
      <c r="K4" s="181"/>
      <c r="L4" s="181"/>
      <c r="M4" s="181" t="s">
        <v>469</v>
      </c>
      <c r="N4" s="181" t="s">
        <v>470</v>
      </c>
      <c r="O4" s="181" t="s">
        <v>471</v>
      </c>
      <c r="P4" s="181" t="s">
        <v>472</v>
      </c>
      <c r="Q4" s="181" t="s">
        <v>473</v>
      </c>
      <c r="R4" s="181" t="s">
        <v>474</v>
      </c>
      <c r="S4" s="181" t="s">
        <v>475</v>
      </c>
      <c r="T4" s="181" t="s">
        <v>476</v>
      </c>
      <c r="U4" s="181" t="s">
        <v>477</v>
      </c>
      <c r="V4" s="181" t="s">
        <v>478</v>
      </c>
      <c r="W4" s="181"/>
      <c r="X4" s="181" t="s">
        <v>479</v>
      </c>
      <c r="Y4" s="181" t="s">
        <v>480</v>
      </c>
      <c r="Z4" s="181" t="s">
        <v>481</v>
      </c>
      <c r="AA4" s="181" t="s">
        <v>1213</v>
      </c>
      <c r="AB4" s="181" t="s">
        <v>516</v>
      </c>
    </row>
    <row r="5" spans="1:28">
      <c r="A5">
        <v>1</v>
      </c>
      <c r="B5" s="179" t="s">
        <v>22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1082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1173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25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28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175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30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32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34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519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1175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1085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1177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40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50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53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206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60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204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256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1179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73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76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1086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78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184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81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85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88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1006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1180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98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101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108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491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110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113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115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116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117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1091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45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120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578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121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501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125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129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131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134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487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517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136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1099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138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139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140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1181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77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63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144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518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1182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148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151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1199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158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159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203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160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161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162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163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165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169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171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574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37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1201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182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187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189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192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195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196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199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201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216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1204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218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220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521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222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225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227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1206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228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230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237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522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239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241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243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178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180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246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247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249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251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253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258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259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260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261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1019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265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268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270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272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274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1209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277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279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281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283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289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292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293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736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294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295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296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298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1187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299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300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301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302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303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306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307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309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312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315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316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317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318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319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320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321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322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323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328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1214</v>
      </c>
    </row>
    <row r="2" spans="1:12" ht="5.25" customHeight="1">
      <c r="F2" s="126"/>
      <c r="G2" s="126"/>
    </row>
    <row r="3" spans="1:12" ht="20.100000000000001" customHeight="1">
      <c r="B3" s="819" t="s">
        <v>1215</v>
      </c>
      <c r="C3" s="819"/>
      <c r="D3" s="819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820"/>
      <c r="G5" s="820"/>
    </row>
    <row r="6" spans="1:12" ht="26.45" customHeight="1">
      <c r="A6" s="41"/>
      <c r="B6" s="48"/>
      <c r="C6" s="48" t="s">
        <v>3</v>
      </c>
      <c r="D6" s="48" t="s">
        <v>1216</v>
      </c>
      <c r="E6" s="48"/>
      <c r="F6" s="55"/>
      <c r="G6" s="55"/>
    </row>
    <row r="7" spans="1:12" ht="37.15" customHeight="1">
      <c r="A7" s="41"/>
      <c r="B7" s="40"/>
      <c r="C7" s="48"/>
      <c r="D7" s="48" t="s">
        <v>1217</v>
      </c>
      <c r="E7" s="96" t="s">
        <v>1218</v>
      </c>
      <c r="F7" s="96" t="s">
        <v>1219</v>
      </c>
      <c r="G7" s="50" t="s">
        <v>591</v>
      </c>
    </row>
    <row r="8" spans="1:12" ht="20.100000000000001" customHeight="1">
      <c r="A8" s="40" t="s">
        <v>20</v>
      </c>
      <c r="B8" s="148" t="s">
        <v>21</v>
      </c>
      <c r="C8" s="97"/>
      <c r="D8" s="97"/>
      <c r="E8" s="98" t="s">
        <v>19</v>
      </c>
      <c r="F8" s="98" t="s">
        <v>19</v>
      </c>
      <c r="G8" s="98" t="s">
        <v>19</v>
      </c>
    </row>
    <row r="9" spans="1:12" ht="20.100000000000001" customHeight="1">
      <c r="A9" s="45">
        <v>1</v>
      </c>
      <c r="B9" s="149" t="s">
        <v>22</v>
      </c>
      <c r="C9" s="101" t="s">
        <v>23</v>
      </c>
      <c r="D9" s="101" t="s">
        <v>24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1220</v>
      </c>
      <c r="C10" s="101" t="s">
        <v>1221</v>
      </c>
      <c r="D10" s="103" t="s">
        <v>100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1082</v>
      </c>
      <c r="C11" s="41" t="s">
        <v>1222</v>
      </c>
      <c r="D11" s="45" t="s">
        <v>112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1173</v>
      </c>
      <c r="C12" s="104" t="s">
        <v>1174</v>
      </c>
      <c r="D12" s="105" t="s">
        <v>112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25</v>
      </c>
      <c r="C13" s="101" t="s">
        <v>26</v>
      </c>
      <c r="D13" s="45" t="s">
        <v>1223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28</v>
      </c>
      <c r="C14" s="41" t="s">
        <v>29</v>
      </c>
      <c r="D14" s="103" t="s">
        <v>1018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175</v>
      </c>
      <c r="C15" s="41" t="s">
        <v>1224</v>
      </c>
      <c r="D15" s="108" t="s">
        <v>36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30</v>
      </c>
      <c r="C16" s="15" t="s">
        <v>132</v>
      </c>
      <c r="D16" s="8" t="s">
        <v>36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32</v>
      </c>
      <c r="C17" s="41" t="s">
        <v>1225</v>
      </c>
      <c r="D17" s="45" t="s">
        <v>36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34</v>
      </c>
      <c r="C18" s="101" t="s">
        <v>1226</v>
      </c>
      <c r="D18" s="103" t="s">
        <v>36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519</v>
      </c>
      <c r="C19" s="101" t="s">
        <v>572</v>
      </c>
      <c r="D19" s="46" t="s">
        <v>1018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1175</v>
      </c>
      <c r="C20" s="104" t="s">
        <v>1176</v>
      </c>
      <c r="D20" s="111" t="s">
        <v>150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1085</v>
      </c>
      <c r="C21" s="104" t="s">
        <v>41</v>
      </c>
      <c r="D21" s="45" t="s">
        <v>150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1177</v>
      </c>
      <c r="C22" s="41" t="s">
        <v>1178</v>
      </c>
      <c r="D22" s="45" t="s">
        <v>150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40</v>
      </c>
      <c r="C23" s="104" t="s">
        <v>1227</v>
      </c>
      <c r="D23" s="103" t="s">
        <v>194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148</v>
      </c>
      <c r="C24" s="41" t="s">
        <v>1034</v>
      </c>
      <c r="D24" s="103" t="s">
        <v>1016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50</v>
      </c>
      <c r="C25" s="101" t="s">
        <v>51</v>
      </c>
      <c r="D25" s="103" t="s">
        <v>1228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53</v>
      </c>
      <c r="C26" s="41" t="s">
        <v>54</v>
      </c>
      <c r="D26" s="103" t="s">
        <v>58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206</v>
      </c>
      <c r="C27" s="101" t="s">
        <v>579</v>
      </c>
      <c r="D27" s="103" t="s">
        <v>137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60</v>
      </c>
      <c r="C28" s="101" t="s">
        <v>94</v>
      </c>
      <c r="D28" s="103" t="s">
        <v>585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204</v>
      </c>
      <c r="C29" s="41" t="s">
        <v>1229</v>
      </c>
      <c r="D29" s="103" t="s">
        <v>585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256</v>
      </c>
      <c r="C30" s="41" t="s">
        <v>1194</v>
      </c>
      <c r="D30" s="103" t="s">
        <v>267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1179</v>
      </c>
      <c r="C31" s="101" t="s">
        <v>91</v>
      </c>
      <c r="D31" s="103" t="s">
        <v>104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73</v>
      </c>
      <c r="C32" s="44" t="s">
        <v>74</v>
      </c>
      <c r="D32" s="45" t="s">
        <v>83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76</v>
      </c>
      <c r="C33" s="101" t="s">
        <v>74</v>
      </c>
      <c r="D33" s="103" t="s">
        <v>1195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1086</v>
      </c>
      <c r="C34" s="101" t="s">
        <v>1033</v>
      </c>
      <c r="D34" s="103" t="s">
        <v>1011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78</v>
      </c>
      <c r="C35" s="101" t="s">
        <v>1033</v>
      </c>
      <c r="D35" s="103" t="s">
        <v>1230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184</v>
      </c>
      <c r="C36" s="15" t="s">
        <v>1196</v>
      </c>
      <c r="D36" s="103" t="s">
        <v>173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81</v>
      </c>
      <c r="C37" s="41" t="s">
        <v>1088</v>
      </c>
      <c r="D37" s="45" t="s">
        <v>173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85</v>
      </c>
      <c r="C38" s="15" t="s">
        <v>86</v>
      </c>
      <c r="D38" s="103" t="s">
        <v>95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1231</v>
      </c>
      <c r="C39" s="15" t="s">
        <v>86</v>
      </c>
      <c r="D39" s="103" t="s">
        <v>95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88</v>
      </c>
      <c r="C40" s="41" t="s">
        <v>1197</v>
      </c>
      <c r="D40" s="45" t="s">
        <v>95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1006</v>
      </c>
      <c r="C41" s="101" t="s">
        <v>91</v>
      </c>
      <c r="D41" s="103" t="s">
        <v>95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1180</v>
      </c>
      <c r="C42" s="101" t="s">
        <v>91</v>
      </c>
      <c r="D42" s="103" t="s">
        <v>95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96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97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98</v>
      </c>
      <c r="C46" s="41" t="s">
        <v>99</v>
      </c>
      <c r="D46" s="45" t="s">
        <v>1232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101</v>
      </c>
      <c r="C47" s="41" t="s">
        <v>612</v>
      </c>
      <c r="D47" s="45" t="s">
        <v>95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107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108</v>
      </c>
      <c r="C51" s="41" t="s">
        <v>109</v>
      </c>
      <c r="D51" s="45" t="s">
        <v>100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491</v>
      </c>
      <c r="C52" s="41" t="s">
        <v>44</v>
      </c>
      <c r="D52" s="45" t="s">
        <v>36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110</v>
      </c>
      <c r="C53" s="41" t="s">
        <v>114</v>
      </c>
      <c r="D53" s="45" t="s">
        <v>36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113</v>
      </c>
      <c r="C54" s="41" t="s">
        <v>114</v>
      </c>
      <c r="D54" s="45" t="s">
        <v>133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115</v>
      </c>
      <c r="C55" s="41" t="s">
        <v>46</v>
      </c>
      <c r="D55" s="45" t="s">
        <v>42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116</v>
      </c>
      <c r="C56" s="41" t="s">
        <v>46</v>
      </c>
      <c r="D56" s="45" t="s">
        <v>150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117</v>
      </c>
      <c r="C57" s="41" t="s">
        <v>135</v>
      </c>
      <c r="D57" s="14" t="s">
        <v>150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1091</v>
      </c>
      <c r="C58" s="41" t="s">
        <v>167</v>
      </c>
      <c r="D58" s="45" t="s">
        <v>52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45</v>
      </c>
      <c r="C59" s="41" t="s">
        <v>458</v>
      </c>
      <c r="D59" s="8" t="s">
        <v>1016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120</v>
      </c>
      <c r="C60" s="41" t="s">
        <v>119</v>
      </c>
      <c r="D60" s="45" t="s">
        <v>83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578</v>
      </c>
      <c r="C61" s="41" t="s">
        <v>119</v>
      </c>
      <c r="D61" s="45" t="s">
        <v>83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121</v>
      </c>
      <c r="C62" s="41" t="s">
        <v>119</v>
      </c>
      <c r="D62" s="45" t="s">
        <v>83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96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122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501</v>
      </c>
      <c r="C66" s="101" t="s">
        <v>124</v>
      </c>
      <c r="D66" s="103" t="s">
        <v>100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125</v>
      </c>
      <c r="C67" s="101" t="s">
        <v>126</v>
      </c>
      <c r="D67" s="103" t="s">
        <v>571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96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1233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129</v>
      </c>
      <c r="C71" s="15" t="s">
        <v>130</v>
      </c>
      <c r="D71" s="8" t="s">
        <v>100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131</v>
      </c>
      <c r="C72" s="15" t="s">
        <v>132</v>
      </c>
      <c r="D72" s="103" t="s">
        <v>1018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134</v>
      </c>
      <c r="C73" s="41" t="s">
        <v>167</v>
      </c>
      <c r="D73" s="8" t="s">
        <v>1016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487</v>
      </c>
      <c r="C74" s="15" t="s">
        <v>167</v>
      </c>
      <c r="D74" s="103" t="s">
        <v>1228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517</v>
      </c>
      <c r="C75" s="15" t="s">
        <v>135</v>
      </c>
      <c r="D75" s="103" t="s">
        <v>150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136</v>
      </c>
      <c r="C76" s="2" t="s">
        <v>119</v>
      </c>
      <c r="D76" s="8" t="s">
        <v>1234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1099</v>
      </c>
      <c r="C77" s="15" t="s">
        <v>67</v>
      </c>
      <c r="D77" s="103" t="s">
        <v>137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138</v>
      </c>
      <c r="C78" s="15" t="s">
        <v>67</v>
      </c>
      <c r="D78" s="103" t="s">
        <v>65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139</v>
      </c>
      <c r="C79" s="15" t="s">
        <v>67</v>
      </c>
      <c r="D79" s="103" t="s">
        <v>65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140</v>
      </c>
      <c r="C80" s="41" t="s">
        <v>154</v>
      </c>
      <c r="D80" s="45" t="s">
        <v>585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1181</v>
      </c>
      <c r="C81" s="15" t="s">
        <v>119</v>
      </c>
      <c r="D81" s="45" t="s">
        <v>70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77</v>
      </c>
      <c r="C82" s="15" t="s">
        <v>64</v>
      </c>
      <c r="D82" s="45" t="s">
        <v>83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63</v>
      </c>
      <c r="C83" s="15" t="s">
        <v>64</v>
      </c>
      <c r="D83" s="45" t="s">
        <v>95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96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1235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144</v>
      </c>
      <c r="C87" s="41" t="s">
        <v>145</v>
      </c>
      <c r="D87" s="45" t="s">
        <v>100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518</v>
      </c>
      <c r="C88" s="44" t="s">
        <v>570</v>
      </c>
      <c r="D88" s="103" t="s">
        <v>1018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1182</v>
      </c>
      <c r="C89" s="44" t="s">
        <v>1183</v>
      </c>
      <c r="D89" s="103" t="s">
        <v>1018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151</v>
      </c>
      <c r="C90" s="41" t="s">
        <v>154</v>
      </c>
      <c r="D90" s="45" t="s">
        <v>70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96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1236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1237</v>
      </c>
      <c r="C94" s="41" t="s">
        <v>1200</v>
      </c>
      <c r="D94" s="45" t="s">
        <v>112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158</v>
      </c>
      <c r="C95" s="41" t="s">
        <v>114</v>
      </c>
      <c r="D95" s="45" t="s">
        <v>36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159</v>
      </c>
      <c r="C96" s="41" t="s">
        <v>114</v>
      </c>
      <c r="D96" s="45" t="s">
        <v>36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203</v>
      </c>
      <c r="C97" s="41" t="s">
        <v>135</v>
      </c>
      <c r="D97" s="45" t="s">
        <v>224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160</v>
      </c>
      <c r="C98" s="41" t="s">
        <v>46</v>
      </c>
      <c r="D98" s="45" t="s">
        <v>150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1238</v>
      </c>
      <c r="C99" s="41" t="s">
        <v>46</v>
      </c>
      <c r="D99" s="45" t="s">
        <v>164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161</v>
      </c>
      <c r="C100" s="41" t="s">
        <v>458</v>
      </c>
      <c r="D100" s="103" t="s">
        <v>1016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162</v>
      </c>
      <c r="C101" s="101" t="s">
        <v>167</v>
      </c>
      <c r="D101" s="103" t="s">
        <v>1228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163</v>
      </c>
      <c r="C102" s="101" t="s">
        <v>167</v>
      </c>
      <c r="D102" s="103" t="s">
        <v>1228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165</v>
      </c>
      <c r="C103" s="15" t="s">
        <v>67</v>
      </c>
      <c r="D103" s="103" t="s">
        <v>65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169</v>
      </c>
      <c r="C104" s="41" t="s">
        <v>119</v>
      </c>
      <c r="D104" s="45" t="s">
        <v>83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171</v>
      </c>
      <c r="C105" s="15" t="s">
        <v>172</v>
      </c>
      <c r="D105" s="103" t="s">
        <v>95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96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1239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574</v>
      </c>
      <c r="C109" s="45" t="s">
        <v>575</v>
      </c>
      <c r="D109" s="103" t="s">
        <v>112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37</v>
      </c>
      <c r="C110" s="2" t="s">
        <v>179</v>
      </c>
      <c r="D110" s="8" t="s">
        <v>150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1201</v>
      </c>
      <c r="C111" s="2" t="s">
        <v>1202</v>
      </c>
      <c r="D111" s="103" t="s">
        <v>1228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182</v>
      </c>
      <c r="C112" s="41" t="s">
        <v>1240</v>
      </c>
      <c r="D112" s="103" t="s">
        <v>1241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96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1242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187</v>
      </c>
      <c r="C116" s="101" t="s">
        <v>188</v>
      </c>
      <c r="D116" s="103" t="s">
        <v>100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189</v>
      </c>
      <c r="C117" s="41" t="s">
        <v>190</v>
      </c>
      <c r="D117" s="45" t="s">
        <v>36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192</v>
      </c>
      <c r="C118" s="41" t="s">
        <v>193</v>
      </c>
      <c r="D118" s="45" t="s">
        <v>194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195</v>
      </c>
      <c r="C119" s="41" t="s">
        <v>193</v>
      </c>
      <c r="D119" s="8" t="s">
        <v>52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196</v>
      </c>
      <c r="C120" s="44" t="s">
        <v>197</v>
      </c>
      <c r="D120" s="103" t="s">
        <v>1011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199</v>
      </c>
      <c r="C121" s="44" t="s">
        <v>197</v>
      </c>
      <c r="D121" s="45" t="s">
        <v>173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201</v>
      </c>
      <c r="C122" s="44" t="s">
        <v>197</v>
      </c>
      <c r="D122" s="103" t="s">
        <v>95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96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1243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216</v>
      </c>
      <c r="C126" s="101" t="s">
        <v>217</v>
      </c>
      <c r="D126" s="103" t="s">
        <v>100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1204</v>
      </c>
      <c r="C127" s="101" t="s">
        <v>1205</v>
      </c>
      <c r="D127" s="103" t="s">
        <v>191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218</v>
      </c>
      <c r="C128" s="101" t="s">
        <v>221</v>
      </c>
      <c r="D128" s="103" t="s">
        <v>36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220</v>
      </c>
      <c r="C129" s="101" t="s">
        <v>221</v>
      </c>
      <c r="D129" s="103" t="s">
        <v>36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521</v>
      </c>
      <c r="C130" s="101" t="s">
        <v>221</v>
      </c>
      <c r="D130" s="103" t="s">
        <v>39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222</v>
      </c>
      <c r="C131" s="101" t="s">
        <v>1207</v>
      </c>
      <c r="D131" s="103" t="s">
        <v>52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225</v>
      </c>
      <c r="C132" s="101" t="s">
        <v>226</v>
      </c>
      <c r="D132" s="103" t="s">
        <v>1016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227</v>
      </c>
      <c r="C133" s="101" t="s">
        <v>1036</v>
      </c>
      <c r="D133" s="103" t="s">
        <v>1016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1206</v>
      </c>
      <c r="C134" s="101" t="s">
        <v>1207</v>
      </c>
      <c r="D134" s="103" t="s">
        <v>1017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228</v>
      </c>
      <c r="C135" s="101" t="s">
        <v>229</v>
      </c>
      <c r="D135" s="45" t="s">
        <v>83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230</v>
      </c>
      <c r="C136" s="101" t="s">
        <v>231</v>
      </c>
      <c r="D136" s="103" t="s">
        <v>95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96</v>
      </c>
      <c r="C137" s="134" t="s">
        <v>1208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1244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1245</v>
      </c>
      <c r="C140" s="101" t="s">
        <v>1246</v>
      </c>
      <c r="D140" s="103" t="s">
        <v>100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237</v>
      </c>
      <c r="C141" s="101" t="s">
        <v>238</v>
      </c>
      <c r="D141" s="103" t="s">
        <v>100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522</v>
      </c>
      <c r="C142" s="101" t="s">
        <v>573</v>
      </c>
      <c r="D142" s="103" t="s">
        <v>191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239</v>
      </c>
      <c r="C143" s="2" t="s">
        <v>1247</v>
      </c>
      <c r="D143" s="14" t="s">
        <v>36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1248</v>
      </c>
      <c r="C144" s="2" t="s">
        <v>1249</v>
      </c>
      <c r="D144" s="14" t="s">
        <v>36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241</v>
      </c>
      <c r="C145" s="101" t="s">
        <v>580</v>
      </c>
      <c r="D145" s="103" t="s">
        <v>150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243</v>
      </c>
      <c r="C146" s="41" t="s">
        <v>581</v>
      </c>
      <c r="D146" s="103" t="s">
        <v>150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178</v>
      </c>
      <c r="C147" s="41" t="s">
        <v>583</v>
      </c>
      <c r="D147" s="103" t="s">
        <v>1016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180</v>
      </c>
      <c r="C148" s="101" t="s">
        <v>582</v>
      </c>
      <c r="D148" s="103" t="s">
        <v>137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246</v>
      </c>
      <c r="C149" s="101" t="s">
        <v>582</v>
      </c>
      <c r="D149" s="103" t="s">
        <v>137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247</v>
      </c>
      <c r="C150" s="41" t="s">
        <v>583</v>
      </c>
      <c r="D150" s="103" t="s">
        <v>137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249</v>
      </c>
      <c r="C151" s="41" t="s">
        <v>584</v>
      </c>
      <c r="D151" s="103" t="s">
        <v>585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251</v>
      </c>
      <c r="C152" s="101" t="s">
        <v>1038</v>
      </c>
      <c r="D152" s="103" t="s">
        <v>267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253</v>
      </c>
      <c r="C153" s="101" t="s">
        <v>278</v>
      </c>
      <c r="D153" s="103" t="s">
        <v>585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1250</v>
      </c>
      <c r="C154" s="41" t="s">
        <v>584</v>
      </c>
      <c r="D154" s="103" t="s">
        <v>104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425</v>
      </c>
      <c r="C155" s="41" t="s">
        <v>584</v>
      </c>
      <c r="D155" s="103" t="s">
        <v>104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260</v>
      </c>
      <c r="C156" s="41" t="s">
        <v>584</v>
      </c>
      <c r="D156" s="103" t="s">
        <v>104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261</v>
      </c>
      <c r="C157" s="101" t="s">
        <v>262</v>
      </c>
      <c r="D157" s="103" t="s">
        <v>70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1019</v>
      </c>
      <c r="C158" s="101" t="s">
        <v>264</v>
      </c>
      <c r="D158" s="45" t="s">
        <v>83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265</v>
      </c>
      <c r="C159" s="101" t="s">
        <v>278</v>
      </c>
      <c r="D159" s="103" t="s">
        <v>1011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268</v>
      </c>
      <c r="C160" s="101" t="s">
        <v>1251</v>
      </c>
      <c r="D160" s="103" t="s">
        <v>1011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270</v>
      </c>
      <c r="C161" s="101" t="s">
        <v>278</v>
      </c>
      <c r="D161" s="103" t="s">
        <v>1011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272</v>
      </c>
      <c r="C162" s="101" t="s">
        <v>273</v>
      </c>
      <c r="D162" s="103" t="s">
        <v>1011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274</v>
      </c>
      <c r="C163" s="101" t="s">
        <v>280</v>
      </c>
      <c r="D163" s="103" t="s">
        <v>1230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1209</v>
      </c>
      <c r="C164" s="101" t="s">
        <v>278</v>
      </c>
      <c r="D164" s="103" t="s">
        <v>95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277</v>
      </c>
      <c r="C165" s="101" t="s">
        <v>278</v>
      </c>
      <c r="D165" s="103" t="s">
        <v>95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279</v>
      </c>
      <c r="C166" s="101" t="s">
        <v>280</v>
      </c>
      <c r="D166" s="103" t="s">
        <v>95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281</v>
      </c>
      <c r="C167" s="101" t="s">
        <v>282</v>
      </c>
      <c r="D167" s="103" t="s">
        <v>95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283</v>
      </c>
      <c r="C168" s="101" t="s">
        <v>284</v>
      </c>
      <c r="D168" s="103" t="s">
        <v>95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289</v>
      </c>
      <c r="C169" s="101" t="s">
        <v>290</v>
      </c>
      <c r="D169" s="103" t="s">
        <v>308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292</v>
      </c>
      <c r="C170" s="101" t="s">
        <v>290</v>
      </c>
      <c r="D170" s="103" t="s">
        <v>308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293</v>
      </c>
      <c r="C171" s="101" t="s">
        <v>290</v>
      </c>
      <c r="D171" s="103" t="s">
        <v>308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738</v>
      </c>
      <c r="C172" s="101" t="s">
        <v>290</v>
      </c>
      <c r="D172" s="103" t="s">
        <v>308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736</v>
      </c>
      <c r="C173" s="101" t="s">
        <v>290</v>
      </c>
      <c r="D173" s="103" t="s">
        <v>308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294</v>
      </c>
      <c r="C174" s="101" t="s">
        <v>290</v>
      </c>
      <c r="D174" s="103" t="s">
        <v>308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295</v>
      </c>
      <c r="C175" s="101" t="s">
        <v>290</v>
      </c>
      <c r="D175" s="103" t="s">
        <v>308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296</v>
      </c>
      <c r="C176" s="101" t="s">
        <v>310</v>
      </c>
      <c r="D176" s="103" t="s">
        <v>1252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298</v>
      </c>
      <c r="C177" s="101" t="s">
        <v>310</v>
      </c>
      <c r="D177" s="103" t="s">
        <v>1252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1187</v>
      </c>
      <c r="C178" s="101" t="s">
        <v>310</v>
      </c>
      <c r="D178" s="103" t="s">
        <v>1252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299</v>
      </c>
      <c r="C179" s="101" t="s">
        <v>310</v>
      </c>
      <c r="D179" s="103" t="s">
        <v>1252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300</v>
      </c>
      <c r="C180" s="101" t="s">
        <v>310</v>
      </c>
      <c r="D180" s="103" t="s">
        <v>1252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301</v>
      </c>
      <c r="C181" s="101" t="s">
        <v>310</v>
      </c>
      <c r="D181" s="103" t="s">
        <v>1252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302</v>
      </c>
      <c r="C182" s="101" t="s">
        <v>310</v>
      </c>
      <c r="D182" s="103" t="s">
        <v>1252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303</v>
      </c>
      <c r="C183" s="101" t="s">
        <v>310</v>
      </c>
      <c r="D183" s="103" t="s">
        <v>1020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306</v>
      </c>
      <c r="C184" s="101" t="s">
        <v>310</v>
      </c>
      <c r="D184" s="103" t="s">
        <v>1020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307</v>
      </c>
      <c r="C185" s="101" t="s">
        <v>310</v>
      </c>
      <c r="D185" s="103" t="s">
        <v>311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309</v>
      </c>
      <c r="C186" s="101" t="s">
        <v>310</v>
      </c>
      <c r="D186" s="103" t="s">
        <v>325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312</v>
      </c>
      <c r="C187" s="101" t="s">
        <v>313</v>
      </c>
      <c r="D187" s="103" t="s">
        <v>1253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315</v>
      </c>
      <c r="C188" s="101" t="s">
        <v>313</v>
      </c>
      <c r="D188" s="103" t="s">
        <v>1253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316</v>
      </c>
      <c r="C189" s="101" t="s">
        <v>313</v>
      </c>
      <c r="D189" s="103" t="s">
        <v>1253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317</v>
      </c>
      <c r="C190" s="101" t="s">
        <v>313</v>
      </c>
      <c r="D190" s="103" t="s">
        <v>1253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318</v>
      </c>
      <c r="C191" s="101" t="s">
        <v>313</v>
      </c>
      <c r="D191" s="103" t="s">
        <v>1253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319</v>
      </c>
      <c r="C192" s="101" t="s">
        <v>313</v>
      </c>
      <c r="D192" s="103" t="s">
        <v>336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320</v>
      </c>
      <c r="C193" s="101" t="s">
        <v>313</v>
      </c>
      <c r="D193" s="103" t="s">
        <v>336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321</v>
      </c>
      <c r="C194" s="101" t="s">
        <v>313</v>
      </c>
      <c r="D194" s="103" t="s">
        <v>586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322</v>
      </c>
      <c r="C195" s="101" t="s">
        <v>313</v>
      </c>
      <c r="D195" s="103" t="s">
        <v>586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323</v>
      </c>
      <c r="C196" s="101" t="s">
        <v>313</v>
      </c>
      <c r="D196" s="103" t="s">
        <v>586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328</v>
      </c>
      <c r="C197" s="101" t="s">
        <v>313</v>
      </c>
      <c r="D197" s="103" t="s">
        <v>331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96</v>
      </c>
      <c r="C198" s="138" t="s">
        <v>1254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840541.13999999897</v>
      </c>
    </row>
    <row r="199" spans="1:8" ht="20.100000000000001" customHeight="1">
      <c r="A199" s="41"/>
      <c r="B199" s="140" t="s">
        <v>339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821" t="s">
        <v>1255</v>
      </c>
      <c r="D201" s="821"/>
      <c r="E201" s="146"/>
      <c r="F201" s="145"/>
      <c r="G201" s="145"/>
    </row>
    <row r="202" spans="1:8" ht="20.100000000000001" customHeight="1">
      <c r="A202" s="41"/>
      <c r="B202" s="144"/>
      <c r="C202" s="821"/>
      <c r="D202" s="821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1214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819" t="s">
        <v>1256</v>
      </c>
      <c r="C3" s="819"/>
      <c r="D3" s="819"/>
      <c r="E3" s="819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819" t="s">
        <v>2</v>
      </c>
      <c r="C5" s="819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820"/>
      <c r="V5" s="820"/>
      <c r="W5" s="820"/>
      <c r="X5" s="820"/>
      <c r="Y5" s="820"/>
      <c r="Z5" s="820"/>
      <c r="AA5" s="94"/>
      <c r="AB5" s="94"/>
    </row>
    <row r="6" spans="1:33" ht="35.450000000000003" customHeight="1">
      <c r="A6" s="41"/>
      <c r="B6" s="822"/>
      <c r="C6" s="822"/>
      <c r="D6" s="48" t="s">
        <v>3</v>
      </c>
      <c r="E6" s="48" t="s">
        <v>1216</v>
      </c>
      <c r="F6" s="50" t="s">
        <v>1257</v>
      </c>
      <c r="G6" s="41"/>
      <c r="H6" s="50"/>
      <c r="I6" s="50"/>
      <c r="J6" s="50"/>
      <c r="K6" s="50"/>
      <c r="L6" s="50"/>
      <c r="M6" s="50" t="s">
        <v>1258</v>
      </c>
      <c r="N6" s="50" t="s">
        <v>1259</v>
      </c>
      <c r="O6" s="50" t="s">
        <v>1260</v>
      </c>
      <c r="P6" s="50" t="s">
        <v>1261</v>
      </c>
      <c r="Q6" s="50" t="s">
        <v>1262</v>
      </c>
      <c r="R6" s="50" t="s">
        <v>1263</v>
      </c>
      <c r="S6" s="50" t="s">
        <v>1264</v>
      </c>
      <c r="T6" s="50" t="s">
        <v>1265</v>
      </c>
      <c r="U6" s="50" t="s">
        <v>591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823"/>
      <c r="C7" s="823"/>
      <c r="D7" s="48"/>
      <c r="E7" s="48" t="s">
        <v>1217</v>
      </c>
      <c r="F7" s="50" t="s">
        <v>544</v>
      </c>
      <c r="G7" s="96" t="s">
        <v>1266</v>
      </c>
      <c r="H7" s="50" t="s">
        <v>640</v>
      </c>
      <c r="I7" s="50" t="s">
        <v>641</v>
      </c>
      <c r="J7" s="50" t="s">
        <v>642</v>
      </c>
      <c r="K7" s="50" t="s">
        <v>643</v>
      </c>
      <c r="L7" s="50" t="s">
        <v>644</v>
      </c>
      <c r="M7" s="50" t="s">
        <v>645</v>
      </c>
      <c r="N7" s="50" t="s">
        <v>7</v>
      </c>
      <c r="O7" s="50" t="s">
        <v>7</v>
      </c>
      <c r="P7" s="50" t="s">
        <v>646</v>
      </c>
      <c r="Q7" s="50" t="s">
        <v>646</v>
      </c>
      <c r="R7" s="50" t="s">
        <v>8</v>
      </c>
      <c r="S7" s="50" t="s">
        <v>544</v>
      </c>
      <c r="T7" s="96" t="s">
        <v>544</v>
      </c>
      <c r="U7" s="96"/>
      <c r="V7" s="96"/>
      <c r="W7" s="50" t="s">
        <v>589</v>
      </c>
      <c r="X7" s="96" t="s">
        <v>453</v>
      </c>
      <c r="Y7" s="50" t="s">
        <v>591</v>
      </c>
      <c r="Z7" s="50"/>
      <c r="AA7" s="50"/>
      <c r="AB7" s="50"/>
    </row>
    <row r="8" spans="1:33" ht="20.100000000000001" customHeight="1">
      <c r="A8" s="40" t="s">
        <v>20</v>
      </c>
      <c r="B8" s="824" t="s">
        <v>1267</v>
      </c>
      <c r="C8" s="824"/>
      <c r="D8" s="97"/>
      <c r="E8" s="97"/>
      <c r="F8" s="98" t="s">
        <v>19</v>
      </c>
      <c r="G8" s="55"/>
      <c r="H8" s="98"/>
      <c r="I8" s="98" t="s">
        <v>19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19</v>
      </c>
      <c r="T8" s="98" t="s">
        <v>19</v>
      </c>
      <c r="U8" s="98" t="s">
        <v>19</v>
      </c>
      <c r="V8" s="98"/>
      <c r="W8" s="98" t="s">
        <v>19</v>
      </c>
      <c r="X8" s="98" t="s">
        <v>19</v>
      </c>
      <c r="Y8" s="98" t="s">
        <v>19</v>
      </c>
      <c r="Z8" s="98"/>
      <c r="AA8" s="98"/>
      <c r="AB8" s="98"/>
    </row>
    <row r="9" spans="1:33" ht="20.100000000000001" customHeight="1">
      <c r="A9" s="45">
        <v>1</v>
      </c>
      <c r="B9" s="825" t="s">
        <v>22</v>
      </c>
      <c r="C9" s="826"/>
      <c r="D9" s="101" t="s">
        <v>23</v>
      </c>
      <c r="E9" s="101" t="s">
        <v>24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825" t="s">
        <v>1220</v>
      </c>
      <c r="C10" s="826"/>
      <c r="D10" s="101" t="s">
        <v>1221</v>
      </c>
      <c r="E10" s="103" t="s">
        <v>100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827" t="s">
        <v>1268</v>
      </c>
      <c r="C11" s="828"/>
      <c r="D11" s="104" t="s">
        <v>1269</v>
      </c>
      <c r="E11" s="105" t="s">
        <v>191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825" t="s">
        <v>1082</v>
      </c>
      <c r="C12" s="826"/>
      <c r="D12" s="41" t="s">
        <v>1222</v>
      </c>
      <c r="E12" s="45" t="s">
        <v>112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827" t="s">
        <v>1173</v>
      </c>
      <c r="C13" s="828"/>
      <c r="D13" s="104" t="s">
        <v>1174</v>
      </c>
      <c r="E13" s="105" t="s">
        <v>112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825" t="s">
        <v>25</v>
      </c>
      <c r="C14" s="826"/>
      <c r="D14" s="101" t="s">
        <v>26</v>
      </c>
      <c r="E14" s="45" t="s">
        <v>1223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827" t="s">
        <v>175</v>
      </c>
      <c r="C15" s="828"/>
      <c r="D15" s="41" t="s">
        <v>1224</v>
      </c>
      <c r="E15" s="108" t="s">
        <v>36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829" t="s">
        <v>30</v>
      </c>
      <c r="C16" s="830"/>
      <c r="D16" s="15" t="s">
        <v>132</v>
      </c>
      <c r="E16" s="8" t="s">
        <v>36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827" t="s">
        <v>32</v>
      </c>
      <c r="C17" s="828"/>
      <c r="D17" s="41" t="s">
        <v>1225</v>
      </c>
      <c r="E17" s="45" t="s">
        <v>36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831" t="s">
        <v>34</v>
      </c>
      <c r="C18" s="831"/>
      <c r="D18" s="101" t="s">
        <v>1226</v>
      </c>
      <c r="E18" s="103" t="s">
        <v>36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519</v>
      </c>
      <c r="C19" s="100"/>
      <c r="D19" s="101" t="s">
        <v>572</v>
      </c>
      <c r="E19" s="46" t="s">
        <v>1018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827" t="s">
        <v>1175</v>
      </c>
      <c r="C20" s="828"/>
      <c r="D20" s="104" t="s">
        <v>1176</v>
      </c>
      <c r="E20" s="111" t="s">
        <v>150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8060.6962500001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827" t="s">
        <v>1085</v>
      </c>
      <c r="C21" s="828"/>
      <c r="D21" s="104" t="s">
        <v>41</v>
      </c>
      <c r="E21" s="45" t="s">
        <v>150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8060.69625000015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827" t="s">
        <v>1177</v>
      </c>
      <c r="C22" s="828"/>
      <c r="D22" s="41" t="s">
        <v>1178</v>
      </c>
      <c r="E22" s="45" t="s">
        <v>150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8060.69625000015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825" t="s">
        <v>40</v>
      </c>
      <c r="C23" s="826"/>
      <c r="D23" s="104" t="s">
        <v>1227</v>
      </c>
      <c r="E23" s="103" t="s">
        <v>194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827" t="s">
        <v>28</v>
      </c>
      <c r="C24" s="828"/>
      <c r="D24" s="41" t="s">
        <v>1270</v>
      </c>
      <c r="E24" s="103" t="s">
        <v>58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825" t="s">
        <v>50</v>
      </c>
      <c r="C25" s="826"/>
      <c r="D25" s="101" t="s">
        <v>51</v>
      </c>
      <c r="E25" s="103" t="s">
        <v>1228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825" t="s">
        <v>60</v>
      </c>
      <c r="C26" s="826"/>
      <c r="D26" s="101" t="s">
        <v>94</v>
      </c>
      <c r="E26" s="103" t="s">
        <v>585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4566.0304999999598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825" t="s">
        <v>206</v>
      </c>
      <c r="C27" s="826"/>
      <c r="D27" s="101" t="s">
        <v>579</v>
      </c>
      <c r="E27" s="103" t="s">
        <v>137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7081.9990000000698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53</v>
      </c>
      <c r="C28" s="100"/>
      <c r="D28" s="41" t="s">
        <v>54</v>
      </c>
      <c r="E28" s="103" t="s">
        <v>267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76</v>
      </c>
      <c r="C29" s="100"/>
      <c r="D29" s="101" t="s">
        <v>74</v>
      </c>
      <c r="E29" s="103" t="s">
        <v>1195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1006</v>
      </c>
      <c r="C30" s="100"/>
      <c r="D30" s="101" t="s">
        <v>91</v>
      </c>
      <c r="E30" s="103" t="s">
        <v>95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1179</v>
      </c>
      <c r="C31" s="100"/>
      <c r="D31" s="101" t="s">
        <v>91</v>
      </c>
      <c r="E31" s="103" t="s">
        <v>104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4567.0397499999099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831" t="s">
        <v>148</v>
      </c>
      <c r="C32" s="831"/>
      <c r="D32" s="41" t="s">
        <v>1034</v>
      </c>
      <c r="E32" s="103" t="s">
        <v>1016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825" t="s">
        <v>204</v>
      </c>
      <c r="C33" s="826"/>
      <c r="D33" s="41" t="s">
        <v>1229</v>
      </c>
      <c r="E33" s="103" t="s">
        <v>585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4566.0304999999598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256</v>
      </c>
      <c r="C34" s="100"/>
      <c r="D34" s="41" t="s">
        <v>1194</v>
      </c>
      <c r="E34" s="103" t="s">
        <v>267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4565.8470000000398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825" t="s">
        <v>1086</v>
      </c>
      <c r="C35" s="826"/>
      <c r="D35" s="101" t="s">
        <v>1033</v>
      </c>
      <c r="E35" s="103" t="s">
        <v>1011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78</v>
      </c>
      <c r="C36" s="100"/>
      <c r="D36" s="101" t="s">
        <v>1033</v>
      </c>
      <c r="E36" s="103" t="s">
        <v>1230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829" t="s">
        <v>184</v>
      </c>
      <c r="C37" s="830"/>
      <c r="D37" s="15" t="s">
        <v>1196</v>
      </c>
      <c r="E37" s="103" t="s">
        <v>173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3487.9680000000199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85</v>
      </c>
      <c r="C38" s="110"/>
      <c r="D38" s="15" t="s">
        <v>86</v>
      </c>
      <c r="E38" s="103" t="s">
        <v>95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832" t="s">
        <v>96</v>
      </c>
      <c r="C39" s="832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832" t="s">
        <v>97</v>
      </c>
      <c r="C41" s="832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98</v>
      </c>
      <c r="C42" s="100"/>
      <c r="D42" s="41" t="s">
        <v>99</v>
      </c>
      <c r="E42" s="45" t="s">
        <v>1232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24775.619499999899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96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24775.619499999899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833"/>
      <c r="C44" s="834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835" t="s">
        <v>107</v>
      </c>
      <c r="C45" s="836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825" t="s">
        <v>108</v>
      </c>
      <c r="C46" s="826"/>
      <c r="D46" s="41" t="s">
        <v>109</v>
      </c>
      <c r="E46" s="45" t="s">
        <v>100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825" t="s">
        <v>491</v>
      </c>
      <c r="C47" s="826"/>
      <c r="D47" s="41" t="s">
        <v>44</v>
      </c>
      <c r="E47" s="45" t="s">
        <v>36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825" t="s">
        <v>110</v>
      </c>
      <c r="C48" s="826"/>
      <c r="D48" s="41" t="s">
        <v>114</v>
      </c>
      <c r="E48" s="45" t="s">
        <v>36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825" t="s">
        <v>113</v>
      </c>
      <c r="C49" s="826"/>
      <c r="D49" s="41" t="s">
        <v>114</v>
      </c>
      <c r="E49" s="45" t="s">
        <v>133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825" t="s">
        <v>115</v>
      </c>
      <c r="C50" s="826"/>
      <c r="D50" s="41" t="s">
        <v>46</v>
      </c>
      <c r="E50" s="45" t="s">
        <v>42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825" t="s">
        <v>116</v>
      </c>
      <c r="C51" s="826"/>
      <c r="D51" s="41" t="s">
        <v>46</v>
      </c>
      <c r="E51" s="45" t="s">
        <v>150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837" t="s">
        <v>117</v>
      </c>
      <c r="C52" s="838"/>
      <c r="D52" s="41" t="s">
        <v>135</v>
      </c>
      <c r="E52" s="14" t="s">
        <v>150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825" t="s">
        <v>1091</v>
      </c>
      <c r="C53" s="826"/>
      <c r="D53" s="41" t="s">
        <v>167</v>
      </c>
      <c r="E53" s="45" t="s">
        <v>52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7176.5932500000299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839" t="s">
        <v>1271</v>
      </c>
      <c r="C54" s="840"/>
      <c r="D54" s="116" t="s">
        <v>135</v>
      </c>
      <c r="E54" s="117" t="s">
        <v>47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829" t="s">
        <v>45</v>
      </c>
      <c r="C55" s="830"/>
      <c r="D55" s="41" t="s">
        <v>458</v>
      </c>
      <c r="E55" s="8" t="s">
        <v>1016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841" t="s">
        <v>96</v>
      </c>
      <c r="C56" s="842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841" t="s">
        <v>122</v>
      </c>
      <c r="C58" s="842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825" t="s">
        <v>501</v>
      </c>
      <c r="C59" s="826"/>
      <c r="D59" s="101" t="s">
        <v>124</v>
      </c>
      <c r="E59" s="103" t="s">
        <v>100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125</v>
      </c>
      <c r="C60" s="100"/>
      <c r="D60" s="101" t="s">
        <v>126</v>
      </c>
      <c r="E60" s="103" t="s">
        <v>571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841" t="s">
        <v>96</v>
      </c>
      <c r="C61" s="842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11417.003000000001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841"/>
      <c r="C62" s="842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841" t="s">
        <v>1233</v>
      </c>
      <c r="C63" s="842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829" t="s">
        <v>129</v>
      </c>
      <c r="C64" s="830"/>
      <c r="D64" s="15" t="s">
        <v>130</v>
      </c>
      <c r="E64" s="8" t="s">
        <v>100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24775.986500000101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131</v>
      </c>
      <c r="C65" s="110"/>
      <c r="D65" s="15" t="s">
        <v>132</v>
      </c>
      <c r="E65" s="103" t="s">
        <v>1018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829" t="s">
        <v>1272</v>
      </c>
      <c r="C66" s="830"/>
      <c r="D66" s="2" t="s">
        <v>458</v>
      </c>
      <c r="E66" s="8" t="s">
        <v>194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829" t="s">
        <v>134</v>
      </c>
      <c r="C67" s="830"/>
      <c r="D67" s="41" t="s">
        <v>167</v>
      </c>
      <c r="E67" s="8" t="s">
        <v>1016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1273</v>
      </c>
      <c r="C68" s="110"/>
      <c r="D68" s="15" t="s">
        <v>167</v>
      </c>
      <c r="E68" s="103" t="s">
        <v>1228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7487.9927499999803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827" t="s">
        <v>517</v>
      </c>
      <c r="C69" s="828"/>
      <c r="D69" s="15" t="s">
        <v>135</v>
      </c>
      <c r="E69" s="103" t="s">
        <v>150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829" t="s">
        <v>136</v>
      </c>
      <c r="C70" s="830"/>
      <c r="D70" s="2" t="s">
        <v>119</v>
      </c>
      <c r="E70" s="8" t="s">
        <v>1234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831" t="s">
        <v>1099</v>
      </c>
      <c r="C71" s="831"/>
      <c r="D71" s="15" t="s">
        <v>119</v>
      </c>
      <c r="E71" s="103" t="s">
        <v>137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825" t="s">
        <v>140</v>
      </c>
      <c r="C72" s="826"/>
      <c r="D72" s="41" t="s">
        <v>154</v>
      </c>
      <c r="E72" s="45" t="s">
        <v>585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4566.0304999999898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829" t="s">
        <v>1181</v>
      </c>
      <c r="C73" s="830"/>
      <c r="D73" s="15" t="s">
        <v>119</v>
      </c>
      <c r="E73" s="45" t="s">
        <v>70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829" t="s">
        <v>77</v>
      </c>
      <c r="C74" s="830"/>
      <c r="D74" s="15" t="s">
        <v>64</v>
      </c>
      <c r="E74" s="45" t="s">
        <v>95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827" t="s">
        <v>63</v>
      </c>
      <c r="C75" s="828"/>
      <c r="D75" s="15" t="s">
        <v>64</v>
      </c>
      <c r="E75" s="45" t="s">
        <v>95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841" t="s">
        <v>96</v>
      </c>
      <c r="C76" s="842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67258.163250000202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841" t="s">
        <v>1235</v>
      </c>
      <c r="C78" s="842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825" t="s">
        <v>144</v>
      </c>
      <c r="C79" s="826"/>
      <c r="D79" s="41" t="s">
        <v>145</v>
      </c>
      <c r="E79" s="45" t="s">
        <v>100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518</v>
      </c>
      <c r="D80" s="44" t="s">
        <v>570</v>
      </c>
      <c r="E80" s="103" t="s">
        <v>1018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1182</v>
      </c>
      <c r="D81" s="44" t="s">
        <v>1183</v>
      </c>
      <c r="E81" s="103" t="s">
        <v>1018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825" t="s">
        <v>1274</v>
      </c>
      <c r="C82" s="826"/>
      <c r="D82" s="41" t="s">
        <v>458</v>
      </c>
      <c r="E82" s="103" t="s">
        <v>1016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825" t="s">
        <v>151</v>
      </c>
      <c r="C83" s="826"/>
      <c r="D83" s="41" t="s">
        <v>154</v>
      </c>
      <c r="E83" s="45" t="s">
        <v>70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81</v>
      </c>
      <c r="C84" s="100"/>
      <c r="D84" s="41" t="s">
        <v>1088</v>
      </c>
      <c r="E84" s="45" t="s">
        <v>173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88</v>
      </c>
      <c r="C85" s="100"/>
      <c r="D85" s="41" t="s">
        <v>1197</v>
      </c>
      <c r="E85" s="45" t="s">
        <v>95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841" t="s">
        <v>96</v>
      </c>
      <c r="C86" s="842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11288.0024999999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843"/>
      <c r="C87" s="844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845" t="s">
        <v>1236</v>
      </c>
      <c r="C88" s="846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825" t="s">
        <v>1237</v>
      </c>
      <c r="C89" s="826"/>
      <c r="D89" s="41" t="s">
        <v>1200</v>
      </c>
      <c r="E89" s="45" t="s">
        <v>112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825" t="s">
        <v>158</v>
      </c>
      <c r="C90" s="826"/>
      <c r="D90" s="41" t="s">
        <v>114</v>
      </c>
      <c r="E90" s="45" t="s">
        <v>36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11416.452499999899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825" t="s">
        <v>159</v>
      </c>
      <c r="C91" s="826"/>
      <c r="D91" s="41" t="s">
        <v>114</v>
      </c>
      <c r="E91" s="45" t="s">
        <v>36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11416.452499999899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825" t="s">
        <v>1275</v>
      </c>
      <c r="C92" s="826"/>
      <c r="D92" s="41" t="s">
        <v>46</v>
      </c>
      <c r="E92" s="45" t="s">
        <v>150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827" t="s">
        <v>203</v>
      </c>
      <c r="C93" s="828"/>
      <c r="D93" s="41" t="s">
        <v>135</v>
      </c>
      <c r="E93" s="45" t="s">
        <v>224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829" t="s">
        <v>160</v>
      </c>
      <c r="C94" s="830"/>
      <c r="D94" s="41" t="s">
        <v>46</v>
      </c>
      <c r="E94" s="45" t="s">
        <v>150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825" t="s">
        <v>1276</v>
      </c>
      <c r="C95" s="826"/>
      <c r="D95" s="101" t="s">
        <v>135</v>
      </c>
      <c r="E95" s="103" t="s">
        <v>47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780" t="s">
        <v>1277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831" t="s">
        <v>161</v>
      </c>
      <c r="C96" s="831"/>
      <c r="D96" s="41" t="s">
        <v>458</v>
      </c>
      <c r="E96" s="103" t="s">
        <v>1016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825" t="s">
        <v>162</v>
      </c>
      <c r="C97" s="826"/>
      <c r="D97" s="101" t="s">
        <v>167</v>
      </c>
      <c r="E97" s="103" t="s">
        <v>1228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7487.9927499999803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825" t="s">
        <v>163</v>
      </c>
      <c r="C98" s="826"/>
      <c r="D98" s="101" t="s">
        <v>167</v>
      </c>
      <c r="E98" s="103" t="s">
        <v>1228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7487.9927499999803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832" t="s">
        <v>96</v>
      </c>
      <c r="C99" s="832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91570.261749999598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832" t="s">
        <v>1239</v>
      </c>
      <c r="C101" s="832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574</v>
      </c>
      <c r="C102" s="100"/>
      <c r="D102" s="45" t="s">
        <v>575</v>
      </c>
      <c r="E102" s="103" t="s">
        <v>112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829" t="s">
        <v>37</v>
      </c>
      <c r="C103" s="830"/>
      <c r="D103" s="2" t="s">
        <v>179</v>
      </c>
      <c r="E103" s="8" t="s">
        <v>150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1201</v>
      </c>
      <c r="C104" s="110"/>
      <c r="D104" s="2" t="s">
        <v>1202</v>
      </c>
      <c r="E104" s="103" t="s">
        <v>1228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7487.9927499999803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825" t="s">
        <v>182</v>
      </c>
      <c r="C105" s="826"/>
      <c r="D105" s="41" t="s">
        <v>1240</v>
      </c>
      <c r="E105" s="103" t="s">
        <v>1241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9131.9692500000801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832" t="s">
        <v>96</v>
      </c>
      <c r="C106" s="832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832" t="s">
        <v>1242</v>
      </c>
      <c r="C108" s="832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825" t="s">
        <v>187</v>
      </c>
      <c r="C109" s="826"/>
      <c r="D109" s="101" t="s">
        <v>188</v>
      </c>
      <c r="E109" s="103" t="s">
        <v>100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847" t="s">
        <v>189</v>
      </c>
      <c r="C110" s="848"/>
      <c r="D110" s="41" t="s">
        <v>190</v>
      </c>
      <c r="E110" s="45" t="s">
        <v>36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825" t="s">
        <v>192</v>
      </c>
      <c r="C111" s="826"/>
      <c r="D111" s="41" t="s">
        <v>193</v>
      </c>
      <c r="E111" s="45" t="s">
        <v>194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829" t="s">
        <v>195</v>
      </c>
      <c r="C112" s="830"/>
      <c r="D112" s="41" t="s">
        <v>193</v>
      </c>
      <c r="E112" s="8" t="s">
        <v>52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825" t="s">
        <v>196</v>
      </c>
      <c r="C113" s="826"/>
      <c r="D113" s="44" t="s">
        <v>197</v>
      </c>
      <c r="E113" s="103" t="s">
        <v>1011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199</v>
      </c>
      <c r="C114" s="110"/>
      <c r="D114" s="44" t="s">
        <v>197</v>
      </c>
      <c r="E114" s="45" t="s">
        <v>173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201</v>
      </c>
      <c r="C115" s="100"/>
      <c r="D115" s="44" t="s">
        <v>197</v>
      </c>
      <c r="E115" s="103" t="s">
        <v>95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1278</v>
      </c>
      <c r="C116" s="100"/>
      <c r="D116" s="44" t="s">
        <v>197</v>
      </c>
      <c r="E116" s="103" t="s">
        <v>95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832" t="s">
        <v>96</v>
      </c>
      <c r="C117" s="832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832" t="s">
        <v>1243</v>
      </c>
      <c r="C119" s="832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831" t="s">
        <v>216</v>
      </c>
      <c r="C120" s="831"/>
      <c r="D120" s="101" t="s">
        <v>217</v>
      </c>
      <c r="E120" s="103" t="s">
        <v>100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831" t="s">
        <v>1204</v>
      </c>
      <c r="C121" s="831"/>
      <c r="D121" s="101" t="s">
        <v>1205</v>
      </c>
      <c r="E121" s="103" t="s">
        <v>191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831" t="s">
        <v>218</v>
      </c>
      <c r="C122" s="831"/>
      <c r="D122" s="101" t="s">
        <v>221</v>
      </c>
      <c r="E122" s="103" t="s">
        <v>36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849" t="s">
        <v>220</v>
      </c>
      <c r="C123" s="849"/>
      <c r="D123" s="101" t="s">
        <v>221</v>
      </c>
      <c r="E123" s="103" t="s">
        <v>36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521</v>
      </c>
      <c r="D124" s="101" t="s">
        <v>221</v>
      </c>
      <c r="E124" s="103" t="s">
        <v>39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850" t="s">
        <v>222</v>
      </c>
      <c r="C125" s="850"/>
      <c r="D125" s="101" t="s">
        <v>1207</v>
      </c>
      <c r="E125" s="103" t="s">
        <v>52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7176.5932500000299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831" t="s">
        <v>225</v>
      </c>
      <c r="C126" s="831"/>
      <c r="D126" s="101" t="s">
        <v>226</v>
      </c>
      <c r="E126" s="103" t="s">
        <v>1016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831" t="s">
        <v>227</v>
      </c>
      <c r="C127" s="831"/>
      <c r="D127" s="101" t="s">
        <v>1036</v>
      </c>
      <c r="E127" s="103" t="s">
        <v>1016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1206</v>
      </c>
      <c r="C128" s="100"/>
      <c r="D128" s="101" t="s">
        <v>1207</v>
      </c>
      <c r="E128" s="103" t="s">
        <v>1017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7487.9927499999803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832" t="s">
        <v>96</v>
      </c>
      <c r="C129" s="832"/>
      <c r="D129" s="134" t="s">
        <v>1186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41681.107499999896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832" t="s">
        <v>1244</v>
      </c>
      <c r="C131" s="832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831" t="s">
        <v>1245</v>
      </c>
      <c r="C132" s="831"/>
      <c r="D132" s="101" t="s">
        <v>1246</v>
      </c>
      <c r="E132" s="103" t="s">
        <v>100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831" t="s">
        <v>237</v>
      </c>
      <c r="C133" s="831"/>
      <c r="D133" s="101" t="s">
        <v>238</v>
      </c>
      <c r="E133" s="103" t="s">
        <v>100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850" t="s">
        <v>522</v>
      </c>
      <c r="C134" s="850"/>
      <c r="D134" s="101" t="s">
        <v>573</v>
      </c>
      <c r="E134" s="103" t="s">
        <v>191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837" t="s">
        <v>239</v>
      </c>
      <c r="C135" s="838"/>
      <c r="D135" s="2" t="s">
        <v>1247</v>
      </c>
      <c r="E135" s="14" t="s">
        <v>36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837" t="s">
        <v>1248</v>
      </c>
      <c r="C136" s="838"/>
      <c r="D136" s="2" t="s">
        <v>1249</v>
      </c>
      <c r="E136" s="14" t="s">
        <v>36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831" t="s">
        <v>241</v>
      </c>
      <c r="C137" s="831"/>
      <c r="D137" s="101" t="s">
        <v>580</v>
      </c>
      <c r="E137" s="103" t="s">
        <v>150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831" t="s">
        <v>243</v>
      </c>
      <c r="C138" s="831"/>
      <c r="D138" s="41" t="s">
        <v>581</v>
      </c>
      <c r="E138" s="103" t="s">
        <v>150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831" t="s">
        <v>245</v>
      </c>
      <c r="C139" s="831"/>
      <c r="D139" s="41" t="s">
        <v>581</v>
      </c>
      <c r="E139" s="103" t="s">
        <v>150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831" t="s">
        <v>178</v>
      </c>
      <c r="C140" s="831"/>
      <c r="D140" s="41" t="s">
        <v>583</v>
      </c>
      <c r="E140" s="103" t="s">
        <v>1016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825" t="s">
        <v>180</v>
      </c>
      <c r="C141" s="826"/>
      <c r="D141" s="101" t="s">
        <v>582</v>
      </c>
      <c r="E141" s="103" t="s">
        <v>137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7081.9990000000698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831" t="s">
        <v>246</v>
      </c>
      <c r="C142" s="831"/>
      <c r="D142" s="101" t="s">
        <v>582</v>
      </c>
      <c r="E142" s="103" t="s">
        <v>137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7081.9990000000698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825" t="s">
        <v>247</v>
      </c>
      <c r="C143" s="826"/>
      <c r="D143" s="41" t="s">
        <v>583</v>
      </c>
      <c r="E143" s="103" t="s">
        <v>137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7081.9990000000698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825" t="s">
        <v>249</v>
      </c>
      <c r="C144" s="826"/>
      <c r="D144" s="41" t="s">
        <v>584</v>
      </c>
      <c r="E144" s="103" t="s">
        <v>585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4566.0304999999898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825" t="s">
        <v>251</v>
      </c>
      <c r="C145" s="826"/>
      <c r="D145" s="101" t="s">
        <v>1038</v>
      </c>
      <c r="E145" s="103" t="s">
        <v>267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4565.8469999999797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825" t="s">
        <v>253</v>
      </c>
      <c r="C146" s="826"/>
      <c r="D146" s="101" t="s">
        <v>278</v>
      </c>
      <c r="E146" s="103" t="s">
        <v>585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4566.0304999999898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825" t="s">
        <v>1250</v>
      </c>
      <c r="C147" s="826"/>
      <c r="D147" s="41" t="s">
        <v>584</v>
      </c>
      <c r="E147" s="103" t="s">
        <v>104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4567.0397499999699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825" t="s">
        <v>425</v>
      </c>
      <c r="C148" s="826"/>
      <c r="D148" s="41" t="s">
        <v>584</v>
      </c>
      <c r="E148" s="103" t="s">
        <v>104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4567.0397499999699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825" t="s">
        <v>260</v>
      </c>
      <c r="C149" s="826"/>
      <c r="D149" s="41" t="s">
        <v>584</v>
      </c>
      <c r="E149" s="103" t="s">
        <v>104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4567.0397499999699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825" t="s">
        <v>265</v>
      </c>
      <c r="C150" s="826"/>
      <c r="D150" s="101" t="s">
        <v>278</v>
      </c>
      <c r="E150" s="103" t="s">
        <v>1011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825" t="s">
        <v>268</v>
      </c>
      <c r="C151" s="826"/>
      <c r="D151" s="101" t="s">
        <v>1251</v>
      </c>
      <c r="E151" s="103" t="s">
        <v>1011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825" t="s">
        <v>270</v>
      </c>
      <c r="C152" s="826"/>
      <c r="D152" s="101" t="s">
        <v>278</v>
      </c>
      <c r="E152" s="103" t="s">
        <v>1011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825" t="s">
        <v>272</v>
      </c>
      <c r="C153" s="826"/>
      <c r="D153" s="101" t="s">
        <v>273</v>
      </c>
      <c r="E153" s="103" t="s">
        <v>1011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274</v>
      </c>
      <c r="C154" s="100"/>
      <c r="D154" s="101" t="s">
        <v>280</v>
      </c>
      <c r="E154" s="103" t="s">
        <v>1230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1209</v>
      </c>
      <c r="C155" s="100"/>
      <c r="D155" s="101" t="s">
        <v>278</v>
      </c>
      <c r="E155" s="103" t="s">
        <v>95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171</v>
      </c>
      <c r="C156" s="100"/>
      <c r="D156" s="101" t="s">
        <v>280</v>
      </c>
      <c r="E156" s="103" t="s">
        <v>95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277</v>
      </c>
      <c r="C157" s="100"/>
      <c r="D157" s="101" t="s">
        <v>278</v>
      </c>
      <c r="E157" s="103" t="s">
        <v>95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831" t="s">
        <v>289</v>
      </c>
      <c r="C158" s="831"/>
      <c r="D158" s="101" t="s">
        <v>290</v>
      </c>
      <c r="E158" s="103" t="s">
        <v>308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831" t="s">
        <v>292</v>
      </c>
      <c r="C159" s="831"/>
      <c r="D159" s="101" t="s">
        <v>290</v>
      </c>
      <c r="E159" s="103" t="s">
        <v>308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831" t="s">
        <v>293</v>
      </c>
      <c r="C160" s="831"/>
      <c r="D160" s="101" t="s">
        <v>290</v>
      </c>
      <c r="E160" s="103" t="s">
        <v>308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831" t="s">
        <v>738</v>
      </c>
      <c r="C161" s="831"/>
      <c r="D161" s="101" t="s">
        <v>290</v>
      </c>
      <c r="E161" s="103" t="s">
        <v>308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831" t="s">
        <v>736</v>
      </c>
      <c r="C162" s="831"/>
      <c r="D162" s="101" t="s">
        <v>290</v>
      </c>
      <c r="E162" s="103" t="s">
        <v>308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831" t="s">
        <v>294</v>
      </c>
      <c r="C163" s="831"/>
      <c r="D163" s="101" t="s">
        <v>290</v>
      </c>
      <c r="E163" s="103" t="s">
        <v>308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831" t="s">
        <v>295</v>
      </c>
      <c r="C164" s="831"/>
      <c r="D164" s="101" t="s">
        <v>290</v>
      </c>
      <c r="E164" s="103" t="s">
        <v>308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831" t="s">
        <v>296</v>
      </c>
      <c r="C165" s="831"/>
      <c r="D165" s="101" t="s">
        <v>310</v>
      </c>
      <c r="E165" s="103" t="s">
        <v>1252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831" t="s">
        <v>298</v>
      </c>
      <c r="C166" s="831"/>
      <c r="D166" s="101" t="s">
        <v>310</v>
      </c>
      <c r="E166" s="103" t="s">
        <v>1252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831" t="s">
        <v>1187</v>
      </c>
      <c r="C167" s="831"/>
      <c r="D167" s="101" t="s">
        <v>310</v>
      </c>
      <c r="E167" s="103" t="s">
        <v>1252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299</v>
      </c>
      <c r="C168" s="41"/>
      <c r="D168" s="101" t="s">
        <v>310</v>
      </c>
      <c r="E168" s="103" t="s">
        <v>1252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825" t="s">
        <v>300</v>
      </c>
      <c r="C169" s="826"/>
      <c r="D169" s="101" t="s">
        <v>310</v>
      </c>
      <c r="E169" s="103" t="s">
        <v>1252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301</v>
      </c>
      <c r="C170" s="41"/>
      <c r="D170" s="101" t="s">
        <v>310</v>
      </c>
      <c r="E170" s="103" t="s">
        <v>1252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302</v>
      </c>
      <c r="C171" s="41"/>
      <c r="D171" s="101" t="s">
        <v>310</v>
      </c>
      <c r="E171" s="103" t="s">
        <v>1252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825" t="s">
        <v>303</v>
      </c>
      <c r="C172" s="826"/>
      <c r="D172" s="101" t="s">
        <v>310</v>
      </c>
      <c r="E172" s="103" t="s">
        <v>1020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1565.98899999999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825" t="s">
        <v>306</v>
      </c>
      <c r="C173" s="826"/>
      <c r="D173" s="101" t="s">
        <v>310</v>
      </c>
      <c r="E173" s="103" t="s">
        <v>1020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1565.98899999999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307</v>
      </c>
      <c r="C174" s="41"/>
      <c r="D174" s="101" t="s">
        <v>310</v>
      </c>
      <c r="E174" s="103" t="s">
        <v>311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825" t="s">
        <v>309</v>
      </c>
      <c r="C175" s="826"/>
      <c r="D175" s="101" t="s">
        <v>310</v>
      </c>
      <c r="E175" s="103" t="s">
        <v>325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1566.9982500000001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825" t="s">
        <v>312</v>
      </c>
      <c r="C176" s="826"/>
      <c r="D176" s="101" t="s">
        <v>313</v>
      </c>
      <c r="E176" s="103" t="s">
        <v>1253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1565.7137499999999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825" t="s">
        <v>315</v>
      </c>
      <c r="C177" s="826"/>
      <c r="D177" s="101" t="s">
        <v>313</v>
      </c>
      <c r="E177" s="103" t="s">
        <v>1253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1565.7137499999999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825" t="s">
        <v>316</v>
      </c>
      <c r="C178" s="826"/>
      <c r="D178" s="101" t="s">
        <v>313</v>
      </c>
      <c r="E178" s="103" t="s">
        <v>1253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1565.7137499999999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825" t="s">
        <v>317</v>
      </c>
      <c r="C179" s="826"/>
      <c r="D179" s="101" t="s">
        <v>313</v>
      </c>
      <c r="E179" s="103" t="s">
        <v>1253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1565.7137499999999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825" t="s">
        <v>318</v>
      </c>
      <c r="C180" s="826"/>
      <c r="D180" s="101" t="s">
        <v>313</v>
      </c>
      <c r="E180" s="103" t="s">
        <v>1253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1565.7137499999999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851" t="s">
        <v>321</v>
      </c>
      <c r="C181" s="852"/>
      <c r="D181" s="101" t="s">
        <v>313</v>
      </c>
      <c r="E181" s="103" t="s">
        <v>586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853" t="s">
        <v>322</v>
      </c>
      <c r="C182" s="854"/>
      <c r="D182" s="101" t="s">
        <v>313</v>
      </c>
      <c r="E182" s="103" t="s">
        <v>586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323</v>
      </c>
      <c r="C183" s="137"/>
      <c r="D183" s="101" t="s">
        <v>313</v>
      </c>
      <c r="E183" s="103" t="s">
        <v>586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319</v>
      </c>
      <c r="C184" s="137"/>
      <c r="D184" s="101" t="s">
        <v>313</v>
      </c>
      <c r="E184" s="103" t="s">
        <v>336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1565.7137499999999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328</v>
      </c>
      <c r="C185" s="137"/>
      <c r="D185" s="101" t="s">
        <v>313</v>
      </c>
      <c r="E185" s="103" t="s">
        <v>331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320</v>
      </c>
      <c r="C186" s="137"/>
      <c r="D186" s="101" t="s">
        <v>313</v>
      </c>
      <c r="E186" s="103" t="s">
        <v>336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1565.7137499999999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96</v>
      </c>
      <c r="D187" s="138" t="s">
        <v>1188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855" t="s">
        <v>339</v>
      </c>
      <c r="C188" s="855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856"/>
      <c r="C189" s="856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856"/>
      <c r="C190" s="856"/>
      <c r="D190" s="821" t="s">
        <v>1255</v>
      </c>
      <c r="E190" s="821"/>
      <c r="F190" s="821"/>
      <c r="G190" s="821"/>
      <c r="H190" s="821"/>
      <c r="I190" s="821"/>
      <c r="J190" s="821"/>
      <c r="K190" s="857" t="s">
        <v>1279</v>
      </c>
      <c r="L190" s="857"/>
      <c r="M190" s="857"/>
      <c r="N190" s="142"/>
      <c r="O190" s="142"/>
      <c r="P190" s="857" t="s">
        <v>1280</v>
      </c>
      <c r="Q190" s="857"/>
      <c r="R190" s="857"/>
      <c r="S190" s="857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856"/>
      <c r="C191" s="856"/>
      <c r="D191" s="821"/>
      <c r="E191" s="821"/>
      <c r="F191" s="821"/>
      <c r="G191" s="821"/>
      <c r="H191" s="821"/>
      <c r="I191" s="821"/>
      <c r="J191" s="821"/>
      <c r="K191" s="857"/>
      <c r="L191" s="857"/>
      <c r="M191" s="857"/>
      <c r="N191" s="142"/>
      <c r="O191" s="142"/>
      <c r="P191" s="857"/>
      <c r="Q191" s="857"/>
      <c r="R191" s="857"/>
      <c r="S191" s="857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07" t="s">
        <v>0</v>
      </c>
      <c r="B1" s="807"/>
      <c r="C1" s="807"/>
      <c r="D1" s="807"/>
      <c r="E1" s="807"/>
    </row>
    <row r="2" spans="1:7" ht="33.75" customHeight="1">
      <c r="A2" s="61" t="s">
        <v>1281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500</v>
      </c>
      <c r="F4" s="65" t="s">
        <v>1004</v>
      </c>
      <c r="G4" s="65" t="s">
        <v>1005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1082</v>
      </c>
      <c r="C7" s="71" t="s">
        <v>1172</v>
      </c>
      <c r="D7" s="8" t="s">
        <v>191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1173</v>
      </c>
      <c r="C8" s="71" t="s">
        <v>1174</v>
      </c>
      <c r="D8" s="8" t="s">
        <v>112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1223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1012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175</v>
      </c>
      <c r="C11" s="71" t="s">
        <v>1084</v>
      </c>
      <c r="D11" s="14" t="s">
        <v>1012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1012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32</v>
      </c>
      <c r="C13" s="71" t="s">
        <v>33</v>
      </c>
      <c r="D13" s="14" t="s">
        <v>1012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34</v>
      </c>
      <c r="C14" s="68" t="s">
        <v>35</v>
      </c>
      <c r="D14" s="13" t="s">
        <v>36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519</v>
      </c>
      <c r="C15" s="68" t="s">
        <v>572</v>
      </c>
      <c r="D15" s="8" t="s">
        <v>1018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1175</v>
      </c>
      <c r="C16" s="71" t="s">
        <v>1176</v>
      </c>
      <c r="D16" s="14" t="s">
        <v>150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1085</v>
      </c>
      <c r="C17" s="71" t="s">
        <v>41</v>
      </c>
      <c r="D17" s="8" t="s">
        <v>150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1177</v>
      </c>
      <c r="C18" s="71" t="s">
        <v>1178</v>
      </c>
      <c r="D18" s="8" t="s">
        <v>150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40</v>
      </c>
      <c r="C19" s="71" t="s">
        <v>41</v>
      </c>
      <c r="D19" s="13" t="s">
        <v>150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1228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58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206</v>
      </c>
      <c r="C22" s="68" t="s">
        <v>579</v>
      </c>
      <c r="D22" s="13" t="s">
        <v>137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60</v>
      </c>
      <c r="C23" s="68" t="s">
        <v>61</v>
      </c>
      <c r="D23" s="13" t="s">
        <v>65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204</v>
      </c>
      <c r="C24" s="71" t="s">
        <v>205</v>
      </c>
      <c r="D24" s="13" t="s">
        <v>65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256</v>
      </c>
      <c r="C25" s="71" t="s">
        <v>1194</v>
      </c>
      <c r="D25" s="13" t="s">
        <v>267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1179</v>
      </c>
      <c r="C26" s="68" t="s">
        <v>91</v>
      </c>
      <c r="D26" s="13" t="s">
        <v>104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73</v>
      </c>
      <c r="C27" s="71" t="s">
        <v>74</v>
      </c>
      <c r="D27" s="8" t="s">
        <v>83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76</v>
      </c>
      <c r="C28" s="68" t="s">
        <v>74</v>
      </c>
      <c r="D28" s="13" t="s">
        <v>83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1086</v>
      </c>
      <c r="C29" s="68" t="s">
        <v>1087</v>
      </c>
      <c r="D29" s="13" t="s">
        <v>83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78</v>
      </c>
      <c r="C30" s="68" t="s">
        <v>1033</v>
      </c>
      <c r="D30" s="13" t="s">
        <v>1230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184</v>
      </c>
      <c r="C31" s="72" t="s">
        <v>1196</v>
      </c>
      <c r="D31" s="13" t="s">
        <v>173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81</v>
      </c>
      <c r="C32" s="71" t="s">
        <v>1088</v>
      </c>
      <c r="D32" s="8" t="s">
        <v>173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85</v>
      </c>
      <c r="C33" s="72" t="s">
        <v>86</v>
      </c>
      <c r="D33" s="13" t="s">
        <v>83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1282</v>
      </c>
      <c r="C34" s="72" t="s">
        <v>86</v>
      </c>
      <c r="D34" s="13" t="s">
        <v>95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88</v>
      </c>
      <c r="C35" s="71" t="s">
        <v>1197</v>
      </c>
      <c r="D35" s="8" t="s">
        <v>95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1006</v>
      </c>
      <c r="C36" s="68" t="s">
        <v>91</v>
      </c>
      <c r="D36" s="13" t="s">
        <v>95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1180</v>
      </c>
      <c r="C37" s="68" t="s">
        <v>91</v>
      </c>
      <c r="D37" s="13" t="s">
        <v>95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96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97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98</v>
      </c>
      <c r="C41" s="71" t="s">
        <v>99</v>
      </c>
      <c r="D41" s="8" t="s">
        <v>1232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101</v>
      </c>
      <c r="C42" s="71" t="s">
        <v>612</v>
      </c>
      <c r="D42" s="8" t="s">
        <v>95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107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108</v>
      </c>
      <c r="C46" s="71" t="s">
        <v>109</v>
      </c>
      <c r="D46" s="8" t="s">
        <v>100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491</v>
      </c>
      <c r="C47" s="71" t="s">
        <v>44</v>
      </c>
      <c r="D47" s="8" t="s">
        <v>36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110</v>
      </c>
      <c r="C48" s="71" t="s">
        <v>114</v>
      </c>
      <c r="D48" s="8" t="s">
        <v>36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113</v>
      </c>
      <c r="C49" s="71" t="s">
        <v>114</v>
      </c>
      <c r="D49" s="8" t="s">
        <v>133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115</v>
      </c>
      <c r="C50" s="71" t="s">
        <v>114</v>
      </c>
      <c r="D50" s="8" t="s">
        <v>39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116</v>
      </c>
      <c r="C51" s="71" t="s">
        <v>46</v>
      </c>
      <c r="D51" s="8" t="s">
        <v>150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117</v>
      </c>
      <c r="C52" s="71" t="s">
        <v>135</v>
      </c>
      <c r="D52" s="14" t="s">
        <v>150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1091</v>
      </c>
      <c r="C53" s="71" t="s">
        <v>135</v>
      </c>
      <c r="D53" s="8" t="s">
        <v>47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45</v>
      </c>
      <c r="C54" s="71" t="s">
        <v>458</v>
      </c>
      <c r="D54" s="8" t="s">
        <v>1016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120</v>
      </c>
      <c r="C55" s="71" t="s">
        <v>119</v>
      </c>
      <c r="D55" s="8" t="s">
        <v>83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578</v>
      </c>
      <c r="C56" s="71" t="s">
        <v>119</v>
      </c>
      <c r="D56" s="8" t="s">
        <v>83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121</v>
      </c>
      <c r="C57" s="71" t="s">
        <v>119</v>
      </c>
      <c r="D57" s="8" t="s">
        <v>83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96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122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501</v>
      </c>
      <c r="C61" s="68" t="s">
        <v>124</v>
      </c>
      <c r="D61" s="13" t="s">
        <v>100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96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128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129</v>
      </c>
      <c r="C65" s="72" t="s">
        <v>130</v>
      </c>
      <c r="D65" s="8" t="s">
        <v>100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131</v>
      </c>
      <c r="C66" s="72" t="s">
        <v>132</v>
      </c>
      <c r="D66" s="13" t="s">
        <v>1018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134</v>
      </c>
      <c r="C67" s="71" t="s">
        <v>167</v>
      </c>
      <c r="D67" s="8" t="s">
        <v>1016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487</v>
      </c>
      <c r="C68" s="72" t="s">
        <v>167</v>
      </c>
      <c r="D68" s="13" t="s">
        <v>1228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517</v>
      </c>
      <c r="C69" s="72" t="s">
        <v>135</v>
      </c>
      <c r="D69" s="13" t="s">
        <v>150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136</v>
      </c>
      <c r="C70" s="71" t="s">
        <v>119</v>
      </c>
      <c r="D70" s="8" t="s">
        <v>1234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1099</v>
      </c>
      <c r="C71" s="72" t="s">
        <v>67</v>
      </c>
      <c r="D71" s="13" t="s">
        <v>137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138</v>
      </c>
      <c r="C72" s="72" t="s">
        <v>67</v>
      </c>
      <c r="D72" s="13" t="s">
        <v>65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139</v>
      </c>
      <c r="C73" s="72" t="s">
        <v>67</v>
      </c>
      <c r="D73" s="13" t="s">
        <v>65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140</v>
      </c>
      <c r="C74" s="71" t="s">
        <v>141</v>
      </c>
      <c r="D74" s="8" t="s">
        <v>65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1181</v>
      </c>
      <c r="C75" s="72" t="s">
        <v>119</v>
      </c>
      <c r="D75" s="8" t="s">
        <v>70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77</v>
      </c>
      <c r="C76" s="72" t="s">
        <v>64</v>
      </c>
      <c r="D76" s="8" t="s">
        <v>83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63</v>
      </c>
      <c r="C77" s="72" t="s">
        <v>64</v>
      </c>
      <c r="D77" s="8" t="s">
        <v>95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96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143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144</v>
      </c>
      <c r="C81" s="71" t="s">
        <v>145</v>
      </c>
      <c r="D81" s="8" t="s">
        <v>100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518</v>
      </c>
      <c r="C82" s="71" t="s">
        <v>570</v>
      </c>
      <c r="D82" s="13" t="s">
        <v>1018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1182</v>
      </c>
      <c r="C83" s="71" t="s">
        <v>1183</v>
      </c>
      <c r="D83" s="13" t="s">
        <v>1018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148</v>
      </c>
      <c r="C84" s="71" t="s">
        <v>1034</v>
      </c>
      <c r="D84" s="13" t="s">
        <v>1016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151</v>
      </c>
      <c r="C85" s="71" t="s">
        <v>154</v>
      </c>
      <c r="D85" s="8" t="s">
        <v>70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96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157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1237</v>
      </c>
      <c r="C89" s="71" t="s">
        <v>1200</v>
      </c>
      <c r="D89" s="8" t="s">
        <v>112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158</v>
      </c>
      <c r="C90" s="71" t="s">
        <v>114</v>
      </c>
      <c r="D90" s="8" t="s">
        <v>36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159</v>
      </c>
      <c r="C91" s="71" t="s">
        <v>114</v>
      </c>
      <c r="D91" s="8" t="s">
        <v>36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203</v>
      </c>
      <c r="C92" s="71" t="s">
        <v>135</v>
      </c>
      <c r="D92" s="8" t="s">
        <v>224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160</v>
      </c>
      <c r="C93" s="71" t="s">
        <v>46</v>
      </c>
      <c r="D93" s="8" t="s">
        <v>150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161</v>
      </c>
      <c r="C94" s="71" t="s">
        <v>458</v>
      </c>
      <c r="D94" s="13" t="s">
        <v>1016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162</v>
      </c>
      <c r="C95" s="68" t="s">
        <v>167</v>
      </c>
      <c r="D95" s="13" t="s">
        <v>1228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163</v>
      </c>
      <c r="C96" s="68" t="s">
        <v>167</v>
      </c>
      <c r="D96" s="13" t="s">
        <v>1228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165</v>
      </c>
      <c r="C97" s="72" t="s">
        <v>67</v>
      </c>
      <c r="D97" s="13" t="s">
        <v>65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169</v>
      </c>
      <c r="C98" s="71" t="s">
        <v>170</v>
      </c>
      <c r="D98" s="8" t="s">
        <v>70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171</v>
      </c>
      <c r="C99" s="72" t="s">
        <v>172</v>
      </c>
      <c r="D99" s="13" t="s">
        <v>95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96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1283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574</v>
      </c>
      <c r="C103" s="80" t="s">
        <v>575</v>
      </c>
      <c r="D103" s="13" t="s">
        <v>112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37</v>
      </c>
      <c r="C104" s="71" t="s">
        <v>179</v>
      </c>
      <c r="D104" s="8" t="s">
        <v>150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1201</v>
      </c>
      <c r="C105" s="71" t="s">
        <v>1202</v>
      </c>
      <c r="D105" s="13" t="s">
        <v>1228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182</v>
      </c>
      <c r="C106" s="71" t="s">
        <v>183</v>
      </c>
      <c r="D106" s="13" t="s">
        <v>65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96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186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187</v>
      </c>
      <c r="C110" s="68" t="s">
        <v>188</v>
      </c>
      <c r="D110" s="13" t="s">
        <v>100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189</v>
      </c>
      <c r="C111" s="71" t="s">
        <v>190</v>
      </c>
      <c r="D111" s="14" t="s">
        <v>1012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192</v>
      </c>
      <c r="C112" s="71" t="s">
        <v>193</v>
      </c>
      <c r="D112" s="8" t="s">
        <v>194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195</v>
      </c>
      <c r="C113" s="71" t="s">
        <v>193</v>
      </c>
      <c r="D113" s="8" t="s">
        <v>52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196</v>
      </c>
      <c r="C114" s="71" t="s">
        <v>197</v>
      </c>
      <c r="D114" s="13" t="s">
        <v>1011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199</v>
      </c>
      <c r="C115" s="71" t="s">
        <v>197</v>
      </c>
      <c r="D115" s="8" t="s">
        <v>173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201</v>
      </c>
      <c r="C116" s="71" t="s">
        <v>197</v>
      </c>
      <c r="D116" s="13" t="s">
        <v>95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96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215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216</v>
      </c>
      <c r="C120" s="68" t="s">
        <v>217</v>
      </c>
      <c r="D120" s="13" t="s">
        <v>100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1204</v>
      </c>
      <c r="C121" s="68" t="s">
        <v>1205</v>
      </c>
      <c r="D121" s="13" t="s">
        <v>191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218</v>
      </c>
      <c r="C122" s="68" t="s">
        <v>221</v>
      </c>
      <c r="D122" s="13" t="s">
        <v>36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220</v>
      </c>
      <c r="C123" s="68" t="s">
        <v>221</v>
      </c>
      <c r="D123" s="13" t="s">
        <v>36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521</v>
      </c>
      <c r="C124" s="68" t="s">
        <v>221</v>
      </c>
      <c r="D124" s="13" t="s">
        <v>39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222</v>
      </c>
      <c r="C125" s="68" t="s">
        <v>223</v>
      </c>
      <c r="D125" s="13" t="s">
        <v>47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225</v>
      </c>
      <c r="C126" s="68" t="s">
        <v>226</v>
      </c>
      <c r="D126" s="13" t="s">
        <v>1016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227</v>
      </c>
      <c r="C127" s="68" t="s">
        <v>1036</v>
      </c>
      <c r="D127" s="13" t="s">
        <v>1016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1206</v>
      </c>
      <c r="C128" s="68" t="s">
        <v>1207</v>
      </c>
      <c r="D128" s="13" t="s">
        <v>1017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228</v>
      </c>
      <c r="C129" s="68" t="s">
        <v>229</v>
      </c>
      <c r="D129" s="8" t="s">
        <v>83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230</v>
      </c>
      <c r="C130" s="68" t="s">
        <v>231</v>
      </c>
      <c r="D130" s="13" t="s">
        <v>95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96</v>
      </c>
      <c r="C131" s="84" t="s">
        <v>1208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236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237</v>
      </c>
      <c r="C134" s="68" t="s">
        <v>1284</v>
      </c>
      <c r="D134" s="13" t="s">
        <v>100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522</v>
      </c>
      <c r="C135" s="68" t="s">
        <v>573</v>
      </c>
      <c r="D135" s="13" t="s">
        <v>191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239</v>
      </c>
      <c r="C136" s="71" t="s">
        <v>240</v>
      </c>
      <c r="D136" s="14" t="s">
        <v>1012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241</v>
      </c>
      <c r="C137" s="68" t="s">
        <v>580</v>
      </c>
      <c r="D137" s="13" t="s">
        <v>150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243</v>
      </c>
      <c r="C138" s="71" t="s">
        <v>581</v>
      </c>
      <c r="D138" s="13" t="s">
        <v>150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178</v>
      </c>
      <c r="C139" s="71" t="s">
        <v>583</v>
      </c>
      <c r="D139" s="13" t="s">
        <v>1016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180</v>
      </c>
      <c r="C140" s="68" t="s">
        <v>582</v>
      </c>
      <c r="D140" s="13" t="s">
        <v>137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246</v>
      </c>
      <c r="C141" s="68" t="s">
        <v>582</v>
      </c>
      <c r="D141" s="13" t="s">
        <v>137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247</v>
      </c>
      <c r="C142" s="71" t="s">
        <v>583</v>
      </c>
      <c r="D142" s="13" t="s">
        <v>137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249</v>
      </c>
      <c r="C143" s="68" t="s">
        <v>254</v>
      </c>
      <c r="D143" s="13" t="s">
        <v>65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251</v>
      </c>
      <c r="C144" s="68" t="s">
        <v>1038</v>
      </c>
      <c r="D144" s="13" t="s">
        <v>267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253</v>
      </c>
      <c r="C145" s="68" t="s">
        <v>254</v>
      </c>
      <c r="D145" s="13" t="s">
        <v>65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258</v>
      </c>
      <c r="C146" s="71" t="s">
        <v>584</v>
      </c>
      <c r="D146" s="13" t="s">
        <v>104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259</v>
      </c>
      <c r="C147" s="71" t="s">
        <v>584</v>
      </c>
      <c r="D147" s="13" t="s">
        <v>104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260</v>
      </c>
      <c r="C148" s="71" t="s">
        <v>584</v>
      </c>
      <c r="D148" s="13" t="s">
        <v>104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261</v>
      </c>
      <c r="C149" s="68" t="s">
        <v>262</v>
      </c>
      <c r="D149" s="13" t="s">
        <v>70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1019</v>
      </c>
      <c r="C150" s="68" t="s">
        <v>264</v>
      </c>
      <c r="D150" s="8" t="s">
        <v>83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265</v>
      </c>
      <c r="C151" s="68" t="s">
        <v>266</v>
      </c>
      <c r="D151" s="13" t="s">
        <v>70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268</v>
      </c>
      <c r="C152" s="68" t="s">
        <v>269</v>
      </c>
      <c r="D152" s="13" t="s">
        <v>83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270</v>
      </c>
      <c r="C153" s="68" t="s">
        <v>271</v>
      </c>
      <c r="D153" s="13" t="s">
        <v>70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272</v>
      </c>
      <c r="C154" s="68" t="s">
        <v>273</v>
      </c>
      <c r="D154" s="13" t="s">
        <v>83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274</v>
      </c>
      <c r="C155" s="68" t="s">
        <v>280</v>
      </c>
      <c r="D155" s="13" t="s">
        <v>1230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1209</v>
      </c>
      <c r="C156" s="68" t="s">
        <v>278</v>
      </c>
      <c r="D156" s="13" t="s">
        <v>95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277</v>
      </c>
      <c r="C157" s="68" t="s">
        <v>278</v>
      </c>
      <c r="D157" s="13" t="s">
        <v>95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279</v>
      </c>
      <c r="C158" s="68" t="s">
        <v>280</v>
      </c>
      <c r="D158" s="13" t="s">
        <v>95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281</v>
      </c>
      <c r="C159" s="68" t="s">
        <v>282</v>
      </c>
      <c r="D159" s="13" t="s">
        <v>95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283</v>
      </c>
      <c r="C160" s="68" t="s">
        <v>284</v>
      </c>
      <c r="D160" s="13" t="s">
        <v>95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289</v>
      </c>
      <c r="C161" s="68" t="s">
        <v>290</v>
      </c>
      <c r="D161" s="13" t="s">
        <v>308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292</v>
      </c>
      <c r="C162" s="68" t="s">
        <v>290</v>
      </c>
      <c r="D162" s="13" t="s">
        <v>308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293</v>
      </c>
      <c r="C163" s="68" t="s">
        <v>290</v>
      </c>
      <c r="D163" s="13" t="s">
        <v>308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738</v>
      </c>
      <c r="C164" s="68" t="s">
        <v>290</v>
      </c>
      <c r="D164" s="13" t="s">
        <v>308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736</v>
      </c>
      <c r="C165" s="68" t="s">
        <v>290</v>
      </c>
      <c r="D165" s="13" t="s">
        <v>308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294</v>
      </c>
      <c r="C166" s="68" t="s">
        <v>290</v>
      </c>
      <c r="D166" s="13" t="s">
        <v>308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295</v>
      </c>
      <c r="C167" s="68" t="s">
        <v>290</v>
      </c>
      <c r="D167" s="13" t="s">
        <v>308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296</v>
      </c>
      <c r="C168" s="68" t="s">
        <v>290</v>
      </c>
      <c r="D168" s="13" t="s">
        <v>305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298</v>
      </c>
      <c r="C169" s="68" t="s">
        <v>290</v>
      </c>
      <c r="D169" s="13" t="s">
        <v>305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1187</v>
      </c>
      <c r="C170" s="68" t="s">
        <v>290</v>
      </c>
      <c r="D170" s="13" t="s">
        <v>305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299</v>
      </c>
      <c r="C171" s="68" t="s">
        <v>290</v>
      </c>
      <c r="D171" s="13" t="s">
        <v>305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300</v>
      </c>
      <c r="C172" s="68" t="s">
        <v>290</v>
      </c>
      <c r="D172" s="13" t="s">
        <v>305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301</v>
      </c>
      <c r="C173" s="68" t="s">
        <v>290</v>
      </c>
      <c r="D173" s="13" t="s">
        <v>305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302</v>
      </c>
      <c r="C174" s="68" t="s">
        <v>290</v>
      </c>
      <c r="D174" s="13" t="s">
        <v>305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303</v>
      </c>
      <c r="C175" s="68" t="s">
        <v>310</v>
      </c>
      <c r="D175" s="13" t="s">
        <v>1020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306</v>
      </c>
      <c r="C176" s="68" t="s">
        <v>310</v>
      </c>
      <c r="D176" s="13" t="s">
        <v>1020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307</v>
      </c>
      <c r="C177" s="68" t="s">
        <v>310</v>
      </c>
      <c r="D177" s="13" t="s">
        <v>311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309</v>
      </c>
      <c r="C178" s="68" t="s">
        <v>310</v>
      </c>
      <c r="D178" s="13" t="s">
        <v>325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312</v>
      </c>
      <c r="C179" s="68" t="s">
        <v>313</v>
      </c>
      <c r="D179" s="13" t="s">
        <v>1253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315</v>
      </c>
      <c r="C180" s="68" t="s">
        <v>313</v>
      </c>
      <c r="D180" s="13" t="s">
        <v>1253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316</v>
      </c>
      <c r="C181" s="68" t="s">
        <v>313</v>
      </c>
      <c r="D181" s="13" t="s">
        <v>1253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317</v>
      </c>
      <c r="C182" s="68" t="s">
        <v>313</v>
      </c>
      <c r="D182" s="13" t="s">
        <v>1253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318</v>
      </c>
      <c r="C183" s="68" t="s">
        <v>313</v>
      </c>
      <c r="D183" s="13" t="s">
        <v>1253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319</v>
      </c>
      <c r="C184" s="68" t="s">
        <v>313</v>
      </c>
      <c r="D184" s="13" t="s">
        <v>336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320</v>
      </c>
      <c r="C185" s="68" t="s">
        <v>313</v>
      </c>
      <c r="D185" s="13" t="s">
        <v>336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321</v>
      </c>
      <c r="C186" s="68" t="s">
        <v>310</v>
      </c>
      <c r="D186" s="13" t="s">
        <v>336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322</v>
      </c>
      <c r="C187" s="68" t="s">
        <v>310</v>
      </c>
      <c r="D187" s="13" t="s">
        <v>336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323</v>
      </c>
      <c r="C188" s="68" t="s">
        <v>313</v>
      </c>
      <c r="D188" s="13" t="s">
        <v>586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328</v>
      </c>
      <c r="C189" s="68" t="s">
        <v>313</v>
      </c>
      <c r="D189" s="13" t="s">
        <v>331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96</v>
      </c>
      <c r="C190" s="85" t="s">
        <v>1285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339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07" t="s">
        <v>0</v>
      </c>
      <c r="B1" s="807"/>
      <c r="C1" s="807"/>
      <c r="D1" s="807"/>
      <c r="E1" s="807"/>
    </row>
    <row r="2" spans="1:7" ht="33.75" customHeight="1">
      <c r="A2" s="61" t="s">
        <v>1281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500</v>
      </c>
      <c r="F4" s="65" t="s">
        <v>1004</v>
      </c>
      <c r="G4" s="65" t="s">
        <v>1005</v>
      </c>
    </row>
    <row r="5" spans="1:7" ht="20.100000000000001" customHeight="1">
      <c r="A5" s="7" t="s">
        <v>20</v>
      </c>
      <c r="B5" s="6" t="s">
        <v>21</v>
      </c>
      <c r="C5" s="66"/>
      <c r="D5" s="6"/>
      <c r="E5" s="67" t="s">
        <v>19</v>
      </c>
      <c r="F5" s="67" t="s">
        <v>19</v>
      </c>
      <c r="G5" s="67" t="s">
        <v>19</v>
      </c>
    </row>
    <row r="6" spans="1:7" ht="20.100000000000001" customHeight="1">
      <c r="A6" s="8">
        <v>1</v>
      </c>
      <c r="B6" s="9" t="s">
        <v>22</v>
      </c>
      <c r="C6" s="68" t="s">
        <v>23</v>
      </c>
      <c r="D6" s="10" t="s">
        <v>24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1082</v>
      </c>
      <c r="C7" s="71" t="s">
        <v>1172</v>
      </c>
      <c r="D7" s="8" t="s">
        <v>191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1173</v>
      </c>
      <c r="C8" s="71" t="s">
        <v>1174</v>
      </c>
      <c r="D8" s="8" t="s">
        <v>112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25</v>
      </c>
      <c r="C9" s="68" t="s">
        <v>26</v>
      </c>
      <c r="D9" s="8" t="s">
        <v>1223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28</v>
      </c>
      <c r="C10" s="71" t="s">
        <v>29</v>
      </c>
      <c r="D10" s="13" t="s">
        <v>1012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175</v>
      </c>
      <c r="C11" s="71" t="s">
        <v>1084</v>
      </c>
      <c r="D11" s="14" t="s">
        <v>1012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30</v>
      </c>
      <c r="C12" s="72" t="s">
        <v>31</v>
      </c>
      <c r="D12" s="14" t="s">
        <v>1012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32</v>
      </c>
      <c r="C13" s="71" t="s">
        <v>33</v>
      </c>
      <c r="D13" s="14" t="s">
        <v>1012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34</v>
      </c>
      <c r="C14" s="68" t="s">
        <v>35</v>
      </c>
      <c r="D14" s="13" t="s">
        <v>36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519</v>
      </c>
      <c r="C15" s="68" t="s">
        <v>572</v>
      </c>
      <c r="D15" s="8" t="s">
        <v>1018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1175</v>
      </c>
      <c r="C16" s="71" t="s">
        <v>1176</v>
      </c>
      <c r="D16" s="14" t="s">
        <v>150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1085</v>
      </c>
      <c r="C17" s="71" t="s">
        <v>41</v>
      </c>
      <c r="D17" s="8" t="s">
        <v>150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1177</v>
      </c>
      <c r="C18" s="71" t="s">
        <v>1178</v>
      </c>
      <c r="D18" s="8" t="s">
        <v>150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40</v>
      </c>
      <c r="C19" s="71" t="s">
        <v>41</v>
      </c>
      <c r="D19" s="13" t="s">
        <v>150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1228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58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206</v>
      </c>
      <c r="C22" s="68" t="s">
        <v>579</v>
      </c>
      <c r="D22" s="13" t="s">
        <v>137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60</v>
      </c>
      <c r="C23" s="68" t="s">
        <v>61</v>
      </c>
      <c r="D23" s="13" t="s">
        <v>65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204</v>
      </c>
      <c r="C24" s="71" t="s">
        <v>205</v>
      </c>
      <c r="D24" s="13" t="s">
        <v>65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256</v>
      </c>
      <c r="C25" s="71" t="s">
        <v>1194</v>
      </c>
      <c r="D25" s="13" t="s">
        <v>267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1179</v>
      </c>
      <c r="C26" s="68" t="s">
        <v>91</v>
      </c>
      <c r="D26" s="13" t="s">
        <v>104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73</v>
      </c>
      <c r="C27" s="71" t="s">
        <v>74</v>
      </c>
      <c r="D27" s="8" t="s">
        <v>83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76</v>
      </c>
      <c r="C28" s="68" t="s">
        <v>74</v>
      </c>
      <c r="D28" s="13" t="s">
        <v>83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1086</v>
      </c>
      <c r="C29" s="68" t="s">
        <v>1087</v>
      </c>
      <c r="D29" s="13" t="s">
        <v>83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78</v>
      </c>
      <c r="C30" s="68" t="s">
        <v>1033</v>
      </c>
      <c r="D30" s="13" t="s">
        <v>1230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184</v>
      </c>
      <c r="C31" s="72" t="s">
        <v>1196</v>
      </c>
      <c r="D31" s="13" t="s">
        <v>173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81</v>
      </c>
      <c r="C32" s="71" t="s">
        <v>1088</v>
      </c>
      <c r="D32" s="8" t="s">
        <v>173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85</v>
      </c>
      <c r="C33" s="72" t="s">
        <v>86</v>
      </c>
      <c r="D33" s="13" t="s">
        <v>83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1282</v>
      </c>
      <c r="C34" s="72" t="s">
        <v>86</v>
      </c>
      <c r="D34" s="13" t="s">
        <v>95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88</v>
      </c>
      <c r="C35" s="71" t="s">
        <v>1197</v>
      </c>
      <c r="D35" s="8" t="s">
        <v>95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1006</v>
      </c>
      <c r="C36" s="68" t="s">
        <v>91</v>
      </c>
      <c r="D36" s="13" t="s">
        <v>95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1180</v>
      </c>
      <c r="C37" s="68" t="s">
        <v>91</v>
      </c>
      <c r="D37" s="13" t="s">
        <v>95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96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97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98</v>
      </c>
      <c r="C41" s="71" t="s">
        <v>99</v>
      </c>
      <c r="D41" s="8" t="s">
        <v>1232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101</v>
      </c>
      <c r="C42" s="71" t="s">
        <v>612</v>
      </c>
      <c r="D42" s="8" t="s">
        <v>95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107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108</v>
      </c>
      <c r="C46" s="71" t="s">
        <v>109</v>
      </c>
      <c r="D46" s="8" t="s">
        <v>100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491</v>
      </c>
      <c r="C47" s="71" t="s">
        <v>44</v>
      </c>
      <c r="D47" s="8" t="s">
        <v>36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110</v>
      </c>
      <c r="C48" s="71" t="s">
        <v>114</v>
      </c>
      <c r="D48" s="8" t="s">
        <v>36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113</v>
      </c>
      <c r="C49" s="71" t="s">
        <v>114</v>
      </c>
      <c r="D49" s="8" t="s">
        <v>133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115</v>
      </c>
      <c r="C50" s="71" t="s">
        <v>114</v>
      </c>
      <c r="D50" s="8" t="s">
        <v>39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116</v>
      </c>
      <c r="C51" s="71" t="s">
        <v>46</v>
      </c>
      <c r="D51" s="8" t="s">
        <v>150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117</v>
      </c>
      <c r="C52" s="71" t="s">
        <v>135</v>
      </c>
      <c r="D52" s="14" t="s">
        <v>150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1091</v>
      </c>
      <c r="C53" s="71" t="s">
        <v>135</v>
      </c>
      <c r="D53" s="8" t="s">
        <v>47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45</v>
      </c>
      <c r="C54" s="71" t="s">
        <v>458</v>
      </c>
      <c r="D54" s="8" t="s">
        <v>1016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120</v>
      </c>
      <c r="C55" s="71" t="s">
        <v>119</v>
      </c>
      <c r="D55" s="8" t="s">
        <v>83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578</v>
      </c>
      <c r="C56" s="71" t="s">
        <v>119</v>
      </c>
      <c r="D56" s="8" t="s">
        <v>83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121</v>
      </c>
      <c r="C57" s="71" t="s">
        <v>119</v>
      </c>
      <c r="D57" s="8" t="s">
        <v>83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96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122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501</v>
      </c>
      <c r="C61" s="68" t="s">
        <v>124</v>
      </c>
      <c r="D61" s="13" t="s">
        <v>100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96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128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129</v>
      </c>
      <c r="C65" s="72" t="s">
        <v>130</v>
      </c>
      <c r="D65" s="8" t="s">
        <v>100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131</v>
      </c>
      <c r="C66" s="72" t="s">
        <v>132</v>
      </c>
      <c r="D66" s="13" t="s">
        <v>1018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134</v>
      </c>
      <c r="C67" s="71" t="s">
        <v>167</v>
      </c>
      <c r="D67" s="8" t="s">
        <v>1016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487</v>
      </c>
      <c r="C68" s="72" t="s">
        <v>167</v>
      </c>
      <c r="D68" s="13" t="s">
        <v>1228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517</v>
      </c>
      <c r="C69" s="72" t="s">
        <v>135</v>
      </c>
      <c r="D69" s="13" t="s">
        <v>150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136</v>
      </c>
      <c r="C70" s="71" t="s">
        <v>119</v>
      </c>
      <c r="D70" s="8" t="s">
        <v>1234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1099</v>
      </c>
      <c r="C71" s="72" t="s">
        <v>67</v>
      </c>
      <c r="D71" s="13" t="s">
        <v>137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138</v>
      </c>
      <c r="C72" s="72" t="s">
        <v>67</v>
      </c>
      <c r="D72" s="13" t="s">
        <v>65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139</v>
      </c>
      <c r="C73" s="72" t="s">
        <v>67</v>
      </c>
      <c r="D73" s="13" t="s">
        <v>65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140</v>
      </c>
      <c r="C74" s="71" t="s">
        <v>141</v>
      </c>
      <c r="D74" s="8" t="s">
        <v>65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1181</v>
      </c>
      <c r="C75" s="72" t="s">
        <v>119</v>
      </c>
      <c r="D75" s="8" t="s">
        <v>70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77</v>
      </c>
      <c r="C76" s="72" t="s">
        <v>64</v>
      </c>
      <c r="D76" s="8" t="s">
        <v>83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63</v>
      </c>
      <c r="C77" s="72" t="s">
        <v>64</v>
      </c>
      <c r="D77" s="8" t="s">
        <v>95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96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143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144</v>
      </c>
      <c r="C81" s="71" t="s">
        <v>145</v>
      </c>
      <c r="D81" s="8" t="s">
        <v>100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518</v>
      </c>
      <c r="C82" s="71" t="s">
        <v>570</v>
      </c>
      <c r="D82" s="13" t="s">
        <v>1018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1182</v>
      </c>
      <c r="C83" s="71" t="s">
        <v>1183</v>
      </c>
      <c r="D83" s="13" t="s">
        <v>1018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148</v>
      </c>
      <c r="C84" s="71" t="s">
        <v>1034</v>
      </c>
      <c r="D84" s="13" t="s">
        <v>1016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151</v>
      </c>
      <c r="C85" s="71" t="s">
        <v>154</v>
      </c>
      <c r="D85" s="8" t="s">
        <v>70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96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157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1237</v>
      </c>
      <c r="C89" s="71" t="s">
        <v>1200</v>
      </c>
      <c r="D89" s="8" t="s">
        <v>112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158</v>
      </c>
      <c r="C90" s="71" t="s">
        <v>114</v>
      </c>
      <c r="D90" s="8" t="s">
        <v>36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159</v>
      </c>
      <c r="C91" s="71" t="s">
        <v>114</v>
      </c>
      <c r="D91" s="8" t="s">
        <v>36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203</v>
      </c>
      <c r="C92" s="71" t="s">
        <v>135</v>
      </c>
      <c r="D92" s="8" t="s">
        <v>224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160</v>
      </c>
      <c r="C93" s="71" t="s">
        <v>46</v>
      </c>
      <c r="D93" s="8" t="s">
        <v>150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161</v>
      </c>
      <c r="C94" s="71" t="s">
        <v>458</v>
      </c>
      <c r="D94" s="13" t="s">
        <v>1016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162</v>
      </c>
      <c r="C95" s="68" t="s">
        <v>167</v>
      </c>
      <c r="D95" s="13" t="s">
        <v>1228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163</v>
      </c>
      <c r="C96" s="68" t="s">
        <v>167</v>
      </c>
      <c r="D96" s="13" t="s">
        <v>1228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165</v>
      </c>
      <c r="C97" s="72" t="s">
        <v>67</v>
      </c>
      <c r="D97" s="13" t="s">
        <v>65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169</v>
      </c>
      <c r="C98" s="71" t="s">
        <v>170</v>
      </c>
      <c r="D98" s="8" t="s">
        <v>70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171</v>
      </c>
      <c r="C99" s="72" t="s">
        <v>172</v>
      </c>
      <c r="D99" s="13" t="s">
        <v>95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96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1283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574</v>
      </c>
      <c r="C103" s="80" t="s">
        <v>575</v>
      </c>
      <c r="D103" s="13" t="s">
        <v>112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37</v>
      </c>
      <c r="C104" s="71" t="s">
        <v>179</v>
      </c>
      <c r="D104" s="8" t="s">
        <v>150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1201</v>
      </c>
      <c r="C105" s="71" t="s">
        <v>1202</v>
      </c>
      <c r="D105" s="13" t="s">
        <v>1228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182</v>
      </c>
      <c r="C106" s="71" t="s">
        <v>183</v>
      </c>
      <c r="D106" s="13" t="s">
        <v>65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96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186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187</v>
      </c>
      <c r="C110" s="68" t="s">
        <v>188</v>
      </c>
      <c r="D110" s="13" t="s">
        <v>100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189</v>
      </c>
      <c r="C111" s="71" t="s">
        <v>190</v>
      </c>
      <c r="D111" s="14" t="s">
        <v>1012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192</v>
      </c>
      <c r="C112" s="71" t="s">
        <v>193</v>
      </c>
      <c r="D112" s="8" t="s">
        <v>194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195</v>
      </c>
      <c r="C113" s="71" t="s">
        <v>193</v>
      </c>
      <c r="D113" s="8" t="s">
        <v>52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196</v>
      </c>
      <c r="C114" s="71" t="s">
        <v>197</v>
      </c>
      <c r="D114" s="13" t="s">
        <v>1011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199</v>
      </c>
      <c r="C115" s="71" t="s">
        <v>197</v>
      </c>
      <c r="D115" s="8" t="s">
        <v>173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201</v>
      </c>
      <c r="C116" s="71" t="s">
        <v>197</v>
      </c>
      <c r="D116" s="13" t="s">
        <v>95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96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215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216</v>
      </c>
      <c r="C120" s="68" t="s">
        <v>217</v>
      </c>
      <c r="D120" s="13" t="s">
        <v>100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1204</v>
      </c>
      <c r="C121" s="68" t="s">
        <v>1205</v>
      </c>
      <c r="D121" s="13" t="s">
        <v>191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218</v>
      </c>
      <c r="C122" s="68" t="s">
        <v>221</v>
      </c>
      <c r="D122" s="13" t="s">
        <v>36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220</v>
      </c>
      <c r="C123" s="68" t="s">
        <v>221</v>
      </c>
      <c r="D123" s="13" t="s">
        <v>36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521</v>
      </c>
      <c r="C124" s="68" t="s">
        <v>221</v>
      </c>
      <c r="D124" s="13" t="s">
        <v>39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222</v>
      </c>
      <c r="C125" s="68" t="s">
        <v>223</v>
      </c>
      <c r="D125" s="13" t="s">
        <v>47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225</v>
      </c>
      <c r="C126" s="68" t="s">
        <v>226</v>
      </c>
      <c r="D126" s="13" t="s">
        <v>1016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227</v>
      </c>
      <c r="C127" s="68" t="s">
        <v>1036</v>
      </c>
      <c r="D127" s="13" t="s">
        <v>1016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1206</v>
      </c>
      <c r="C128" s="68" t="s">
        <v>1207</v>
      </c>
      <c r="D128" s="13" t="s">
        <v>1017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228</v>
      </c>
      <c r="C129" s="68" t="s">
        <v>229</v>
      </c>
      <c r="D129" s="8" t="s">
        <v>83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230</v>
      </c>
      <c r="C130" s="68" t="s">
        <v>231</v>
      </c>
      <c r="D130" s="13" t="s">
        <v>95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96</v>
      </c>
      <c r="C131" s="84" t="s">
        <v>1208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236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237</v>
      </c>
      <c r="C134" s="68" t="s">
        <v>1284</v>
      </c>
      <c r="D134" s="13" t="s">
        <v>100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522</v>
      </c>
      <c r="C135" s="68" t="s">
        <v>573</v>
      </c>
      <c r="D135" s="13" t="s">
        <v>191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239</v>
      </c>
      <c r="C136" s="71" t="s">
        <v>240</v>
      </c>
      <c r="D136" s="14" t="s">
        <v>1012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241</v>
      </c>
      <c r="C137" s="68" t="s">
        <v>580</v>
      </c>
      <c r="D137" s="13" t="s">
        <v>150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243</v>
      </c>
      <c r="C138" s="71" t="s">
        <v>581</v>
      </c>
      <c r="D138" s="13" t="s">
        <v>150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178</v>
      </c>
      <c r="C139" s="71" t="s">
        <v>583</v>
      </c>
      <c r="D139" s="13" t="s">
        <v>1016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180</v>
      </c>
      <c r="C140" s="68" t="s">
        <v>582</v>
      </c>
      <c r="D140" s="13" t="s">
        <v>137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246</v>
      </c>
      <c r="C141" s="68" t="s">
        <v>582</v>
      </c>
      <c r="D141" s="13" t="s">
        <v>137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247</v>
      </c>
      <c r="C142" s="71" t="s">
        <v>583</v>
      </c>
      <c r="D142" s="13" t="s">
        <v>137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249</v>
      </c>
      <c r="C143" s="68" t="s">
        <v>254</v>
      </c>
      <c r="D143" s="13" t="s">
        <v>65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251</v>
      </c>
      <c r="C144" s="68" t="s">
        <v>1038</v>
      </c>
      <c r="D144" s="13" t="s">
        <v>267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253</v>
      </c>
      <c r="C145" s="68" t="s">
        <v>254</v>
      </c>
      <c r="D145" s="13" t="s">
        <v>65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258</v>
      </c>
      <c r="C146" s="71" t="s">
        <v>584</v>
      </c>
      <c r="D146" s="13" t="s">
        <v>104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259</v>
      </c>
      <c r="C147" s="71" t="s">
        <v>584</v>
      </c>
      <c r="D147" s="13" t="s">
        <v>104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260</v>
      </c>
      <c r="C148" s="71" t="s">
        <v>584</v>
      </c>
      <c r="D148" s="13" t="s">
        <v>104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261</v>
      </c>
      <c r="C149" s="68" t="s">
        <v>262</v>
      </c>
      <c r="D149" s="13" t="s">
        <v>70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1019</v>
      </c>
      <c r="C150" s="68" t="s">
        <v>264</v>
      </c>
      <c r="D150" s="8" t="s">
        <v>83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265</v>
      </c>
      <c r="C151" s="68" t="s">
        <v>266</v>
      </c>
      <c r="D151" s="13" t="s">
        <v>70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268</v>
      </c>
      <c r="C152" s="68" t="s">
        <v>269</v>
      </c>
      <c r="D152" s="13" t="s">
        <v>83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270</v>
      </c>
      <c r="C153" s="68" t="s">
        <v>271</v>
      </c>
      <c r="D153" s="13" t="s">
        <v>70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272</v>
      </c>
      <c r="C154" s="68" t="s">
        <v>273</v>
      </c>
      <c r="D154" s="13" t="s">
        <v>83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274</v>
      </c>
      <c r="C155" s="68" t="s">
        <v>280</v>
      </c>
      <c r="D155" s="13" t="s">
        <v>1230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1209</v>
      </c>
      <c r="C156" s="68" t="s">
        <v>278</v>
      </c>
      <c r="D156" s="13" t="s">
        <v>95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277</v>
      </c>
      <c r="C157" s="68" t="s">
        <v>278</v>
      </c>
      <c r="D157" s="13" t="s">
        <v>95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279</v>
      </c>
      <c r="C158" s="68" t="s">
        <v>280</v>
      </c>
      <c r="D158" s="13" t="s">
        <v>95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281</v>
      </c>
      <c r="C159" s="68" t="s">
        <v>282</v>
      </c>
      <c r="D159" s="13" t="s">
        <v>95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283</v>
      </c>
      <c r="C160" s="68" t="s">
        <v>284</v>
      </c>
      <c r="D160" s="13" t="s">
        <v>95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289</v>
      </c>
      <c r="C161" s="68" t="s">
        <v>290</v>
      </c>
      <c r="D161" s="13" t="s">
        <v>308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292</v>
      </c>
      <c r="C162" s="68" t="s">
        <v>290</v>
      </c>
      <c r="D162" s="13" t="s">
        <v>308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293</v>
      </c>
      <c r="C163" s="68" t="s">
        <v>290</v>
      </c>
      <c r="D163" s="13" t="s">
        <v>308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738</v>
      </c>
      <c r="C164" s="68" t="s">
        <v>290</v>
      </c>
      <c r="D164" s="13" t="s">
        <v>308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736</v>
      </c>
      <c r="C165" s="68" t="s">
        <v>290</v>
      </c>
      <c r="D165" s="13" t="s">
        <v>308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294</v>
      </c>
      <c r="C166" s="68" t="s">
        <v>290</v>
      </c>
      <c r="D166" s="13" t="s">
        <v>308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295</v>
      </c>
      <c r="C167" s="68" t="s">
        <v>290</v>
      </c>
      <c r="D167" s="13" t="s">
        <v>308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296</v>
      </c>
      <c r="C168" s="68" t="s">
        <v>290</v>
      </c>
      <c r="D168" s="13" t="s">
        <v>305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298</v>
      </c>
      <c r="C169" s="68" t="s">
        <v>290</v>
      </c>
      <c r="D169" s="13" t="s">
        <v>305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1187</v>
      </c>
      <c r="C170" s="68" t="s">
        <v>290</v>
      </c>
      <c r="D170" s="13" t="s">
        <v>305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299</v>
      </c>
      <c r="C171" s="68" t="s">
        <v>290</v>
      </c>
      <c r="D171" s="13" t="s">
        <v>305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300</v>
      </c>
      <c r="C172" s="68" t="s">
        <v>290</v>
      </c>
      <c r="D172" s="13" t="s">
        <v>305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301</v>
      </c>
      <c r="C173" s="68" t="s">
        <v>290</v>
      </c>
      <c r="D173" s="13" t="s">
        <v>305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302</v>
      </c>
      <c r="C174" s="68" t="s">
        <v>290</v>
      </c>
      <c r="D174" s="13" t="s">
        <v>305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303</v>
      </c>
      <c r="C175" s="68" t="s">
        <v>310</v>
      </c>
      <c r="D175" s="13" t="s">
        <v>1020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306</v>
      </c>
      <c r="C176" s="68" t="s">
        <v>310</v>
      </c>
      <c r="D176" s="13" t="s">
        <v>1020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307</v>
      </c>
      <c r="C177" s="68" t="s">
        <v>310</v>
      </c>
      <c r="D177" s="13" t="s">
        <v>311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309</v>
      </c>
      <c r="C178" s="68" t="s">
        <v>310</v>
      </c>
      <c r="D178" s="13" t="s">
        <v>325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312</v>
      </c>
      <c r="C179" s="68" t="s">
        <v>313</v>
      </c>
      <c r="D179" s="13" t="s">
        <v>1253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315</v>
      </c>
      <c r="C180" s="68" t="s">
        <v>313</v>
      </c>
      <c r="D180" s="13" t="s">
        <v>1253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316</v>
      </c>
      <c r="C181" s="68" t="s">
        <v>313</v>
      </c>
      <c r="D181" s="13" t="s">
        <v>1253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317</v>
      </c>
      <c r="C182" s="68" t="s">
        <v>313</v>
      </c>
      <c r="D182" s="13" t="s">
        <v>1253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318</v>
      </c>
      <c r="C183" s="68" t="s">
        <v>313</v>
      </c>
      <c r="D183" s="13" t="s">
        <v>1253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319</v>
      </c>
      <c r="C184" s="68" t="s">
        <v>313</v>
      </c>
      <c r="D184" s="13" t="s">
        <v>336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320</v>
      </c>
      <c r="C185" s="68" t="s">
        <v>313</v>
      </c>
      <c r="D185" s="13" t="s">
        <v>336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321</v>
      </c>
      <c r="C186" s="68" t="s">
        <v>310</v>
      </c>
      <c r="D186" s="13" t="s">
        <v>336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322</v>
      </c>
      <c r="C187" s="68" t="s">
        <v>310</v>
      </c>
      <c r="D187" s="13" t="s">
        <v>336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323</v>
      </c>
      <c r="C188" s="68" t="s">
        <v>313</v>
      </c>
      <c r="D188" s="13" t="s">
        <v>586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328</v>
      </c>
      <c r="C189" s="68" t="s">
        <v>313</v>
      </c>
      <c r="D189" s="13" t="s">
        <v>331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96</v>
      </c>
      <c r="C190" s="85" t="s">
        <v>1285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339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858" t="s">
        <v>1286</v>
      </c>
      <c r="B1" s="858"/>
      <c r="C1" s="858"/>
      <c r="D1" s="858"/>
      <c r="E1" s="858"/>
      <c r="F1" s="858"/>
    </row>
    <row r="2" spans="1:6" ht="18.75">
      <c r="A2" s="802" t="s">
        <v>1287</v>
      </c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>
        <f>E4*12</f>
        <v>948475.68</v>
      </c>
      <c r="E4" s="47">
        <f>SUMMARY!F3</f>
        <v>79039.64</v>
      </c>
      <c r="F4" s="44"/>
    </row>
    <row r="5" spans="1:6" ht="18.75">
      <c r="A5" s="849" t="s">
        <v>1291</v>
      </c>
      <c r="B5" s="849"/>
      <c r="C5" s="849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849" t="s">
        <v>1292</v>
      </c>
      <c r="B6" s="849"/>
      <c r="C6" s="849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849" t="s">
        <v>1293</v>
      </c>
      <c r="B7" s="849"/>
      <c r="C7" s="849"/>
      <c r="D7" s="47">
        <f t="shared" si="0"/>
        <v>962932.56</v>
      </c>
      <c r="E7" s="47">
        <f>SUMMARY!J3</f>
        <v>80244.38</v>
      </c>
      <c r="F7" s="44"/>
    </row>
    <row r="8" spans="1:6" ht="18.75">
      <c r="A8" s="849" t="s">
        <v>1294</v>
      </c>
      <c r="B8" s="849"/>
      <c r="C8" s="849"/>
      <c r="D8" s="47">
        <f t="shared" si="0"/>
        <v>474237.84</v>
      </c>
      <c r="E8" s="47">
        <f>SUMMARY!K3</f>
        <v>39519.82</v>
      </c>
      <c r="F8" s="44"/>
    </row>
    <row r="9" spans="1:6" ht="18.75">
      <c r="A9" s="849" t="s">
        <v>1295</v>
      </c>
      <c r="B9" s="849"/>
      <c r="C9" s="849"/>
      <c r="D9" s="47">
        <f t="shared" si="0"/>
        <v>3319664.88</v>
      </c>
      <c r="E9" s="47">
        <f>SUMMARY!L3</f>
        <v>276638.74</v>
      </c>
      <c r="F9" s="44"/>
    </row>
    <row r="10" spans="1:6" ht="18.75">
      <c r="A10" s="827" t="s">
        <v>1296</v>
      </c>
      <c r="B10" s="859"/>
      <c r="C10" s="828"/>
      <c r="D10" s="47">
        <f t="shared" si="0"/>
        <v>0</v>
      </c>
      <c r="E10" s="47"/>
      <c r="F10" s="44"/>
    </row>
    <row r="11" spans="1:6" ht="18.75">
      <c r="A11" s="849" t="s">
        <v>1297</v>
      </c>
      <c r="B11" s="849"/>
      <c r="C11" s="849"/>
      <c r="D11" s="47">
        <f t="shared" si="0"/>
        <v>948475.68</v>
      </c>
      <c r="E11" s="47">
        <f>SUMMARY!N3</f>
        <v>79039.64</v>
      </c>
      <c r="F11" s="44"/>
    </row>
    <row r="12" spans="1:6" ht="18.75">
      <c r="A12" s="849" t="s">
        <v>1298</v>
      </c>
      <c r="B12" s="849"/>
      <c r="C12" s="849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849" t="s">
        <v>1299</v>
      </c>
      <c r="B13" s="849"/>
      <c r="C13" s="849"/>
      <c r="D13" s="47">
        <f t="shared" si="0"/>
        <v>240000</v>
      </c>
      <c r="E13" s="47">
        <f>SUMMARY!P3</f>
        <v>20000</v>
      </c>
      <c r="F13" s="44"/>
    </row>
    <row r="14" spans="1:6" ht="18.75">
      <c r="A14" s="822" t="s">
        <v>9</v>
      </c>
      <c r="B14" s="822"/>
      <c r="C14" s="822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860" t="s">
        <v>1300</v>
      </c>
      <c r="B1" s="860"/>
      <c r="C1" s="860"/>
      <c r="D1" s="860"/>
      <c r="E1" s="860"/>
      <c r="F1" s="860"/>
    </row>
    <row r="2" spans="1:6" ht="18.75">
      <c r="A2" s="802" t="s">
        <v>1301</v>
      </c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 t="e">
        <f>E4*12</f>
        <v>#REF!</v>
      </c>
      <c r="E4" s="47" t="e">
        <f>'DECEMBER 2024'!#REF!</f>
        <v>#REF!</v>
      </c>
      <c r="F4" s="44"/>
    </row>
    <row r="5" spans="1:6" ht="18.75">
      <c r="A5" s="849" t="s">
        <v>1291</v>
      </c>
      <c r="B5" s="849"/>
      <c r="C5" s="849"/>
      <c r="D5" s="47" t="e">
        <f t="shared" ref="D5:D13" si="0">E5*12</f>
        <v>#REF!</v>
      </c>
      <c r="E5" s="47" t="e">
        <f>'DECEMBER 2024'!#REF!</f>
        <v>#REF!</v>
      </c>
      <c r="F5" s="44"/>
    </row>
    <row r="6" spans="1:6" ht="18.75">
      <c r="A6" s="849" t="s">
        <v>1292</v>
      </c>
      <c r="B6" s="849"/>
      <c r="C6" s="849"/>
      <c r="D6" s="47" t="e">
        <f t="shared" si="0"/>
        <v>#REF!</v>
      </c>
      <c r="E6" s="47" t="e">
        <f>'DECEMBER 2024'!#REF!</f>
        <v>#REF!</v>
      </c>
      <c r="F6" s="44"/>
    </row>
    <row r="7" spans="1:6" ht="18.75">
      <c r="A7" s="849" t="s">
        <v>1293</v>
      </c>
      <c r="B7" s="849"/>
      <c r="C7" s="849"/>
      <c r="D7" s="47" t="e">
        <f t="shared" si="0"/>
        <v>#REF!</v>
      </c>
      <c r="E7" s="47" t="e">
        <f>'DECEMBER 2024'!#REF!</f>
        <v>#REF!</v>
      </c>
      <c r="F7" s="44"/>
    </row>
    <row r="8" spans="1:6" ht="18.75">
      <c r="A8" s="849" t="s">
        <v>1294</v>
      </c>
      <c r="B8" s="849"/>
      <c r="C8" s="849"/>
      <c r="D8" s="47" t="e">
        <f t="shared" si="0"/>
        <v>#REF!</v>
      </c>
      <c r="E8" s="47" t="e">
        <f>'DECEMBER 2024'!#REF!</f>
        <v>#REF!</v>
      </c>
      <c r="F8" s="44"/>
    </row>
    <row r="9" spans="1:6" ht="18.75">
      <c r="A9" s="849" t="s">
        <v>1295</v>
      </c>
      <c r="B9" s="849"/>
      <c r="C9" s="849"/>
      <c r="D9" s="47" t="e">
        <f t="shared" si="0"/>
        <v>#REF!</v>
      </c>
      <c r="E9" s="47" t="e">
        <f>'DECEMBER 2024'!#REF!</f>
        <v>#REF!</v>
      </c>
      <c r="F9" s="44"/>
    </row>
    <row r="10" spans="1:6" ht="18.75">
      <c r="A10" s="849" t="s">
        <v>1297</v>
      </c>
      <c r="B10" s="849"/>
      <c r="C10" s="849"/>
      <c r="D10" s="47" t="e">
        <f t="shared" si="0"/>
        <v>#REF!</v>
      </c>
      <c r="E10" s="47" t="e">
        <f>'DECEMBER 2024'!#REF!</f>
        <v>#REF!</v>
      </c>
      <c r="F10" s="44"/>
    </row>
    <row r="11" spans="1:6" ht="18.75">
      <c r="A11" s="827" t="s">
        <v>1302</v>
      </c>
      <c r="B11" s="859"/>
      <c r="C11" s="828"/>
      <c r="D11" s="47">
        <f t="shared" si="0"/>
        <v>1200000</v>
      </c>
      <c r="E11" s="47">
        <v>100000</v>
      </c>
      <c r="F11" s="44"/>
    </row>
    <row r="12" spans="1:6" ht="18.75">
      <c r="A12" s="849" t="s">
        <v>1298</v>
      </c>
      <c r="B12" s="849"/>
      <c r="C12" s="849"/>
      <c r="D12" s="47" t="e">
        <f t="shared" si="0"/>
        <v>#REF!</v>
      </c>
      <c r="E12" s="47" t="e">
        <f>'DECEMBER 2024'!#REF!</f>
        <v>#REF!</v>
      </c>
      <c r="F12" s="44"/>
    </row>
    <row r="13" spans="1:6" ht="18.75">
      <c r="A13" s="849" t="s">
        <v>1299</v>
      </c>
      <c r="B13" s="849"/>
      <c r="C13" s="849"/>
      <c r="D13" s="47" t="e">
        <f t="shared" si="0"/>
        <v>#REF!</v>
      </c>
      <c r="E13" s="47" t="e">
        <f>'DECEMBER 2024'!#REF!</f>
        <v>#REF!</v>
      </c>
      <c r="F13" s="44"/>
    </row>
    <row r="14" spans="1:6" ht="18.75">
      <c r="A14" s="822" t="s">
        <v>9</v>
      </c>
      <c r="B14" s="822"/>
      <c r="C14" s="822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860" t="s">
        <v>1303</v>
      </c>
      <c r="B1" s="860"/>
      <c r="C1" s="860"/>
      <c r="D1" s="860"/>
      <c r="E1" s="860"/>
      <c r="F1" s="860"/>
    </row>
    <row r="2" spans="1:6" ht="18.75">
      <c r="A2" s="802" t="s">
        <v>1304</v>
      </c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>
        <f>E4*12</f>
        <v>16224512.000000041</v>
      </c>
      <c r="E4" s="47">
        <f>'DECEMBER 2024'!E98</f>
        <v>1352042.66666667</v>
      </c>
      <c r="F4" s="44"/>
    </row>
    <row r="5" spans="1:6" ht="18.75">
      <c r="A5" s="849" t="s">
        <v>1291</v>
      </c>
      <c r="B5" s="849"/>
      <c r="C5" s="849"/>
      <c r="D5" s="47" t="e">
        <f t="shared" ref="D5:D14" si="0">E5*12</f>
        <v>#REF!</v>
      </c>
      <c r="E5" s="47" t="e">
        <f>'DECEMBER 2024'!#REF!</f>
        <v>#REF!</v>
      </c>
      <c r="F5" s="44"/>
    </row>
    <row r="6" spans="1:6" ht="18.75">
      <c r="A6" s="849" t="s">
        <v>1292</v>
      </c>
      <c r="B6" s="849"/>
      <c r="C6" s="849"/>
      <c r="D6" s="47" t="e">
        <f t="shared" si="0"/>
        <v>#REF!</v>
      </c>
      <c r="E6" s="47" t="e">
        <f>'DECEMBER 2024'!#REF!</f>
        <v>#REF!</v>
      </c>
      <c r="F6" s="44"/>
    </row>
    <row r="7" spans="1:6" ht="18.75">
      <c r="A7" s="849" t="s">
        <v>1293</v>
      </c>
      <c r="B7" s="849"/>
      <c r="C7" s="849"/>
      <c r="D7" s="47" t="e">
        <f t="shared" si="0"/>
        <v>#REF!</v>
      </c>
      <c r="E7" s="47" t="e">
        <f>'DECEMBER 2024'!#REF!</f>
        <v>#REF!</v>
      </c>
      <c r="F7" s="44"/>
    </row>
    <row r="8" spans="1:6" ht="18.75">
      <c r="A8" s="849" t="s">
        <v>1294</v>
      </c>
      <c r="B8" s="849"/>
      <c r="C8" s="849"/>
      <c r="D8" s="47" t="e">
        <f t="shared" si="0"/>
        <v>#REF!</v>
      </c>
      <c r="E8" s="47" t="e">
        <f>'DECEMBER 2024'!#REF!</f>
        <v>#REF!</v>
      </c>
      <c r="F8" s="44"/>
    </row>
    <row r="9" spans="1:6" ht="18.75">
      <c r="A9" s="849" t="s">
        <v>1295</v>
      </c>
      <c r="B9" s="849"/>
      <c r="C9" s="849"/>
      <c r="D9" s="47" t="e">
        <f t="shared" si="0"/>
        <v>#REF!</v>
      </c>
      <c r="E9" s="47" t="e">
        <f>'DECEMBER 2024'!#REF!</f>
        <v>#REF!</v>
      </c>
      <c r="F9" s="44"/>
    </row>
    <row r="10" spans="1:6" ht="18.75">
      <c r="A10" s="849" t="s">
        <v>1297</v>
      </c>
      <c r="B10" s="849"/>
      <c r="C10" s="849"/>
      <c r="D10" s="47" t="e">
        <f t="shared" si="0"/>
        <v>#REF!</v>
      </c>
      <c r="E10" s="47" t="e">
        <f>'DECEMBER 2024'!#REF!</f>
        <v>#REF!</v>
      </c>
      <c r="F10" s="44"/>
    </row>
    <row r="11" spans="1:6" ht="18.75">
      <c r="A11" s="827" t="s">
        <v>1296</v>
      </c>
      <c r="B11" s="859"/>
      <c r="C11" s="828"/>
      <c r="D11" s="47">
        <f t="shared" si="0"/>
        <v>0</v>
      </c>
      <c r="E11" s="47">
        <v>0</v>
      </c>
      <c r="F11" s="44"/>
    </row>
    <row r="12" spans="1:6" ht="18.75">
      <c r="A12" s="849" t="s">
        <v>1298</v>
      </c>
      <c r="B12" s="849"/>
      <c r="C12" s="849"/>
      <c r="D12" s="47" t="e">
        <f t="shared" si="0"/>
        <v>#REF!</v>
      </c>
      <c r="E12" s="47" t="e">
        <f>'DECEMBER 2024'!#REF!</f>
        <v>#REF!</v>
      </c>
      <c r="F12" s="44"/>
    </row>
    <row r="13" spans="1:6" ht="18.75">
      <c r="A13" s="849" t="s">
        <v>1299</v>
      </c>
      <c r="B13" s="849"/>
      <c r="C13" s="849"/>
      <c r="D13" s="47">
        <f t="shared" si="0"/>
        <v>240000</v>
      </c>
      <c r="E13" s="47">
        <v>20000</v>
      </c>
      <c r="F13" s="44"/>
    </row>
    <row r="14" spans="1:6" ht="18.75">
      <c r="A14" s="822" t="s">
        <v>9</v>
      </c>
      <c r="B14" s="822"/>
      <c r="C14" s="822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860" t="s">
        <v>1305</v>
      </c>
      <c r="B1" s="860"/>
      <c r="C1" s="860"/>
      <c r="D1" s="860"/>
      <c r="E1" s="860"/>
      <c r="F1" s="860"/>
    </row>
    <row r="2" spans="1:6" ht="18.75">
      <c r="A2" s="802" t="s">
        <v>1306</v>
      </c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 t="e">
        <f>E4*12</f>
        <v>#REF!</v>
      </c>
      <c r="E4" s="47" t="e">
        <f>'DECEMBER 2024'!#REF!</f>
        <v>#REF!</v>
      </c>
      <c r="F4" s="44"/>
    </row>
    <row r="5" spans="1:6" ht="18.75">
      <c r="A5" s="849" t="s">
        <v>1291</v>
      </c>
      <c r="B5" s="849"/>
      <c r="C5" s="849"/>
      <c r="D5" s="47" t="e">
        <f t="shared" ref="D5:D14" si="0">E5*12</f>
        <v>#REF!</v>
      </c>
      <c r="E5" s="47" t="e">
        <f>'DECEMBER 2024'!#REF!</f>
        <v>#REF!</v>
      </c>
      <c r="F5" s="44"/>
    </row>
    <row r="6" spans="1:6" ht="18.75">
      <c r="A6" s="849" t="s">
        <v>1292</v>
      </c>
      <c r="B6" s="849"/>
      <c r="C6" s="849"/>
      <c r="D6" s="47" t="e">
        <f t="shared" si="0"/>
        <v>#REF!</v>
      </c>
      <c r="E6" s="47" t="e">
        <f>'DECEMBER 2024'!#REF!</f>
        <v>#REF!</v>
      </c>
      <c r="F6" s="44"/>
    </row>
    <row r="7" spans="1:6" ht="18.75">
      <c r="A7" s="849" t="s">
        <v>1293</v>
      </c>
      <c r="B7" s="849"/>
      <c r="C7" s="849"/>
      <c r="D7" s="47">
        <f t="shared" si="0"/>
        <v>0</v>
      </c>
      <c r="E7" s="47">
        <f>SUMMARY!J6</f>
        <v>0</v>
      </c>
      <c r="F7" s="44"/>
    </row>
    <row r="8" spans="1:6" ht="18.75">
      <c r="A8" s="849" t="s">
        <v>1294</v>
      </c>
      <c r="B8" s="849"/>
      <c r="C8" s="849"/>
      <c r="D8" s="47" t="e">
        <f t="shared" si="0"/>
        <v>#REF!</v>
      </c>
      <c r="E8" s="47" t="e">
        <f>'DECEMBER 2024'!#REF!</f>
        <v>#REF!</v>
      </c>
      <c r="F8" s="44"/>
    </row>
    <row r="9" spans="1:6" ht="18.75">
      <c r="A9" s="849" t="s">
        <v>1295</v>
      </c>
      <c r="B9" s="849"/>
      <c r="C9" s="849"/>
      <c r="D9" s="47" t="e">
        <f t="shared" si="0"/>
        <v>#REF!</v>
      </c>
      <c r="E9" s="47" t="e">
        <f>'DECEMBER 2024'!#REF!</f>
        <v>#REF!</v>
      </c>
      <c r="F9" s="44"/>
    </row>
    <row r="10" spans="1:6" ht="18.75">
      <c r="A10" s="849" t="s">
        <v>1297</v>
      </c>
      <c r="B10" s="849"/>
      <c r="C10" s="849"/>
      <c r="D10" s="47" t="e">
        <f t="shared" si="0"/>
        <v>#REF!</v>
      </c>
      <c r="E10" s="47" t="e">
        <f>'DECEMBER 2024'!#REF!</f>
        <v>#REF!</v>
      </c>
      <c r="F10" s="44"/>
    </row>
    <row r="11" spans="1:6" ht="18.75">
      <c r="A11" s="827" t="s">
        <v>1296</v>
      </c>
      <c r="B11" s="859"/>
      <c r="C11" s="828"/>
      <c r="D11" s="47">
        <f t="shared" si="0"/>
        <v>0</v>
      </c>
      <c r="E11" s="47">
        <v>0</v>
      </c>
      <c r="F11" s="44"/>
    </row>
    <row r="12" spans="1:6" ht="18.75">
      <c r="A12" s="849" t="s">
        <v>1298</v>
      </c>
      <c r="B12" s="849"/>
      <c r="C12" s="849"/>
      <c r="D12" s="47" t="e">
        <f t="shared" si="0"/>
        <v>#REF!</v>
      </c>
      <c r="E12" s="47" t="e">
        <f>'DECEMBER 2024'!#REF!</f>
        <v>#REF!</v>
      </c>
      <c r="F12" s="44"/>
    </row>
    <row r="13" spans="1:6" ht="18.75">
      <c r="A13" s="849" t="s">
        <v>1299</v>
      </c>
      <c r="B13" s="849"/>
      <c r="C13" s="849"/>
      <c r="D13" s="47" t="e">
        <f t="shared" si="0"/>
        <v>#REF!</v>
      </c>
      <c r="E13" s="47" t="e">
        <f>'DECEMBER 2024'!#REF!</f>
        <v>#REF!</v>
      </c>
      <c r="F13" s="44"/>
    </row>
    <row r="14" spans="1:6" ht="18.75">
      <c r="A14" s="822" t="s">
        <v>9</v>
      </c>
      <c r="B14" s="822"/>
      <c r="C14" s="822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860"/>
      <c r="B1" s="860"/>
      <c r="C1" s="860"/>
      <c r="D1" s="860"/>
      <c r="E1" s="860"/>
      <c r="F1" s="860"/>
    </row>
    <row r="2" spans="1:6" ht="18.75">
      <c r="A2" s="802"/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>
        <f>E4*12</f>
        <v>255527.52</v>
      </c>
      <c r="E4" s="47">
        <f>SUMMARY!F7</f>
        <v>21293.96</v>
      </c>
      <c r="F4" s="44"/>
    </row>
    <row r="5" spans="1:6" ht="18.75">
      <c r="A5" s="849" t="s">
        <v>1291</v>
      </c>
      <c r="B5" s="849"/>
      <c r="C5" s="849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849" t="s">
        <v>1292</v>
      </c>
      <c r="B6" s="849"/>
      <c r="C6" s="849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849" t="s">
        <v>1293</v>
      </c>
      <c r="B7" s="849"/>
      <c r="C7" s="849"/>
      <c r="D7" s="47">
        <f t="shared" si="0"/>
        <v>0</v>
      </c>
      <c r="E7" s="47">
        <f>SUMMARY!J6</f>
        <v>0</v>
      </c>
      <c r="F7" s="44"/>
    </row>
    <row r="8" spans="1:6" ht="18.75">
      <c r="A8" s="849" t="s">
        <v>1294</v>
      </c>
      <c r="B8" s="849"/>
      <c r="C8" s="849"/>
      <c r="D8" s="47">
        <f t="shared" si="0"/>
        <v>127763.76</v>
      </c>
      <c r="E8" s="47">
        <f>SUMMARY!K7</f>
        <v>10646.98</v>
      </c>
      <c r="F8" s="44"/>
    </row>
    <row r="9" spans="1:6" ht="18.75">
      <c r="A9" s="849" t="s">
        <v>1295</v>
      </c>
      <c r="B9" s="849"/>
      <c r="C9" s="849"/>
      <c r="D9" s="47">
        <f t="shared" si="0"/>
        <v>894346.32</v>
      </c>
      <c r="E9" s="47">
        <f>SUMMARY!L7</f>
        <v>74528.86</v>
      </c>
      <c r="F9" s="44"/>
    </row>
    <row r="10" spans="1:6" ht="18.75">
      <c r="A10" s="849" t="s">
        <v>1297</v>
      </c>
      <c r="B10" s="849"/>
      <c r="C10" s="849"/>
      <c r="D10" s="47">
        <f t="shared" si="0"/>
        <v>255527.52</v>
      </c>
      <c r="E10" s="47">
        <f>SUMMARY!N7</f>
        <v>21293.96</v>
      </c>
      <c r="F10" s="44"/>
    </row>
    <row r="11" spans="1:6" ht="18.75">
      <c r="A11" s="849" t="s">
        <v>1298</v>
      </c>
      <c r="B11" s="849"/>
      <c r="C11" s="849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849" t="s">
        <v>1299</v>
      </c>
      <c r="B12" s="849"/>
      <c r="C12" s="849"/>
      <c r="D12" s="47">
        <f t="shared" si="0"/>
        <v>120000</v>
      </c>
      <c r="E12" s="47">
        <f>SUMMARY!P7</f>
        <v>10000</v>
      </c>
      <c r="F12" s="44"/>
    </row>
    <row r="13" spans="1:6" ht="18.75">
      <c r="A13" s="822" t="s">
        <v>9</v>
      </c>
      <c r="B13" s="822"/>
      <c r="C13" s="822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860" t="s">
        <v>1307</v>
      </c>
      <c r="B1" s="860"/>
      <c r="C1" s="860"/>
      <c r="D1" s="860"/>
      <c r="E1" s="860"/>
      <c r="F1" s="860"/>
    </row>
    <row r="2" spans="1:6" ht="18.75">
      <c r="A2" s="802" t="s">
        <v>1308</v>
      </c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>
        <f>E4*12</f>
        <v>207435.96</v>
      </c>
      <c r="E4" s="47">
        <f>SUMMARY!F8</f>
        <v>17286.330000000002</v>
      </c>
      <c r="F4" s="44"/>
    </row>
    <row r="5" spans="1:6" ht="18.75">
      <c r="A5" s="849" t="s">
        <v>1291</v>
      </c>
      <c r="B5" s="849"/>
      <c r="C5" s="849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849" t="s">
        <v>1292</v>
      </c>
      <c r="B6" s="849"/>
      <c r="C6" s="849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849" t="s">
        <v>1293</v>
      </c>
      <c r="B7" s="849"/>
      <c r="C7" s="849"/>
      <c r="D7" s="47">
        <f t="shared" si="0"/>
        <v>0</v>
      </c>
      <c r="E7" s="47">
        <f>SUMMARY!J6</f>
        <v>0</v>
      </c>
      <c r="F7" s="44"/>
    </row>
    <row r="8" spans="1:6" ht="18.75">
      <c r="A8" s="849" t="s">
        <v>1294</v>
      </c>
      <c r="B8" s="849"/>
      <c r="C8" s="849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849" t="s">
        <v>1295</v>
      </c>
      <c r="B9" s="849"/>
      <c r="C9" s="849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849" t="s">
        <v>1297</v>
      </c>
      <c r="B10" s="849"/>
      <c r="C10" s="849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827" t="s">
        <v>1296</v>
      </c>
      <c r="B11" s="859"/>
      <c r="C11" s="828"/>
      <c r="D11" s="47">
        <f t="shared" si="0"/>
        <v>480000</v>
      </c>
      <c r="E11" s="47">
        <v>40000</v>
      </c>
      <c r="F11" s="44"/>
    </row>
    <row r="12" spans="1:6" ht="18.75">
      <c r="A12" s="849" t="s">
        <v>1298</v>
      </c>
      <c r="B12" s="849"/>
      <c r="C12" s="849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849" t="s">
        <v>1299</v>
      </c>
      <c r="B13" s="849"/>
      <c r="C13" s="849"/>
      <c r="D13" s="47">
        <f t="shared" si="0"/>
        <v>120000</v>
      </c>
      <c r="E13" s="47">
        <f>SUMMARY!P7</f>
        <v>10000</v>
      </c>
      <c r="F13" s="44"/>
    </row>
    <row r="14" spans="1:6" ht="18.75">
      <c r="A14" s="822" t="s">
        <v>9</v>
      </c>
      <c r="B14" s="822"/>
      <c r="C14" s="822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860" t="s">
        <v>1309</v>
      </c>
      <c r="B1" s="860"/>
      <c r="C1" s="860"/>
      <c r="D1" s="860"/>
      <c r="E1" s="860"/>
      <c r="F1" s="860"/>
    </row>
    <row r="2" spans="1:6" ht="18.75">
      <c r="A2" s="802" t="s">
        <v>1310</v>
      </c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>
        <f>E4*12</f>
        <v>176833.68</v>
      </c>
      <c r="E4" s="47">
        <f>SUMMARY!F9</f>
        <v>14736.14</v>
      </c>
      <c r="F4" s="44"/>
    </row>
    <row r="5" spans="1:6" ht="18.75">
      <c r="A5" s="849" t="s">
        <v>1291</v>
      </c>
      <c r="B5" s="849"/>
      <c r="C5" s="849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849" t="s">
        <v>1292</v>
      </c>
      <c r="B6" s="849"/>
      <c r="C6" s="849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849" t="s">
        <v>1293</v>
      </c>
      <c r="B7" s="849"/>
      <c r="C7" s="849"/>
      <c r="D7" s="47">
        <f t="shared" si="0"/>
        <v>0</v>
      </c>
      <c r="E7" s="47">
        <f>SUMMARY!J6</f>
        <v>0</v>
      </c>
      <c r="F7" s="44"/>
    </row>
    <row r="8" spans="1:6" ht="18.75">
      <c r="A8" s="849" t="s">
        <v>1294</v>
      </c>
      <c r="B8" s="849"/>
      <c r="C8" s="849"/>
      <c r="D8" s="47">
        <f t="shared" si="0"/>
        <v>88416.84</v>
      </c>
      <c r="E8" s="47">
        <f>SUMMARY!K9</f>
        <v>7368.07</v>
      </c>
      <c r="F8" s="44"/>
    </row>
    <row r="9" spans="1:6" ht="18.75">
      <c r="A9" s="849" t="s">
        <v>1295</v>
      </c>
      <c r="B9" s="849"/>
      <c r="C9" s="849"/>
      <c r="D9" s="47">
        <f t="shared" si="0"/>
        <v>618917.88</v>
      </c>
      <c r="E9" s="47">
        <f>SUMMARY!L9</f>
        <v>51576.49</v>
      </c>
      <c r="F9" s="44"/>
    </row>
    <row r="10" spans="1:6" ht="18.75">
      <c r="A10" s="849" t="s">
        <v>1297</v>
      </c>
      <c r="B10" s="849"/>
      <c r="C10" s="849"/>
      <c r="D10" s="47">
        <f t="shared" si="0"/>
        <v>176833.68</v>
      </c>
      <c r="E10" s="47">
        <f>SUMMARY!N9</f>
        <v>14736.14</v>
      </c>
      <c r="F10" s="44"/>
    </row>
    <row r="11" spans="1:6" ht="18.75">
      <c r="A11" s="827" t="s">
        <v>1311</v>
      </c>
      <c r="B11" s="859"/>
      <c r="C11" s="828"/>
      <c r="D11" s="47">
        <f t="shared" si="0"/>
        <v>480000</v>
      </c>
      <c r="E11" s="47">
        <v>40000</v>
      </c>
      <c r="F11" s="44"/>
    </row>
    <row r="12" spans="1:6" ht="18.75">
      <c r="A12" s="849" t="s">
        <v>1298</v>
      </c>
      <c r="B12" s="849"/>
      <c r="C12" s="849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849" t="s">
        <v>1299</v>
      </c>
      <c r="B13" s="849"/>
      <c r="C13" s="849"/>
      <c r="D13" s="47">
        <f t="shared" si="0"/>
        <v>120000</v>
      </c>
      <c r="E13" s="47">
        <f>SUMMARY!P7</f>
        <v>10000</v>
      </c>
      <c r="F13" s="44"/>
    </row>
    <row r="14" spans="1:6" ht="18.75">
      <c r="A14" s="822" t="s">
        <v>9</v>
      </c>
      <c r="B14" s="822"/>
      <c r="C14" s="822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860" t="s">
        <v>1312</v>
      </c>
      <c r="B1" s="860"/>
      <c r="C1" s="860"/>
      <c r="D1" s="860"/>
      <c r="E1" s="860"/>
      <c r="F1" s="860"/>
    </row>
    <row r="2" spans="1:6" ht="18.75">
      <c r="A2" s="802"/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>
        <f>E4*12</f>
        <v>5479467</v>
      </c>
      <c r="E4" s="47">
        <f>'DECEMBER 2024'!E78</f>
        <v>456622.25</v>
      </c>
      <c r="F4" s="44"/>
    </row>
    <row r="5" spans="1:6" ht="18.75">
      <c r="A5" s="849" t="s">
        <v>1291</v>
      </c>
      <c r="B5" s="849"/>
      <c r="C5" s="849"/>
      <c r="D5" s="47" t="e">
        <f t="shared" ref="D5:D12" si="0">E5*12</f>
        <v>#REF!</v>
      </c>
      <c r="E5" s="47" t="e">
        <f>'DECEMBER 2024'!#REF!</f>
        <v>#REF!</v>
      </c>
      <c r="F5" s="44"/>
    </row>
    <row r="6" spans="1:6" ht="18.75">
      <c r="A6" s="849" t="s">
        <v>1292</v>
      </c>
      <c r="B6" s="849"/>
      <c r="C6" s="849"/>
      <c r="D6" s="47" t="e">
        <f t="shared" si="0"/>
        <v>#REF!</v>
      </c>
      <c r="E6" s="47" t="e">
        <f>'DECEMBER 2024'!#REF!</f>
        <v>#REF!</v>
      </c>
      <c r="F6" s="44"/>
    </row>
    <row r="7" spans="1:6" ht="18.75">
      <c r="A7" s="849" t="s">
        <v>1294</v>
      </c>
      <c r="B7" s="849"/>
      <c r="C7" s="849"/>
      <c r="D7" s="47" t="e">
        <f t="shared" si="0"/>
        <v>#REF!</v>
      </c>
      <c r="E7" s="47" t="e">
        <f>'DECEMBER 2024'!#REF!</f>
        <v>#REF!</v>
      </c>
      <c r="F7" s="44"/>
    </row>
    <row r="8" spans="1:6" ht="18.75">
      <c r="A8" s="849" t="s">
        <v>1295</v>
      </c>
      <c r="B8" s="849"/>
      <c r="C8" s="849"/>
      <c r="D8" s="47" t="e">
        <f t="shared" si="0"/>
        <v>#REF!</v>
      </c>
      <c r="E8" s="47" t="e">
        <f>'DECEMBER 2024'!#REF!</f>
        <v>#REF!</v>
      </c>
      <c r="F8" s="44"/>
    </row>
    <row r="9" spans="1:6" ht="18.75">
      <c r="A9" s="849" t="s">
        <v>1297</v>
      </c>
      <c r="B9" s="849"/>
      <c r="C9" s="849"/>
      <c r="D9" s="47" t="e">
        <f t="shared" si="0"/>
        <v>#REF!</v>
      </c>
      <c r="E9" s="47" t="e">
        <f>'DECEMBER 2024'!#REF!</f>
        <v>#REF!</v>
      </c>
      <c r="F9" s="44"/>
    </row>
    <row r="10" spans="1:6" ht="18.75">
      <c r="A10" s="849" t="s">
        <v>1298</v>
      </c>
      <c r="B10" s="849"/>
      <c r="C10" s="849"/>
      <c r="D10" s="47" t="e">
        <f t="shared" si="0"/>
        <v>#REF!</v>
      </c>
      <c r="E10" s="47" t="e">
        <f>'DECEMBER 2024'!#REF!</f>
        <v>#REF!</v>
      </c>
      <c r="F10" s="44"/>
    </row>
    <row r="11" spans="1:6" ht="18.75">
      <c r="A11" s="849" t="s">
        <v>1299</v>
      </c>
      <c r="B11" s="849"/>
      <c r="C11" s="849"/>
      <c r="D11" s="47" t="e">
        <f t="shared" si="0"/>
        <v>#REF!</v>
      </c>
      <c r="E11" s="47" t="e">
        <f>'DECEMBER 2024'!#REF!</f>
        <v>#REF!</v>
      </c>
      <c r="F11" s="44"/>
    </row>
    <row r="12" spans="1:6" ht="18.75">
      <c r="A12" s="822" t="s">
        <v>9</v>
      </c>
      <c r="B12" s="822"/>
      <c r="C12" s="822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1257</v>
      </c>
      <c r="G1" s="50" t="s">
        <v>1313</v>
      </c>
      <c r="H1" s="50"/>
      <c r="I1" s="50"/>
      <c r="J1" s="50"/>
      <c r="K1" s="50"/>
      <c r="L1" s="50"/>
      <c r="M1" s="50" t="s">
        <v>1314</v>
      </c>
      <c r="N1" s="50" t="s">
        <v>1258</v>
      </c>
      <c r="O1" s="50" t="s">
        <v>1259</v>
      </c>
      <c r="P1" s="50" t="s">
        <v>1261</v>
      </c>
      <c r="Q1" s="50" t="s">
        <v>1262</v>
      </c>
      <c r="R1" s="50" t="s">
        <v>1263</v>
      </c>
      <c r="S1" s="50" t="s">
        <v>1315</v>
      </c>
      <c r="T1" s="55"/>
      <c r="U1" s="56" t="s">
        <v>1316</v>
      </c>
      <c r="V1" s="57" t="s">
        <v>1317</v>
      </c>
    </row>
    <row r="2" spans="1:22" ht="18.75">
      <c r="F2" s="50" t="s">
        <v>544</v>
      </c>
      <c r="G2" s="50" t="s">
        <v>1318</v>
      </c>
      <c r="H2" s="50" t="s">
        <v>640</v>
      </c>
      <c r="I2" s="50" t="s">
        <v>641</v>
      </c>
      <c r="J2" s="50" t="s">
        <v>642</v>
      </c>
      <c r="K2" s="50" t="s">
        <v>643</v>
      </c>
      <c r="L2" s="50" t="s">
        <v>644</v>
      </c>
      <c r="M2" s="50" t="s">
        <v>1319</v>
      </c>
      <c r="N2" s="50" t="s">
        <v>645</v>
      </c>
      <c r="O2" s="50" t="s">
        <v>7</v>
      </c>
      <c r="P2" s="50" t="s">
        <v>646</v>
      </c>
      <c r="Q2" s="50" t="s">
        <v>646</v>
      </c>
      <c r="R2" s="50" t="s">
        <v>8</v>
      </c>
      <c r="S2" s="50" t="s">
        <v>544</v>
      </c>
      <c r="T2" s="50" t="s">
        <v>14</v>
      </c>
      <c r="U2" s="56"/>
      <c r="V2" s="57"/>
    </row>
    <row r="3" spans="1:22" ht="18.75">
      <c r="A3" s="861" t="s">
        <v>1320</v>
      </c>
      <c r="B3" s="862"/>
      <c r="C3" s="863"/>
      <c r="D3" s="51"/>
      <c r="E3" s="51" t="s">
        <v>1321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861" t="s">
        <v>1322</v>
      </c>
      <c r="B4" s="862"/>
      <c r="C4" s="863"/>
      <c r="D4" s="51"/>
      <c r="E4" s="51" t="s">
        <v>1323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864" t="s">
        <v>46</v>
      </c>
      <c r="B5" s="865"/>
      <c r="C5" s="866"/>
      <c r="D5" s="53"/>
      <c r="E5" s="54" t="s">
        <v>164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861" t="s">
        <v>458</v>
      </c>
      <c r="B6" s="862"/>
      <c r="C6" s="863"/>
      <c r="D6" s="51"/>
      <c r="E6" s="51" t="s">
        <v>429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861" t="s">
        <v>1324</v>
      </c>
      <c r="B7" s="862"/>
      <c r="C7" s="863"/>
      <c r="D7" s="51"/>
      <c r="E7" s="51" t="s">
        <v>424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861" t="s">
        <v>119</v>
      </c>
      <c r="B8" s="862"/>
      <c r="C8" s="863"/>
      <c r="D8" s="51"/>
      <c r="E8" s="51" t="s">
        <v>1325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861" t="s">
        <v>1326</v>
      </c>
      <c r="B9" s="862"/>
      <c r="C9" s="863"/>
      <c r="D9" s="51"/>
      <c r="E9" s="51" t="s">
        <v>1327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861"/>
      <c r="B10" s="862"/>
      <c r="C10" s="863"/>
      <c r="D10" s="51"/>
      <c r="E10" s="51" t="s">
        <v>1328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860" t="s">
        <v>1329</v>
      </c>
      <c r="B1" s="860"/>
      <c r="C1" s="860"/>
      <c r="D1" s="860"/>
      <c r="E1" s="860"/>
      <c r="F1" s="860"/>
    </row>
    <row r="2" spans="1:6" ht="18.75">
      <c r="A2" s="802" t="s">
        <v>1330</v>
      </c>
      <c r="B2" s="802"/>
      <c r="C2" s="802"/>
      <c r="D2" s="802"/>
      <c r="E2" s="802"/>
      <c r="F2" s="802"/>
    </row>
    <row r="3" spans="1:6" ht="18.75">
      <c r="A3" s="849"/>
      <c r="B3" s="849"/>
      <c r="C3" s="849"/>
      <c r="D3" s="45" t="s">
        <v>1288</v>
      </c>
      <c r="E3" s="45" t="s">
        <v>1289</v>
      </c>
      <c r="F3" s="46"/>
    </row>
    <row r="4" spans="1:6" ht="18.75">
      <c r="A4" s="849" t="s">
        <v>1290</v>
      </c>
      <c r="B4" s="849"/>
      <c r="C4" s="849"/>
      <c r="D4" s="47">
        <f>E4*12</f>
        <v>299709.71999999997</v>
      </c>
      <c r="E4" s="47">
        <f>SUMMARY!F5</f>
        <v>24975.81</v>
      </c>
      <c r="F4" s="44"/>
    </row>
    <row r="5" spans="1:6" ht="18.75">
      <c r="A5" s="849" t="s">
        <v>1291</v>
      </c>
      <c r="B5" s="849"/>
      <c r="C5" s="849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849" t="s">
        <v>1292</v>
      </c>
      <c r="B6" s="849"/>
      <c r="C6" s="849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849" t="s">
        <v>1293</v>
      </c>
      <c r="B7" s="849"/>
      <c r="C7" s="849"/>
      <c r="D7" s="47">
        <f t="shared" si="0"/>
        <v>0</v>
      </c>
      <c r="E7" s="47">
        <f>SUMMARY!J6</f>
        <v>0</v>
      </c>
      <c r="F7" s="44"/>
    </row>
    <row r="8" spans="1:6" ht="18.75">
      <c r="A8" s="849" t="s">
        <v>1294</v>
      </c>
      <c r="B8" s="849"/>
      <c r="C8" s="849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849" t="s">
        <v>1295</v>
      </c>
      <c r="B9" s="849"/>
      <c r="C9" s="849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849" t="s">
        <v>1297</v>
      </c>
      <c r="B10" s="849"/>
      <c r="C10" s="849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827" t="s">
        <v>1296</v>
      </c>
      <c r="B11" s="859"/>
      <c r="C11" s="828"/>
      <c r="D11" s="47">
        <f t="shared" si="0"/>
        <v>0</v>
      </c>
      <c r="E11" s="47">
        <v>0</v>
      </c>
      <c r="F11" s="44"/>
    </row>
    <row r="12" spans="1:6" ht="18.75">
      <c r="A12" s="849" t="s">
        <v>1298</v>
      </c>
      <c r="B12" s="849"/>
      <c r="C12" s="849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849" t="s">
        <v>1299</v>
      </c>
      <c r="B13" s="849"/>
      <c r="C13" s="849"/>
      <c r="D13" s="47">
        <f t="shared" si="0"/>
        <v>240000</v>
      </c>
      <c r="E13" s="47">
        <f>SUMMARY!Q5</f>
        <v>20000</v>
      </c>
      <c r="F13" s="44"/>
    </row>
    <row r="14" spans="1:6" ht="18.75">
      <c r="A14" s="822" t="s">
        <v>9</v>
      </c>
      <c r="B14" s="822"/>
      <c r="C14" s="822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802" t="s">
        <v>1331</v>
      </c>
      <c r="B1" s="802"/>
      <c r="C1" s="802"/>
    </row>
    <row r="2" spans="1:3" ht="18.75">
      <c r="A2" s="802" t="s">
        <v>1304</v>
      </c>
      <c r="B2" s="802"/>
      <c r="C2" s="802"/>
    </row>
    <row r="3" spans="1:3" ht="18.75">
      <c r="A3" s="40"/>
      <c r="B3" s="40" t="s">
        <v>1288</v>
      </c>
      <c r="C3" s="40" t="s">
        <v>1289</v>
      </c>
    </row>
    <row r="4" spans="1:3" ht="18.75">
      <c r="A4" s="41" t="s">
        <v>1290</v>
      </c>
      <c r="B4" s="42">
        <f>C4*12</f>
        <v>475947</v>
      </c>
      <c r="C4" s="42">
        <v>39662.25</v>
      </c>
    </row>
    <row r="5" spans="1:3" ht="18.75">
      <c r="A5" s="41" t="s">
        <v>1291</v>
      </c>
      <c r="B5" s="42">
        <f t="shared" ref="B5:B13" si="0">C5*12</f>
        <v>1427841</v>
      </c>
      <c r="C5" s="42">
        <v>118986.75</v>
      </c>
    </row>
    <row r="6" spans="1:3" ht="18.75">
      <c r="A6" s="41" t="s">
        <v>1292</v>
      </c>
      <c r="B6" s="42">
        <f t="shared" si="0"/>
        <v>35696.04</v>
      </c>
      <c r="C6" s="42">
        <v>2974.67</v>
      </c>
    </row>
    <row r="7" spans="1:3" ht="18.75">
      <c r="A7" s="41" t="s">
        <v>1293</v>
      </c>
      <c r="B7" s="42" t="e">
        <f t="shared" si="0"/>
        <v>#REF!</v>
      </c>
      <c r="C7" s="42" t="e">
        <f>'DECEMBER 2024'!#REF!</f>
        <v>#REF!</v>
      </c>
    </row>
    <row r="8" spans="1:3" ht="18.75">
      <c r="A8" s="41" t="s">
        <v>1294</v>
      </c>
      <c r="B8" s="42">
        <f t="shared" si="0"/>
        <v>237973.56</v>
      </c>
      <c r="C8" s="42">
        <v>19831.13</v>
      </c>
    </row>
    <row r="9" spans="1:3" ht="18.75">
      <c r="A9" s="41" t="s">
        <v>1295</v>
      </c>
      <c r="B9" s="42">
        <f t="shared" si="0"/>
        <v>1665814.56</v>
      </c>
      <c r="C9" s="42">
        <v>138817.88</v>
      </c>
    </row>
    <row r="10" spans="1:3" ht="18.75">
      <c r="A10" s="41" t="s">
        <v>1297</v>
      </c>
      <c r="B10" s="42">
        <f t="shared" si="0"/>
        <v>475947</v>
      </c>
      <c r="C10" s="42">
        <v>39662.25</v>
      </c>
    </row>
    <row r="11" spans="1:3" ht="18.75">
      <c r="A11" s="41" t="s">
        <v>1296</v>
      </c>
      <c r="B11" s="42">
        <f t="shared" si="0"/>
        <v>0</v>
      </c>
      <c r="C11" s="42">
        <v>0</v>
      </c>
    </row>
    <row r="12" spans="1:3" ht="18.75">
      <c r="A12" s="41" t="s">
        <v>1298</v>
      </c>
      <c r="B12" s="42">
        <f t="shared" si="0"/>
        <v>47594.76</v>
      </c>
      <c r="C12" s="42">
        <v>3966.23</v>
      </c>
    </row>
    <row r="13" spans="1:3" ht="18.75">
      <c r="A13" s="41" t="s">
        <v>1299</v>
      </c>
      <c r="B13" s="42" t="e">
        <f t="shared" si="0"/>
        <v>#REF!</v>
      </c>
      <c r="C13" s="42" t="e">
        <f>'DECEMBER 2024'!#REF!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20</v>
      </c>
      <c r="B3" s="34" t="s">
        <v>4</v>
      </c>
      <c r="C3" s="34" t="s">
        <v>1332</v>
      </c>
      <c r="D3" s="35" t="s">
        <v>19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67" t="s">
        <v>0</v>
      </c>
      <c r="B1" s="867"/>
      <c r="C1" s="867"/>
      <c r="D1" s="867"/>
    </row>
    <row r="2" spans="1:5" ht="33.75" customHeight="1">
      <c r="A2" s="817" t="s">
        <v>1333</v>
      </c>
      <c r="B2" s="817"/>
      <c r="C2" s="817"/>
      <c r="D2" s="817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20</v>
      </c>
      <c r="B6" s="6" t="s">
        <v>21</v>
      </c>
      <c r="C6" s="6"/>
      <c r="D6" s="6"/>
    </row>
    <row r="7" spans="1:5" ht="20.100000000000001" customHeight="1">
      <c r="A7" s="8">
        <v>1</v>
      </c>
      <c r="B7" s="9" t="s">
        <v>22</v>
      </c>
      <c r="C7" s="10" t="s">
        <v>23</v>
      </c>
      <c r="D7" s="10" t="s">
        <v>24</v>
      </c>
      <c r="E7" s="11"/>
    </row>
    <row r="8" spans="1:5" ht="20.100000000000001" customHeight="1">
      <c r="A8" s="8">
        <v>2</v>
      </c>
      <c r="B8" s="9" t="s">
        <v>1082</v>
      </c>
      <c r="C8" s="2" t="s">
        <v>1083</v>
      </c>
      <c r="D8" s="8" t="s">
        <v>191</v>
      </c>
      <c r="E8" s="11"/>
    </row>
    <row r="9" spans="1:5" ht="20.100000000000001" customHeight="1">
      <c r="A9" s="8">
        <v>3</v>
      </c>
      <c r="B9" s="9" t="s">
        <v>25</v>
      </c>
      <c r="C9" s="10" t="s">
        <v>26</v>
      </c>
      <c r="D9" s="8" t="s">
        <v>27</v>
      </c>
      <c r="E9" s="11"/>
    </row>
    <row r="10" spans="1:5" ht="20.100000000000001" customHeight="1">
      <c r="A10" s="8">
        <v>4</v>
      </c>
      <c r="B10" s="12" t="s">
        <v>28</v>
      </c>
      <c r="C10" s="2" t="s">
        <v>29</v>
      </c>
      <c r="D10" s="13" t="s">
        <v>112</v>
      </c>
      <c r="E10" s="11"/>
    </row>
    <row r="11" spans="1:5" ht="20.100000000000001" customHeight="1">
      <c r="A11" s="8">
        <v>5</v>
      </c>
      <c r="B11" s="12" t="s">
        <v>175</v>
      </c>
      <c r="C11" s="2" t="s">
        <v>1084</v>
      </c>
      <c r="D11" s="14" t="s">
        <v>112</v>
      </c>
      <c r="E11" s="11"/>
    </row>
    <row r="12" spans="1:5" ht="20.100000000000001" customHeight="1">
      <c r="A12" s="8">
        <v>6</v>
      </c>
      <c r="B12" s="9" t="s">
        <v>30</v>
      </c>
      <c r="C12" s="15" t="s">
        <v>31</v>
      </c>
      <c r="D12" s="14" t="s">
        <v>112</v>
      </c>
      <c r="E12" s="11"/>
    </row>
    <row r="13" spans="1:5" ht="20.100000000000001" customHeight="1">
      <c r="A13" s="8">
        <v>7</v>
      </c>
      <c r="B13" s="12" t="s">
        <v>32</v>
      </c>
      <c r="C13" s="2" t="s">
        <v>33</v>
      </c>
      <c r="D13" s="14" t="s">
        <v>112</v>
      </c>
      <c r="E13" s="11"/>
    </row>
    <row r="14" spans="1:5" ht="20.100000000000001" customHeight="1">
      <c r="A14" s="8">
        <v>8</v>
      </c>
      <c r="B14" s="9" t="s">
        <v>34</v>
      </c>
      <c r="C14" s="10" t="s">
        <v>35</v>
      </c>
      <c r="D14" s="13" t="s">
        <v>36</v>
      </c>
      <c r="E14" s="11"/>
    </row>
    <row r="15" spans="1:5" ht="20.100000000000001" customHeight="1">
      <c r="A15" s="8">
        <v>9</v>
      </c>
      <c r="B15" s="16" t="s">
        <v>519</v>
      </c>
      <c r="C15" s="10" t="s">
        <v>572</v>
      </c>
      <c r="D15" s="8" t="s">
        <v>571</v>
      </c>
      <c r="E15" s="11"/>
    </row>
    <row r="16" spans="1:5" ht="20.100000000000001" customHeight="1">
      <c r="A16" s="8">
        <v>10</v>
      </c>
      <c r="B16" s="17" t="s">
        <v>1175</v>
      </c>
      <c r="C16" s="2" t="s">
        <v>1176</v>
      </c>
      <c r="D16" s="14" t="s">
        <v>224</v>
      </c>
      <c r="E16" s="11"/>
    </row>
    <row r="17" spans="1:5" ht="19.5" customHeight="1">
      <c r="A17" s="8">
        <v>11</v>
      </c>
      <c r="B17" s="12" t="s">
        <v>1085</v>
      </c>
      <c r="C17" s="2" t="s">
        <v>41</v>
      </c>
      <c r="D17" s="8" t="s">
        <v>224</v>
      </c>
      <c r="E17" s="11"/>
    </row>
    <row r="18" spans="1:5" ht="19.5" customHeight="1">
      <c r="A18" s="8">
        <v>12</v>
      </c>
      <c r="B18" s="12" t="s">
        <v>1177</v>
      </c>
      <c r="C18" s="2" t="s">
        <v>1178</v>
      </c>
      <c r="D18" s="8" t="s">
        <v>224</v>
      </c>
      <c r="E18" s="11"/>
    </row>
    <row r="19" spans="1:5" ht="20.100000000000001" customHeight="1">
      <c r="A19" s="8">
        <v>13</v>
      </c>
      <c r="B19" s="9" t="s">
        <v>40</v>
      </c>
      <c r="C19" s="2" t="s">
        <v>41</v>
      </c>
      <c r="D19" s="13" t="s">
        <v>224</v>
      </c>
      <c r="E19" s="11"/>
    </row>
    <row r="20" spans="1:5" ht="20.100000000000001" customHeight="1">
      <c r="A20" s="8">
        <v>14</v>
      </c>
      <c r="B20" s="9" t="s">
        <v>50</v>
      </c>
      <c r="C20" s="10" t="s">
        <v>51</v>
      </c>
      <c r="D20" s="13" t="s">
        <v>1016</v>
      </c>
      <c r="E20" s="11"/>
    </row>
    <row r="21" spans="1:5" ht="20.100000000000001" customHeight="1">
      <c r="A21" s="8">
        <v>15</v>
      </c>
      <c r="B21" s="16" t="s">
        <v>53</v>
      </c>
      <c r="C21" s="2" t="s">
        <v>54</v>
      </c>
      <c r="D21" s="13" t="s">
        <v>1017</v>
      </c>
      <c r="E21" s="11"/>
    </row>
    <row r="22" spans="1:5" ht="20.100000000000001" customHeight="1">
      <c r="A22" s="8">
        <v>16</v>
      </c>
      <c r="B22" s="9" t="s">
        <v>206</v>
      </c>
      <c r="C22" s="10" t="s">
        <v>579</v>
      </c>
      <c r="D22" s="13" t="s">
        <v>62</v>
      </c>
      <c r="E22" s="11"/>
    </row>
    <row r="23" spans="1:5" ht="18.75" customHeight="1">
      <c r="A23" s="8">
        <v>17</v>
      </c>
      <c r="B23" s="9" t="s">
        <v>60</v>
      </c>
      <c r="C23" s="10" t="s">
        <v>61</v>
      </c>
      <c r="D23" s="13" t="s">
        <v>137</v>
      </c>
      <c r="E23" s="11"/>
    </row>
    <row r="24" spans="1:5" ht="18.75" customHeight="1">
      <c r="A24" s="8">
        <v>18</v>
      </c>
      <c r="B24" s="16" t="s">
        <v>1179</v>
      </c>
      <c r="C24" s="10" t="s">
        <v>91</v>
      </c>
      <c r="D24" s="13" t="s">
        <v>267</v>
      </c>
      <c r="E24" s="11"/>
    </row>
    <row r="25" spans="1:5" ht="18.75" customHeight="1">
      <c r="A25" s="8">
        <v>19</v>
      </c>
      <c r="B25" s="2" t="s">
        <v>73</v>
      </c>
      <c r="C25" s="2" t="s">
        <v>74</v>
      </c>
      <c r="D25" s="8" t="s">
        <v>80</v>
      </c>
      <c r="E25" s="11"/>
    </row>
    <row r="26" spans="1:5" ht="18.75" customHeight="1">
      <c r="A26" s="8">
        <v>20</v>
      </c>
      <c r="B26" s="16" t="s">
        <v>76</v>
      </c>
      <c r="C26" s="10" t="s">
        <v>74</v>
      </c>
      <c r="D26" s="13" t="s">
        <v>80</v>
      </c>
      <c r="E26" s="11"/>
    </row>
    <row r="27" spans="1:5" ht="18.75" customHeight="1">
      <c r="A27" s="8">
        <v>21</v>
      </c>
      <c r="B27" s="9" t="s">
        <v>1086</v>
      </c>
      <c r="C27" s="10" t="s">
        <v>1087</v>
      </c>
      <c r="D27" s="13" t="s">
        <v>80</v>
      </c>
      <c r="E27" s="11"/>
    </row>
    <row r="28" spans="1:5" ht="18.75" customHeight="1">
      <c r="A28" s="8">
        <v>22</v>
      </c>
      <c r="B28" s="16" t="s">
        <v>78</v>
      </c>
      <c r="C28" s="10" t="s">
        <v>1033</v>
      </c>
      <c r="D28" s="13" t="s">
        <v>1011</v>
      </c>
      <c r="E28" s="11"/>
    </row>
    <row r="29" spans="1:5" ht="18.75" customHeight="1">
      <c r="A29" s="8">
        <v>23</v>
      </c>
      <c r="B29" s="16" t="s">
        <v>81</v>
      </c>
      <c r="C29" s="2" t="s">
        <v>1088</v>
      </c>
      <c r="D29" s="8" t="s">
        <v>1011</v>
      </c>
      <c r="E29" s="11"/>
    </row>
    <row r="30" spans="1:5" ht="18.75" customHeight="1">
      <c r="A30" s="8">
        <v>24</v>
      </c>
      <c r="B30" s="16" t="s">
        <v>85</v>
      </c>
      <c r="C30" s="15" t="s">
        <v>86</v>
      </c>
      <c r="D30" s="13" t="s">
        <v>80</v>
      </c>
      <c r="E30" s="11"/>
    </row>
    <row r="31" spans="1:5" ht="18.75" customHeight="1">
      <c r="A31" s="8">
        <v>25</v>
      </c>
      <c r="B31" s="16" t="s">
        <v>88</v>
      </c>
      <c r="C31" s="2" t="s">
        <v>89</v>
      </c>
      <c r="D31" s="8" t="s">
        <v>92</v>
      </c>
      <c r="E31" s="11"/>
    </row>
    <row r="32" spans="1:5" ht="18.75" customHeight="1">
      <c r="A32" s="8">
        <v>26</v>
      </c>
      <c r="B32" s="16" t="s">
        <v>1006</v>
      </c>
      <c r="C32" s="10" t="s">
        <v>91</v>
      </c>
      <c r="D32" s="13" t="s">
        <v>92</v>
      </c>
      <c r="E32" s="11"/>
    </row>
    <row r="33" spans="1:5" ht="18.75" customHeight="1">
      <c r="A33" s="8">
        <v>27</v>
      </c>
      <c r="B33" s="16" t="s">
        <v>1180</v>
      </c>
      <c r="C33" s="10" t="s">
        <v>91</v>
      </c>
      <c r="D33" s="13" t="s">
        <v>92</v>
      </c>
      <c r="E33" s="11"/>
    </row>
    <row r="34" spans="1:5" ht="18.75" customHeight="1">
      <c r="A34" s="8">
        <v>28</v>
      </c>
      <c r="B34" s="16" t="s">
        <v>232</v>
      </c>
      <c r="C34" s="10" t="s">
        <v>233</v>
      </c>
      <c r="D34" s="13" t="s">
        <v>95</v>
      </c>
      <c r="E34" s="11"/>
    </row>
    <row r="35" spans="1:5" ht="20.25" customHeight="1">
      <c r="A35" s="8"/>
      <c r="B35" s="18" t="s">
        <v>96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97</v>
      </c>
      <c r="C37" s="2"/>
      <c r="D37" s="13"/>
      <c r="E37" s="11"/>
    </row>
    <row r="38" spans="1:5" ht="18.75" customHeight="1">
      <c r="A38" s="8">
        <v>1</v>
      </c>
      <c r="B38" s="16" t="s">
        <v>98</v>
      </c>
      <c r="C38" s="2" t="s">
        <v>99</v>
      </c>
      <c r="D38" s="8" t="s">
        <v>100</v>
      </c>
      <c r="E38" s="11"/>
    </row>
    <row r="39" spans="1:5" ht="18.75" customHeight="1">
      <c r="A39" s="8">
        <v>2</v>
      </c>
      <c r="B39" s="16" t="s">
        <v>101</v>
      </c>
      <c r="C39" s="2" t="s">
        <v>612</v>
      </c>
      <c r="D39" s="8" t="s">
        <v>95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107</v>
      </c>
      <c r="C42" s="3"/>
      <c r="D42" s="22"/>
      <c r="E42" s="11"/>
    </row>
    <row r="43" spans="1:5" ht="20.100000000000001" customHeight="1">
      <c r="A43" s="8">
        <v>1</v>
      </c>
      <c r="B43" s="9" t="s">
        <v>108</v>
      </c>
      <c r="C43" s="2" t="s">
        <v>109</v>
      </c>
      <c r="D43" s="8" t="s">
        <v>100</v>
      </c>
      <c r="E43" s="11"/>
    </row>
    <row r="44" spans="1:5" ht="20.100000000000001" customHeight="1">
      <c r="A44" s="8">
        <v>2</v>
      </c>
      <c r="B44" s="9" t="s">
        <v>491</v>
      </c>
      <c r="C44" s="2" t="s">
        <v>44</v>
      </c>
      <c r="D44" s="8" t="s">
        <v>36</v>
      </c>
      <c r="E44" s="11"/>
    </row>
    <row r="45" spans="1:5" ht="20.100000000000001" customHeight="1">
      <c r="A45" s="8">
        <v>3</v>
      </c>
      <c r="B45" s="9" t="s">
        <v>110</v>
      </c>
      <c r="C45" s="2" t="s">
        <v>114</v>
      </c>
      <c r="D45" s="8" t="s">
        <v>36</v>
      </c>
      <c r="E45" s="11"/>
    </row>
    <row r="46" spans="1:5" ht="20.100000000000001" customHeight="1">
      <c r="A46" s="8">
        <v>4</v>
      </c>
      <c r="B46" s="9" t="s">
        <v>113</v>
      </c>
      <c r="C46" s="2" t="s">
        <v>114</v>
      </c>
      <c r="D46" s="8" t="s">
        <v>36</v>
      </c>
      <c r="E46" s="11"/>
    </row>
    <row r="47" spans="1:5" ht="20.100000000000001" customHeight="1">
      <c r="A47" s="8">
        <v>5</v>
      </c>
      <c r="B47" s="9" t="s">
        <v>115</v>
      </c>
      <c r="C47" s="2" t="s">
        <v>114</v>
      </c>
      <c r="D47" s="8" t="s">
        <v>133</v>
      </c>
      <c r="E47" s="11"/>
    </row>
    <row r="48" spans="1:5" ht="20.100000000000001" customHeight="1">
      <c r="A48" s="8">
        <v>6</v>
      </c>
      <c r="B48" s="9" t="s">
        <v>116</v>
      </c>
      <c r="C48" s="2" t="s">
        <v>46</v>
      </c>
      <c r="D48" s="8" t="s">
        <v>224</v>
      </c>
      <c r="E48" s="11"/>
    </row>
    <row r="49" spans="1:5" ht="20.100000000000001" customHeight="1">
      <c r="A49" s="8">
        <v>7</v>
      </c>
      <c r="B49" s="12" t="s">
        <v>117</v>
      </c>
      <c r="C49" s="2" t="s">
        <v>135</v>
      </c>
      <c r="D49" s="14" t="s">
        <v>224</v>
      </c>
      <c r="E49" s="11"/>
    </row>
    <row r="50" spans="1:5" ht="20.100000000000001" customHeight="1">
      <c r="A50" s="8">
        <v>8</v>
      </c>
      <c r="B50" s="9" t="s">
        <v>1091</v>
      </c>
      <c r="C50" s="2" t="s">
        <v>135</v>
      </c>
      <c r="D50" s="8" t="s">
        <v>150</v>
      </c>
      <c r="E50" s="11"/>
    </row>
    <row r="51" spans="1:5" ht="20.100000000000001" customHeight="1">
      <c r="A51" s="8">
        <v>9</v>
      </c>
      <c r="B51" s="9" t="s">
        <v>45</v>
      </c>
      <c r="C51" s="2" t="s">
        <v>458</v>
      </c>
      <c r="D51" s="8" t="s">
        <v>52</v>
      </c>
      <c r="E51" s="11"/>
    </row>
    <row r="52" spans="1:5" ht="20.100000000000001" customHeight="1">
      <c r="A52" s="8">
        <v>10</v>
      </c>
      <c r="B52" s="9" t="s">
        <v>120</v>
      </c>
      <c r="C52" s="2" t="s">
        <v>119</v>
      </c>
      <c r="D52" s="8" t="s">
        <v>83</v>
      </c>
      <c r="E52" s="11"/>
    </row>
    <row r="53" spans="1:5" ht="20.100000000000001" customHeight="1">
      <c r="A53" s="8">
        <v>11</v>
      </c>
      <c r="B53" s="9" t="s">
        <v>578</v>
      </c>
      <c r="C53" s="2" t="s">
        <v>119</v>
      </c>
      <c r="D53" s="8" t="s">
        <v>83</v>
      </c>
      <c r="E53" s="11"/>
    </row>
    <row r="54" spans="1:5" ht="20.100000000000001" customHeight="1">
      <c r="A54" s="8">
        <v>12</v>
      </c>
      <c r="B54" s="9" t="s">
        <v>121</v>
      </c>
      <c r="C54" s="2" t="s">
        <v>119</v>
      </c>
      <c r="D54" s="8" t="s">
        <v>83</v>
      </c>
      <c r="E54" s="11"/>
    </row>
    <row r="55" spans="1:5" ht="25.5" customHeight="1">
      <c r="A55" s="8"/>
      <c r="B55" s="18" t="s">
        <v>96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122</v>
      </c>
      <c r="C57" s="19"/>
      <c r="D57" s="19"/>
      <c r="E57" s="11"/>
    </row>
    <row r="58" spans="1:5" ht="20.100000000000001" customHeight="1">
      <c r="A58" s="8">
        <v>1</v>
      </c>
      <c r="B58" s="9" t="s">
        <v>501</v>
      </c>
      <c r="C58" s="10" t="s">
        <v>124</v>
      </c>
      <c r="D58" s="13" t="s">
        <v>100</v>
      </c>
      <c r="E58" s="11"/>
    </row>
    <row r="59" spans="1:5" ht="20.100000000000001" customHeight="1">
      <c r="A59" s="8">
        <v>2</v>
      </c>
      <c r="B59" s="9" t="s">
        <v>125</v>
      </c>
      <c r="C59" s="10" t="s">
        <v>126</v>
      </c>
      <c r="D59" s="13" t="s">
        <v>571</v>
      </c>
      <c r="E59" s="11"/>
    </row>
    <row r="60" spans="1:5" ht="20.100000000000001" customHeight="1">
      <c r="A60" s="8"/>
      <c r="B60" s="18" t="s">
        <v>96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128</v>
      </c>
      <c r="C62" s="19"/>
      <c r="D62" s="19"/>
      <c r="E62" s="11"/>
    </row>
    <row r="63" spans="1:5" ht="20.100000000000001" customHeight="1">
      <c r="A63" s="8">
        <v>1</v>
      </c>
      <c r="B63" s="9" t="s">
        <v>129</v>
      </c>
      <c r="C63" s="15" t="s">
        <v>130</v>
      </c>
      <c r="D63" s="8" t="s">
        <v>100</v>
      </c>
      <c r="E63" s="11"/>
    </row>
    <row r="64" spans="1:5" ht="20.100000000000001" customHeight="1">
      <c r="A64" s="8">
        <v>2</v>
      </c>
      <c r="B64" s="16" t="s">
        <v>131</v>
      </c>
      <c r="C64" s="15" t="s">
        <v>132</v>
      </c>
      <c r="D64" s="13" t="s">
        <v>1018</v>
      </c>
      <c r="E64" s="11"/>
    </row>
    <row r="65" spans="1:5" ht="20.100000000000001" customHeight="1">
      <c r="A65" s="8">
        <v>3</v>
      </c>
      <c r="B65" s="9" t="s">
        <v>134</v>
      </c>
      <c r="C65" s="2" t="s">
        <v>167</v>
      </c>
      <c r="D65" s="8" t="s">
        <v>52</v>
      </c>
      <c r="E65" s="11"/>
    </row>
    <row r="66" spans="1:5" ht="20.100000000000001" customHeight="1">
      <c r="A66" s="8">
        <v>4</v>
      </c>
      <c r="B66" s="16" t="s">
        <v>487</v>
      </c>
      <c r="C66" s="15" t="s">
        <v>167</v>
      </c>
      <c r="D66" s="13" t="s">
        <v>1016</v>
      </c>
      <c r="E66" s="11"/>
    </row>
    <row r="67" spans="1:5" ht="20.100000000000001" customHeight="1">
      <c r="A67" s="8">
        <v>5</v>
      </c>
      <c r="B67" s="12" t="s">
        <v>517</v>
      </c>
      <c r="C67" s="15" t="s">
        <v>135</v>
      </c>
      <c r="D67" s="13" t="s">
        <v>224</v>
      </c>
      <c r="E67" s="11"/>
    </row>
    <row r="68" spans="1:5" ht="20.100000000000001" customHeight="1">
      <c r="A68" s="8">
        <v>6</v>
      </c>
      <c r="B68" s="12" t="s">
        <v>43</v>
      </c>
      <c r="C68" s="15" t="s">
        <v>135</v>
      </c>
      <c r="D68" s="13" t="s">
        <v>150</v>
      </c>
      <c r="E68" s="11"/>
    </row>
    <row r="69" spans="1:5" ht="20.100000000000001" customHeight="1">
      <c r="A69" s="8">
        <v>7</v>
      </c>
      <c r="B69" s="9" t="s">
        <v>136</v>
      </c>
      <c r="C69" s="2" t="s">
        <v>119</v>
      </c>
      <c r="D69" s="8" t="s">
        <v>65</v>
      </c>
      <c r="E69" s="11"/>
    </row>
    <row r="70" spans="1:5" ht="20.100000000000001" customHeight="1">
      <c r="A70" s="8">
        <v>8</v>
      </c>
      <c r="B70" s="9" t="s">
        <v>138</v>
      </c>
      <c r="C70" s="15" t="s">
        <v>67</v>
      </c>
      <c r="D70" s="13" t="s">
        <v>65</v>
      </c>
      <c r="E70" s="11"/>
    </row>
    <row r="71" spans="1:5" ht="20.100000000000001" customHeight="1">
      <c r="A71" s="8">
        <v>9</v>
      </c>
      <c r="B71" s="9" t="s">
        <v>139</v>
      </c>
      <c r="C71" s="15" t="s">
        <v>67</v>
      </c>
      <c r="D71" s="13" t="s">
        <v>65</v>
      </c>
      <c r="E71" s="11"/>
    </row>
    <row r="72" spans="1:5" ht="20.100000000000001" customHeight="1">
      <c r="A72" s="8">
        <v>10</v>
      </c>
      <c r="B72" s="9" t="s">
        <v>140</v>
      </c>
      <c r="C72" s="2" t="s">
        <v>141</v>
      </c>
      <c r="D72" s="8" t="s">
        <v>137</v>
      </c>
      <c r="E72" s="11"/>
    </row>
    <row r="73" spans="1:5" ht="20.100000000000001" customHeight="1">
      <c r="A73" s="8">
        <v>11</v>
      </c>
      <c r="B73" s="9" t="s">
        <v>1181</v>
      </c>
      <c r="C73" s="15" t="s">
        <v>119</v>
      </c>
      <c r="D73" s="8" t="s">
        <v>104</v>
      </c>
      <c r="E73" s="11"/>
    </row>
    <row r="74" spans="1:5" ht="20.100000000000001" customHeight="1">
      <c r="A74" s="8">
        <v>12</v>
      </c>
      <c r="B74" s="9" t="s">
        <v>77</v>
      </c>
      <c r="C74" s="15" t="s">
        <v>64</v>
      </c>
      <c r="D74" s="8" t="s">
        <v>80</v>
      </c>
      <c r="E74" s="11"/>
    </row>
    <row r="75" spans="1:5" ht="20.100000000000001" customHeight="1">
      <c r="A75" s="8">
        <v>13</v>
      </c>
      <c r="B75" s="12" t="s">
        <v>63</v>
      </c>
      <c r="C75" s="15" t="s">
        <v>64</v>
      </c>
      <c r="D75" s="8" t="s">
        <v>92</v>
      </c>
      <c r="E75" s="11"/>
    </row>
    <row r="76" spans="1:5" ht="20.100000000000001" customHeight="1">
      <c r="A76" s="8"/>
      <c r="B76" s="18" t="s">
        <v>96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143</v>
      </c>
      <c r="C78" s="19"/>
      <c r="D78" s="19"/>
      <c r="E78" s="11"/>
    </row>
    <row r="79" spans="1:5" ht="20.100000000000001" customHeight="1">
      <c r="A79" s="8">
        <v>1</v>
      </c>
      <c r="B79" s="9" t="s">
        <v>144</v>
      </c>
      <c r="C79" s="2" t="s">
        <v>145</v>
      </c>
      <c r="D79" s="8" t="s">
        <v>100</v>
      </c>
      <c r="E79" s="11"/>
    </row>
    <row r="80" spans="1:5" ht="20.100000000000001" customHeight="1">
      <c r="A80" s="8">
        <v>2</v>
      </c>
      <c r="B80" s="12" t="s">
        <v>518</v>
      </c>
      <c r="C80" s="2" t="s">
        <v>570</v>
      </c>
      <c r="D80" s="13" t="s">
        <v>1018</v>
      </c>
      <c r="E80" s="11"/>
    </row>
    <row r="81" spans="1:5" ht="20.100000000000001" customHeight="1">
      <c r="A81" s="8">
        <v>3</v>
      </c>
      <c r="B81" s="12" t="s">
        <v>1182</v>
      </c>
      <c r="C81" s="2" t="s">
        <v>1183</v>
      </c>
      <c r="D81" s="13" t="s">
        <v>1018</v>
      </c>
      <c r="E81" s="11"/>
    </row>
    <row r="82" spans="1:5" ht="20.100000000000001" customHeight="1">
      <c r="A82" s="8">
        <v>4</v>
      </c>
      <c r="B82" s="9" t="s">
        <v>148</v>
      </c>
      <c r="C82" s="2" t="s">
        <v>1034</v>
      </c>
      <c r="D82" s="13" t="s">
        <v>52</v>
      </c>
      <c r="E82" s="11"/>
    </row>
    <row r="83" spans="1:5" ht="20.100000000000001" customHeight="1">
      <c r="A83" s="8">
        <v>5</v>
      </c>
      <c r="B83" s="9" t="s">
        <v>151</v>
      </c>
      <c r="C83" s="2" t="s">
        <v>154</v>
      </c>
      <c r="D83" s="8" t="s">
        <v>104</v>
      </c>
      <c r="E83" s="11"/>
    </row>
    <row r="84" spans="1:5" ht="20.100000000000001" customHeight="1">
      <c r="A84" s="8"/>
      <c r="B84" s="18" t="s">
        <v>96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157</v>
      </c>
      <c r="C86" s="23"/>
      <c r="D86" s="19"/>
      <c r="E86" s="11"/>
    </row>
    <row r="87" spans="1:5" ht="20.100000000000001" customHeight="1">
      <c r="A87" s="8">
        <v>1</v>
      </c>
      <c r="B87" s="9" t="s">
        <v>158</v>
      </c>
      <c r="C87" s="2" t="s">
        <v>114</v>
      </c>
      <c r="D87" s="8" t="s">
        <v>36</v>
      </c>
      <c r="E87" s="11"/>
    </row>
    <row r="88" spans="1:5" ht="20.100000000000001" customHeight="1">
      <c r="A88" s="8">
        <v>2</v>
      </c>
      <c r="B88" s="9" t="s">
        <v>159</v>
      </c>
      <c r="C88" s="2" t="s">
        <v>114</v>
      </c>
      <c r="D88" s="8" t="s">
        <v>36</v>
      </c>
      <c r="E88" s="11"/>
    </row>
    <row r="89" spans="1:5" ht="20.100000000000001" customHeight="1">
      <c r="A89" s="8">
        <v>3</v>
      </c>
      <c r="B89" s="12" t="s">
        <v>203</v>
      </c>
      <c r="C89" s="2" t="s">
        <v>135</v>
      </c>
      <c r="D89" s="8" t="s">
        <v>42</v>
      </c>
      <c r="E89" s="11"/>
    </row>
    <row r="90" spans="1:5" ht="20.100000000000001" customHeight="1">
      <c r="A90" s="8">
        <v>4</v>
      </c>
      <c r="B90" s="9" t="s">
        <v>160</v>
      </c>
      <c r="C90" s="2" t="s">
        <v>46</v>
      </c>
      <c r="D90" s="8" t="s">
        <v>224</v>
      </c>
      <c r="E90" s="11"/>
    </row>
    <row r="91" spans="1:5" ht="21.6" customHeight="1">
      <c r="A91" s="8">
        <v>5</v>
      </c>
      <c r="B91" s="9" t="s">
        <v>161</v>
      </c>
      <c r="C91" s="2" t="s">
        <v>458</v>
      </c>
      <c r="D91" s="13" t="s">
        <v>52</v>
      </c>
      <c r="E91" s="11"/>
    </row>
    <row r="92" spans="1:5" ht="21.6" customHeight="1">
      <c r="A92" s="8">
        <v>6</v>
      </c>
      <c r="B92" s="9" t="s">
        <v>162</v>
      </c>
      <c r="C92" s="10" t="s">
        <v>167</v>
      </c>
      <c r="D92" s="13" t="s">
        <v>1016</v>
      </c>
      <c r="E92" s="11"/>
    </row>
    <row r="93" spans="1:5" ht="21.6" customHeight="1">
      <c r="A93" s="8">
        <v>7</v>
      </c>
      <c r="B93" s="9" t="s">
        <v>163</v>
      </c>
      <c r="C93" s="10" t="s">
        <v>167</v>
      </c>
      <c r="D93" s="13" t="s">
        <v>1016</v>
      </c>
      <c r="E93" s="11"/>
    </row>
    <row r="94" spans="1:5" ht="21.6" customHeight="1">
      <c r="A94" s="8">
        <v>8</v>
      </c>
      <c r="B94" s="9" t="s">
        <v>165</v>
      </c>
      <c r="C94" s="15" t="s">
        <v>67</v>
      </c>
      <c r="D94" s="13" t="s">
        <v>65</v>
      </c>
      <c r="E94" s="11"/>
    </row>
    <row r="95" spans="1:5" ht="21.6" customHeight="1">
      <c r="A95" s="8">
        <v>9</v>
      </c>
      <c r="B95" s="9" t="s">
        <v>169</v>
      </c>
      <c r="C95" s="2" t="s">
        <v>170</v>
      </c>
      <c r="D95" s="8" t="s">
        <v>70</v>
      </c>
      <c r="E95" s="11"/>
    </row>
    <row r="96" spans="1:5" ht="21.6" customHeight="1">
      <c r="A96" s="8">
        <v>10</v>
      </c>
      <c r="B96" s="9" t="s">
        <v>171</v>
      </c>
      <c r="C96" s="15" t="s">
        <v>172</v>
      </c>
      <c r="D96" s="13" t="s">
        <v>92</v>
      </c>
      <c r="E96" s="11"/>
    </row>
    <row r="97" spans="1:5" ht="20.100000000000001" customHeight="1">
      <c r="A97" s="8"/>
      <c r="B97" s="18" t="s">
        <v>96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174</v>
      </c>
      <c r="C99" s="19"/>
      <c r="D99" s="19"/>
      <c r="E99" s="11"/>
    </row>
    <row r="100" spans="1:5" ht="20.100000000000001" customHeight="1">
      <c r="A100" s="8">
        <v>1</v>
      </c>
      <c r="B100" s="16" t="s">
        <v>574</v>
      </c>
      <c r="C100" s="8" t="s">
        <v>575</v>
      </c>
      <c r="D100" s="13" t="s">
        <v>112</v>
      </c>
      <c r="E100" s="11"/>
    </row>
    <row r="101" spans="1:5" ht="20.100000000000001" customHeight="1">
      <c r="A101" s="8">
        <v>2</v>
      </c>
      <c r="B101" s="9" t="s">
        <v>37</v>
      </c>
      <c r="C101" s="2" t="s">
        <v>179</v>
      </c>
      <c r="D101" s="8" t="s">
        <v>224</v>
      </c>
      <c r="E101" s="11"/>
    </row>
    <row r="102" spans="1:5" ht="20.100000000000001" customHeight="1">
      <c r="A102" s="8">
        <v>3</v>
      </c>
      <c r="B102" s="9" t="s">
        <v>182</v>
      </c>
      <c r="C102" s="2" t="s">
        <v>183</v>
      </c>
      <c r="D102" s="13" t="s">
        <v>137</v>
      </c>
      <c r="E102" s="11"/>
    </row>
    <row r="103" spans="1:5" ht="20.100000000000001" customHeight="1">
      <c r="A103" s="8">
        <v>4</v>
      </c>
      <c r="B103" s="9" t="s">
        <v>184</v>
      </c>
      <c r="C103" s="2" t="s">
        <v>1035</v>
      </c>
      <c r="D103" s="13" t="s">
        <v>1011</v>
      </c>
      <c r="E103" s="11"/>
    </row>
    <row r="104" spans="1:5" ht="20.100000000000001" customHeight="1">
      <c r="A104" s="2"/>
      <c r="B104" s="18" t="s">
        <v>96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186</v>
      </c>
      <c r="C106" s="2"/>
      <c r="D106" s="2"/>
      <c r="E106" s="11"/>
    </row>
    <row r="107" spans="1:5" ht="20.100000000000001" customHeight="1">
      <c r="A107" s="2">
        <v>1</v>
      </c>
      <c r="B107" s="9" t="s">
        <v>187</v>
      </c>
      <c r="C107" s="10" t="s">
        <v>188</v>
      </c>
      <c r="D107" s="13" t="s">
        <v>100</v>
      </c>
      <c r="E107" s="11"/>
    </row>
    <row r="108" spans="1:5" ht="20.100000000000001" customHeight="1">
      <c r="A108" s="2">
        <v>2</v>
      </c>
      <c r="B108" s="9" t="s">
        <v>189</v>
      </c>
      <c r="C108" s="2" t="s">
        <v>190</v>
      </c>
      <c r="D108" s="14" t="s">
        <v>112</v>
      </c>
      <c r="E108" s="11"/>
    </row>
    <row r="109" spans="1:5" ht="20.100000000000001" customHeight="1">
      <c r="A109" s="2">
        <v>3</v>
      </c>
      <c r="B109" s="9" t="s">
        <v>192</v>
      </c>
      <c r="C109" s="2" t="s">
        <v>193</v>
      </c>
      <c r="D109" s="8" t="s">
        <v>194</v>
      </c>
      <c r="E109" s="11"/>
    </row>
    <row r="110" spans="1:5" ht="20.100000000000001" customHeight="1">
      <c r="A110" s="2">
        <v>4</v>
      </c>
      <c r="B110" s="9" t="s">
        <v>195</v>
      </c>
      <c r="C110" s="2" t="s">
        <v>193</v>
      </c>
      <c r="D110" s="8" t="s">
        <v>194</v>
      </c>
      <c r="E110" s="11"/>
    </row>
    <row r="111" spans="1:5" ht="20.100000000000001" customHeight="1">
      <c r="A111" s="2">
        <v>5</v>
      </c>
      <c r="B111" s="9" t="s">
        <v>196</v>
      </c>
      <c r="C111" s="2" t="s">
        <v>197</v>
      </c>
      <c r="D111" s="13" t="s">
        <v>200</v>
      </c>
      <c r="E111" s="11"/>
    </row>
    <row r="112" spans="1:5" ht="20.100000000000001" customHeight="1">
      <c r="A112" s="2">
        <v>6</v>
      </c>
      <c r="B112" s="16" t="s">
        <v>199</v>
      </c>
      <c r="C112" s="2" t="s">
        <v>197</v>
      </c>
      <c r="D112" s="8" t="s">
        <v>1011</v>
      </c>
      <c r="E112" s="11"/>
    </row>
    <row r="113" spans="1:5" ht="20.100000000000001" customHeight="1">
      <c r="A113" s="2">
        <v>7</v>
      </c>
      <c r="B113" s="16" t="s">
        <v>201</v>
      </c>
      <c r="C113" s="2" t="s">
        <v>197</v>
      </c>
      <c r="D113" s="13" t="s">
        <v>92</v>
      </c>
      <c r="E113" s="11"/>
    </row>
    <row r="114" spans="1:5" ht="25.5" customHeight="1">
      <c r="A114" s="2"/>
      <c r="B114" s="18" t="s">
        <v>96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202</v>
      </c>
      <c r="C116" s="19"/>
      <c r="D116" s="19"/>
      <c r="E116" s="11"/>
    </row>
    <row r="117" spans="1:5" ht="20.100000000000001" customHeight="1">
      <c r="A117" s="8">
        <v>1</v>
      </c>
      <c r="B117" s="9" t="s">
        <v>1099</v>
      </c>
      <c r="C117" s="15" t="s">
        <v>67</v>
      </c>
      <c r="D117" s="13" t="s">
        <v>62</v>
      </c>
      <c r="E117" s="11"/>
    </row>
    <row r="118" spans="1:5" ht="18.75" customHeight="1">
      <c r="A118" s="8">
        <v>2</v>
      </c>
      <c r="B118" s="9" t="s">
        <v>204</v>
      </c>
      <c r="C118" s="2" t="s">
        <v>205</v>
      </c>
      <c r="D118" s="13" t="s">
        <v>137</v>
      </c>
      <c r="E118" s="11"/>
    </row>
    <row r="119" spans="1:5" ht="24.75" customHeight="1">
      <c r="A119" s="2"/>
      <c r="B119" s="18" t="s">
        <v>96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215</v>
      </c>
      <c r="C121" s="19"/>
      <c r="D121" s="19"/>
      <c r="E121" s="11"/>
    </row>
    <row r="122" spans="1:5" ht="20.100000000000001" customHeight="1">
      <c r="A122" s="2">
        <v>1</v>
      </c>
      <c r="B122" s="9" t="s">
        <v>216</v>
      </c>
      <c r="C122" s="10" t="s">
        <v>217</v>
      </c>
      <c r="D122" s="13" t="s">
        <v>100</v>
      </c>
      <c r="E122" s="11"/>
    </row>
    <row r="123" spans="1:5" ht="20.100000000000001" customHeight="1">
      <c r="A123" s="2">
        <v>2</v>
      </c>
      <c r="B123" s="9" t="s">
        <v>1204</v>
      </c>
      <c r="C123" s="10" t="s">
        <v>1205</v>
      </c>
      <c r="D123" s="13" t="s">
        <v>191</v>
      </c>
      <c r="E123" s="11"/>
    </row>
    <row r="124" spans="1:5" ht="20.100000000000001" customHeight="1">
      <c r="A124" s="2">
        <v>3</v>
      </c>
      <c r="B124" s="9" t="s">
        <v>218</v>
      </c>
      <c r="C124" s="10" t="s">
        <v>221</v>
      </c>
      <c r="D124" s="13" t="s">
        <v>36</v>
      </c>
      <c r="E124" s="11"/>
    </row>
    <row r="125" spans="1:5" ht="20.100000000000001" customHeight="1">
      <c r="A125" s="2">
        <v>4</v>
      </c>
      <c r="B125" s="12" t="s">
        <v>220</v>
      </c>
      <c r="C125" s="10" t="s">
        <v>221</v>
      </c>
      <c r="D125" s="13" t="s">
        <v>36</v>
      </c>
      <c r="E125" s="11"/>
    </row>
    <row r="126" spans="1:5" ht="20.100000000000001" customHeight="1">
      <c r="A126" s="2">
        <v>5</v>
      </c>
      <c r="B126" s="12" t="s">
        <v>521</v>
      </c>
      <c r="C126" s="10" t="s">
        <v>221</v>
      </c>
      <c r="D126" s="13" t="s">
        <v>39</v>
      </c>
      <c r="E126" s="11"/>
    </row>
    <row r="127" spans="1:5" ht="20.100000000000001" customHeight="1">
      <c r="A127" s="2">
        <v>6</v>
      </c>
      <c r="B127" s="9" t="s">
        <v>222</v>
      </c>
      <c r="C127" s="10" t="s">
        <v>223</v>
      </c>
      <c r="D127" s="13" t="s">
        <v>150</v>
      </c>
      <c r="E127" s="11"/>
    </row>
    <row r="128" spans="1:5" ht="20.100000000000001" customHeight="1">
      <c r="A128" s="2">
        <v>7</v>
      </c>
      <c r="B128" s="9" t="s">
        <v>225</v>
      </c>
      <c r="C128" s="10" t="s">
        <v>226</v>
      </c>
      <c r="D128" s="13" t="s">
        <v>52</v>
      </c>
      <c r="E128" s="11"/>
    </row>
    <row r="129" spans="1:5" ht="20.100000000000001" customHeight="1">
      <c r="A129" s="2">
        <v>8</v>
      </c>
      <c r="B129" s="9" t="s">
        <v>227</v>
      </c>
      <c r="C129" s="10" t="s">
        <v>1036</v>
      </c>
      <c r="D129" s="13" t="s">
        <v>52</v>
      </c>
      <c r="E129" s="11"/>
    </row>
    <row r="130" spans="1:5" ht="20.100000000000001" customHeight="1">
      <c r="A130" s="2">
        <v>9</v>
      </c>
      <c r="B130" s="9" t="s">
        <v>228</v>
      </c>
      <c r="C130" s="10" t="s">
        <v>229</v>
      </c>
      <c r="D130" s="8" t="s">
        <v>80</v>
      </c>
      <c r="E130" s="11"/>
    </row>
    <row r="131" spans="1:5" ht="20.100000000000001" customHeight="1">
      <c r="A131" s="2">
        <v>10</v>
      </c>
      <c r="B131" s="16" t="s">
        <v>230</v>
      </c>
      <c r="C131" s="10" t="s">
        <v>231</v>
      </c>
      <c r="D131" s="13" t="s">
        <v>95</v>
      </c>
      <c r="E131" s="11"/>
    </row>
    <row r="132" spans="1:5" ht="20.100000000000001" customHeight="1">
      <c r="A132" s="2"/>
      <c r="B132" s="18" t="s">
        <v>96</v>
      </c>
      <c r="C132" s="24" t="s">
        <v>235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236</v>
      </c>
      <c r="C134" s="10"/>
      <c r="D134" s="13"/>
      <c r="E134" s="11"/>
    </row>
    <row r="135" spans="1:5" ht="20.100000000000001" customHeight="1">
      <c r="A135" s="25">
        <v>1</v>
      </c>
      <c r="B135" s="9" t="s">
        <v>237</v>
      </c>
      <c r="C135" s="10" t="s">
        <v>238</v>
      </c>
      <c r="D135" s="13" t="s">
        <v>100</v>
      </c>
      <c r="E135" s="11"/>
    </row>
    <row r="136" spans="1:5" ht="20.100000000000001" customHeight="1">
      <c r="A136" s="25">
        <v>2</v>
      </c>
      <c r="B136" s="9" t="s">
        <v>522</v>
      </c>
      <c r="C136" s="10" t="s">
        <v>573</v>
      </c>
      <c r="D136" s="13" t="s">
        <v>191</v>
      </c>
      <c r="E136" s="11"/>
    </row>
    <row r="137" spans="1:5" ht="20.100000000000001" customHeight="1">
      <c r="A137" s="25">
        <v>3</v>
      </c>
      <c r="B137" s="12" t="s">
        <v>239</v>
      </c>
      <c r="C137" s="2" t="s">
        <v>240</v>
      </c>
      <c r="D137" s="14" t="s">
        <v>112</v>
      </c>
      <c r="E137" s="11"/>
    </row>
    <row r="138" spans="1:5" ht="20.100000000000001" customHeight="1">
      <c r="A138" s="25">
        <v>4</v>
      </c>
      <c r="B138" s="9" t="s">
        <v>241</v>
      </c>
      <c r="C138" s="10" t="s">
        <v>580</v>
      </c>
      <c r="D138" s="13" t="s">
        <v>224</v>
      </c>
      <c r="E138" s="11"/>
    </row>
    <row r="139" spans="1:5" ht="20.100000000000001" customHeight="1">
      <c r="A139" s="25">
        <v>5</v>
      </c>
      <c r="B139" s="9" t="s">
        <v>243</v>
      </c>
      <c r="C139" s="2" t="s">
        <v>581</v>
      </c>
      <c r="D139" s="13" t="s">
        <v>224</v>
      </c>
      <c r="E139" s="11"/>
    </row>
    <row r="140" spans="1:5" ht="20.100000000000001" customHeight="1">
      <c r="A140" s="25">
        <v>6</v>
      </c>
      <c r="B140" s="9" t="s">
        <v>178</v>
      </c>
      <c r="C140" s="2" t="s">
        <v>583</v>
      </c>
      <c r="D140" s="13" t="s">
        <v>52</v>
      </c>
      <c r="E140" s="11"/>
    </row>
    <row r="141" spans="1:5" ht="20.100000000000001" customHeight="1">
      <c r="A141" s="25">
        <v>7</v>
      </c>
      <c r="B141" s="9" t="s">
        <v>180</v>
      </c>
      <c r="C141" s="10" t="s">
        <v>582</v>
      </c>
      <c r="D141" s="13" t="s">
        <v>62</v>
      </c>
      <c r="E141" s="11"/>
    </row>
    <row r="142" spans="1:5" ht="20.100000000000001" customHeight="1">
      <c r="A142" s="25">
        <v>8</v>
      </c>
      <c r="B142" s="9" t="s">
        <v>246</v>
      </c>
      <c r="C142" s="10" t="s">
        <v>582</v>
      </c>
      <c r="D142" s="13" t="s">
        <v>62</v>
      </c>
      <c r="E142" s="11"/>
    </row>
    <row r="143" spans="1:5" ht="20.100000000000001" customHeight="1">
      <c r="A143" s="25">
        <v>9</v>
      </c>
      <c r="B143" s="9" t="s">
        <v>247</v>
      </c>
      <c r="C143" s="2" t="s">
        <v>583</v>
      </c>
      <c r="D143" s="13" t="s">
        <v>62</v>
      </c>
      <c r="E143" s="11"/>
    </row>
    <row r="144" spans="1:5" ht="20.100000000000001" customHeight="1">
      <c r="A144" s="25">
        <v>10</v>
      </c>
      <c r="B144" s="9" t="s">
        <v>249</v>
      </c>
      <c r="C144" s="10" t="s">
        <v>250</v>
      </c>
      <c r="D144" s="13" t="s">
        <v>137</v>
      </c>
      <c r="E144" s="11"/>
    </row>
    <row r="145" spans="1:5" ht="20.100000000000001" customHeight="1">
      <c r="A145" s="25">
        <v>11</v>
      </c>
      <c r="B145" s="9" t="s">
        <v>251</v>
      </c>
      <c r="C145" s="10" t="s">
        <v>1038</v>
      </c>
      <c r="D145" s="13" t="s">
        <v>585</v>
      </c>
      <c r="E145" s="11"/>
    </row>
    <row r="146" spans="1:5" ht="20.100000000000001" customHeight="1">
      <c r="A146" s="25">
        <v>12</v>
      </c>
      <c r="B146" s="9" t="s">
        <v>253</v>
      </c>
      <c r="C146" s="10" t="s">
        <v>254</v>
      </c>
      <c r="D146" s="13" t="s">
        <v>62</v>
      </c>
      <c r="E146" s="11"/>
    </row>
    <row r="147" spans="1:5" ht="20.100000000000001" customHeight="1">
      <c r="A147" s="25">
        <v>13</v>
      </c>
      <c r="B147" s="16" t="s">
        <v>256</v>
      </c>
      <c r="C147" s="2" t="s">
        <v>264</v>
      </c>
      <c r="D147" s="13" t="s">
        <v>585</v>
      </c>
      <c r="E147" s="11"/>
    </row>
    <row r="148" spans="1:5" ht="20.100000000000001" customHeight="1">
      <c r="A148" s="25">
        <v>14</v>
      </c>
      <c r="B148" s="9" t="s">
        <v>258</v>
      </c>
      <c r="C148" s="2" t="s">
        <v>584</v>
      </c>
      <c r="D148" s="13" t="s">
        <v>104</v>
      </c>
      <c r="E148" s="11"/>
    </row>
    <row r="149" spans="1:5" ht="20.100000000000001" customHeight="1">
      <c r="A149" s="25">
        <v>15</v>
      </c>
      <c r="B149" s="9" t="s">
        <v>259</v>
      </c>
      <c r="C149" s="2" t="s">
        <v>584</v>
      </c>
      <c r="D149" s="13" t="s">
        <v>267</v>
      </c>
      <c r="E149" s="11"/>
    </row>
    <row r="150" spans="1:5" ht="20.100000000000001" customHeight="1">
      <c r="A150" s="25">
        <v>16</v>
      </c>
      <c r="B150" s="9" t="s">
        <v>260</v>
      </c>
      <c r="C150" s="2" t="s">
        <v>584</v>
      </c>
      <c r="D150" s="13" t="s">
        <v>267</v>
      </c>
      <c r="E150" s="11"/>
    </row>
    <row r="151" spans="1:5" ht="20.100000000000001" customHeight="1">
      <c r="A151" s="25">
        <v>17</v>
      </c>
      <c r="B151" s="9" t="s">
        <v>261</v>
      </c>
      <c r="C151" s="10" t="s">
        <v>262</v>
      </c>
      <c r="D151" s="13" t="s">
        <v>70</v>
      </c>
      <c r="E151" s="11"/>
    </row>
    <row r="152" spans="1:5" ht="20.100000000000001" customHeight="1">
      <c r="A152" s="25">
        <v>18</v>
      </c>
      <c r="B152" s="9" t="s">
        <v>1019</v>
      </c>
      <c r="C152" s="10" t="s">
        <v>264</v>
      </c>
      <c r="D152" s="8" t="s">
        <v>83</v>
      </c>
      <c r="E152" s="11"/>
    </row>
    <row r="153" spans="1:5" ht="20.100000000000001" customHeight="1">
      <c r="A153" s="25">
        <v>19</v>
      </c>
      <c r="B153" s="9" t="s">
        <v>265</v>
      </c>
      <c r="C153" s="10" t="s">
        <v>266</v>
      </c>
      <c r="D153" s="13" t="s">
        <v>104</v>
      </c>
      <c r="E153" s="11"/>
    </row>
    <row r="154" spans="1:5" ht="20.100000000000001" customHeight="1">
      <c r="A154" s="25">
        <v>20</v>
      </c>
      <c r="B154" s="9" t="s">
        <v>268</v>
      </c>
      <c r="C154" s="10" t="s">
        <v>269</v>
      </c>
      <c r="D154" s="13" t="s">
        <v>80</v>
      </c>
      <c r="E154" s="11"/>
    </row>
    <row r="155" spans="1:5" ht="20.100000000000001" customHeight="1">
      <c r="A155" s="25">
        <v>21</v>
      </c>
      <c r="B155" s="9" t="s">
        <v>270</v>
      </c>
      <c r="C155" s="10" t="s">
        <v>271</v>
      </c>
      <c r="D155" s="13" t="s">
        <v>104</v>
      </c>
      <c r="E155" s="11"/>
    </row>
    <row r="156" spans="1:5" ht="20.100000000000001" customHeight="1">
      <c r="A156" s="25">
        <v>22</v>
      </c>
      <c r="B156" s="9" t="s">
        <v>272</v>
      </c>
      <c r="C156" s="10" t="s">
        <v>273</v>
      </c>
      <c r="D156" s="13" t="s">
        <v>80</v>
      </c>
      <c r="E156" s="11"/>
    </row>
    <row r="157" spans="1:5" ht="20.100000000000001" customHeight="1">
      <c r="A157" s="25">
        <v>23</v>
      </c>
      <c r="B157" s="16" t="s">
        <v>274</v>
      </c>
      <c r="C157" s="10" t="s">
        <v>280</v>
      </c>
      <c r="D157" s="13" t="s">
        <v>1011</v>
      </c>
      <c r="E157" s="11"/>
    </row>
    <row r="158" spans="1:5" ht="20.100000000000001" customHeight="1">
      <c r="A158" s="25">
        <v>24</v>
      </c>
      <c r="B158" s="16" t="s">
        <v>277</v>
      </c>
      <c r="C158" s="10" t="s">
        <v>278</v>
      </c>
      <c r="D158" s="13" t="s">
        <v>95</v>
      </c>
      <c r="E158" s="11"/>
    </row>
    <row r="159" spans="1:5" ht="20.100000000000001" customHeight="1">
      <c r="A159" s="25">
        <v>25</v>
      </c>
      <c r="B159" s="16" t="s">
        <v>279</v>
      </c>
      <c r="C159" s="10" t="s">
        <v>280</v>
      </c>
      <c r="D159" s="13" t="s">
        <v>95</v>
      </c>
      <c r="E159" s="11"/>
    </row>
    <row r="160" spans="1:5" ht="20.100000000000001" customHeight="1">
      <c r="A160" s="25">
        <v>26</v>
      </c>
      <c r="B160" s="16" t="s">
        <v>281</v>
      </c>
      <c r="C160" s="10" t="s">
        <v>282</v>
      </c>
      <c r="D160" s="13" t="s">
        <v>92</v>
      </c>
      <c r="E160" s="11"/>
    </row>
    <row r="161" spans="1:5" ht="20.100000000000001" customHeight="1">
      <c r="A161" s="25">
        <v>27</v>
      </c>
      <c r="B161" s="16" t="s">
        <v>283</v>
      </c>
      <c r="C161" s="10" t="s">
        <v>284</v>
      </c>
      <c r="D161" s="13" t="s">
        <v>92</v>
      </c>
      <c r="E161" s="11"/>
    </row>
    <row r="162" spans="1:5" ht="20.100000000000001" customHeight="1">
      <c r="A162" s="25">
        <v>28</v>
      </c>
      <c r="B162" s="9" t="s">
        <v>289</v>
      </c>
      <c r="C162" s="10" t="s">
        <v>290</v>
      </c>
      <c r="D162" s="13" t="s">
        <v>297</v>
      </c>
      <c r="E162" s="11"/>
    </row>
    <row r="163" spans="1:5" ht="20.100000000000001" customHeight="1">
      <c r="A163" s="25">
        <v>29</v>
      </c>
      <c r="B163" s="9" t="s">
        <v>292</v>
      </c>
      <c r="C163" s="10" t="s">
        <v>290</v>
      </c>
      <c r="D163" s="13" t="s">
        <v>297</v>
      </c>
      <c r="E163" s="11"/>
    </row>
    <row r="164" spans="1:5" ht="20.100000000000001" customHeight="1">
      <c r="A164" s="25">
        <v>30</v>
      </c>
      <c r="B164" s="9" t="s">
        <v>293</v>
      </c>
      <c r="C164" s="10" t="s">
        <v>290</v>
      </c>
      <c r="D164" s="13" t="s">
        <v>297</v>
      </c>
      <c r="E164" s="11"/>
    </row>
    <row r="165" spans="1:5" ht="20.100000000000001" customHeight="1">
      <c r="A165" s="25">
        <v>31</v>
      </c>
      <c r="B165" s="9" t="s">
        <v>294</v>
      </c>
      <c r="C165" s="10" t="s">
        <v>290</v>
      </c>
      <c r="D165" s="13" t="s">
        <v>297</v>
      </c>
      <c r="E165" s="11"/>
    </row>
    <row r="166" spans="1:5" ht="20.100000000000001" customHeight="1">
      <c r="A166" s="25">
        <v>32</v>
      </c>
      <c r="B166" s="9" t="s">
        <v>295</v>
      </c>
      <c r="C166" s="10" t="s">
        <v>290</v>
      </c>
      <c r="D166" s="13" t="s">
        <v>297</v>
      </c>
      <c r="E166" s="11"/>
    </row>
    <row r="167" spans="1:5" ht="20.100000000000001" customHeight="1">
      <c r="A167" s="25">
        <v>33</v>
      </c>
      <c r="B167" s="9" t="s">
        <v>296</v>
      </c>
      <c r="C167" s="10" t="s">
        <v>290</v>
      </c>
      <c r="D167" s="13" t="s">
        <v>308</v>
      </c>
      <c r="E167" s="11"/>
    </row>
    <row r="168" spans="1:5" ht="20.100000000000001" customHeight="1">
      <c r="A168" s="25">
        <v>34</v>
      </c>
      <c r="B168" s="9" t="s">
        <v>298</v>
      </c>
      <c r="C168" s="10" t="s">
        <v>290</v>
      </c>
      <c r="D168" s="13" t="s">
        <v>308</v>
      </c>
      <c r="E168" s="11"/>
    </row>
    <row r="169" spans="1:5" ht="20.100000000000001" customHeight="1">
      <c r="A169" s="25">
        <v>35</v>
      </c>
      <c r="B169" s="9" t="s">
        <v>1187</v>
      </c>
      <c r="C169" s="10" t="s">
        <v>290</v>
      </c>
      <c r="D169" s="13" t="s">
        <v>308</v>
      </c>
      <c r="E169" s="11"/>
    </row>
    <row r="170" spans="1:5" ht="20.100000000000001" customHeight="1">
      <c r="A170" s="25">
        <v>36</v>
      </c>
      <c r="B170" s="12" t="s">
        <v>299</v>
      </c>
      <c r="C170" s="10" t="s">
        <v>290</v>
      </c>
      <c r="D170" s="13" t="s">
        <v>308</v>
      </c>
      <c r="E170" s="11"/>
    </row>
    <row r="171" spans="1:5" ht="20.100000000000001" customHeight="1">
      <c r="A171" s="25">
        <v>37</v>
      </c>
      <c r="B171" s="9" t="s">
        <v>300</v>
      </c>
      <c r="C171" s="10" t="s">
        <v>290</v>
      </c>
      <c r="D171" s="13" t="s">
        <v>308</v>
      </c>
      <c r="E171" s="11"/>
    </row>
    <row r="172" spans="1:5" ht="20.100000000000001" customHeight="1">
      <c r="A172" s="25">
        <v>38</v>
      </c>
      <c r="B172" s="16" t="s">
        <v>301</v>
      </c>
      <c r="C172" s="10" t="s">
        <v>290</v>
      </c>
      <c r="D172" s="13" t="s">
        <v>308</v>
      </c>
      <c r="E172" s="11"/>
    </row>
    <row r="173" spans="1:5" ht="20.100000000000001" customHeight="1">
      <c r="A173" s="25">
        <v>39</v>
      </c>
      <c r="B173" s="16" t="s">
        <v>302</v>
      </c>
      <c r="C173" s="10" t="s">
        <v>290</v>
      </c>
      <c r="D173" s="13" t="s">
        <v>308</v>
      </c>
      <c r="E173" s="11"/>
    </row>
    <row r="174" spans="1:5" ht="20.100000000000001" customHeight="1">
      <c r="A174" s="25">
        <v>40</v>
      </c>
      <c r="B174" s="9" t="s">
        <v>303</v>
      </c>
      <c r="C174" s="10" t="s">
        <v>310</v>
      </c>
      <c r="D174" s="13" t="s">
        <v>311</v>
      </c>
      <c r="E174" s="11"/>
    </row>
    <row r="175" spans="1:5" ht="20.100000000000001" customHeight="1">
      <c r="A175" s="25">
        <v>41</v>
      </c>
      <c r="B175" s="9" t="s">
        <v>306</v>
      </c>
      <c r="C175" s="10" t="s">
        <v>310</v>
      </c>
      <c r="D175" s="13" t="s">
        <v>311</v>
      </c>
      <c r="E175" s="11"/>
    </row>
    <row r="176" spans="1:5" ht="20.100000000000001" customHeight="1">
      <c r="A176" s="25">
        <v>42</v>
      </c>
      <c r="B176" s="16" t="s">
        <v>307</v>
      </c>
      <c r="C176" s="10" t="s">
        <v>310</v>
      </c>
      <c r="D176" s="13" t="s">
        <v>1014</v>
      </c>
      <c r="E176" s="11"/>
    </row>
    <row r="177" spans="1:5" ht="20.100000000000001" customHeight="1">
      <c r="A177" s="25">
        <v>43</v>
      </c>
      <c r="B177" s="9" t="s">
        <v>309</v>
      </c>
      <c r="C177" s="10" t="s">
        <v>310</v>
      </c>
      <c r="D177" s="13" t="s">
        <v>1020</v>
      </c>
      <c r="E177" s="11"/>
    </row>
    <row r="178" spans="1:5" ht="20.100000000000001" customHeight="1">
      <c r="A178" s="25">
        <v>44</v>
      </c>
      <c r="B178" s="9" t="s">
        <v>312</v>
      </c>
      <c r="C178" s="10" t="s">
        <v>313</v>
      </c>
      <c r="D178" s="13" t="s">
        <v>1021</v>
      </c>
      <c r="E178" s="11"/>
    </row>
    <row r="179" spans="1:5" ht="20.100000000000001" customHeight="1">
      <c r="A179" s="25">
        <v>45</v>
      </c>
      <c r="B179" s="9" t="s">
        <v>315</v>
      </c>
      <c r="C179" s="10" t="s">
        <v>313</v>
      </c>
      <c r="D179" s="13" t="s">
        <v>1021</v>
      </c>
      <c r="E179" s="11"/>
    </row>
    <row r="180" spans="1:5" ht="20.100000000000001" customHeight="1">
      <c r="A180" s="25">
        <v>46</v>
      </c>
      <c r="B180" s="9" t="s">
        <v>316</v>
      </c>
      <c r="C180" s="10" t="s">
        <v>313</v>
      </c>
      <c r="D180" s="13" t="s">
        <v>1021</v>
      </c>
      <c r="E180" s="11"/>
    </row>
    <row r="181" spans="1:5" ht="20.100000000000001" customHeight="1">
      <c r="A181" s="25">
        <v>47</v>
      </c>
      <c r="B181" s="9" t="s">
        <v>317</v>
      </c>
      <c r="C181" s="10" t="s">
        <v>313</v>
      </c>
      <c r="D181" s="13" t="s">
        <v>1021</v>
      </c>
      <c r="E181" s="11"/>
    </row>
    <row r="182" spans="1:5" ht="20.100000000000001" customHeight="1">
      <c r="A182" s="25">
        <v>48</v>
      </c>
      <c r="B182" s="9" t="s">
        <v>318</v>
      </c>
      <c r="C182" s="10" t="s">
        <v>313</v>
      </c>
      <c r="D182" s="13" t="s">
        <v>1021</v>
      </c>
      <c r="E182" s="11"/>
    </row>
    <row r="183" spans="1:5" ht="20.100000000000001" customHeight="1">
      <c r="A183" s="25">
        <v>49</v>
      </c>
      <c r="B183" s="16" t="s">
        <v>319</v>
      </c>
      <c r="C183" s="10" t="s">
        <v>313</v>
      </c>
      <c r="D183" s="13" t="s">
        <v>1021</v>
      </c>
      <c r="E183" s="11"/>
    </row>
    <row r="184" spans="1:5" ht="20.100000000000001" customHeight="1">
      <c r="A184" s="25">
        <v>50</v>
      </c>
      <c r="B184" s="16" t="s">
        <v>320</v>
      </c>
      <c r="C184" s="10" t="s">
        <v>313</v>
      </c>
      <c r="D184" s="13" t="s">
        <v>1021</v>
      </c>
      <c r="E184" s="11"/>
    </row>
    <row r="185" spans="1:5" ht="20.100000000000001" customHeight="1">
      <c r="A185" s="25">
        <v>51</v>
      </c>
      <c r="B185" s="9" t="s">
        <v>321</v>
      </c>
      <c r="C185" s="10" t="s">
        <v>310</v>
      </c>
      <c r="D185" s="13" t="s">
        <v>1021</v>
      </c>
      <c r="E185" s="11"/>
    </row>
    <row r="186" spans="1:5" ht="20.100000000000001" customHeight="1">
      <c r="A186" s="25">
        <v>52</v>
      </c>
      <c r="B186" s="9" t="s">
        <v>322</v>
      </c>
      <c r="C186" s="10" t="s">
        <v>310</v>
      </c>
      <c r="D186" s="13" t="s">
        <v>1021</v>
      </c>
      <c r="E186" s="11"/>
    </row>
    <row r="187" spans="1:5" ht="20.100000000000001" customHeight="1">
      <c r="A187" s="25">
        <v>53</v>
      </c>
      <c r="B187" s="16" t="s">
        <v>323</v>
      </c>
      <c r="C187" s="10" t="s">
        <v>313</v>
      </c>
      <c r="D187" s="13" t="s">
        <v>1039</v>
      </c>
      <c r="E187" s="11"/>
    </row>
    <row r="188" spans="1:5" ht="20.100000000000001" customHeight="1">
      <c r="A188" s="25">
        <v>54</v>
      </c>
      <c r="B188" s="16" t="s">
        <v>328</v>
      </c>
      <c r="C188" s="10" t="s">
        <v>313</v>
      </c>
      <c r="D188" s="13" t="s">
        <v>1022</v>
      </c>
      <c r="E188" s="11"/>
    </row>
    <row r="189" spans="1:5" ht="20.100000000000001" customHeight="1">
      <c r="A189" s="25"/>
      <c r="B189" s="6" t="s">
        <v>96</v>
      </c>
      <c r="C189" s="26" t="s">
        <v>1190</v>
      </c>
      <c r="D189" s="27"/>
      <c r="E189" s="11"/>
    </row>
    <row r="190" spans="1:5" ht="32.25" customHeight="1">
      <c r="A190" s="2"/>
      <c r="B190" s="28" t="s">
        <v>339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53</vt:i4>
      </vt:variant>
    </vt:vector>
  </HeadingPairs>
  <TitlesOfParts>
    <vt:vector size="133" baseType="lpstr">
      <vt:lpstr>DECEMBER 2024</vt:lpstr>
      <vt:lpstr>MEMO</vt:lpstr>
      <vt:lpstr>2024 Promotion Arrears</vt:lpstr>
      <vt:lpstr>Promotion in Sept</vt:lpstr>
      <vt:lpstr> New Grade PAYE 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'Christmas Welfare 2024'!Print_Area</vt:lpstr>
      <vt:lpstr>'DECEMBER 2024'!Print_Area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'Christmas Welfare 2024'!Print_Titles</vt:lpstr>
      <vt:lpstr>'DECEMBER 2024'!Print_Titles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2024-11-05T10:10:00Z</cp:lastPrinted>
  <dcterms:created xsi:type="dcterms:W3CDTF">2008-06-27T10:36:00Z</dcterms:created>
  <dcterms:modified xsi:type="dcterms:W3CDTF">2026-03-29T21:34:16Z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EB1E2F71340D497D94D25BD48BE0BFBB_12</vt:lpwstr>
  </property>
  <property fmtid="{D5CDD505-2E9C-101B-9397-08002B2CF9AE}" pid="3" name="KSOProductBuildVer">
    <vt:lpwstr>1033-12.2.0.19307</vt:lpwstr>
  </property>
</Properties>
</file>