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HILA\Documents\Payroll Matters 2024\February 2024 Payroll Latest\"/>
    </mc:Choice>
  </mc:AlternateContent>
  <bookViews>
    <workbookView xWindow="0" yWindow="0" windowWidth="20490" windowHeight="7635" tabRatio="597"/>
  </bookViews>
  <sheets>
    <sheet name="FEBRUARY 2024" sheetId="1" r:id="rId1"/>
    <sheet name="MEMO" sheetId="68" r:id="rId2"/>
    <sheet name="January Arrears" sheetId="149" r:id="rId3"/>
    <sheet name="Tax Reg Sch. " sheetId="146" r:id="rId4"/>
    <sheet name=" Excess Ded Paid" sheetId="142" r:id="rId5"/>
    <sheet name="Changes in Gross &amp; PAYE " sheetId="143" r:id="rId6"/>
    <sheet name="Feb New PAYE " sheetId="147" r:id="rId7"/>
    <sheet name="Employee Pensions" sheetId="144" r:id="rId8"/>
    <sheet name="Upgrade in Feb." sheetId="150" r:id="rId9"/>
    <sheet name="Coop. Ded for Feb." sheetId="151" r:id="rId10"/>
    <sheet name="ENHANCED WELFARE 2024" sheetId="140" r:id="rId11"/>
    <sheet name="PROMOTIONS " sheetId="131" r:id="rId12"/>
    <sheet name="CHRISTMAS WELFARE" sheetId="135" r:id="rId13"/>
    <sheet name="CHRISTMAS WELFARE 1" sheetId="134" r:id="rId14"/>
    <sheet name="HALF 2023 (2)" sheetId="137" r:id="rId15"/>
    <sheet name="Sheet3" sheetId="136" r:id="rId16"/>
    <sheet name="NEW ENROLMENT IN NOVEMBER (2)" sheetId="132" r:id="rId17"/>
    <sheet name="Regularisation IN NOVEMBER (3)" sheetId="133" r:id="rId18"/>
    <sheet name="Sheet2" sheetId="130" r:id="rId19"/>
    <sheet name="PROMOTIONS" sheetId="129" r:id="rId20"/>
    <sheet name="SALARY STRUCTURE" sheetId="128" r:id="rId21"/>
    <sheet name="Wage Grant" sheetId="124" r:id="rId22"/>
    <sheet name="Wage Grant (2)" sheetId="126" r:id="rId23"/>
    <sheet name="1st 28 days in Nov" sheetId="123" r:id="rId24"/>
    <sheet name="Sallah Welfare April 2023" sheetId="119" r:id="rId25"/>
    <sheet name="Sallah Welfare June 2023" sheetId="120" r:id="rId26"/>
    <sheet name="Sallah Welfare June 2023 Latest" sheetId="121" r:id="rId27"/>
    <sheet name="Sheet1" sheetId="117" r:id="rId28"/>
    <sheet name="January 2023 PAYE" sheetId="115" r:id="rId29"/>
    <sheet name="January 2023 NHF)" sheetId="116" r:id="rId30"/>
    <sheet name="PAYE Computation" sheetId="114" r:id="rId31"/>
    <sheet name="Tax adj August, 2022" sheetId="87" r:id="rId32"/>
    <sheet name="Annual Increement" sheetId="78" r:id="rId33"/>
    <sheet name="Enhanced Welfare 2023 (2)" sheetId="110" r:id="rId34"/>
    <sheet name="Enhanced Welfare 2023 (3)" sheetId="113" r:id="rId35"/>
    <sheet name="17.9" sheetId="4" r:id="rId36"/>
    <sheet name="16.7" sheetId="5" r:id="rId37"/>
    <sheet name="15.7.1" sheetId="6" r:id="rId38"/>
    <sheet name="13.7" sheetId="7" r:id="rId39"/>
    <sheet name="12.7" sheetId="8" r:id="rId40"/>
    <sheet name="10.7" sheetId="9" r:id="rId41"/>
    <sheet name="9.7" sheetId="10" r:id="rId42"/>
    <sheet name="8.7" sheetId="11" r:id="rId43"/>
    <sheet name="SUMMARY" sheetId="12" r:id="rId44"/>
    <sheet name="14.7" sheetId="13" r:id="rId45"/>
    <sheet name="15.7" sheetId="23" r:id="rId46"/>
    <sheet name="Basic Salary" sheetId="61" r:id="rId47"/>
    <sheet name="JUNE 2023 (2)" sheetId="122" r:id="rId48"/>
  </sheets>
  <externalReferences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_xlnm.Print_Area" localSheetId="32">'Annual Increement'!$A$1:$AB$191</definedName>
    <definedName name="_xlnm.Print_Area" localSheetId="12">'CHRISTMAS WELFARE'!$A$1:$E$196</definedName>
    <definedName name="_xlnm.Print_Area" localSheetId="33">'Enhanced Welfare 2023 (2)'!$A$1:$G$193</definedName>
    <definedName name="_xlnm.Print_Area" localSheetId="34">'Enhanced Welfare 2023 (3)'!$A$1:$G$193</definedName>
    <definedName name="_xlnm.Print_Area" localSheetId="10">'ENHANCED WELFARE 2024'!$A$1:$G$196</definedName>
    <definedName name="_xlnm.Print_Area" localSheetId="0">'FEBRUARY 2024'!$A$1:$S$196</definedName>
    <definedName name="_xlnm.Print_Area" localSheetId="14">'HALF 2023 (2)'!$A$1:$F$195</definedName>
    <definedName name="_xlnm.Print_Area" localSheetId="29">'January 2023 NHF)'!$A$1:$H$191</definedName>
    <definedName name="_xlnm.Print_Area" localSheetId="28">'January 2023 PAYE'!$A$1:$H$191</definedName>
    <definedName name="_xlnm.Print_Area" localSheetId="47">'JUNE 2023 (2)'!$A$1:$D$190</definedName>
    <definedName name="_xlnm.Print_Area" localSheetId="1">MEMO!$A$1:$H$64</definedName>
    <definedName name="_xlnm.Print_Area" localSheetId="16">'NEW ENROLMENT IN NOVEMBER (2)'!$A$1:$X$14</definedName>
    <definedName name="_xlnm.Print_Area" localSheetId="19">PROMOTIONS!$A$1:$AB$47</definedName>
    <definedName name="_xlnm.Print_Area" localSheetId="11">'PROMOTIONS '!$A$1:$AB$27</definedName>
    <definedName name="_xlnm.Print_Area" localSheetId="17">'Regularisation IN NOVEMBER (3)'!$A$1:$X$16</definedName>
    <definedName name="_xlnm.Print_Area" localSheetId="24">'Sallah Welfare April 2023'!$A$1:$E$190</definedName>
    <definedName name="_xlnm.Print_Area" localSheetId="25">'Sallah Welfare June 2023'!$A$1:$E$192</definedName>
    <definedName name="_xlnm.Print_Area" localSheetId="26">'Sallah Welfare June 2023 Latest'!$A$1:$E$189</definedName>
    <definedName name="_xlnm.Print_Area" localSheetId="31">'Tax adj August, 2022'!$A$1:$G$202</definedName>
    <definedName name="_xlnm.Print_Area" localSheetId="21">'Wage Grant'!$A$1:$I$192</definedName>
    <definedName name="_xlnm.Print_Area" localSheetId="22">'Wage Grant (2)'!$A$1:$H$62</definedName>
    <definedName name="_xlnm.Print_Titles" localSheetId="12">'CHRISTMAS WELFARE'!$4:$5</definedName>
    <definedName name="_xlnm.Print_Titles" localSheetId="33">'Enhanced Welfare 2023 (2)'!$4:$5</definedName>
    <definedName name="_xlnm.Print_Titles" localSheetId="34">'Enhanced Welfare 2023 (3)'!$4:$5</definedName>
    <definedName name="_xlnm.Print_Titles" localSheetId="10">'ENHANCED WELFARE 2024'!$4:$5</definedName>
    <definedName name="_xlnm.Print_Titles" localSheetId="0">'FEBRUARY 2024'!$4:$5</definedName>
    <definedName name="_xlnm.Print_Titles" localSheetId="14">'HALF 2023 (2)'!$4:$5</definedName>
    <definedName name="_xlnm.Print_Titles" localSheetId="29">'January 2023 NHF)'!$4:$5</definedName>
    <definedName name="_xlnm.Print_Titles" localSheetId="28">'January 2023 PAYE'!$4:$5</definedName>
    <definedName name="_xlnm.Print_Titles" localSheetId="47">'JUNE 2023 (2)'!$4:$5</definedName>
    <definedName name="_xlnm.Print_Titles" localSheetId="16">'NEW ENROLMENT IN NOVEMBER (2)'!$4:$5</definedName>
    <definedName name="_xlnm.Print_Titles" localSheetId="19">PROMOTIONS!$4:$5</definedName>
    <definedName name="_xlnm.Print_Titles" localSheetId="11">'PROMOTIONS '!$4:$5</definedName>
    <definedName name="_xlnm.Print_Titles" localSheetId="17">'Regularisation IN NOVEMBER (3)'!$4:$5</definedName>
    <definedName name="_xlnm.Print_Titles" localSheetId="24">'Sallah Welfare April 2023'!$4:$5</definedName>
    <definedName name="_xlnm.Print_Titles" localSheetId="25">'Sallah Welfare June 2023'!$4:$5</definedName>
    <definedName name="_xlnm.Print_Titles" localSheetId="26">'Sallah Welfare June 2023 Latest'!$4:$5</definedName>
    <definedName name="_xlnm.Print_Titles" localSheetId="21">'Wage Grant'!$5:$5</definedName>
    <definedName name="_xlnm.Print_Titles" localSheetId="22">'Wage Grant (2)'!$5:$5</definedName>
  </definedNames>
  <calcPr calcId="152511"/>
  <fileRecoveryPr autoRecover="0"/>
</workbook>
</file>

<file path=xl/calcChain.xml><?xml version="1.0" encoding="utf-8"?>
<calcChain xmlns="http://schemas.openxmlformats.org/spreadsheetml/2006/main">
  <c r="F40" i="1" l="1"/>
  <c r="F34" i="1"/>
  <c r="Q194" i="149" l="1"/>
  <c r="P194" i="149"/>
  <c r="O194" i="149"/>
  <c r="N194" i="149"/>
  <c r="M194" i="149"/>
  <c r="L194" i="149"/>
  <c r="K194" i="149"/>
  <c r="F23" i="1"/>
  <c r="K34" i="149"/>
  <c r="L34" i="149"/>
  <c r="M34" i="149"/>
  <c r="N34" i="149"/>
  <c r="O34" i="149"/>
  <c r="J34" i="149"/>
  <c r="E201" i="151"/>
  <c r="E196" i="151"/>
  <c r="F224" i="151"/>
  <c r="E223" i="151"/>
  <c r="D223" i="151"/>
  <c r="H223" i="151" s="1"/>
  <c r="D222" i="151"/>
  <c r="H222" i="151" s="1"/>
  <c r="H221" i="151"/>
  <c r="D221" i="151"/>
  <c r="H220" i="151"/>
  <c r="D220" i="151"/>
  <c r="H219" i="151"/>
  <c r="E219" i="151"/>
  <c r="E218" i="151"/>
  <c r="H218" i="151" s="1"/>
  <c r="H217" i="151"/>
  <c r="G217" i="151"/>
  <c r="G216" i="151"/>
  <c r="D216" i="151"/>
  <c r="H216" i="151" s="1"/>
  <c r="G215" i="151"/>
  <c r="E215" i="151"/>
  <c r="D215" i="151"/>
  <c r="H215" i="151" s="1"/>
  <c r="H214" i="151"/>
  <c r="G214" i="151"/>
  <c r="D214" i="151"/>
  <c r="H213" i="151"/>
  <c r="D213" i="151"/>
  <c r="G212" i="151"/>
  <c r="F212" i="151"/>
  <c r="E212" i="151"/>
  <c r="E224" i="151" s="1"/>
  <c r="D212" i="151"/>
  <c r="D224" i="151" s="1"/>
  <c r="H211" i="151"/>
  <c r="H210" i="151"/>
  <c r="G210" i="151"/>
  <c r="G209" i="151"/>
  <c r="H209" i="151" s="1"/>
  <c r="H208" i="151"/>
  <c r="G208" i="151"/>
  <c r="E200" i="151"/>
  <c r="D200" i="151"/>
  <c r="C200" i="151"/>
  <c r="D196" i="151"/>
  <c r="E195" i="151"/>
  <c r="D195" i="151"/>
  <c r="D194" i="151"/>
  <c r="E194" i="151" s="1"/>
  <c r="D193" i="151"/>
  <c r="E193" i="151" s="1"/>
  <c r="D192" i="151"/>
  <c r="E192" i="151" s="1"/>
  <c r="E191" i="151"/>
  <c r="D191" i="151"/>
  <c r="C191" i="151"/>
  <c r="E190" i="151"/>
  <c r="D190" i="151"/>
  <c r="C190" i="151"/>
  <c r="D189" i="151"/>
  <c r="E189" i="151" s="1"/>
  <c r="C189" i="151"/>
  <c r="H184" i="151"/>
  <c r="D184" i="151"/>
  <c r="H183" i="151"/>
  <c r="D183" i="151"/>
  <c r="H182" i="151"/>
  <c r="D182" i="151"/>
  <c r="F181" i="151"/>
  <c r="D181" i="151"/>
  <c r="H181" i="151" s="1"/>
  <c r="H180" i="151"/>
  <c r="F180" i="151"/>
  <c r="D179" i="151"/>
  <c r="H179" i="151" s="1"/>
  <c r="H178" i="151"/>
  <c r="D177" i="151"/>
  <c r="H177" i="151" s="1"/>
  <c r="H176" i="151"/>
  <c r="D176" i="151"/>
  <c r="H175" i="151"/>
  <c r="D175" i="151"/>
  <c r="H174" i="151"/>
  <c r="D174" i="151"/>
  <c r="D173" i="151"/>
  <c r="H173" i="151" s="1"/>
  <c r="H172" i="151"/>
  <c r="D172" i="151"/>
  <c r="H171" i="151"/>
  <c r="D171" i="151"/>
  <c r="F170" i="151"/>
  <c r="E170" i="151"/>
  <c r="D170" i="151"/>
  <c r="H170" i="151" s="1"/>
  <c r="H169" i="151"/>
  <c r="E169" i="151"/>
  <c r="G168" i="151"/>
  <c r="E168" i="151"/>
  <c r="D168" i="151"/>
  <c r="H168" i="151" s="1"/>
  <c r="E167" i="151"/>
  <c r="D167" i="151"/>
  <c r="H167" i="151" s="1"/>
  <c r="G166" i="151"/>
  <c r="E166" i="151"/>
  <c r="D166" i="151"/>
  <c r="H166" i="151" s="1"/>
  <c r="G165" i="151"/>
  <c r="D165" i="151"/>
  <c r="H165" i="151" s="1"/>
  <c r="H164" i="151"/>
  <c r="D164" i="151"/>
  <c r="F163" i="151"/>
  <c r="E163" i="151"/>
  <c r="D163" i="151"/>
  <c r="H163" i="151" s="1"/>
  <c r="D162" i="151"/>
  <c r="H162" i="151" s="1"/>
  <c r="H161" i="151"/>
  <c r="G161" i="151"/>
  <c r="D161" i="151"/>
  <c r="G160" i="151"/>
  <c r="H160" i="151" s="1"/>
  <c r="H159" i="151"/>
  <c r="F159" i="151"/>
  <c r="D158" i="151"/>
  <c r="H158" i="151" s="1"/>
  <c r="G157" i="151"/>
  <c r="F157" i="151"/>
  <c r="D157" i="151"/>
  <c r="H157" i="151" s="1"/>
  <c r="G156" i="151"/>
  <c r="D156" i="151"/>
  <c r="H156" i="151" s="1"/>
  <c r="H155" i="151"/>
  <c r="D155" i="151"/>
  <c r="H154" i="151"/>
  <c r="D154" i="151"/>
  <c r="H153" i="151"/>
  <c r="G153" i="151"/>
  <c r="D153" i="151"/>
  <c r="G152" i="151"/>
  <c r="H152" i="151" s="1"/>
  <c r="D152" i="151"/>
  <c r="G151" i="151"/>
  <c r="D151" i="151"/>
  <c r="H151" i="151" s="1"/>
  <c r="E150" i="151"/>
  <c r="D150" i="151"/>
  <c r="H150" i="151" s="1"/>
  <c r="H149" i="151"/>
  <c r="D148" i="151"/>
  <c r="H148" i="151" s="1"/>
  <c r="D147" i="151"/>
  <c r="H147" i="151" s="1"/>
  <c r="G146" i="151"/>
  <c r="E146" i="151"/>
  <c r="D146" i="151"/>
  <c r="H146" i="151" s="1"/>
  <c r="H145" i="151"/>
  <c r="G144" i="151"/>
  <c r="D144" i="151"/>
  <c r="H144" i="151" s="1"/>
  <c r="G143" i="151"/>
  <c r="F143" i="151"/>
  <c r="E143" i="151"/>
  <c r="D143" i="151"/>
  <c r="H143" i="151" s="1"/>
  <c r="G142" i="151"/>
  <c r="E142" i="151"/>
  <c r="D142" i="151"/>
  <c r="H142" i="151" s="1"/>
  <c r="G141" i="151"/>
  <c r="F141" i="151"/>
  <c r="E141" i="151"/>
  <c r="D141" i="151"/>
  <c r="H141" i="151" s="1"/>
  <c r="G140" i="151"/>
  <c r="D140" i="151"/>
  <c r="H140" i="151" s="1"/>
  <c r="G139" i="151"/>
  <c r="E139" i="151"/>
  <c r="D139" i="151"/>
  <c r="H139" i="151" s="1"/>
  <c r="E138" i="151"/>
  <c r="D138" i="151"/>
  <c r="H138" i="151" s="1"/>
  <c r="G137" i="151"/>
  <c r="D137" i="151"/>
  <c r="H137" i="151" s="1"/>
  <c r="H136" i="151"/>
  <c r="G136" i="151"/>
  <c r="F136" i="151"/>
  <c r="D136" i="151"/>
  <c r="G135" i="151"/>
  <c r="E135" i="151"/>
  <c r="D135" i="151"/>
  <c r="H135" i="151" s="1"/>
  <c r="H134" i="151"/>
  <c r="D133" i="151"/>
  <c r="H133" i="151" s="1"/>
  <c r="F132" i="151"/>
  <c r="E132" i="151"/>
  <c r="H132" i="151" s="1"/>
  <c r="D132" i="151"/>
  <c r="G131" i="151"/>
  <c r="H131" i="151" s="1"/>
  <c r="E131" i="151"/>
  <c r="D131" i="151"/>
  <c r="H130" i="151"/>
  <c r="H129" i="151"/>
  <c r="F129" i="151"/>
  <c r="D129" i="151"/>
  <c r="G128" i="151"/>
  <c r="H128" i="151" s="1"/>
  <c r="D128" i="151"/>
  <c r="H127" i="151"/>
  <c r="G126" i="151"/>
  <c r="H126" i="151" s="1"/>
  <c r="G125" i="151"/>
  <c r="D125" i="151"/>
  <c r="H125" i="151" s="1"/>
  <c r="H124" i="151"/>
  <c r="G124" i="151"/>
  <c r="F124" i="151"/>
  <c r="E124" i="151"/>
  <c r="D124" i="151"/>
  <c r="G123" i="151"/>
  <c r="D123" i="151"/>
  <c r="H123" i="151" s="1"/>
  <c r="H122" i="151"/>
  <c r="F122" i="151"/>
  <c r="D122" i="151"/>
  <c r="H121" i="151"/>
  <c r="G120" i="151"/>
  <c r="F120" i="151"/>
  <c r="D120" i="151"/>
  <c r="H120" i="151" s="1"/>
  <c r="H119" i="151"/>
  <c r="G119" i="151"/>
  <c r="F119" i="151"/>
  <c r="D119" i="151"/>
  <c r="G118" i="151"/>
  <c r="F118" i="151"/>
  <c r="D118" i="151"/>
  <c r="H118" i="151" s="1"/>
  <c r="H117" i="151"/>
  <c r="F117" i="151"/>
  <c r="D117" i="151"/>
  <c r="D116" i="151"/>
  <c r="H116" i="151" s="1"/>
  <c r="G115" i="151"/>
  <c r="F115" i="151"/>
  <c r="D115" i="151"/>
  <c r="H115" i="151" s="1"/>
  <c r="G114" i="151"/>
  <c r="H114" i="151" s="1"/>
  <c r="D114" i="151"/>
  <c r="H113" i="151"/>
  <c r="G113" i="151"/>
  <c r="D113" i="151"/>
  <c r="G112" i="151"/>
  <c r="H112" i="151" s="1"/>
  <c r="D112" i="151"/>
  <c r="G111" i="151"/>
  <c r="D111" i="151"/>
  <c r="H111" i="151" s="1"/>
  <c r="F110" i="151"/>
  <c r="D110" i="151"/>
  <c r="H110" i="151" s="1"/>
  <c r="H109" i="151"/>
  <c r="G108" i="151"/>
  <c r="F108" i="151"/>
  <c r="D108" i="151"/>
  <c r="H108" i="151" s="1"/>
  <c r="G107" i="151"/>
  <c r="D107" i="151"/>
  <c r="H107" i="151" s="1"/>
  <c r="H106" i="151"/>
  <c r="H105" i="151"/>
  <c r="H104" i="151"/>
  <c r="G104" i="151"/>
  <c r="H103" i="151"/>
  <c r="G102" i="151"/>
  <c r="D102" i="151"/>
  <c r="H102" i="151" s="1"/>
  <c r="H101" i="151"/>
  <c r="G100" i="151"/>
  <c r="H100" i="151" s="1"/>
  <c r="D100" i="151"/>
  <c r="H99" i="151"/>
  <c r="G98" i="151"/>
  <c r="F98" i="151"/>
  <c r="H98" i="151" s="1"/>
  <c r="H97" i="151"/>
  <c r="G97" i="151"/>
  <c r="F97" i="151"/>
  <c r="D97" i="151"/>
  <c r="G96" i="151"/>
  <c r="F96" i="151"/>
  <c r="D96" i="151"/>
  <c r="H96" i="151" s="1"/>
  <c r="H95" i="151"/>
  <c r="G95" i="151"/>
  <c r="F95" i="151"/>
  <c r="D95" i="151"/>
  <c r="H94" i="151"/>
  <c r="G93" i="151"/>
  <c r="D93" i="151"/>
  <c r="H93" i="151" s="1"/>
  <c r="H92" i="151"/>
  <c r="G92" i="151"/>
  <c r="D92" i="151"/>
  <c r="D91" i="151"/>
  <c r="H91" i="151" s="1"/>
  <c r="H90" i="151"/>
  <c r="D89" i="151"/>
  <c r="H89" i="151" s="1"/>
  <c r="H88" i="151"/>
  <c r="G88" i="151"/>
  <c r="F88" i="151"/>
  <c r="G87" i="151"/>
  <c r="E87" i="151"/>
  <c r="H87" i="151" s="1"/>
  <c r="G86" i="151"/>
  <c r="F86" i="151"/>
  <c r="D86" i="151"/>
  <c r="H86" i="151" s="1"/>
  <c r="H85" i="151"/>
  <c r="H84" i="151"/>
  <c r="H83" i="151"/>
  <c r="G83" i="151"/>
  <c r="H82" i="151"/>
  <c r="D81" i="151"/>
  <c r="H81" i="151" s="1"/>
  <c r="G80" i="151"/>
  <c r="H80" i="151" s="1"/>
  <c r="H79" i="151"/>
  <c r="H78" i="151"/>
  <c r="H77" i="151"/>
  <c r="G76" i="151"/>
  <c r="D76" i="151"/>
  <c r="H76" i="151" s="1"/>
  <c r="G75" i="151"/>
  <c r="F75" i="151"/>
  <c r="D75" i="151"/>
  <c r="H75" i="151" s="1"/>
  <c r="G74" i="151"/>
  <c r="F74" i="151"/>
  <c r="D74" i="151"/>
  <c r="H74" i="151" s="1"/>
  <c r="G73" i="151"/>
  <c r="F73" i="151"/>
  <c r="H73" i="151" s="1"/>
  <c r="H72" i="151"/>
  <c r="G72" i="151"/>
  <c r="D72" i="151"/>
  <c r="G71" i="151"/>
  <c r="H71" i="151" s="1"/>
  <c r="E71" i="151"/>
  <c r="D71" i="151"/>
  <c r="H70" i="151"/>
  <c r="H69" i="151"/>
  <c r="F69" i="151"/>
  <c r="G68" i="151"/>
  <c r="H68" i="151" s="1"/>
  <c r="H67" i="151"/>
  <c r="G67" i="151"/>
  <c r="F67" i="151"/>
  <c r="H66" i="151"/>
  <c r="H65" i="151"/>
  <c r="G65" i="151"/>
  <c r="D65" i="151"/>
  <c r="F64" i="151"/>
  <c r="H64" i="151" s="1"/>
  <c r="D64" i="151"/>
  <c r="G63" i="151"/>
  <c r="D63" i="151"/>
  <c r="H63" i="151" s="1"/>
  <c r="H62" i="151"/>
  <c r="G61" i="151"/>
  <c r="D61" i="151"/>
  <c r="H61" i="151" s="1"/>
  <c r="G60" i="151"/>
  <c r="F60" i="151"/>
  <c r="D60" i="151"/>
  <c r="H60" i="151" s="1"/>
  <c r="H59" i="151"/>
  <c r="G58" i="151"/>
  <c r="D58" i="151"/>
  <c r="H58" i="151" s="1"/>
  <c r="H57" i="151"/>
  <c r="H56" i="151"/>
  <c r="H55" i="151"/>
  <c r="H54" i="151"/>
  <c r="G54" i="151"/>
  <c r="F54" i="151"/>
  <c r="G53" i="151"/>
  <c r="H53" i="151" s="1"/>
  <c r="F53" i="151"/>
  <c r="G52" i="151"/>
  <c r="F52" i="151"/>
  <c r="H52" i="151" s="1"/>
  <c r="D52" i="151"/>
  <c r="G51" i="151"/>
  <c r="F51" i="151"/>
  <c r="E51" i="151"/>
  <c r="H51" i="151" s="1"/>
  <c r="G50" i="151"/>
  <c r="F50" i="151"/>
  <c r="H50" i="151" s="1"/>
  <c r="G49" i="151"/>
  <c r="F49" i="151"/>
  <c r="D49" i="151"/>
  <c r="H49" i="151" s="1"/>
  <c r="G48" i="151"/>
  <c r="D48" i="151"/>
  <c r="H48" i="151" s="1"/>
  <c r="H47" i="151"/>
  <c r="G46" i="151"/>
  <c r="F46" i="151"/>
  <c r="H46" i="151" s="1"/>
  <c r="H45" i="151"/>
  <c r="G45" i="151"/>
  <c r="F45" i="151"/>
  <c r="D45" i="151"/>
  <c r="G44" i="151"/>
  <c r="F44" i="151"/>
  <c r="D44" i="151"/>
  <c r="H44" i="151" s="1"/>
  <c r="H43" i="151"/>
  <c r="G43" i="151"/>
  <c r="F43" i="151"/>
  <c r="D42" i="151"/>
  <c r="H42" i="151" s="1"/>
  <c r="H41" i="151"/>
  <c r="G41" i="151"/>
  <c r="G40" i="151"/>
  <c r="H40" i="151" s="1"/>
  <c r="F40" i="151"/>
  <c r="G39" i="151"/>
  <c r="D39" i="151"/>
  <c r="H39" i="151" s="1"/>
  <c r="G38" i="151"/>
  <c r="D38" i="151"/>
  <c r="H38" i="151" s="1"/>
  <c r="H37" i="151"/>
  <c r="G37" i="151"/>
  <c r="F37" i="151"/>
  <c r="E37" i="151"/>
  <c r="E185" i="151" s="1"/>
  <c r="E226" i="151" s="1"/>
  <c r="D37" i="151"/>
  <c r="G36" i="151"/>
  <c r="D36" i="151"/>
  <c r="H36" i="151" s="1"/>
  <c r="H35" i="151"/>
  <c r="G34" i="151"/>
  <c r="F34" i="151"/>
  <c r="H34" i="151" s="1"/>
  <c r="H33" i="151"/>
  <c r="H32" i="151"/>
  <c r="H31" i="151"/>
  <c r="G30" i="151"/>
  <c r="H30" i="151" s="1"/>
  <c r="G29" i="151"/>
  <c r="D29" i="151"/>
  <c r="H29" i="151" s="1"/>
  <c r="H28" i="151"/>
  <c r="G28" i="151"/>
  <c r="G27" i="151"/>
  <c r="H27" i="151" s="1"/>
  <c r="H26" i="151"/>
  <c r="G26" i="151"/>
  <c r="H25" i="151"/>
  <c r="F24" i="151"/>
  <c r="F185" i="151" s="1"/>
  <c r="F226" i="151" s="1"/>
  <c r="D24" i="151"/>
  <c r="H24" i="151" s="1"/>
  <c r="H23" i="151"/>
  <c r="G22" i="151"/>
  <c r="H22" i="151" s="1"/>
  <c r="G21" i="151"/>
  <c r="D21" i="151"/>
  <c r="H21" i="151" s="1"/>
  <c r="H20" i="151"/>
  <c r="G20" i="151"/>
  <c r="D20" i="151"/>
  <c r="G19" i="151"/>
  <c r="H19" i="151" s="1"/>
  <c r="D19" i="151"/>
  <c r="H18" i="151"/>
  <c r="G17" i="151"/>
  <c r="D17" i="151"/>
  <c r="H17" i="151" s="1"/>
  <c r="G16" i="151"/>
  <c r="D16" i="151"/>
  <c r="H16" i="151" s="1"/>
  <c r="H15" i="151"/>
  <c r="G14" i="151"/>
  <c r="D14" i="151"/>
  <c r="H14" i="151" s="1"/>
  <c r="H13" i="151"/>
  <c r="G12" i="151"/>
  <c r="H12" i="151" s="1"/>
  <c r="H11" i="151"/>
  <c r="G10" i="151"/>
  <c r="D10" i="151"/>
  <c r="H10" i="151" s="1"/>
  <c r="H9" i="151"/>
  <c r="G9" i="151"/>
  <c r="D9" i="151"/>
  <c r="G8" i="151"/>
  <c r="H8" i="151" s="1"/>
  <c r="G7" i="151"/>
  <c r="D7" i="151"/>
  <c r="H7" i="151" s="1"/>
  <c r="H6" i="151"/>
  <c r="G6" i="151"/>
  <c r="G5" i="151"/>
  <c r="G185" i="151" s="1"/>
  <c r="D5" i="151"/>
  <c r="D185" i="151" s="1"/>
  <c r="E205" i="151" l="1"/>
  <c r="E206" i="151" s="1"/>
  <c r="D186" i="151"/>
  <c r="D226" i="151"/>
  <c r="G224" i="151"/>
  <c r="G226" i="151" s="1"/>
  <c r="H5" i="151"/>
  <c r="H185" i="151" s="1"/>
  <c r="H212" i="151"/>
  <c r="H224" i="151" s="1"/>
  <c r="H226" i="151" l="1"/>
  <c r="N82" i="1" l="1"/>
  <c r="O82" i="1"/>
  <c r="C72" i="147"/>
  <c r="L193" i="149"/>
  <c r="M193" i="149"/>
  <c r="O193" i="149"/>
  <c r="Q193" i="149"/>
  <c r="F38" i="1"/>
  <c r="Y10" i="150"/>
  <c r="W9" i="150"/>
  <c r="X8" i="150"/>
  <c r="N8" i="150"/>
  <c r="H8" i="150"/>
  <c r="G8" i="150"/>
  <c r="E8" i="150"/>
  <c r="K8" i="150" s="1"/>
  <c r="T7" i="150"/>
  <c r="X7" i="150" s="1"/>
  <c r="O7" i="150"/>
  <c r="N7" i="150"/>
  <c r="L7" i="150"/>
  <c r="K7" i="150"/>
  <c r="J7" i="150"/>
  <c r="H7" i="150"/>
  <c r="G7" i="150"/>
  <c r="E7" i="150"/>
  <c r="L3" i="150"/>
  <c r="E3" i="150"/>
  <c r="L1" i="150"/>
  <c r="H37" i="68"/>
  <c r="J194" i="149"/>
  <c r="K23" i="149"/>
  <c r="Q135" i="149"/>
  <c r="Q136" i="149"/>
  <c r="Q137" i="149"/>
  <c r="Q138" i="149"/>
  <c r="Q139" i="149"/>
  <c r="Q140" i="149"/>
  <c r="Q141" i="149"/>
  <c r="Q142" i="149"/>
  <c r="Q143" i="149"/>
  <c r="Q144" i="149"/>
  <c r="Q145" i="149"/>
  <c r="Q146" i="149"/>
  <c r="Q147" i="149"/>
  <c r="Q148" i="149"/>
  <c r="Q149" i="149"/>
  <c r="Q150" i="149"/>
  <c r="Q151" i="149"/>
  <c r="Q152" i="149"/>
  <c r="Q153" i="149"/>
  <c r="Q154" i="149"/>
  <c r="Q155" i="149"/>
  <c r="Q156" i="149"/>
  <c r="Q157" i="149"/>
  <c r="Q158" i="149"/>
  <c r="Q159" i="149"/>
  <c r="Q160" i="149"/>
  <c r="Q161" i="149"/>
  <c r="Q162" i="149"/>
  <c r="Q163" i="149"/>
  <c r="Q164" i="149"/>
  <c r="Q165" i="149"/>
  <c r="Q166" i="149"/>
  <c r="Q167" i="149"/>
  <c r="Q168" i="149"/>
  <c r="Q169" i="149"/>
  <c r="Q170" i="149"/>
  <c r="Q171" i="149"/>
  <c r="Q172" i="149"/>
  <c r="Q173" i="149"/>
  <c r="Q174" i="149"/>
  <c r="Q175" i="149"/>
  <c r="Q176" i="149"/>
  <c r="Q177" i="149"/>
  <c r="Q178" i="149"/>
  <c r="Q179" i="149"/>
  <c r="Q180" i="149"/>
  <c r="Q181" i="149"/>
  <c r="Q182" i="149"/>
  <c r="Q183" i="149"/>
  <c r="Q184" i="149"/>
  <c r="Q185" i="149"/>
  <c r="Q186" i="149"/>
  <c r="Q187" i="149"/>
  <c r="Q188" i="149"/>
  <c r="Q189" i="149"/>
  <c r="Q190" i="149"/>
  <c r="Q191" i="149"/>
  <c r="Q192" i="149"/>
  <c r="Q134" i="149"/>
  <c r="Q131" i="149"/>
  <c r="Q122" i="149"/>
  <c r="Q123" i="149"/>
  <c r="Q124" i="149"/>
  <c r="Q125" i="149"/>
  <c r="Q126" i="149"/>
  <c r="Q127" i="149"/>
  <c r="Q128" i="149"/>
  <c r="Q129" i="149"/>
  <c r="Q130" i="149"/>
  <c r="Q121" i="149"/>
  <c r="Q118" i="149"/>
  <c r="Q116" i="149"/>
  <c r="Q117" i="149"/>
  <c r="Q115" i="149"/>
  <c r="Q112" i="149"/>
  <c r="Q106" i="149"/>
  <c r="Q107" i="149"/>
  <c r="Q108" i="149"/>
  <c r="Q109" i="149"/>
  <c r="Q110" i="149"/>
  <c r="Q111" i="149"/>
  <c r="Q105" i="149"/>
  <c r="Q102" i="149"/>
  <c r="Q99" i="149"/>
  <c r="Q100" i="149"/>
  <c r="Q101" i="149"/>
  <c r="Q98" i="149"/>
  <c r="Q95" i="149"/>
  <c r="Q86" i="149"/>
  <c r="Q87" i="149"/>
  <c r="Q88" i="149"/>
  <c r="Q89" i="149"/>
  <c r="Q90" i="149"/>
  <c r="Q91" i="149"/>
  <c r="Q92" i="149"/>
  <c r="Q93" i="149"/>
  <c r="Q94" i="149"/>
  <c r="Q85" i="149"/>
  <c r="Q82" i="149"/>
  <c r="Q76" i="149"/>
  <c r="Q77" i="149"/>
  <c r="Q78" i="149"/>
  <c r="Q79" i="149"/>
  <c r="Q80" i="149"/>
  <c r="Q81" i="149"/>
  <c r="Q75" i="149"/>
  <c r="Q72" i="149"/>
  <c r="Q63" i="149"/>
  <c r="Q64" i="149"/>
  <c r="Q65" i="149"/>
  <c r="Q66" i="149"/>
  <c r="Q67" i="149"/>
  <c r="Q68" i="149"/>
  <c r="Q69" i="149"/>
  <c r="Q70" i="149"/>
  <c r="Q71" i="149"/>
  <c r="Q62" i="149"/>
  <c r="Q59" i="149"/>
  <c r="Q58" i="149"/>
  <c r="Q57" i="149"/>
  <c r="Q54" i="149"/>
  <c r="Q44" i="149"/>
  <c r="Q45" i="149"/>
  <c r="Q46" i="149"/>
  <c r="Q47" i="149"/>
  <c r="Q48" i="149"/>
  <c r="Q49" i="149"/>
  <c r="Q50" i="149"/>
  <c r="Q51" i="149"/>
  <c r="Q52" i="149"/>
  <c r="Q53" i="149"/>
  <c r="Q43" i="149"/>
  <c r="Q40" i="149"/>
  <c r="Q38" i="149"/>
  <c r="Q39" i="149"/>
  <c r="Q37" i="149"/>
  <c r="Q8" i="149"/>
  <c r="Q9" i="149"/>
  <c r="Q10" i="149"/>
  <c r="Q11" i="149"/>
  <c r="Q12" i="149"/>
  <c r="Q13" i="149"/>
  <c r="Q14" i="149"/>
  <c r="Q15" i="149"/>
  <c r="Q16" i="149"/>
  <c r="Q17" i="149"/>
  <c r="Q18" i="149"/>
  <c r="Q19" i="149"/>
  <c r="Q20" i="149"/>
  <c r="Q21" i="149"/>
  <c r="Q22" i="149"/>
  <c r="Q23" i="149"/>
  <c r="Q34" i="149" s="1"/>
  <c r="Q24" i="149"/>
  <c r="Q25" i="149"/>
  <c r="Q26" i="149"/>
  <c r="Q27" i="149"/>
  <c r="Q28" i="149"/>
  <c r="Q29" i="149"/>
  <c r="Q30" i="149"/>
  <c r="Q31" i="149"/>
  <c r="Q32" i="149"/>
  <c r="Q33" i="149"/>
  <c r="Q7" i="149"/>
  <c r="C194" i="149"/>
  <c r="G193" i="149"/>
  <c r="F193" i="149"/>
  <c r="E193" i="149"/>
  <c r="E194" i="149" s="1"/>
  <c r="O192" i="149"/>
  <c r="J192" i="149"/>
  <c r="L192" i="149" s="1"/>
  <c r="H192" i="149"/>
  <c r="O191" i="149"/>
  <c r="J191" i="149"/>
  <c r="L191" i="149" s="1"/>
  <c r="H191" i="149"/>
  <c r="O190" i="149"/>
  <c r="J190" i="149"/>
  <c r="L190" i="149" s="1"/>
  <c r="O189" i="149"/>
  <c r="L189" i="149"/>
  <c r="J189" i="149"/>
  <c r="O188" i="149"/>
  <c r="L188" i="149"/>
  <c r="J188" i="149"/>
  <c r="O187" i="149"/>
  <c r="I187" i="149"/>
  <c r="H187" i="149"/>
  <c r="J187" i="149" s="1"/>
  <c r="L187" i="149" s="1"/>
  <c r="O186" i="149"/>
  <c r="I186" i="149"/>
  <c r="H186" i="149"/>
  <c r="J186" i="149" s="1"/>
  <c r="L186" i="149" s="1"/>
  <c r="O185" i="149"/>
  <c r="I185" i="149"/>
  <c r="J185" i="149" s="1"/>
  <c r="L185" i="149" s="1"/>
  <c r="O184" i="149"/>
  <c r="L184" i="149"/>
  <c r="J184" i="149"/>
  <c r="O183" i="149"/>
  <c r="I183" i="149"/>
  <c r="H183" i="149"/>
  <c r="J183" i="149" s="1"/>
  <c r="L183" i="149" s="1"/>
  <c r="O182" i="149"/>
  <c r="I182" i="149"/>
  <c r="J182" i="149" s="1"/>
  <c r="L182" i="149" s="1"/>
  <c r="H182" i="149"/>
  <c r="O181" i="149"/>
  <c r="J181" i="149"/>
  <c r="L181" i="149" s="1"/>
  <c r="I181" i="149"/>
  <c r="H181" i="149"/>
  <c r="O180" i="149"/>
  <c r="I180" i="149"/>
  <c r="H180" i="149"/>
  <c r="J180" i="149" s="1"/>
  <c r="L180" i="149" s="1"/>
  <c r="O179" i="149"/>
  <c r="I179" i="149"/>
  <c r="H179" i="149"/>
  <c r="J179" i="149" s="1"/>
  <c r="L179" i="149" s="1"/>
  <c r="O178" i="149"/>
  <c r="I178" i="149"/>
  <c r="H178" i="149"/>
  <c r="J178" i="149" s="1"/>
  <c r="L178" i="149" s="1"/>
  <c r="O177" i="149"/>
  <c r="J177" i="149"/>
  <c r="L177" i="149" s="1"/>
  <c r="I177" i="149"/>
  <c r="H177" i="149"/>
  <c r="O176" i="149"/>
  <c r="L176" i="149"/>
  <c r="J176" i="149"/>
  <c r="I176" i="149"/>
  <c r="H176" i="149"/>
  <c r="O175" i="149"/>
  <c r="I175" i="149"/>
  <c r="H175" i="149"/>
  <c r="J175" i="149" s="1"/>
  <c r="L175" i="149" s="1"/>
  <c r="O174" i="149"/>
  <c r="I174" i="149"/>
  <c r="J174" i="149" s="1"/>
  <c r="L174" i="149" s="1"/>
  <c r="H174" i="149"/>
  <c r="O173" i="149"/>
  <c r="J173" i="149"/>
  <c r="L173" i="149" s="1"/>
  <c r="I173" i="149"/>
  <c r="H173" i="149"/>
  <c r="O172" i="149"/>
  <c r="I172" i="149"/>
  <c r="H172" i="149"/>
  <c r="J172" i="149" s="1"/>
  <c r="L172" i="149" s="1"/>
  <c r="O171" i="149"/>
  <c r="I171" i="149"/>
  <c r="H171" i="149"/>
  <c r="J171" i="149" s="1"/>
  <c r="L171" i="149" s="1"/>
  <c r="O170" i="149"/>
  <c r="I170" i="149"/>
  <c r="H170" i="149"/>
  <c r="J170" i="149" s="1"/>
  <c r="L170" i="149" s="1"/>
  <c r="O169" i="149"/>
  <c r="J169" i="149"/>
  <c r="L169" i="149" s="1"/>
  <c r="I169" i="149"/>
  <c r="H169" i="149"/>
  <c r="O168" i="149"/>
  <c r="L168" i="149"/>
  <c r="J168" i="149"/>
  <c r="I168" i="149"/>
  <c r="H168" i="149"/>
  <c r="O167" i="149"/>
  <c r="I167" i="149"/>
  <c r="H167" i="149"/>
  <c r="J167" i="149" s="1"/>
  <c r="L167" i="149" s="1"/>
  <c r="O166" i="149"/>
  <c r="I166" i="149"/>
  <c r="J166" i="149" s="1"/>
  <c r="L166" i="149" s="1"/>
  <c r="H166" i="149"/>
  <c r="O165" i="149"/>
  <c r="J165" i="149"/>
  <c r="L165" i="149" s="1"/>
  <c r="I165" i="149"/>
  <c r="H165" i="149"/>
  <c r="O164" i="149"/>
  <c r="I164" i="149"/>
  <c r="H164" i="149"/>
  <c r="J164" i="149" s="1"/>
  <c r="L164" i="149" s="1"/>
  <c r="O163" i="149"/>
  <c r="I163" i="149"/>
  <c r="H163" i="149"/>
  <c r="J163" i="149" s="1"/>
  <c r="L163" i="149" s="1"/>
  <c r="O162" i="149"/>
  <c r="I162" i="149"/>
  <c r="I193" i="149" s="1"/>
  <c r="H162" i="149"/>
  <c r="J162" i="149" s="1"/>
  <c r="L162" i="149" s="1"/>
  <c r="O161" i="149"/>
  <c r="J161" i="149"/>
  <c r="L161" i="149" s="1"/>
  <c r="H161" i="149"/>
  <c r="O160" i="149"/>
  <c r="J160" i="149"/>
  <c r="L160" i="149" s="1"/>
  <c r="H160" i="149"/>
  <c r="O159" i="149"/>
  <c r="J159" i="149"/>
  <c r="L159" i="149" s="1"/>
  <c r="H159" i="149"/>
  <c r="O158" i="149"/>
  <c r="J158" i="149"/>
  <c r="L158" i="149" s="1"/>
  <c r="H158" i="149"/>
  <c r="O157" i="149"/>
  <c r="J157" i="149"/>
  <c r="L157" i="149" s="1"/>
  <c r="H157" i="149"/>
  <c r="O156" i="149"/>
  <c r="J156" i="149"/>
  <c r="L156" i="149" s="1"/>
  <c r="H156" i="149"/>
  <c r="O155" i="149"/>
  <c r="J155" i="149"/>
  <c r="L155" i="149" s="1"/>
  <c r="H155" i="149"/>
  <c r="O154" i="149"/>
  <c r="J154" i="149"/>
  <c r="L154" i="149" s="1"/>
  <c r="H154" i="149"/>
  <c r="O153" i="149"/>
  <c r="J153" i="149"/>
  <c r="L153" i="149" s="1"/>
  <c r="H153" i="149"/>
  <c r="O152" i="149"/>
  <c r="J152" i="149"/>
  <c r="L152" i="149" s="1"/>
  <c r="H152" i="149"/>
  <c r="O151" i="149"/>
  <c r="J151" i="149"/>
  <c r="L151" i="149" s="1"/>
  <c r="H151" i="149"/>
  <c r="O150" i="149"/>
  <c r="J150" i="149"/>
  <c r="L150" i="149" s="1"/>
  <c r="H150" i="149"/>
  <c r="O149" i="149"/>
  <c r="J149" i="149"/>
  <c r="L149" i="149" s="1"/>
  <c r="H149" i="149"/>
  <c r="O148" i="149"/>
  <c r="J148" i="149"/>
  <c r="L148" i="149" s="1"/>
  <c r="H148" i="149"/>
  <c r="O147" i="149"/>
  <c r="J147" i="149"/>
  <c r="L147" i="149" s="1"/>
  <c r="H147" i="149"/>
  <c r="O146" i="149"/>
  <c r="J146" i="149"/>
  <c r="L146" i="149" s="1"/>
  <c r="O145" i="149"/>
  <c r="H145" i="149"/>
  <c r="J145" i="149" s="1"/>
  <c r="L145" i="149" s="1"/>
  <c r="O144" i="149"/>
  <c r="H144" i="149"/>
  <c r="J144" i="149" s="1"/>
  <c r="L144" i="149" s="1"/>
  <c r="O143" i="149"/>
  <c r="H143" i="149"/>
  <c r="J143" i="149" s="1"/>
  <c r="L143" i="149" s="1"/>
  <c r="O142" i="149"/>
  <c r="H142" i="149"/>
  <c r="J142" i="149" s="1"/>
  <c r="L142" i="149" s="1"/>
  <c r="O141" i="149"/>
  <c r="H141" i="149"/>
  <c r="J141" i="149" s="1"/>
  <c r="L141" i="149" s="1"/>
  <c r="O140" i="149"/>
  <c r="H140" i="149"/>
  <c r="J140" i="149" s="1"/>
  <c r="L140" i="149" s="1"/>
  <c r="O139" i="149"/>
  <c r="L139" i="149"/>
  <c r="J139" i="149"/>
  <c r="O138" i="149"/>
  <c r="J138" i="149"/>
  <c r="L138" i="149" s="1"/>
  <c r="O137" i="149"/>
  <c r="L137" i="149"/>
  <c r="J137" i="149"/>
  <c r="O136" i="149"/>
  <c r="J136" i="149"/>
  <c r="L136" i="149" s="1"/>
  <c r="H136" i="149"/>
  <c r="O135" i="149"/>
  <c r="J135" i="149"/>
  <c r="L135" i="149" s="1"/>
  <c r="O134" i="149"/>
  <c r="H134" i="149"/>
  <c r="J134" i="149" s="1"/>
  <c r="M131" i="149"/>
  <c r="G131" i="149"/>
  <c r="F131" i="149"/>
  <c r="E131" i="149"/>
  <c r="O130" i="149"/>
  <c r="J130" i="149"/>
  <c r="L130" i="149" s="1"/>
  <c r="O129" i="149"/>
  <c r="H129" i="149"/>
  <c r="J129" i="149" s="1"/>
  <c r="L129" i="149" s="1"/>
  <c r="O128" i="149"/>
  <c r="H128" i="149"/>
  <c r="J128" i="149" s="1"/>
  <c r="L128" i="149" s="1"/>
  <c r="O127" i="149"/>
  <c r="H127" i="149"/>
  <c r="J127" i="149" s="1"/>
  <c r="L127" i="149" s="1"/>
  <c r="O126" i="149"/>
  <c r="H126" i="149"/>
  <c r="J126" i="149" s="1"/>
  <c r="L126" i="149" s="1"/>
  <c r="O125" i="149"/>
  <c r="H125" i="149"/>
  <c r="J125" i="149" s="1"/>
  <c r="L125" i="149" s="1"/>
  <c r="O124" i="149"/>
  <c r="H124" i="149"/>
  <c r="J124" i="149" s="1"/>
  <c r="L124" i="149" s="1"/>
  <c r="O123" i="149"/>
  <c r="I123" i="149"/>
  <c r="I131" i="149" s="1"/>
  <c r="H123" i="149"/>
  <c r="J123" i="149" s="1"/>
  <c r="L123" i="149" s="1"/>
  <c r="O122" i="149"/>
  <c r="J122" i="149"/>
  <c r="L122" i="149" s="1"/>
  <c r="H122" i="149"/>
  <c r="H131" i="149" s="1"/>
  <c r="O121" i="149"/>
  <c r="J121" i="149"/>
  <c r="L121" i="149" s="1"/>
  <c r="H121" i="149"/>
  <c r="M118" i="149"/>
  <c r="I118" i="149"/>
  <c r="G118" i="149"/>
  <c r="F118" i="149"/>
  <c r="E118" i="149"/>
  <c r="O117" i="149"/>
  <c r="L117" i="149"/>
  <c r="J117" i="149"/>
  <c r="H117" i="149"/>
  <c r="H118" i="149" s="1"/>
  <c r="O116" i="149"/>
  <c r="L116" i="149"/>
  <c r="J116" i="149"/>
  <c r="O115" i="149"/>
  <c r="O118" i="149" s="1"/>
  <c r="J115" i="149"/>
  <c r="L115" i="149" s="1"/>
  <c r="L118" i="149" s="1"/>
  <c r="M112" i="149"/>
  <c r="I112" i="149"/>
  <c r="H112" i="149"/>
  <c r="F112" i="149"/>
  <c r="E112" i="149"/>
  <c r="O111" i="149"/>
  <c r="J111" i="149"/>
  <c r="L111" i="149" s="1"/>
  <c r="G111" i="149"/>
  <c r="O110" i="149"/>
  <c r="J110" i="149"/>
  <c r="L110" i="149" s="1"/>
  <c r="G110" i="149"/>
  <c r="O109" i="149"/>
  <c r="J109" i="149"/>
  <c r="L109" i="149" s="1"/>
  <c r="G109" i="149"/>
  <c r="O108" i="149"/>
  <c r="J108" i="149"/>
  <c r="L108" i="149" s="1"/>
  <c r="G108" i="149"/>
  <c r="O107" i="149"/>
  <c r="J107" i="149"/>
  <c r="L107" i="149" s="1"/>
  <c r="G107" i="149"/>
  <c r="O106" i="149"/>
  <c r="O112" i="149" s="1"/>
  <c r="J106" i="149"/>
  <c r="L106" i="149" s="1"/>
  <c r="G106" i="149"/>
  <c r="O105" i="149"/>
  <c r="J105" i="149"/>
  <c r="L105" i="149" s="1"/>
  <c r="G105" i="149"/>
  <c r="G112" i="149" s="1"/>
  <c r="O102" i="149"/>
  <c r="M102" i="149"/>
  <c r="I102" i="149"/>
  <c r="G102" i="149"/>
  <c r="F102" i="149"/>
  <c r="E102" i="149"/>
  <c r="O101" i="149"/>
  <c r="L101" i="149"/>
  <c r="J101" i="149"/>
  <c r="H101" i="149"/>
  <c r="O100" i="149"/>
  <c r="H100" i="149"/>
  <c r="J100" i="149" s="1"/>
  <c r="L100" i="149" s="1"/>
  <c r="O99" i="149"/>
  <c r="L99" i="149"/>
  <c r="J99" i="149"/>
  <c r="O98" i="149"/>
  <c r="J98" i="149"/>
  <c r="L98" i="149" s="1"/>
  <c r="H98" i="149"/>
  <c r="H102" i="149" s="1"/>
  <c r="M95" i="149"/>
  <c r="I95" i="149"/>
  <c r="H95" i="149"/>
  <c r="F95" i="149"/>
  <c r="E95" i="149"/>
  <c r="O94" i="149"/>
  <c r="L94" i="149"/>
  <c r="J94" i="149"/>
  <c r="G94" i="149"/>
  <c r="O93" i="149"/>
  <c r="L93" i="149"/>
  <c r="J93" i="149"/>
  <c r="O92" i="149"/>
  <c r="J92" i="149"/>
  <c r="L92" i="149" s="1"/>
  <c r="O91" i="149"/>
  <c r="G91" i="149"/>
  <c r="J91" i="149" s="1"/>
  <c r="L91" i="149" s="1"/>
  <c r="O90" i="149"/>
  <c r="G90" i="149"/>
  <c r="J90" i="149" s="1"/>
  <c r="L90" i="149" s="1"/>
  <c r="O89" i="149"/>
  <c r="G89" i="149"/>
  <c r="J89" i="149" s="1"/>
  <c r="L89" i="149" s="1"/>
  <c r="O88" i="149"/>
  <c r="G88" i="149"/>
  <c r="J88" i="149" s="1"/>
  <c r="L88" i="149" s="1"/>
  <c r="O87" i="149"/>
  <c r="L87" i="149"/>
  <c r="J87" i="149"/>
  <c r="O86" i="149"/>
  <c r="J86" i="149"/>
  <c r="L86" i="149" s="1"/>
  <c r="G86" i="149"/>
  <c r="O85" i="149"/>
  <c r="L85" i="149"/>
  <c r="J85" i="149"/>
  <c r="G85" i="149"/>
  <c r="M82" i="149"/>
  <c r="I82" i="149"/>
  <c r="H82" i="149"/>
  <c r="F82" i="149"/>
  <c r="E82" i="149"/>
  <c r="O81" i="149"/>
  <c r="L81" i="149"/>
  <c r="J81" i="149"/>
  <c r="O80" i="149"/>
  <c r="L80" i="149"/>
  <c r="J80" i="149"/>
  <c r="O79" i="149"/>
  <c r="G79" i="149"/>
  <c r="J79" i="149" s="1"/>
  <c r="L79" i="149" s="1"/>
  <c r="O78" i="149"/>
  <c r="L78" i="149"/>
  <c r="J78" i="149"/>
  <c r="G78" i="149"/>
  <c r="O77" i="149"/>
  <c r="L77" i="149"/>
  <c r="J77" i="149"/>
  <c r="O76" i="149"/>
  <c r="J76" i="149"/>
  <c r="L76" i="149" s="1"/>
  <c r="G76" i="149"/>
  <c r="G82" i="149" s="1"/>
  <c r="O75" i="149"/>
  <c r="O82" i="149" s="1"/>
  <c r="J75" i="149"/>
  <c r="L75" i="149" s="1"/>
  <c r="G75" i="149"/>
  <c r="M72" i="149"/>
  <c r="I72" i="149"/>
  <c r="H72" i="149"/>
  <c r="F72" i="149"/>
  <c r="E72" i="149"/>
  <c r="O71" i="149"/>
  <c r="L71" i="149"/>
  <c r="J71" i="149"/>
  <c r="O70" i="149"/>
  <c r="J70" i="149"/>
  <c r="L70" i="149" s="1"/>
  <c r="G70" i="149"/>
  <c r="O69" i="149"/>
  <c r="J69" i="149"/>
  <c r="L69" i="149" s="1"/>
  <c r="G69" i="149"/>
  <c r="O68" i="149"/>
  <c r="J68" i="149"/>
  <c r="L68" i="149" s="1"/>
  <c r="G68" i="149"/>
  <c r="O67" i="149"/>
  <c r="J67" i="149"/>
  <c r="L67" i="149" s="1"/>
  <c r="G67" i="149"/>
  <c r="O66" i="149"/>
  <c r="J66" i="149"/>
  <c r="L66" i="149" s="1"/>
  <c r="G66" i="149"/>
  <c r="O65" i="149"/>
  <c r="J65" i="149"/>
  <c r="L65" i="149" s="1"/>
  <c r="G65" i="149"/>
  <c r="O64" i="149"/>
  <c r="J64" i="149"/>
  <c r="L64" i="149" s="1"/>
  <c r="O63" i="149"/>
  <c r="G63" i="149"/>
  <c r="J63" i="149" s="1"/>
  <c r="L63" i="149" s="1"/>
  <c r="O62" i="149"/>
  <c r="G62" i="149"/>
  <c r="J62" i="149" s="1"/>
  <c r="M59" i="149"/>
  <c r="I59" i="149"/>
  <c r="H59" i="149"/>
  <c r="F59" i="149"/>
  <c r="E59" i="149"/>
  <c r="O58" i="149"/>
  <c r="J58" i="149"/>
  <c r="L58" i="149" s="1"/>
  <c r="O57" i="149"/>
  <c r="O59" i="149" s="1"/>
  <c r="G57" i="149"/>
  <c r="G59" i="149" s="1"/>
  <c r="M54" i="149"/>
  <c r="I54" i="149"/>
  <c r="H54" i="149"/>
  <c r="F54" i="149"/>
  <c r="E54" i="149"/>
  <c r="O53" i="149"/>
  <c r="J53" i="149"/>
  <c r="L53" i="149" s="1"/>
  <c r="G53" i="149"/>
  <c r="O52" i="149"/>
  <c r="J52" i="149"/>
  <c r="L52" i="149" s="1"/>
  <c r="G52" i="149"/>
  <c r="O51" i="149"/>
  <c r="J51" i="149"/>
  <c r="L51" i="149" s="1"/>
  <c r="G51" i="149"/>
  <c r="O50" i="149"/>
  <c r="J50" i="149"/>
  <c r="L50" i="149" s="1"/>
  <c r="O49" i="149"/>
  <c r="G49" i="149"/>
  <c r="J49" i="149" s="1"/>
  <c r="L49" i="149" s="1"/>
  <c r="O48" i="149"/>
  <c r="G48" i="149"/>
  <c r="J48" i="149" s="1"/>
  <c r="L48" i="149" s="1"/>
  <c r="O47" i="149"/>
  <c r="G47" i="149"/>
  <c r="J47" i="149" s="1"/>
  <c r="L47" i="149" s="1"/>
  <c r="O46" i="149"/>
  <c r="G46" i="149"/>
  <c r="J46" i="149" s="1"/>
  <c r="L46" i="149" s="1"/>
  <c r="O45" i="149"/>
  <c r="G45" i="149"/>
  <c r="J45" i="149" s="1"/>
  <c r="L45" i="149" s="1"/>
  <c r="O44" i="149"/>
  <c r="G44" i="149"/>
  <c r="J44" i="149" s="1"/>
  <c r="L44" i="149" s="1"/>
  <c r="O43" i="149"/>
  <c r="O54" i="149" s="1"/>
  <c r="G43" i="149"/>
  <c r="G54" i="149" s="1"/>
  <c r="M40" i="149"/>
  <c r="I40" i="149"/>
  <c r="H40" i="149"/>
  <c r="G40" i="149"/>
  <c r="F40" i="149"/>
  <c r="E40" i="149"/>
  <c r="O39" i="149"/>
  <c r="J39" i="149"/>
  <c r="L39" i="149" s="1"/>
  <c r="H39" i="149"/>
  <c r="O38" i="149"/>
  <c r="J38" i="149"/>
  <c r="L38" i="149" s="1"/>
  <c r="H38" i="149"/>
  <c r="O37" i="149"/>
  <c r="O40" i="149" s="1"/>
  <c r="J37" i="149"/>
  <c r="L37" i="149" s="1"/>
  <c r="H37" i="149"/>
  <c r="F34" i="149"/>
  <c r="E34" i="149"/>
  <c r="O33" i="149"/>
  <c r="L33" i="149"/>
  <c r="J33" i="149"/>
  <c r="O32" i="149"/>
  <c r="J32" i="149"/>
  <c r="L32" i="149" s="1"/>
  <c r="H32" i="149"/>
  <c r="O31" i="149"/>
  <c r="J31" i="149"/>
  <c r="L31" i="149" s="1"/>
  <c r="H31" i="149"/>
  <c r="O30" i="149"/>
  <c r="J30" i="149"/>
  <c r="L30" i="149" s="1"/>
  <c r="H30" i="149"/>
  <c r="O29" i="149"/>
  <c r="J29" i="149"/>
  <c r="L29" i="149" s="1"/>
  <c r="H29" i="149"/>
  <c r="O28" i="149"/>
  <c r="J28" i="149"/>
  <c r="L28" i="149" s="1"/>
  <c r="H28" i="149"/>
  <c r="O27" i="149"/>
  <c r="J27" i="149"/>
  <c r="L27" i="149" s="1"/>
  <c r="G27" i="149"/>
  <c r="O26" i="149"/>
  <c r="J26" i="149"/>
  <c r="L26" i="149" s="1"/>
  <c r="H26" i="149"/>
  <c r="O25" i="149"/>
  <c r="J25" i="149"/>
  <c r="L25" i="149" s="1"/>
  <c r="H25" i="149"/>
  <c r="O24" i="149"/>
  <c r="J24" i="149"/>
  <c r="L24" i="149" s="1"/>
  <c r="H24" i="149"/>
  <c r="O23" i="149"/>
  <c r="J23" i="149"/>
  <c r="L23" i="149" s="1"/>
  <c r="O22" i="149"/>
  <c r="G22" i="149"/>
  <c r="J22" i="149" s="1"/>
  <c r="L22" i="149" s="1"/>
  <c r="O21" i="149"/>
  <c r="H21" i="149"/>
  <c r="J21" i="149" s="1"/>
  <c r="L21" i="149" s="1"/>
  <c r="O20" i="149"/>
  <c r="I20" i="149"/>
  <c r="G20" i="149"/>
  <c r="J20" i="149" s="1"/>
  <c r="L20" i="149" s="1"/>
  <c r="O19" i="149"/>
  <c r="J19" i="149"/>
  <c r="L19" i="149" s="1"/>
  <c r="G19" i="149"/>
  <c r="O18" i="149"/>
  <c r="J18" i="149"/>
  <c r="L18" i="149" s="1"/>
  <c r="O17" i="149"/>
  <c r="G17" i="149"/>
  <c r="J17" i="149" s="1"/>
  <c r="L17" i="149" s="1"/>
  <c r="O16" i="149"/>
  <c r="L16" i="149"/>
  <c r="J16" i="149"/>
  <c r="O15" i="149"/>
  <c r="I15" i="149"/>
  <c r="H15" i="149"/>
  <c r="J15" i="149" s="1"/>
  <c r="L15" i="149" s="1"/>
  <c r="O14" i="149"/>
  <c r="I14" i="149"/>
  <c r="J14" i="149" s="1"/>
  <c r="L14" i="149" s="1"/>
  <c r="O13" i="149"/>
  <c r="H13" i="149"/>
  <c r="J13" i="149" s="1"/>
  <c r="L13" i="149" s="1"/>
  <c r="O12" i="149"/>
  <c r="H12" i="149"/>
  <c r="J12" i="149" s="1"/>
  <c r="L12" i="149" s="1"/>
  <c r="O11" i="149"/>
  <c r="H11" i="149"/>
  <c r="J11" i="149" s="1"/>
  <c r="L11" i="149" s="1"/>
  <c r="O10" i="149"/>
  <c r="L10" i="149"/>
  <c r="J10" i="149"/>
  <c r="O9" i="149"/>
  <c r="I9" i="149"/>
  <c r="H9" i="149"/>
  <c r="J9" i="149" s="1"/>
  <c r="L9" i="149" s="1"/>
  <c r="O8" i="149"/>
  <c r="H8" i="149"/>
  <c r="H34" i="149" s="1"/>
  <c r="O7" i="149"/>
  <c r="G7" i="149"/>
  <c r="J7" i="149" s="1"/>
  <c r="E3" i="149"/>
  <c r="H36" i="68"/>
  <c r="G27" i="68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34" i="1"/>
  <c r="Q122" i="1"/>
  <c r="Q123" i="1"/>
  <c r="Q131" i="1" s="1"/>
  <c r="Q124" i="1"/>
  <c r="Q125" i="1"/>
  <c r="Q126" i="1"/>
  <c r="Q127" i="1"/>
  <c r="Q128" i="1"/>
  <c r="Q129" i="1"/>
  <c r="Q130" i="1"/>
  <c r="Q121" i="1"/>
  <c r="Q117" i="1"/>
  <c r="Q115" i="1"/>
  <c r="Q106" i="1"/>
  <c r="Q112" i="1" s="1"/>
  <c r="Q107" i="1"/>
  <c r="Q108" i="1"/>
  <c r="Q109" i="1"/>
  <c r="Q110" i="1"/>
  <c r="Q111" i="1"/>
  <c r="Q105" i="1"/>
  <c r="Q99" i="1"/>
  <c r="Q100" i="1"/>
  <c r="Q101" i="1"/>
  <c r="Q102" i="1" s="1"/>
  <c r="Q98" i="1"/>
  <c r="Q86" i="1"/>
  <c r="Q87" i="1"/>
  <c r="Q88" i="1"/>
  <c r="Q89" i="1"/>
  <c r="Q95" i="1" s="1"/>
  <c r="Q90" i="1"/>
  <c r="Q91" i="1"/>
  <c r="Q92" i="1"/>
  <c r="Q93" i="1"/>
  <c r="Q94" i="1"/>
  <c r="Q85" i="1"/>
  <c r="Q76" i="1"/>
  <c r="Q77" i="1"/>
  <c r="Q78" i="1"/>
  <c r="Q79" i="1"/>
  <c r="Q80" i="1"/>
  <c r="Q81" i="1"/>
  <c r="Q75" i="1"/>
  <c r="Q63" i="1"/>
  <c r="Q64" i="1"/>
  <c r="Q65" i="1"/>
  <c r="Q66" i="1"/>
  <c r="Q67" i="1"/>
  <c r="Q68" i="1"/>
  <c r="Q69" i="1"/>
  <c r="Q70" i="1"/>
  <c r="Q71" i="1"/>
  <c r="Q62" i="1"/>
  <c r="Q58" i="1"/>
  <c r="Q57" i="1"/>
  <c r="Q59" i="1" s="1"/>
  <c r="Q44" i="1"/>
  <c r="Q54" i="1" s="1"/>
  <c r="Q45" i="1"/>
  <c r="Q46" i="1"/>
  <c r="Q47" i="1"/>
  <c r="Q48" i="1"/>
  <c r="Q49" i="1"/>
  <c r="Q50" i="1"/>
  <c r="Q51" i="1"/>
  <c r="Q52" i="1"/>
  <c r="Q53" i="1"/>
  <c r="Q43" i="1"/>
  <c r="Q38" i="1"/>
  <c r="Q39" i="1"/>
  <c r="Q37" i="1"/>
  <c r="Q8" i="1"/>
  <c r="Q9" i="1"/>
  <c r="Q10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7" i="1"/>
  <c r="P194" i="1"/>
  <c r="Q72" i="1"/>
  <c r="P40" i="1"/>
  <c r="L34" i="1"/>
  <c r="N34" i="1"/>
  <c r="O34" i="1"/>
  <c r="P34" i="1"/>
  <c r="H35" i="68"/>
  <c r="X49" i="147"/>
  <c r="F19" i="147"/>
  <c r="N194" i="1"/>
  <c r="G189" i="147"/>
  <c r="G188" i="147"/>
  <c r="C188" i="147"/>
  <c r="E35" i="147"/>
  <c r="E36" i="147"/>
  <c r="E37" i="147"/>
  <c r="I37" i="147" s="1"/>
  <c r="L37" i="147" s="1"/>
  <c r="M37" i="147" s="1"/>
  <c r="N37" i="147" s="1"/>
  <c r="O37" i="147" s="1"/>
  <c r="G187" i="147"/>
  <c r="E187" i="147"/>
  <c r="G186" i="147"/>
  <c r="E186" i="147"/>
  <c r="G185" i="147"/>
  <c r="E185" i="147"/>
  <c r="G184" i="147"/>
  <c r="E184" i="147"/>
  <c r="G183" i="147"/>
  <c r="E183" i="147"/>
  <c r="E182" i="147"/>
  <c r="E181" i="147"/>
  <c r="E180" i="147"/>
  <c r="I180" i="147" s="1"/>
  <c r="L180" i="147" s="1"/>
  <c r="M180" i="147" s="1"/>
  <c r="N180" i="147" s="1"/>
  <c r="O180" i="147" s="1"/>
  <c r="E179" i="147"/>
  <c r="I179" i="147" s="1"/>
  <c r="L179" i="147" s="1"/>
  <c r="M179" i="147" s="1"/>
  <c r="N179" i="147" s="1"/>
  <c r="E178" i="147"/>
  <c r="E177" i="147"/>
  <c r="I177" i="147" s="1"/>
  <c r="L177" i="147" s="1"/>
  <c r="M177" i="147" s="1"/>
  <c r="N177" i="147" s="1"/>
  <c r="E176" i="147"/>
  <c r="I176" i="147" s="1"/>
  <c r="L176" i="147" s="1"/>
  <c r="M176" i="147" s="1"/>
  <c r="N176" i="147" s="1"/>
  <c r="E175" i="147"/>
  <c r="I175" i="147" s="1"/>
  <c r="L175" i="147" s="1"/>
  <c r="M175" i="147" s="1"/>
  <c r="N175" i="147" s="1"/>
  <c r="E174" i="147"/>
  <c r="E173" i="147"/>
  <c r="I173" i="147" s="1"/>
  <c r="L173" i="147" s="1"/>
  <c r="M173" i="147" s="1"/>
  <c r="N173" i="147" s="1"/>
  <c r="O173" i="147" s="1"/>
  <c r="E172" i="147"/>
  <c r="I172" i="147" s="1"/>
  <c r="L172" i="147" s="1"/>
  <c r="M172" i="147" s="1"/>
  <c r="N172" i="147" s="1"/>
  <c r="O172" i="147" s="1"/>
  <c r="E171" i="147"/>
  <c r="I171" i="147" s="1"/>
  <c r="L171" i="147" s="1"/>
  <c r="M171" i="147" s="1"/>
  <c r="N171" i="147" s="1"/>
  <c r="O171" i="147" s="1"/>
  <c r="E170" i="147"/>
  <c r="I170" i="147" s="1"/>
  <c r="L170" i="147" s="1"/>
  <c r="M170" i="147" s="1"/>
  <c r="N170" i="147" s="1"/>
  <c r="E169" i="147"/>
  <c r="I169" i="147" s="1"/>
  <c r="L169" i="147" s="1"/>
  <c r="M169" i="147" s="1"/>
  <c r="N169" i="147" s="1"/>
  <c r="E168" i="147"/>
  <c r="I168" i="147" s="1"/>
  <c r="L168" i="147" s="1"/>
  <c r="M168" i="147" s="1"/>
  <c r="N168" i="147" s="1"/>
  <c r="O168" i="147" s="1"/>
  <c r="E167" i="147"/>
  <c r="E166" i="147"/>
  <c r="E165" i="147"/>
  <c r="E164" i="147"/>
  <c r="I164" i="147" s="1"/>
  <c r="L164" i="147" s="1"/>
  <c r="M164" i="147" s="1"/>
  <c r="N164" i="147" s="1"/>
  <c r="O164" i="147" s="1"/>
  <c r="P164" i="147" s="1"/>
  <c r="E163" i="147"/>
  <c r="I163" i="147" s="1"/>
  <c r="L163" i="147" s="1"/>
  <c r="M163" i="147" s="1"/>
  <c r="N163" i="147" s="1"/>
  <c r="O163" i="147" s="1"/>
  <c r="E162" i="147"/>
  <c r="I162" i="147" s="1"/>
  <c r="L162" i="147" s="1"/>
  <c r="M162" i="147" s="1"/>
  <c r="N162" i="147" s="1"/>
  <c r="E161" i="147"/>
  <c r="I161" i="147" s="1"/>
  <c r="L161" i="147" s="1"/>
  <c r="M161" i="147" s="1"/>
  <c r="N161" i="147" s="1"/>
  <c r="F160" i="147"/>
  <c r="E160" i="147"/>
  <c r="E159" i="147"/>
  <c r="I159" i="147" s="1"/>
  <c r="L159" i="147" s="1"/>
  <c r="M159" i="147" s="1"/>
  <c r="N159" i="147" s="1"/>
  <c r="O159" i="147" s="1"/>
  <c r="E158" i="147"/>
  <c r="I158" i="147" s="1"/>
  <c r="L158" i="147" s="1"/>
  <c r="M158" i="147" s="1"/>
  <c r="N158" i="147" s="1"/>
  <c r="F157" i="147"/>
  <c r="E157" i="147"/>
  <c r="E156" i="147"/>
  <c r="E155" i="147"/>
  <c r="E154" i="147"/>
  <c r="I154" i="147" s="1"/>
  <c r="L154" i="147" s="1"/>
  <c r="M154" i="147" s="1"/>
  <c r="N154" i="147" s="1"/>
  <c r="O154" i="147" s="1"/>
  <c r="P154" i="147" s="1"/>
  <c r="E153" i="147"/>
  <c r="I153" i="147" s="1"/>
  <c r="L153" i="147" s="1"/>
  <c r="M153" i="147" s="1"/>
  <c r="N153" i="147" s="1"/>
  <c r="O153" i="147" s="1"/>
  <c r="E152" i="147"/>
  <c r="I152" i="147" s="1"/>
  <c r="L152" i="147" s="1"/>
  <c r="M152" i="147" s="1"/>
  <c r="N152" i="147" s="1"/>
  <c r="E151" i="147"/>
  <c r="I151" i="147" s="1"/>
  <c r="L151" i="147" s="1"/>
  <c r="M151" i="147" s="1"/>
  <c r="N151" i="147" s="1"/>
  <c r="E150" i="147"/>
  <c r="I150" i="147" s="1"/>
  <c r="L150" i="147" s="1"/>
  <c r="M150" i="147" s="1"/>
  <c r="N150" i="147" s="1"/>
  <c r="O150" i="147" s="1"/>
  <c r="F149" i="147"/>
  <c r="E149" i="147"/>
  <c r="I149" i="147" s="1"/>
  <c r="L149" i="147" s="1"/>
  <c r="M149" i="147" s="1"/>
  <c r="E148" i="147"/>
  <c r="I148" i="147" s="1"/>
  <c r="L148" i="147" s="1"/>
  <c r="M148" i="147" s="1"/>
  <c r="N148" i="147" s="1"/>
  <c r="O148" i="147" s="1"/>
  <c r="E147" i="147"/>
  <c r="E146" i="147"/>
  <c r="I145" i="147"/>
  <c r="L145" i="147" s="1"/>
  <c r="M145" i="147" s="1"/>
  <c r="N145" i="147" s="1"/>
  <c r="O145" i="147" s="1"/>
  <c r="E145" i="147"/>
  <c r="E144" i="147"/>
  <c r="I144" i="147" s="1"/>
  <c r="L144" i="147" s="1"/>
  <c r="M144" i="147" s="1"/>
  <c r="N144" i="147" s="1"/>
  <c r="O144" i="147" s="1"/>
  <c r="F143" i="147"/>
  <c r="E143" i="147"/>
  <c r="E142" i="147"/>
  <c r="I142" i="147" s="1"/>
  <c r="L142" i="147" s="1"/>
  <c r="M142" i="147" s="1"/>
  <c r="N142" i="147" s="1"/>
  <c r="E141" i="147"/>
  <c r="F140" i="147"/>
  <c r="E140" i="147"/>
  <c r="F139" i="147"/>
  <c r="E139" i="147"/>
  <c r="E138" i="147"/>
  <c r="E137" i="147"/>
  <c r="E136" i="147"/>
  <c r="F135" i="147"/>
  <c r="E135" i="147"/>
  <c r="I134" i="147"/>
  <c r="L134" i="147" s="1"/>
  <c r="M134" i="147" s="1"/>
  <c r="N134" i="147" s="1"/>
  <c r="F134" i="147"/>
  <c r="E134" i="147"/>
  <c r="F133" i="147"/>
  <c r="E133" i="147"/>
  <c r="I133" i="147" s="1"/>
  <c r="L133" i="147" s="1"/>
  <c r="M133" i="147" s="1"/>
  <c r="N133" i="147" s="1"/>
  <c r="F132" i="147"/>
  <c r="E132" i="147"/>
  <c r="F131" i="147"/>
  <c r="E131" i="147"/>
  <c r="I131" i="147" s="1"/>
  <c r="L131" i="147" s="1"/>
  <c r="M131" i="147" s="1"/>
  <c r="N131" i="147" s="1"/>
  <c r="O131" i="147" s="1"/>
  <c r="E130" i="147"/>
  <c r="I130" i="147" s="1"/>
  <c r="L130" i="147" s="1"/>
  <c r="M130" i="147" s="1"/>
  <c r="N130" i="147" s="1"/>
  <c r="O130" i="147" s="1"/>
  <c r="E129" i="147"/>
  <c r="I129" i="147" s="1"/>
  <c r="L129" i="147" s="1"/>
  <c r="M129" i="147" s="1"/>
  <c r="N129" i="147" s="1"/>
  <c r="E125" i="147"/>
  <c r="I125" i="147" s="1"/>
  <c r="L125" i="147" s="1"/>
  <c r="M125" i="147" s="1"/>
  <c r="N125" i="147" s="1"/>
  <c r="O125" i="147" s="1"/>
  <c r="E124" i="147"/>
  <c r="I124" i="147" s="1"/>
  <c r="L124" i="147" s="1"/>
  <c r="M124" i="147" s="1"/>
  <c r="N124" i="147" s="1"/>
  <c r="O124" i="147" s="1"/>
  <c r="E123" i="147"/>
  <c r="I123" i="147" s="1"/>
  <c r="L123" i="147" s="1"/>
  <c r="M123" i="147" s="1"/>
  <c r="N123" i="147" s="1"/>
  <c r="F122" i="147"/>
  <c r="E122" i="147"/>
  <c r="F121" i="147"/>
  <c r="E121" i="147"/>
  <c r="E120" i="147"/>
  <c r="I120" i="147" s="1"/>
  <c r="L120" i="147" s="1"/>
  <c r="M120" i="147" s="1"/>
  <c r="N120" i="147" s="1"/>
  <c r="O120" i="147" s="1"/>
  <c r="E119" i="147"/>
  <c r="F118" i="147"/>
  <c r="E118" i="147"/>
  <c r="F117" i="147"/>
  <c r="E117" i="147"/>
  <c r="I117" i="147" s="1"/>
  <c r="L117" i="147" s="1"/>
  <c r="M117" i="147" s="1"/>
  <c r="F116" i="147"/>
  <c r="E116" i="147"/>
  <c r="F112" i="147"/>
  <c r="E112" i="147"/>
  <c r="E111" i="147"/>
  <c r="F110" i="147"/>
  <c r="I110" i="147" s="1"/>
  <c r="L110" i="147" s="1"/>
  <c r="M110" i="147" s="1"/>
  <c r="N110" i="147" s="1"/>
  <c r="O110" i="147" s="1"/>
  <c r="E110" i="147"/>
  <c r="E106" i="147"/>
  <c r="E105" i="147"/>
  <c r="E104" i="147"/>
  <c r="E103" i="147"/>
  <c r="I103" i="147" s="1"/>
  <c r="L103" i="147" s="1"/>
  <c r="M103" i="147" s="1"/>
  <c r="N103" i="147" s="1"/>
  <c r="F102" i="147"/>
  <c r="E102" i="147"/>
  <c r="F101" i="147"/>
  <c r="E101" i="147"/>
  <c r="E100" i="147"/>
  <c r="I100" i="147" s="1"/>
  <c r="L100" i="147" s="1"/>
  <c r="M100" i="147" s="1"/>
  <c r="N100" i="147" s="1"/>
  <c r="O100" i="147" s="1"/>
  <c r="E96" i="147"/>
  <c r="I96" i="147" s="1"/>
  <c r="L96" i="147" s="1"/>
  <c r="M96" i="147" s="1"/>
  <c r="N96" i="147" s="1"/>
  <c r="O96" i="147" s="1"/>
  <c r="E95" i="147"/>
  <c r="E94" i="147"/>
  <c r="I94" i="147" s="1"/>
  <c r="L94" i="147" s="1"/>
  <c r="M94" i="147" s="1"/>
  <c r="N94" i="147" s="1"/>
  <c r="O94" i="147" s="1"/>
  <c r="F93" i="147"/>
  <c r="E93" i="147"/>
  <c r="E89" i="147"/>
  <c r="I89" i="147" s="1"/>
  <c r="L89" i="147" s="1"/>
  <c r="M89" i="147" s="1"/>
  <c r="N89" i="147" s="1"/>
  <c r="E88" i="147"/>
  <c r="F87" i="147"/>
  <c r="E87" i="147"/>
  <c r="G86" i="147"/>
  <c r="E86" i="147"/>
  <c r="E85" i="147"/>
  <c r="E84" i="147"/>
  <c r="E83" i="147"/>
  <c r="E82" i="147"/>
  <c r="F81" i="147"/>
  <c r="E81" i="147"/>
  <c r="E80" i="147"/>
  <c r="E76" i="147"/>
  <c r="E75" i="147"/>
  <c r="I75" i="147" s="1"/>
  <c r="L75" i="147" s="1"/>
  <c r="M75" i="147" s="1"/>
  <c r="N75" i="147" s="1"/>
  <c r="O75" i="147" s="1"/>
  <c r="E74" i="147"/>
  <c r="I74" i="147" s="1"/>
  <c r="L74" i="147" s="1"/>
  <c r="M74" i="147" s="1"/>
  <c r="N74" i="147" s="1"/>
  <c r="O74" i="147" s="1"/>
  <c r="S74" i="147" s="1"/>
  <c r="F73" i="147"/>
  <c r="E73" i="147"/>
  <c r="E72" i="147"/>
  <c r="E71" i="147"/>
  <c r="I71" i="147" s="1"/>
  <c r="L71" i="147" s="1"/>
  <c r="M71" i="147" s="1"/>
  <c r="N71" i="147" s="1"/>
  <c r="E70" i="147"/>
  <c r="E66" i="147"/>
  <c r="I66" i="147" s="1"/>
  <c r="L66" i="147" s="1"/>
  <c r="M66" i="147" s="1"/>
  <c r="N66" i="147" s="1"/>
  <c r="E65" i="147"/>
  <c r="E64" i="147"/>
  <c r="I64" i="147" s="1"/>
  <c r="L64" i="147" s="1"/>
  <c r="M64" i="147" s="1"/>
  <c r="N64" i="147" s="1"/>
  <c r="E63" i="147"/>
  <c r="E62" i="147"/>
  <c r="I62" i="147" s="1"/>
  <c r="L62" i="147" s="1"/>
  <c r="M62" i="147" s="1"/>
  <c r="N62" i="147" s="1"/>
  <c r="E61" i="147"/>
  <c r="E60" i="147"/>
  <c r="E59" i="147"/>
  <c r="I59" i="147" s="1"/>
  <c r="L59" i="147" s="1"/>
  <c r="M59" i="147" s="1"/>
  <c r="N59" i="147" s="1"/>
  <c r="G58" i="147"/>
  <c r="E58" i="147"/>
  <c r="E57" i="147"/>
  <c r="I57" i="147" s="1"/>
  <c r="L57" i="147" s="1"/>
  <c r="M57" i="147" s="1"/>
  <c r="N57" i="147" s="1"/>
  <c r="E54" i="147"/>
  <c r="I54" i="147" s="1"/>
  <c r="L54" i="147" s="1"/>
  <c r="M54" i="147" s="1"/>
  <c r="N54" i="147" s="1"/>
  <c r="E53" i="147"/>
  <c r="I53" i="147" s="1"/>
  <c r="L53" i="147" s="1"/>
  <c r="M53" i="147" s="1"/>
  <c r="N53" i="147" s="1"/>
  <c r="O53" i="147" s="1"/>
  <c r="E50" i="147"/>
  <c r="E49" i="147"/>
  <c r="I49" i="147" s="1"/>
  <c r="L49" i="147" s="1"/>
  <c r="M49" i="147" s="1"/>
  <c r="N49" i="147" s="1"/>
  <c r="O49" i="147" s="1"/>
  <c r="E48" i="147"/>
  <c r="I48" i="147" s="1"/>
  <c r="L48" i="147" s="1"/>
  <c r="M48" i="147" s="1"/>
  <c r="N48" i="147" s="1"/>
  <c r="O48" i="147" s="1"/>
  <c r="Q48" i="147" s="1"/>
  <c r="E47" i="147"/>
  <c r="I47" i="147" s="1"/>
  <c r="L47" i="147" s="1"/>
  <c r="M47" i="147" s="1"/>
  <c r="N47" i="147" s="1"/>
  <c r="O47" i="147" s="1"/>
  <c r="Q47" i="147" s="1"/>
  <c r="E46" i="147"/>
  <c r="I46" i="147" s="1"/>
  <c r="L46" i="147" s="1"/>
  <c r="M46" i="147" s="1"/>
  <c r="N46" i="147" s="1"/>
  <c r="O46" i="147" s="1"/>
  <c r="E45" i="147"/>
  <c r="I45" i="147" s="1"/>
  <c r="L45" i="147" s="1"/>
  <c r="M45" i="147" s="1"/>
  <c r="N45" i="147" s="1"/>
  <c r="O45" i="147" s="1"/>
  <c r="F44" i="147"/>
  <c r="E44" i="147"/>
  <c r="E43" i="147"/>
  <c r="E42" i="147"/>
  <c r="E41" i="147"/>
  <c r="E40" i="147"/>
  <c r="G32" i="147"/>
  <c r="E32" i="147"/>
  <c r="E31" i="147"/>
  <c r="I31" i="147" s="1"/>
  <c r="L31" i="147" s="1"/>
  <c r="M31" i="147" s="1"/>
  <c r="N31" i="147" s="1"/>
  <c r="O31" i="147" s="1"/>
  <c r="E30" i="147"/>
  <c r="I30" i="147" s="1"/>
  <c r="L30" i="147" s="1"/>
  <c r="M30" i="147" s="1"/>
  <c r="N30" i="147" s="1"/>
  <c r="O30" i="147" s="1"/>
  <c r="E29" i="147"/>
  <c r="I29" i="147" s="1"/>
  <c r="L29" i="147" s="1"/>
  <c r="M29" i="147" s="1"/>
  <c r="N29" i="147" s="1"/>
  <c r="O29" i="147" s="1"/>
  <c r="E28" i="147"/>
  <c r="I28" i="147" s="1"/>
  <c r="L28" i="147" s="1"/>
  <c r="M28" i="147" s="1"/>
  <c r="N28" i="147" s="1"/>
  <c r="E27" i="147"/>
  <c r="E26" i="147"/>
  <c r="E25" i="147"/>
  <c r="I25" i="147" s="1"/>
  <c r="L25" i="147" s="1"/>
  <c r="M25" i="147" s="1"/>
  <c r="N25" i="147" s="1"/>
  <c r="O25" i="147" s="1"/>
  <c r="E24" i="147"/>
  <c r="E23" i="147"/>
  <c r="E22" i="147"/>
  <c r="I22" i="147" s="1"/>
  <c r="L22" i="147" s="1"/>
  <c r="M22" i="147" s="1"/>
  <c r="N22" i="147" s="1"/>
  <c r="O22" i="147" s="1"/>
  <c r="E21" i="147"/>
  <c r="I21" i="147" s="1"/>
  <c r="L21" i="147" s="1"/>
  <c r="M21" i="147" s="1"/>
  <c r="N21" i="147" s="1"/>
  <c r="O21" i="147" s="1"/>
  <c r="E20" i="147"/>
  <c r="I20" i="147" s="1"/>
  <c r="L20" i="147" s="1"/>
  <c r="M20" i="147" s="1"/>
  <c r="N20" i="147" s="1"/>
  <c r="O20" i="147" s="1"/>
  <c r="E19" i="147"/>
  <c r="I19" i="147" s="1"/>
  <c r="L19" i="147" s="1"/>
  <c r="M19" i="147" s="1"/>
  <c r="N19" i="147" s="1"/>
  <c r="O19" i="147" s="1"/>
  <c r="E18" i="147"/>
  <c r="I18" i="147" s="1"/>
  <c r="L18" i="147" s="1"/>
  <c r="M18" i="147" s="1"/>
  <c r="N18" i="147" s="1"/>
  <c r="O18" i="147" s="1"/>
  <c r="E17" i="147"/>
  <c r="I17" i="147" s="1"/>
  <c r="L17" i="147" s="1"/>
  <c r="M17" i="147" s="1"/>
  <c r="N17" i="147" s="1"/>
  <c r="O17" i="147" s="1"/>
  <c r="E16" i="147"/>
  <c r="I16" i="147" s="1"/>
  <c r="L16" i="147" s="1"/>
  <c r="M16" i="147" s="1"/>
  <c r="N16" i="147" s="1"/>
  <c r="O16" i="147" s="1"/>
  <c r="E15" i="147"/>
  <c r="I15" i="147" s="1"/>
  <c r="L15" i="147" s="1"/>
  <c r="M15" i="147" s="1"/>
  <c r="N15" i="147" s="1"/>
  <c r="O15" i="147" s="1"/>
  <c r="E14" i="147"/>
  <c r="I14" i="147" s="1"/>
  <c r="L14" i="147" s="1"/>
  <c r="M14" i="147" s="1"/>
  <c r="N14" i="147" s="1"/>
  <c r="O14" i="147" s="1"/>
  <c r="F13" i="147"/>
  <c r="E13" i="147"/>
  <c r="I13" i="147" s="1"/>
  <c r="L13" i="147" s="1"/>
  <c r="M13" i="147" s="1"/>
  <c r="F12" i="147"/>
  <c r="E12" i="147"/>
  <c r="E11" i="147"/>
  <c r="I11" i="147" s="1"/>
  <c r="L11" i="147" s="1"/>
  <c r="M11" i="147" s="1"/>
  <c r="N11" i="147" s="1"/>
  <c r="F10" i="147"/>
  <c r="E10" i="147"/>
  <c r="F9" i="147"/>
  <c r="E9" i="147"/>
  <c r="E8" i="147"/>
  <c r="I8" i="147" s="1"/>
  <c r="L8" i="147" s="1"/>
  <c r="M8" i="147" s="1"/>
  <c r="N8" i="147" s="1"/>
  <c r="O8" i="147" s="1"/>
  <c r="E7" i="147"/>
  <c r="I7" i="147" s="1"/>
  <c r="L7" i="147" s="1"/>
  <c r="M7" i="147" s="1"/>
  <c r="N7" i="147" s="1"/>
  <c r="O7" i="147" s="1"/>
  <c r="E6" i="147"/>
  <c r="I6" i="147" s="1"/>
  <c r="L6" i="147" s="1"/>
  <c r="M6" i="147" s="1"/>
  <c r="N6" i="147" s="1"/>
  <c r="O6" i="147" s="1"/>
  <c r="I73" i="147" l="1"/>
  <c r="L73" i="147" s="1"/>
  <c r="M73" i="147" s="1"/>
  <c r="N73" i="147" s="1"/>
  <c r="O73" i="147" s="1"/>
  <c r="U73" i="147" s="1"/>
  <c r="F188" i="147"/>
  <c r="F189" i="147" s="1"/>
  <c r="I10" i="147"/>
  <c r="L10" i="147" s="1"/>
  <c r="M10" i="147" s="1"/>
  <c r="N10" i="147" s="1"/>
  <c r="O10" i="147" s="1"/>
  <c r="I112" i="147"/>
  <c r="L112" i="147" s="1"/>
  <c r="M112" i="147" s="1"/>
  <c r="N112" i="147" s="1"/>
  <c r="O112" i="147" s="1"/>
  <c r="Q193" i="1"/>
  <c r="Q82" i="1"/>
  <c r="L8" i="150"/>
  <c r="N9" i="150"/>
  <c r="O8" i="150"/>
  <c r="R7" i="150"/>
  <c r="Y7" i="150" s="1"/>
  <c r="J8" i="150"/>
  <c r="R8" i="150" s="1"/>
  <c r="Y8" i="150" s="1"/>
  <c r="E9" i="150"/>
  <c r="O95" i="149"/>
  <c r="O131" i="149"/>
  <c r="F194" i="149"/>
  <c r="O72" i="149"/>
  <c r="L134" i="149"/>
  <c r="J193" i="149"/>
  <c r="L112" i="149"/>
  <c r="L131" i="149"/>
  <c r="L7" i="149"/>
  <c r="L82" i="149"/>
  <c r="L95" i="149"/>
  <c r="J72" i="149"/>
  <c r="L62" i="149"/>
  <c r="L72" i="149" s="1"/>
  <c r="L40" i="149"/>
  <c r="L102" i="149"/>
  <c r="G34" i="149"/>
  <c r="J40" i="149"/>
  <c r="I34" i="149"/>
  <c r="I194" i="149" s="1"/>
  <c r="G72" i="149"/>
  <c r="G95" i="149"/>
  <c r="G194" i="149" s="1"/>
  <c r="J95" i="149"/>
  <c r="J102" i="149"/>
  <c r="J118" i="149"/>
  <c r="J43" i="149"/>
  <c r="J82" i="149"/>
  <c r="H193" i="149"/>
  <c r="H194" i="149" s="1"/>
  <c r="J131" i="149"/>
  <c r="J112" i="149"/>
  <c r="J8" i="149"/>
  <c r="L8" i="149" s="1"/>
  <c r="J57" i="149"/>
  <c r="I86" i="147"/>
  <c r="L86" i="147" s="1"/>
  <c r="M86" i="147" s="1"/>
  <c r="N86" i="147" s="1"/>
  <c r="O86" i="147" s="1"/>
  <c r="I32" i="147"/>
  <c r="L32" i="147" s="1"/>
  <c r="M32" i="147" s="1"/>
  <c r="N32" i="147" s="1"/>
  <c r="O32" i="147" s="1"/>
  <c r="I122" i="147"/>
  <c r="L122" i="147" s="1"/>
  <c r="M122" i="147" s="1"/>
  <c r="N122" i="147" s="1"/>
  <c r="I12" i="147"/>
  <c r="L12" i="147" s="1"/>
  <c r="M12" i="147" s="1"/>
  <c r="N12" i="147" s="1"/>
  <c r="I93" i="147"/>
  <c r="L93" i="147" s="1"/>
  <c r="M93" i="147" s="1"/>
  <c r="N93" i="147" s="1"/>
  <c r="O93" i="147" s="1"/>
  <c r="P93" i="147" s="1"/>
  <c r="N149" i="147"/>
  <c r="O149" i="147" s="1"/>
  <c r="O179" i="147"/>
  <c r="S179" i="147" s="1"/>
  <c r="T45" i="147"/>
  <c r="Q45" i="147"/>
  <c r="T46" i="147"/>
  <c r="Q46" i="147"/>
  <c r="O89" i="147"/>
  <c r="R89" i="147" s="1"/>
  <c r="I143" i="147"/>
  <c r="L143" i="147" s="1"/>
  <c r="M143" i="147" s="1"/>
  <c r="N143" i="147" s="1"/>
  <c r="I87" i="147"/>
  <c r="L87" i="147" s="1"/>
  <c r="M87" i="147" s="1"/>
  <c r="N87" i="147" s="1"/>
  <c r="O87" i="147" s="1"/>
  <c r="T87" i="147" s="1"/>
  <c r="I121" i="147"/>
  <c r="L121" i="147" s="1"/>
  <c r="M121" i="147" s="1"/>
  <c r="N121" i="147" s="1"/>
  <c r="O121" i="147" s="1"/>
  <c r="I132" i="147"/>
  <c r="L132" i="147" s="1"/>
  <c r="M132" i="147" s="1"/>
  <c r="N132" i="147" s="1"/>
  <c r="O132" i="147" s="1"/>
  <c r="I167" i="147"/>
  <c r="L167" i="147" s="1"/>
  <c r="M167" i="147" s="1"/>
  <c r="N167" i="147" s="1"/>
  <c r="O167" i="147" s="1"/>
  <c r="I9" i="147"/>
  <c r="L9" i="147" s="1"/>
  <c r="M9" i="147" s="1"/>
  <c r="N9" i="147" s="1"/>
  <c r="O9" i="147" s="1"/>
  <c r="U9" i="147" s="1"/>
  <c r="I101" i="147"/>
  <c r="L101" i="147" s="1"/>
  <c r="M101" i="147" s="1"/>
  <c r="N101" i="147" s="1"/>
  <c r="O101" i="147" s="1"/>
  <c r="U101" i="147" s="1"/>
  <c r="O129" i="147"/>
  <c r="U129" i="147" s="1"/>
  <c r="O57" i="147"/>
  <c r="Q57" i="147" s="1"/>
  <c r="I178" i="147"/>
  <c r="L178" i="147" s="1"/>
  <c r="M178" i="147" s="1"/>
  <c r="N178" i="147" s="1"/>
  <c r="O178" i="147" s="1"/>
  <c r="S178" i="147" s="1"/>
  <c r="S30" i="147"/>
  <c r="R30" i="147"/>
  <c r="T30" i="147"/>
  <c r="Q30" i="147"/>
  <c r="P30" i="147"/>
  <c r="S49" i="147"/>
  <c r="T49" i="147"/>
  <c r="R49" i="147"/>
  <c r="Q49" i="147"/>
  <c r="P49" i="147"/>
  <c r="U8" i="147"/>
  <c r="T8" i="147"/>
  <c r="S8" i="147"/>
  <c r="R8" i="147"/>
  <c r="Q8" i="147"/>
  <c r="P8" i="147"/>
  <c r="R20" i="147"/>
  <c r="Q20" i="147"/>
  <c r="P20" i="147"/>
  <c r="S20" i="147"/>
  <c r="U20" i="147"/>
  <c r="T20" i="147"/>
  <c r="P25" i="147"/>
  <c r="T25" i="147"/>
  <c r="Q25" i="147"/>
  <c r="S25" i="147"/>
  <c r="R25" i="147"/>
  <c r="R15" i="147"/>
  <c r="Q15" i="147"/>
  <c r="P15" i="147"/>
  <c r="U15" i="147"/>
  <c r="S15" i="147"/>
  <c r="T15" i="147"/>
  <c r="T31" i="147"/>
  <c r="S31" i="147"/>
  <c r="R31" i="147"/>
  <c r="Q31" i="147"/>
  <c r="P31" i="147"/>
  <c r="R16" i="147"/>
  <c r="Q16" i="147"/>
  <c r="P16" i="147"/>
  <c r="S16" i="147"/>
  <c r="U16" i="147"/>
  <c r="T16" i="147"/>
  <c r="N13" i="147"/>
  <c r="O13" i="147" s="1"/>
  <c r="P53" i="147"/>
  <c r="U53" i="147"/>
  <c r="T53" i="147"/>
  <c r="S53" i="147"/>
  <c r="R53" i="147"/>
  <c r="Q53" i="147"/>
  <c r="R17" i="147"/>
  <c r="Q17" i="147"/>
  <c r="P17" i="147"/>
  <c r="U17" i="147"/>
  <c r="T17" i="147"/>
  <c r="S17" i="147"/>
  <c r="R21" i="147"/>
  <c r="P21" i="147"/>
  <c r="Q21" i="147"/>
  <c r="S21" i="147"/>
  <c r="U21" i="147"/>
  <c r="T21" i="147"/>
  <c r="S7" i="147"/>
  <c r="U7" i="147"/>
  <c r="T7" i="147"/>
  <c r="R7" i="147"/>
  <c r="Q7" i="147"/>
  <c r="P7" i="147"/>
  <c r="U6" i="147"/>
  <c r="T6" i="147"/>
  <c r="S6" i="147"/>
  <c r="R6" i="147"/>
  <c r="Q6" i="147"/>
  <c r="P6" i="147"/>
  <c r="R14" i="147"/>
  <c r="Q14" i="147"/>
  <c r="P14" i="147"/>
  <c r="U14" i="147"/>
  <c r="T14" i="147"/>
  <c r="S14" i="147"/>
  <c r="R18" i="147"/>
  <c r="P18" i="147"/>
  <c r="Q18" i="147"/>
  <c r="U18" i="147"/>
  <c r="T18" i="147"/>
  <c r="S18" i="147"/>
  <c r="U22" i="147"/>
  <c r="T22" i="147"/>
  <c r="S22" i="147"/>
  <c r="Q22" i="147"/>
  <c r="P22" i="147"/>
  <c r="R22" i="147"/>
  <c r="R19" i="147"/>
  <c r="P19" i="147"/>
  <c r="Q19" i="147"/>
  <c r="S19" i="147"/>
  <c r="U19" i="147"/>
  <c r="T19" i="147"/>
  <c r="R29" i="147"/>
  <c r="Q29" i="147"/>
  <c r="S29" i="147"/>
  <c r="T29" i="147"/>
  <c r="P29" i="147"/>
  <c r="R37" i="147"/>
  <c r="T37" i="147"/>
  <c r="S37" i="147"/>
  <c r="Q37" i="147"/>
  <c r="P37" i="147"/>
  <c r="R75" i="147"/>
  <c r="T75" i="147"/>
  <c r="S75" i="147"/>
  <c r="Q75" i="147"/>
  <c r="P75" i="147"/>
  <c r="Q110" i="147"/>
  <c r="P110" i="147"/>
  <c r="U110" i="147"/>
  <c r="S110" i="147"/>
  <c r="T110" i="147"/>
  <c r="R110" i="147"/>
  <c r="I24" i="147"/>
  <c r="L24" i="147" s="1"/>
  <c r="M24" i="147" s="1"/>
  <c r="N24" i="147" s="1"/>
  <c r="O24" i="147" s="1"/>
  <c r="T124" i="147"/>
  <c r="S124" i="147"/>
  <c r="R124" i="147"/>
  <c r="Q124" i="147"/>
  <c r="P124" i="147"/>
  <c r="I80" i="147"/>
  <c r="L80" i="147" s="1"/>
  <c r="M80" i="147" s="1"/>
  <c r="N80" i="147" s="1"/>
  <c r="O80" i="147" s="1"/>
  <c r="I42" i="147"/>
  <c r="L42" i="147" s="1"/>
  <c r="M42" i="147" s="1"/>
  <c r="N42" i="147" s="1"/>
  <c r="O42" i="147" s="1"/>
  <c r="U57" i="147"/>
  <c r="T57" i="147"/>
  <c r="O28" i="147"/>
  <c r="I35" i="147"/>
  <c r="L35" i="147" s="1"/>
  <c r="M35" i="147" s="1"/>
  <c r="N35" i="147" s="1"/>
  <c r="O35" i="147" s="1"/>
  <c r="I40" i="147"/>
  <c r="L40" i="147" s="1"/>
  <c r="M40" i="147" s="1"/>
  <c r="N40" i="147" s="1"/>
  <c r="O40" i="147" s="1"/>
  <c r="I41" i="147"/>
  <c r="L41" i="147" s="1"/>
  <c r="M41" i="147" s="1"/>
  <c r="N41" i="147" s="1"/>
  <c r="O41" i="147" s="1"/>
  <c r="Q74" i="147"/>
  <c r="O11" i="147"/>
  <c r="I27" i="147"/>
  <c r="L27" i="147" s="1"/>
  <c r="M27" i="147" s="1"/>
  <c r="N27" i="147" s="1"/>
  <c r="O27" i="147" s="1"/>
  <c r="I58" i="147"/>
  <c r="L58" i="147" s="1"/>
  <c r="M58" i="147" s="1"/>
  <c r="N58" i="147" s="1"/>
  <c r="O58" i="147" s="1"/>
  <c r="O12" i="147"/>
  <c r="O54" i="147"/>
  <c r="U87" i="147"/>
  <c r="P87" i="147"/>
  <c r="R87" i="147"/>
  <c r="U74" i="147"/>
  <c r="R74" i="147"/>
  <c r="P74" i="147"/>
  <c r="T74" i="147"/>
  <c r="I44" i="147"/>
  <c r="L44" i="147" s="1"/>
  <c r="M44" i="147" s="1"/>
  <c r="N44" i="147" s="1"/>
  <c r="O44" i="147" s="1"/>
  <c r="P73" i="147"/>
  <c r="U93" i="147"/>
  <c r="R93" i="147"/>
  <c r="I23" i="147"/>
  <c r="L23" i="147" s="1"/>
  <c r="M23" i="147" s="1"/>
  <c r="N23" i="147" s="1"/>
  <c r="O23" i="147" s="1"/>
  <c r="I36" i="147"/>
  <c r="L36" i="147" s="1"/>
  <c r="M36" i="147" s="1"/>
  <c r="N36" i="147" s="1"/>
  <c r="O36" i="147" s="1"/>
  <c r="I50" i="147"/>
  <c r="L50" i="147" s="1"/>
  <c r="M50" i="147" s="1"/>
  <c r="N50" i="147" s="1"/>
  <c r="O50" i="147" s="1"/>
  <c r="I88" i="147"/>
  <c r="L88" i="147" s="1"/>
  <c r="M88" i="147" s="1"/>
  <c r="N88" i="147" s="1"/>
  <c r="O88" i="147" s="1"/>
  <c r="I43" i="147"/>
  <c r="L43" i="147" s="1"/>
  <c r="M43" i="147" s="1"/>
  <c r="N43" i="147" s="1"/>
  <c r="O43" i="147" s="1"/>
  <c r="U45" i="147"/>
  <c r="S45" i="147"/>
  <c r="R45" i="147"/>
  <c r="U46" i="147"/>
  <c r="S46" i="147"/>
  <c r="R46" i="147"/>
  <c r="U47" i="147"/>
  <c r="T47" i="147"/>
  <c r="S47" i="147"/>
  <c r="R47" i="147"/>
  <c r="Q94" i="147"/>
  <c r="P94" i="147"/>
  <c r="U94" i="147"/>
  <c r="T94" i="147"/>
  <c r="S94" i="147"/>
  <c r="R94" i="147"/>
  <c r="R100" i="147"/>
  <c r="Q100" i="147"/>
  <c r="U100" i="147"/>
  <c r="T100" i="147"/>
  <c r="P100" i="147"/>
  <c r="S100" i="147"/>
  <c r="I60" i="147"/>
  <c r="L60" i="147" s="1"/>
  <c r="M60" i="147" s="1"/>
  <c r="N60" i="147" s="1"/>
  <c r="O60" i="147" s="1"/>
  <c r="R48" i="147"/>
  <c r="P48" i="147"/>
  <c r="T48" i="147"/>
  <c r="S93" i="147"/>
  <c r="I26" i="147"/>
  <c r="L26" i="147" s="1"/>
  <c r="M26" i="147" s="1"/>
  <c r="N26" i="147" s="1"/>
  <c r="O26" i="147" s="1"/>
  <c r="P45" i="147"/>
  <c r="P46" i="147"/>
  <c r="P47" i="147"/>
  <c r="S48" i="147"/>
  <c r="I63" i="147"/>
  <c r="L63" i="147" s="1"/>
  <c r="M63" i="147" s="1"/>
  <c r="N63" i="147" s="1"/>
  <c r="O63" i="147" s="1"/>
  <c r="I70" i="147"/>
  <c r="L70" i="147" s="1"/>
  <c r="M70" i="147" s="1"/>
  <c r="N70" i="147" s="1"/>
  <c r="O70" i="147" s="1"/>
  <c r="I72" i="147"/>
  <c r="L72" i="147" s="1"/>
  <c r="M72" i="147" s="1"/>
  <c r="N72" i="147" s="1"/>
  <c r="O72" i="147" s="1"/>
  <c r="I76" i="147"/>
  <c r="L76" i="147" s="1"/>
  <c r="M76" i="147" s="1"/>
  <c r="N76" i="147" s="1"/>
  <c r="O76" i="147" s="1"/>
  <c r="U86" i="147"/>
  <c r="T86" i="147"/>
  <c r="R86" i="147"/>
  <c r="Q86" i="147"/>
  <c r="S86" i="147"/>
  <c r="P86" i="147"/>
  <c r="U130" i="147"/>
  <c r="T130" i="147"/>
  <c r="S130" i="147"/>
  <c r="R130" i="147"/>
  <c r="Q130" i="147"/>
  <c r="P130" i="147"/>
  <c r="S145" i="147"/>
  <c r="R145" i="147"/>
  <c r="Q145" i="147"/>
  <c r="T145" i="147"/>
  <c r="P145" i="147"/>
  <c r="O64" i="147"/>
  <c r="O71" i="147"/>
  <c r="I102" i="147"/>
  <c r="L102" i="147" s="1"/>
  <c r="M102" i="147" s="1"/>
  <c r="N102" i="147" s="1"/>
  <c r="O102" i="147" s="1"/>
  <c r="I106" i="147"/>
  <c r="L106" i="147" s="1"/>
  <c r="M106" i="147" s="1"/>
  <c r="N106" i="147" s="1"/>
  <c r="O106" i="147" s="1"/>
  <c r="I118" i="147"/>
  <c r="L118" i="147" s="1"/>
  <c r="M118" i="147" s="1"/>
  <c r="N118" i="147" s="1"/>
  <c r="O118" i="147" s="1"/>
  <c r="I81" i="147"/>
  <c r="L81" i="147" s="1"/>
  <c r="M81" i="147" s="1"/>
  <c r="N81" i="147" s="1"/>
  <c r="O81" i="147" s="1"/>
  <c r="T171" i="147"/>
  <c r="S171" i="147"/>
  <c r="R171" i="147"/>
  <c r="Q171" i="147"/>
  <c r="P171" i="147"/>
  <c r="Q96" i="147"/>
  <c r="P96" i="147"/>
  <c r="T96" i="147"/>
  <c r="S96" i="147"/>
  <c r="I104" i="147"/>
  <c r="L104" i="147" s="1"/>
  <c r="M104" i="147" s="1"/>
  <c r="N104" i="147" s="1"/>
  <c r="O104" i="147" s="1"/>
  <c r="T125" i="147"/>
  <c r="S125" i="147"/>
  <c r="R125" i="147"/>
  <c r="Q125" i="147"/>
  <c r="P125" i="147"/>
  <c r="I136" i="147"/>
  <c r="L136" i="147" s="1"/>
  <c r="M136" i="147" s="1"/>
  <c r="N136" i="147" s="1"/>
  <c r="O136" i="147" s="1"/>
  <c r="R144" i="147"/>
  <c r="Q144" i="147"/>
  <c r="P144" i="147"/>
  <c r="T144" i="147"/>
  <c r="S144" i="147"/>
  <c r="O59" i="147"/>
  <c r="I61" i="147"/>
  <c r="L61" i="147" s="1"/>
  <c r="M61" i="147" s="1"/>
  <c r="N61" i="147" s="1"/>
  <c r="O61" i="147" s="1"/>
  <c r="I65" i="147"/>
  <c r="L65" i="147" s="1"/>
  <c r="M65" i="147" s="1"/>
  <c r="N65" i="147" s="1"/>
  <c r="O65" i="147" s="1"/>
  <c r="R96" i="147"/>
  <c r="U131" i="147"/>
  <c r="T131" i="147"/>
  <c r="S131" i="147"/>
  <c r="R131" i="147"/>
  <c r="Q131" i="147"/>
  <c r="P131" i="147"/>
  <c r="O62" i="147"/>
  <c r="O66" i="147"/>
  <c r="R129" i="147"/>
  <c r="Q129" i="147"/>
  <c r="Q101" i="147"/>
  <c r="P101" i="147"/>
  <c r="R101" i="147"/>
  <c r="U120" i="147"/>
  <c r="T120" i="147"/>
  <c r="S120" i="147"/>
  <c r="R120" i="147"/>
  <c r="Q120" i="147"/>
  <c r="P120" i="147"/>
  <c r="O134" i="147"/>
  <c r="T163" i="147"/>
  <c r="S163" i="147"/>
  <c r="R163" i="147"/>
  <c r="Q163" i="147"/>
  <c r="P163" i="147"/>
  <c r="I82" i="147"/>
  <c r="L82" i="147" s="1"/>
  <c r="M82" i="147" s="1"/>
  <c r="N82" i="147" s="1"/>
  <c r="O82" i="147" s="1"/>
  <c r="I83" i="147"/>
  <c r="L83" i="147" s="1"/>
  <c r="M83" i="147" s="1"/>
  <c r="N83" i="147" s="1"/>
  <c r="O83" i="147" s="1"/>
  <c r="I84" i="147"/>
  <c r="L84" i="147" s="1"/>
  <c r="M84" i="147" s="1"/>
  <c r="N84" i="147" s="1"/>
  <c r="O84" i="147" s="1"/>
  <c r="I85" i="147"/>
  <c r="L85" i="147" s="1"/>
  <c r="M85" i="147" s="1"/>
  <c r="N85" i="147" s="1"/>
  <c r="O85" i="147" s="1"/>
  <c r="I95" i="147"/>
  <c r="L95" i="147" s="1"/>
  <c r="M95" i="147" s="1"/>
  <c r="N95" i="147" s="1"/>
  <c r="O95" i="147" s="1"/>
  <c r="I105" i="147"/>
  <c r="L105" i="147" s="1"/>
  <c r="M105" i="147" s="1"/>
  <c r="N105" i="147" s="1"/>
  <c r="O105" i="147" s="1"/>
  <c r="N117" i="147"/>
  <c r="O117" i="147" s="1"/>
  <c r="I137" i="147"/>
  <c r="L137" i="147" s="1"/>
  <c r="M137" i="147" s="1"/>
  <c r="N137" i="147" s="1"/>
  <c r="O137" i="147" s="1"/>
  <c r="R159" i="147"/>
  <c r="Q159" i="147"/>
  <c r="P159" i="147"/>
  <c r="S159" i="147"/>
  <c r="T159" i="147"/>
  <c r="I111" i="147"/>
  <c r="L111" i="147" s="1"/>
  <c r="M111" i="147" s="1"/>
  <c r="N111" i="147" s="1"/>
  <c r="O111" i="147" s="1"/>
  <c r="I119" i="147"/>
  <c r="L119" i="147" s="1"/>
  <c r="M119" i="147" s="1"/>
  <c r="N119" i="147" s="1"/>
  <c r="O119" i="147" s="1"/>
  <c r="I138" i="147"/>
  <c r="L138" i="147" s="1"/>
  <c r="M138" i="147" s="1"/>
  <c r="N138" i="147" s="1"/>
  <c r="O138" i="147" s="1"/>
  <c r="T153" i="147"/>
  <c r="S153" i="147"/>
  <c r="R153" i="147"/>
  <c r="Q153" i="147"/>
  <c r="P153" i="147"/>
  <c r="I141" i="147"/>
  <c r="L141" i="147" s="1"/>
  <c r="M141" i="147" s="1"/>
  <c r="N141" i="147" s="1"/>
  <c r="O141" i="147" s="1"/>
  <c r="O103" i="147"/>
  <c r="I135" i="147"/>
  <c r="L135" i="147" s="1"/>
  <c r="M135" i="147" s="1"/>
  <c r="N135" i="147" s="1"/>
  <c r="O135" i="147" s="1"/>
  <c r="I139" i="147"/>
  <c r="L139" i="147" s="1"/>
  <c r="M139" i="147" s="1"/>
  <c r="N139" i="147" s="1"/>
  <c r="O139" i="147" s="1"/>
  <c r="T154" i="147"/>
  <c r="S154" i="147"/>
  <c r="R154" i="147"/>
  <c r="Q154" i="147"/>
  <c r="O162" i="147"/>
  <c r="T164" i="147"/>
  <c r="S164" i="147"/>
  <c r="R164" i="147"/>
  <c r="Q164" i="147"/>
  <c r="O175" i="147"/>
  <c r="Q148" i="147"/>
  <c r="P148" i="147"/>
  <c r="T148" i="147"/>
  <c r="R148" i="147"/>
  <c r="R150" i="147"/>
  <c r="Q150" i="147"/>
  <c r="P150" i="147"/>
  <c r="S150" i="147"/>
  <c r="O170" i="147"/>
  <c r="T172" i="147"/>
  <c r="S172" i="147"/>
  <c r="R172" i="147"/>
  <c r="Q172" i="147"/>
  <c r="T180" i="147"/>
  <c r="S180" i="147"/>
  <c r="R180" i="147"/>
  <c r="Q180" i="147"/>
  <c r="I116" i="147"/>
  <c r="L116" i="147" s="1"/>
  <c r="M116" i="147" s="1"/>
  <c r="N116" i="147" s="1"/>
  <c r="O116" i="147" s="1"/>
  <c r="O122" i="147"/>
  <c r="O123" i="147"/>
  <c r="O133" i="147"/>
  <c r="I140" i="147"/>
  <c r="L140" i="147" s="1"/>
  <c r="M140" i="147" s="1"/>
  <c r="N140" i="147" s="1"/>
  <c r="O140" i="147" s="1"/>
  <c r="S148" i="147"/>
  <c r="T150" i="147"/>
  <c r="O158" i="147"/>
  <c r="P172" i="147"/>
  <c r="P180" i="147"/>
  <c r="O142" i="147"/>
  <c r="O176" i="147"/>
  <c r="O143" i="147"/>
  <c r="Q149" i="147"/>
  <c r="P149" i="147"/>
  <c r="T149" i="147"/>
  <c r="R149" i="147"/>
  <c r="R168" i="147"/>
  <c r="Q168" i="147"/>
  <c r="P168" i="147"/>
  <c r="S168" i="147"/>
  <c r="T173" i="147"/>
  <c r="S173" i="147"/>
  <c r="R173" i="147"/>
  <c r="P173" i="147"/>
  <c r="I156" i="147"/>
  <c r="L156" i="147" s="1"/>
  <c r="M156" i="147" s="1"/>
  <c r="N156" i="147" s="1"/>
  <c r="O156" i="147" s="1"/>
  <c r="I166" i="147"/>
  <c r="L166" i="147" s="1"/>
  <c r="M166" i="147" s="1"/>
  <c r="N166" i="147" s="1"/>
  <c r="O166" i="147" s="1"/>
  <c r="T168" i="147"/>
  <c r="Q173" i="147"/>
  <c r="I147" i="147"/>
  <c r="L147" i="147" s="1"/>
  <c r="M147" i="147" s="1"/>
  <c r="N147" i="147" s="1"/>
  <c r="O147" i="147" s="1"/>
  <c r="S149" i="147"/>
  <c r="I174" i="147"/>
  <c r="L174" i="147" s="1"/>
  <c r="M174" i="147" s="1"/>
  <c r="N174" i="147" s="1"/>
  <c r="O174" i="147" s="1"/>
  <c r="I182" i="147"/>
  <c r="L182" i="147" s="1"/>
  <c r="M182" i="147" s="1"/>
  <c r="N182" i="147" s="1"/>
  <c r="O182" i="147" s="1"/>
  <c r="I160" i="147"/>
  <c r="L160" i="147" s="1"/>
  <c r="M160" i="147" s="1"/>
  <c r="N160" i="147" s="1"/>
  <c r="O160" i="147" s="1"/>
  <c r="O152" i="147"/>
  <c r="I157" i="147"/>
  <c r="L157" i="147" s="1"/>
  <c r="M157" i="147" s="1"/>
  <c r="N157" i="147" s="1"/>
  <c r="O157" i="147" s="1"/>
  <c r="I183" i="147"/>
  <c r="L183" i="147" s="1"/>
  <c r="M183" i="147" s="1"/>
  <c r="N183" i="147" s="1"/>
  <c r="O183" i="147" s="1"/>
  <c r="I184" i="147"/>
  <c r="L184" i="147" s="1"/>
  <c r="M184" i="147" s="1"/>
  <c r="N184" i="147" s="1"/>
  <c r="O184" i="147" s="1"/>
  <c r="I185" i="147"/>
  <c r="L185" i="147" s="1"/>
  <c r="M185" i="147" s="1"/>
  <c r="N185" i="147" s="1"/>
  <c r="O185" i="147" s="1"/>
  <c r="I186" i="147"/>
  <c r="L186" i="147" s="1"/>
  <c r="M186" i="147" s="1"/>
  <c r="N186" i="147" s="1"/>
  <c r="O186" i="147" s="1"/>
  <c r="I187" i="147"/>
  <c r="L187" i="147" s="1"/>
  <c r="M187" i="147" s="1"/>
  <c r="N187" i="147" s="1"/>
  <c r="O187" i="147" s="1"/>
  <c r="I146" i="147"/>
  <c r="L146" i="147" s="1"/>
  <c r="M146" i="147" s="1"/>
  <c r="N146" i="147" s="1"/>
  <c r="O146" i="147" s="1"/>
  <c r="O151" i="147"/>
  <c r="I155" i="147"/>
  <c r="L155" i="147" s="1"/>
  <c r="M155" i="147" s="1"/>
  <c r="N155" i="147" s="1"/>
  <c r="O155" i="147" s="1"/>
  <c r="O161" i="147"/>
  <c r="I165" i="147"/>
  <c r="L165" i="147" s="1"/>
  <c r="M165" i="147" s="1"/>
  <c r="N165" i="147" s="1"/>
  <c r="O165" i="147" s="1"/>
  <c r="O169" i="147"/>
  <c r="O177" i="147"/>
  <c r="I181" i="147"/>
  <c r="L181" i="147" s="1"/>
  <c r="M181" i="147" s="1"/>
  <c r="N181" i="147" s="1"/>
  <c r="O181" i="147" s="1"/>
  <c r="Q73" i="147" l="1"/>
  <c r="S73" i="147"/>
  <c r="T73" i="147"/>
  <c r="R73" i="147"/>
  <c r="Q9" i="147"/>
  <c r="Q87" i="147"/>
  <c r="S9" i="147"/>
  <c r="P9" i="147"/>
  <c r="V9" i="147" s="1"/>
  <c r="X9" i="147" s="1"/>
  <c r="Z9" i="147" s="1"/>
  <c r="AB9" i="147" s="1"/>
  <c r="S87" i="147"/>
  <c r="R9" i="147"/>
  <c r="T9" i="147"/>
  <c r="G9" i="150"/>
  <c r="R9" i="150" s="1"/>
  <c r="Y9" i="150" s="1"/>
  <c r="Y11" i="150" s="1"/>
  <c r="H9" i="150"/>
  <c r="J9" i="150"/>
  <c r="O9" i="150"/>
  <c r="L9" i="150"/>
  <c r="K9" i="150"/>
  <c r="L43" i="149"/>
  <c r="L54" i="149" s="1"/>
  <c r="J54" i="149"/>
  <c r="J59" i="149"/>
  <c r="L57" i="149"/>
  <c r="L59" i="149" s="1"/>
  <c r="P89" i="147"/>
  <c r="P57" i="147"/>
  <c r="R57" i="147"/>
  <c r="S57" i="147"/>
  <c r="T179" i="147"/>
  <c r="P179" i="147"/>
  <c r="Q179" i="147"/>
  <c r="R179" i="147"/>
  <c r="P32" i="147"/>
  <c r="T32" i="147"/>
  <c r="S32" i="147"/>
  <c r="Q32" i="147"/>
  <c r="R32" i="147"/>
  <c r="Q89" i="147"/>
  <c r="S89" i="147"/>
  <c r="Q93" i="147"/>
  <c r="T89" i="147"/>
  <c r="V180" i="147"/>
  <c r="X180" i="147" s="1"/>
  <c r="Z180" i="147" s="1"/>
  <c r="AB180" i="147" s="1"/>
  <c r="V179" i="147"/>
  <c r="X179" i="147" s="1"/>
  <c r="Z179" i="147" s="1"/>
  <c r="AB179" i="147" s="1"/>
  <c r="T93" i="147"/>
  <c r="P167" i="147"/>
  <c r="Q167" i="147"/>
  <c r="R167" i="147"/>
  <c r="T167" i="147"/>
  <c r="S167" i="147"/>
  <c r="V75" i="147"/>
  <c r="X75" i="147" s="1"/>
  <c r="Z75" i="147" s="1"/>
  <c r="AB75" i="147" s="1"/>
  <c r="V18" i="147"/>
  <c r="X18" i="147" s="1"/>
  <c r="Z18" i="147" s="1"/>
  <c r="AB18" i="147" s="1"/>
  <c r="V173" i="147"/>
  <c r="X173" i="147" s="1"/>
  <c r="Z173" i="147" s="1"/>
  <c r="AB173" i="147" s="1"/>
  <c r="V130" i="147"/>
  <c r="X130" i="147" s="1"/>
  <c r="Z130" i="147" s="1"/>
  <c r="AB130" i="147" s="1"/>
  <c r="S101" i="147"/>
  <c r="T101" i="147"/>
  <c r="V101" i="147" s="1"/>
  <c r="X101" i="147" s="1"/>
  <c r="Z101" i="147" s="1"/>
  <c r="AB101" i="147" s="1"/>
  <c r="T178" i="147"/>
  <c r="V6" i="147"/>
  <c r="X6" i="147" s="1"/>
  <c r="Z6" i="147" s="1"/>
  <c r="AB6" i="147" s="1"/>
  <c r="V148" i="147"/>
  <c r="X148" i="147" s="1"/>
  <c r="Z148" i="147" s="1"/>
  <c r="AB148" i="147" s="1"/>
  <c r="P129" i="147"/>
  <c r="Q178" i="147"/>
  <c r="V164" i="147"/>
  <c r="X164" i="147" s="1"/>
  <c r="Z164" i="147" s="1"/>
  <c r="AB164" i="147" s="1"/>
  <c r="V154" i="147"/>
  <c r="X154" i="147" s="1"/>
  <c r="Z154" i="147" s="1"/>
  <c r="AB154" i="147" s="1"/>
  <c r="S129" i="147"/>
  <c r="V17" i="147"/>
  <c r="X17" i="147" s="1"/>
  <c r="Z17" i="147" s="1"/>
  <c r="AB17" i="147" s="1"/>
  <c r="V16" i="147"/>
  <c r="X16" i="147" s="1"/>
  <c r="Z16" i="147" s="1"/>
  <c r="AB16" i="147" s="1"/>
  <c r="R178" i="147"/>
  <c r="T129" i="147"/>
  <c r="V7" i="147"/>
  <c r="X7" i="147" s="1"/>
  <c r="Z7" i="147" s="1"/>
  <c r="AB7" i="147" s="1"/>
  <c r="P178" i="147"/>
  <c r="P61" i="147"/>
  <c r="T61" i="147"/>
  <c r="U61" i="147"/>
  <c r="S61" i="147"/>
  <c r="R61" i="147"/>
  <c r="Q61" i="147"/>
  <c r="U118" i="147"/>
  <c r="T118" i="147"/>
  <c r="S118" i="147"/>
  <c r="Q118" i="147"/>
  <c r="P118" i="147"/>
  <c r="R118" i="147"/>
  <c r="P80" i="147"/>
  <c r="T80" i="147"/>
  <c r="S80" i="147"/>
  <c r="R80" i="147"/>
  <c r="Q80" i="147"/>
  <c r="U80" i="147"/>
  <c r="P186" i="147"/>
  <c r="T186" i="147"/>
  <c r="S186" i="147"/>
  <c r="Q186" i="147"/>
  <c r="R186" i="147"/>
  <c r="Q95" i="147"/>
  <c r="P95" i="147"/>
  <c r="U95" i="147"/>
  <c r="R95" i="147"/>
  <c r="T95" i="147"/>
  <c r="S95" i="147"/>
  <c r="Q106" i="147"/>
  <c r="P106" i="147"/>
  <c r="S106" i="147"/>
  <c r="R106" i="147"/>
  <c r="T106" i="147"/>
  <c r="T58" i="147"/>
  <c r="R58" i="147"/>
  <c r="Q58" i="147"/>
  <c r="P58" i="147"/>
  <c r="U58" i="147"/>
  <c r="S58" i="147"/>
  <c r="P185" i="147"/>
  <c r="T185" i="147"/>
  <c r="S185" i="147"/>
  <c r="Q185" i="147"/>
  <c r="R185" i="147"/>
  <c r="P174" i="147"/>
  <c r="T174" i="147"/>
  <c r="S174" i="147"/>
  <c r="Q174" i="147"/>
  <c r="R174" i="147"/>
  <c r="U85" i="147"/>
  <c r="S85" i="147"/>
  <c r="R85" i="147"/>
  <c r="T85" i="147"/>
  <c r="Q85" i="147"/>
  <c r="P85" i="147"/>
  <c r="S81" i="147"/>
  <c r="R81" i="147"/>
  <c r="P81" i="147"/>
  <c r="U81" i="147"/>
  <c r="Q81" i="147"/>
  <c r="T81" i="147"/>
  <c r="P70" i="147"/>
  <c r="T70" i="147"/>
  <c r="U70" i="147"/>
  <c r="S70" i="147"/>
  <c r="R70" i="147"/>
  <c r="Q70" i="147"/>
  <c r="T24" i="147"/>
  <c r="S24" i="147"/>
  <c r="P24" i="147"/>
  <c r="R24" i="147"/>
  <c r="Q24" i="147"/>
  <c r="P166" i="147"/>
  <c r="T166" i="147"/>
  <c r="S166" i="147"/>
  <c r="Q166" i="147"/>
  <c r="R166" i="147"/>
  <c r="P65" i="147"/>
  <c r="T65" i="147"/>
  <c r="U65" i="147"/>
  <c r="S65" i="147"/>
  <c r="R65" i="147"/>
  <c r="Q65" i="147"/>
  <c r="P187" i="147"/>
  <c r="T187" i="147"/>
  <c r="S187" i="147"/>
  <c r="Q187" i="147"/>
  <c r="R187" i="147"/>
  <c r="U116" i="147"/>
  <c r="S116" i="147"/>
  <c r="Q116" i="147"/>
  <c r="R116" i="147"/>
  <c r="P116" i="147"/>
  <c r="T116" i="147"/>
  <c r="P139" i="147"/>
  <c r="U139" i="147"/>
  <c r="T139" i="147"/>
  <c r="S139" i="147"/>
  <c r="R139" i="147"/>
  <c r="Q139" i="147"/>
  <c r="P63" i="147"/>
  <c r="T63" i="147"/>
  <c r="U63" i="147"/>
  <c r="S63" i="147"/>
  <c r="R63" i="147"/>
  <c r="Q63" i="147"/>
  <c r="U44" i="147"/>
  <c r="S44" i="147"/>
  <c r="R44" i="147"/>
  <c r="P44" i="147"/>
  <c r="T44" i="147"/>
  <c r="Q44" i="147"/>
  <c r="U119" i="147"/>
  <c r="T119" i="147"/>
  <c r="S119" i="147"/>
  <c r="Q119" i="147"/>
  <c r="P119" i="147"/>
  <c r="R119" i="147"/>
  <c r="U35" i="147"/>
  <c r="T35" i="147"/>
  <c r="S35" i="147"/>
  <c r="Q35" i="147"/>
  <c r="R35" i="147"/>
  <c r="P35" i="147"/>
  <c r="R160" i="147"/>
  <c r="Q160" i="147"/>
  <c r="P160" i="147"/>
  <c r="S160" i="147"/>
  <c r="T160" i="147"/>
  <c r="T140" i="147"/>
  <c r="U140" i="147"/>
  <c r="S140" i="147"/>
  <c r="R140" i="147"/>
  <c r="Q140" i="147"/>
  <c r="P140" i="147"/>
  <c r="T141" i="147"/>
  <c r="S141" i="147"/>
  <c r="R141" i="147"/>
  <c r="Q141" i="147"/>
  <c r="P141" i="147"/>
  <c r="U141" i="147"/>
  <c r="S76" i="147"/>
  <c r="T76" i="147"/>
  <c r="R76" i="147"/>
  <c r="Q76" i="147"/>
  <c r="P76" i="147"/>
  <c r="P184" i="147"/>
  <c r="T184" i="147"/>
  <c r="S184" i="147"/>
  <c r="Q184" i="147"/>
  <c r="R184" i="147"/>
  <c r="P147" i="147"/>
  <c r="T147" i="147"/>
  <c r="S147" i="147"/>
  <c r="Q147" i="147"/>
  <c r="R147" i="147"/>
  <c r="P183" i="147"/>
  <c r="T183" i="147"/>
  <c r="S183" i="147"/>
  <c r="Q183" i="147"/>
  <c r="R183" i="147"/>
  <c r="P157" i="147"/>
  <c r="T157" i="147"/>
  <c r="S157" i="147"/>
  <c r="Q157" i="147"/>
  <c r="R157" i="147"/>
  <c r="T36" i="147"/>
  <c r="P36" i="147"/>
  <c r="S36" i="147"/>
  <c r="Q36" i="147"/>
  <c r="R36" i="147"/>
  <c r="Q138" i="147"/>
  <c r="P138" i="147"/>
  <c r="U138" i="147"/>
  <c r="T138" i="147"/>
  <c r="S138" i="147"/>
  <c r="R138" i="147"/>
  <c r="Q137" i="147"/>
  <c r="P137" i="147"/>
  <c r="U137" i="147"/>
  <c r="T137" i="147"/>
  <c r="S137" i="147"/>
  <c r="R137" i="147"/>
  <c r="P43" i="147"/>
  <c r="T43" i="147"/>
  <c r="S43" i="147"/>
  <c r="U43" i="147"/>
  <c r="R43" i="147"/>
  <c r="Q43" i="147"/>
  <c r="P40" i="147"/>
  <c r="S40" i="147"/>
  <c r="U40" i="147"/>
  <c r="T40" i="147"/>
  <c r="R40" i="147"/>
  <c r="Q40" i="147"/>
  <c r="Q111" i="147"/>
  <c r="P111" i="147"/>
  <c r="U111" i="147"/>
  <c r="S111" i="147"/>
  <c r="T111" i="147"/>
  <c r="R111" i="147"/>
  <c r="S169" i="147"/>
  <c r="R169" i="147"/>
  <c r="Q169" i="147"/>
  <c r="P169" i="147"/>
  <c r="T169" i="147"/>
  <c r="S151" i="147"/>
  <c r="R151" i="147"/>
  <c r="Q151" i="147"/>
  <c r="P151" i="147"/>
  <c r="T151" i="147"/>
  <c r="T152" i="147"/>
  <c r="S152" i="147"/>
  <c r="R152" i="147"/>
  <c r="Q152" i="147"/>
  <c r="P152" i="147"/>
  <c r="P156" i="147"/>
  <c r="T156" i="147"/>
  <c r="S156" i="147"/>
  <c r="Q156" i="147"/>
  <c r="R156" i="147"/>
  <c r="T146" i="147"/>
  <c r="S146" i="147"/>
  <c r="R146" i="147"/>
  <c r="P146" i="147"/>
  <c r="Q146" i="147"/>
  <c r="Q158" i="147"/>
  <c r="P158" i="147"/>
  <c r="T158" i="147"/>
  <c r="R158" i="147"/>
  <c r="S158" i="147"/>
  <c r="U83" i="147"/>
  <c r="S83" i="147"/>
  <c r="R83" i="147"/>
  <c r="P83" i="147"/>
  <c r="Q83" i="147"/>
  <c r="T83" i="147"/>
  <c r="P102" i="147"/>
  <c r="T102" i="147"/>
  <c r="S102" i="147"/>
  <c r="R102" i="147"/>
  <c r="U102" i="147"/>
  <c r="Q102" i="147"/>
  <c r="P41" i="147"/>
  <c r="T41" i="147"/>
  <c r="S41" i="147"/>
  <c r="R41" i="147"/>
  <c r="U41" i="147"/>
  <c r="Q41" i="147"/>
  <c r="V168" i="147"/>
  <c r="X168" i="147" s="1"/>
  <c r="Z168" i="147" s="1"/>
  <c r="AB168" i="147" s="1"/>
  <c r="T143" i="147"/>
  <c r="Q143" i="147"/>
  <c r="P143" i="147"/>
  <c r="S143" i="147"/>
  <c r="R143" i="147"/>
  <c r="P112" i="147"/>
  <c r="T112" i="147"/>
  <c r="R112" i="147"/>
  <c r="Q112" i="147"/>
  <c r="U112" i="147"/>
  <c r="S112" i="147"/>
  <c r="V131" i="147"/>
  <c r="X131" i="147" s="1"/>
  <c r="Z131" i="147" s="1"/>
  <c r="AB131" i="147" s="1"/>
  <c r="V110" i="147"/>
  <c r="X110" i="147" s="1"/>
  <c r="Z110" i="147" s="1"/>
  <c r="AB110" i="147" s="1"/>
  <c r="V8" i="147"/>
  <c r="X8" i="147" s="1"/>
  <c r="Z8" i="147" s="1"/>
  <c r="AB8" i="147" s="1"/>
  <c r="T170" i="147"/>
  <c r="S170" i="147"/>
  <c r="R170" i="147"/>
  <c r="Q170" i="147"/>
  <c r="P170" i="147"/>
  <c r="T132" i="147"/>
  <c r="S132" i="147"/>
  <c r="R132" i="147"/>
  <c r="Q132" i="147"/>
  <c r="P132" i="147"/>
  <c r="U132" i="147"/>
  <c r="R134" i="147"/>
  <c r="Q134" i="147"/>
  <c r="P134" i="147"/>
  <c r="U134" i="147"/>
  <c r="T134" i="147"/>
  <c r="S134" i="147"/>
  <c r="P64" i="147"/>
  <c r="T64" i="147"/>
  <c r="R64" i="147"/>
  <c r="Q64" i="147"/>
  <c r="U64" i="147"/>
  <c r="S64" i="147"/>
  <c r="V57" i="147"/>
  <c r="X57" i="147" s="1"/>
  <c r="Z57" i="147" s="1"/>
  <c r="AB57" i="147" s="1"/>
  <c r="V29" i="147"/>
  <c r="X29" i="147" s="1"/>
  <c r="Z29" i="147" s="1"/>
  <c r="AB29" i="147" s="1"/>
  <c r="V25" i="147"/>
  <c r="X25" i="147" s="1"/>
  <c r="Z25" i="147" s="1"/>
  <c r="AB25" i="147" s="1"/>
  <c r="P103" i="147"/>
  <c r="T103" i="147"/>
  <c r="U103" i="147"/>
  <c r="S103" i="147"/>
  <c r="Q103" i="147"/>
  <c r="R103" i="147"/>
  <c r="P62" i="147"/>
  <c r="T62" i="147"/>
  <c r="U62" i="147"/>
  <c r="S62" i="147"/>
  <c r="R62" i="147"/>
  <c r="Q62" i="147"/>
  <c r="U84" i="147"/>
  <c r="S84" i="147"/>
  <c r="R84" i="147"/>
  <c r="Q84" i="147"/>
  <c r="P84" i="147"/>
  <c r="T84" i="147"/>
  <c r="U88" i="147"/>
  <c r="T88" i="147"/>
  <c r="S88" i="147"/>
  <c r="Q88" i="147"/>
  <c r="P88" i="147"/>
  <c r="R88" i="147"/>
  <c r="S12" i="147"/>
  <c r="Q12" i="147"/>
  <c r="P12" i="147"/>
  <c r="R12" i="147"/>
  <c r="U12" i="147"/>
  <c r="T12" i="147"/>
  <c r="V159" i="147"/>
  <c r="X159" i="147" s="1"/>
  <c r="Z159" i="147" s="1"/>
  <c r="AB159" i="147" s="1"/>
  <c r="U82" i="147"/>
  <c r="S82" i="147"/>
  <c r="R82" i="147"/>
  <c r="T82" i="147"/>
  <c r="Q82" i="147"/>
  <c r="P82" i="147"/>
  <c r="P71" i="147"/>
  <c r="T71" i="147"/>
  <c r="R71" i="147"/>
  <c r="Q71" i="147"/>
  <c r="U71" i="147"/>
  <c r="S71" i="147"/>
  <c r="V48" i="147"/>
  <c r="X48" i="147" s="1"/>
  <c r="Z48" i="147" s="1"/>
  <c r="AB48" i="147" s="1"/>
  <c r="S177" i="147"/>
  <c r="R177" i="147"/>
  <c r="Q177" i="147"/>
  <c r="P177" i="147"/>
  <c r="T177" i="147"/>
  <c r="T181" i="147"/>
  <c r="S181" i="147"/>
  <c r="R181" i="147"/>
  <c r="P181" i="147"/>
  <c r="Q181" i="147"/>
  <c r="R176" i="147"/>
  <c r="Q176" i="147"/>
  <c r="P176" i="147"/>
  <c r="S176" i="147"/>
  <c r="T176" i="147"/>
  <c r="T121" i="147"/>
  <c r="S121" i="147"/>
  <c r="R121" i="147"/>
  <c r="Q121" i="147"/>
  <c r="P121" i="147"/>
  <c r="U121" i="147"/>
  <c r="P105" i="147"/>
  <c r="T105" i="147"/>
  <c r="R105" i="147"/>
  <c r="S105" i="147"/>
  <c r="Q105" i="147"/>
  <c r="P104" i="147"/>
  <c r="T104" i="147"/>
  <c r="S104" i="147"/>
  <c r="R104" i="147"/>
  <c r="Q104" i="147"/>
  <c r="U104" i="147"/>
  <c r="V145" i="147"/>
  <c r="X145" i="147" s="1"/>
  <c r="Z145" i="147" s="1"/>
  <c r="AB145" i="147" s="1"/>
  <c r="V47" i="147"/>
  <c r="X47" i="147" s="1"/>
  <c r="Z47" i="147" s="1"/>
  <c r="AB47" i="147" s="1"/>
  <c r="T50" i="147"/>
  <c r="R50" i="147"/>
  <c r="Q50" i="147"/>
  <c r="P50" i="147"/>
  <c r="S50" i="147"/>
  <c r="V21" i="147"/>
  <c r="X21" i="147" s="1"/>
  <c r="Z21" i="147" s="1"/>
  <c r="AB21" i="147" s="1"/>
  <c r="V31" i="147"/>
  <c r="X31" i="147" s="1"/>
  <c r="Z31" i="147" s="1"/>
  <c r="AB31" i="147" s="1"/>
  <c r="V15" i="147"/>
  <c r="X15" i="147" s="1"/>
  <c r="Z15" i="147" s="1"/>
  <c r="AB15" i="147" s="1"/>
  <c r="T162" i="147"/>
  <c r="S162" i="147"/>
  <c r="R162" i="147"/>
  <c r="Q162" i="147"/>
  <c r="P162" i="147"/>
  <c r="T60" i="147"/>
  <c r="R60" i="147"/>
  <c r="Q60" i="147"/>
  <c r="P60" i="147"/>
  <c r="U60" i="147"/>
  <c r="S60" i="147"/>
  <c r="Q28" i="147"/>
  <c r="P28" i="147"/>
  <c r="T28" i="147"/>
  <c r="S28" i="147"/>
  <c r="R28" i="147"/>
  <c r="V19" i="147"/>
  <c r="X19" i="147" s="1"/>
  <c r="Z19" i="147" s="1"/>
  <c r="AB19" i="147" s="1"/>
  <c r="R13" i="147"/>
  <c r="Q13" i="147"/>
  <c r="P13" i="147"/>
  <c r="U13" i="147"/>
  <c r="T13" i="147"/>
  <c r="S13" i="147"/>
  <c r="V30" i="147"/>
  <c r="X30" i="147" s="1"/>
  <c r="Z30" i="147" s="1"/>
  <c r="AB30" i="147" s="1"/>
  <c r="V163" i="147"/>
  <c r="X163" i="147" s="1"/>
  <c r="Z163" i="147" s="1"/>
  <c r="AB163" i="147" s="1"/>
  <c r="V125" i="147"/>
  <c r="X125" i="147" s="1"/>
  <c r="Z125" i="147" s="1"/>
  <c r="AB125" i="147" s="1"/>
  <c r="V171" i="147"/>
  <c r="X171" i="147" s="1"/>
  <c r="Z171" i="147" s="1"/>
  <c r="AB171" i="147" s="1"/>
  <c r="V45" i="147"/>
  <c r="X45" i="147" s="1"/>
  <c r="Z45" i="147" s="1"/>
  <c r="AB45" i="147" s="1"/>
  <c r="V74" i="147"/>
  <c r="X74" i="147" s="1"/>
  <c r="Z74" i="147" s="1"/>
  <c r="AB74" i="147" s="1"/>
  <c r="V37" i="147"/>
  <c r="X37" i="147" s="1"/>
  <c r="Z37" i="147" s="1"/>
  <c r="AB37" i="147" s="1"/>
  <c r="V14" i="147"/>
  <c r="X14" i="147" s="1"/>
  <c r="Z14" i="147" s="1"/>
  <c r="AB14" i="147" s="1"/>
  <c r="S161" i="147"/>
  <c r="R161" i="147"/>
  <c r="Q161" i="147"/>
  <c r="P161" i="147"/>
  <c r="T161" i="147"/>
  <c r="V149" i="147"/>
  <c r="X149" i="147" s="1"/>
  <c r="Z149" i="147" s="1"/>
  <c r="AB149" i="147" s="1"/>
  <c r="T142" i="147"/>
  <c r="P142" i="147"/>
  <c r="S142" i="147"/>
  <c r="R142" i="147"/>
  <c r="Q142" i="147"/>
  <c r="V172" i="147"/>
  <c r="X172" i="147" s="1"/>
  <c r="Z172" i="147" s="1"/>
  <c r="AB172" i="147" s="1"/>
  <c r="S122" i="147"/>
  <c r="R122" i="147"/>
  <c r="Q122" i="147"/>
  <c r="P122" i="147"/>
  <c r="U122" i="147"/>
  <c r="T122" i="147"/>
  <c r="V96" i="147"/>
  <c r="X96" i="147" s="1"/>
  <c r="Z96" i="147" s="1"/>
  <c r="AB96" i="147" s="1"/>
  <c r="V86" i="147"/>
  <c r="X86" i="147" s="1"/>
  <c r="Z86" i="147" s="1"/>
  <c r="AB86" i="147" s="1"/>
  <c r="V100" i="147"/>
  <c r="X100" i="147" s="1"/>
  <c r="Z100" i="147" s="1"/>
  <c r="AB100" i="147" s="1"/>
  <c r="V53" i="147"/>
  <c r="X53" i="147" s="1"/>
  <c r="Z53" i="147" s="1"/>
  <c r="AB53" i="147" s="1"/>
  <c r="V20" i="147"/>
  <c r="X20" i="147" s="1"/>
  <c r="Z20" i="147" s="1"/>
  <c r="AB20" i="147" s="1"/>
  <c r="P182" i="147"/>
  <c r="T182" i="147"/>
  <c r="S182" i="147"/>
  <c r="Q182" i="147"/>
  <c r="R182" i="147"/>
  <c r="T165" i="147"/>
  <c r="S165" i="147"/>
  <c r="R165" i="147"/>
  <c r="P165" i="147"/>
  <c r="Q165" i="147"/>
  <c r="S133" i="147"/>
  <c r="R133" i="147"/>
  <c r="Q133" i="147"/>
  <c r="P133" i="147"/>
  <c r="U133" i="147"/>
  <c r="T133" i="147"/>
  <c r="V153" i="147"/>
  <c r="X153" i="147" s="1"/>
  <c r="Z153" i="147" s="1"/>
  <c r="AB153" i="147" s="1"/>
  <c r="V120" i="147"/>
  <c r="X120" i="147" s="1"/>
  <c r="Z120" i="147" s="1"/>
  <c r="AB120" i="147" s="1"/>
  <c r="T59" i="147"/>
  <c r="U59" i="147"/>
  <c r="S59" i="147"/>
  <c r="R59" i="147"/>
  <c r="Q59" i="147"/>
  <c r="P59" i="147"/>
  <c r="Q136" i="147"/>
  <c r="P136" i="147"/>
  <c r="U136" i="147"/>
  <c r="T136" i="147"/>
  <c r="S136" i="147"/>
  <c r="R136" i="147"/>
  <c r="V46" i="147"/>
  <c r="X46" i="147" s="1"/>
  <c r="Z46" i="147" s="1"/>
  <c r="AB46" i="147" s="1"/>
  <c r="V73" i="147"/>
  <c r="X73" i="147" s="1"/>
  <c r="Z73" i="147" s="1"/>
  <c r="AB73" i="147" s="1"/>
  <c r="T11" i="147"/>
  <c r="R11" i="147"/>
  <c r="Q11" i="147"/>
  <c r="S11" i="147"/>
  <c r="P11" i="147"/>
  <c r="U11" i="147"/>
  <c r="P42" i="147"/>
  <c r="T42" i="147"/>
  <c r="S42" i="147"/>
  <c r="U42" i="147"/>
  <c r="R42" i="147"/>
  <c r="Q42" i="147"/>
  <c r="T155" i="147"/>
  <c r="S155" i="147"/>
  <c r="R155" i="147"/>
  <c r="P155" i="147"/>
  <c r="Q155" i="147"/>
  <c r="S123" i="147"/>
  <c r="R123" i="147"/>
  <c r="Q123" i="147"/>
  <c r="P123" i="147"/>
  <c r="T123" i="147"/>
  <c r="U117" i="147"/>
  <c r="T117" i="147"/>
  <c r="R117" i="147"/>
  <c r="Q117" i="147"/>
  <c r="P117" i="147"/>
  <c r="S117" i="147"/>
  <c r="T10" i="147"/>
  <c r="Q10" i="147"/>
  <c r="S10" i="147"/>
  <c r="R10" i="147"/>
  <c r="U10" i="147"/>
  <c r="P10" i="147"/>
  <c r="P27" i="147"/>
  <c r="R27" i="147"/>
  <c r="S27" i="147"/>
  <c r="Q27" i="147"/>
  <c r="T27" i="147"/>
  <c r="V150" i="147"/>
  <c r="X150" i="147" s="1"/>
  <c r="Z150" i="147" s="1"/>
  <c r="AB150" i="147" s="1"/>
  <c r="Q175" i="147"/>
  <c r="P175" i="147"/>
  <c r="T175" i="147"/>
  <c r="R175" i="147"/>
  <c r="S175" i="147"/>
  <c r="Q135" i="147"/>
  <c r="P135" i="147"/>
  <c r="U135" i="147"/>
  <c r="T135" i="147"/>
  <c r="S135" i="147"/>
  <c r="R135" i="147"/>
  <c r="P66" i="147"/>
  <c r="T66" i="147"/>
  <c r="U66" i="147"/>
  <c r="S66" i="147"/>
  <c r="R66" i="147"/>
  <c r="Q66" i="147"/>
  <c r="V144" i="147"/>
  <c r="X144" i="147" s="1"/>
  <c r="Z144" i="147" s="1"/>
  <c r="AB144" i="147" s="1"/>
  <c r="S72" i="147"/>
  <c r="U72" i="147"/>
  <c r="T72" i="147"/>
  <c r="R72" i="147"/>
  <c r="Q72" i="147"/>
  <c r="P72" i="147"/>
  <c r="V94" i="147"/>
  <c r="X94" i="147" s="1"/>
  <c r="Z94" i="147" s="1"/>
  <c r="AB94" i="147" s="1"/>
  <c r="S26" i="147"/>
  <c r="T26" i="147"/>
  <c r="R26" i="147"/>
  <c r="Q26" i="147"/>
  <c r="P26" i="147"/>
  <c r="P54" i="147"/>
  <c r="U54" i="147"/>
  <c r="S54" i="147"/>
  <c r="R54" i="147"/>
  <c r="Q54" i="147"/>
  <c r="T54" i="147"/>
  <c r="V124" i="147"/>
  <c r="X124" i="147" s="1"/>
  <c r="Z124" i="147" s="1"/>
  <c r="AB124" i="147" s="1"/>
  <c r="U23" i="147"/>
  <c r="T23" i="147"/>
  <c r="P23" i="147"/>
  <c r="S23" i="147"/>
  <c r="Q23" i="147"/>
  <c r="R23" i="147"/>
  <c r="V22" i="147"/>
  <c r="X22" i="147" s="1"/>
  <c r="Z22" i="147" s="1"/>
  <c r="AB22" i="147" s="1"/>
  <c r="V49" i="147"/>
  <c r="Z49" i="147" s="1"/>
  <c r="AB49" i="147" s="1"/>
  <c r="V87" i="147" l="1"/>
  <c r="X87" i="147" s="1"/>
  <c r="Z87" i="147" s="1"/>
  <c r="AB87" i="147" s="1"/>
  <c r="V32" i="147"/>
  <c r="X32" i="147" s="1"/>
  <c r="Z32" i="147" s="1"/>
  <c r="AB32" i="147" s="1"/>
  <c r="V93" i="147"/>
  <c r="X93" i="147" s="1"/>
  <c r="Z93" i="147" s="1"/>
  <c r="AB93" i="147" s="1"/>
  <c r="V89" i="147"/>
  <c r="X89" i="147" s="1"/>
  <c r="Z89" i="147" s="1"/>
  <c r="AB89" i="147" s="1"/>
  <c r="V178" i="147"/>
  <c r="X178" i="147" s="1"/>
  <c r="Z178" i="147" s="1"/>
  <c r="AB178" i="147" s="1"/>
  <c r="V129" i="147"/>
  <c r="X129" i="147" s="1"/>
  <c r="Z129" i="147" s="1"/>
  <c r="AB129" i="147" s="1"/>
  <c r="V167" i="147"/>
  <c r="X167" i="147" s="1"/>
  <c r="Z167" i="147" s="1"/>
  <c r="AB167" i="147" s="1"/>
  <c r="V84" i="147"/>
  <c r="X84" i="147" s="1"/>
  <c r="Z84" i="147" s="1"/>
  <c r="AB84" i="147" s="1"/>
  <c r="V141" i="147"/>
  <c r="X141" i="147" s="1"/>
  <c r="Z141" i="147" s="1"/>
  <c r="AB141" i="147" s="1"/>
  <c r="V50" i="147"/>
  <c r="X50" i="147" s="1"/>
  <c r="Z50" i="147" s="1"/>
  <c r="AB50" i="147" s="1"/>
  <c r="V105" i="147"/>
  <c r="X105" i="147" s="1"/>
  <c r="Z105" i="147" s="1"/>
  <c r="AB105" i="147" s="1"/>
  <c r="V134" i="147"/>
  <c r="X134" i="147" s="1"/>
  <c r="Z134" i="147" s="1"/>
  <c r="AB134" i="147" s="1"/>
  <c r="V140" i="147"/>
  <c r="X140" i="147" s="1"/>
  <c r="Z140" i="147" s="1"/>
  <c r="AB140" i="147" s="1"/>
  <c r="V160" i="147"/>
  <c r="X160" i="147" s="1"/>
  <c r="Z160" i="147" s="1"/>
  <c r="AB160" i="147" s="1"/>
  <c r="V139" i="147"/>
  <c r="X139" i="147" s="1"/>
  <c r="Z139" i="147" s="1"/>
  <c r="AB139" i="147" s="1"/>
  <c r="V85" i="147"/>
  <c r="X85" i="147" s="1"/>
  <c r="Z85" i="147" s="1"/>
  <c r="AB85" i="147" s="1"/>
  <c r="V27" i="147"/>
  <c r="X27" i="147" s="1"/>
  <c r="Z27" i="147" s="1"/>
  <c r="AB27" i="147" s="1"/>
  <c r="V117" i="147"/>
  <c r="X117" i="147" s="1"/>
  <c r="Z117" i="147" s="1"/>
  <c r="AB117" i="147" s="1"/>
  <c r="V60" i="147"/>
  <c r="X60" i="147" s="1"/>
  <c r="Z60" i="147" s="1"/>
  <c r="AB60" i="147" s="1"/>
  <c r="V176" i="147"/>
  <c r="X176" i="147" s="1"/>
  <c r="Z176" i="147" s="1"/>
  <c r="AB176" i="147" s="1"/>
  <c r="V12" i="147"/>
  <c r="X12" i="147" s="1"/>
  <c r="Z12" i="147" s="1"/>
  <c r="AB12" i="147" s="1"/>
  <c r="V170" i="147"/>
  <c r="X170" i="147" s="1"/>
  <c r="Z170" i="147" s="1"/>
  <c r="AB170" i="147" s="1"/>
  <c r="V102" i="147"/>
  <c r="X102" i="147" s="1"/>
  <c r="Z102" i="147" s="1"/>
  <c r="AB102" i="147" s="1"/>
  <c r="V40" i="147"/>
  <c r="X40" i="147" s="1"/>
  <c r="Z40" i="147" s="1"/>
  <c r="AB40" i="147" s="1"/>
  <c r="V44" i="147"/>
  <c r="X44" i="147" s="1"/>
  <c r="Z44" i="147" s="1"/>
  <c r="AB44" i="147" s="1"/>
  <c r="V65" i="147"/>
  <c r="X65" i="147" s="1"/>
  <c r="Z65" i="147" s="1"/>
  <c r="AB65" i="147" s="1"/>
  <c r="V24" i="147"/>
  <c r="X24" i="147" s="1"/>
  <c r="Z24" i="147" s="1"/>
  <c r="AB24" i="147" s="1"/>
  <c r="V70" i="147"/>
  <c r="X70" i="147" s="1"/>
  <c r="Z70" i="147" s="1"/>
  <c r="AB70" i="147" s="1"/>
  <c r="V106" i="147"/>
  <c r="X106" i="147" s="1"/>
  <c r="Z106" i="147" s="1"/>
  <c r="AB106" i="147" s="1"/>
  <c r="V175" i="147"/>
  <c r="X175" i="147" s="1"/>
  <c r="Z175" i="147" s="1"/>
  <c r="AB175" i="147" s="1"/>
  <c r="V10" i="147"/>
  <c r="X10" i="147" s="1"/>
  <c r="Z10" i="147" s="1"/>
  <c r="AB10" i="147" s="1"/>
  <c r="V136" i="147"/>
  <c r="X136" i="147" s="1"/>
  <c r="Z136" i="147" s="1"/>
  <c r="AB136" i="147" s="1"/>
  <c r="V121" i="147"/>
  <c r="X121" i="147" s="1"/>
  <c r="Z121" i="147" s="1"/>
  <c r="AB121" i="147" s="1"/>
  <c r="V177" i="147"/>
  <c r="X177" i="147" s="1"/>
  <c r="Z177" i="147" s="1"/>
  <c r="AB177" i="147" s="1"/>
  <c r="V143" i="147"/>
  <c r="X143" i="147" s="1"/>
  <c r="Z143" i="147" s="1"/>
  <c r="AB143" i="147" s="1"/>
  <c r="V169" i="147"/>
  <c r="X169" i="147" s="1"/>
  <c r="Z169" i="147" s="1"/>
  <c r="AB169" i="147" s="1"/>
  <c r="V111" i="147"/>
  <c r="X111" i="147" s="1"/>
  <c r="Z111" i="147" s="1"/>
  <c r="AB111" i="147" s="1"/>
  <c r="V138" i="147"/>
  <c r="X138" i="147" s="1"/>
  <c r="Z138" i="147" s="1"/>
  <c r="AB138" i="147" s="1"/>
  <c r="V183" i="147"/>
  <c r="X183" i="147" s="1"/>
  <c r="Z183" i="147" s="1"/>
  <c r="AB183" i="147" s="1"/>
  <c r="V119" i="147"/>
  <c r="X119" i="147" s="1"/>
  <c r="Z119" i="147" s="1"/>
  <c r="AB119" i="147" s="1"/>
  <c r="V63" i="147"/>
  <c r="X63" i="147" s="1"/>
  <c r="Z63" i="147" s="1"/>
  <c r="AB63" i="147" s="1"/>
  <c r="V116" i="147"/>
  <c r="X116" i="147" s="1"/>
  <c r="Z116" i="147" s="1"/>
  <c r="AB116" i="147" s="1"/>
  <c r="V174" i="147"/>
  <c r="X174" i="147" s="1"/>
  <c r="Z174" i="147" s="1"/>
  <c r="AB174" i="147" s="1"/>
  <c r="V58" i="147"/>
  <c r="X58" i="147" s="1"/>
  <c r="Z58" i="147" s="1"/>
  <c r="AB58" i="147" s="1"/>
  <c r="V23" i="147"/>
  <c r="X23" i="147" s="1"/>
  <c r="Z23" i="147" s="1"/>
  <c r="AB23" i="147" s="1"/>
  <c r="V35" i="147"/>
  <c r="X35" i="147" s="1"/>
  <c r="Z35" i="147" s="1"/>
  <c r="AB35" i="147" s="1"/>
  <c r="V187" i="147"/>
  <c r="X187" i="147" s="1"/>
  <c r="Z187" i="147" s="1"/>
  <c r="AB187" i="147" s="1"/>
  <c r="V80" i="147"/>
  <c r="X80" i="147" s="1"/>
  <c r="Z80" i="147" s="1"/>
  <c r="AB80" i="147" s="1"/>
  <c r="V72" i="147"/>
  <c r="V165" i="147"/>
  <c r="X165" i="147" s="1"/>
  <c r="Z165" i="147" s="1"/>
  <c r="AB165" i="147" s="1"/>
  <c r="V122" i="147"/>
  <c r="X122" i="147" s="1"/>
  <c r="Z122" i="147" s="1"/>
  <c r="AB122" i="147" s="1"/>
  <c r="V142" i="147"/>
  <c r="X142" i="147" s="1"/>
  <c r="Z142" i="147" s="1"/>
  <c r="AB142" i="147" s="1"/>
  <c r="V41" i="147"/>
  <c r="X41" i="147" s="1"/>
  <c r="Z41" i="147" s="1"/>
  <c r="AB41" i="147" s="1"/>
  <c r="V54" i="147"/>
  <c r="X54" i="147" s="1"/>
  <c r="Z54" i="147" s="1"/>
  <c r="AB54" i="147" s="1"/>
  <c r="V155" i="147"/>
  <c r="X155" i="147" s="1"/>
  <c r="Z155" i="147" s="1"/>
  <c r="AB155" i="147" s="1"/>
  <c r="V59" i="147"/>
  <c r="X59" i="147" s="1"/>
  <c r="Z59" i="147" s="1"/>
  <c r="AB59" i="147" s="1"/>
  <c r="V64" i="147"/>
  <c r="X64" i="147" s="1"/>
  <c r="Z64" i="147" s="1"/>
  <c r="AB64" i="147" s="1"/>
  <c r="V132" i="147"/>
  <c r="X132" i="147" s="1"/>
  <c r="Z132" i="147" s="1"/>
  <c r="AB132" i="147" s="1"/>
  <c r="V83" i="147"/>
  <c r="X83" i="147" s="1"/>
  <c r="Z83" i="147" s="1"/>
  <c r="AB83" i="147" s="1"/>
  <c r="V137" i="147"/>
  <c r="X137" i="147" s="1"/>
  <c r="Z137" i="147" s="1"/>
  <c r="AB137" i="147" s="1"/>
  <c r="V184" i="147"/>
  <c r="X184" i="147" s="1"/>
  <c r="Z184" i="147" s="1"/>
  <c r="AB184" i="147" s="1"/>
  <c r="V182" i="147"/>
  <c r="X182" i="147" s="1"/>
  <c r="Z182" i="147" s="1"/>
  <c r="AB182" i="147" s="1"/>
  <c r="V104" i="147"/>
  <c r="X104" i="147" s="1"/>
  <c r="Z104" i="147" s="1"/>
  <c r="AB104" i="147" s="1"/>
  <c r="V103" i="147"/>
  <c r="X103" i="147" s="1"/>
  <c r="Z103" i="147" s="1"/>
  <c r="AB103" i="147" s="1"/>
  <c r="V158" i="147"/>
  <c r="X158" i="147" s="1"/>
  <c r="Z158" i="147" s="1"/>
  <c r="AB158" i="147" s="1"/>
  <c r="V26" i="147"/>
  <c r="X26" i="147" s="1"/>
  <c r="Z26" i="147" s="1"/>
  <c r="AB26" i="147" s="1"/>
  <c r="V135" i="147"/>
  <c r="X135" i="147" s="1"/>
  <c r="Z135" i="147" s="1"/>
  <c r="AB135" i="147" s="1"/>
  <c r="V42" i="147"/>
  <c r="X42" i="147" s="1"/>
  <c r="Z42" i="147" s="1"/>
  <c r="AB42" i="147" s="1"/>
  <c r="V28" i="147"/>
  <c r="X28" i="147" s="1"/>
  <c r="Z28" i="147" s="1"/>
  <c r="AB28" i="147" s="1"/>
  <c r="V162" i="147"/>
  <c r="X162" i="147" s="1"/>
  <c r="Z162" i="147" s="1"/>
  <c r="AB162" i="147" s="1"/>
  <c r="V181" i="147"/>
  <c r="X181" i="147" s="1"/>
  <c r="Z181" i="147" s="1"/>
  <c r="AB181" i="147" s="1"/>
  <c r="V71" i="147"/>
  <c r="X71" i="147" s="1"/>
  <c r="Z71" i="147" s="1"/>
  <c r="AB71" i="147" s="1"/>
  <c r="V88" i="147"/>
  <c r="X88" i="147" s="1"/>
  <c r="Z88" i="147" s="1"/>
  <c r="AB88" i="147" s="1"/>
  <c r="V62" i="147"/>
  <c r="X62" i="147" s="1"/>
  <c r="Z62" i="147" s="1"/>
  <c r="AB62" i="147" s="1"/>
  <c r="V151" i="147"/>
  <c r="X151" i="147" s="1"/>
  <c r="Z151" i="147" s="1"/>
  <c r="AB151" i="147" s="1"/>
  <c r="V157" i="147"/>
  <c r="X157" i="147" s="1"/>
  <c r="Z157" i="147" s="1"/>
  <c r="AB157" i="147" s="1"/>
  <c r="V76" i="147"/>
  <c r="X76" i="147" s="1"/>
  <c r="Z76" i="147" s="1"/>
  <c r="AB76" i="147" s="1"/>
  <c r="V81" i="147"/>
  <c r="X81" i="147" s="1"/>
  <c r="Z81" i="147" s="1"/>
  <c r="AB81" i="147" s="1"/>
  <c r="V186" i="147"/>
  <c r="X186" i="147" s="1"/>
  <c r="Z186" i="147" s="1"/>
  <c r="AB186" i="147" s="1"/>
  <c r="V118" i="147"/>
  <c r="X118" i="147" s="1"/>
  <c r="Z118" i="147" s="1"/>
  <c r="AB118" i="147" s="1"/>
  <c r="V146" i="147"/>
  <c r="X146" i="147" s="1"/>
  <c r="Z146" i="147" s="1"/>
  <c r="AB146" i="147" s="1"/>
  <c r="V156" i="147"/>
  <c r="X156" i="147" s="1"/>
  <c r="Z156" i="147" s="1"/>
  <c r="AB156" i="147" s="1"/>
  <c r="V166" i="147"/>
  <c r="X166" i="147" s="1"/>
  <c r="Z166" i="147" s="1"/>
  <c r="AB166" i="147" s="1"/>
  <c r="V133" i="147"/>
  <c r="X133" i="147" s="1"/>
  <c r="Z133" i="147" s="1"/>
  <c r="AB133" i="147" s="1"/>
  <c r="V13" i="147"/>
  <c r="X13" i="147" s="1"/>
  <c r="Z13" i="147" s="1"/>
  <c r="AB13" i="147" s="1"/>
  <c r="V82" i="147"/>
  <c r="X82" i="147" s="1"/>
  <c r="Z82" i="147" s="1"/>
  <c r="AB82" i="147" s="1"/>
  <c r="V66" i="147"/>
  <c r="X66" i="147" s="1"/>
  <c r="Z66" i="147" s="1"/>
  <c r="AB66" i="147" s="1"/>
  <c r="V123" i="147"/>
  <c r="X123" i="147" s="1"/>
  <c r="Z123" i="147" s="1"/>
  <c r="AB123" i="147" s="1"/>
  <c r="V11" i="147"/>
  <c r="X11" i="147" s="1"/>
  <c r="Z11" i="147" s="1"/>
  <c r="AB11" i="147" s="1"/>
  <c r="V161" i="147"/>
  <c r="X161" i="147" s="1"/>
  <c r="Z161" i="147" s="1"/>
  <c r="AB161" i="147" s="1"/>
  <c r="V112" i="147"/>
  <c r="X112" i="147" s="1"/>
  <c r="Z112" i="147" s="1"/>
  <c r="AB112" i="147" s="1"/>
  <c r="V152" i="147"/>
  <c r="X152" i="147" s="1"/>
  <c r="Z152" i="147" s="1"/>
  <c r="AB152" i="147" s="1"/>
  <c r="V43" i="147"/>
  <c r="X43" i="147" s="1"/>
  <c r="Z43" i="147" s="1"/>
  <c r="AB43" i="147" s="1"/>
  <c r="V36" i="147"/>
  <c r="X36" i="147" s="1"/>
  <c r="Z36" i="147" s="1"/>
  <c r="AB36" i="147" s="1"/>
  <c r="V147" i="147"/>
  <c r="X147" i="147" s="1"/>
  <c r="Z147" i="147" s="1"/>
  <c r="AB147" i="147" s="1"/>
  <c r="V185" i="147"/>
  <c r="X185" i="147" s="1"/>
  <c r="Z185" i="147" s="1"/>
  <c r="AB185" i="147" s="1"/>
  <c r="V95" i="147"/>
  <c r="X95" i="147" s="1"/>
  <c r="Z95" i="147" s="1"/>
  <c r="AB95" i="147" s="1"/>
  <c r="V61" i="147"/>
  <c r="X61" i="147" s="1"/>
  <c r="Z61" i="147" s="1"/>
  <c r="AB61" i="147" s="1"/>
  <c r="X72" i="147" l="1"/>
  <c r="V188" i="147"/>
  <c r="V189" i="147" s="1"/>
  <c r="M196" i="143" s="1"/>
  <c r="Z72" i="147" l="1"/>
  <c r="X188" i="147"/>
  <c r="AB72" i="147" l="1"/>
  <c r="Z188" i="147"/>
  <c r="AB193" i="146" l="1"/>
  <c r="H39" i="68"/>
  <c r="H38" i="68"/>
  <c r="C22" i="146"/>
  <c r="E22" i="146" s="1"/>
  <c r="I22" i="146" s="1"/>
  <c r="L22" i="146" s="1"/>
  <c r="M22" i="146" s="1"/>
  <c r="N22" i="146" s="1"/>
  <c r="O22" i="146" s="1"/>
  <c r="U16" i="146"/>
  <c r="AA188" i="146"/>
  <c r="E187" i="146"/>
  <c r="I187" i="146" s="1"/>
  <c r="L187" i="146" s="1"/>
  <c r="M187" i="146" s="1"/>
  <c r="N187" i="146" s="1"/>
  <c r="O187" i="146" s="1"/>
  <c r="E186" i="146"/>
  <c r="I186" i="146" s="1"/>
  <c r="L186" i="146" s="1"/>
  <c r="M186" i="146" s="1"/>
  <c r="N186" i="146" s="1"/>
  <c r="O186" i="146" s="1"/>
  <c r="L185" i="146"/>
  <c r="M185" i="146" s="1"/>
  <c r="N185" i="146" s="1"/>
  <c r="O185" i="146" s="1"/>
  <c r="I185" i="146"/>
  <c r="E185" i="146"/>
  <c r="E184" i="146"/>
  <c r="I184" i="146" s="1"/>
  <c r="L184" i="146" s="1"/>
  <c r="M184" i="146" s="1"/>
  <c r="N184" i="146" s="1"/>
  <c r="I183" i="146"/>
  <c r="L183" i="146" s="1"/>
  <c r="M183" i="146" s="1"/>
  <c r="N183" i="146" s="1"/>
  <c r="E183" i="146"/>
  <c r="E182" i="146"/>
  <c r="I181" i="146"/>
  <c r="L181" i="146" s="1"/>
  <c r="M181" i="146" s="1"/>
  <c r="N181" i="146" s="1"/>
  <c r="O181" i="146" s="1"/>
  <c r="Q181" i="146" s="1"/>
  <c r="E181" i="146"/>
  <c r="E180" i="146"/>
  <c r="I180" i="146" s="1"/>
  <c r="L180" i="146" s="1"/>
  <c r="M180" i="146" s="1"/>
  <c r="N180" i="146" s="1"/>
  <c r="O180" i="146" s="1"/>
  <c r="E179" i="146"/>
  <c r="I179" i="146" s="1"/>
  <c r="L179" i="146" s="1"/>
  <c r="M179" i="146" s="1"/>
  <c r="N179" i="146" s="1"/>
  <c r="O179" i="146" s="1"/>
  <c r="E178" i="146"/>
  <c r="I178" i="146" s="1"/>
  <c r="L178" i="146" s="1"/>
  <c r="M178" i="146" s="1"/>
  <c r="N178" i="146" s="1"/>
  <c r="L177" i="146"/>
  <c r="M177" i="146" s="1"/>
  <c r="N177" i="146" s="1"/>
  <c r="O177" i="146" s="1"/>
  <c r="T177" i="146" s="1"/>
  <c r="I177" i="146"/>
  <c r="E177" i="146"/>
  <c r="E176" i="146"/>
  <c r="I176" i="146" s="1"/>
  <c r="L176" i="146" s="1"/>
  <c r="M176" i="146" s="1"/>
  <c r="N176" i="146" s="1"/>
  <c r="I175" i="146"/>
  <c r="L175" i="146" s="1"/>
  <c r="M175" i="146" s="1"/>
  <c r="N175" i="146" s="1"/>
  <c r="E175" i="146"/>
  <c r="E174" i="146"/>
  <c r="I173" i="146"/>
  <c r="L173" i="146" s="1"/>
  <c r="M173" i="146" s="1"/>
  <c r="N173" i="146" s="1"/>
  <c r="E173" i="146"/>
  <c r="E172" i="146"/>
  <c r="I172" i="146" s="1"/>
  <c r="L172" i="146" s="1"/>
  <c r="M172" i="146" s="1"/>
  <c r="N172" i="146" s="1"/>
  <c r="N171" i="146"/>
  <c r="O171" i="146" s="1"/>
  <c r="E171" i="146"/>
  <c r="I171" i="146" s="1"/>
  <c r="L171" i="146" s="1"/>
  <c r="M171" i="146" s="1"/>
  <c r="E170" i="146"/>
  <c r="I170" i="146" s="1"/>
  <c r="L170" i="146" s="1"/>
  <c r="M170" i="146" s="1"/>
  <c r="N170" i="146" s="1"/>
  <c r="T169" i="146"/>
  <c r="L169" i="146"/>
  <c r="M169" i="146" s="1"/>
  <c r="N169" i="146" s="1"/>
  <c r="O169" i="146" s="1"/>
  <c r="E169" i="146"/>
  <c r="I169" i="146" s="1"/>
  <c r="E168" i="146"/>
  <c r="I168" i="146" s="1"/>
  <c r="L168" i="146" s="1"/>
  <c r="M168" i="146" s="1"/>
  <c r="N168" i="146" s="1"/>
  <c r="E167" i="146"/>
  <c r="I167" i="146" s="1"/>
  <c r="L167" i="146" s="1"/>
  <c r="M167" i="146" s="1"/>
  <c r="N167" i="146" s="1"/>
  <c r="E166" i="146"/>
  <c r="I165" i="146"/>
  <c r="L165" i="146" s="1"/>
  <c r="M165" i="146" s="1"/>
  <c r="N165" i="146" s="1"/>
  <c r="E165" i="146"/>
  <c r="E164" i="146"/>
  <c r="I164" i="146" s="1"/>
  <c r="L164" i="146" s="1"/>
  <c r="M164" i="146" s="1"/>
  <c r="N164" i="146" s="1"/>
  <c r="E163" i="146"/>
  <c r="I163" i="146" s="1"/>
  <c r="L163" i="146" s="1"/>
  <c r="M163" i="146" s="1"/>
  <c r="N163" i="146" s="1"/>
  <c r="O163" i="146" s="1"/>
  <c r="E162" i="146"/>
  <c r="I162" i="146" s="1"/>
  <c r="L162" i="146" s="1"/>
  <c r="M162" i="146" s="1"/>
  <c r="N162" i="146" s="1"/>
  <c r="E161" i="146"/>
  <c r="I161" i="146" s="1"/>
  <c r="L161" i="146" s="1"/>
  <c r="M161" i="146" s="1"/>
  <c r="N161" i="146" s="1"/>
  <c r="O161" i="146" s="1"/>
  <c r="F160" i="146"/>
  <c r="E160" i="146"/>
  <c r="I159" i="146"/>
  <c r="L159" i="146" s="1"/>
  <c r="M159" i="146" s="1"/>
  <c r="N159" i="146" s="1"/>
  <c r="E159" i="146"/>
  <c r="E158" i="146"/>
  <c r="I158" i="146" s="1"/>
  <c r="L158" i="146" s="1"/>
  <c r="M158" i="146" s="1"/>
  <c r="N158" i="146" s="1"/>
  <c r="F157" i="146"/>
  <c r="E157" i="146"/>
  <c r="E156" i="146"/>
  <c r="E155" i="146"/>
  <c r="I155" i="146" s="1"/>
  <c r="L155" i="146" s="1"/>
  <c r="M155" i="146" s="1"/>
  <c r="N155" i="146" s="1"/>
  <c r="E154" i="146"/>
  <c r="I154" i="146" s="1"/>
  <c r="L154" i="146" s="1"/>
  <c r="M154" i="146" s="1"/>
  <c r="N154" i="146" s="1"/>
  <c r="E153" i="146"/>
  <c r="I153" i="146" s="1"/>
  <c r="L153" i="146" s="1"/>
  <c r="M153" i="146" s="1"/>
  <c r="N153" i="146" s="1"/>
  <c r="O153" i="146" s="1"/>
  <c r="E152" i="146"/>
  <c r="I152" i="146" s="1"/>
  <c r="L152" i="146" s="1"/>
  <c r="M152" i="146" s="1"/>
  <c r="N152" i="146" s="1"/>
  <c r="E151" i="146"/>
  <c r="I151" i="146" s="1"/>
  <c r="L151" i="146" s="1"/>
  <c r="M151" i="146" s="1"/>
  <c r="N151" i="146" s="1"/>
  <c r="O151" i="146" s="1"/>
  <c r="L150" i="146"/>
  <c r="M150" i="146" s="1"/>
  <c r="N150" i="146" s="1"/>
  <c r="I150" i="146"/>
  <c r="E150" i="146"/>
  <c r="F149" i="146"/>
  <c r="E149" i="146"/>
  <c r="I149" i="146" s="1"/>
  <c r="L149" i="146" s="1"/>
  <c r="M149" i="146" s="1"/>
  <c r="E148" i="146"/>
  <c r="E147" i="146"/>
  <c r="I146" i="146"/>
  <c r="L146" i="146" s="1"/>
  <c r="M146" i="146" s="1"/>
  <c r="N146" i="146" s="1"/>
  <c r="E146" i="146"/>
  <c r="E145" i="146"/>
  <c r="I145" i="146" s="1"/>
  <c r="L145" i="146" s="1"/>
  <c r="M145" i="146" s="1"/>
  <c r="N145" i="146" s="1"/>
  <c r="E144" i="146"/>
  <c r="I144" i="146" s="1"/>
  <c r="L144" i="146" s="1"/>
  <c r="M144" i="146" s="1"/>
  <c r="N144" i="146" s="1"/>
  <c r="O144" i="146" s="1"/>
  <c r="Q144" i="146" s="1"/>
  <c r="M143" i="146"/>
  <c r="F143" i="146"/>
  <c r="I143" i="146" s="1"/>
  <c r="L143" i="146" s="1"/>
  <c r="E143" i="146"/>
  <c r="E142" i="146"/>
  <c r="I142" i="146" s="1"/>
  <c r="L142" i="146" s="1"/>
  <c r="M142" i="146" s="1"/>
  <c r="N142" i="146" s="1"/>
  <c r="L141" i="146"/>
  <c r="M141" i="146" s="1"/>
  <c r="N141" i="146" s="1"/>
  <c r="O141" i="146" s="1"/>
  <c r="T141" i="146" s="1"/>
  <c r="E141" i="146"/>
  <c r="I141" i="146" s="1"/>
  <c r="F140" i="146"/>
  <c r="E140" i="146"/>
  <c r="F139" i="146"/>
  <c r="E139" i="146"/>
  <c r="I139" i="146" s="1"/>
  <c r="L139" i="146" s="1"/>
  <c r="M139" i="146" s="1"/>
  <c r="N139" i="146" s="1"/>
  <c r="O138" i="146"/>
  <c r="I138" i="146"/>
  <c r="L138" i="146" s="1"/>
  <c r="M138" i="146" s="1"/>
  <c r="N138" i="146" s="1"/>
  <c r="E138" i="146"/>
  <c r="E137" i="146"/>
  <c r="M136" i="146"/>
  <c r="N136" i="146" s="1"/>
  <c r="O136" i="146" s="1"/>
  <c r="Q136" i="146" s="1"/>
  <c r="E136" i="146"/>
  <c r="I136" i="146" s="1"/>
  <c r="L136" i="146" s="1"/>
  <c r="L135" i="146"/>
  <c r="M135" i="146" s="1"/>
  <c r="N135" i="146" s="1"/>
  <c r="I135" i="146"/>
  <c r="F135" i="146"/>
  <c r="E135" i="146"/>
  <c r="F134" i="146"/>
  <c r="E134" i="146"/>
  <c r="I134" i="146" s="1"/>
  <c r="L134" i="146" s="1"/>
  <c r="M134" i="146" s="1"/>
  <c r="N134" i="146" s="1"/>
  <c r="F133" i="146"/>
  <c r="E133" i="146"/>
  <c r="F132" i="146"/>
  <c r="E132" i="146"/>
  <c r="I132" i="146" s="1"/>
  <c r="L132" i="146" s="1"/>
  <c r="M132" i="146" s="1"/>
  <c r="N132" i="146" s="1"/>
  <c r="M131" i="146"/>
  <c r="F131" i="146"/>
  <c r="E131" i="146"/>
  <c r="I131" i="146" s="1"/>
  <c r="L131" i="146" s="1"/>
  <c r="E130" i="146"/>
  <c r="E129" i="146"/>
  <c r="E125" i="146"/>
  <c r="I125" i="146" s="1"/>
  <c r="L125" i="146" s="1"/>
  <c r="M125" i="146" s="1"/>
  <c r="N125" i="146" s="1"/>
  <c r="O125" i="146" s="1"/>
  <c r="E124" i="146"/>
  <c r="I124" i="146" s="1"/>
  <c r="L124" i="146" s="1"/>
  <c r="M124" i="146" s="1"/>
  <c r="N124" i="146" s="1"/>
  <c r="I123" i="146"/>
  <c r="L123" i="146" s="1"/>
  <c r="M123" i="146" s="1"/>
  <c r="N123" i="146" s="1"/>
  <c r="O123" i="146" s="1"/>
  <c r="E123" i="146"/>
  <c r="F122" i="146"/>
  <c r="E122" i="146"/>
  <c r="F121" i="146"/>
  <c r="E121" i="146"/>
  <c r="E120" i="146"/>
  <c r="E119" i="146"/>
  <c r="F118" i="146"/>
  <c r="E118" i="146"/>
  <c r="F117" i="146"/>
  <c r="E117" i="146"/>
  <c r="F116" i="146"/>
  <c r="E116" i="146"/>
  <c r="I116" i="146" s="1"/>
  <c r="L116" i="146" s="1"/>
  <c r="M116" i="146" s="1"/>
  <c r="N116" i="146" s="1"/>
  <c r="F112" i="146"/>
  <c r="I112" i="146" s="1"/>
  <c r="L112" i="146" s="1"/>
  <c r="M112" i="146" s="1"/>
  <c r="N112" i="146" s="1"/>
  <c r="E112" i="146"/>
  <c r="E111" i="146"/>
  <c r="F110" i="146"/>
  <c r="E110" i="146"/>
  <c r="E106" i="146"/>
  <c r="I106" i="146" s="1"/>
  <c r="L106" i="146" s="1"/>
  <c r="M106" i="146" s="1"/>
  <c r="N106" i="146" s="1"/>
  <c r="E105" i="146"/>
  <c r="E104" i="146"/>
  <c r="I104" i="146" s="1"/>
  <c r="L104" i="146" s="1"/>
  <c r="M104" i="146" s="1"/>
  <c r="N104" i="146" s="1"/>
  <c r="I103" i="146"/>
  <c r="L103" i="146" s="1"/>
  <c r="M103" i="146" s="1"/>
  <c r="N103" i="146" s="1"/>
  <c r="E103" i="146"/>
  <c r="F102" i="146"/>
  <c r="E102" i="146"/>
  <c r="F101" i="146"/>
  <c r="I101" i="146" s="1"/>
  <c r="L101" i="146" s="1"/>
  <c r="M101" i="146" s="1"/>
  <c r="E101" i="146"/>
  <c r="E100" i="146"/>
  <c r="I100" i="146" s="1"/>
  <c r="L100" i="146" s="1"/>
  <c r="M100" i="146" s="1"/>
  <c r="N100" i="146" s="1"/>
  <c r="O100" i="146" s="1"/>
  <c r="L96" i="146"/>
  <c r="M96" i="146" s="1"/>
  <c r="N96" i="146" s="1"/>
  <c r="O96" i="146" s="1"/>
  <c r="E96" i="146"/>
  <c r="I96" i="146" s="1"/>
  <c r="E95" i="146"/>
  <c r="I95" i="146" s="1"/>
  <c r="L95" i="146" s="1"/>
  <c r="M95" i="146" s="1"/>
  <c r="N95" i="146" s="1"/>
  <c r="O95" i="146" s="1"/>
  <c r="E94" i="146"/>
  <c r="F93" i="146"/>
  <c r="E93" i="146"/>
  <c r="E89" i="146"/>
  <c r="I89" i="146" s="1"/>
  <c r="L89" i="146" s="1"/>
  <c r="M89" i="146" s="1"/>
  <c r="N89" i="146" s="1"/>
  <c r="O89" i="146" s="1"/>
  <c r="E88" i="146"/>
  <c r="F87" i="146"/>
  <c r="E87" i="146"/>
  <c r="L86" i="146"/>
  <c r="M86" i="146" s="1"/>
  <c r="N86" i="146" s="1"/>
  <c r="O86" i="146" s="1"/>
  <c r="I86" i="146"/>
  <c r="E86" i="146"/>
  <c r="I85" i="146"/>
  <c r="L85" i="146" s="1"/>
  <c r="M85" i="146" s="1"/>
  <c r="N85" i="146" s="1"/>
  <c r="O85" i="146" s="1"/>
  <c r="Q85" i="146" s="1"/>
  <c r="E85" i="146"/>
  <c r="I84" i="146"/>
  <c r="L84" i="146" s="1"/>
  <c r="M84" i="146" s="1"/>
  <c r="N84" i="146" s="1"/>
  <c r="O84" i="146" s="1"/>
  <c r="E84" i="146"/>
  <c r="E83" i="146"/>
  <c r="I83" i="146" s="1"/>
  <c r="L83" i="146" s="1"/>
  <c r="M83" i="146" s="1"/>
  <c r="N83" i="146" s="1"/>
  <c r="O83" i="146" s="1"/>
  <c r="E82" i="146"/>
  <c r="I82" i="146" s="1"/>
  <c r="L82" i="146" s="1"/>
  <c r="M82" i="146" s="1"/>
  <c r="N82" i="146" s="1"/>
  <c r="O82" i="146" s="1"/>
  <c r="F81" i="146"/>
  <c r="I81" i="146" s="1"/>
  <c r="L81" i="146" s="1"/>
  <c r="M81" i="146" s="1"/>
  <c r="E81" i="146"/>
  <c r="E80" i="146"/>
  <c r="E76" i="146"/>
  <c r="E75" i="146"/>
  <c r="I75" i="146" s="1"/>
  <c r="L75" i="146" s="1"/>
  <c r="M75" i="146" s="1"/>
  <c r="N75" i="146" s="1"/>
  <c r="O75" i="146" s="1"/>
  <c r="E74" i="146"/>
  <c r="I74" i="146" s="1"/>
  <c r="L74" i="146" s="1"/>
  <c r="M74" i="146" s="1"/>
  <c r="N74" i="146" s="1"/>
  <c r="F73" i="146"/>
  <c r="E73" i="146"/>
  <c r="I72" i="146"/>
  <c r="L72" i="146" s="1"/>
  <c r="M72" i="146" s="1"/>
  <c r="N72" i="146" s="1"/>
  <c r="O72" i="146" s="1"/>
  <c r="E72" i="146"/>
  <c r="I71" i="146"/>
  <c r="L71" i="146" s="1"/>
  <c r="M71" i="146" s="1"/>
  <c r="N71" i="146" s="1"/>
  <c r="O71" i="146" s="1"/>
  <c r="U71" i="146" s="1"/>
  <c r="E71" i="146"/>
  <c r="E70" i="146"/>
  <c r="I70" i="146" s="1"/>
  <c r="L70" i="146" s="1"/>
  <c r="M70" i="146" s="1"/>
  <c r="N70" i="146" s="1"/>
  <c r="O70" i="146" s="1"/>
  <c r="Q70" i="146" s="1"/>
  <c r="E66" i="146"/>
  <c r="I66" i="146" s="1"/>
  <c r="L66" i="146" s="1"/>
  <c r="M66" i="146" s="1"/>
  <c r="N66" i="146" s="1"/>
  <c r="O66" i="146" s="1"/>
  <c r="I65" i="146"/>
  <c r="L65" i="146" s="1"/>
  <c r="M65" i="146" s="1"/>
  <c r="N65" i="146" s="1"/>
  <c r="O65" i="146" s="1"/>
  <c r="E65" i="146"/>
  <c r="E64" i="146"/>
  <c r="E63" i="146"/>
  <c r="I63" i="146" s="1"/>
  <c r="L63" i="146" s="1"/>
  <c r="M63" i="146" s="1"/>
  <c r="N63" i="146" s="1"/>
  <c r="O63" i="146" s="1"/>
  <c r="E62" i="146"/>
  <c r="E61" i="146"/>
  <c r="I61" i="146" s="1"/>
  <c r="L61" i="146" s="1"/>
  <c r="M61" i="146" s="1"/>
  <c r="N61" i="146" s="1"/>
  <c r="S60" i="146"/>
  <c r="I60" i="146"/>
  <c r="L60" i="146" s="1"/>
  <c r="M60" i="146" s="1"/>
  <c r="N60" i="146" s="1"/>
  <c r="O60" i="146" s="1"/>
  <c r="E60" i="146"/>
  <c r="I59" i="146"/>
  <c r="L59" i="146" s="1"/>
  <c r="M59" i="146" s="1"/>
  <c r="N59" i="146" s="1"/>
  <c r="E59" i="146"/>
  <c r="E58" i="146"/>
  <c r="I58" i="146" s="1"/>
  <c r="L58" i="146" s="1"/>
  <c r="M58" i="146" s="1"/>
  <c r="N58" i="146" s="1"/>
  <c r="O58" i="146" s="1"/>
  <c r="N57" i="146"/>
  <c r="I57" i="146"/>
  <c r="L57" i="146" s="1"/>
  <c r="M57" i="146" s="1"/>
  <c r="E57" i="146"/>
  <c r="E54" i="146"/>
  <c r="E53" i="146"/>
  <c r="I50" i="146"/>
  <c r="L50" i="146" s="1"/>
  <c r="M50" i="146" s="1"/>
  <c r="N50" i="146" s="1"/>
  <c r="E50" i="146"/>
  <c r="AB49" i="146"/>
  <c r="Z49" i="146"/>
  <c r="E49" i="146"/>
  <c r="I49" i="146" s="1"/>
  <c r="L49" i="146" s="1"/>
  <c r="M49" i="146" s="1"/>
  <c r="N49" i="146" s="1"/>
  <c r="O49" i="146" s="1"/>
  <c r="Q49" i="146" s="1"/>
  <c r="E48" i="146"/>
  <c r="E47" i="146"/>
  <c r="I47" i="146" s="1"/>
  <c r="L47" i="146" s="1"/>
  <c r="M47" i="146" s="1"/>
  <c r="N47" i="146" s="1"/>
  <c r="O47" i="146" s="1"/>
  <c r="Q47" i="146" s="1"/>
  <c r="I46" i="146"/>
  <c r="L46" i="146" s="1"/>
  <c r="M46" i="146" s="1"/>
  <c r="N46" i="146" s="1"/>
  <c r="O46" i="146" s="1"/>
  <c r="E46" i="146"/>
  <c r="I45" i="146"/>
  <c r="L45" i="146" s="1"/>
  <c r="M45" i="146" s="1"/>
  <c r="N45" i="146" s="1"/>
  <c r="O45" i="146" s="1"/>
  <c r="E45" i="146"/>
  <c r="F44" i="146"/>
  <c r="E44" i="146"/>
  <c r="E43" i="146"/>
  <c r="E42" i="146"/>
  <c r="E41" i="146"/>
  <c r="E40" i="146"/>
  <c r="E37" i="146"/>
  <c r="E36" i="146"/>
  <c r="G35" i="146"/>
  <c r="E35" i="146"/>
  <c r="I32" i="146"/>
  <c r="L32" i="146" s="1"/>
  <c r="M32" i="146" s="1"/>
  <c r="N32" i="146" s="1"/>
  <c r="O32" i="146" s="1"/>
  <c r="E32" i="146"/>
  <c r="E31" i="146"/>
  <c r="I30" i="146"/>
  <c r="L30" i="146" s="1"/>
  <c r="M30" i="146" s="1"/>
  <c r="N30" i="146" s="1"/>
  <c r="O30" i="146" s="1"/>
  <c r="S30" i="146" s="1"/>
  <c r="E30" i="146"/>
  <c r="E29" i="146"/>
  <c r="E28" i="146"/>
  <c r="E27" i="146"/>
  <c r="E26" i="146"/>
  <c r="I26" i="146" s="1"/>
  <c r="L26" i="146" s="1"/>
  <c r="M26" i="146" s="1"/>
  <c r="N26" i="146" s="1"/>
  <c r="O26" i="146" s="1"/>
  <c r="L25" i="146"/>
  <c r="M25" i="146" s="1"/>
  <c r="N25" i="146" s="1"/>
  <c r="O25" i="146" s="1"/>
  <c r="E25" i="146"/>
  <c r="I25" i="146" s="1"/>
  <c r="I24" i="146"/>
  <c r="L24" i="146" s="1"/>
  <c r="M24" i="146" s="1"/>
  <c r="N24" i="146" s="1"/>
  <c r="O24" i="146" s="1"/>
  <c r="E24" i="146"/>
  <c r="E23" i="146"/>
  <c r="E21" i="146"/>
  <c r="I21" i="146" s="1"/>
  <c r="L21" i="146" s="1"/>
  <c r="M21" i="146" s="1"/>
  <c r="N21" i="146" s="1"/>
  <c r="N20" i="146"/>
  <c r="I20" i="146"/>
  <c r="L20" i="146" s="1"/>
  <c r="M20" i="146" s="1"/>
  <c r="E20" i="146"/>
  <c r="E19" i="146"/>
  <c r="I19" i="146" s="1"/>
  <c r="L19" i="146" s="1"/>
  <c r="M19" i="146" s="1"/>
  <c r="N19" i="146" s="1"/>
  <c r="E18" i="146"/>
  <c r="Q17" i="146"/>
  <c r="P17" i="146"/>
  <c r="I17" i="146"/>
  <c r="L17" i="146" s="1"/>
  <c r="M17" i="146" s="1"/>
  <c r="N17" i="146" s="1"/>
  <c r="O17" i="146" s="1"/>
  <c r="E17" i="146"/>
  <c r="L16" i="146"/>
  <c r="M16" i="146" s="1"/>
  <c r="N16" i="146" s="1"/>
  <c r="O16" i="146" s="1"/>
  <c r="E16" i="146"/>
  <c r="I16" i="146" s="1"/>
  <c r="E15" i="146"/>
  <c r="I15" i="146" s="1"/>
  <c r="L15" i="146" s="1"/>
  <c r="M15" i="146" s="1"/>
  <c r="N15" i="146" s="1"/>
  <c r="O15" i="146" s="1"/>
  <c r="U15" i="146" s="1"/>
  <c r="E14" i="146"/>
  <c r="F13" i="146"/>
  <c r="E13" i="146"/>
  <c r="F12" i="146"/>
  <c r="E12" i="146"/>
  <c r="E11" i="146"/>
  <c r="I11" i="146" s="1"/>
  <c r="L11" i="146" s="1"/>
  <c r="M11" i="146" s="1"/>
  <c r="N11" i="146" s="1"/>
  <c r="O11" i="146" s="1"/>
  <c r="F10" i="146"/>
  <c r="E10" i="146"/>
  <c r="F9" i="146"/>
  <c r="E9" i="146"/>
  <c r="E8" i="146"/>
  <c r="E7" i="146"/>
  <c r="E6" i="146"/>
  <c r="C195" i="144"/>
  <c r="E194" i="144"/>
  <c r="F193" i="144"/>
  <c r="F192" i="144"/>
  <c r="F191" i="144"/>
  <c r="F190" i="144"/>
  <c r="F189" i="144"/>
  <c r="F188" i="144"/>
  <c r="F187" i="144"/>
  <c r="F186" i="144"/>
  <c r="F185" i="144"/>
  <c r="F184" i="144"/>
  <c r="F183" i="144"/>
  <c r="F182" i="144"/>
  <c r="F181" i="144"/>
  <c r="F180" i="144"/>
  <c r="F179" i="144"/>
  <c r="F178" i="144"/>
  <c r="F177" i="144"/>
  <c r="F176" i="144"/>
  <c r="F175" i="144"/>
  <c r="F174" i="144"/>
  <c r="F173" i="144"/>
  <c r="F172" i="144"/>
  <c r="F171" i="144"/>
  <c r="F170" i="144"/>
  <c r="F169" i="144"/>
  <c r="F168" i="144"/>
  <c r="F167" i="144"/>
  <c r="F166" i="144"/>
  <c r="F165" i="144"/>
  <c r="F164" i="144"/>
  <c r="F163" i="144"/>
  <c r="F162" i="144"/>
  <c r="F161" i="144"/>
  <c r="F160" i="144"/>
  <c r="F159" i="144"/>
  <c r="F158" i="144"/>
  <c r="F157" i="144"/>
  <c r="F156" i="144"/>
  <c r="F155" i="144"/>
  <c r="F154" i="144"/>
  <c r="F153" i="144"/>
  <c r="F152" i="144"/>
  <c r="F151" i="144"/>
  <c r="F150" i="144"/>
  <c r="F149" i="144"/>
  <c r="F148" i="144"/>
  <c r="F147" i="144"/>
  <c r="F146" i="144"/>
  <c r="F145" i="144"/>
  <c r="F144" i="144"/>
  <c r="F143" i="144"/>
  <c r="F142" i="144"/>
  <c r="F141" i="144"/>
  <c r="F140" i="144"/>
  <c r="F139" i="144"/>
  <c r="F138" i="144"/>
  <c r="F137" i="144"/>
  <c r="F135" i="144"/>
  <c r="F194" i="144" s="1"/>
  <c r="E132" i="144"/>
  <c r="E195" i="144" s="1"/>
  <c r="F131" i="144"/>
  <c r="F130" i="144"/>
  <c r="F129" i="144"/>
  <c r="F128" i="144"/>
  <c r="F127" i="144"/>
  <c r="F126" i="144"/>
  <c r="F124" i="144"/>
  <c r="F123" i="144"/>
  <c r="F122" i="144"/>
  <c r="F132" i="144" s="1"/>
  <c r="E119" i="144"/>
  <c r="F118" i="144"/>
  <c r="F117" i="144"/>
  <c r="F116" i="144"/>
  <c r="F119" i="144" s="1"/>
  <c r="E113" i="144"/>
  <c r="F112" i="144"/>
  <c r="F111" i="144"/>
  <c r="F110" i="144"/>
  <c r="F109" i="144"/>
  <c r="F108" i="144"/>
  <c r="F107" i="144"/>
  <c r="F106" i="144"/>
  <c r="F113" i="144" s="1"/>
  <c r="F103" i="144"/>
  <c r="E103" i="144"/>
  <c r="F102" i="144"/>
  <c r="F101" i="144"/>
  <c r="F100" i="144"/>
  <c r="F99" i="144"/>
  <c r="E96" i="144"/>
  <c r="F95" i="144"/>
  <c r="F94" i="144"/>
  <c r="F93" i="144"/>
  <c r="F92" i="144"/>
  <c r="F91" i="144"/>
  <c r="F90" i="144"/>
  <c r="F89" i="144"/>
  <c r="F88" i="144"/>
  <c r="F87" i="144"/>
  <c r="F96" i="144" s="1"/>
  <c r="F86" i="144"/>
  <c r="E83" i="144"/>
  <c r="F82" i="144"/>
  <c r="F81" i="144"/>
  <c r="F80" i="144"/>
  <c r="F79" i="144"/>
  <c r="F76" i="144"/>
  <c r="F83" i="144" s="1"/>
  <c r="E73" i="144"/>
  <c r="F72" i="144"/>
  <c r="F71" i="144"/>
  <c r="F70" i="144"/>
  <c r="F69" i="144"/>
  <c r="F68" i="144"/>
  <c r="F67" i="144"/>
  <c r="F66" i="144"/>
  <c r="F65" i="144"/>
  <c r="F64" i="144"/>
  <c r="F73" i="144" s="1"/>
  <c r="E60" i="144"/>
  <c r="F59" i="144"/>
  <c r="F58" i="144"/>
  <c r="F60" i="144" s="1"/>
  <c r="F55" i="144"/>
  <c r="E55" i="144"/>
  <c r="F54" i="144"/>
  <c r="F53" i="144"/>
  <c r="F52" i="144"/>
  <c r="F51" i="144"/>
  <c r="F50" i="144"/>
  <c r="F49" i="144"/>
  <c r="F48" i="144"/>
  <c r="F47" i="144"/>
  <c r="F46" i="144"/>
  <c r="F45" i="144"/>
  <c r="F44" i="144"/>
  <c r="E41" i="144"/>
  <c r="F40" i="144"/>
  <c r="F39" i="144"/>
  <c r="F38" i="144"/>
  <c r="F41" i="144" s="1"/>
  <c r="E35" i="144"/>
  <c r="F34" i="144"/>
  <c r="F33" i="144"/>
  <c r="F32" i="144"/>
  <c r="F31" i="144"/>
  <c r="F30" i="144"/>
  <c r="F29" i="144"/>
  <c r="F28" i="144"/>
  <c r="F27" i="144"/>
  <c r="F26" i="144"/>
  <c r="F25" i="144"/>
  <c r="F24" i="144"/>
  <c r="F23" i="144"/>
  <c r="F22" i="144"/>
  <c r="F21" i="144"/>
  <c r="F20" i="144"/>
  <c r="F19" i="144"/>
  <c r="F18" i="144"/>
  <c r="F17" i="144"/>
  <c r="F16" i="144"/>
  <c r="F15" i="144"/>
  <c r="F14" i="144"/>
  <c r="F12" i="144"/>
  <c r="F11" i="144"/>
  <c r="F35" i="144" s="1"/>
  <c r="F9" i="144"/>
  <c r="K194" i="143"/>
  <c r="K193" i="1"/>
  <c r="L193" i="1"/>
  <c r="M193" i="1"/>
  <c r="J58" i="143"/>
  <c r="H38" i="1"/>
  <c r="C194" i="143"/>
  <c r="M193" i="143"/>
  <c r="G193" i="143"/>
  <c r="F193" i="143"/>
  <c r="E193" i="143"/>
  <c r="E194" i="143" s="1"/>
  <c r="O192" i="143"/>
  <c r="J192" i="143"/>
  <c r="L192" i="143" s="1"/>
  <c r="H192" i="143"/>
  <c r="O191" i="143"/>
  <c r="H191" i="143"/>
  <c r="J191" i="143" s="1"/>
  <c r="L191" i="143" s="1"/>
  <c r="O190" i="143"/>
  <c r="J190" i="143"/>
  <c r="L190" i="143" s="1"/>
  <c r="O189" i="143"/>
  <c r="J189" i="143"/>
  <c r="L189" i="143" s="1"/>
  <c r="O188" i="143"/>
  <c r="J188" i="143"/>
  <c r="L188" i="143" s="1"/>
  <c r="O187" i="143"/>
  <c r="I187" i="143"/>
  <c r="H187" i="143"/>
  <c r="J187" i="143" s="1"/>
  <c r="L187" i="143" s="1"/>
  <c r="O186" i="143"/>
  <c r="J186" i="143"/>
  <c r="L186" i="143" s="1"/>
  <c r="I186" i="143"/>
  <c r="H186" i="143"/>
  <c r="O185" i="143"/>
  <c r="I185" i="143"/>
  <c r="J185" i="143" s="1"/>
  <c r="L185" i="143" s="1"/>
  <c r="O184" i="143"/>
  <c r="L184" i="143"/>
  <c r="J184" i="143"/>
  <c r="O183" i="143"/>
  <c r="I183" i="143"/>
  <c r="H183" i="143"/>
  <c r="J183" i="143" s="1"/>
  <c r="L183" i="143" s="1"/>
  <c r="O182" i="143"/>
  <c r="I182" i="143"/>
  <c r="H182" i="143"/>
  <c r="J182" i="143" s="1"/>
  <c r="L182" i="143" s="1"/>
  <c r="O181" i="143"/>
  <c r="I181" i="143"/>
  <c r="H181" i="143"/>
  <c r="J181" i="143" s="1"/>
  <c r="L181" i="143" s="1"/>
  <c r="O180" i="143"/>
  <c r="I180" i="143"/>
  <c r="H180" i="143"/>
  <c r="J180" i="143" s="1"/>
  <c r="L180" i="143" s="1"/>
  <c r="O179" i="143"/>
  <c r="J179" i="143"/>
  <c r="L179" i="143" s="1"/>
  <c r="I179" i="143"/>
  <c r="H179" i="143"/>
  <c r="O178" i="143"/>
  <c r="I178" i="143"/>
  <c r="H178" i="143"/>
  <c r="J178" i="143" s="1"/>
  <c r="L178" i="143" s="1"/>
  <c r="O177" i="143"/>
  <c r="J177" i="143"/>
  <c r="L177" i="143" s="1"/>
  <c r="I177" i="143"/>
  <c r="H177" i="143"/>
  <c r="O176" i="143"/>
  <c r="I176" i="143"/>
  <c r="J176" i="143" s="1"/>
  <c r="L176" i="143" s="1"/>
  <c r="H176" i="143"/>
  <c r="O175" i="143"/>
  <c r="I175" i="143"/>
  <c r="H175" i="143"/>
  <c r="J175" i="143" s="1"/>
  <c r="L175" i="143" s="1"/>
  <c r="O174" i="143"/>
  <c r="I174" i="143"/>
  <c r="H174" i="143"/>
  <c r="J174" i="143" s="1"/>
  <c r="L174" i="143" s="1"/>
  <c r="O173" i="143"/>
  <c r="I173" i="143"/>
  <c r="H173" i="143"/>
  <c r="J173" i="143" s="1"/>
  <c r="L173" i="143" s="1"/>
  <c r="O172" i="143"/>
  <c r="I172" i="143"/>
  <c r="H172" i="143"/>
  <c r="J172" i="143" s="1"/>
  <c r="L172" i="143" s="1"/>
  <c r="O171" i="143"/>
  <c r="J171" i="143"/>
  <c r="L171" i="143" s="1"/>
  <c r="I171" i="143"/>
  <c r="H171" i="143"/>
  <c r="O170" i="143"/>
  <c r="I170" i="143"/>
  <c r="H170" i="143"/>
  <c r="J170" i="143" s="1"/>
  <c r="L170" i="143" s="1"/>
  <c r="O169" i="143"/>
  <c r="J169" i="143"/>
  <c r="L169" i="143" s="1"/>
  <c r="I169" i="143"/>
  <c r="H169" i="143"/>
  <c r="O168" i="143"/>
  <c r="I168" i="143"/>
  <c r="J168" i="143" s="1"/>
  <c r="L168" i="143" s="1"/>
  <c r="H168" i="143"/>
  <c r="O167" i="143"/>
  <c r="I167" i="143"/>
  <c r="H167" i="143"/>
  <c r="J167" i="143" s="1"/>
  <c r="L167" i="143" s="1"/>
  <c r="O166" i="143"/>
  <c r="I166" i="143"/>
  <c r="H166" i="143"/>
  <c r="J166" i="143" s="1"/>
  <c r="L166" i="143" s="1"/>
  <c r="O165" i="143"/>
  <c r="I165" i="143"/>
  <c r="H165" i="143"/>
  <c r="J165" i="143" s="1"/>
  <c r="L165" i="143" s="1"/>
  <c r="O164" i="143"/>
  <c r="I164" i="143"/>
  <c r="H164" i="143"/>
  <c r="J164" i="143" s="1"/>
  <c r="L164" i="143" s="1"/>
  <c r="O163" i="143"/>
  <c r="J163" i="143"/>
  <c r="L163" i="143" s="1"/>
  <c r="I163" i="143"/>
  <c r="H163" i="143"/>
  <c r="O162" i="143"/>
  <c r="I162" i="143"/>
  <c r="I193" i="143" s="1"/>
  <c r="H162" i="143"/>
  <c r="J162" i="143" s="1"/>
  <c r="L162" i="143" s="1"/>
  <c r="O161" i="143"/>
  <c r="J161" i="143"/>
  <c r="L161" i="143" s="1"/>
  <c r="H161" i="143"/>
  <c r="O160" i="143"/>
  <c r="H160" i="143"/>
  <c r="J160" i="143" s="1"/>
  <c r="L160" i="143" s="1"/>
  <c r="O159" i="143"/>
  <c r="J159" i="143"/>
  <c r="L159" i="143" s="1"/>
  <c r="H159" i="143"/>
  <c r="O158" i="143"/>
  <c r="H158" i="143"/>
  <c r="J158" i="143" s="1"/>
  <c r="L158" i="143" s="1"/>
  <c r="O157" i="143"/>
  <c r="J157" i="143"/>
  <c r="L157" i="143" s="1"/>
  <c r="H157" i="143"/>
  <c r="O156" i="143"/>
  <c r="H156" i="143"/>
  <c r="J156" i="143" s="1"/>
  <c r="L156" i="143" s="1"/>
  <c r="O155" i="143"/>
  <c r="J155" i="143"/>
  <c r="L155" i="143" s="1"/>
  <c r="H155" i="143"/>
  <c r="O154" i="143"/>
  <c r="H154" i="143"/>
  <c r="J154" i="143" s="1"/>
  <c r="L154" i="143" s="1"/>
  <c r="O153" i="143"/>
  <c r="J153" i="143"/>
  <c r="L153" i="143" s="1"/>
  <c r="H153" i="143"/>
  <c r="O152" i="143"/>
  <c r="H152" i="143"/>
  <c r="J152" i="143" s="1"/>
  <c r="L152" i="143" s="1"/>
  <c r="O151" i="143"/>
  <c r="J151" i="143"/>
  <c r="L151" i="143" s="1"/>
  <c r="H151" i="143"/>
  <c r="O150" i="143"/>
  <c r="H150" i="143"/>
  <c r="J150" i="143" s="1"/>
  <c r="L150" i="143" s="1"/>
  <c r="O149" i="143"/>
  <c r="J149" i="143"/>
  <c r="L149" i="143" s="1"/>
  <c r="H149" i="143"/>
  <c r="O148" i="143"/>
  <c r="H148" i="143"/>
  <c r="J148" i="143" s="1"/>
  <c r="L148" i="143" s="1"/>
  <c r="O147" i="143"/>
  <c r="J147" i="143"/>
  <c r="L147" i="143" s="1"/>
  <c r="H147" i="143"/>
  <c r="O146" i="143"/>
  <c r="J146" i="143"/>
  <c r="L146" i="143" s="1"/>
  <c r="O145" i="143"/>
  <c r="H145" i="143"/>
  <c r="J145" i="143" s="1"/>
  <c r="L145" i="143" s="1"/>
  <c r="O144" i="143"/>
  <c r="H144" i="143"/>
  <c r="J144" i="143" s="1"/>
  <c r="L144" i="143" s="1"/>
  <c r="O143" i="143"/>
  <c r="H143" i="143"/>
  <c r="J143" i="143" s="1"/>
  <c r="L143" i="143" s="1"/>
  <c r="O142" i="143"/>
  <c r="H142" i="143"/>
  <c r="J142" i="143" s="1"/>
  <c r="L142" i="143" s="1"/>
  <c r="O141" i="143"/>
  <c r="H141" i="143"/>
  <c r="J141" i="143" s="1"/>
  <c r="L141" i="143" s="1"/>
  <c r="O140" i="143"/>
  <c r="H140" i="143"/>
  <c r="J140" i="143" s="1"/>
  <c r="L140" i="143" s="1"/>
  <c r="O139" i="143"/>
  <c r="L139" i="143"/>
  <c r="J139" i="143"/>
  <c r="O138" i="143"/>
  <c r="L138" i="143"/>
  <c r="J138" i="143"/>
  <c r="O137" i="143"/>
  <c r="J137" i="143"/>
  <c r="L137" i="143" s="1"/>
  <c r="O136" i="143"/>
  <c r="J136" i="143"/>
  <c r="L136" i="143" s="1"/>
  <c r="H136" i="143"/>
  <c r="O135" i="143"/>
  <c r="J135" i="143"/>
  <c r="L135" i="143" s="1"/>
  <c r="O134" i="143"/>
  <c r="H134" i="143"/>
  <c r="H193" i="143" s="1"/>
  <c r="M131" i="143"/>
  <c r="I131" i="143"/>
  <c r="G131" i="143"/>
  <c r="F131" i="143"/>
  <c r="E131" i="143"/>
  <c r="O130" i="143"/>
  <c r="J130" i="143"/>
  <c r="L130" i="143" s="1"/>
  <c r="O129" i="143"/>
  <c r="J129" i="143"/>
  <c r="L129" i="143" s="1"/>
  <c r="H129" i="143"/>
  <c r="O128" i="143"/>
  <c r="H128" i="143"/>
  <c r="J128" i="143" s="1"/>
  <c r="L128" i="143" s="1"/>
  <c r="O127" i="143"/>
  <c r="J127" i="143"/>
  <c r="L127" i="143" s="1"/>
  <c r="H127" i="143"/>
  <c r="O126" i="143"/>
  <c r="H126" i="143"/>
  <c r="J126" i="143" s="1"/>
  <c r="L126" i="143" s="1"/>
  <c r="O125" i="143"/>
  <c r="J125" i="143"/>
  <c r="L125" i="143" s="1"/>
  <c r="H125" i="143"/>
  <c r="O124" i="143"/>
  <c r="H124" i="143"/>
  <c r="J124" i="143" s="1"/>
  <c r="L124" i="143" s="1"/>
  <c r="O123" i="143"/>
  <c r="J123" i="143"/>
  <c r="L123" i="143" s="1"/>
  <c r="I123" i="143"/>
  <c r="H123" i="143"/>
  <c r="O122" i="143"/>
  <c r="H122" i="143"/>
  <c r="J122" i="143" s="1"/>
  <c r="O121" i="143"/>
  <c r="L121" i="143"/>
  <c r="J121" i="143"/>
  <c r="H121" i="143"/>
  <c r="H131" i="143" s="1"/>
  <c r="M118" i="143"/>
  <c r="I118" i="143"/>
  <c r="G118" i="143"/>
  <c r="F118" i="143"/>
  <c r="E118" i="143"/>
  <c r="O117" i="143"/>
  <c r="H117" i="143"/>
  <c r="H118" i="143" s="1"/>
  <c r="O116" i="143"/>
  <c r="J116" i="143"/>
  <c r="L116" i="143" s="1"/>
  <c r="O115" i="143"/>
  <c r="J115" i="143"/>
  <c r="M112" i="143"/>
  <c r="I112" i="143"/>
  <c r="H112" i="143"/>
  <c r="F112" i="143"/>
  <c r="E112" i="143"/>
  <c r="O111" i="143"/>
  <c r="G111" i="143"/>
  <c r="J111" i="143" s="1"/>
  <c r="L111" i="143" s="1"/>
  <c r="O110" i="143"/>
  <c r="J110" i="143"/>
  <c r="L110" i="143" s="1"/>
  <c r="G110" i="143"/>
  <c r="O109" i="143"/>
  <c r="G109" i="143"/>
  <c r="G112" i="143" s="1"/>
  <c r="O108" i="143"/>
  <c r="G108" i="143"/>
  <c r="J108" i="143" s="1"/>
  <c r="L108" i="143" s="1"/>
  <c r="O107" i="143"/>
  <c r="G107" i="143"/>
  <c r="J107" i="143" s="1"/>
  <c r="L107" i="143" s="1"/>
  <c r="O106" i="143"/>
  <c r="G106" i="143"/>
  <c r="J106" i="143" s="1"/>
  <c r="L106" i="143" s="1"/>
  <c r="O105" i="143"/>
  <c r="G105" i="143"/>
  <c r="J105" i="143" s="1"/>
  <c r="M102" i="143"/>
  <c r="I102" i="143"/>
  <c r="G102" i="143"/>
  <c r="F102" i="143"/>
  <c r="E102" i="143"/>
  <c r="O101" i="143"/>
  <c r="H101" i="143"/>
  <c r="J101" i="143" s="1"/>
  <c r="L101" i="143" s="1"/>
  <c r="O100" i="143"/>
  <c r="L100" i="143"/>
  <c r="J100" i="143"/>
  <c r="H100" i="143"/>
  <c r="O99" i="143"/>
  <c r="J99" i="143"/>
  <c r="L99" i="143" s="1"/>
  <c r="O98" i="143"/>
  <c r="J98" i="143"/>
  <c r="L98" i="143" s="1"/>
  <c r="H98" i="143"/>
  <c r="H102" i="143" s="1"/>
  <c r="M95" i="143"/>
  <c r="I95" i="143"/>
  <c r="H95" i="143"/>
  <c r="F95" i="143"/>
  <c r="E95" i="143"/>
  <c r="O94" i="143"/>
  <c r="G94" i="143"/>
  <c r="J94" i="143" s="1"/>
  <c r="L94" i="143" s="1"/>
  <c r="O93" i="143"/>
  <c r="J93" i="143"/>
  <c r="L93" i="143" s="1"/>
  <c r="O92" i="143"/>
  <c r="L92" i="143"/>
  <c r="J92" i="143"/>
  <c r="O91" i="143"/>
  <c r="G91" i="143"/>
  <c r="J91" i="143" s="1"/>
  <c r="L91" i="143" s="1"/>
  <c r="O90" i="143"/>
  <c r="J90" i="143"/>
  <c r="L90" i="143" s="1"/>
  <c r="G90" i="143"/>
  <c r="O89" i="143"/>
  <c r="G89" i="143"/>
  <c r="J89" i="143" s="1"/>
  <c r="L89" i="143" s="1"/>
  <c r="O88" i="143"/>
  <c r="L88" i="143"/>
  <c r="J88" i="143"/>
  <c r="G88" i="143"/>
  <c r="O87" i="143"/>
  <c r="J87" i="143"/>
  <c r="L87" i="143" s="1"/>
  <c r="G86" i="143"/>
  <c r="G95" i="143" s="1"/>
  <c r="O85" i="143"/>
  <c r="J85" i="143"/>
  <c r="G85" i="143"/>
  <c r="M82" i="143"/>
  <c r="I82" i="143"/>
  <c r="H82" i="143"/>
  <c r="F82" i="143"/>
  <c r="E82" i="143"/>
  <c r="O81" i="143"/>
  <c r="J81" i="143"/>
  <c r="L81" i="143" s="1"/>
  <c r="O80" i="143"/>
  <c r="L80" i="143"/>
  <c r="J80" i="143"/>
  <c r="O79" i="143"/>
  <c r="G79" i="143"/>
  <c r="J79" i="143" s="1"/>
  <c r="L79" i="143" s="1"/>
  <c r="O78" i="143"/>
  <c r="G78" i="143"/>
  <c r="J78" i="143" s="1"/>
  <c r="L78" i="143" s="1"/>
  <c r="O77" i="143"/>
  <c r="J77" i="143"/>
  <c r="L77" i="143" s="1"/>
  <c r="O76" i="143"/>
  <c r="J76" i="143"/>
  <c r="L76" i="143" s="1"/>
  <c r="G76" i="143"/>
  <c r="O75" i="143"/>
  <c r="G75" i="143"/>
  <c r="J75" i="143" s="1"/>
  <c r="M72" i="143"/>
  <c r="I72" i="143"/>
  <c r="H72" i="143"/>
  <c r="F72" i="143"/>
  <c r="E72" i="143"/>
  <c r="O71" i="143"/>
  <c r="J71" i="143"/>
  <c r="L71" i="143" s="1"/>
  <c r="O70" i="143"/>
  <c r="G70" i="143"/>
  <c r="J70" i="143" s="1"/>
  <c r="L70" i="143" s="1"/>
  <c r="O69" i="143"/>
  <c r="G69" i="143"/>
  <c r="J69" i="143" s="1"/>
  <c r="L69" i="143" s="1"/>
  <c r="O68" i="143"/>
  <c r="G68" i="143"/>
  <c r="J68" i="143" s="1"/>
  <c r="L68" i="143" s="1"/>
  <c r="O67" i="143"/>
  <c r="G67" i="143"/>
  <c r="J67" i="143" s="1"/>
  <c r="L67" i="143" s="1"/>
  <c r="O66" i="143"/>
  <c r="G66" i="143"/>
  <c r="J66" i="143" s="1"/>
  <c r="L66" i="143" s="1"/>
  <c r="O65" i="143"/>
  <c r="G65" i="143"/>
  <c r="J65" i="143" s="1"/>
  <c r="L65" i="143" s="1"/>
  <c r="O64" i="143"/>
  <c r="J64" i="143"/>
  <c r="L64" i="143" s="1"/>
  <c r="O63" i="143"/>
  <c r="J63" i="143"/>
  <c r="L63" i="143" s="1"/>
  <c r="G63" i="143"/>
  <c r="O62" i="143"/>
  <c r="G62" i="143"/>
  <c r="J62" i="143" s="1"/>
  <c r="M59" i="143"/>
  <c r="I59" i="143"/>
  <c r="H59" i="143"/>
  <c r="F59" i="143"/>
  <c r="E59" i="143"/>
  <c r="O58" i="143"/>
  <c r="L58" i="143"/>
  <c r="O57" i="143"/>
  <c r="G57" i="143"/>
  <c r="G59" i="143" s="1"/>
  <c r="M54" i="143"/>
  <c r="I54" i="143"/>
  <c r="H54" i="143"/>
  <c r="F54" i="143"/>
  <c r="E54" i="143"/>
  <c r="O53" i="143"/>
  <c r="L53" i="143"/>
  <c r="J53" i="143"/>
  <c r="G53" i="143"/>
  <c r="O52" i="143"/>
  <c r="G52" i="143"/>
  <c r="J52" i="143" s="1"/>
  <c r="L52" i="143" s="1"/>
  <c r="O51" i="143"/>
  <c r="L51" i="143"/>
  <c r="J51" i="143"/>
  <c r="G51" i="143"/>
  <c r="O50" i="143"/>
  <c r="J50" i="143"/>
  <c r="L50" i="143" s="1"/>
  <c r="O49" i="143"/>
  <c r="J49" i="143"/>
  <c r="L49" i="143" s="1"/>
  <c r="G49" i="143"/>
  <c r="O48" i="143"/>
  <c r="G48" i="143"/>
  <c r="J48" i="143" s="1"/>
  <c r="L48" i="143" s="1"/>
  <c r="O47" i="143"/>
  <c r="J47" i="143"/>
  <c r="L47" i="143" s="1"/>
  <c r="G47" i="143"/>
  <c r="O46" i="143"/>
  <c r="G46" i="143"/>
  <c r="J46" i="143" s="1"/>
  <c r="L46" i="143" s="1"/>
  <c r="O45" i="143"/>
  <c r="J45" i="143"/>
  <c r="L45" i="143" s="1"/>
  <c r="G45" i="143"/>
  <c r="O44" i="143"/>
  <c r="G44" i="143"/>
  <c r="G54" i="143" s="1"/>
  <c r="O43" i="143"/>
  <c r="J43" i="143"/>
  <c r="G43" i="143"/>
  <c r="M40" i="143"/>
  <c r="I40" i="143"/>
  <c r="G40" i="143"/>
  <c r="F40" i="143"/>
  <c r="E40" i="143"/>
  <c r="O39" i="143"/>
  <c r="J39" i="143"/>
  <c r="L39" i="143" s="1"/>
  <c r="H39" i="143"/>
  <c r="O38" i="143"/>
  <c r="H38" i="143"/>
  <c r="J38" i="143" s="1"/>
  <c r="L38" i="143" s="1"/>
  <c r="O37" i="143"/>
  <c r="O40" i="143" s="1"/>
  <c r="H37" i="143"/>
  <c r="J37" i="143" s="1"/>
  <c r="M34" i="143"/>
  <c r="I34" i="143"/>
  <c r="F34" i="143"/>
  <c r="E34" i="143"/>
  <c r="O33" i="143"/>
  <c r="J33" i="143"/>
  <c r="L33" i="143" s="1"/>
  <c r="O32" i="143"/>
  <c r="J32" i="143"/>
  <c r="L32" i="143" s="1"/>
  <c r="H32" i="143"/>
  <c r="H31" i="143"/>
  <c r="J31" i="143" s="1"/>
  <c r="L31" i="143" s="1"/>
  <c r="O30" i="143"/>
  <c r="L30" i="143"/>
  <c r="J30" i="143"/>
  <c r="H30" i="143"/>
  <c r="O29" i="143"/>
  <c r="H29" i="143"/>
  <c r="J29" i="143" s="1"/>
  <c r="L29" i="143" s="1"/>
  <c r="O28" i="143"/>
  <c r="L28" i="143"/>
  <c r="J28" i="143"/>
  <c r="H28" i="143"/>
  <c r="O27" i="143"/>
  <c r="G27" i="143"/>
  <c r="J27" i="143" s="1"/>
  <c r="L27" i="143" s="1"/>
  <c r="O26" i="143"/>
  <c r="L26" i="143"/>
  <c r="J26" i="143"/>
  <c r="H26" i="143"/>
  <c r="O25" i="143"/>
  <c r="H25" i="143"/>
  <c r="J25" i="143" s="1"/>
  <c r="L25" i="143" s="1"/>
  <c r="O24" i="143"/>
  <c r="L24" i="143"/>
  <c r="J24" i="143"/>
  <c r="H24" i="143"/>
  <c r="O23" i="143"/>
  <c r="J23" i="143"/>
  <c r="L23" i="143" s="1"/>
  <c r="O22" i="143"/>
  <c r="J22" i="143"/>
  <c r="L22" i="143" s="1"/>
  <c r="G22" i="143"/>
  <c r="O21" i="143"/>
  <c r="H21" i="143"/>
  <c r="J21" i="143" s="1"/>
  <c r="L21" i="143" s="1"/>
  <c r="O20" i="143"/>
  <c r="J20" i="143"/>
  <c r="L20" i="143" s="1"/>
  <c r="I20" i="143"/>
  <c r="G20" i="143"/>
  <c r="O19" i="143"/>
  <c r="G19" i="143"/>
  <c r="J19" i="143" s="1"/>
  <c r="L19" i="143" s="1"/>
  <c r="O18" i="143"/>
  <c r="L18" i="143"/>
  <c r="J18" i="143"/>
  <c r="O17" i="143"/>
  <c r="G17" i="143"/>
  <c r="J17" i="143" s="1"/>
  <c r="L17" i="143" s="1"/>
  <c r="O16" i="143"/>
  <c r="J16" i="143"/>
  <c r="L16" i="143" s="1"/>
  <c r="O15" i="143"/>
  <c r="I15" i="143"/>
  <c r="H15" i="143"/>
  <c r="J15" i="143" s="1"/>
  <c r="L15" i="143" s="1"/>
  <c r="O14" i="143"/>
  <c r="J14" i="143"/>
  <c r="L14" i="143" s="1"/>
  <c r="I14" i="143"/>
  <c r="O13" i="143"/>
  <c r="H13" i="143"/>
  <c r="J13" i="143" s="1"/>
  <c r="L13" i="143" s="1"/>
  <c r="O12" i="143"/>
  <c r="J12" i="143"/>
  <c r="L12" i="143" s="1"/>
  <c r="H12" i="143"/>
  <c r="O11" i="143"/>
  <c r="H11" i="143"/>
  <c r="J11" i="143" s="1"/>
  <c r="L11" i="143" s="1"/>
  <c r="O10" i="143"/>
  <c r="J10" i="143"/>
  <c r="L10" i="143" s="1"/>
  <c r="O9" i="143"/>
  <c r="I9" i="143"/>
  <c r="H9" i="143"/>
  <c r="J9" i="143" s="1"/>
  <c r="L9" i="143" s="1"/>
  <c r="O8" i="143"/>
  <c r="J8" i="143"/>
  <c r="L8" i="143" s="1"/>
  <c r="H8" i="143"/>
  <c r="H34" i="143" s="1"/>
  <c r="O7" i="143"/>
  <c r="G7" i="143"/>
  <c r="J7" i="143" s="1"/>
  <c r="E3" i="143"/>
  <c r="I9" i="146" l="1"/>
  <c r="L9" i="146" s="1"/>
  <c r="M9" i="146" s="1"/>
  <c r="H42" i="68"/>
  <c r="O118" i="143"/>
  <c r="M194" i="143"/>
  <c r="M197" i="143" s="1"/>
  <c r="O59" i="143"/>
  <c r="I194" i="143"/>
  <c r="I44" i="146"/>
  <c r="L44" i="146" s="1"/>
  <c r="M44" i="146" s="1"/>
  <c r="I102" i="146"/>
  <c r="L102" i="146" s="1"/>
  <c r="M102" i="146" s="1"/>
  <c r="N102" i="146" s="1"/>
  <c r="O102" i="146" s="1"/>
  <c r="I12" i="146"/>
  <c r="L12" i="146" s="1"/>
  <c r="M12" i="146" s="1"/>
  <c r="N12" i="146" s="1"/>
  <c r="O12" i="146" s="1"/>
  <c r="O82" i="143"/>
  <c r="O72" i="143"/>
  <c r="O193" i="143"/>
  <c r="O54" i="143"/>
  <c r="O102" i="143"/>
  <c r="O131" i="143"/>
  <c r="O50" i="146"/>
  <c r="P50" i="146" s="1"/>
  <c r="O59" i="146"/>
  <c r="O154" i="146"/>
  <c r="R154" i="146" s="1"/>
  <c r="O139" i="146"/>
  <c r="I28" i="146"/>
  <c r="L28" i="146" s="1"/>
  <c r="M28" i="146" s="1"/>
  <c r="N28" i="146" s="1"/>
  <c r="O28" i="146" s="1"/>
  <c r="O111" i="146"/>
  <c r="R111" i="146" s="1"/>
  <c r="O160" i="146"/>
  <c r="S160" i="146" s="1"/>
  <c r="I93" i="146"/>
  <c r="L93" i="146" s="1"/>
  <c r="M93" i="146" s="1"/>
  <c r="N93" i="146" s="1"/>
  <c r="O93" i="146" s="1"/>
  <c r="I111" i="146"/>
  <c r="L111" i="146" s="1"/>
  <c r="M111" i="146" s="1"/>
  <c r="N111" i="146" s="1"/>
  <c r="O145" i="146"/>
  <c r="O164" i="146"/>
  <c r="O172" i="146"/>
  <c r="P172" i="146" s="1"/>
  <c r="I121" i="146"/>
  <c r="L121" i="146" s="1"/>
  <c r="M121" i="146" s="1"/>
  <c r="N121" i="146" s="1"/>
  <c r="O121" i="146" s="1"/>
  <c r="I133" i="146"/>
  <c r="L133" i="146" s="1"/>
  <c r="M133" i="146" s="1"/>
  <c r="N133" i="146" s="1"/>
  <c r="O133" i="146" s="1"/>
  <c r="O146" i="146"/>
  <c r="Q146" i="146" s="1"/>
  <c r="I160" i="146"/>
  <c r="L160" i="146" s="1"/>
  <c r="M160" i="146" s="1"/>
  <c r="N160" i="146" s="1"/>
  <c r="I35" i="146"/>
  <c r="L35" i="146" s="1"/>
  <c r="M35" i="146" s="1"/>
  <c r="N35" i="146" s="1"/>
  <c r="O112" i="146"/>
  <c r="S112" i="146" s="1"/>
  <c r="T24" i="146"/>
  <c r="R24" i="146"/>
  <c r="P24" i="146"/>
  <c r="S24" i="146"/>
  <c r="Q24" i="146"/>
  <c r="T45" i="146"/>
  <c r="R45" i="146"/>
  <c r="P45" i="146"/>
  <c r="S45" i="146"/>
  <c r="Q45" i="146"/>
  <c r="U45" i="146"/>
  <c r="R63" i="146"/>
  <c r="T63" i="146"/>
  <c r="S63" i="146"/>
  <c r="Q63" i="146"/>
  <c r="P63" i="146"/>
  <c r="S25" i="146"/>
  <c r="Q25" i="146"/>
  <c r="R25" i="146"/>
  <c r="P25" i="146"/>
  <c r="T25" i="146"/>
  <c r="U11" i="146"/>
  <c r="S11" i="146"/>
  <c r="Q11" i="146"/>
  <c r="R11" i="146"/>
  <c r="T11" i="146"/>
  <c r="P11" i="146"/>
  <c r="T15" i="146"/>
  <c r="R15" i="146"/>
  <c r="P15" i="146"/>
  <c r="S15" i="146"/>
  <c r="Q15" i="146"/>
  <c r="R22" i="146"/>
  <c r="P22" i="146"/>
  <c r="S22" i="146"/>
  <c r="Q22" i="146"/>
  <c r="T22" i="146"/>
  <c r="S16" i="146"/>
  <c r="Q16" i="146"/>
  <c r="R16" i="146"/>
  <c r="P16" i="146"/>
  <c r="T16" i="146"/>
  <c r="I10" i="146"/>
  <c r="L10" i="146" s="1"/>
  <c r="M10" i="146" s="1"/>
  <c r="N10" i="146" s="1"/>
  <c r="O10" i="146" s="1"/>
  <c r="T26" i="146"/>
  <c r="R26" i="146"/>
  <c r="S26" i="146"/>
  <c r="Q26" i="146"/>
  <c r="I41" i="146"/>
  <c r="L41" i="146" s="1"/>
  <c r="M41" i="146" s="1"/>
  <c r="N41" i="146" s="1"/>
  <c r="O41" i="146" s="1"/>
  <c r="T58" i="146"/>
  <c r="P58" i="146"/>
  <c r="Q58" i="146"/>
  <c r="U58" i="146"/>
  <c r="R58" i="146"/>
  <c r="R84" i="146"/>
  <c r="P84" i="146"/>
  <c r="S84" i="146"/>
  <c r="Q84" i="146"/>
  <c r="T84" i="146"/>
  <c r="I87" i="146"/>
  <c r="L87" i="146" s="1"/>
  <c r="M87" i="146" s="1"/>
  <c r="N87" i="146" s="1"/>
  <c r="O87" i="146" s="1"/>
  <c r="I140" i="146"/>
  <c r="L140" i="146" s="1"/>
  <c r="M140" i="146" s="1"/>
  <c r="N140" i="146" s="1"/>
  <c r="O140" i="146" s="1"/>
  <c r="O20" i="146"/>
  <c r="U20" i="146" s="1"/>
  <c r="P26" i="146"/>
  <c r="S58" i="146"/>
  <c r="O61" i="146"/>
  <c r="U61" i="146" s="1"/>
  <c r="R75" i="146"/>
  <c r="P75" i="146"/>
  <c r="S75" i="146"/>
  <c r="Q75" i="146"/>
  <c r="T75" i="146"/>
  <c r="U84" i="146"/>
  <c r="T95" i="146"/>
  <c r="R95" i="146"/>
  <c r="P95" i="146"/>
  <c r="S95" i="146"/>
  <c r="Q95" i="146"/>
  <c r="T47" i="146"/>
  <c r="R47" i="146"/>
  <c r="P47" i="146"/>
  <c r="S47" i="146"/>
  <c r="O53" i="146"/>
  <c r="I8" i="146"/>
  <c r="L8" i="146" s="1"/>
  <c r="M8" i="146" s="1"/>
  <c r="N8" i="146" s="1"/>
  <c r="O8" i="146" s="1"/>
  <c r="I6" i="146"/>
  <c r="L6" i="146" s="1"/>
  <c r="M6" i="146" s="1"/>
  <c r="N6" i="146" s="1"/>
  <c r="O6" i="146" s="1"/>
  <c r="I13" i="146"/>
  <c r="L13" i="146" s="1"/>
  <c r="M13" i="146" s="1"/>
  <c r="N13" i="146" s="1"/>
  <c r="O13" i="146" s="1"/>
  <c r="T17" i="146"/>
  <c r="R17" i="146"/>
  <c r="S17" i="146"/>
  <c r="R30" i="146"/>
  <c r="P30" i="146"/>
  <c r="T30" i="146"/>
  <c r="Q30" i="146"/>
  <c r="I48" i="146"/>
  <c r="L48" i="146" s="1"/>
  <c r="M48" i="146" s="1"/>
  <c r="N48" i="146" s="1"/>
  <c r="O48" i="146"/>
  <c r="R82" i="146"/>
  <c r="P82" i="146"/>
  <c r="U82" i="146"/>
  <c r="T82" i="146"/>
  <c r="Q82" i="146"/>
  <c r="S82" i="146"/>
  <c r="T32" i="146"/>
  <c r="R32" i="146"/>
  <c r="P32" i="146"/>
  <c r="I42" i="146"/>
  <c r="L42" i="146" s="1"/>
  <c r="M42" i="146" s="1"/>
  <c r="N42" i="146" s="1"/>
  <c r="O42" i="146" s="1"/>
  <c r="T46" i="146"/>
  <c r="R46" i="146"/>
  <c r="P46" i="146"/>
  <c r="U46" i="146"/>
  <c r="Q46" i="146"/>
  <c r="P65" i="146"/>
  <c r="T65" i="146"/>
  <c r="S65" i="146"/>
  <c r="R65" i="146"/>
  <c r="Q65" i="146"/>
  <c r="S96" i="146"/>
  <c r="Q96" i="146"/>
  <c r="T96" i="146"/>
  <c r="R96" i="146"/>
  <c r="P96" i="146"/>
  <c r="O19" i="146"/>
  <c r="U19" i="146" s="1"/>
  <c r="I29" i="146"/>
  <c r="L29" i="146" s="1"/>
  <c r="M29" i="146" s="1"/>
  <c r="N29" i="146" s="1"/>
  <c r="O29" i="146" s="1"/>
  <c r="Q32" i="146"/>
  <c r="S46" i="146"/>
  <c r="T89" i="146"/>
  <c r="R89" i="146"/>
  <c r="P89" i="146"/>
  <c r="S89" i="146"/>
  <c r="Q89" i="146"/>
  <c r="I31" i="146"/>
  <c r="L31" i="146" s="1"/>
  <c r="M31" i="146" s="1"/>
  <c r="N31" i="146" s="1"/>
  <c r="O31" i="146" s="1"/>
  <c r="S32" i="146"/>
  <c r="I36" i="146"/>
  <c r="L36" i="146" s="1"/>
  <c r="M36" i="146" s="1"/>
  <c r="I40" i="146"/>
  <c r="L40" i="146" s="1"/>
  <c r="M40" i="146" s="1"/>
  <c r="N40" i="146" s="1"/>
  <c r="O40" i="146" s="1"/>
  <c r="Q50" i="146"/>
  <c r="Q66" i="146"/>
  <c r="T66" i="146"/>
  <c r="S66" i="146"/>
  <c r="R66" i="146"/>
  <c r="P66" i="146"/>
  <c r="R83" i="146"/>
  <c r="P83" i="146"/>
  <c r="U83" i="146"/>
  <c r="T83" i="146"/>
  <c r="S83" i="146"/>
  <c r="Q83" i="146"/>
  <c r="T125" i="146"/>
  <c r="S125" i="146"/>
  <c r="R125" i="146"/>
  <c r="P125" i="146"/>
  <c r="Q125" i="146"/>
  <c r="I43" i="146"/>
  <c r="L43" i="146" s="1"/>
  <c r="M43" i="146" s="1"/>
  <c r="N43" i="146" s="1"/>
  <c r="O43" i="146" s="1"/>
  <c r="T49" i="146"/>
  <c r="R49" i="146"/>
  <c r="P49" i="146"/>
  <c r="S49" i="146"/>
  <c r="S161" i="146"/>
  <c r="R161" i="146"/>
  <c r="Q161" i="146"/>
  <c r="P161" i="146"/>
  <c r="T161" i="146"/>
  <c r="I14" i="146"/>
  <c r="L14" i="146" s="1"/>
  <c r="M14" i="146" s="1"/>
  <c r="N14" i="146" s="1"/>
  <c r="O14" i="146" s="1"/>
  <c r="I18" i="146"/>
  <c r="L18" i="146" s="1"/>
  <c r="M18" i="146" s="1"/>
  <c r="N18" i="146" s="1"/>
  <c r="O18" i="146" s="1"/>
  <c r="U18" i="146" s="1"/>
  <c r="I23" i="146"/>
  <c r="L23" i="146" s="1"/>
  <c r="M23" i="146" s="1"/>
  <c r="N23" i="146" s="1"/>
  <c r="O23" i="146" s="1"/>
  <c r="I27" i="146"/>
  <c r="L27" i="146" s="1"/>
  <c r="M27" i="146" s="1"/>
  <c r="N27" i="146" s="1"/>
  <c r="O27" i="146" s="1"/>
  <c r="O57" i="146"/>
  <c r="R85" i="146"/>
  <c r="P85" i="146"/>
  <c r="U85" i="146"/>
  <c r="T85" i="146"/>
  <c r="S85" i="146"/>
  <c r="T123" i="146"/>
  <c r="R123" i="146"/>
  <c r="Q123" i="146"/>
  <c r="P123" i="146"/>
  <c r="S123" i="146"/>
  <c r="I130" i="146"/>
  <c r="L130" i="146" s="1"/>
  <c r="M130" i="146" s="1"/>
  <c r="N130" i="146" s="1"/>
  <c r="O130" i="146" s="1"/>
  <c r="T59" i="146"/>
  <c r="P59" i="146"/>
  <c r="U59" i="146"/>
  <c r="S59" i="146"/>
  <c r="R59" i="146"/>
  <c r="Q59" i="146"/>
  <c r="I64" i="146"/>
  <c r="L64" i="146" s="1"/>
  <c r="M64" i="146" s="1"/>
  <c r="N64" i="146" s="1"/>
  <c r="O64" i="146" s="1"/>
  <c r="N9" i="146"/>
  <c r="O9" i="146" s="1"/>
  <c r="I62" i="146"/>
  <c r="L62" i="146" s="1"/>
  <c r="M62" i="146" s="1"/>
  <c r="N62" i="146" s="1"/>
  <c r="O62" i="146" s="1"/>
  <c r="R70" i="146"/>
  <c r="U70" i="146"/>
  <c r="T70" i="146"/>
  <c r="S70" i="146"/>
  <c r="P70" i="146"/>
  <c r="R72" i="146"/>
  <c r="U72" i="146"/>
  <c r="T72" i="146"/>
  <c r="S72" i="146"/>
  <c r="Q72" i="146"/>
  <c r="P72" i="146"/>
  <c r="U100" i="146"/>
  <c r="S100" i="146"/>
  <c r="Q100" i="146"/>
  <c r="R100" i="146"/>
  <c r="P100" i="146"/>
  <c r="T100" i="146"/>
  <c r="N44" i="146"/>
  <c r="O44" i="146" s="1"/>
  <c r="O104" i="146"/>
  <c r="I110" i="146"/>
  <c r="L110" i="146" s="1"/>
  <c r="M110" i="146" s="1"/>
  <c r="N110" i="146" s="1"/>
  <c r="O110" i="146" s="1"/>
  <c r="I7" i="146"/>
  <c r="L7" i="146" s="1"/>
  <c r="M7" i="146" s="1"/>
  <c r="N7" i="146" s="1"/>
  <c r="O7" i="146" s="1"/>
  <c r="O21" i="146"/>
  <c r="U21" i="146" s="1"/>
  <c r="G36" i="146"/>
  <c r="T60" i="146"/>
  <c r="P60" i="146"/>
  <c r="Q60" i="146"/>
  <c r="U60" i="146"/>
  <c r="R60" i="146"/>
  <c r="R71" i="146"/>
  <c r="S71" i="146"/>
  <c r="Q71" i="146"/>
  <c r="P71" i="146"/>
  <c r="T71" i="146"/>
  <c r="R86" i="146"/>
  <c r="P86" i="146"/>
  <c r="T86" i="146"/>
  <c r="S86" i="146"/>
  <c r="Q86" i="146"/>
  <c r="P138" i="146"/>
  <c r="T138" i="146"/>
  <c r="R138" i="146"/>
  <c r="S138" i="146"/>
  <c r="Q138" i="146"/>
  <c r="O35" i="146"/>
  <c r="I53" i="146"/>
  <c r="L53" i="146" s="1"/>
  <c r="M53" i="146" s="1"/>
  <c r="N53" i="146" s="1"/>
  <c r="I54" i="146"/>
  <c r="L54" i="146" s="1"/>
  <c r="M54" i="146" s="1"/>
  <c r="N54" i="146" s="1"/>
  <c r="O54" i="146" s="1"/>
  <c r="N81" i="146"/>
  <c r="O81" i="146" s="1"/>
  <c r="O103" i="146"/>
  <c r="I117" i="146"/>
  <c r="L117" i="146" s="1"/>
  <c r="M117" i="146" s="1"/>
  <c r="N117" i="146" s="1"/>
  <c r="O117" i="146" s="1"/>
  <c r="O134" i="146"/>
  <c r="T136" i="146"/>
  <c r="S136" i="146"/>
  <c r="R136" i="146"/>
  <c r="P136" i="146"/>
  <c r="S141" i="146"/>
  <c r="P141" i="146"/>
  <c r="R141" i="146"/>
  <c r="Q141" i="146"/>
  <c r="T153" i="146"/>
  <c r="S153" i="146"/>
  <c r="R153" i="146"/>
  <c r="P153" i="146"/>
  <c r="Q153" i="146"/>
  <c r="I105" i="146"/>
  <c r="L105" i="146" s="1"/>
  <c r="M105" i="146" s="1"/>
  <c r="N105" i="146" s="1"/>
  <c r="O105" i="146" s="1"/>
  <c r="O106" i="146"/>
  <c r="I119" i="146"/>
  <c r="L119" i="146" s="1"/>
  <c r="M119" i="146" s="1"/>
  <c r="N119" i="146" s="1"/>
  <c r="O119" i="146" s="1"/>
  <c r="S151" i="146"/>
  <c r="R151" i="146"/>
  <c r="Q151" i="146"/>
  <c r="P151" i="146"/>
  <c r="T151" i="146"/>
  <c r="S185" i="146"/>
  <c r="R185" i="146"/>
  <c r="Q185" i="146"/>
  <c r="P185" i="146"/>
  <c r="T185" i="146"/>
  <c r="I76" i="146"/>
  <c r="L76" i="146" s="1"/>
  <c r="M76" i="146" s="1"/>
  <c r="N76" i="146" s="1"/>
  <c r="O76" i="146" s="1"/>
  <c r="I137" i="146"/>
  <c r="L137" i="146" s="1"/>
  <c r="M137" i="146" s="1"/>
  <c r="N137" i="146" s="1"/>
  <c r="O137" i="146" s="1"/>
  <c r="T164" i="146"/>
  <c r="S164" i="146"/>
  <c r="R164" i="146"/>
  <c r="Q164" i="146"/>
  <c r="P164" i="146"/>
  <c r="I73" i="146"/>
  <c r="L73" i="146" s="1"/>
  <c r="M73" i="146" s="1"/>
  <c r="N73" i="146" s="1"/>
  <c r="O73" i="146" s="1"/>
  <c r="I88" i="146"/>
  <c r="L88" i="146" s="1"/>
  <c r="M88" i="146" s="1"/>
  <c r="N88" i="146" s="1"/>
  <c r="O88" i="146" s="1"/>
  <c r="I94" i="146"/>
  <c r="L94" i="146" s="1"/>
  <c r="M94" i="146" s="1"/>
  <c r="N94" i="146" s="1"/>
  <c r="O94" i="146" s="1"/>
  <c r="T144" i="146"/>
  <c r="S144" i="146"/>
  <c r="R144" i="146"/>
  <c r="P144" i="146"/>
  <c r="I174" i="146"/>
  <c r="L174" i="146" s="1"/>
  <c r="M174" i="146" s="1"/>
  <c r="N174" i="146" s="1"/>
  <c r="O174" i="146" s="1"/>
  <c r="T186" i="146"/>
  <c r="S186" i="146"/>
  <c r="R186" i="146"/>
  <c r="Q186" i="146"/>
  <c r="P186" i="146"/>
  <c r="I80" i="146"/>
  <c r="L80" i="146" s="1"/>
  <c r="M80" i="146" s="1"/>
  <c r="N80" i="146" s="1"/>
  <c r="O80" i="146" s="1"/>
  <c r="T171" i="146"/>
  <c r="S171" i="146"/>
  <c r="R171" i="146"/>
  <c r="Q171" i="146"/>
  <c r="P171" i="146"/>
  <c r="T187" i="146"/>
  <c r="S187" i="146"/>
  <c r="R187" i="146"/>
  <c r="Q187" i="146"/>
  <c r="P187" i="146"/>
  <c r="I120" i="146"/>
  <c r="L120" i="146" s="1"/>
  <c r="M120" i="146" s="1"/>
  <c r="N120" i="146" s="1"/>
  <c r="O120" i="146" s="1"/>
  <c r="N131" i="146"/>
  <c r="O131" i="146" s="1"/>
  <c r="P139" i="146"/>
  <c r="T139" i="146"/>
  <c r="R139" i="146"/>
  <c r="O74" i="146"/>
  <c r="N101" i="146"/>
  <c r="O101" i="146" s="1"/>
  <c r="O135" i="146"/>
  <c r="T145" i="146"/>
  <c r="S145" i="146"/>
  <c r="Q145" i="146"/>
  <c r="P145" i="146"/>
  <c r="R145" i="146"/>
  <c r="I156" i="146"/>
  <c r="L156" i="146" s="1"/>
  <c r="M156" i="146" s="1"/>
  <c r="N156" i="146" s="1"/>
  <c r="O156" i="146" s="1"/>
  <c r="T181" i="146"/>
  <c r="S181" i="146"/>
  <c r="R181" i="146"/>
  <c r="P181" i="146"/>
  <c r="V181" i="146" s="1"/>
  <c r="X181" i="146" s="1"/>
  <c r="Z181" i="146" s="1"/>
  <c r="AB181" i="146" s="1"/>
  <c r="O116" i="146"/>
  <c r="I129" i="146"/>
  <c r="L129" i="146" s="1"/>
  <c r="M129" i="146" s="1"/>
  <c r="N129" i="146" s="1"/>
  <c r="O129" i="146" s="1"/>
  <c r="P160" i="146"/>
  <c r="T160" i="146"/>
  <c r="O168" i="146"/>
  <c r="T179" i="146"/>
  <c r="S179" i="146"/>
  <c r="R179" i="146"/>
  <c r="Q179" i="146"/>
  <c r="P179" i="146"/>
  <c r="I118" i="146"/>
  <c r="L118" i="146" s="1"/>
  <c r="M118" i="146" s="1"/>
  <c r="N118" i="146" s="1"/>
  <c r="O124" i="146"/>
  <c r="I148" i="146"/>
  <c r="L148" i="146" s="1"/>
  <c r="M148" i="146" s="1"/>
  <c r="N148" i="146" s="1"/>
  <c r="O148" i="146" s="1"/>
  <c r="T154" i="146"/>
  <c r="S154" i="146"/>
  <c r="Q154" i="146"/>
  <c r="P154" i="146"/>
  <c r="T163" i="146"/>
  <c r="S163" i="146"/>
  <c r="R163" i="146"/>
  <c r="Q163" i="146"/>
  <c r="P163" i="146"/>
  <c r="T180" i="146"/>
  <c r="S180" i="146"/>
  <c r="R180" i="146"/>
  <c r="Q180" i="146"/>
  <c r="P180" i="146"/>
  <c r="V180" i="146" s="1"/>
  <c r="X180" i="146" s="1"/>
  <c r="Z180" i="146" s="1"/>
  <c r="AB180" i="146" s="1"/>
  <c r="I122" i="146"/>
  <c r="L122" i="146" s="1"/>
  <c r="M122" i="146" s="1"/>
  <c r="N122" i="146" s="1"/>
  <c r="O122" i="146" s="1"/>
  <c r="O132" i="146"/>
  <c r="S169" i="146"/>
  <c r="R169" i="146"/>
  <c r="Q169" i="146"/>
  <c r="P169" i="146"/>
  <c r="N143" i="146"/>
  <c r="O143" i="146" s="1"/>
  <c r="I147" i="146"/>
  <c r="L147" i="146" s="1"/>
  <c r="M147" i="146" s="1"/>
  <c r="N147" i="146" s="1"/>
  <c r="O147" i="146" s="1"/>
  <c r="O158" i="146"/>
  <c r="I166" i="146"/>
  <c r="L166" i="146" s="1"/>
  <c r="M166" i="146" s="1"/>
  <c r="N166" i="146" s="1"/>
  <c r="O166" i="146" s="1"/>
  <c r="O173" i="146"/>
  <c r="O175" i="146"/>
  <c r="O118" i="146"/>
  <c r="R146" i="146"/>
  <c r="O150" i="146"/>
  <c r="O184" i="146"/>
  <c r="O165" i="146"/>
  <c r="O167" i="146"/>
  <c r="I182" i="146"/>
  <c r="L182" i="146" s="1"/>
  <c r="M182" i="146" s="1"/>
  <c r="N182" i="146" s="1"/>
  <c r="O182" i="146" s="1"/>
  <c r="O142" i="146"/>
  <c r="P146" i="146"/>
  <c r="N149" i="146"/>
  <c r="O149" i="146" s="1"/>
  <c r="O155" i="146"/>
  <c r="I157" i="146"/>
  <c r="L157" i="146" s="1"/>
  <c r="M157" i="146" s="1"/>
  <c r="N157" i="146" s="1"/>
  <c r="O157" i="146" s="1"/>
  <c r="O159" i="146"/>
  <c r="T172" i="146"/>
  <c r="S172" i="146"/>
  <c r="Q172" i="146"/>
  <c r="O176" i="146"/>
  <c r="S177" i="146"/>
  <c r="R177" i="146"/>
  <c r="Q177" i="146"/>
  <c r="P177" i="146"/>
  <c r="S146" i="146"/>
  <c r="O183" i="146"/>
  <c r="O152" i="146"/>
  <c r="O162" i="146"/>
  <c r="O170" i="146"/>
  <c r="O178" i="146"/>
  <c r="F195" i="144"/>
  <c r="F194" i="143"/>
  <c r="L105" i="143"/>
  <c r="L75" i="143"/>
  <c r="L82" i="143" s="1"/>
  <c r="J82" i="143"/>
  <c r="J40" i="143"/>
  <c r="L37" i="143"/>
  <c r="L40" i="143" s="1"/>
  <c r="L122" i="143"/>
  <c r="L131" i="143" s="1"/>
  <c r="J131" i="143"/>
  <c r="J34" i="143"/>
  <c r="L7" i="143"/>
  <c r="L34" i="143" s="1"/>
  <c r="L62" i="143"/>
  <c r="L72" i="143" s="1"/>
  <c r="J72" i="143"/>
  <c r="N194" i="143"/>
  <c r="L102" i="143"/>
  <c r="O112" i="143"/>
  <c r="O34" i="143"/>
  <c r="L115" i="143"/>
  <c r="L85" i="143"/>
  <c r="J102" i="143"/>
  <c r="G34" i="143"/>
  <c r="H40" i="143"/>
  <c r="H194" i="143" s="1"/>
  <c r="L43" i="143"/>
  <c r="G82" i="143"/>
  <c r="G194" i="143" s="1"/>
  <c r="O86" i="143"/>
  <c r="O95" i="143" s="1"/>
  <c r="J117" i="143"/>
  <c r="L117" i="143" s="1"/>
  <c r="J134" i="143"/>
  <c r="J109" i="143"/>
  <c r="L109" i="143" s="1"/>
  <c r="J57" i="143"/>
  <c r="G72" i="143"/>
  <c r="O31" i="143"/>
  <c r="J86" i="143"/>
  <c r="L86" i="143" s="1"/>
  <c r="J44" i="143"/>
  <c r="L44" i="143" s="1"/>
  <c r="O194" i="143" l="1"/>
  <c r="R112" i="146"/>
  <c r="Q112" i="146"/>
  <c r="R12" i="146"/>
  <c r="P12" i="146"/>
  <c r="U12" i="146"/>
  <c r="S12" i="146"/>
  <c r="Q12" i="146"/>
  <c r="T12" i="146"/>
  <c r="T133" i="146"/>
  <c r="S133" i="146"/>
  <c r="Q133" i="146"/>
  <c r="R133" i="146"/>
  <c r="P133" i="146"/>
  <c r="R28" i="146"/>
  <c r="Q28" i="146"/>
  <c r="V28" i="146" s="1"/>
  <c r="X28" i="146" s="1"/>
  <c r="Z28" i="146" s="1"/>
  <c r="AB28" i="146" s="1"/>
  <c r="P28" i="146"/>
  <c r="T28" i="146"/>
  <c r="S28" i="146"/>
  <c r="R172" i="146"/>
  <c r="T146" i="146"/>
  <c r="V164" i="146"/>
  <c r="X164" i="146" s="1"/>
  <c r="Z164" i="146" s="1"/>
  <c r="AB164" i="146" s="1"/>
  <c r="P111" i="146"/>
  <c r="V72" i="146"/>
  <c r="X72" i="146" s="1"/>
  <c r="Z72" i="146" s="1"/>
  <c r="AB72" i="146" s="1"/>
  <c r="Q160" i="146"/>
  <c r="V186" i="146"/>
  <c r="X186" i="146" s="1"/>
  <c r="Z186" i="146" s="1"/>
  <c r="AB186" i="146" s="1"/>
  <c r="T111" i="146"/>
  <c r="S50" i="146"/>
  <c r="V17" i="146"/>
  <c r="X17" i="146" s="1"/>
  <c r="Z17" i="146" s="1"/>
  <c r="AB17" i="146" s="1"/>
  <c r="S139" i="146"/>
  <c r="Q139" i="146"/>
  <c r="V139" i="146" s="1"/>
  <c r="X139" i="146" s="1"/>
  <c r="Z139" i="146" s="1"/>
  <c r="AB139" i="146" s="1"/>
  <c r="R160" i="146"/>
  <c r="V160" i="146" s="1"/>
  <c r="X160" i="146" s="1"/>
  <c r="Z160" i="146" s="1"/>
  <c r="AB160" i="146" s="1"/>
  <c r="S111" i="146"/>
  <c r="R50" i="146"/>
  <c r="V63" i="146"/>
  <c r="X63" i="146" s="1"/>
  <c r="Z63" i="146" s="1"/>
  <c r="AB63" i="146" s="1"/>
  <c r="V45" i="146"/>
  <c r="X45" i="146" s="1"/>
  <c r="Z45" i="146" s="1"/>
  <c r="AB45" i="146" s="1"/>
  <c r="T112" i="146"/>
  <c r="P112" i="146"/>
  <c r="V171" i="146"/>
  <c r="X171" i="146" s="1"/>
  <c r="Z171" i="146" s="1"/>
  <c r="AB171" i="146" s="1"/>
  <c r="Q111" i="146"/>
  <c r="T50" i="146"/>
  <c r="V151" i="146"/>
  <c r="X151" i="146" s="1"/>
  <c r="Z151" i="146" s="1"/>
  <c r="AB151" i="146" s="1"/>
  <c r="V172" i="146"/>
  <c r="X172" i="146" s="1"/>
  <c r="Z172" i="146" s="1"/>
  <c r="AB172" i="146" s="1"/>
  <c r="P157" i="146"/>
  <c r="T157" i="146"/>
  <c r="S157" i="146"/>
  <c r="Q157" i="146"/>
  <c r="R157" i="146"/>
  <c r="P166" i="146"/>
  <c r="T166" i="146"/>
  <c r="S166" i="146"/>
  <c r="R166" i="146"/>
  <c r="Q166" i="146"/>
  <c r="S94" i="146"/>
  <c r="Q94" i="146"/>
  <c r="T94" i="146"/>
  <c r="P94" i="146"/>
  <c r="R94" i="146"/>
  <c r="T137" i="146"/>
  <c r="S137" i="146"/>
  <c r="Q137" i="146"/>
  <c r="P137" i="146"/>
  <c r="R137" i="146"/>
  <c r="T105" i="146"/>
  <c r="R105" i="146"/>
  <c r="S105" i="146"/>
  <c r="Q105" i="146"/>
  <c r="P105" i="146"/>
  <c r="Q62" i="146"/>
  <c r="R62" i="146"/>
  <c r="P62" i="146"/>
  <c r="S62" i="146"/>
  <c r="T62" i="146"/>
  <c r="S27" i="146"/>
  <c r="Q27" i="146"/>
  <c r="P27" i="146"/>
  <c r="R27" i="146"/>
  <c r="T27" i="146"/>
  <c r="R140" i="146"/>
  <c r="Q140" i="146"/>
  <c r="T140" i="146"/>
  <c r="P140" i="146"/>
  <c r="S140" i="146"/>
  <c r="P156" i="146"/>
  <c r="T156" i="146"/>
  <c r="S156" i="146"/>
  <c r="R156" i="146"/>
  <c r="Q156" i="146"/>
  <c r="S88" i="146"/>
  <c r="Q88" i="146"/>
  <c r="T88" i="146"/>
  <c r="P88" i="146"/>
  <c r="R88" i="146"/>
  <c r="T9" i="146"/>
  <c r="R9" i="146"/>
  <c r="S9" i="146"/>
  <c r="U9" i="146"/>
  <c r="Q9" i="146"/>
  <c r="P9" i="146"/>
  <c r="S23" i="146"/>
  <c r="Q23" i="146"/>
  <c r="P23" i="146"/>
  <c r="T23" i="146"/>
  <c r="R23" i="146"/>
  <c r="U6" i="146"/>
  <c r="S6" i="146"/>
  <c r="T6" i="146"/>
  <c r="R6" i="146"/>
  <c r="Q6" i="146"/>
  <c r="P6" i="146"/>
  <c r="S18" i="146"/>
  <c r="Q18" i="146"/>
  <c r="T18" i="146"/>
  <c r="R18" i="146"/>
  <c r="P18" i="146"/>
  <c r="S122" i="146"/>
  <c r="Q122" i="146"/>
  <c r="P122" i="146"/>
  <c r="R122" i="146"/>
  <c r="T122" i="146"/>
  <c r="U102" i="146"/>
  <c r="S102" i="146"/>
  <c r="T102" i="146"/>
  <c r="R102" i="146"/>
  <c r="Q102" i="146"/>
  <c r="P102" i="146"/>
  <c r="T101" i="146"/>
  <c r="R101" i="146"/>
  <c r="U101" i="146"/>
  <c r="S101" i="146"/>
  <c r="P101" i="146"/>
  <c r="Q101" i="146"/>
  <c r="P174" i="146"/>
  <c r="T174" i="146"/>
  <c r="S174" i="146"/>
  <c r="Q174" i="146"/>
  <c r="R174" i="146"/>
  <c r="S14" i="146"/>
  <c r="Q14" i="146"/>
  <c r="P14" i="146"/>
  <c r="T14" i="146"/>
  <c r="R14" i="146"/>
  <c r="T143" i="146"/>
  <c r="S143" i="146"/>
  <c r="R143" i="146"/>
  <c r="Q143" i="146"/>
  <c r="P143" i="146"/>
  <c r="S80" i="146"/>
  <c r="Q80" i="146"/>
  <c r="U80" i="146"/>
  <c r="T80" i="146"/>
  <c r="R80" i="146"/>
  <c r="P80" i="146"/>
  <c r="U7" i="146"/>
  <c r="S7" i="146"/>
  <c r="R7" i="146"/>
  <c r="Q7" i="146"/>
  <c r="T7" i="146"/>
  <c r="P7" i="146"/>
  <c r="U43" i="146"/>
  <c r="S43" i="146"/>
  <c r="Q43" i="146"/>
  <c r="T43" i="146"/>
  <c r="R43" i="146"/>
  <c r="P43" i="146"/>
  <c r="U41" i="146"/>
  <c r="S41" i="146"/>
  <c r="Q41" i="146"/>
  <c r="T41" i="146"/>
  <c r="R41" i="146"/>
  <c r="P41" i="146"/>
  <c r="S119" i="146"/>
  <c r="Q119" i="146"/>
  <c r="P119" i="146"/>
  <c r="U119" i="146"/>
  <c r="R119" i="146"/>
  <c r="T119" i="146"/>
  <c r="S121" i="146"/>
  <c r="Q121" i="146"/>
  <c r="P121" i="146"/>
  <c r="T121" i="146"/>
  <c r="R121" i="146"/>
  <c r="Q148" i="146"/>
  <c r="P148" i="146"/>
  <c r="T148" i="146"/>
  <c r="R148" i="146"/>
  <c r="S148" i="146"/>
  <c r="R87" i="146"/>
  <c r="P87" i="146"/>
  <c r="Q87" i="146"/>
  <c r="S87" i="146"/>
  <c r="T87" i="146"/>
  <c r="S124" i="146"/>
  <c r="R124" i="146"/>
  <c r="Q124" i="146"/>
  <c r="T124" i="146"/>
  <c r="P124" i="146"/>
  <c r="S120" i="146"/>
  <c r="Q120" i="146"/>
  <c r="P120" i="146"/>
  <c r="R120" i="146"/>
  <c r="T120" i="146"/>
  <c r="S134" i="146"/>
  <c r="R134" i="146"/>
  <c r="Q134" i="146"/>
  <c r="T134" i="146"/>
  <c r="P134" i="146"/>
  <c r="S31" i="146"/>
  <c r="Q31" i="146"/>
  <c r="T31" i="146"/>
  <c r="R31" i="146"/>
  <c r="P31" i="146"/>
  <c r="S48" i="146"/>
  <c r="Q48" i="146"/>
  <c r="T48" i="146"/>
  <c r="P48" i="146"/>
  <c r="R48" i="146"/>
  <c r="T170" i="146"/>
  <c r="S170" i="146"/>
  <c r="R170" i="146"/>
  <c r="Q170" i="146"/>
  <c r="P170" i="146"/>
  <c r="T165" i="146"/>
  <c r="S165" i="146"/>
  <c r="R165" i="146"/>
  <c r="Q165" i="146"/>
  <c r="P165" i="146"/>
  <c r="Q175" i="146"/>
  <c r="P175" i="146"/>
  <c r="T175" i="146"/>
  <c r="S175" i="146"/>
  <c r="R175" i="146"/>
  <c r="V169" i="146"/>
  <c r="X169" i="146" s="1"/>
  <c r="Z169" i="146" s="1"/>
  <c r="AB169" i="146" s="1"/>
  <c r="V60" i="146"/>
  <c r="X60" i="146" s="1"/>
  <c r="Z60" i="146" s="1"/>
  <c r="AB60" i="146" s="1"/>
  <c r="V123" i="146"/>
  <c r="X123" i="146" s="1"/>
  <c r="Z123" i="146" s="1"/>
  <c r="AB123" i="146" s="1"/>
  <c r="V47" i="146"/>
  <c r="X47" i="146" s="1"/>
  <c r="Z47" i="146" s="1"/>
  <c r="AB47" i="146" s="1"/>
  <c r="R168" i="146"/>
  <c r="Q168" i="146"/>
  <c r="P168" i="146"/>
  <c r="T168" i="146"/>
  <c r="S168" i="146"/>
  <c r="T131" i="146"/>
  <c r="S131" i="146"/>
  <c r="R131" i="146"/>
  <c r="P131" i="146"/>
  <c r="Q131" i="146"/>
  <c r="U131" i="146"/>
  <c r="U130" i="146"/>
  <c r="T130" i="146"/>
  <c r="S130" i="146"/>
  <c r="Q130" i="146"/>
  <c r="P130" i="146"/>
  <c r="R130" i="146"/>
  <c r="S118" i="146"/>
  <c r="Q118" i="146"/>
  <c r="P118" i="146"/>
  <c r="U118" i="146"/>
  <c r="R118" i="146"/>
  <c r="T118" i="146"/>
  <c r="V125" i="146"/>
  <c r="X125" i="146" s="1"/>
  <c r="Z125" i="146" s="1"/>
  <c r="AB125" i="146" s="1"/>
  <c r="V58" i="146"/>
  <c r="X58" i="146" s="1"/>
  <c r="Z58" i="146" s="1"/>
  <c r="AB58" i="146" s="1"/>
  <c r="T162" i="146"/>
  <c r="S162" i="146"/>
  <c r="R162" i="146"/>
  <c r="Q162" i="146"/>
  <c r="P162" i="146"/>
  <c r="R176" i="146"/>
  <c r="Q176" i="146"/>
  <c r="P176" i="146"/>
  <c r="T176" i="146"/>
  <c r="S176" i="146"/>
  <c r="T155" i="146"/>
  <c r="S155" i="146"/>
  <c r="R155" i="146"/>
  <c r="P155" i="146"/>
  <c r="Q155" i="146"/>
  <c r="R184" i="146"/>
  <c r="Q184" i="146"/>
  <c r="P184" i="146"/>
  <c r="T184" i="146"/>
  <c r="S184" i="146"/>
  <c r="T173" i="146"/>
  <c r="S173" i="146"/>
  <c r="R173" i="146"/>
  <c r="Q173" i="146"/>
  <c r="P173" i="146"/>
  <c r="V154" i="146"/>
  <c r="X154" i="146" s="1"/>
  <c r="Z154" i="146" s="1"/>
  <c r="AB154" i="146" s="1"/>
  <c r="V179" i="146"/>
  <c r="X179" i="146" s="1"/>
  <c r="Z179" i="146" s="1"/>
  <c r="AB179" i="146" s="1"/>
  <c r="S93" i="146"/>
  <c r="Q93" i="146"/>
  <c r="R93" i="146"/>
  <c r="P93" i="146"/>
  <c r="T93" i="146"/>
  <c r="U93" i="146"/>
  <c r="V145" i="146"/>
  <c r="X145" i="146" s="1"/>
  <c r="Z145" i="146" s="1"/>
  <c r="AB145" i="146" s="1"/>
  <c r="V185" i="146"/>
  <c r="X185" i="146" s="1"/>
  <c r="Z185" i="146" s="1"/>
  <c r="AB185" i="146" s="1"/>
  <c r="V141" i="146"/>
  <c r="X141" i="146" s="1"/>
  <c r="Z141" i="146" s="1"/>
  <c r="AB141" i="146" s="1"/>
  <c r="T117" i="146"/>
  <c r="R117" i="146"/>
  <c r="Q117" i="146"/>
  <c r="P117" i="146"/>
  <c r="U117" i="146"/>
  <c r="S117" i="146"/>
  <c r="V71" i="146"/>
  <c r="X71" i="146" s="1"/>
  <c r="Z71" i="146" s="1"/>
  <c r="AB71" i="146" s="1"/>
  <c r="U110" i="146"/>
  <c r="R110" i="146"/>
  <c r="S110" i="146"/>
  <c r="T110" i="146"/>
  <c r="Q110" i="146"/>
  <c r="P110" i="146"/>
  <c r="R81" i="146"/>
  <c r="P81" i="146"/>
  <c r="T81" i="146"/>
  <c r="S81" i="146"/>
  <c r="Q81" i="146"/>
  <c r="U81" i="146"/>
  <c r="V49" i="146"/>
  <c r="V66" i="146"/>
  <c r="X66" i="146" s="1"/>
  <c r="Z66" i="146" s="1"/>
  <c r="AB66" i="146" s="1"/>
  <c r="V50" i="146"/>
  <c r="X50" i="146" s="1"/>
  <c r="Z50" i="146" s="1"/>
  <c r="AB50" i="146" s="1"/>
  <c r="Q29" i="146"/>
  <c r="T29" i="146"/>
  <c r="R29" i="146"/>
  <c r="S29" i="146"/>
  <c r="P29" i="146"/>
  <c r="V26" i="146"/>
  <c r="X26" i="146" s="1"/>
  <c r="Z26" i="146" s="1"/>
  <c r="AB26" i="146" s="1"/>
  <c r="V25" i="146"/>
  <c r="X25" i="146" s="1"/>
  <c r="Z25" i="146" s="1"/>
  <c r="AB25" i="146" s="1"/>
  <c r="T152" i="146"/>
  <c r="S152" i="146"/>
  <c r="R152" i="146"/>
  <c r="Q152" i="146"/>
  <c r="P152" i="146"/>
  <c r="Q149" i="146"/>
  <c r="P149" i="146"/>
  <c r="T149" i="146"/>
  <c r="S149" i="146"/>
  <c r="R149" i="146"/>
  <c r="R150" i="146"/>
  <c r="Q150" i="146"/>
  <c r="P150" i="146"/>
  <c r="S150" i="146"/>
  <c r="T150" i="146"/>
  <c r="Q74" i="146"/>
  <c r="T74" i="146"/>
  <c r="S74" i="146"/>
  <c r="R74" i="146"/>
  <c r="P74" i="146"/>
  <c r="V187" i="146"/>
  <c r="X187" i="146" s="1"/>
  <c r="Z187" i="146" s="1"/>
  <c r="AB187" i="146" s="1"/>
  <c r="Q103" i="146"/>
  <c r="U103" i="146"/>
  <c r="T103" i="146"/>
  <c r="S103" i="146"/>
  <c r="R103" i="146"/>
  <c r="P103" i="146"/>
  <c r="R54" i="146"/>
  <c r="Q54" i="146"/>
  <c r="U54" i="146"/>
  <c r="S54" i="146"/>
  <c r="T54" i="146"/>
  <c r="P54" i="146"/>
  <c r="S104" i="146"/>
  <c r="Q104" i="146"/>
  <c r="T104" i="146"/>
  <c r="R104" i="146"/>
  <c r="P104" i="146"/>
  <c r="V100" i="146"/>
  <c r="X100" i="146" s="1"/>
  <c r="Z100" i="146" s="1"/>
  <c r="AB100" i="146" s="1"/>
  <c r="T57" i="146"/>
  <c r="P57" i="146"/>
  <c r="U57" i="146"/>
  <c r="S57" i="146"/>
  <c r="R57" i="146"/>
  <c r="Q57" i="146"/>
  <c r="P19" i="146"/>
  <c r="T19" i="146"/>
  <c r="S19" i="146"/>
  <c r="R19" i="146"/>
  <c r="Q19" i="146"/>
  <c r="Q20" i="146"/>
  <c r="T20" i="146"/>
  <c r="S20" i="146"/>
  <c r="R20" i="146"/>
  <c r="P20" i="146"/>
  <c r="V84" i="146"/>
  <c r="X84" i="146" s="1"/>
  <c r="Z84" i="146" s="1"/>
  <c r="AB84" i="146" s="1"/>
  <c r="U10" i="146"/>
  <c r="S10" i="146"/>
  <c r="Q10" i="146"/>
  <c r="P10" i="146"/>
  <c r="T10" i="146"/>
  <c r="R10" i="146"/>
  <c r="V11" i="146"/>
  <c r="X11" i="146" s="1"/>
  <c r="Z11" i="146" s="1"/>
  <c r="AB11" i="146" s="1"/>
  <c r="P147" i="146"/>
  <c r="S147" i="146"/>
  <c r="T147" i="146"/>
  <c r="R147" i="146"/>
  <c r="Q147" i="146"/>
  <c r="S35" i="146"/>
  <c r="Q35" i="146"/>
  <c r="U35" i="146"/>
  <c r="R35" i="146"/>
  <c r="P35" i="146"/>
  <c r="T35" i="146"/>
  <c r="T61" i="146"/>
  <c r="P61" i="146"/>
  <c r="S61" i="146"/>
  <c r="R61" i="146"/>
  <c r="Q61" i="146"/>
  <c r="S13" i="146"/>
  <c r="Q13" i="146"/>
  <c r="T13" i="146"/>
  <c r="U13" i="146"/>
  <c r="R13" i="146"/>
  <c r="P13" i="146"/>
  <c r="V85" i="146"/>
  <c r="X85" i="146" s="1"/>
  <c r="Z85" i="146" s="1"/>
  <c r="AB85" i="146" s="1"/>
  <c r="V83" i="146"/>
  <c r="X83" i="146" s="1"/>
  <c r="Z83" i="146" s="1"/>
  <c r="AB83" i="146" s="1"/>
  <c r="V46" i="146"/>
  <c r="X46" i="146" s="1"/>
  <c r="Z46" i="146" s="1"/>
  <c r="AB46" i="146" s="1"/>
  <c r="Q183" i="146"/>
  <c r="P183" i="146"/>
  <c r="T183" i="146"/>
  <c r="R183" i="146"/>
  <c r="S183" i="146"/>
  <c r="V146" i="146"/>
  <c r="X146" i="146" s="1"/>
  <c r="Z146" i="146" s="1"/>
  <c r="AB146" i="146" s="1"/>
  <c r="V153" i="146"/>
  <c r="X153" i="146" s="1"/>
  <c r="Z153" i="146" s="1"/>
  <c r="AB153" i="146" s="1"/>
  <c r="V136" i="146"/>
  <c r="X136" i="146" s="1"/>
  <c r="Z136" i="146" s="1"/>
  <c r="AB136" i="146" s="1"/>
  <c r="N36" i="146"/>
  <c r="O36" i="146" s="1"/>
  <c r="T44" i="146"/>
  <c r="R44" i="146"/>
  <c r="P44" i="146"/>
  <c r="U44" i="146"/>
  <c r="Q44" i="146"/>
  <c r="S44" i="146"/>
  <c r="V59" i="146"/>
  <c r="X59" i="146" s="1"/>
  <c r="Z59" i="146" s="1"/>
  <c r="AB59" i="146" s="1"/>
  <c r="U40" i="146"/>
  <c r="S40" i="146"/>
  <c r="Q40" i="146"/>
  <c r="T40" i="146"/>
  <c r="P40" i="146"/>
  <c r="R40" i="146"/>
  <c r="V89" i="146"/>
  <c r="X89" i="146" s="1"/>
  <c r="Z89" i="146" s="1"/>
  <c r="AB89" i="146" s="1"/>
  <c r="V96" i="146"/>
  <c r="X96" i="146" s="1"/>
  <c r="Z96" i="146" s="1"/>
  <c r="AB96" i="146" s="1"/>
  <c r="U42" i="146"/>
  <c r="S42" i="146"/>
  <c r="Q42" i="146"/>
  <c r="T42" i="146"/>
  <c r="R42" i="146"/>
  <c r="P42" i="146"/>
  <c r="V30" i="146"/>
  <c r="X30" i="146" s="1"/>
  <c r="Z30" i="146" s="1"/>
  <c r="AB30" i="146" s="1"/>
  <c r="V22" i="146"/>
  <c r="X22" i="146" s="1"/>
  <c r="Z22" i="146" s="1"/>
  <c r="AB22" i="146" s="1"/>
  <c r="V24" i="146"/>
  <c r="X24" i="146" s="1"/>
  <c r="Z24" i="146" s="1"/>
  <c r="AB24" i="146" s="1"/>
  <c r="R159" i="146"/>
  <c r="Q159" i="146"/>
  <c r="P159" i="146"/>
  <c r="T159" i="146"/>
  <c r="S159" i="146"/>
  <c r="S76" i="146"/>
  <c r="Q76" i="146"/>
  <c r="P76" i="146"/>
  <c r="R76" i="146"/>
  <c r="T76" i="146"/>
  <c r="V15" i="146"/>
  <c r="X15" i="146" s="1"/>
  <c r="Z15" i="146" s="1"/>
  <c r="AB15" i="146" s="1"/>
  <c r="T142" i="146"/>
  <c r="S142" i="146"/>
  <c r="Q142" i="146"/>
  <c r="P142" i="146"/>
  <c r="R142" i="146"/>
  <c r="Q158" i="146"/>
  <c r="P158" i="146"/>
  <c r="T158" i="146"/>
  <c r="S158" i="146"/>
  <c r="R158" i="146"/>
  <c r="V163" i="146"/>
  <c r="X163" i="146" s="1"/>
  <c r="Z163" i="146" s="1"/>
  <c r="AB163" i="146" s="1"/>
  <c r="V138" i="146"/>
  <c r="X138" i="146" s="1"/>
  <c r="Z138" i="146" s="1"/>
  <c r="AB138" i="146" s="1"/>
  <c r="G37" i="146"/>
  <c r="V161" i="146"/>
  <c r="X161" i="146" s="1"/>
  <c r="Z161" i="146" s="1"/>
  <c r="AB161" i="146" s="1"/>
  <c r="V65" i="146"/>
  <c r="X65" i="146" s="1"/>
  <c r="Z65" i="146" s="1"/>
  <c r="AB65" i="146" s="1"/>
  <c r="V75" i="146"/>
  <c r="X75" i="146" s="1"/>
  <c r="Z75" i="146" s="1"/>
  <c r="AB75" i="146" s="1"/>
  <c r="V16" i="146"/>
  <c r="X16" i="146" s="1"/>
  <c r="Z16" i="146" s="1"/>
  <c r="AB16" i="146" s="1"/>
  <c r="P182" i="146"/>
  <c r="T182" i="146"/>
  <c r="S182" i="146"/>
  <c r="Q182" i="146"/>
  <c r="R182" i="146"/>
  <c r="U116" i="146"/>
  <c r="R116" i="146"/>
  <c r="Q116" i="146"/>
  <c r="T116" i="146"/>
  <c r="S116" i="146"/>
  <c r="P116" i="146"/>
  <c r="S64" i="146"/>
  <c r="R64" i="146"/>
  <c r="Q64" i="146"/>
  <c r="P64" i="146"/>
  <c r="T64" i="146"/>
  <c r="R53" i="146"/>
  <c r="Q53" i="146"/>
  <c r="U53" i="146"/>
  <c r="S53" i="146"/>
  <c r="P53" i="146"/>
  <c r="T53" i="146"/>
  <c r="T178" i="146"/>
  <c r="S178" i="146"/>
  <c r="R178" i="146"/>
  <c r="Q178" i="146"/>
  <c r="P178" i="146"/>
  <c r="Q167" i="146"/>
  <c r="P167" i="146"/>
  <c r="T167" i="146"/>
  <c r="S167" i="146"/>
  <c r="R167" i="146"/>
  <c r="Q73" i="146"/>
  <c r="U73" i="146"/>
  <c r="T73" i="146"/>
  <c r="S73" i="146"/>
  <c r="P73" i="146"/>
  <c r="R73" i="146"/>
  <c r="V177" i="146"/>
  <c r="X177" i="146" s="1"/>
  <c r="Z177" i="146" s="1"/>
  <c r="AB177" i="146" s="1"/>
  <c r="S132" i="146"/>
  <c r="R132" i="146"/>
  <c r="Q132" i="146"/>
  <c r="T132" i="146"/>
  <c r="P132" i="146"/>
  <c r="U129" i="146"/>
  <c r="T129" i="146"/>
  <c r="S129" i="146"/>
  <c r="Q129" i="146"/>
  <c r="P129" i="146"/>
  <c r="R129" i="146"/>
  <c r="S135" i="146"/>
  <c r="R135" i="146"/>
  <c r="Q135" i="146"/>
  <c r="P135" i="146"/>
  <c r="T135" i="146"/>
  <c r="V144" i="146"/>
  <c r="X144" i="146" s="1"/>
  <c r="Z144" i="146" s="1"/>
  <c r="AB144" i="146" s="1"/>
  <c r="S106" i="146"/>
  <c r="P106" i="146"/>
  <c r="R106" i="146"/>
  <c r="T106" i="146"/>
  <c r="Q106" i="146"/>
  <c r="V111" i="146"/>
  <c r="X111" i="146" s="1"/>
  <c r="Z111" i="146" s="1"/>
  <c r="AB111" i="146" s="1"/>
  <c r="V86" i="146"/>
  <c r="X86" i="146" s="1"/>
  <c r="Z86" i="146" s="1"/>
  <c r="AB86" i="146" s="1"/>
  <c r="Q21" i="146"/>
  <c r="T21" i="146"/>
  <c r="R21" i="146"/>
  <c r="P21" i="146"/>
  <c r="S21" i="146"/>
  <c r="V133" i="146"/>
  <c r="X133" i="146" s="1"/>
  <c r="Z133" i="146" s="1"/>
  <c r="AB133" i="146" s="1"/>
  <c r="V70" i="146"/>
  <c r="X70" i="146" s="1"/>
  <c r="Z70" i="146" s="1"/>
  <c r="AB70" i="146" s="1"/>
  <c r="V32" i="146"/>
  <c r="X32" i="146" s="1"/>
  <c r="Z32" i="146" s="1"/>
  <c r="AB32" i="146" s="1"/>
  <c r="V82" i="146"/>
  <c r="X82" i="146" s="1"/>
  <c r="Z82" i="146" s="1"/>
  <c r="AB82" i="146" s="1"/>
  <c r="U8" i="146"/>
  <c r="S8" i="146"/>
  <c r="T8" i="146"/>
  <c r="P8" i="146"/>
  <c r="R8" i="146"/>
  <c r="Q8" i="146"/>
  <c r="V95" i="146"/>
  <c r="X95" i="146" s="1"/>
  <c r="Z95" i="146" s="1"/>
  <c r="AB95" i="146" s="1"/>
  <c r="L118" i="143"/>
  <c r="L57" i="143"/>
  <c r="L59" i="143" s="1"/>
  <c r="J59" i="143"/>
  <c r="J95" i="143"/>
  <c r="J54" i="143"/>
  <c r="L54" i="143"/>
  <c r="L134" i="143"/>
  <c r="L193" i="143" s="1"/>
  <c r="J193" i="143"/>
  <c r="J194" i="143" s="1"/>
  <c r="L95" i="143"/>
  <c r="J112" i="143"/>
  <c r="J118" i="143"/>
  <c r="L112" i="143"/>
  <c r="V12" i="146" l="1"/>
  <c r="X12" i="146" s="1"/>
  <c r="Z12" i="146" s="1"/>
  <c r="AB12" i="146" s="1"/>
  <c r="V112" i="146"/>
  <c r="X112" i="146" s="1"/>
  <c r="Z112" i="146" s="1"/>
  <c r="AB112" i="146" s="1"/>
  <c r="V132" i="146"/>
  <c r="X132" i="146" s="1"/>
  <c r="Z132" i="146" s="1"/>
  <c r="AB132" i="146" s="1"/>
  <c r="V156" i="146"/>
  <c r="X156" i="146" s="1"/>
  <c r="Z156" i="146" s="1"/>
  <c r="AB156" i="146" s="1"/>
  <c r="V103" i="146"/>
  <c r="X103" i="146" s="1"/>
  <c r="Z103" i="146" s="1"/>
  <c r="AB103" i="146" s="1"/>
  <c r="V165" i="146"/>
  <c r="X165" i="146" s="1"/>
  <c r="Z165" i="146" s="1"/>
  <c r="AB165" i="146" s="1"/>
  <c r="V41" i="146"/>
  <c r="X41" i="146" s="1"/>
  <c r="Z41" i="146" s="1"/>
  <c r="AB41" i="146" s="1"/>
  <c r="V143" i="146"/>
  <c r="X143" i="146" s="1"/>
  <c r="Z143" i="146" s="1"/>
  <c r="AB143" i="146" s="1"/>
  <c r="V101" i="146"/>
  <c r="X101" i="146" s="1"/>
  <c r="Z101" i="146" s="1"/>
  <c r="AB101" i="146" s="1"/>
  <c r="V18" i="146"/>
  <c r="X18" i="146" s="1"/>
  <c r="Z18" i="146" s="1"/>
  <c r="AB18" i="146" s="1"/>
  <c r="V9" i="146"/>
  <c r="X9" i="146" s="1"/>
  <c r="Z9" i="146" s="1"/>
  <c r="V73" i="146"/>
  <c r="X73" i="146" s="1"/>
  <c r="Z73" i="146" s="1"/>
  <c r="AB73" i="146" s="1"/>
  <c r="V167" i="146"/>
  <c r="X167" i="146" s="1"/>
  <c r="Z167" i="146" s="1"/>
  <c r="AB167" i="146" s="1"/>
  <c r="V53" i="146"/>
  <c r="X53" i="146" s="1"/>
  <c r="Z53" i="146" s="1"/>
  <c r="AB53" i="146" s="1"/>
  <c r="V183" i="146"/>
  <c r="X183" i="146" s="1"/>
  <c r="Z183" i="146" s="1"/>
  <c r="AB183" i="146" s="1"/>
  <c r="V48" i="146"/>
  <c r="X48" i="146" s="1"/>
  <c r="Z48" i="146" s="1"/>
  <c r="AB48" i="146" s="1"/>
  <c r="V76" i="146"/>
  <c r="X76" i="146" s="1"/>
  <c r="Z76" i="146" s="1"/>
  <c r="AB76" i="146" s="1"/>
  <c r="R36" i="146"/>
  <c r="P36" i="146"/>
  <c r="S36" i="146"/>
  <c r="Q36" i="146"/>
  <c r="T36" i="146"/>
  <c r="V35" i="146"/>
  <c r="X35" i="146" s="1"/>
  <c r="Z35" i="146" s="1"/>
  <c r="AB35" i="146" s="1"/>
  <c r="V81" i="146"/>
  <c r="X81" i="146" s="1"/>
  <c r="Z81" i="146" s="1"/>
  <c r="AB81" i="146" s="1"/>
  <c r="V118" i="146"/>
  <c r="X118" i="146" s="1"/>
  <c r="Z118" i="146" s="1"/>
  <c r="AB118" i="146" s="1"/>
  <c r="V140" i="146"/>
  <c r="X140" i="146" s="1"/>
  <c r="Z140" i="146" s="1"/>
  <c r="AB140" i="146" s="1"/>
  <c r="V21" i="146"/>
  <c r="X21" i="146" s="1"/>
  <c r="Z21" i="146" s="1"/>
  <c r="AB21" i="146" s="1"/>
  <c r="V178" i="146"/>
  <c r="X178" i="146" s="1"/>
  <c r="Z178" i="146" s="1"/>
  <c r="AB178" i="146" s="1"/>
  <c r="V116" i="146"/>
  <c r="X116" i="146" s="1"/>
  <c r="Z116" i="146" s="1"/>
  <c r="AB116" i="146" s="1"/>
  <c r="V142" i="146"/>
  <c r="X142" i="146" s="1"/>
  <c r="Z142" i="146" s="1"/>
  <c r="AB142" i="146" s="1"/>
  <c r="V147" i="146"/>
  <c r="X147" i="146" s="1"/>
  <c r="Z147" i="146" s="1"/>
  <c r="AB147" i="146" s="1"/>
  <c r="V57" i="146"/>
  <c r="X57" i="146" s="1"/>
  <c r="Z57" i="146" s="1"/>
  <c r="AB57" i="146" s="1"/>
  <c r="V54" i="146"/>
  <c r="X54" i="146" s="1"/>
  <c r="Z54" i="146" s="1"/>
  <c r="AB54" i="146" s="1"/>
  <c r="V184" i="146"/>
  <c r="X184" i="146" s="1"/>
  <c r="Z184" i="146" s="1"/>
  <c r="AB184" i="146" s="1"/>
  <c r="V168" i="146"/>
  <c r="X168" i="146" s="1"/>
  <c r="Z168" i="146" s="1"/>
  <c r="AB168" i="146" s="1"/>
  <c r="V80" i="146"/>
  <c r="X80" i="146" s="1"/>
  <c r="Z80" i="146" s="1"/>
  <c r="AB80" i="146" s="1"/>
  <c r="V94" i="146"/>
  <c r="X94" i="146" s="1"/>
  <c r="Z94" i="146" s="1"/>
  <c r="AB94" i="146" s="1"/>
  <c r="V166" i="146"/>
  <c r="X166" i="146" s="1"/>
  <c r="Z166" i="146" s="1"/>
  <c r="AB166" i="146" s="1"/>
  <c r="V110" i="146"/>
  <c r="X110" i="146" s="1"/>
  <c r="Z110" i="146" s="1"/>
  <c r="AB110" i="146" s="1"/>
  <c r="I37" i="146"/>
  <c r="L37" i="146" s="1"/>
  <c r="M37" i="146" s="1"/>
  <c r="N37" i="146" s="1"/>
  <c r="O37" i="146" s="1"/>
  <c r="V173" i="146"/>
  <c r="X173" i="146" s="1"/>
  <c r="Z173" i="146" s="1"/>
  <c r="AB173" i="146" s="1"/>
  <c r="V120" i="146"/>
  <c r="X120" i="146" s="1"/>
  <c r="Z120" i="146" s="1"/>
  <c r="AB120" i="146" s="1"/>
  <c r="V129" i="146"/>
  <c r="X129" i="146" s="1"/>
  <c r="Z129" i="146" s="1"/>
  <c r="AB129" i="146" s="1"/>
  <c r="V182" i="146"/>
  <c r="X182" i="146" s="1"/>
  <c r="Z182" i="146" s="1"/>
  <c r="AB182" i="146" s="1"/>
  <c r="V42" i="146"/>
  <c r="X42" i="146" s="1"/>
  <c r="Z42" i="146" s="1"/>
  <c r="AB42" i="146" s="1"/>
  <c r="V149" i="146"/>
  <c r="X149" i="146" s="1"/>
  <c r="Z149" i="146" s="1"/>
  <c r="AB149" i="146" s="1"/>
  <c r="V117" i="146"/>
  <c r="X117" i="146" s="1"/>
  <c r="Z117" i="146" s="1"/>
  <c r="AB117" i="146" s="1"/>
  <c r="V176" i="146"/>
  <c r="X176" i="146" s="1"/>
  <c r="Z176" i="146" s="1"/>
  <c r="AB176" i="146" s="1"/>
  <c r="V131" i="146"/>
  <c r="X131" i="146" s="1"/>
  <c r="Z131" i="146" s="1"/>
  <c r="AB131" i="146" s="1"/>
  <c r="V134" i="146"/>
  <c r="X134" i="146" s="1"/>
  <c r="Z134" i="146" s="1"/>
  <c r="AB134" i="146" s="1"/>
  <c r="V7" i="146"/>
  <c r="X7" i="146" s="1"/>
  <c r="Z7" i="146" s="1"/>
  <c r="AB7" i="146" s="1"/>
  <c r="V62" i="146"/>
  <c r="X62" i="146" s="1"/>
  <c r="Z62" i="146" s="1"/>
  <c r="AB62" i="146" s="1"/>
  <c r="V8" i="146"/>
  <c r="X8" i="146" s="1"/>
  <c r="Z8" i="146" s="1"/>
  <c r="AB8" i="146" s="1"/>
  <c r="V106" i="146"/>
  <c r="X106" i="146" s="1"/>
  <c r="Z106" i="146" s="1"/>
  <c r="AB106" i="146" s="1"/>
  <c r="V148" i="146"/>
  <c r="X148" i="146" s="1"/>
  <c r="Z148" i="146" s="1"/>
  <c r="AB148" i="146" s="1"/>
  <c r="V40" i="146"/>
  <c r="X40" i="146" s="1"/>
  <c r="Z40" i="146" s="1"/>
  <c r="AB40" i="146" s="1"/>
  <c r="V13" i="146"/>
  <c r="X13" i="146" s="1"/>
  <c r="Z13" i="146" s="1"/>
  <c r="AB13" i="146" s="1"/>
  <c r="V19" i="146"/>
  <c r="X19" i="146" s="1"/>
  <c r="Z19" i="146" s="1"/>
  <c r="AB19" i="146" s="1"/>
  <c r="V104" i="146"/>
  <c r="X104" i="146" s="1"/>
  <c r="Z104" i="146" s="1"/>
  <c r="AB104" i="146" s="1"/>
  <c r="V29" i="146"/>
  <c r="X29" i="146" s="1"/>
  <c r="Z29" i="146" s="1"/>
  <c r="AB29" i="146" s="1"/>
  <c r="V93" i="146"/>
  <c r="X93" i="146" s="1"/>
  <c r="Z93" i="146" s="1"/>
  <c r="AB93" i="146" s="1"/>
  <c r="V130" i="146"/>
  <c r="X130" i="146" s="1"/>
  <c r="Z130" i="146" s="1"/>
  <c r="AB130" i="146" s="1"/>
  <c r="V170" i="146"/>
  <c r="X170" i="146" s="1"/>
  <c r="Z170" i="146" s="1"/>
  <c r="AB170" i="146" s="1"/>
  <c r="V119" i="146"/>
  <c r="X119" i="146" s="1"/>
  <c r="Z119" i="146" s="1"/>
  <c r="AB119" i="146" s="1"/>
  <c r="V102" i="146"/>
  <c r="X102" i="146" s="1"/>
  <c r="Z102" i="146" s="1"/>
  <c r="AB102" i="146" s="1"/>
  <c r="V122" i="146"/>
  <c r="X122" i="146" s="1"/>
  <c r="Z122" i="146" s="1"/>
  <c r="AB122" i="146" s="1"/>
  <c r="V6" i="146"/>
  <c r="X6" i="146" s="1"/>
  <c r="Z6" i="146" s="1"/>
  <c r="AB6" i="146" s="1"/>
  <c r="V23" i="146"/>
  <c r="X23" i="146" s="1"/>
  <c r="Z23" i="146" s="1"/>
  <c r="AB23" i="146" s="1"/>
  <c r="V137" i="146"/>
  <c r="X137" i="146" s="1"/>
  <c r="Z137" i="146" s="1"/>
  <c r="AB137" i="146" s="1"/>
  <c r="V20" i="146"/>
  <c r="X20" i="146" s="1"/>
  <c r="Z20" i="146" s="1"/>
  <c r="AB20" i="146" s="1"/>
  <c r="V64" i="146"/>
  <c r="X64" i="146" s="1"/>
  <c r="Z64" i="146" s="1"/>
  <c r="AB64" i="146" s="1"/>
  <c r="V159" i="146"/>
  <c r="X159" i="146" s="1"/>
  <c r="Z159" i="146" s="1"/>
  <c r="AB159" i="146" s="1"/>
  <c r="V44" i="146"/>
  <c r="X44" i="146" s="1"/>
  <c r="Z44" i="146" s="1"/>
  <c r="AB44" i="146" s="1"/>
  <c r="V61" i="146"/>
  <c r="X61" i="146" s="1"/>
  <c r="Z61" i="146" s="1"/>
  <c r="AB61" i="146" s="1"/>
  <c r="V10" i="146"/>
  <c r="X10" i="146" s="1"/>
  <c r="Z10" i="146" s="1"/>
  <c r="AB10" i="146" s="1"/>
  <c r="V150" i="146"/>
  <c r="X150" i="146" s="1"/>
  <c r="Z150" i="146" s="1"/>
  <c r="AB150" i="146" s="1"/>
  <c r="V152" i="146"/>
  <c r="X152" i="146" s="1"/>
  <c r="Z152" i="146" s="1"/>
  <c r="AB152" i="146" s="1"/>
  <c r="V155" i="146"/>
  <c r="X155" i="146" s="1"/>
  <c r="Z155" i="146" s="1"/>
  <c r="AB155" i="146" s="1"/>
  <c r="V175" i="146"/>
  <c r="X175" i="146" s="1"/>
  <c r="Z175" i="146" s="1"/>
  <c r="AB175" i="146" s="1"/>
  <c r="V124" i="146"/>
  <c r="X124" i="146" s="1"/>
  <c r="Z124" i="146" s="1"/>
  <c r="AB124" i="146" s="1"/>
  <c r="V87" i="146"/>
  <c r="X87" i="146" s="1"/>
  <c r="Z87" i="146" s="1"/>
  <c r="AB87" i="146" s="1"/>
  <c r="AB191" i="146" s="1"/>
  <c r="V43" i="146"/>
  <c r="X43" i="146" s="1"/>
  <c r="Z43" i="146" s="1"/>
  <c r="AB43" i="146" s="1"/>
  <c r="V174" i="146"/>
  <c r="X174" i="146" s="1"/>
  <c r="Z174" i="146" s="1"/>
  <c r="AB174" i="146" s="1"/>
  <c r="V135" i="146"/>
  <c r="X135" i="146" s="1"/>
  <c r="Z135" i="146" s="1"/>
  <c r="AB135" i="146" s="1"/>
  <c r="V158" i="146"/>
  <c r="X158" i="146" s="1"/>
  <c r="Z158" i="146" s="1"/>
  <c r="AB158" i="146" s="1"/>
  <c r="V74" i="146"/>
  <c r="X74" i="146" s="1"/>
  <c r="Z74" i="146" s="1"/>
  <c r="AB74" i="146" s="1"/>
  <c r="V162" i="146"/>
  <c r="X162" i="146" s="1"/>
  <c r="Z162" i="146" s="1"/>
  <c r="AB162" i="146" s="1"/>
  <c r="V31" i="146"/>
  <c r="X31" i="146" s="1"/>
  <c r="Z31" i="146" s="1"/>
  <c r="AB31" i="146" s="1"/>
  <c r="V121" i="146"/>
  <c r="X121" i="146" s="1"/>
  <c r="Z121" i="146" s="1"/>
  <c r="AB121" i="146" s="1"/>
  <c r="V14" i="146"/>
  <c r="X14" i="146" s="1"/>
  <c r="Z14" i="146" s="1"/>
  <c r="AB14" i="146" s="1"/>
  <c r="V88" i="146"/>
  <c r="X88" i="146" s="1"/>
  <c r="Z88" i="146" s="1"/>
  <c r="AB88" i="146" s="1"/>
  <c r="V27" i="146"/>
  <c r="X27" i="146" s="1"/>
  <c r="Z27" i="146" s="1"/>
  <c r="AB27" i="146" s="1"/>
  <c r="V105" i="146"/>
  <c r="X105" i="146" s="1"/>
  <c r="Z105" i="146" s="1"/>
  <c r="AB105" i="146" s="1"/>
  <c r="V157" i="146"/>
  <c r="X157" i="146" s="1"/>
  <c r="Z157" i="146" s="1"/>
  <c r="AB157" i="146" s="1"/>
  <c r="L194" i="143"/>
  <c r="AB190" i="146" l="1"/>
  <c r="AB9" i="146"/>
  <c r="AB33" i="146" s="1"/>
  <c r="Z188" i="146"/>
  <c r="AB77" i="146"/>
  <c r="AB97" i="146"/>
  <c r="AB107" i="146"/>
  <c r="AB90" i="146"/>
  <c r="V36" i="146"/>
  <c r="X36" i="146" s="1"/>
  <c r="Z36" i="146" s="1"/>
  <c r="AB36" i="146" s="1"/>
  <c r="R37" i="146"/>
  <c r="P37" i="146"/>
  <c r="T37" i="146"/>
  <c r="S37" i="146"/>
  <c r="Q37" i="146"/>
  <c r="AB188" i="146" l="1"/>
  <c r="AB192" i="146"/>
  <c r="AB194" i="146" s="1"/>
  <c r="V37" i="146"/>
  <c r="X37" i="146" s="1"/>
  <c r="Z37" i="146" s="1"/>
  <c r="AB37" i="146" s="1"/>
  <c r="J135" i="1" l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22" i="1"/>
  <c r="J123" i="1"/>
  <c r="J124" i="1"/>
  <c r="J125" i="1"/>
  <c r="J126" i="1"/>
  <c r="J127" i="1"/>
  <c r="J128" i="1"/>
  <c r="J129" i="1"/>
  <c r="J130" i="1"/>
  <c r="J116" i="1"/>
  <c r="J117" i="1"/>
  <c r="J106" i="1"/>
  <c r="J107" i="1"/>
  <c r="J108" i="1"/>
  <c r="J109" i="1"/>
  <c r="J110" i="1"/>
  <c r="J111" i="1"/>
  <c r="J99" i="1"/>
  <c r="J100" i="1"/>
  <c r="J101" i="1"/>
  <c r="J98" i="1"/>
  <c r="J86" i="1"/>
  <c r="J87" i="1"/>
  <c r="J88" i="1"/>
  <c r="J89" i="1"/>
  <c r="J90" i="1"/>
  <c r="J91" i="1"/>
  <c r="J92" i="1"/>
  <c r="J93" i="1"/>
  <c r="J94" i="1"/>
  <c r="J76" i="1"/>
  <c r="J77" i="1"/>
  <c r="J78" i="1"/>
  <c r="J79" i="1"/>
  <c r="J80" i="1"/>
  <c r="J81" i="1"/>
  <c r="J63" i="1"/>
  <c r="J64" i="1"/>
  <c r="J65" i="1"/>
  <c r="J66" i="1"/>
  <c r="J67" i="1"/>
  <c r="J68" i="1"/>
  <c r="J69" i="1"/>
  <c r="J70" i="1"/>
  <c r="J71" i="1"/>
  <c r="J58" i="1"/>
  <c r="J44" i="1"/>
  <c r="J45" i="1"/>
  <c r="J46" i="1"/>
  <c r="J47" i="1"/>
  <c r="J48" i="1"/>
  <c r="J49" i="1"/>
  <c r="J50" i="1"/>
  <c r="J51" i="1"/>
  <c r="J52" i="1"/>
  <c r="J53" i="1"/>
  <c r="J38" i="1"/>
  <c r="J39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7" i="1"/>
  <c r="S33" i="1" l="1"/>
  <c r="D19" i="142"/>
  <c r="C19" i="142"/>
  <c r="E18" i="142"/>
  <c r="E17" i="142"/>
  <c r="E16" i="142"/>
  <c r="E15" i="142"/>
  <c r="E14" i="142"/>
  <c r="E13" i="142"/>
  <c r="E12" i="142"/>
  <c r="E11" i="142"/>
  <c r="E10" i="142"/>
  <c r="E9" i="142"/>
  <c r="E8" i="142"/>
  <c r="E7" i="142"/>
  <c r="E6" i="142"/>
  <c r="E5" i="142"/>
  <c r="E4" i="142"/>
  <c r="E19" i="142" s="1"/>
  <c r="H117" i="1" l="1"/>
  <c r="G109" i="1" l="1"/>
  <c r="G108" i="1"/>
  <c r="H30" i="1" l="1"/>
  <c r="S30" i="1" l="1"/>
  <c r="S23" i="1" l="1"/>
  <c r="M27" i="1"/>
  <c r="L27" i="1"/>
  <c r="G27" i="1"/>
  <c r="G118" i="1"/>
  <c r="I118" i="1"/>
  <c r="K118" i="1"/>
  <c r="M115" i="1"/>
  <c r="L115" i="1"/>
  <c r="S27" i="1" l="1"/>
  <c r="J115" i="1"/>
  <c r="S115" i="1"/>
  <c r="H25" i="1"/>
  <c r="G94" i="1"/>
  <c r="H161" i="1"/>
  <c r="S58" i="1" l="1"/>
  <c r="C194" i="140" l="1"/>
  <c r="F194" i="140"/>
  <c r="F117" i="140"/>
  <c r="E117" i="140"/>
  <c r="F116" i="140"/>
  <c r="F115" i="140"/>
  <c r="F146" i="140" l="1"/>
  <c r="F147" i="140"/>
  <c r="F148" i="140"/>
  <c r="F149" i="140"/>
  <c r="F150" i="140"/>
  <c r="F151" i="140"/>
  <c r="F152" i="140"/>
  <c r="F153" i="140"/>
  <c r="F154" i="140"/>
  <c r="F155" i="140"/>
  <c r="F156" i="140"/>
  <c r="F157" i="140"/>
  <c r="F158" i="140"/>
  <c r="F159" i="140"/>
  <c r="F160" i="140"/>
  <c r="F161" i="140"/>
  <c r="F162" i="140"/>
  <c r="F163" i="140"/>
  <c r="F164" i="140"/>
  <c r="F165" i="140"/>
  <c r="F166" i="140"/>
  <c r="F167" i="140"/>
  <c r="F168" i="140"/>
  <c r="F169" i="140"/>
  <c r="F170" i="140"/>
  <c r="F171" i="140"/>
  <c r="F172" i="140"/>
  <c r="F173" i="140"/>
  <c r="F174" i="140"/>
  <c r="F175" i="140"/>
  <c r="F176" i="140"/>
  <c r="F177" i="140"/>
  <c r="F178" i="140"/>
  <c r="F179" i="140"/>
  <c r="F180" i="140"/>
  <c r="F181" i="140"/>
  <c r="F182" i="140"/>
  <c r="F183" i="140"/>
  <c r="F184" i="140"/>
  <c r="F185" i="140"/>
  <c r="F186" i="140"/>
  <c r="F187" i="140"/>
  <c r="F188" i="140"/>
  <c r="F189" i="140"/>
  <c r="F190" i="140"/>
  <c r="F191" i="140"/>
  <c r="F145" i="140"/>
  <c r="F140" i="140"/>
  <c r="F141" i="140"/>
  <c r="F142" i="140"/>
  <c r="F143" i="140"/>
  <c r="F144" i="140"/>
  <c r="F139" i="140"/>
  <c r="G134" i="140"/>
  <c r="G135" i="140"/>
  <c r="G136" i="140"/>
  <c r="G137" i="140"/>
  <c r="G138" i="140"/>
  <c r="G133" i="140"/>
  <c r="G121" i="140"/>
  <c r="G122" i="140"/>
  <c r="G123" i="140"/>
  <c r="G124" i="140"/>
  <c r="G125" i="140"/>
  <c r="G126" i="140"/>
  <c r="F128" i="140"/>
  <c r="F129" i="140"/>
  <c r="F127" i="140"/>
  <c r="G120" i="140"/>
  <c r="F112" i="140"/>
  <c r="G112" i="140"/>
  <c r="F109" i="140"/>
  <c r="F110" i="140"/>
  <c r="F111" i="140"/>
  <c r="F108" i="140"/>
  <c r="F107" i="140"/>
  <c r="G106" i="140"/>
  <c r="G105" i="140"/>
  <c r="E95" i="140"/>
  <c r="E85" i="140"/>
  <c r="E86" i="140"/>
  <c r="G86" i="140" s="1"/>
  <c r="E87" i="140"/>
  <c r="E84" i="140"/>
  <c r="G84" i="140" s="1"/>
  <c r="E81" i="140"/>
  <c r="E71" i="140"/>
  <c r="E57" i="140"/>
  <c r="E52" i="140"/>
  <c r="E37" i="140"/>
  <c r="E31" i="140"/>
  <c r="F92" i="140"/>
  <c r="F93" i="140"/>
  <c r="F94" i="140"/>
  <c r="F91" i="140"/>
  <c r="F89" i="140"/>
  <c r="F88" i="140"/>
  <c r="G90" i="140"/>
  <c r="G85" i="140"/>
  <c r="G87" i="140"/>
  <c r="F79" i="140"/>
  <c r="F80" i="140"/>
  <c r="F78" i="140"/>
  <c r="G75" i="140"/>
  <c r="G76" i="140"/>
  <c r="G77" i="140"/>
  <c r="G74" i="140"/>
  <c r="F66" i="140"/>
  <c r="F67" i="140"/>
  <c r="F68" i="140"/>
  <c r="F69" i="140"/>
  <c r="F70" i="140"/>
  <c r="F65" i="140"/>
  <c r="G64" i="140"/>
  <c r="F63" i="140"/>
  <c r="G61" i="140"/>
  <c r="G62" i="140"/>
  <c r="G60" i="140"/>
  <c r="G56" i="140"/>
  <c r="G55" i="140"/>
  <c r="F49" i="140"/>
  <c r="F50" i="140"/>
  <c r="F51" i="140"/>
  <c r="F48" i="140"/>
  <c r="G41" i="140"/>
  <c r="G42" i="140"/>
  <c r="G43" i="140"/>
  <c r="G44" i="140"/>
  <c r="G45" i="140"/>
  <c r="G46" i="140"/>
  <c r="G47" i="140"/>
  <c r="F36" i="140"/>
  <c r="F35" i="140"/>
  <c r="G40" i="140"/>
  <c r="G34" i="140"/>
  <c r="F18" i="140"/>
  <c r="F19" i="140"/>
  <c r="F20" i="140"/>
  <c r="F21" i="140"/>
  <c r="F22" i="140"/>
  <c r="F23" i="140"/>
  <c r="F24" i="140"/>
  <c r="F25" i="140"/>
  <c r="F26" i="140"/>
  <c r="F27" i="140"/>
  <c r="F28" i="140"/>
  <c r="F29" i="140"/>
  <c r="F30" i="140"/>
  <c r="F17" i="140"/>
  <c r="G8" i="140"/>
  <c r="G9" i="140"/>
  <c r="G10" i="140"/>
  <c r="G11" i="140"/>
  <c r="G12" i="140"/>
  <c r="G13" i="140"/>
  <c r="G14" i="140"/>
  <c r="G15" i="140"/>
  <c r="G16" i="140"/>
  <c r="G7" i="140"/>
  <c r="F192" i="140" l="1"/>
  <c r="F130" i="140"/>
  <c r="E130" i="140"/>
  <c r="E112" i="140"/>
  <c r="F102" i="140"/>
  <c r="F95" i="140"/>
  <c r="F81" i="140"/>
  <c r="F71" i="140"/>
  <c r="G57" i="140"/>
  <c r="F37" i="140"/>
  <c r="F31" i="140"/>
  <c r="F52" i="140" l="1"/>
  <c r="G71" i="140"/>
  <c r="E102" i="140"/>
  <c r="G102" i="140"/>
  <c r="G37" i="140"/>
  <c r="G95" i="140"/>
  <c r="G81" i="140"/>
  <c r="E192" i="140"/>
  <c r="E194" i="140" s="1"/>
  <c r="F134" i="137"/>
  <c r="F135" i="137"/>
  <c r="F136" i="137"/>
  <c r="F137" i="137"/>
  <c r="F138" i="137"/>
  <c r="F139" i="137"/>
  <c r="F140" i="137"/>
  <c r="F141" i="137"/>
  <c r="F142" i="137"/>
  <c r="F143" i="137"/>
  <c r="F144" i="137"/>
  <c r="F145" i="137"/>
  <c r="F146" i="137"/>
  <c r="F147" i="137"/>
  <c r="F148" i="137"/>
  <c r="F149" i="137"/>
  <c r="F150" i="137"/>
  <c r="F151" i="137"/>
  <c r="F152" i="137"/>
  <c r="F153" i="137"/>
  <c r="F154" i="137"/>
  <c r="F155" i="137"/>
  <c r="F156" i="137"/>
  <c r="F157" i="137"/>
  <c r="F158" i="137"/>
  <c r="F159" i="137"/>
  <c r="F160" i="137"/>
  <c r="F161" i="137"/>
  <c r="F162" i="137"/>
  <c r="F163" i="137"/>
  <c r="F164" i="137"/>
  <c r="F165" i="137"/>
  <c r="F166" i="137"/>
  <c r="F167" i="137"/>
  <c r="F168" i="137"/>
  <c r="F169" i="137"/>
  <c r="F170" i="137"/>
  <c r="F171" i="137"/>
  <c r="F172" i="137"/>
  <c r="F173" i="137"/>
  <c r="F174" i="137"/>
  <c r="F175" i="137"/>
  <c r="F176" i="137"/>
  <c r="F177" i="137"/>
  <c r="F178" i="137"/>
  <c r="F179" i="137"/>
  <c r="F180" i="137"/>
  <c r="F181" i="137"/>
  <c r="F182" i="137"/>
  <c r="F183" i="137"/>
  <c r="F184" i="137"/>
  <c r="F185" i="137"/>
  <c r="F186" i="137"/>
  <c r="F187" i="137"/>
  <c r="F188" i="137"/>
  <c r="F189" i="137"/>
  <c r="F190" i="137"/>
  <c r="F191" i="137"/>
  <c r="F133" i="137"/>
  <c r="F192" i="137" s="1"/>
  <c r="F121" i="137"/>
  <c r="F122" i="137"/>
  <c r="F123" i="137"/>
  <c r="F124" i="137"/>
  <c r="F125" i="137"/>
  <c r="F126" i="137"/>
  <c r="F127" i="137"/>
  <c r="F128" i="137"/>
  <c r="F129" i="137"/>
  <c r="F120" i="137"/>
  <c r="F117" i="137"/>
  <c r="F115" i="137"/>
  <c r="F116" i="137"/>
  <c r="F106" i="137"/>
  <c r="F107" i="137"/>
  <c r="F108" i="137"/>
  <c r="F109" i="137"/>
  <c r="F110" i="137"/>
  <c r="F111" i="137"/>
  <c r="F105" i="137"/>
  <c r="F112" i="137" s="1"/>
  <c r="F99" i="137"/>
  <c r="F100" i="137"/>
  <c r="F101" i="137"/>
  <c r="F98" i="137"/>
  <c r="F102" i="137" s="1"/>
  <c r="F95" i="137"/>
  <c r="F85" i="137"/>
  <c r="F86" i="137"/>
  <c r="F87" i="137"/>
  <c r="F88" i="137"/>
  <c r="F89" i="137"/>
  <c r="F90" i="137"/>
  <c r="F91" i="137"/>
  <c r="F92" i="137"/>
  <c r="F93" i="137"/>
  <c r="F94" i="137"/>
  <c r="F84" i="137"/>
  <c r="F75" i="137"/>
  <c r="F76" i="137"/>
  <c r="F77" i="137"/>
  <c r="F78" i="137"/>
  <c r="F79" i="137"/>
  <c r="F80" i="137"/>
  <c r="F74" i="137"/>
  <c r="F81" i="137" s="1"/>
  <c r="F61" i="137"/>
  <c r="F62" i="137"/>
  <c r="F63" i="137"/>
  <c r="F64" i="137"/>
  <c r="F65" i="137"/>
  <c r="F66" i="137"/>
  <c r="F67" i="137"/>
  <c r="F68" i="137"/>
  <c r="F69" i="137"/>
  <c r="F70" i="137"/>
  <c r="F60" i="137"/>
  <c r="F71" i="137" s="1"/>
  <c r="F57" i="137"/>
  <c r="F56" i="137"/>
  <c r="F55" i="137"/>
  <c r="F41" i="137"/>
  <c r="F42" i="137"/>
  <c r="F43" i="137"/>
  <c r="F44" i="137"/>
  <c r="F45" i="137"/>
  <c r="F46" i="137"/>
  <c r="F47" i="137"/>
  <c r="F48" i="137"/>
  <c r="F49" i="137"/>
  <c r="F50" i="137"/>
  <c r="F51" i="137"/>
  <c r="F40" i="137"/>
  <c r="F52" i="137" s="1"/>
  <c r="F37" i="137"/>
  <c r="F35" i="137"/>
  <c r="F36" i="137"/>
  <c r="F34" i="137"/>
  <c r="F8" i="137"/>
  <c r="F9" i="137"/>
  <c r="F10" i="137"/>
  <c r="F11" i="137"/>
  <c r="F12" i="137"/>
  <c r="F13" i="137"/>
  <c r="F14" i="137"/>
  <c r="F15" i="137"/>
  <c r="F16" i="137"/>
  <c r="F17" i="137"/>
  <c r="F18" i="137"/>
  <c r="F19" i="137"/>
  <c r="F20" i="137"/>
  <c r="F21" i="137"/>
  <c r="F22" i="137"/>
  <c r="F23" i="137"/>
  <c r="F24" i="137"/>
  <c r="F25" i="137"/>
  <c r="F26" i="137"/>
  <c r="F27" i="137"/>
  <c r="F28" i="137"/>
  <c r="F29" i="137"/>
  <c r="F30" i="137"/>
  <c r="F7" i="137"/>
  <c r="F31" i="137" s="1"/>
  <c r="C193" i="137"/>
  <c r="G31" i="140" l="1"/>
  <c r="G52" i="140"/>
  <c r="G192" i="140"/>
  <c r="G130" i="140"/>
  <c r="F130" i="137"/>
  <c r="F193" i="137"/>
  <c r="G194" i="140" l="1"/>
  <c r="H24" i="1" l="1"/>
  <c r="S24" i="1" l="1"/>
  <c r="E194" i="135" l="1"/>
  <c r="E31" i="135"/>
  <c r="E37" i="135"/>
  <c r="E52" i="135"/>
  <c r="E57" i="135"/>
  <c r="E71" i="135"/>
  <c r="E81" i="135"/>
  <c r="E95" i="135"/>
  <c r="E102" i="135"/>
  <c r="E112" i="135"/>
  <c r="E117" i="135"/>
  <c r="E130" i="135"/>
  <c r="E192" i="135"/>
  <c r="E133" i="135"/>
  <c r="E120" i="135"/>
  <c r="E98" i="135"/>
  <c r="E41" i="135"/>
  <c r="E17" i="135"/>
  <c r="E18" i="135"/>
  <c r="E19" i="135"/>
  <c r="E16" i="135"/>
  <c r="E15" i="135"/>
  <c r="C194" i="135"/>
  <c r="E3" i="135"/>
  <c r="M101" i="1" l="1"/>
  <c r="L44" i="1"/>
  <c r="M44" i="1"/>
  <c r="K34" i="1" l="1"/>
  <c r="L16" i="1"/>
  <c r="H122" i="1"/>
  <c r="G45" i="1"/>
  <c r="G48" i="1"/>
  <c r="S16" i="1" l="1"/>
  <c r="H29" i="1"/>
  <c r="AA7" i="131" l="1"/>
  <c r="X7" i="131"/>
  <c r="T7" i="131"/>
  <c r="S7" i="131"/>
  <c r="Q8" i="131"/>
  <c r="O7" i="131"/>
  <c r="N7" i="131"/>
  <c r="L7" i="131"/>
  <c r="K7" i="131"/>
  <c r="J7" i="131"/>
  <c r="H7" i="131"/>
  <c r="G7" i="131"/>
  <c r="G57" i="68" l="1"/>
  <c r="G56" i="68"/>
  <c r="G55" i="68"/>
  <c r="G54" i="68"/>
  <c r="G53" i="68"/>
  <c r="G52" i="68"/>
  <c r="G51" i="68"/>
  <c r="G50" i="68"/>
  <c r="G49" i="68"/>
  <c r="G48" i="68"/>
  <c r="G47" i="68"/>
  <c r="G46" i="68"/>
  <c r="G102" i="1" l="1"/>
  <c r="K102" i="1"/>
  <c r="H72" i="1"/>
  <c r="I72" i="1"/>
  <c r="K72" i="1"/>
  <c r="M12" i="1"/>
  <c r="L12" i="1"/>
  <c r="H12" i="1"/>
  <c r="G22" i="1"/>
  <c r="S12" i="1" l="1"/>
  <c r="S22" i="1" l="1"/>
  <c r="H174" i="1" l="1"/>
  <c r="H175" i="1"/>
  <c r="H173" i="1"/>
  <c r="E13" i="133"/>
  <c r="H13" i="133" s="1"/>
  <c r="G13" i="133"/>
  <c r="Q13" i="133"/>
  <c r="T13" i="133"/>
  <c r="U13" i="133"/>
  <c r="W13" i="133"/>
  <c r="E14" i="133"/>
  <c r="K14" i="133" s="1"/>
  <c r="G14" i="133"/>
  <c r="R14" i="133" s="1"/>
  <c r="H14" i="133"/>
  <c r="J14" i="133"/>
  <c r="L14" i="133"/>
  <c r="O14" i="133"/>
  <c r="Q14" i="133"/>
  <c r="W14" i="133"/>
  <c r="X14" i="133" s="1"/>
  <c r="X16" i="133" s="1"/>
  <c r="E15" i="133"/>
  <c r="G15" i="133"/>
  <c r="R15" i="133" s="1"/>
  <c r="H15" i="133"/>
  <c r="J15" i="133"/>
  <c r="K15" i="133"/>
  <c r="L15" i="133"/>
  <c r="O15" i="133"/>
  <c r="Q15" i="133"/>
  <c r="T15" i="133"/>
  <c r="U15" i="133"/>
  <c r="W15" i="133"/>
  <c r="X15" i="133" s="1"/>
  <c r="E16" i="133"/>
  <c r="F16" i="133"/>
  <c r="I16" i="133"/>
  <c r="M16" i="133"/>
  <c r="P16" i="133"/>
  <c r="S16" i="133"/>
  <c r="V16" i="133"/>
  <c r="AD8" i="133"/>
  <c r="X13" i="133" l="1"/>
  <c r="Z14" i="133"/>
  <c r="Z15" i="133"/>
  <c r="O13" i="133"/>
  <c r="J13" i="133"/>
  <c r="L13" i="133"/>
  <c r="K13" i="133"/>
  <c r="R13" i="133" s="1"/>
  <c r="Z13" i="133" l="1"/>
  <c r="AB8" i="133"/>
  <c r="AB9" i="133"/>
  <c r="Y9" i="133"/>
  <c r="Y10" i="133"/>
  <c r="Z10" i="133" s="1"/>
  <c r="Y8" i="133"/>
  <c r="Z8" i="133" s="1"/>
  <c r="X9" i="133"/>
  <c r="Z9" i="133" l="1"/>
  <c r="T9" i="133" l="1"/>
  <c r="T10" i="133"/>
  <c r="T8" i="133"/>
  <c r="T16" i="133" s="1"/>
  <c r="Q10" i="133" l="1"/>
  <c r="O10" i="133"/>
  <c r="N10" i="133"/>
  <c r="L10" i="133"/>
  <c r="K10" i="133"/>
  <c r="J10" i="133"/>
  <c r="H10" i="133"/>
  <c r="G10" i="133"/>
  <c r="Q9" i="133"/>
  <c r="O9" i="133"/>
  <c r="N9" i="133"/>
  <c r="L9" i="133"/>
  <c r="K9" i="133"/>
  <c r="J9" i="133"/>
  <c r="H9" i="133"/>
  <c r="G9" i="133"/>
  <c r="Q8" i="133"/>
  <c r="Q16" i="133" s="1"/>
  <c r="O8" i="133"/>
  <c r="O16" i="133" s="1"/>
  <c r="N8" i="133"/>
  <c r="N16" i="133" s="1"/>
  <c r="L8" i="133"/>
  <c r="L16" i="133" s="1"/>
  <c r="K8" i="133"/>
  <c r="K16" i="133" s="1"/>
  <c r="J8" i="133"/>
  <c r="J16" i="133" s="1"/>
  <c r="H8" i="133"/>
  <c r="H16" i="133" s="1"/>
  <c r="G8" i="133"/>
  <c r="G16" i="133" s="1"/>
  <c r="G3" i="133"/>
  <c r="E3" i="133"/>
  <c r="G1" i="133"/>
  <c r="R8" i="133" l="1"/>
  <c r="R9" i="133"/>
  <c r="U9" i="133" s="1"/>
  <c r="AA9" i="133" s="1"/>
  <c r="AC9" i="133" s="1"/>
  <c r="AE9" i="133" s="1"/>
  <c r="R10" i="133"/>
  <c r="U10" i="133" s="1"/>
  <c r="AA10" i="133" s="1"/>
  <c r="AC10" i="133" s="1"/>
  <c r="AE10" i="133" s="1"/>
  <c r="E4" i="123"/>
  <c r="E3" i="123"/>
  <c r="D4" i="123"/>
  <c r="D3" i="123"/>
  <c r="F14" i="132"/>
  <c r="G14" i="132"/>
  <c r="H14" i="132"/>
  <c r="I14" i="132"/>
  <c r="J14" i="132"/>
  <c r="K14" i="132"/>
  <c r="L14" i="132"/>
  <c r="M14" i="132"/>
  <c r="N14" i="132"/>
  <c r="O14" i="132"/>
  <c r="P14" i="132"/>
  <c r="Q14" i="132"/>
  <c r="R14" i="132"/>
  <c r="S14" i="132"/>
  <c r="T14" i="132"/>
  <c r="U14" i="132"/>
  <c r="V14" i="132"/>
  <c r="X14" i="132"/>
  <c r="E14" i="132"/>
  <c r="W11" i="132"/>
  <c r="T7" i="132"/>
  <c r="S7" i="132"/>
  <c r="S18" i="1" l="1"/>
  <c r="U8" i="133"/>
  <c r="R16" i="133"/>
  <c r="T11" i="132"/>
  <c r="S11" i="132"/>
  <c r="O11" i="132"/>
  <c r="L11" i="132"/>
  <c r="K11" i="132"/>
  <c r="J11" i="132"/>
  <c r="H11" i="132"/>
  <c r="G11" i="132"/>
  <c r="O7" i="132"/>
  <c r="L7" i="132"/>
  <c r="K7" i="132"/>
  <c r="J7" i="132"/>
  <c r="H7" i="132"/>
  <c r="G7" i="132"/>
  <c r="S71" i="1" l="1"/>
  <c r="AA8" i="133"/>
  <c r="AC8" i="133" s="1"/>
  <c r="AE8" i="133" s="1"/>
  <c r="AE11" i="133" s="1"/>
  <c r="U16" i="133"/>
  <c r="R11" i="132"/>
  <c r="V11" i="132" s="1"/>
  <c r="X11" i="132" s="1"/>
  <c r="R7" i="132"/>
  <c r="S12" i="132"/>
  <c r="P12" i="132"/>
  <c r="N12" i="132"/>
  <c r="L12" i="132"/>
  <c r="K12" i="132"/>
  <c r="J12" i="132"/>
  <c r="I12" i="132"/>
  <c r="F12" i="132"/>
  <c r="E12" i="132"/>
  <c r="W12" i="132"/>
  <c r="O12" i="132"/>
  <c r="M12" i="132"/>
  <c r="H12" i="132"/>
  <c r="T12" i="132"/>
  <c r="G12" i="132"/>
  <c r="S8" i="132"/>
  <c r="P8" i="132"/>
  <c r="M8" i="132"/>
  <c r="I8" i="132"/>
  <c r="F8" i="132"/>
  <c r="U8" i="132"/>
  <c r="T8" i="132"/>
  <c r="O8" i="132"/>
  <c r="N8" i="132"/>
  <c r="L8" i="132"/>
  <c r="K8" i="132"/>
  <c r="J8" i="132"/>
  <c r="G3" i="132"/>
  <c r="E3" i="132"/>
  <c r="G1" i="132"/>
  <c r="X24" i="131"/>
  <c r="Y24" i="131" s="1"/>
  <c r="P24" i="131"/>
  <c r="N24" i="131"/>
  <c r="M24" i="131"/>
  <c r="E24" i="131"/>
  <c r="K24" i="131" s="1"/>
  <c r="AA23" i="131"/>
  <c r="X23" i="131"/>
  <c r="Y23" i="131" s="1"/>
  <c r="W23" i="131"/>
  <c r="S23" i="131"/>
  <c r="T23" i="131" s="1"/>
  <c r="Q23" i="131"/>
  <c r="P23" i="131"/>
  <c r="N23" i="131"/>
  <c r="M23" i="131"/>
  <c r="K23" i="131"/>
  <c r="J23" i="131"/>
  <c r="I23" i="131"/>
  <c r="G23" i="131"/>
  <c r="F23" i="131"/>
  <c r="AA22" i="131"/>
  <c r="X22" i="131"/>
  <c r="Y22" i="131" s="1"/>
  <c r="S22" i="131"/>
  <c r="T22" i="131" s="1"/>
  <c r="Q22" i="131"/>
  <c r="P22" i="131"/>
  <c r="N22" i="131"/>
  <c r="M22" i="131"/>
  <c r="K22" i="131"/>
  <c r="J22" i="131"/>
  <c r="I22" i="131"/>
  <c r="G22" i="131"/>
  <c r="F22" i="131"/>
  <c r="X12" i="131"/>
  <c r="Y12" i="131" s="1"/>
  <c r="AA13" i="131"/>
  <c r="AA27" i="131" s="1"/>
  <c r="S12" i="131"/>
  <c r="T12" i="131"/>
  <c r="T13" i="131" s="1"/>
  <c r="F13" i="131"/>
  <c r="G13" i="131"/>
  <c r="H13" i="131"/>
  <c r="I13" i="131"/>
  <c r="J13" i="131"/>
  <c r="K13" i="131"/>
  <c r="L13" i="131"/>
  <c r="M13" i="131"/>
  <c r="N13" i="131"/>
  <c r="O13" i="131"/>
  <c r="P13" i="131"/>
  <c r="R13" i="131"/>
  <c r="R27" i="131" s="1"/>
  <c r="U13" i="131"/>
  <c r="U27" i="131" s="1"/>
  <c r="V13" i="131"/>
  <c r="V27" i="131" s="1"/>
  <c r="W13" i="131"/>
  <c r="E13" i="131"/>
  <c r="O12" i="131"/>
  <c r="M12" i="131"/>
  <c r="L12" i="131"/>
  <c r="K12" i="131"/>
  <c r="J12" i="131"/>
  <c r="H12" i="131"/>
  <c r="G12" i="131"/>
  <c r="Y18" i="131"/>
  <c r="Z18" i="131" s="1"/>
  <c r="AB18" i="131" s="1"/>
  <c r="T18" i="131"/>
  <c r="O18" i="131"/>
  <c r="N18" i="131"/>
  <c r="L18" i="131"/>
  <c r="K18" i="131"/>
  <c r="J18" i="131"/>
  <c r="H18" i="131"/>
  <c r="G18" i="131"/>
  <c r="V17" i="131"/>
  <c r="U17" i="131"/>
  <c r="V11" i="131"/>
  <c r="U11" i="131"/>
  <c r="X17" i="131"/>
  <c r="W17" i="131"/>
  <c r="W11" i="131"/>
  <c r="X11" i="131"/>
  <c r="Z22" i="131" l="1"/>
  <c r="AB22" i="131" s="1"/>
  <c r="R12" i="132"/>
  <c r="R8" i="132"/>
  <c r="V7" i="132"/>
  <c r="X7" i="132" s="1"/>
  <c r="V8" i="132"/>
  <c r="U12" i="132"/>
  <c r="X8" i="132"/>
  <c r="G8" i="132"/>
  <c r="E8" i="132"/>
  <c r="H8" i="132"/>
  <c r="Z23" i="131"/>
  <c r="AB23" i="131" s="1"/>
  <c r="F24" i="131"/>
  <c r="J24" i="131"/>
  <c r="G24" i="131"/>
  <c r="I24" i="131"/>
  <c r="Z12" i="131"/>
  <c r="AB12" i="131" s="1"/>
  <c r="X13" i="131"/>
  <c r="Q24" i="131" l="1"/>
  <c r="T24" i="131" s="1"/>
  <c r="Z24" i="131" s="1"/>
  <c r="AB24" i="131" s="1"/>
  <c r="T11" i="131" l="1"/>
  <c r="S17" i="131"/>
  <c r="N17" i="131"/>
  <c r="M17" i="131"/>
  <c r="L17" i="131"/>
  <c r="K17" i="131"/>
  <c r="J17" i="131"/>
  <c r="Q17" i="131" s="1"/>
  <c r="H17" i="131"/>
  <c r="G17" i="131"/>
  <c r="S11" i="131"/>
  <c r="S13" i="131" s="1"/>
  <c r="O11" i="131"/>
  <c r="M11" i="131"/>
  <c r="L11" i="131"/>
  <c r="K11" i="131"/>
  <c r="J11" i="131"/>
  <c r="H11" i="131"/>
  <c r="G11" i="131"/>
  <c r="T17" i="131" l="1"/>
  <c r="G40" i="1"/>
  <c r="I40" i="1"/>
  <c r="M40" i="1"/>
  <c r="G44" i="1"/>
  <c r="G57" i="1"/>
  <c r="S44" i="1" l="1"/>
  <c r="J57" i="1"/>
  <c r="S57" i="1" s="1"/>
  <c r="L25" i="131" l="1"/>
  <c r="W19" i="131"/>
  <c r="U19" i="131"/>
  <c r="P19" i="131"/>
  <c r="O19" i="131"/>
  <c r="N19" i="131"/>
  <c r="M19" i="131"/>
  <c r="L19" i="131"/>
  <c r="L27" i="131" s="1"/>
  <c r="H19" i="131"/>
  <c r="H27" i="131" s="1"/>
  <c r="E19" i="131"/>
  <c r="X19" i="131"/>
  <c r="V19" i="131"/>
  <c r="S19" i="131"/>
  <c r="K19" i="131"/>
  <c r="J19" i="131"/>
  <c r="I19" i="131"/>
  <c r="G19" i="131"/>
  <c r="G27" i="131" s="1"/>
  <c r="Y16" i="131"/>
  <c r="Z16" i="131" s="1"/>
  <c r="AB16" i="131" s="1"/>
  <c r="Y15" i="131"/>
  <c r="Z15" i="131" s="1"/>
  <c r="AB15" i="131" s="1"/>
  <c r="T14" i="131"/>
  <c r="Y11" i="131"/>
  <c r="Y13" i="131" s="1"/>
  <c r="W8" i="131"/>
  <c r="W27" i="131" s="1"/>
  <c r="V8" i="131"/>
  <c r="U8" i="131"/>
  <c r="S8" i="131"/>
  <c r="P8" i="131"/>
  <c r="P27" i="131" s="1"/>
  <c r="O8" i="131"/>
  <c r="O27" i="131" s="1"/>
  <c r="M8" i="131"/>
  <c r="M27" i="131" s="1"/>
  <c r="L8" i="131"/>
  <c r="H8" i="131"/>
  <c r="E8" i="131"/>
  <c r="E27" i="131" s="1"/>
  <c r="X8" i="131"/>
  <c r="X27" i="131" s="1"/>
  <c r="N8" i="131"/>
  <c r="N27" i="131" s="1"/>
  <c r="K8" i="131"/>
  <c r="J8" i="131"/>
  <c r="G8" i="131"/>
  <c r="F8" i="131"/>
  <c r="F27" i="131" s="1"/>
  <c r="G3" i="131"/>
  <c r="E3" i="131"/>
  <c r="G1" i="131"/>
  <c r="J27" i="131" l="1"/>
  <c r="K27" i="131"/>
  <c r="S27" i="131"/>
  <c r="Q19" i="131"/>
  <c r="Y17" i="131"/>
  <c r="Y19" i="131" s="1"/>
  <c r="F19" i="131"/>
  <c r="Y7" i="131"/>
  <c r="Y8" i="131" s="1"/>
  <c r="I8" i="131"/>
  <c r="I27" i="131" s="1"/>
  <c r="E5" i="123"/>
  <c r="Y27" i="131" l="1"/>
  <c r="Z17" i="131"/>
  <c r="T19" i="131"/>
  <c r="M11" i="1"/>
  <c r="M138" i="1"/>
  <c r="M156" i="1"/>
  <c r="M34" i="1" l="1"/>
  <c r="Q11" i="1"/>
  <c r="AB17" i="131"/>
  <c r="AB19" i="131" s="1"/>
  <c r="Z19" i="131"/>
  <c r="Q40" i="129"/>
  <c r="S45" i="129" l="1"/>
  <c r="I186" i="1"/>
  <c r="H186" i="1"/>
  <c r="S43" i="129"/>
  <c r="S42" i="129"/>
  <c r="H156" i="1"/>
  <c r="H101" i="1"/>
  <c r="G90" i="1"/>
  <c r="G78" i="1" l="1"/>
  <c r="V15" i="129"/>
  <c r="G17" i="1"/>
  <c r="H28" i="1" l="1"/>
  <c r="R47" i="129"/>
  <c r="AA47" i="129"/>
  <c r="U46" i="129"/>
  <c r="AA45" i="129"/>
  <c r="AA43" i="129"/>
  <c r="AA42" i="129"/>
  <c r="U36" i="129"/>
  <c r="W36" i="129"/>
  <c r="AA35" i="129"/>
  <c r="AA29" i="129"/>
  <c r="AA25" i="129"/>
  <c r="X25" i="129"/>
  <c r="U26" i="129"/>
  <c r="V26" i="129"/>
  <c r="W26" i="129"/>
  <c r="AA20" i="129"/>
  <c r="AA16" i="129"/>
  <c r="AA15" i="129"/>
  <c r="AA11" i="129"/>
  <c r="AA7" i="129"/>
  <c r="X41" i="129"/>
  <c r="X40" i="129"/>
  <c r="X39" i="129"/>
  <c r="X35" i="129" l="1"/>
  <c r="X31" i="129"/>
  <c r="X30" i="129"/>
  <c r="Y30" i="129" s="1"/>
  <c r="X29" i="129"/>
  <c r="X24" i="129"/>
  <c r="X20" i="129"/>
  <c r="X16" i="129"/>
  <c r="X15" i="129"/>
  <c r="X11" i="129"/>
  <c r="U17" i="129"/>
  <c r="V17" i="129"/>
  <c r="W17" i="129"/>
  <c r="U12" i="129"/>
  <c r="W12" i="129"/>
  <c r="U8" i="129"/>
  <c r="Z19" i="129"/>
  <c r="AB19" i="129" s="1"/>
  <c r="Y18" i="129"/>
  <c r="Z18" i="129" s="1"/>
  <c r="AB18" i="129" s="1"/>
  <c r="Y19" i="129"/>
  <c r="Y22" i="129"/>
  <c r="Z22" i="129" s="1"/>
  <c r="AB22" i="129" s="1"/>
  <c r="Y23" i="129"/>
  <c r="Z23" i="129" s="1"/>
  <c r="AB23" i="129" s="1"/>
  <c r="Y25" i="129"/>
  <c r="Y27" i="129"/>
  <c r="Y28" i="129"/>
  <c r="Y33" i="129"/>
  <c r="Z33" i="129" s="1"/>
  <c r="AB33" i="129" s="1"/>
  <c r="Y34" i="129"/>
  <c r="Z34" i="129" s="1"/>
  <c r="AB34" i="129" s="1"/>
  <c r="Y39" i="129"/>
  <c r="Y40" i="129"/>
  <c r="Y41" i="129"/>
  <c r="X7" i="129"/>
  <c r="Y16" i="129" l="1"/>
  <c r="Y20" i="129"/>
  <c r="X21" i="129"/>
  <c r="Y24" i="129"/>
  <c r="X26" i="129"/>
  <c r="Y7" i="129"/>
  <c r="X32" i="129"/>
  <c r="Y15" i="129"/>
  <c r="Y35" i="129"/>
  <c r="Y31" i="129"/>
  <c r="X12" i="129"/>
  <c r="X36" i="129"/>
  <c r="X17" i="129"/>
  <c r="Y11" i="129"/>
  <c r="Y17" i="129" l="1"/>
  <c r="Y26" i="129"/>
  <c r="Y36" i="129"/>
  <c r="Y21" i="129"/>
  <c r="Y12" i="129"/>
  <c r="X43" i="129" l="1"/>
  <c r="X44" i="129"/>
  <c r="X42" i="129"/>
  <c r="Y44" i="129" l="1"/>
  <c r="X45" i="129"/>
  <c r="X46" i="129" s="1"/>
  <c r="Y42" i="129"/>
  <c r="Y45" i="129" l="1"/>
  <c r="V8" i="129" l="1"/>
  <c r="S41" i="129"/>
  <c r="V39" i="129"/>
  <c r="V46" i="129" s="1"/>
  <c r="S40" i="129"/>
  <c r="S39" i="129"/>
  <c r="V35" i="129"/>
  <c r="V29" i="129"/>
  <c r="S35" i="129"/>
  <c r="S31" i="129"/>
  <c r="T31" i="129" s="1"/>
  <c r="Z31" i="129" s="1"/>
  <c r="AB31" i="129" s="1"/>
  <c r="S30" i="129"/>
  <c r="T27" i="129"/>
  <c r="Z27" i="129" s="1"/>
  <c r="AB27" i="129" s="1"/>
  <c r="T28" i="129"/>
  <c r="Z28" i="129" s="1"/>
  <c r="AB28" i="129" s="1"/>
  <c r="S29" i="129"/>
  <c r="S25" i="129"/>
  <c r="S24" i="129"/>
  <c r="S20" i="129"/>
  <c r="S16" i="129"/>
  <c r="T13" i="129"/>
  <c r="T14" i="129"/>
  <c r="S15" i="129"/>
  <c r="V11" i="129"/>
  <c r="S11" i="129"/>
  <c r="S7" i="129"/>
  <c r="V36" i="129" l="1"/>
  <c r="V12" i="129"/>
  <c r="V47" i="129" l="1"/>
  <c r="C47" i="129"/>
  <c r="N30" i="129"/>
  <c r="K30" i="129"/>
  <c r="J30" i="129"/>
  <c r="I30" i="129"/>
  <c r="G30" i="129"/>
  <c r="F30" i="129"/>
  <c r="E15" i="129"/>
  <c r="I15" i="129" s="1"/>
  <c r="O46" i="129"/>
  <c r="L46" i="129"/>
  <c r="P45" i="129"/>
  <c r="M45" i="129"/>
  <c r="E45" i="129"/>
  <c r="I45" i="129" s="1"/>
  <c r="P44" i="129"/>
  <c r="M44" i="129"/>
  <c r="E44" i="129"/>
  <c r="J44" i="129" s="1"/>
  <c r="W43" i="129"/>
  <c r="P43" i="129"/>
  <c r="N43" i="129"/>
  <c r="M43" i="129"/>
  <c r="K43" i="129"/>
  <c r="J43" i="129"/>
  <c r="I43" i="129"/>
  <c r="G43" i="129"/>
  <c r="F43" i="129"/>
  <c r="P42" i="129"/>
  <c r="N42" i="129"/>
  <c r="M42" i="129"/>
  <c r="K42" i="129"/>
  <c r="J42" i="129"/>
  <c r="I42" i="129"/>
  <c r="G42" i="129"/>
  <c r="F42" i="129"/>
  <c r="N41" i="129"/>
  <c r="M41" i="129"/>
  <c r="K41" i="129"/>
  <c r="J41" i="129"/>
  <c r="I41" i="129"/>
  <c r="G41" i="129"/>
  <c r="F41" i="129"/>
  <c r="E40" i="129"/>
  <c r="I40" i="129" s="1"/>
  <c r="N39" i="129"/>
  <c r="M39" i="129"/>
  <c r="K39" i="129"/>
  <c r="J39" i="129"/>
  <c r="I39" i="129"/>
  <c r="G39" i="129"/>
  <c r="F39" i="129"/>
  <c r="H46" i="129"/>
  <c r="L37" i="129"/>
  <c r="L36" i="129"/>
  <c r="N35" i="129"/>
  <c r="M35" i="129"/>
  <c r="K35" i="129"/>
  <c r="J35" i="129"/>
  <c r="I35" i="129"/>
  <c r="G35" i="129"/>
  <c r="F35" i="129"/>
  <c r="O36" i="129"/>
  <c r="P36" i="129"/>
  <c r="U32" i="129"/>
  <c r="O32" i="129"/>
  <c r="L32" i="129"/>
  <c r="H32" i="129"/>
  <c r="E32" i="129"/>
  <c r="W29" i="129"/>
  <c r="P29" i="129"/>
  <c r="P32" i="129" s="1"/>
  <c r="N29" i="129"/>
  <c r="K29" i="129"/>
  <c r="J29" i="129"/>
  <c r="I29" i="129"/>
  <c r="G29" i="129"/>
  <c r="F29" i="129"/>
  <c r="P26" i="129"/>
  <c r="O26" i="129"/>
  <c r="M26" i="129"/>
  <c r="N25" i="129"/>
  <c r="L25" i="129"/>
  <c r="K25" i="129"/>
  <c r="J25" i="129"/>
  <c r="I25" i="129"/>
  <c r="G25" i="129"/>
  <c r="F25" i="129"/>
  <c r="N24" i="129"/>
  <c r="K24" i="129"/>
  <c r="J24" i="129"/>
  <c r="I24" i="129"/>
  <c r="G24" i="129"/>
  <c r="F24" i="129"/>
  <c r="U21" i="129"/>
  <c r="P21" i="129"/>
  <c r="O21" i="129"/>
  <c r="H21" i="129"/>
  <c r="E21" i="129"/>
  <c r="N20" i="129"/>
  <c r="L20" i="129"/>
  <c r="K20" i="129"/>
  <c r="J20" i="129"/>
  <c r="I20" i="129"/>
  <c r="G20" i="129"/>
  <c r="F20" i="129"/>
  <c r="M21" i="129"/>
  <c r="P17" i="129"/>
  <c r="O17" i="129"/>
  <c r="M17" i="129"/>
  <c r="N16" i="129"/>
  <c r="L16" i="129"/>
  <c r="K16" i="129"/>
  <c r="J16" i="129"/>
  <c r="I16" i="129"/>
  <c r="G16" i="129"/>
  <c r="F16" i="129"/>
  <c r="H17" i="129"/>
  <c r="P12" i="129"/>
  <c r="O12" i="129"/>
  <c r="M12" i="129"/>
  <c r="N11" i="129"/>
  <c r="L11" i="129"/>
  <c r="K11" i="129"/>
  <c r="J11" i="129"/>
  <c r="I11" i="129"/>
  <c r="G11" i="129"/>
  <c r="F11" i="129"/>
  <c r="H12" i="129"/>
  <c r="O8" i="129"/>
  <c r="N7" i="129"/>
  <c r="M7" i="129"/>
  <c r="M8" i="129" s="1"/>
  <c r="K7" i="129"/>
  <c r="J7" i="129"/>
  <c r="I7" i="129"/>
  <c r="G7" i="129"/>
  <c r="F7" i="129"/>
  <c r="P8" i="129"/>
  <c r="H8" i="129"/>
  <c r="G3" i="129"/>
  <c r="E3" i="129"/>
  <c r="G1" i="129"/>
  <c r="W8" i="129" l="1"/>
  <c r="U47" i="129"/>
  <c r="O47" i="129"/>
  <c r="W46" i="129"/>
  <c r="Y43" i="129"/>
  <c r="Y46" i="129" s="1"/>
  <c r="W32" i="129"/>
  <c r="Y29" i="129"/>
  <c r="Y32" i="129" s="1"/>
  <c r="Q30" i="129"/>
  <c r="T30" i="129" s="1"/>
  <c r="Z30" i="129" s="1"/>
  <c r="AB30" i="129" s="1"/>
  <c r="G15" i="129"/>
  <c r="N15" i="129"/>
  <c r="J15" i="129"/>
  <c r="K15" i="129"/>
  <c r="F15" i="129"/>
  <c r="N40" i="129"/>
  <c r="F44" i="129"/>
  <c r="F45" i="129"/>
  <c r="G44" i="129"/>
  <c r="K45" i="129"/>
  <c r="M32" i="129"/>
  <c r="J21" i="129"/>
  <c r="K21" i="129"/>
  <c r="J45" i="129"/>
  <c r="J40" i="129"/>
  <c r="F21" i="129"/>
  <c r="H26" i="129"/>
  <c r="Q29" i="129"/>
  <c r="W21" i="129"/>
  <c r="Q20" i="129"/>
  <c r="T20" i="129" s="1"/>
  <c r="Z20" i="129" s="1"/>
  <c r="F40" i="129"/>
  <c r="G40" i="129"/>
  <c r="E26" i="129"/>
  <c r="I32" i="129"/>
  <c r="K40" i="129"/>
  <c r="K26" i="129"/>
  <c r="Q42" i="129"/>
  <c r="T42" i="129" s="1"/>
  <c r="Z42" i="129" s="1"/>
  <c r="AB42" i="129" s="1"/>
  <c r="I44" i="129"/>
  <c r="L26" i="129"/>
  <c r="H36" i="129"/>
  <c r="Q39" i="129"/>
  <c r="T39" i="129" s="1"/>
  <c r="K44" i="129"/>
  <c r="I26" i="129"/>
  <c r="P46" i="129"/>
  <c r="P47" i="129" s="1"/>
  <c r="Q7" i="129"/>
  <c r="T7" i="129" s="1"/>
  <c r="Z7" i="129" s="1"/>
  <c r="L21" i="129"/>
  <c r="F32" i="129"/>
  <c r="Q43" i="129"/>
  <c r="T43" i="129" s="1"/>
  <c r="N44" i="129"/>
  <c r="Q16" i="129"/>
  <c r="T16" i="129" s="1"/>
  <c r="Z16" i="129" s="1"/>
  <c r="AB16" i="129" s="1"/>
  <c r="G32" i="129"/>
  <c r="L12" i="129"/>
  <c r="Q11" i="129"/>
  <c r="T11" i="129" s="1"/>
  <c r="Q24" i="129"/>
  <c r="T24" i="129" s="1"/>
  <c r="M36" i="129"/>
  <c r="E8" i="129"/>
  <c r="L8" i="129"/>
  <c r="E17" i="129"/>
  <c r="E36" i="129"/>
  <c r="G12" i="129"/>
  <c r="J32" i="129"/>
  <c r="Q35" i="129"/>
  <c r="T35" i="129" s="1"/>
  <c r="Z35" i="129" s="1"/>
  <c r="AB35" i="129" s="1"/>
  <c r="J36" i="129"/>
  <c r="E12" i="129"/>
  <c r="Q25" i="129"/>
  <c r="T25" i="129" s="1"/>
  <c r="Z25" i="129" s="1"/>
  <c r="AB25" i="129" s="1"/>
  <c r="K32" i="129"/>
  <c r="N21" i="129"/>
  <c r="I21" i="129"/>
  <c r="M46" i="129"/>
  <c r="L17" i="129"/>
  <c r="N32" i="129"/>
  <c r="E46" i="129"/>
  <c r="Q41" i="129"/>
  <c r="T41" i="129" s="1"/>
  <c r="Z41" i="129" s="1"/>
  <c r="AB41" i="129" s="1"/>
  <c r="N45" i="129"/>
  <c r="G45" i="129"/>
  <c r="H59" i="126"/>
  <c r="G59" i="126"/>
  <c r="H6" i="126"/>
  <c r="H7" i="126"/>
  <c r="E59" i="126"/>
  <c r="F59" i="126"/>
  <c r="D59" i="126"/>
  <c r="H57" i="126"/>
  <c r="H58" i="126"/>
  <c r="H9" i="126"/>
  <c r="H10" i="126"/>
  <c r="H11" i="126"/>
  <c r="H12" i="126"/>
  <c r="H13" i="126"/>
  <c r="H14" i="126"/>
  <c r="H15" i="126"/>
  <c r="H16" i="126"/>
  <c r="H17" i="126"/>
  <c r="H18" i="126"/>
  <c r="H19" i="126"/>
  <c r="H20" i="126"/>
  <c r="H21" i="126"/>
  <c r="H22" i="126"/>
  <c r="H23" i="126"/>
  <c r="H24" i="126"/>
  <c r="H25" i="126"/>
  <c r="H26" i="126"/>
  <c r="H27" i="126"/>
  <c r="H28" i="126"/>
  <c r="H29" i="126"/>
  <c r="H30" i="126"/>
  <c r="H31" i="126"/>
  <c r="H32" i="126"/>
  <c r="H33" i="126"/>
  <c r="H34" i="126"/>
  <c r="H35" i="126"/>
  <c r="H36" i="126"/>
  <c r="H37" i="126"/>
  <c r="H38" i="126"/>
  <c r="H39" i="126"/>
  <c r="H40" i="126"/>
  <c r="H41" i="126"/>
  <c r="H42" i="126"/>
  <c r="H43" i="126"/>
  <c r="H44" i="126"/>
  <c r="H45" i="126"/>
  <c r="H46" i="126"/>
  <c r="H47" i="126"/>
  <c r="H48" i="126"/>
  <c r="H49" i="126"/>
  <c r="H50" i="126"/>
  <c r="H51" i="126"/>
  <c r="H52" i="126"/>
  <c r="H53" i="126"/>
  <c r="H54" i="126"/>
  <c r="H55" i="126"/>
  <c r="H56" i="126"/>
  <c r="H8" i="126"/>
  <c r="I132" i="124"/>
  <c r="I133" i="124"/>
  <c r="I134" i="124"/>
  <c r="I135" i="124"/>
  <c r="I136" i="124"/>
  <c r="I137" i="124"/>
  <c r="I138" i="124"/>
  <c r="I139" i="124"/>
  <c r="I140" i="124"/>
  <c r="I141" i="124"/>
  <c r="I142" i="124"/>
  <c r="I143" i="124"/>
  <c r="I144" i="124"/>
  <c r="I145" i="124"/>
  <c r="I146" i="124"/>
  <c r="I147" i="124"/>
  <c r="I148" i="124"/>
  <c r="I149" i="124"/>
  <c r="I150" i="124"/>
  <c r="I151" i="124"/>
  <c r="I152" i="124"/>
  <c r="I153" i="124"/>
  <c r="I154" i="124"/>
  <c r="I155" i="124"/>
  <c r="I156" i="124"/>
  <c r="I157" i="124"/>
  <c r="I158" i="124"/>
  <c r="I159" i="124"/>
  <c r="I160" i="124"/>
  <c r="I161" i="124"/>
  <c r="I162" i="124"/>
  <c r="I163" i="124"/>
  <c r="I164" i="124"/>
  <c r="I165" i="124"/>
  <c r="I166" i="124"/>
  <c r="I167" i="124"/>
  <c r="I168" i="124"/>
  <c r="I169" i="124"/>
  <c r="I170" i="124"/>
  <c r="I171" i="124"/>
  <c r="I172" i="124"/>
  <c r="I173" i="124"/>
  <c r="I174" i="124"/>
  <c r="I175" i="124"/>
  <c r="I176" i="124"/>
  <c r="I177" i="124"/>
  <c r="I178" i="124"/>
  <c r="I179" i="124"/>
  <c r="I180" i="124"/>
  <c r="I181" i="124"/>
  <c r="I182" i="124"/>
  <c r="I183" i="124"/>
  <c r="I184" i="124"/>
  <c r="I185" i="124"/>
  <c r="I186" i="124"/>
  <c r="I187" i="124"/>
  <c r="I188" i="124"/>
  <c r="I189" i="124"/>
  <c r="I131" i="124"/>
  <c r="F190" i="124"/>
  <c r="G190" i="124"/>
  <c r="H190" i="124"/>
  <c r="E190" i="124"/>
  <c r="I120" i="124"/>
  <c r="I121" i="124"/>
  <c r="I122" i="124"/>
  <c r="I123" i="124"/>
  <c r="I124" i="124"/>
  <c r="I125" i="124"/>
  <c r="I126" i="124"/>
  <c r="I127" i="124"/>
  <c r="I119" i="124"/>
  <c r="F128" i="124"/>
  <c r="G128" i="124"/>
  <c r="H128" i="124"/>
  <c r="E128" i="124"/>
  <c r="I114" i="124"/>
  <c r="I115" i="124"/>
  <c r="I113" i="124"/>
  <c r="F116" i="124"/>
  <c r="G116" i="124"/>
  <c r="H116" i="124"/>
  <c r="E116" i="124"/>
  <c r="E104" i="124"/>
  <c r="I104" i="124" s="1"/>
  <c r="F104" i="124"/>
  <c r="G104" i="124"/>
  <c r="H104" i="124"/>
  <c r="E105" i="124"/>
  <c r="F105" i="124"/>
  <c r="G105" i="124"/>
  <c r="H105" i="124"/>
  <c r="E106" i="124"/>
  <c r="I106" i="124" s="1"/>
  <c r="F106" i="124"/>
  <c r="G106" i="124"/>
  <c r="H106" i="124"/>
  <c r="E107" i="124"/>
  <c r="F107" i="124"/>
  <c r="G107" i="124"/>
  <c r="H107" i="124"/>
  <c r="E108" i="124"/>
  <c r="I108" i="124" s="1"/>
  <c r="F108" i="124"/>
  <c r="G108" i="124"/>
  <c r="H108" i="124"/>
  <c r="E109" i="124"/>
  <c r="F109" i="124"/>
  <c r="G109" i="124"/>
  <c r="H109" i="124"/>
  <c r="F103" i="124"/>
  <c r="F110" i="124" s="1"/>
  <c r="G103" i="124"/>
  <c r="H103" i="124"/>
  <c r="E103" i="124"/>
  <c r="I97" i="124"/>
  <c r="I98" i="124"/>
  <c r="I99" i="124"/>
  <c r="I96" i="124"/>
  <c r="F100" i="124"/>
  <c r="G100" i="124"/>
  <c r="H100" i="124"/>
  <c r="E100" i="124"/>
  <c r="F93" i="124"/>
  <c r="G93" i="124"/>
  <c r="H93" i="124"/>
  <c r="E93" i="124"/>
  <c r="I73" i="124"/>
  <c r="I74" i="124"/>
  <c r="I75" i="124"/>
  <c r="I76" i="124"/>
  <c r="I77" i="124"/>
  <c r="I78" i="124"/>
  <c r="I72" i="124"/>
  <c r="F79" i="124"/>
  <c r="G79" i="124"/>
  <c r="H79" i="124"/>
  <c r="E79" i="124"/>
  <c r="I58" i="124"/>
  <c r="I59" i="124"/>
  <c r="I60" i="124"/>
  <c r="I61" i="124"/>
  <c r="I62" i="124"/>
  <c r="I63" i="124"/>
  <c r="I64" i="124"/>
  <c r="I65" i="124"/>
  <c r="I66" i="124"/>
  <c r="I67" i="124"/>
  <c r="I68" i="124"/>
  <c r="I57" i="124"/>
  <c r="F69" i="124"/>
  <c r="G69" i="124"/>
  <c r="H69" i="124"/>
  <c r="E69" i="124"/>
  <c r="I53" i="124"/>
  <c r="I52" i="124"/>
  <c r="F54" i="124"/>
  <c r="G54" i="124"/>
  <c r="H54" i="124"/>
  <c r="E54" i="124"/>
  <c r="I37" i="124"/>
  <c r="I38" i="124"/>
  <c r="I39" i="124"/>
  <c r="I40" i="124"/>
  <c r="I41" i="124"/>
  <c r="I42" i="124"/>
  <c r="I43" i="124"/>
  <c r="I44" i="124"/>
  <c r="I45" i="124"/>
  <c r="I46" i="124"/>
  <c r="I47" i="124"/>
  <c r="I48" i="124"/>
  <c r="I36" i="124"/>
  <c r="F49" i="124"/>
  <c r="G49" i="124"/>
  <c r="H49" i="124"/>
  <c r="E49" i="124"/>
  <c r="I32" i="124"/>
  <c r="I31" i="124"/>
  <c r="F33" i="124"/>
  <c r="G33" i="124"/>
  <c r="H33" i="124"/>
  <c r="E33" i="124"/>
  <c r="I8" i="124"/>
  <c r="I9" i="124"/>
  <c r="I10" i="124"/>
  <c r="I11" i="124"/>
  <c r="I12" i="124"/>
  <c r="I13" i="124"/>
  <c r="I14" i="124"/>
  <c r="I15" i="124"/>
  <c r="I16" i="124"/>
  <c r="I17" i="124"/>
  <c r="I18" i="124"/>
  <c r="I19" i="124"/>
  <c r="I20" i="124"/>
  <c r="I21" i="124"/>
  <c r="I22" i="124"/>
  <c r="I23" i="124"/>
  <c r="I24" i="124"/>
  <c r="I25" i="124"/>
  <c r="I26" i="124"/>
  <c r="I27" i="124"/>
  <c r="I7" i="124"/>
  <c r="F28" i="124"/>
  <c r="G28" i="124"/>
  <c r="H28" i="124"/>
  <c r="E28" i="124"/>
  <c r="E47" i="129" l="1"/>
  <c r="L47" i="129"/>
  <c r="Z43" i="129"/>
  <c r="AB43" i="129" s="1"/>
  <c r="H47" i="129"/>
  <c r="S32" i="129"/>
  <c r="T32" i="129" s="1"/>
  <c r="T29" i="129"/>
  <c r="Z29" i="129" s="1"/>
  <c r="Z39" i="129"/>
  <c r="W47" i="129"/>
  <c r="M47" i="129"/>
  <c r="T26" i="129"/>
  <c r="Z24" i="129"/>
  <c r="T12" i="129"/>
  <c r="Z11" i="129"/>
  <c r="T36" i="129"/>
  <c r="Z8" i="129"/>
  <c r="AB7" i="129"/>
  <c r="AB20" i="129"/>
  <c r="Z21" i="129"/>
  <c r="X8" i="129"/>
  <c r="X47" i="129" s="1"/>
  <c r="Y8" i="129"/>
  <c r="Y47" i="129" s="1"/>
  <c r="S21" i="129"/>
  <c r="S36" i="129"/>
  <c r="S12" i="129"/>
  <c r="S26" i="129"/>
  <c r="G36" i="129"/>
  <c r="J26" i="129"/>
  <c r="Q15" i="129"/>
  <c r="T15" i="129" s="1"/>
  <c r="N26" i="129"/>
  <c r="K17" i="129"/>
  <c r="F36" i="129"/>
  <c r="G26" i="129"/>
  <c r="G17" i="129"/>
  <c r="F17" i="129"/>
  <c r="F12" i="129"/>
  <c r="F26" i="129"/>
  <c r="K12" i="129"/>
  <c r="K36" i="129"/>
  <c r="I12" i="129"/>
  <c r="N12" i="129"/>
  <c r="T8" i="129"/>
  <c r="T40" i="129"/>
  <c r="Z40" i="129" s="1"/>
  <c r="AB40" i="129" s="1"/>
  <c r="Q44" i="129"/>
  <c r="T44" i="129" s="1"/>
  <c r="Z44" i="129" s="1"/>
  <c r="AB44" i="129" s="1"/>
  <c r="I8" i="129"/>
  <c r="J8" i="129"/>
  <c r="J46" i="129"/>
  <c r="F8" i="129"/>
  <c r="N46" i="129"/>
  <c r="I46" i="129"/>
  <c r="N17" i="129"/>
  <c r="F46" i="129"/>
  <c r="K46" i="129"/>
  <c r="I36" i="129"/>
  <c r="G46" i="129"/>
  <c r="J17" i="129"/>
  <c r="Q32" i="129"/>
  <c r="G8" i="129"/>
  <c r="I17" i="129"/>
  <c r="N8" i="129"/>
  <c r="K8" i="129"/>
  <c r="J12" i="129"/>
  <c r="Q45" i="129"/>
  <c r="T45" i="129" s="1"/>
  <c r="Z45" i="129" s="1"/>
  <c r="AB45" i="129" s="1"/>
  <c r="G21" i="129"/>
  <c r="N36" i="129"/>
  <c r="I109" i="124"/>
  <c r="I107" i="124"/>
  <c r="I103" i="124"/>
  <c r="I105" i="124"/>
  <c r="H110" i="124"/>
  <c r="G110" i="124"/>
  <c r="E110" i="124"/>
  <c r="F47" i="129" l="1"/>
  <c r="AB21" i="129"/>
  <c r="AB8" i="129"/>
  <c r="N47" i="129"/>
  <c r="G47" i="129"/>
  <c r="AB39" i="129"/>
  <c r="Z46" i="129"/>
  <c r="AB24" i="129"/>
  <c r="Z26" i="129"/>
  <c r="AB11" i="129"/>
  <c r="Z12" i="129"/>
  <c r="I47" i="129"/>
  <c r="AB36" i="129"/>
  <c r="Z36" i="129"/>
  <c r="T46" i="129"/>
  <c r="J47" i="129"/>
  <c r="K47" i="129"/>
  <c r="T17" i="129"/>
  <c r="Z15" i="129"/>
  <c r="Z32" i="129"/>
  <c r="AB29" i="129"/>
  <c r="S17" i="129"/>
  <c r="S8" i="129"/>
  <c r="S46" i="129"/>
  <c r="Q26" i="129"/>
  <c r="Q12" i="129"/>
  <c r="Q17" i="129"/>
  <c r="Q8" i="129"/>
  <c r="Q36" i="129"/>
  <c r="Q46" i="129"/>
  <c r="Q21" i="129"/>
  <c r="I190" i="124"/>
  <c r="I128" i="124"/>
  <c r="I116" i="124"/>
  <c r="I110" i="124"/>
  <c r="I100" i="124"/>
  <c r="I79" i="124"/>
  <c r="I69" i="124"/>
  <c r="I54" i="124"/>
  <c r="I49" i="124"/>
  <c r="I33" i="124"/>
  <c r="S47" i="129" l="1"/>
  <c r="T47" i="129"/>
  <c r="AB26" i="129"/>
  <c r="Q47" i="129"/>
  <c r="AB46" i="129"/>
  <c r="AB32" i="129"/>
  <c r="AB15" i="129"/>
  <c r="Z17" i="129"/>
  <c r="Z47" i="129" s="1"/>
  <c r="AB12" i="129"/>
  <c r="I28" i="124"/>
  <c r="I83" i="124"/>
  <c r="I84" i="124"/>
  <c r="I85" i="124"/>
  <c r="I86" i="124"/>
  <c r="I87" i="124"/>
  <c r="I88" i="124"/>
  <c r="I89" i="124"/>
  <c r="I90" i="124"/>
  <c r="I91" i="124"/>
  <c r="I92" i="124"/>
  <c r="I82" i="124"/>
  <c r="AB17" i="129" l="1"/>
  <c r="AB47" i="129" s="1"/>
  <c r="I93" i="124"/>
  <c r="I192" i="124"/>
  <c r="F4" i="123"/>
  <c r="F3" i="123"/>
  <c r="F5" i="123" s="1"/>
  <c r="D5" i="123" l="1"/>
  <c r="G193" i="1" l="1"/>
  <c r="H192" i="1"/>
  <c r="H191" i="1"/>
  <c r="S191" i="1" l="1"/>
  <c r="S192" i="1"/>
  <c r="S190" i="1" l="1"/>
  <c r="S189" i="1"/>
  <c r="S188" i="1" l="1"/>
  <c r="M62" i="1" l="1"/>
  <c r="M187" i="1"/>
  <c r="L151" i="1"/>
  <c r="L101" i="1"/>
  <c r="L11" i="1"/>
  <c r="L139" i="1" l="1"/>
  <c r="S139" i="1" l="1"/>
  <c r="S92" i="1" l="1"/>
  <c r="G131" i="1"/>
  <c r="K131" i="1"/>
  <c r="H95" i="1"/>
  <c r="I95" i="1"/>
  <c r="K95" i="1"/>
  <c r="I82" i="1"/>
  <c r="K82" i="1"/>
  <c r="H54" i="1"/>
  <c r="I54" i="1"/>
  <c r="K54" i="1"/>
  <c r="S81" i="1" l="1"/>
  <c r="H159" i="1"/>
  <c r="S159" i="1" l="1"/>
  <c r="S161" i="1" l="1"/>
  <c r="S50" i="1" l="1"/>
  <c r="G132" i="1"/>
  <c r="S80" i="1" l="1"/>
  <c r="M169" i="1" l="1"/>
  <c r="M78" i="1"/>
  <c r="L126" i="1"/>
  <c r="L142" i="1"/>
  <c r="S101" i="1" l="1"/>
  <c r="C190" i="122" l="1"/>
  <c r="F55" i="68" l="1"/>
  <c r="M165" i="1"/>
  <c r="E189" i="121"/>
  <c r="E35" i="121"/>
  <c r="C189" i="121" l="1"/>
  <c r="F194" i="120" l="1"/>
  <c r="F194" i="121" l="1"/>
  <c r="F192" i="120"/>
  <c r="F195" i="120" l="1"/>
  <c r="E120" i="120" l="1"/>
  <c r="C190" i="120"/>
  <c r="E188" i="120"/>
  <c r="E132" i="120"/>
  <c r="E115" i="120"/>
  <c r="E105" i="120"/>
  <c r="E98" i="120"/>
  <c r="E85" i="120"/>
  <c r="E77" i="120"/>
  <c r="E61" i="120"/>
  <c r="E56" i="120"/>
  <c r="E41" i="120"/>
  <c r="E36" i="120"/>
  <c r="E190" i="120" l="1"/>
  <c r="I14" i="1"/>
  <c r="H21" i="1" l="1"/>
  <c r="L21" i="1"/>
  <c r="M21" i="1"/>
  <c r="M116" i="1"/>
  <c r="L116" i="1"/>
  <c r="L118" i="1" s="1"/>
  <c r="M118" i="1" l="1"/>
  <c r="Q116" i="1"/>
  <c r="Q118" i="1" s="1"/>
  <c r="S21" i="1"/>
  <c r="I123" i="1"/>
  <c r="I131" i="1" s="1"/>
  <c r="M171" i="1"/>
  <c r="M167" i="1"/>
  <c r="M168" i="1"/>
  <c r="M166" i="1"/>
  <c r="S116" i="1" l="1"/>
  <c r="F194" i="1"/>
  <c r="M48" i="1" l="1"/>
  <c r="L19" i="1"/>
  <c r="L150" i="1"/>
  <c r="E107" i="119" l="1"/>
  <c r="E186" i="119" l="1"/>
  <c r="E129" i="119"/>
  <c r="E117" i="119"/>
  <c r="E100" i="119"/>
  <c r="E87" i="119"/>
  <c r="E79" i="119"/>
  <c r="E62" i="119"/>
  <c r="E57" i="119"/>
  <c r="E42" i="119"/>
  <c r="E37" i="119"/>
  <c r="E188" i="119" l="1"/>
  <c r="C188" i="119"/>
  <c r="S130" i="1" l="1"/>
  <c r="I174" i="1" l="1"/>
  <c r="M59" i="1" l="1"/>
  <c r="C194" i="1" l="1"/>
  <c r="L90" i="1"/>
  <c r="M25" i="1"/>
  <c r="S25" i="1" s="1"/>
  <c r="L158" i="1"/>
  <c r="L69" i="1"/>
  <c r="L68" i="1"/>
  <c r="G67" i="1" l="1"/>
  <c r="H59" i="1" l="1"/>
  <c r="I59" i="1"/>
  <c r="K59" i="1"/>
  <c r="L59" i="1"/>
  <c r="O194" i="1" l="1"/>
  <c r="F188" i="115"/>
  <c r="G134" i="115"/>
  <c r="G136" i="115"/>
  <c r="G137" i="115"/>
  <c r="G138" i="115"/>
  <c r="G139" i="115"/>
  <c r="G140" i="115"/>
  <c r="G141" i="115"/>
  <c r="G145" i="115"/>
  <c r="G146" i="115"/>
  <c r="G147" i="115"/>
  <c r="G148" i="115"/>
  <c r="G149" i="115"/>
  <c r="G151" i="115"/>
  <c r="G152" i="115"/>
  <c r="G153" i="115"/>
  <c r="G154" i="115"/>
  <c r="G155" i="115"/>
  <c r="G156" i="115"/>
  <c r="G157" i="115"/>
  <c r="G158" i="115"/>
  <c r="G159" i="115"/>
  <c r="G160" i="115"/>
  <c r="G161" i="115"/>
  <c r="G162" i="115"/>
  <c r="G163" i="115"/>
  <c r="G164" i="115"/>
  <c r="G165" i="115"/>
  <c r="G166" i="115"/>
  <c r="G167" i="115"/>
  <c r="G168" i="115"/>
  <c r="G169" i="115"/>
  <c r="G170" i="115"/>
  <c r="G171" i="115"/>
  <c r="G172" i="115"/>
  <c r="G173" i="115"/>
  <c r="G174" i="115"/>
  <c r="G175" i="115"/>
  <c r="G176" i="115"/>
  <c r="G177" i="115"/>
  <c r="G178" i="115"/>
  <c r="G179" i="115"/>
  <c r="G180" i="115"/>
  <c r="G181" i="115"/>
  <c r="G182" i="115"/>
  <c r="G183" i="115"/>
  <c r="G184" i="115"/>
  <c r="G185" i="115"/>
  <c r="G186" i="115"/>
  <c r="G187" i="115"/>
  <c r="G133" i="115"/>
  <c r="F130" i="115"/>
  <c r="G120" i="115"/>
  <c r="G121" i="115"/>
  <c r="G122" i="115"/>
  <c r="G123" i="115"/>
  <c r="G125" i="115"/>
  <c r="G126" i="115"/>
  <c r="G127" i="115"/>
  <c r="G128" i="115"/>
  <c r="G129" i="115"/>
  <c r="G119" i="115"/>
  <c r="G111" i="115"/>
  <c r="G112" i="115"/>
  <c r="G113" i="115"/>
  <c r="G114" i="115"/>
  <c r="G115" i="115"/>
  <c r="G109" i="115"/>
  <c r="F116" i="115"/>
  <c r="G103" i="115"/>
  <c r="G104" i="115"/>
  <c r="G102" i="115"/>
  <c r="F106" i="115"/>
  <c r="F99" i="115"/>
  <c r="G99" i="115"/>
  <c r="G89" i="115"/>
  <c r="G90" i="115"/>
  <c r="G91" i="115"/>
  <c r="G92" i="115"/>
  <c r="G93" i="115"/>
  <c r="G94" i="115"/>
  <c r="G95" i="115"/>
  <c r="G96" i="115"/>
  <c r="G97" i="115"/>
  <c r="G98" i="115"/>
  <c r="G88" i="115"/>
  <c r="F85" i="115"/>
  <c r="G85" i="115"/>
  <c r="G81" i="115"/>
  <c r="G82" i="115"/>
  <c r="G83" i="115"/>
  <c r="G84" i="115"/>
  <c r="G80" i="115"/>
  <c r="F73" i="115"/>
  <c r="F77" i="115" s="1"/>
  <c r="G70" i="1"/>
  <c r="G65" i="115"/>
  <c r="G66" i="115"/>
  <c r="G67" i="115"/>
  <c r="G68" i="115"/>
  <c r="G69" i="115"/>
  <c r="G70" i="115"/>
  <c r="G71" i="115"/>
  <c r="G72" i="115"/>
  <c r="G74" i="115"/>
  <c r="G75" i="115"/>
  <c r="G76" i="115"/>
  <c r="G64" i="115"/>
  <c r="F60" i="115"/>
  <c r="F61" i="115" s="1"/>
  <c r="F57" i="115"/>
  <c r="G46" i="115"/>
  <c r="G47" i="115"/>
  <c r="G48" i="115"/>
  <c r="G53" i="115"/>
  <c r="G54" i="115"/>
  <c r="G55" i="115"/>
  <c r="G56" i="115"/>
  <c r="G45" i="115"/>
  <c r="G42" i="115"/>
  <c r="G41" i="115"/>
  <c r="G40" i="115"/>
  <c r="F42" i="115"/>
  <c r="F37" i="115"/>
  <c r="G8" i="115"/>
  <c r="G9" i="115"/>
  <c r="G10" i="115"/>
  <c r="G14" i="115"/>
  <c r="G15" i="115"/>
  <c r="G16" i="115"/>
  <c r="G17" i="115"/>
  <c r="G18" i="115"/>
  <c r="G20" i="115"/>
  <c r="G21" i="115"/>
  <c r="G22" i="115"/>
  <c r="G25" i="115"/>
  <c r="G26" i="115"/>
  <c r="G27" i="115"/>
  <c r="G28" i="115"/>
  <c r="G29" i="115"/>
  <c r="G30" i="115"/>
  <c r="G31" i="115"/>
  <c r="G32" i="115"/>
  <c r="G33" i="115"/>
  <c r="G34" i="115"/>
  <c r="G35" i="115"/>
  <c r="G36" i="115"/>
  <c r="H8" i="116"/>
  <c r="H9" i="116"/>
  <c r="H10" i="116"/>
  <c r="H15" i="116"/>
  <c r="H16" i="116"/>
  <c r="H18" i="116"/>
  <c r="H19" i="116"/>
  <c r="H20" i="116"/>
  <c r="H23" i="116"/>
  <c r="H24" i="116"/>
  <c r="H26" i="116"/>
  <c r="H27" i="116"/>
  <c r="H28" i="116"/>
  <c r="H29" i="116"/>
  <c r="H30" i="116"/>
  <c r="H31" i="116"/>
  <c r="H32" i="116"/>
  <c r="H34" i="116"/>
  <c r="H35" i="116"/>
  <c r="H36" i="116"/>
  <c r="H38" i="116"/>
  <c r="H39" i="116"/>
  <c r="H40" i="116"/>
  <c r="H43" i="116"/>
  <c r="H44" i="116"/>
  <c r="H45" i="116"/>
  <c r="H46" i="116"/>
  <c r="H47" i="116"/>
  <c r="H48" i="116"/>
  <c r="H50" i="116"/>
  <c r="H51" i="116"/>
  <c r="H52" i="116"/>
  <c r="H54" i="116"/>
  <c r="H55" i="116"/>
  <c r="H56" i="116"/>
  <c r="H58" i="116"/>
  <c r="H59" i="116"/>
  <c r="H60" i="116"/>
  <c r="H62" i="116"/>
  <c r="H63" i="116"/>
  <c r="H64" i="116"/>
  <c r="H65" i="116"/>
  <c r="H66" i="116"/>
  <c r="H68" i="116"/>
  <c r="H69" i="116"/>
  <c r="H71" i="116"/>
  <c r="H72" i="116"/>
  <c r="H73" i="116"/>
  <c r="H74" i="116"/>
  <c r="H75" i="116"/>
  <c r="H76" i="116"/>
  <c r="H78" i="116"/>
  <c r="H79" i="116"/>
  <c r="H80" i="116"/>
  <c r="H81" i="116"/>
  <c r="H82" i="116"/>
  <c r="H84" i="116"/>
  <c r="H86" i="116"/>
  <c r="H87" i="116"/>
  <c r="H88" i="116"/>
  <c r="H89" i="116"/>
  <c r="H92" i="116"/>
  <c r="H93" i="116"/>
  <c r="H94" i="116"/>
  <c r="H95" i="116"/>
  <c r="H96" i="116"/>
  <c r="H97" i="116"/>
  <c r="H98" i="116"/>
  <c r="H100" i="116"/>
  <c r="H101" i="116"/>
  <c r="H102" i="116"/>
  <c r="H104" i="116"/>
  <c r="H105" i="116"/>
  <c r="H107" i="116"/>
  <c r="H108" i="116"/>
  <c r="H109" i="116"/>
  <c r="H112" i="116"/>
  <c r="H113" i="116"/>
  <c r="H114" i="116"/>
  <c r="H115" i="116"/>
  <c r="H117" i="116"/>
  <c r="H118" i="116"/>
  <c r="H120" i="116"/>
  <c r="H123" i="116"/>
  <c r="H124" i="116"/>
  <c r="H127" i="116"/>
  <c r="H128" i="116"/>
  <c r="H131" i="116"/>
  <c r="H132" i="116"/>
  <c r="H133" i="116"/>
  <c r="H134" i="116"/>
  <c r="H138" i="116"/>
  <c r="H140" i="116"/>
  <c r="H141" i="116"/>
  <c r="H142" i="116"/>
  <c r="H145" i="116"/>
  <c r="H147" i="116"/>
  <c r="H148" i="116"/>
  <c r="H149" i="116"/>
  <c r="H150" i="116"/>
  <c r="H151" i="116"/>
  <c r="H153" i="116"/>
  <c r="H154" i="116"/>
  <c r="H161" i="116"/>
  <c r="H162" i="116"/>
  <c r="H163" i="116"/>
  <c r="H165" i="116"/>
  <c r="H166" i="116"/>
  <c r="H167" i="116"/>
  <c r="H168" i="116"/>
  <c r="H169" i="116"/>
  <c r="H170" i="116"/>
  <c r="H171" i="116"/>
  <c r="H172" i="116"/>
  <c r="H173" i="116"/>
  <c r="H174" i="116"/>
  <c r="H175" i="116"/>
  <c r="H176" i="116"/>
  <c r="H177" i="116"/>
  <c r="H178" i="116"/>
  <c r="H179" i="116"/>
  <c r="H180" i="116"/>
  <c r="H181" i="116"/>
  <c r="H182" i="116"/>
  <c r="H183" i="116"/>
  <c r="H184" i="116"/>
  <c r="H185" i="116"/>
  <c r="H186" i="116"/>
  <c r="H187" i="116"/>
  <c r="G164" i="116"/>
  <c r="H164" i="116" s="1"/>
  <c r="G160" i="116"/>
  <c r="G159" i="116"/>
  <c r="G158" i="116"/>
  <c r="G157" i="116"/>
  <c r="G156" i="116"/>
  <c r="G155" i="116"/>
  <c r="G146" i="116"/>
  <c r="G152" i="116" s="1"/>
  <c r="G143" i="116"/>
  <c r="G139" i="116"/>
  <c r="G144" i="116" s="1"/>
  <c r="G137" i="116"/>
  <c r="G136" i="116"/>
  <c r="G129" i="116"/>
  <c r="G126" i="116"/>
  <c r="G125" i="116"/>
  <c r="G122" i="116"/>
  <c r="G121" i="116"/>
  <c r="G119" i="116"/>
  <c r="G111" i="116"/>
  <c r="G103" i="116"/>
  <c r="G106" i="116" s="1"/>
  <c r="G91" i="116"/>
  <c r="G90" i="116"/>
  <c r="G83" i="116"/>
  <c r="G85" i="116" s="1"/>
  <c r="G70" i="116"/>
  <c r="G67" i="116"/>
  <c r="G61" i="116"/>
  <c r="G53" i="116"/>
  <c r="G57" i="116" s="1"/>
  <c r="G49" i="116"/>
  <c r="G41" i="116"/>
  <c r="G42" i="116" s="1"/>
  <c r="G33" i="116"/>
  <c r="G25" i="116"/>
  <c r="G22" i="116"/>
  <c r="G21" i="116"/>
  <c r="G17" i="116"/>
  <c r="G14" i="116"/>
  <c r="G13" i="116"/>
  <c r="G12" i="116"/>
  <c r="G7" i="116"/>
  <c r="G135" i="116" s="1"/>
  <c r="F152" i="116"/>
  <c r="F146" i="116"/>
  <c r="H146" i="116" s="1"/>
  <c r="F144" i="116"/>
  <c r="F143" i="116"/>
  <c r="F136" i="116"/>
  <c r="F137" i="116"/>
  <c r="F135" i="116"/>
  <c r="F126" i="116"/>
  <c r="H126" i="116" s="1"/>
  <c r="F125" i="116"/>
  <c r="F121" i="116"/>
  <c r="F122" i="116"/>
  <c r="F119" i="116"/>
  <c r="H119" i="116" s="1"/>
  <c r="F111" i="116"/>
  <c r="F110" i="116"/>
  <c r="F103" i="116"/>
  <c r="F106" i="116" s="1"/>
  <c r="F90" i="116"/>
  <c r="F83" i="116"/>
  <c r="F53" i="116"/>
  <c r="F49" i="116"/>
  <c r="H49" i="116" s="1"/>
  <c r="F17" i="116"/>
  <c r="H17" i="116" s="1"/>
  <c r="F14" i="116"/>
  <c r="C189" i="116"/>
  <c r="E187" i="116"/>
  <c r="E186" i="116"/>
  <c r="E175" i="116"/>
  <c r="E165" i="116"/>
  <c r="E164" i="116"/>
  <c r="E163" i="116"/>
  <c r="E162" i="116"/>
  <c r="E161" i="116"/>
  <c r="E160" i="116"/>
  <c r="F160" i="116" s="1"/>
  <c r="F159" i="116"/>
  <c r="H159" i="116" s="1"/>
  <c r="F158" i="116"/>
  <c r="F157" i="116"/>
  <c r="H157" i="116" s="1"/>
  <c r="F156" i="116"/>
  <c r="F155" i="116"/>
  <c r="H155" i="116" s="1"/>
  <c r="E155" i="116"/>
  <c r="E151" i="116"/>
  <c r="E149" i="116"/>
  <c r="E148" i="116"/>
  <c r="E141" i="116"/>
  <c r="E140" i="116"/>
  <c r="E139" i="116"/>
  <c r="F139" i="116" s="1"/>
  <c r="F129" i="116"/>
  <c r="H129" i="116" s="1"/>
  <c r="E129" i="116"/>
  <c r="E130" i="116" s="1"/>
  <c r="E128" i="116"/>
  <c r="E115" i="116"/>
  <c r="E113" i="116"/>
  <c r="E106" i="116"/>
  <c r="E98" i="116"/>
  <c r="E96" i="116"/>
  <c r="E91" i="116"/>
  <c r="F91" i="116" s="1"/>
  <c r="E85" i="116"/>
  <c r="E76" i="116"/>
  <c r="E75" i="116"/>
  <c r="E70" i="116"/>
  <c r="F70" i="116" s="1"/>
  <c r="E69" i="116"/>
  <c r="F67" i="116"/>
  <c r="H67" i="116" s="1"/>
  <c r="F61" i="116"/>
  <c r="E61" i="116"/>
  <c r="E56" i="116"/>
  <c r="E55" i="116"/>
  <c r="E54" i="116"/>
  <c r="E42" i="116"/>
  <c r="F41" i="116"/>
  <c r="F42" i="116" s="1"/>
  <c r="E36" i="116"/>
  <c r="E35" i="116"/>
  <c r="E34" i="116"/>
  <c r="F33" i="116"/>
  <c r="H33" i="116" s="1"/>
  <c r="E29" i="116"/>
  <c r="E28" i="116"/>
  <c r="F25" i="116"/>
  <c r="H25" i="116" s="1"/>
  <c r="E25" i="116"/>
  <c r="E22" i="116"/>
  <c r="F22" i="116" s="1"/>
  <c r="H22" i="116" s="1"/>
  <c r="E21" i="116"/>
  <c r="F21" i="116" s="1"/>
  <c r="E13" i="116"/>
  <c r="F13" i="116" s="1"/>
  <c r="H13" i="116" s="1"/>
  <c r="E12" i="116"/>
  <c r="F12" i="116" s="1"/>
  <c r="H12" i="116" s="1"/>
  <c r="E11" i="116"/>
  <c r="F11" i="116" s="1"/>
  <c r="E9" i="116"/>
  <c r="E8" i="116"/>
  <c r="E7" i="116"/>
  <c r="F7" i="116" s="1"/>
  <c r="E3" i="116"/>
  <c r="C189" i="115"/>
  <c r="E187" i="115"/>
  <c r="E186" i="115"/>
  <c r="E185" i="115"/>
  <c r="E184" i="115"/>
  <c r="E183" i="115"/>
  <c r="E182" i="115"/>
  <c r="E181" i="115"/>
  <c r="E180" i="115"/>
  <c r="E179" i="115"/>
  <c r="E178" i="115"/>
  <c r="E177" i="115"/>
  <c r="E176" i="115"/>
  <c r="E175" i="115"/>
  <c r="E174" i="115"/>
  <c r="E173" i="115"/>
  <c r="E165" i="115"/>
  <c r="E164" i="115"/>
  <c r="E163" i="115"/>
  <c r="E162" i="115"/>
  <c r="E161" i="115"/>
  <c r="E160" i="115"/>
  <c r="E159" i="115"/>
  <c r="E158" i="115"/>
  <c r="E157" i="115"/>
  <c r="E156" i="115"/>
  <c r="E155" i="115"/>
  <c r="E154" i="115"/>
  <c r="E153" i="115"/>
  <c r="E150" i="115"/>
  <c r="G150" i="115" s="1"/>
  <c r="E149" i="115"/>
  <c r="E148" i="115"/>
  <c r="E147" i="115"/>
  <c r="E146" i="115"/>
  <c r="E145" i="115"/>
  <c r="E144" i="115"/>
  <c r="G144" i="115" s="1"/>
  <c r="E143" i="115"/>
  <c r="G143" i="115" s="1"/>
  <c r="E142" i="115"/>
  <c r="G142" i="115" s="1"/>
  <c r="E141" i="115"/>
  <c r="E140" i="115"/>
  <c r="E139" i="115"/>
  <c r="E138" i="115"/>
  <c r="E137" i="115"/>
  <c r="E136" i="115"/>
  <c r="E135" i="115"/>
  <c r="G135" i="115" s="1"/>
  <c r="G188" i="115" s="1"/>
  <c r="E133" i="115"/>
  <c r="E129" i="115"/>
  <c r="E128" i="115"/>
  <c r="E127" i="115"/>
  <c r="E126" i="115"/>
  <c r="E125" i="115"/>
  <c r="E124" i="115"/>
  <c r="G124" i="115" s="1"/>
  <c r="G130" i="115" s="1"/>
  <c r="E123" i="115"/>
  <c r="E122" i="115"/>
  <c r="E121" i="115"/>
  <c r="E120" i="115"/>
  <c r="E119" i="115"/>
  <c r="E115" i="115"/>
  <c r="E114" i="115"/>
  <c r="E113" i="115"/>
  <c r="E112" i="115"/>
  <c r="E111" i="115"/>
  <c r="E110" i="115"/>
  <c r="G110" i="115" s="1"/>
  <c r="E109" i="115"/>
  <c r="E105" i="115"/>
  <c r="G105" i="115" s="1"/>
  <c r="E104" i="115"/>
  <c r="E103" i="115"/>
  <c r="E102" i="115"/>
  <c r="E98" i="115"/>
  <c r="E96" i="115"/>
  <c r="E95" i="115"/>
  <c r="E94" i="115"/>
  <c r="E93" i="115"/>
  <c r="E92" i="115"/>
  <c r="E91" i="115"/>
  <c r="E90" i="115"/>
  <c r="E89" i="115"/>
  <c r="E88" i="115"/>
  <c r="E84" i="115"/>
  <c r="E82" i="115"/>
  <c r="E81" i="115"/>
  <c r="E80" i="115"/>
  <c r="E76" i="115"/>
  <c r="E75" i="115"/>
  <c r="E74" i="115"/>
  <c r="E73" i="115"/>
  <c r="E72" i="115"/>
  <c r="E71" i="115"/>
  <c r="E67" i="115"/>
  <c r="E66" i="115"/>
  <c r="E64" i="115"/>
  <c r="E60" i="115"/>
  <c r="E61" i="115" s="1"/>
  <c r="E56" i="115"/>
  <c r="E55" i="115"/>
  <c r="E54" i="115"/>
  <c r="E53" i="115"/>
  <c r="E52" i="115"/>
  <c r="G52" i="115" s="1"/>
  <c r="E51" i="115"/>
  <c r="G51" i="115" s="1"/>
  <c r="E50" i="115"/>
  <c r="G50" i="115" s="1"/>
  <c r="E49" i="115"/>
  <c r="G49" i="115" s="1"/>
  <c r="E48" i="115"/>
  <c r="E47" i="115"/>
  <c r="E46" i="115"/>
  <c r="E45" i="115"/>
  <c r="E41" i="115"/>
  <c r="E40" i="115"/>
  <c r="E36" i="115"/>
  <c r="E35" i="115"/>
  <c r="E34" i="115"/>
  <c r="E32" i="115"/>
  <c r="E31" i="115"/>
  <c r="E30" i="115"/>
  <c r="E28" i="115"/>
  <c r="E26" i="115"/>
  <c r="E25" i="115"/>
  <c r="E24" i="115"/>
  <c r="G24" i="115" s="1"/>
  <c r="E23" i="115"/>
  <c r="G23" i="115" s="1"/>
  <c r="E22" i="115"/>
  <c r="E21" i="115"/>
  <c r="E20" i="115"/>
  <c r="E19" i="115"/>
  <c r="G19" i="115" s="1"/>
  <c r="E18" i="115"/>
  <c r="E17" i="115"/>
  <c r="E16" i="115"/>
  <c r="E15" i="115"/>
  <c r="E14" i="115"/>
  <c r="E13" i="115"/>
  <c r="G13" i="115" s="1"/>
  <c r="E12" i="115"/>
  <c r="G12" i="115" s="1"/>
  <c r="E11" i="115"/>
  <c r="G11" i="115" s="1"/>
  <c r="E10" i="115"/>
  <c r="E9" i="115"/>
  <c r="E8" i="115"/>
  <c r="E7" i="115"/>
  <c r="G7" i="115" s="1"/>
  <c r="G37" i="115" s="1"/>
  <c r="E6" i="115"/>
  <c r="H122" i="116" l="1"/>
  <c r="H90" i="116"/>
  <c r="H70" i="116"/>
  <c r="H152" i="116"/>
  <c r="H91" i="116"/>
  <c r="G99" i="116"/>
  <c r="H111" i="116"/>
  <c r="H103" i="116"/>
  <c r="H106" i="116"/>
  <c r="G61" i="115"/>
  <c r="F189" i="115"/>
  <c r="G60" i="115"/>
  <c r="G73" i="115"/>
  <c r="G77" i="115" s="1"/>
  <c r="G116" i="115"/>
  <c r="G106" i="115"/>
  <c r="G57" i="115"/>
  <c r="E106" i="115"/>
  <c r="E57" i="115"/>
  <c r="E37" i="115"/>
  <c r="E130" i="115"/>
  <c r="H53" i="116"/>
  <c r="H143" i="116"/>
  <c r="H160" i="116"/>
  <c r="H83" i="116"/>
  <c r="H125" i="116"/>
  <c r="G188" i="116"/>
  <c r="H156" i="116"/>
  <c r="H21" i="116"/>
  <c r="H61" i="116"/>
  <c r="H14" i="116"/>
  <c r="H137" i="116"/>
  <c r="H139" i="116"/>
  <c r="H42" i="116"/>
  <c r="F37" i="116"/>
  <c r="H7" i="116"/>
  <c r="F188" i="116"/>
  <c r="G11" i="116"/>
  <c r="H11" i="116" s="1"/>
  <c r="H158" i="116"/>
  <c r="E37" i="116"/>
  <c r="F57" i="116"/>
  <c r="H57" i="116" s="1"/>
  <c r="E116" i="116"/>
  <c r="H135" i="116"/>
  <c r="F77" i="116"/>
  <c r="H121" i="116"/>
  <c r="H41" i="116"/>
  <c r="G77" i="116"/>
  <c r="G130" i="116"/>
  <c r="H144" i="116"/>
  <c r="H136" i="116"/>
  <c r="G110" i="116"/>
  <c r="G116" i="116" s="1"/>
  <c r="E57" i="116"/>
  <c r="F130" i="116"/>
  <c r="F85" i="116"/>
  <c r="F99" i="116"/>
  <c r="F116" i="116"/>
  <c r="E99" i="116"/>
  <c r="E188" i="116"/>
  <c r="E77" i="116"/>
  <c r="E42" i="115"/>
  <c r="E85" i="115"/>
  <c r="E99" i="115"/>
  <c r="E77" i="115"/>
  <c r="E116" i="115"/>
  <c r="E188" i="115"/>
  <c r="H99" i="116" l="1"/>
  <c r="H188" i="116"/>
  <c r="H77" i="116"/>
  <c r="G37" i="116"/>
  <c r="H37" i="116" s="1"/>
  <c r="G189" i="115"/>
  <c r="E189" i="115"/>
  <c r="H116" i="116"/>
  <c r="H110" i="116"/>
  <c r="F189" i="116"/>
  <c r="H85" i="116"/>
  <c r="H130" i="116"/>
  <c r="G189" i="116" l="1"/>
  <c r="H189" i="116" s="1"/>
  <c r="C191" i="113" l="1"/>
  <c r="F190" i="113"/>
  <c r="E190" i="113"/>
  <c r="G135" i="113"/>
  <c r="E135" i="113"/>
  <c r="G134" i="113"/>
  <c r="G190" i="113" s="1"/>
  <c r="G191" i="113" s="1"/>
  <c r="E134" i="113"/>
  <c r="G131" i="113"/>
  <c r="F131" i="113"/>
  <c r="E131" i="113"/>
  <c r="G117" i="113"/>
  <c r="F117" i="113"/>
  <c r="E117" i="113"/>
  <c r="G107" i="113"/>
  <c r="F107" i="113"/>
  <c r="E107" i="113"/>
  <c r="G100" i="113"/>
  <c r="F100" i="113"/>
  <c r="E100" i="113"/>
  <c r="F96" i="113"/>
  <c r="E96" i="113"/>
  <c r="G86" i="113"/>
  <c r="F86" i="113"/>
  <c r="G83" i="113"/>
  <c r="E83" i="113"/>
  <c r="E86" i="113" s="1"/>
  <c r="G78" i="113"/>
  <c r="F78" i="113"/>
  <c r="E78" i="113"/>
  <c r="G66" i="113"/>
  <c r="E66" i="113"/>
  <c r="G65" i="113"/>
  <c r="E65" i="113"/>
  <c r="G62" i="113"/>
  <c r="F62" i="113"/>
  <c r="F191" i="113" s="1"/>
  <c r="G61" i="113"/>
  <c r="E61" i="113"/>
  <c r="E62" i="113" s="1"/>
  <c r="G58" i="113"/>
  <c r="F58" i="113"/>
  <c r="E58" i="113"/>
  <c r="G43" i="113"/>
  <c r="F43" i="113"/>
  <c r="E43" i="113"/>
  <c r="F38" i="113"/>
  <c r="G9" i="113"/>
  <c r="E9" i="113"/>
  <c r="G8" i="113"/>
  <c r="G38" i="113" s="1"/>
  <c r="E8" i="113"/>
  <c r="E38" i="113" s="1"/>
  <c r="E191" i="113" l="1"/>
  <c r="C191" i="110" l="1"/>
  <c r="F96" i="110"/>
  <c r="F43" i="110" l="1"/>
  <c r="G43" i="110"/>
  <c r="F38" i="110"/>
  <c r="F86" i="110"/>
  <c r="G8" i="110"/>
  <c r="G9" i="110"/>
  <c r="F58" i="110"/>
  <c r="G58" i="110"/>
  <c r="G61" i="110"/>
  <c r="G62" i="110" s="1"/>
  <c r="F62" i="110"/>
  <c r="G65" i="110"/>
  <c r="F78" i="110"/>
  <c r="G66" i="110"/>
  <c r="G83" i="110"/>
  <c r="G86" i="110" s="1"/>
  <c r="F100" i="110"/>
  <c r="G100" i="110"/>
  <c r="F107" i="110"/>
  <c r="G107" i="110"/>
  <c r="F117" i="110"/>
  <c r="G117" i="110"/>
  <c r="F131" i="110"/>
  <c r="G131" i="110"/>
  <c r="F190" i="110"/>
  <c r="G134" i="110"/>
  <c r="G190" i="110" s="1"/>
  <c r="G135" i="110"/>
  <c r="E135" i="110"/>
  <c r="E134" i="110"/>
  <c r="E190" i="110" s="1"/>
  <c r="E131" i="110"/>
  <c r="E117" i="110"/>
  <c r="E107" i="110"/>
  <c r="E96" i="110"/>
  <c r="E100" i="110" s="1"/>
  <c r="E83" i="110"/>
  <c r="E86" i="110" s="1"/>
  <c r="E66" i="110"/>
  <c r="E65" i="110"/>
  <c r="E78" i="110" s="1"/>
  <c r="E61" i="110"/>
  <c r="E62" i="110" s="1"/>
  <c r="E58" i="110"/>
  <c r="E43" i="110"/>
  <c r="E38" i="110"/>
  <c r="E9" i="110"/>
  <c r="E8" i="110"/>
  <c r="E191" i="110" l="1"/>
  <c r="G38" i="110"/>
  <c r="G78" i="110"/>
  <c r="F191" i="110"/>
  <c r="H158" i="1"/>
  <c r="G53" i="1"/>
  <c r="G191" i="110" l="1"/>
  <c r="L177" i="1"/>
  <c r="L183" i="1"/>
  <c r="L186" i="1"/>
  <c r="L173" i="1"/>
  <c r="L185" i="1"/>
  <c r="L178" i="1"/>
  <c r="L180" i="1"/>
  <c r="L179" i="1"/>
  <c r="L171" i="1"/>
  <c r="L170" i="1"/>
  <c r="L163" i="1"/>
  <c r="L175" i="1"/>
  <c r="L168" i="1"/>
  <c r="L166" i="1"/>
  <c r="L167" i="1"/>
  <c r="L164" i="1"/>
  <c r="L160" i="1"/>
  <c r="L165" i="1"/>
  <c r="L172" i="1"/>
  <c r="L169" i="1"/>
  <c r="L162" i="1"/>
  <c r="S53" i="1" l="1"/>
  <c r="S158" i="1"/>
  <c r="M13" i="1" l="1"/>
  <c r="L13" i="1"/>
  <c r="H172" i="1" l="1"/>
  <c r="H171" i="1"/>
  <c r="H170" i="1"/>
  <c r="H169" i="1"/>
  <c r="H168" i="1"/>
  <c r="H167" i="1"/>
  <c r="H39" i="1"/>
  <c r="H26" i="1"/>
  <c r="H153" i="1"/>
  <c r="H154" i="1"/>
  <c r="H152" i="1"/>
  <c r="H155" i="1" l="1"/>
  <c r="F52" i="68" l="1"/>
  <c r="F57" i="68"/>
  <c r="F56" i="68"/>
  <c r="F54" i="68"/>
  <c r="F53" i="68"/>
  <c r="F51" i="68"/>
  <c r="F50" i="68"/>
  <c r="F49" i="68"/>
  <c r="F48" i="68"/>
  <c r="F47" i="68"/>
  <c r="F46" i="68"/>
  <c r="H136" i="1"/>
  <c r="G106" i="1"/>
  <c r="H98" i="1"/>
  <c r="H11" i="1"/>
  <c r="G47" i="1"/>
  <c r="L20" i="1" l="1"/>
  <c r="L65" i="1" l="1"/>
  <c r="L149" i="1" l="1"/>
  <c r="H30" i="68"/>
  <c r="H31" i="1" l="1"/>
  <c r="M67" i="1"/>
  <c r="M108" i="1"/>
  <c r="L127" i="1"/>
  <c r="M121" i="1"/>
  <c r="L121" i="1"/>
  <c r="L91" i="1"/>
  <c r="E3" i="1" l="1"/>
  <c r="E43" i="87" l="1"/>
  <c r="F42" i="87"/>
  <c r="G42" i="87" s="1"/>
  <c r="E63" i="87"/>
  <c r="F62" i="87"/>
  <c r="G62" i="87" s="1"/>
  <c r="G44" i="87"/>
  <c r="G45" i="87"/>
  <c r="G49" i="87"/>
  <c r="G50" i="87"/>
  <c r="G64" i="87"/>
  <c r="G65" i="87"/>
  <c r="G69" i="87"/>
  <c r="G70" i="87"/>
  <c r="G72" i="87"/>
  <c r="G75" i="87"/>
  <c r="G76" i="87"/>
  <c r="G77" i="87"/>
  <c r="G85" i="87"/>
  <c r="G86" i="87"/>
  <c r="G92" i="87"/>
  <c r="G93" i="87"/>
  <c r="G107" i="87"/>
  <c r="G108" i="87"/>
  <c r="G114" i="87"/>
  <c r="G115" i="87"/>
  <c r="G124" i="87"/>
  <c r="G125" i="87"/>
  <c r="G138" i="87"/>
  <c r="G139" i="87"/>
  <c r="G140" i="87"/>
  <c r="G144" i="87"/>
  <c r="F10" i="87"/>
  <c r="G10" i="87" s="1"/>
  <c r="C199" i="87"/>
  <c r="F197" i="87"/>
  <c r="G197" i="87" s="1"/>
  <c r="F196" i="87"/>
  <c r="G196" i="87" s="1"/>
  <c r="F195" i="87"/>
  <c r="G195" i="87" s="1"/>
  <c r="F194" i="87"/>
  <c r="G194" i="87" s="1"/>
  <c r="F193" i="87"/>
  <c r="G193" i="87" s="1"/>
  <c r="F192" i="87"/>
  <c r="G192" i="87" s="1"/>
  <c r="F191" i="87"/>
  <c r="G191" i="87" s="1"/>
  <c r="F190" i="87"/>
  <c r="G190" i="87" s="1"/>
  <c r="F189" i="87"/>
  <c r="G189" i="87" s="1"/>
  <c r="F188" i="87"/>
  <c r="G188" i="87" s="1"/>
  <c r="F187" i="87"/>
  <c r="G187" i="87" s="1"/>
  <c r="F186" i="87"/>
  <c r="G186" i="87" s="1"/>
  <c r="F185" i="87"/>
  <c r="G185" i="87" s="1"/>
  <c r="F184" i="87"/>
  <c r="G184" i="87" s="1"/>
  <c r="F183" i="87"/>
  <c r="G183" i="87" s="1"/>
  <c r="F182" i="87"/>
  <c r="G182" i="87" s="1"/>
  <c r="F181" i="87"/>
  <c r="G181" i="87" s="1"/>
  <c r="F180" i="87"/>
  <c r="G180" i="87" s="1"/>
  <c r="F179" i="87"/>
  <c r="G179" i="87" s="1"/>
  <c r="F178" i="87"/>
  <c r="G178" i="87" s="1"/>
  <c r="F177" i="87"/>
  <c r="G177" i="87" s="1"/>
  <c r="F176" i="87"/>
  <c r="G176" i="87" s="1"/>
  <c r="F175" i="87"/>
  <c r="G175" i="87" s="1"/>
  <c r="F174" i="87"/>
  <c r="G174" i="87" s="1"/>
  <c r="F173" i="87"/>
  <c r="G173" i="87" s="1"/>
  <c r="F172" i="87"/>
  <c r="G172" i="87" s="1"/>
  <c r="F171" i="87"/>
  <c r="G171" i="87" s="1"/>
  <c r="F170" i="87"/>
  <c r="G170" i="87" s="1"/>
  <c r="F169" i="87"/>
  <c r="G169" i="87" s="1"/>
  <c r="F168" i="87"/>
  <c r="G168" i="87" s="1"/>
  <c r="F167" i="87"/>
  <c r="G167" i="87" s="1"/>
  <c r="F166" i="87"/>
  <c r="G166" i="87" s="1"/>
  <c r="F165" i="87"/>
  <c r="G165" i="87" s="1"/>
  <c r="F164" i="87"/>
  <c r="G164" i="87" s="1"/>
  <c r="F163" i="87"/>
  <c r="G163" i="87" s="1"/>
  <c r="F162" i="87"/>
  <c r="G162" i="87" s="1"/>
  <c r="F161" i="87"/>
  <c r="G161" i="87" s="1"/>
  <c r="F160" i="87"/>
  <c r="G160" i="87" s="1"/>
  <c r="F159" i="87"/>
  <c r="G159" i="87" s="1"/>
  <c r="F158" i="87"/>
  <c r="G158" i="87" s="1"/>
  <c r="F157" i="87"/>
  <c r="G157" i="87" s="1"/>
  <c r="F156" i="87"/>
  <c r="G156" i="87" s="1"/>
  <c r="F155" i="87"/>
  <c r="G155" i="87" s="1"/>
  <c r="F154" i="87"/>
  <c r="G154" i="87" s="1"/>
  <c r="F153" i="87"/>
  <c r="G153" i="87" s="1"/>
  <c r="F152" i="87"/>
  <c r="G152" i="87" s="1"/>
  <c r="F151" i="87"/>
  <c r="G151" i="87" s="1"/>
  <c r="F150" i="87"/>
  <c r="G150" i="87" s="1"/>
  <c r="F149" i="87"/>
  <c r="G149" i="87" s="1"/>
  <c r="F148" i="87"/>
  <c r="G148" i="87" s="1"/>
  <c r="F147" i="87"/>
  <c r="G147" i="87" s="1"/>
  <c r="F146" i="87"/>
  <c r="G146" i="87" s="1"/>
  <c r="F145" i="87"/>
  <c r="G145" i="87" s="1"/>
  <c r="F143" i="87"/>
  <c r="G143" i="87" s="1"/>
  <c r="F142" i="87"/>
  <c r="G142" i="87" s="1"/>
  <c r="F141" i="87"/>
  <c r="G141" i="87" s="1"/>
  <c r="F136" i="87"/>
  <c r="G136" i="87" s="1"/>
  <c r="F135" i="87"/>
  <c r="G135" i="87" s="1"/>
  <c r="F134" i="87"/>
  <c r="G134" i="87" s="1"/>
  <c r="F133" i="87"/>
  <c r="G133" i="87" s="1"/>
  <c r="F132" i="87"/>
  <c r="G132" i="87" s="1"/>
  <c r="F131" i="87"/>
  <c r="G131" i="87" s="1"/>
  <c r="F130" i="87"/>
  <c r="G130" i="87" s="1"/>
  <c r="F129" i="87"/>
  <c r="G129" i="87" s="1"/>
  <c r="F128" i="87"/>
  <c r="G128" i="87" s="1"/>
  <c r="F127" i="87"/>
  <c r="G127" i="87" s="1"/>
  <c r="F126" i="87"/>
  <c r="G126" i="87" s="1"/>
  <c r="F122" i="87"/>
  <c r="G122" i="87" s="1"/>
  <c r="F121" i="87"/>
  <c r="G121" i="87" s="1"/>
  <c r="F120" i="87"/>
  <c r="G120" i="87" s="1"/>
  <c r="F119" i="87"/>
  <c r="G119" i="87" s="1"/>
  <c r="F118" i="87"/>
  <c r="G118" i="87" s="1"/>
  <c r="F117" i="87"/>
  <c r="G117" i="87" s="1"/>
  <c r="F116" i="87"/>
  <c r="G116" i="87" s="1"/>
  <c r="F112" i="87"/>
  <c r="G112" i="87" s="1"/>
  <c r="F111" i="87"/>
  <c r="G111" i="87" s="1"/>
  <c r="F110" i="87"/>
  <c r="G110" i="87" s="1"/>
  <c r="F109" i="87"/>
  <c r="G109" i="87" s="1"/>
  <c r="F105" i="87"/>
  <c r="G105" i="87" s="1"/>
  <c r="F104" i="87"/>
  <c r="G104" i="87" s="1"/>
  <c r="F103" i="87"/>
  <c r="G103" i="87" s="1"/>
  <c r="F102" i="87"/>
  <c r="G102" i="87" s="1"/>
  <c r="F101" i="87"/>
  <c r="G101" i="87" s="1"/>
  <c r="F100" i="87"/>
  <c r="G100" i="87" s="1"/>
  <c r="F99" i="87"/>
  <c r="G99" i="87" s="1"/>
  <c r="F98" i="87"/>
  <c r="G98" i="87" s="1"/>
  <c r="F97" i="87"/>
  <c r="G97" i="87" s="1"/>
  <c r="F96" i="87"/>
  <c r="G96" i="87" s="1"/>
  <c r="F95" i="87"/>
  <c r="G95" i="87" s="1"/>
  <c r="F94" i="87"/>
  <c r="G94" i="87" s="1"/>
  <c r="F90" i="87"/>
  <c r="G90" i="87" s="1"/>
  <c r="F89" i="87"/>
  <c r="G89" i="87" s="1"/>
  <c r="F88" i="87"/>
  <c r="G88" i="87" s="1"/>
  <c r="F87" i="87"/>
  <c r="F83" i="87"/>
  <c r="G83" i="87" s="1"/>
  <c r="F82" i="87"/>
  <c r="G82" i="87" s="1"/>
  <c r="F81" i="87"/>
  <c r="G81" i="87" s="1"/>
  <c r="F80" i="87"/>
  <c r="G80" i="87" s="1"/>
  <c r="F79" i="87"/>
  <c r="G79" i="87" s="1"/>
  <c r="F78" i="87"/>
  <c r="G78" i="87" s="1"/>
  <c r="F74" i="87"/>
  <c r="G74" i="87" s="1"/>
  <c r="F73" i="87"/>
  <c r="G73" i="87" s="1"/>
  <c r="F71" i="87"/>
  <c r="G71" i="87" s="1"/>
  <c r="F67" i="87"/>
  <c r="G67" i="87" s="1"/>
  <c r="F66" i="87"/>
  <c r="G66" i="87" s="1"/>
  <c r="F61" i="87"/>
  <c r="G61" i="87" s="1"/>
  <c r="F60" i="87"/>
  <c r="G60" i="87" s="1"/>
  <c r="F59" i="87"/>
  <c r="G59" i="87" s="1"/>
  <c r="F58" i="87"/>
  <c r="G58" i="87" s="1"/>
  <c r="F57" i="87"/>
  <c r="G57" i="87" s="1"/>
  <c r="F56" i="87"/>
  <c r="G56" i="87" s="1"/>
  <c r="F55" i="87"/>
  <c r="G55" i="87" s="1"/>
  <c r="F54" i="87"/>
  <c r="G54" i="87" s="1"/>
  <c r="F53" i="87"/>
  <c r="G53" i="87" s="1"/>
  <c r="F52" i="87"/>
  <c r="G52" i="87" s="1"/>
  <c r="F51" i="87"/>
  <c r="G51" i="87" s="1"/>
  <c r="F47" i="87"/>
  <c r="G47" i="87" s="1"/>
  <c r="F46" i="87"/>
  <c r="G46" i="87" s="1"/>
  <c r="F41" i="87"/>
  <c r="G41" i="87" s="1"/>
  <c r="F40" i="87"/>
  <c r="G40" i="87" s="1"/>
  <c r="F39" i="87"/>
  <c r="G39" i="87" s="1"/>
  <c r="F38" i="87"/>
  <c r="G38" i="87" s="1"/>
  <c r="F37" i="87"/>
  <c r="G37" i="87" s="1"/>
  <c r="F36" i="87"/>
  <c r="G36" i="87" s="1"/>
  <c r="F35" i="87"/>
  <c r="G35" i="87" s="1"/>
  <c r="F34" i="87"/>
  <c r="G34" i="87" s="1"/>
  <c r="F33" i="87"/>
  <c r="G33" i="87" s="1"/>
  <c r="F32" i="87"/>
  <c r="G32" i="87" s="1"/>
  <c r="F31" i="87"/>
  <c r="G31" i="87" s="1"/>
  <c r="F30" i="87"/>
  <c r="G30" i="87" s="1"/>
  <c r="F29" i="87"/>
  <c r="G29" i="87" s="1"/>
  <c r="F28" i="87"/>
  <c r="G28" i="87" s="1"/>
  <c r="F27" i="87"/>
  <c r="G27" i="87" s="1"/>
  <c r="F26" i="87"/>
  <c r="G26" i="87" s="1"/>
  <c r="F25" i="87"/>
  <c r="G25" i="87" s="1"/>
  <c r="F24" i="87"/>
  <c r="G24" i="87" s="1"/>
  <c r="F23" i="87"/>
  <c r="G23" i="87" s="1"/>
  <c r="F22" i="87"/>
  <c r="G22" i="87" s="1"/>
  <c r="F21" i="87"/>
  <c r="G21" i="87" s="1"/>
  <c r="F20" i="87"/>
  <c r="G20" i="87" s="1"/>
  <c r="F19" i="87"/>
  <c r="G19" i="87" s="1"/>
  <c r="F18" i="87"/>
  <c r="G18" i="87" s="1"/>
  <c r="F17" i="87"/>
  <c r="G17" i="87" s="1"/>
  <c r="F16" i="87"/>
  <c r="G16" i="87" s="1"/>
  <c r="F15" i="87"/>
  <c r="G15" i="87" s="1"/>
  <c r="F14" i="87"/>
  <c r="G14" i="87" s="1"/>
  <c r="F13" i="87"/>
  <c r="G13" i="87" s="1"/>
  <c r="F12" i="87"/>
  <c r="G12" i="87" s="1"/>
  <c r="F11" i="87"/>
  <c r="G11" i="87" s="1"/>
  <c r="F9" i="87"/>
  <c r="G9" i="87" s="1"/>
  <c r="G63" i="87" l="1"/>
  <c r="F63" i="87"/>
  <c r="F68" i="87"/>
  <c r="G68" i="87" s="1"/>
  <c r="F91" i="87"/>
  <c r="G91" i="87" s="1"/>
  <c r="G87" i="87"/>
  <c r="F113" i="87"/>
  <c r="G113" i="87" s="1"/>
  <c r="F106" i="87"/>
  <c r="G106" i="87" s="1"/>
  <c r="F137" i="87"/>
  <c r="G137" i="87" s="1"/>
  <c r="F43" i="87"/>
  <c r="G43" i="87" s="1"/>
  <c r="F48" i="87"/>
  <c r="G48" i="87" s="1"/>
  <c r="F84" i="87"/>
  <c r="G84" i="87" s="1"/>
  <c r="F123" i="87"/>
  <c r="G123" i="87" s="1"/>
  <c r="F198" i="87"/>
  <c r="G198" i="87" s="1"/>
  <c r="F199" i="87" l="1"/>
  <c r="G199" i="87" s="1"/>
  <c r="M177" i="1" l="1"/>
  <c r="M160" i="1"/>
  <c r="M153" i="1"/>
  <c r="L129" i="1"/>
  <c r="L125" i="1"/>
  <c r="M124" i="1"/>
  <c r="M43" i="1"/>
  <c r="M20" i="1"/>
  <c r="M63" i="1" l="1"/>
  <c r="L63" i="1"/>
  <c r="H160" i="1" l="1"/>
  <c r="S160" i="1" l="1"/>
  <c r="H128" i="1" l="1"/>
  <c r="S128" i="1" l="1"/>
  <c r="M154" i="1"/>
  <c r="M127" i="1"/>
  <c r="L38" i="1"/>
  <c r="M28" i="1"/>
  <c r="K37" i="1" l="1"/>
  <c r="H129" i="1"/>
  <c r="K40" i="1" l="1"/>
  <c r="S129" i="1"/>
  <c r="K194" i="1" l="1"/>
  <c r="H151" i="1"/>
  <c r="G52" i="1"/>
  <c r="E58" i="68" l="1"/>
  <c r="M176" i="1"/>
  <c r="M162" i="1"/>
  <c r="L70" i="1"/>
  <c r="S52" i="1" l="1"/>
  <c r="S93" i="1"/>
  <c r="S151" i="1"/>
  <c r="H32" i="1" l="1"/>
  <c r="M122" i="1" l="1"/>
  <c r="L122" i="1"/>
  <c r="L8" i="1"/>
  <c r="G20" i="1" l="1"/>
  <c r="S94" i="1"/>
  <c r="D39" i="61" l="1"/>
  <c r="D38" i="61"/>
  <c r="D37" i="61"/>
  <c r="H150" i="1"/>
  <c r="G91" i="1"/>
  <c r="G69" i="1"/>
  <c r="G68" i="1"/>
  <c r="G51" i="1"/>
  <c r="S91" i="1" l="1"/>
  <c r="S51" i="1"/>
  <c r="S38" i="1"/>
  <c r="S68" i="1"/>
  <c r="S69" i="1"/>
  <c r="H9" i="1" l="1"/>
  <c r="M142" i="1" l="1"/>
  <c r="M137" i="1"/>
  <c r="L88" i="1"/>
  <c r="M106" i="1" l="1"/>
  <c r="M107" i="1"/>
  <c r="M87" i="1" l="1"/>
  <c r="L86" i="1"/>
  <c r="M181" i="1" l="1"/>
  <c r="L153" i="1"/>
  <c r="M186" i="1"/>
  <c r="M77" i="1"/>
  <c r="U187" i="78" l="1"/>
  <c r="T188" i="78" l="1"/>
  <c r="U39" i="78"/>
  <c r="F27" i="78" l="1"/>
  <c r="F71" i="78"/>
  <c r="L29" i="1"/>
  <c r="L157" i="1"/>
  <c r="L77" i="1"/>
  <c r="D49" i="61" l="1"/>
  <c r="F164" i="78"/>
  <c r="F163" i="78"/>
  <c r="F162" i="78"/>
  <c r="F161" i="78"/>
  <c r="F160" i="78"/>
  <c r="F159" i="78"/>
  <c r="F158" i="78"/>
  <c r="D27" i="61" l="1"/>
  <c r="F143" i="78"/>
  <c r="F142" i="78"/>
  <c r="F141" i="78"/>
  <c r="Y10" i="78" l="1"/>
  <c r="Y11" i="78"/>
  <c r="Y12" i="78"/>
  <c r="Y13" i="78"/>
  <c r="Y14" i="78"/>
  <c r="Y15" i="78"/>
  <c r="Y16" i="78"/>
  <c r="Y17" i="78"/>
  <c r="Y18" i="78"/>
  <c r="Y19" i="78"/>
  <c r="Y20" i="78"/>
  <c r="Y21" i="78"/>
  <c r="Y22" i="78"/>
  <c r="Y23" i="78"/>
  <c r="Y24" i="78"/>
  <c r="Y25" i="78"/>
  <c r="Y26" i="78"/>
  <c r="Y27" i="78"/>
  <c r="Y28" i="78"/>
  <c r="Y29" i="78"/>
  <c r="Y30" i="78"/>
  <c r="Y31" i="78"/>
  <c r="Y32" i="78"/>
  <c r="Y33" i="78"/>
  <c r="Y34" i="78"/>
  <c r="Y35" i="78"/>
  <c r="Y36" i="78"/>
  <c r="Y37" i="78"/>
  <c r="Y38" i="78"/>
  <c r="Y39" i="78"/>
  <c r="Y40" i="78"/>
  <c r="Y41" i="78"/>
  <c r="Y42" i="78"/>
  <c r="Y43" i="78"/>
  <c r="Y44" i="78"/>
  <c r="Y45" i="78"/>
  <c r="Y46" i="78"/>
  <c r="Y47" i="78"/>
  <c r="Y48" i="78"/>
  <c r="Y49" i="78"/>
  <c r="Y50" i="78"/>
  <c r="Y51" i="78"/>
  <c r="Y52" i="78"/>
  <c r="Y53" i="78"/>
  <c r="Y54" i="78"/>
  <c r="Y55" i="78"/>
  <c r="Y56" i="78"/>
  <c r="Y57" i="78"/>
  <c r="Y58" i="78"/>
  <c r="Y59" i="78"/>
  <c r="Y60" i="78"/>
  <c r="Y61" i="78"/>
  <c r="Y62" i="78"/>
  <c r="Y63" i="78"/>
  <c r="Y64" i="78"/>
  <c r="Y65" i="78"/>
  <c r="Y66" i="78"/>
  <c r="Y67" i="78"/>
  <c r="Y68" i="78"/>
  <c r="Y69" i="78"/>
  <c r="Y70" i="78"/>
  <c r="Y71" i="78"/>
  <c r="Y72" i="78"/>
  <c r="Y73" i="78"/>
  <c r="Y74" i="78"/>
  <c r="Y75" i="78"/>
  <c r="Y76" i="78"/>
  <c r="Y77" i="78"/>
  <c r="Y78" i="78"/>
  <c r="Y79" i="78"/>
  <c r="Y80" i="78"/>
  <c r="Y81" i="78"/>
  <c r="Y82" i="78"/>
  <c r="Y83" i="78"/>
  <c r="Y84" i="78"/>
  <c r="Y85" i="78"/>
  <c r="Y86" i="78"/>
  <c r="Y87" i="78"/>
  <c r="Y88" i="78"/>
  <c r="Y89" i="78"/>
  <c r="Y90" i="78"/>
  <c r="Y91" i="78"/>
  <c r="Y92" i="78"/>
  <c r="Y93" i="78"/>
  <c r="Y94" i="78"/>
  <c r="Y95" i="78"/>
  <c r="Y96" i="78"/>
  <c r="Y97" i="78"/>
  <c r="Y98" i="78"/>
  <c r="Y99" i="78"/>
  <c r="Y100" i="78"/>
  <c r="Y101" i="78"/>
  <c r="Y102" i="78"/>
  <c r="Y103" i="78"/>
  <c r="Y104" i="78"/>
  <c r="Y105" i="78"/>
  <c r="Y106" i="78"/>
  <c r="Y107" i="78"/>
  <c r="Y108" i="78"/>
  <c r="Y109" i="78"/>
  <c r="Y110" i="78"/>
  <c r="Y111" i="78"/>
  <c r="Y112" i="78"/>
  <c r="Y113" i="78"/>
  <c r="Y114" i="78"/>
  <c r="Y115" i="78"/>
  <c r="Y116" i="78"/>
  <c r="Y117" i="78"/>
  <c r="Y118" i="78"/>
  <c r="Y119" i="78"/>
  <c r="Y120" i="78"/>
  <c r="Y121" i="78"/>
  <c r="Y122" i="78"/>
  <c r="Y123" i="78"/>
  <c r="Y124" i="78"/>
  <c r="Y125" i="78"/>
  <c r="Y126" i="78"/>
  <c r="Y127" i="78"/>
  <c r="Y128" i="78"/>
  <c r="Y129" i="78"/>
  <c r="Y130" i="78"/>
  <c r="Y131" i="78"/>
  <c r="Y132" i="78"/>
  <c r="Y133" i="78"/>
  <c r="Y134" i="78"/>
  <c r="Y135" i="78"/>
  <c r="Y136" i="78"/>
  <c r="Y137" i="78"/>
  <c r="Y138" i="78"/>
  <c r="Y139" i="78"/>
  <c r="Y140" i="78"/>
  <c r="Y141" i="78"/>
  <c r="Y142" i="78"/>
  <c r="Y143" i="78"/>
  <c r="Y144" i="78"/>
  <c r="Y145" i="78"/>
  <c r="Y146" i="78"/>
  <c r="Y147" i="78"/>
  <c r="Y148" i="78"/>
  <c r="Y149" i="78"/>
  <c r="Y150" i="78"/>
  <c r="Y151" i="78"/>
  <c r="Y152" i="78"/>
  <c r="Y153" i="78"/>
  <c r="Y154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4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9" i="78"/>
  <c r="J24" i="78" l="1"/>
  <c r="D28" i="61" l="1"/>
  <c r="U10" i="78" l="1"/>
  <c r="U11" i="78"/>
  <c r="U12" i="78"/>
  <c r="U13" i="78"/>
  <c r="U14" i="78"/>
  <c r="U15" i="78"/>
  <c r="U16" i="78"/>
  <c r="U17" i="78"/>
  <c r="U18" i="78"/>
  <c r="U19" i="78"/>
  <c r="U20" i="78"/>
  <c r="U21" i="78"/>
  <c r="U22" i="78"/>
  <c r="U23" i="78"/>
  <c r="U25" i="78"/>
  <c r="U26" i="78"/>
  <c r="U28" i="78"/>
  <c r="U29" i="78"/>
  <c r="U30" i="78"/>
  <c r="U31" i="78"/>
  <c r="U32" i="78"/>
  <c r="U33" i="78"/>
  <c r="U34" i="78"/>
  <c r="U35" i="78"/>
  <c r="U36" i="78"/>
  <c r="U37" i="78"/>
  <c r="U38" i="78"/>
  <c r="U40" i="78"/>
  <c r="U41" i="78"/>
  <c r="U42" i="78"/>
  <c r="U43" i="78"/>
  <c r="U44" i="78"/>
  <c r="U45" i="78"/>
  <c r="U46" i="78"/>
  <c r="U47" i="78"/>
  <c r="U48" i="78"/>
  <c r="U49" i="78"/>
  <c r="U50" i="78"/>
  <c r="U51" i="78"/>
  <c r="U52" i="78"/>
  <c r="U53" i="78"/>
  <c r="U54" i="78"/>
  <c r="U55" i="78"/>
  <c r="U56" i="78"/>
  <c r="U57" i="78"/>
  <c r="U58" i="78"/>
  <c r="U59" i="78"/>
  <c r="U60" i="78"/>
  <c r="U61" i="78"/>
  <c r="U62" i="78"/>
  <c r="U63" i="78"/>
  <c r="U65" i="78"/>
  <c r="U66" i="78"/>
  <c r="U67" i="78"/>
  <c r="U68" i="78"/>
  <c r="U69" i="78"/>
  <c r="U70" i="78"/>
  <c r="U72" i="78"/>
  <c r="U73" i="78"/>
  <c r="U74" i="78"/>
  <c r="U75" i="78"/>
  <c r="U77" i="78"/>
  <c r="U78" i="78"/>
  <c r="U79" i="78"/>
  <c r="U80" i="78"/>
  <c r="U81" i="78"/>
  <c r="U82" i="78"/>
  <c r="U83" i="78"/>
  <c r="U84" i="78"/>
  <c r="U85" i="78"/>
  <c r="U86" i="78"/>
  <c r="U87" i="78"/>
  <c r="U88" i="78"/>
  <c r="U89" i="78"/>
  <c r="U90" i="78"/>
  <c r="U91" i="78"/>
  <c r="U92" i="78"/>
  <c r="U93" i="78"/>
  <c r="U94" i="78"/>
  <c r="U95" i="78"/>
  <c r="U96" i="78"/>
  <c r="U97" i="78"/>
  <c r="U98" i="78"/>
  <c r="U99" i="78"/>
  <c r="U100" i="78"/>
  <c r="U101" i="78"/>
  <c r="U102" i="78"/>
  <c r="U103" i="78"/>
  <c r="U104" i="78"/>
  <c r="U105" i="78"/>
  <c r="U106" i="78"/>
  <c r="U107" i="78"/>
  <c r="U108" i="78"/>
  <c r="U109" i="78"/>
  <c r="U110" i="78"/>
  <c r="U118" i="78"/>
  <c r="U119" i="78"/>
  <c r="U120" i="78"/>
  <c r="U121" i="78"/>
  <c r="U122" i="78"/>
  <c r="U123" i="78"/>
  <c r="U124" i="78"/>
  <c r="U125" i="78"/>
  <c r="U126" i="78"/>
  <c r="U127" i="78"/>
  <c r="U128" i="78"/>
  <c r="U129" i="78"/>
  <c r="U130" i="78"/>
  <c r="U131" i="78"/>
  <c r="U132" i="78"/>
  <c r="U133" i="78"/>
  <c r="U134" i="78"/>
  <c r="U135" i="78"/>
  <c r="U136" i="78"/>
  <c r="U137" i="78"/>
  <c r="U138" i="78"/>
  <c r="U140" i="78"/>
  <c r="U144" i="78"/>
  <c r="U145" i="78"/>
  <c r="U146" i="78"/>
  <c r="U147" i="78"/>
  <c r="U148" i="78"/>
  <c r="U149" i="78"/>
  <c r="U150" i="78"/>
  <c r="U151" i="78"/>
  <c r="U152" i="78"/>
  <c r="U153" i="78"/>
  <c r="U154" i="78"/>
  <c r="U155" i="78"/>
  <c r="U156" i="78"/>
  <c r="U157" i="78"/>
  <c r="U165" i="78"/>
  <c r="U166" i="78"/>
  <c r="U167" i="78"/>
  <c r="U168" i="78"/>
  <c r="U169" i="78"/>
  <c r="U170" i="78"/>
  <c r="U171" i="78"/>
  <c r="U172" i="78"/>
  <c r="U173" i="78"/>
  <c r="U174" i="78"/>
  <c r="U175" i="78"/>
  <c r="U176" i="78"/>
  <c r="U177" i="78"/>
  <c r="U178" i="78"/>
  <c r="U179" i="78"/>
  <c r="U180" i="78"/>
  <c r="U181" i="78"/>
  <c r="U182" i="78"/>
  <c r="U183" i="78"/>
  <c r="U184" i="78"/>
  <c r="U185" i="78"/>
  <c r="U186" i="78"/>
  <c r="U9" i="78"/>
  <c r="F185" i="78"/>
  <c r="L185" i="78" s="1"/>
  <c r="F186" i="78"/>
  <c r="F184" i="78"/>
  <c r="M184" i="78" s="1"/>
  <c r="F183" i="78"/>
  <c r="H183" i="78" s="1"/>
  <c r="F182" i="78"/>
  <c r="K182" i="78" s="1"/>
  <c r="F181" i="78"/>
  <c r="F180" i="78"/>
  <c r="F179" i="78"/>
  <c r="F178" i="78"/>
  <c r="K178" i="78" s="1"/>
  <c r="F177" i="78"/>
  <c r="K177" i="78" s="1"/>
  <c r="F176" i="78"/>
  <c r="K176" i="78" s="1"/>
  <c r="F175" i="78"/>
  <c r="K175" i="78" s="1"/>
  <c r="F174" i="78"/>
  <c r="F173" i="78"/>
  <c r="I173" i="78" s="1"/>
  <c r="F172" i="78"/>
  <c r="F171" i="78"/>
  <c r="F170" i="78"/>
  <c r="F169" i="78"/>
  <c r="F168" i="78"/>
  <c r="F167" i="78"/>
  <c r="F166" i="78"/>
  <c r="F165" i="78"/>
  <c r="F154" i="78"/>
  <c r="F153" i="78"/>
  <c r="K153" i="78" s="1"/>
  <c r="F152" i="78"/>
  <c r="K152" i="78" s="1"/>
  <c r="F151" i="78"/>
  <c r="L151" i="78" s="1"/>
  <c r="F150" i="78"/>
  <c r="F149" i="78"/>
  <c r="F148" i="78"/>
  <c r="F147" i="78"/>
  <c r="K147" i="78" s="1"/>
  <c r="F146" i="78"/>
  <c r="F145" i="78"/>
  <c r="F144" i="78"/>
  <c r="F140" i="78"/>
  <c r="F139" i="78"/>
  <c r="F138" i="78"/>
  <c r="F137" i="78"/>
  <c r="F128" i="78"/>
  <c r="I128" i="78" s="1"/>
  <c r="F127" i="78"/>
  <c r="F126" i="78"/>
  <c r="F125" i="78"/>
  <c r="F123" i="78"/>
  <c r="F115" i="78"/>
  <c r="F114" i="78"/>
  <c r="F113" i="78"/>
  <c r="F112" i="78"/>
  <c r="F109" i="78"/>
  <c r="F105" i="78"/>
  <c r="F104" i="78"/>
  <c r="F103" i="78"/>
  <c r="F102" i="78"/>
  <c r="F98" i="78"/>
  <c r="F97" i="78"/>
  <c r="F96" i="78"/>
  <c r="F95" i="78"/>
  <c r="F94" i="78"/>
  <c r="F93" i="78"/>
  <c r="F92" i="78"/>
  <c r="F91" i="78"/>
  <c r="F90" i="78"/>
  <c r="F89" i="78"/>
  <c r="F84" i="78"/>
  <c r="F82" i="78"/>
  <c r="F72" i="78"/>
  <c r="F69" i="78"/>
  <c r="F68" i="78"/>
  <c r="F67" i="78"/>
  <c r="F66" i="78"/>
  <c r="F64" i="78"/>
  <c r="F60" i="78"/>
  <c r="F55" i="78"/>
  <c r="F53" i="78"/>
  <c r="F52" i="78"/>
  <c r="F51" i="78"/>
  <c r="F49" i="78"/>
  <c r="F42" i="78"/>
  <c r="F37" i="78"/>
  <c r="F36" i="78"/>
  <c r="F35" i="78"/>
  <c r="F34" i="78"/>
  <c r="F33" i="78"/>
  <c r="F32" i="78"/>
  <c r="F31" i="78"/>
  <c r="F29" i="78"/>
  <c r="F28" i="78"/>
  <c r="F26" i="78"/>
  <c r="F25" i="78"/>
  <c r="F22" i="78"/>
  <c r="F21" i="78"/>
  <c r="F20" i="78"/>
  <c r="F18" i="78"/>
  <c r="F14" i="78"/>
  <c r="K14" i="78" s="1"/>
  <c r="F13" i="78"/>
  <c r="F12" i="78"/>
  <c r="W174" i="78"/>
  <c r="W154" i="78"/>
  <c r="W145" i="78"/>
  <c r="W141" i="78"/>
  <c r="W140" i="78"/>
  <c r="W134" i="78"/>
  <c r="W187" i="78" s="1"/>
  <c r="W133" i="78"/>
  <c r="W128" i="78"/>
  <c r="W127" i="78"/>
  <c r="W126" i="78"/>
  <c r="W125" i="78"/>
  <c r="W124" i="78"/>
  <c r="W123" i="78"/>
  <c r="W121" i="78"/>
  <c r="W120" i="78"/>
  <c r="W129" i="78" s="1"/>
  <c r="W112" i="78"/>
  <c r="W111" i="78"/>
  <c r="W117" i="78" s="1"/>
  <c r="W109" i="78"/>
  <c r="W104" i="78"/>
  <c r="W106" i="78" s="1"/>
  <c r="W103" i="78"/>
  <c r="W102" i="78"/>
  <c r="W98" i="78"/>
  <c r="W97" i="78"/>
  <c r="W96" i="78"/>
  <c r="W95" i="78"/>
  <c r="W94" i="78"/>
  <c r="W93" i="78"/>
  <c r="W92" i="78"/>
  <c r="W91" i="78"/>
  <c r="W90" i="78"/>
  <c r="W99" i="78" s="1"/>
  <c r="W89" i="78"/>
  <c r="W82" i="78"/>
  <c r="W81" i="78"/>
  <c r="W80" i="78"/>
  <c r="W86" i="78" s="1"/>
  <c r="W76" i="78"/>
  <c r="W71" i="78"/>
  <c r="W69" i="78"/>
  <c r="W67" i="78"/>
  <c r="W65" i="78"/>
  <c r="W64" i="78"/>
  <c r="W61" i="78"/>
  <c r="W60" i="78"/>
  <c r="W55" i="78"/>
  <c r="W49" i="78"/>
  <c r="W46" i="78"/>
  <c r="W56" i="78" s="1"/>
  <c r="W43" i="78"/>
  <c r="W42" i="78"/>
  <c r="W38" i="78"/>
  <c r="W37" i="78"/>
  <c r="W36" i="78"/>
  <c r="W32" i="78"/>
  <c r="W31" i="78"/>
  <c r="W30" i="78"/>
  <c r="W25" i="78"/>
  <c r="W24" i="78"/>
  <c r="W23" i="78"/>
  <c r="W22" i="78"/>
  <c r="W18" i="78"/>
  <c r="W14" i="78"/>
  <c r="W13" i="78"/>
  <c r="W39" i="78" s="1"/>
  <c r="W188" i="78" s="1"/>
  <c r="W12" i="78"/>
  <c r="Y187" i="78"/>
  <c r="D188" i="78"/>
  <c r="Q187" i="78"/>
  <c r="G187" i="78"/>
  <c r="R186" i="78"/>
  <c r="P186" i="78"/>
  <c r="O186" i="78"/>
  <c r="M186" i="78"/>
  <c r="L186" i="78"/>
  <c r="K186" i="78"/>
  <c r="H186" i="78"/>
  <c r="S186" i="78" s="1"/>
  <c r="I186" i="78"/>
  <c r="R185" i="78"/>
  <c r="P185" i="78"/>
  <c r="O185" i="78"/>
  <c r="M185" i="78"/>
  <c r="K185" i="78"/>
  <c r="I185" i="78"/>
  <c r="H185" i="78"/>
  <c r="R184" i="78"/>
  <c r="O184" i="78"/>
  <c r="K184" i="78"/>
  <c r="R183" i="78"/>
  <c r="P183" i="78"/>
  <c r="O183" i="78"/>
  <c r="M183" i="78"/>
  <c r="K183" i="78"/>
  <c r="I183" i="78"/>
  <c r="L183" i="78"/>
  <c r="R182" i="78"/>
  <c r="P182" i="78"/>
  <c r="O182" i="78"/>
  <c r="M182" i="78"/>
  <c r="H182" i="78"/>
  <c r="I182" i="78"/>
  <c r="R181" i="78"/>
  <c r="O181" i="78"/>
  <c r="M181" i="78"/>
  <c r="K181" i="78"/>
  <c r="P181" i="78"/>
  <c r="R180" i="78"/>
  <c r="P180" i="78"/>
  <c r="O180" i="78"/>
  <c r="M180" i="78"/>
  <c r="K180" i="78"/>
  <c r="I180" i="78"/>
  <c r="H180" i="78"/>
  <c r="L180" i="78"/>
  <c r="R179" i="78"/>
  <c r="P179" i="78"/>
  <c r="O179" i="78"/>
  <c r="M179" i="78"/>
  <c r="L179" i="78"/>
  <c r="K179" i="78"/>
  <c r="H179" i="78"/>
  <c r="I179" i="78"/>
  <c r="R178" i="78"/>
  <c r="O178" i="78"/>
  <c r="M178" i="78"/>
  <c r="R177" i="78"/>
  <c r="P177" i="78"/>
  <c r="O177" i="78"/>
  <c r="M177" i="78"/>
  <c r="H177" i="78"/>
  <c r="L177" i="78"/>
  <c r="R176" i="78"/>
  <c r="P176" i="78"/>
  <c r="O176" i="78"/>
  <c r="M176" i="78"/>
  <c r="L176" i="78"/>
  <c r="I176" i="78"/>
  <c r="H176" i="78"/>
  <c r="R175" i="78"/>
  <c r="O175" i="78"/>
  <c r="M175" i="78"/>
  <c r="P175" i="78"/>
  <c r="R174" i="78"/>
  <c r="O174" i="78"/>
  <c r="R173" i="78"/>
  <c r="O173" i="78"/>
  <c r="L173" i="78"/>
  <c r="M173" i="78"/>
  <c r="R172" i="78"/>
  <c r="O172" i="78"/>
  <c r="L172" i="78"/>
  <c r="R171" i="78"/>
  <c r="O171" i="78"/>
  <c r="I171" i="78"/>
  <c r="R170" i="78"/>
  <c r="O170" i="78"/>
  <c r="L170" i="78"/>
  <c r="I170" i="78"/>
  <c r="M170" i="78"/>
  <c r="R169" i="78"/>
  <c r="O169" i="78"/>
  <c r="L169" i="78"/>
  <c r="R168" i="78"/>
  <c r="O168" i="78"/>
  <c r="R167" i="78"/>
  <c r="O167" i="78"/>
  <c r="L167" i="78"/>
  <c r="I167" i="78"/>
  <c r="M167" i="78"/>
  <c r="R166" i="78"/>
  <c r="O166" i="78"/>
  <c r="L166" i="78"/>
  <c r="R165" i="78"/>
  <c r="O165" i="78"/>
  <c r="I165" i="78"/>
  <c r="R164" i="78"/>
  <c r="O164" i="78"/>
  <c r="L164" i="78"/>
  <c r="I164" i="78"/>
  <c r="M164" i="78"/>
  <c r="R163" i="78"/>
  <c r="P163" i="78"/>
  <c r="O163" i="78"/>
  <c r="M163" i="78"/>
  <c r="K163" i="78"/>
  <c r="I163" i="78"/>
  <c r="H163" i="78"/>
  <c r="L163" i="78"/>
  <c r="R162" i="78"/>
  <c r="O162" i="78"/>
  <c r="R161" i="78"/>
  <c r="O161" i="78"/>
  <c r="L161" i="78"/>
  <c r="I161" i="78"/>
  <c r="M161" i="78"/>
  <c r="R160" i="78"/>
  <c r="O160" i="78"/>
  <c r="R159" i="78"/>
  <c r="O159" i="78"/>
  <c r="R158" i="78"/>
  <c r="O158" i="78"/>
  <c r="O157" i="78"/>
  <c r="L157" i="78"/>
  <c r="F157" i="78"/>
  <c r="P157" i="78" s="1"/>
  <c r="P156" i="78"/>
  <c r="O156" i="78"/>
  <c r="M156" i="78"/>
  <c r="S156" i="78" s="1"/>
  <c r="K156" i="78"/>
  <c r="I156" i="78"/>
  <c r="H156" i="78"/>
  <c r="F156" i="78"/>
  <c r="L156" i="78" s="1"/>
  <c r="P155" i="78"/>
  <c r="O155" i="78"/>
  <c r="M155" i="78"/>
  <c r="L155" i="78"/>
  <c r="K155" i="78"/>
  <c r="I155" i="78"/>
  <c r="H155" i="78"/>
  <c r="F155" i="78"/>
  <c r="O154" i="78"/>
  <c r="L154" i="78"/>
  <c r="M154" i="78"/>
  <c r="P153" i="78"/>
  <c r="O153" i="78"/>
  <c r="M153" i="78"/>
  <c r="L153" i="78"/>
  <c r="I153" i="78"/>
  <c r="H153" i="78"/>
  <c r="P152" i="78"/>
  <c r="O152" i="78"/>
  <c r="M152" i="78"/>
  <c r="O151" i="78"/>
  <c r="P151" i="78"/>
  <c r="P150" i="78"/>
  <c r="O150" i="78"/>
  <c r="K150" i="78"/>
  <c r="H150" i="78"/>
  <c r="M150" i="78"/>
  <c r="O149" i="78"/>
  <c r="O148" i="78"/>
  <c r="P147" i="78"/>
  <c r="O147" i="78"/>
  <c r="M147" i="78"/>
  <c r="I147" i="78"/>
  <c r="H147" i="78"/>
  <c r="L147" i="78"/>
  <c r="O146" i="78"/>
  <c r="K146" i="78"/>
  <c r="L146" i="78"/>
  <c r="P145" i="78"/>
  <c r="O145" i="78"/>
  <c r="K145" i="78"/>
  <c r="H145" i="78"/>
  <c r="P144" i="78"/>
  <c r="O144" i="78"/>
  <c r="L144" i="78"/>
  <c r="I144" i="78"/>
  <c r="P143" i="78"/>
  <c r="O143" i="78"/>
  <c r="I143" i="78"/>
  <c r="L143" i="78"/>
  <c r="P142" i="78"/>
  <c r="O142" i="78"/>
  <c r="L142" i="78"/>
  <c r="I142" i="78"/>
  <c r="O141" i="78"/>
  <c r="L141" i="78"/>
  <c r="M140" i="78"/>
  <c r="L140" i="78"/>
  <c r="K140" i="78"/>
  <c r="I140" i="78"/>
  <c r="H140" i="78"/>
  <c r="P140" i="78"/>
  <c r="M139" i="78"/>
  <c r="L139" i="78"/>
  <c r="K139" i="78"/>
  <c r="I139" i="78"/>
  <c r="H139" i="78"/>
  <c r="P139" i="78"/>
  <c r="M138" i="78"/>
  <c r="L138" i="78"/>
  <c r="P138" i="78"/>
  <c r="L137" i="78"/>
  <c r="P137" i="78"/>
  <c r="P136" i="78"/>
  <c r="M136" i="78"/>
  <c r="L136" i="78"/>
  <c r="K136" i="78"/>
  <c r="I136" i="78"/>
  <c r="H136" i="78"/>
  <c r="P135" i="78"/>
  <c r="M135" i="78"/>
  <c r="L135" i="78"/>
  <c r="K135" i="78"/>
  <c r="I135" i="78"/>
  <c r="H135" i="78"/>
  <c r="S135" i="78" s="1"/>
  <c r="O134" i="78"/>
  <c r="F134" i="78"/>
  <c r="O133" i="78"/>
  <c r="L133" i="78"/>
  <c r="J133" i="78"/>
  <c r="J187" i="78" s="1"/>
  <c r="F133" i="78"/>
  <c r="M133" i="78" s="1"/>
  <c r="P132" i="78"/>
  <c r="O132" i="78"/>
  <c r="M132" i="78"/>
  <c r="L132" i="78"/>
  <c r="K132" i="78"/>
  <c r="I132" i="78"/>
  <c r="H132" i="78"/>
  <c r="Q129" i="78"/>
  <c r="O128" i="78"/>
  <c r="M128" i="78"/>
  <c r="L128" i="78"/>
  <c r="O127" i="78"/>
  <c r="M127" i="78"/>
  <c r="K127" i="78"/>
  <c r="I127" i="78"/>
  <c r="P127" i="78"/>
  <c r="R126" i="78"/>
  <c r="O126" i="78"/>
  <c r="O125" i="78"/>
  <c r="M125" i="78"/>
  <c r="K125" i="78"/>
  <c r="I125" i="78"/>
  <c r="P125" i="78"/>
  <c r="O124" i="78"/>
  <c r="K124" i="78"/>
  <c r="F124" i="78"/>
  <c r="R123" i="78"/>
  <c r="P123" i="78"/>
  <c r="O123" i="78"/>
  <c r="L123" i="78"/>
  <c r="K123" i="78"/>
  <c r="J123" i="78"/>
  <c r="I123" i="78"/>
  <c r="H123" i="78"/>
  <c r="M123" i="78"/>
  <c r="O122" i="78"/>
  <c r="K122" i="78"/>
  <c r="F122" i="78"/>
  <c r="R121" i="78"/>
  <c r="R129" i="78" s="1"/>
  <c r="O121" i="78"/>
  <c r="K121" i="78"/>
  <c r="F121" i="78"/>
  <c r="P120" i="78"/>
  <c r="O120" i="78"/>
  <c r="L120" i="78"/>
  <c r="K120" i="78"/>
  <c r="J120" i="78"/>
  <c r="J129" i="78" s="1"/>
  <c r="I120" i="78"/>
  <c r="H120" i="78"/>
  <c r="F120" i="78"/>
  <c r="M120" i="78" s="1"/>
  <c r="Q117" i="78"/>
  <c r="J117" i="78"/>
  <c r="R116" i="78"/>
  <c r="N116" i="78"/>
  <c r="M116" i="78"/>
  <c r="F116" i="78"/>
  <c r="R115" i="78"/>
  <c r="P115" i="78"/>
  <c r="N115" i="78"/>
  <c r="K115" i="78"/>
  <c r="H115" i="78"/>
  <c r="R114" i="78"/>
  <c r="N114" i="78"/>
  <c r="M114" i="78"/>
  <c r="K114" i="78"/>
  <c r="I114" i="78"/>
  <c r="P114" i="78"/>
  <c r="R113" i="78"/>
  <c r="N113" i="78"/>
  <c r="R112" i="78"/>
  <c r="N112" i="78"/>
  <c r="K112" i="78"/>
  <c r="H112" i="78"/>
  <c r="P112" i="78"/>
  <c r="R111" i="78"/>
  <c r="N111" i="78"/>
  <c r="F111" i="78"/>
  <c r="P110" i="78"/>
  <c r="N110" i="78"/>
  <c r="M110" i="78"/>
  <c r="L110" i="78"/>
  <c r="I110" i="78"/>
  <c r="H110" i="78"/>
  <c r="F110" i="78"/>
  <c r="K110" i="78" s="1"/>
  <c r="N109" i="78"/>
  <c r="N117" i="78" s="1"/>
  <c r="I109" i="78"/>
  <c r="R106" i="78"/>
  <c r="Q106" i="78"/>
  <c r="J106" i="78"/>
  <c r="O105" i="78"/>
  <c r="K105" i="78"/>
  <c r="H105" i="78"/>
  <c r="P105" i="78"/>
  <c r="M104" i="78"/>
  <c r="O103" i="78"/>
  <c r="P103" i="78"/>
  <c r="P102" i="78"/>
  <c r="O102" i="78"/>
  <c r="M102" i="78"/>
  <c r="L102" i="78"/>
  <c r="I102" i="78"/>
  <c r="H102" i="78"/>
  <c r="K102" i="78"/>
  <c r="R99" i="78"/>
  <c r="Q99" i="78"/>
  <c r="N98" i="78"/>
  <c r="M98" i="78"/>
  <c r="K98" i="78"/>
  <c r="I98" i="78"/>
  <c r="P98" i="78"/>
  <c r="P97" i="78"/>
  <c r="N97" i="78"/>
  <c r="M97" i="78"/>
  <c r="L97" i="78"/>
  <c r="I97" i="78"/>
  <c r="H97" i="78"/>
  <c r="K97" i="78"/>
  <c r="P96" i="78"/>
  <c r="N96" i="78"/>
  <c r="L95" i="78"/>
  <c r="I95" i="78"/>
  <c r="H95" i="78"/>
  <c r="M95" i="78"/>
  <c r="P94" i="78"/>
  <c r="K94" i="78"/>
  <c r="I94" i="78"/>
  <c r="H94" i="78"/>
  <c r="L94" i="78"/>
  <c r="M93" i="78"/>
  <c r="L93" i="78"/>
  <c r="K93" i="78"/>
  <c r="I93" i="78"/>
  <c r="H93" i="78"/>
  <c r="P93" i="78"/>
  <c r="M92" i="78"/>
  <c r="L92" i="78"/>
  <c r="K92" i="78"/>
  <c r="I92" i="78"/>
  <c r="H92" i="78"/>
  <c r="P92" i="78"/>
  <c r="P91" i="78"/>
  <c r="N91" i="78"/>
  <c r="L91" i="78"/>
  <c r="J91" i="78"/>
  <c r="I91" i="78"/>
  <c r="H91" i="78"/>
  <c r="M91" i="78"/>
  <c r="N90" i="78"/>
  <c r="M90" i="78"/>
  <c r="J90" i="78"/>
  <c r="I90" i="78"/>
  <c r="K90" i="78"/>
  <c r="N89" i="78"/>
  <c r="N99" i="78" s="1"/>
  <c r="L89" i="78"/>
  <c r="I89" i="78"/>
  <c r="R86" i="78"/>
  <c r="Q86" i="78"/>
  <c r="J86" i="78"/>
  <c r="P85" i="78"/>
  <c r="N85" i="78"/>
  <c r="M85" i="78"/>
  <c r="L85" i="78"/>
  <c r="K85" i="78"/>
  <c r="I85" i="78"/>
  <c r="H85" i="78"/>
  <c r="F85" i="78"/>
  <c r="P84" i="78"/>
  <c r="N84" i="78"/>
  <c r="M84" i="78"/>
  <c r="L84" i="78"/>
  <c r="K84" i="78"/>
  <c r="I84" i="78"/>
  <c r="H84" i="78"/>
  <c r="N83" i="78"/>
  <c r="F83" i="78"/>
  <c r="P82" i="78"/>
  <c r="N82" i="78"/>
  <c r="M82" i="78"/>
  <c r="K82" i="78"/>
  <c r="I82" i="78"/>
  <c r="H82" i="78"/>
  <c r="L82" i="78"/>
  <c r="P81" i="78"/>
  <c r="N81" i="78"/>
  <c r="M81" i="78"/>
  <c r="L81" i="78"/>
  <c r="K81" i="78"/>
  <c r="I81" i="78"/>
  <c r="H81" i="78"/>
  <c r="S81" i="78" s="1"/>
  <c r="P80" i="78"/>
  <c r="N80" i="78"/>
  <c r="M80" i="78"/>
  <c r="L80" i="78"/>
  <c r="K80" i="78"/>
  <c r="I80" i="78"/>
  <c r="S80" i="78" s="1"/>
  <c r="H80" i="78"/>
  <c r="N79" i="78"/>
  <c r="N86" i="78" s="1"/>
  <c r="F79" i="78"/>
  <c r="P79" i="78" s="1"/>
  <c r="R76" i="78"/>
  <c r="Q76" i="78"/>
  <c r="J76" i="78"/>
  <c r="G76" i="78"/>
  <c r="N75" i="78"/>
  <c r="M75" i="78"/>
  <c r="F75" i="78"/>
  <c r="P75" i="78" s="1"/>
  <c r="P74" i="78"/>
  <c r="N74" i="78"/>
  <c r="M74" i="78"/>
  <c r="K74" i="78"/>
  <c r="H74" i="78"/>
  <c r="F74" i="78"/>
  <c r="P73" i="78"/>
  <c r="N73" i="78"/>
  <c r="M73" i="78"/>
  <c r="H73" i="78"/>
  <c r="F73" i="78"/>
  <c r="N72" i="78"/>
  <c r="M72" i="78"/>
  <c r="P72" i="78"/>
  <c r="N71" i="78"/>
  <c r="K71" i="78"/>
  <c r="L71" i="78"/>
  <c r="P70" i="78"/>
  <c r="N70" i="78"/>
  <c r="M70" i="78"/>
  <c r="L70" i="78"/>
  <c r="K70" i="78"/>
  <c r="I70" i="78"/>
  <c r="H70" i="78"/>
  <c r="S70" i="78" s="1"/>
  <c r="F70" i="78"/>
  <c r="N69" i="78"/>
  <c r="P69" i="78"/>
  <c r="P68" i="78"/>
  <c r="N68" i="78"/>
  <c r="M68" i="78"/>
  <c r="K68" i="78"/>
  <c r="I68" i="78"/>
  <c r="H68" i="78"/>
  <c r="S68" i="78" s="1"/>
  <c r="L68" i="78"/>
  <c r="N67" i="78"/>
  <c r="L67" i="78"/>
  <c r="P66" i="78"/>
  <c r="N66" i="78"/>
  <c r="M66" i="78"/>
  <c r="L66" i="78"/>
  <c r="K66" i="78"/>
  <c r="I66" i="78"/>
  <c r="H66" i="78"/>
  <c r="P65" i="78"/>
  <c r="N65" i="78"/>
  <c r="M65" i="78"/>
  <c r="L65" i="78"/>
  <c r="K65" i="78"/>
  <c r="I65" i="78"/>
  <c r="H65" i="78"/>
  <c r="N64" i="78"/>
  <c r="N76" i="78" s="1"/>
  <c r="M64" i="78"/>
  <c r="K64" i="78"/>
  <c r="I64" i="78"/>
  <c r="R61" i="78"/>
  <c r="Q61" i="78"/>
  <c r="O61" i="78"/>
  <c r="N61" i="78"/>
  <c r="J61" i="78"/>
  <c r="P60" i="78"/>
  <c r="P61" i="78" s="1"/>
  <c r="O60" i="78"/>
  <c r="M60" i="78"/>
  <c r="L60" i="78"/>
  <c r="K60" i="78"/>
  <c r="I60" i="78"/>
  <c r="H60" i="78"/>
  <c r="H61" i="78" s="1"/>
  <c r="P59" i="78"/>
  <c r="N59" i="78"/>
  <c r="M59" i="78"/>
  <c r="K59" i="78"/>
  <c r="I59" i="78"/>
  <c r="I61" i="78" s="1"/>
  <c r="H59" i="78"/>
  <c r="F59" i="78"/>
  <c r="F61" i="78" s="1"/>
  <c r="R56" i="78"/>
  <c r="Q56" i="78"/>
  <c r="J56" i="78"/>
  <c r="G56" i="78"/>
  <c r="P55" i="78"/>
  <c r="N55" i="78"/>
  <c r="M55" i="78"/>
  <c r="H55" i="78"/>
  <c r="M54" i="78"/>
  <c r="L54" i="78"/>
  <c r="K54" i="78"/>
  <c r="I54" i="78"/>
  <c r="H54" i="78"/>
  <c r="S54" i="78" s="1"/>
  <c r="F54" i="78"/>
  <c r="P54" i="78" s="1"/>
  <c r="N53" i="78"/>
  <c r="P52" i="78"/>
  <c r="N52" i="78"/>
  <c r="M52" i="78"/>
  <c r="K52" i="78"/>
  <c r="I52" i="78"/>
  <c r="H52" i="78"/>
  <c r="S52" i="78" s="1"/>
  <c r="L52" i="78"/>
  <c r="N51" i="78"/>
  <c r="N50" i="78"/>
  <c r="K50" i="78"/>
  <c r="F50" i="78"/>
  <c r="N49" i="78"/>
  <c r="N48" i="78"/>
  <c r="H48" i="78"/>
  <c r="F48" i="78"/>
  <c r="P48" i="78" s="1"/>
  <c r="N47" i="78"/>
  <c r="N56" i="78" s="1"/>
  <c r="F47" i="78"/>
  <c r="P46" i="78"/>
  <c r="N46" i="78"/>
  <c r="M46" i="78"/>
  <c r="K46" i="78"/>
  <c r="I46" i="78"/>
  <c r="H46" i="78"/>
  <c r="S46" i="78" s="1"/>
  <c r="F46" i="78"/>
  <c r="L46" i="78" s="1"/>
  <c r="R43" i="78"/>
  <c r="Q43" i="78"/>
  <c r="O43" i="78"/>
  <c r="J43" i="78"/>
  <c r="G43" i="78"/>
  <c r="O42" i="78"/>
  <c r="Q39" i="78"/>
  <c r="Q188" i="78" s="1"/>
  <c r="G39" i="78"/>
  <c r="P38" i="78"/>
  <c r="O38" i="78"/>
  <c r="I38" i="78"/>
  <c r="F38" i="78"/>
  <c r="P37" i="78"/>
  <c r="O37" i="78"/>
  <c r="M37" i="78"/>
  <c r="L37" i="78"/>
  <c r="K37" i="78"/>
  <c r="I37" i="78"/>
  <c r="H37" i="78"/>
  <c r="P36" i="78"/>
  <c r="O36" i="78"/>
  <c r="M36" i="78"/>
  <c r="L36" i="78"/>
  <c r="K36" i="78"/>
  <c r="H36" i="78"/>
  <c r="P35" i="78"/>
  <c r="O35" i="78"/>
  <c r="M35" i="78"/>
  <c r="L35" i="78"/>
  <c r="K35" i="78"/>
  <c r="H35" i="78"/>
  <c r="M34" i="78"/>
  <c r="L34" i="78"/>
  <c r="K34" i="78"/>
  <c r="H34" i="78"/>
  <c r="I34" i="78"/>
  <c r="O33" i="78"/>
  <c r="M33" i="78"/>
  <c r="L33" i="78"/>
  <c r="I33" i="78"/>
  <c r="K33" i="78"/>
  <c r="P32" i="78"/>
  <c r="O32" i="78"/>
  <c r="L32" i="78"/>
  <c r="H32" i="78"/>
  <c r="I32" i="78"/>
  <c r="O31" i="78"/>
  <c r="L31" i="78"/>
  <c r="O30" i="78"/>
  <c r="F30" i="78"/>
  <c r="K30" i="78" s="1"/>
  <c r="P29" i="78"/>
  <c r="O29" i="78"/>
  <c r="M29" i="78"/>
  <c r="S29" i="78" s="1"/>
  <c r="L29" i="78"/>
  <c r="K29" i="78"/>
  <c r="I29" i="78"/>
  <c r="H29" i="78"/>
  <c r="R28" i="78"/>
  <c r="P28" i="78"/>
  <c r="N28" i="78"/>
  <c r="M28" i="78"/>
  <c r="L28" i="78"/>
  <c r="K28" i="78"/>
  <c r="H28" i="78"/>
  <c r="I28" i="78"/>
  <c r="O27" i="78"/>
  <c r="K27" i="78"/>
  <c r="P27" i="78"/>
  <c r="P26" i="78"/>
  <c r="O26" i="78"/>
  <c r="L26" i="78"/>
  <c r="H26" i="78"/>
  <c r="M26" i="78"/>
  <c r="N25" i="78"/>
  <c r="K25" i="78"/>
  <c r="R24" i="78"/>
  <c r="P24" i="78"/>
  <c r="O24" i="78"/>
  <c r="M24" i="78"/>
  <c r="L24" i="78"/>
  <c r="K24" i="78"/>
  <c r="H24" i="78"/>
  <c r="F24" i="78"/>
  <c r="I24" i="78" s="1"/>
  <c r="R23" i="78"/>
  <c r="O23" i="78"/>
  <c r="M23" i="78"/>
  <c r="L23" i="78"/>
  <c r="I23" i="78"/>
  <c r="F23" i="78"/>
  <c r="K23" i="78" s="1"/>
  <c r="R22" i="78"/>
  <c r="N22" i="78"/>
  <c r="K22" i="78"/>
  <c r="H22" i="78"/>
  <c r="O21" i="78"/>
  <c r="K21" i="78"/>
  <c r="M21" i="78"/>
  <c r="O20" i="78"/>
  <c r="K20" i="78"/>
  <c r="P20" i="78"/>
  <c r="P19" i="78"/>
  <c r="S19" i="78" s="1"/>
  <c r="O19" i="78"/>
  <c r="M19" i="78"/>
  <c r="L19" i="78"/>
  <c r="K19" i="78"/>
  <c r="I19" i="78"/>
  <c r="H19" i="78"/>
  <c r="O18" i="78"/>
  <c r="L18" i="78"/>
  <c r="K18" i="78"/>
  <c r="J18" i="78"/>
  <c r="J39" i="78" s="1"/>
  <c r="H18" i="78"/>
  <c r="P18" i="78"/>
  <c r="O17" i="78"/>
  <c r="K17" i="78"/>
  <c r="F17" i="78"/>
  <c r="P17" i="78" s="1"/>
  <c r="P16" i="78"/>
  <c r="O16" i="78"/>
  <c r="M16" i="78"/>
  <c r="S16" i="78" s="1"/>
  <c r="L16" i="78"/>
  <c r="K16" i="78"/>
  <c r="I16" i="78"/>
  <c r="H16" i="78"/>
  <c r="F16" i="78"/>
  <c r="R15" i="78"/>
  <c r="P15" i="78"/>
  <c r="S15" i="78" s="1"/>
  <c r="O15" i="78"/>
  <c r="M15" i="78"/>
  <c r="L15" i="78"/>
  <c r="K15" i="78"/>
  <c r="I15" i="78"/>
  <c r="H15" i="78"/>
  <c r="O14" i="78"/>
  <c r="R13" i="78"/>
  <c r="R39" i="78" s="1"/>
  <c r="P13" i="78"/>
  <c r="N13" i="78"/>
  <c r="M13" i="78"/>
  <c r="L13" i="78"/>
  <c r="K13" i="78"/>
  <c r="H13" i="78"/>
  <c r="I13" i="78"/>
  <c r="N12" i="78"/>
  <c r="M12" i="78"/>
  <c r="L12" i="78"/>
  <c r="I12" i="78"/>
  <c r="K12" i="78"/>
  <c r="O11" i="78"/>
  <c r="K11" i="78"/>
  <c r="F11" i="78"/>
  <c r="M11" i="78" s="1"/>
  <c r="P10" i="78"/>
  <c r="S10" i="78" s="1"/>
  <c r="N10" i="78"/>
  <c r="N39" i="78" s="1"/>
  <c r="N188" i="78" s="1"/>
  <c r="M10" i="78"/>
  <c r="L10" i="78"/>
  <c r="K10" i="78"/>
  <c r="I10" i="78"/>
  <c r="H10" i="78"/>
  <c r="S9" i="78"/>
  <c r="N9" i="78"/>
  <c r="I4" i="78"/>
  <c r="F4" i="78"/>
  <c r="R117" i="78" l="1"/>
  <c r="P184" i="78"/>
  <c r="L182" i="78"/>
  <c r="S182" i="78"/>
  <c r="I177" i="78"/>
  <c r="P178" i="78"/>
  <c r="S179" i="78"/>
  <c r="S176" i="78"/>
  <c r="S147" i="78"/>
  <c r="S140" i="78"/>
  <c r="S139" i="78"/>
  <c r="S93" i="78"/>
  <c r="S92" i="78"/>
  <c r="S82" i="78"/>
  <c r="S37" i="78"/>
  <c r="S13" i="78"/>
  <c r="S28" i="78"/>
  <c r="S24" i="78"/>
  <c r="U24" i="78" s="1"/>
  <c r="L47" i="78"/>
  <c r="I47" i="78"/>
  <c r="O39" i="78"/>
  <c r="H11" i="78"/>
  <c r="P11" i="78"/>
  <c r="L14" i="78"/>
  <c r="H17" i="78"/>
  <c r="H20" i="78"/>
  <c r="H21" i="78"/>
  <c r="P21" i="78"/>
  <c r="P22" i="78"/>
  <c r="L25" i="78"/>
  <c r="I26" i="78"/>
  <c r="H27" i="78"/>
  <c r="L30" i="78"/>
  <c r="M38" i="78"/>
  <c r="S38" i="78" s="1"/>
  <c r="K38" i="78"/>
  <c r="F39" i="78"/>
  <c r="P50" i="78"/>
  <c r="H50" i="78"/>
  <c r="S50" i="78" s="1"/>
  <c r="M50" i="78"/>
  <c r="F56" i="78"/>
  <c r="K61" i="78"/>
  <c r="L64" i="78"/>
  <c r="I11" i="78"/>
  <c r="H12" i="78"/>
  <c r="P12" i="78"/>
  <c r="M14" i="78"/>
  <c r="I17" i="78"/>
  <c r="M18" i="78"/>
  <c r="I20" i="78"/>
  <c r="I21" i="78"/>
  <c r="I22" i="78"/>
  <c r="H23" i="78"/>
  <c r="S23" i="78" s="1"/>
  <c r="P23" i="78"/>
  <c r="M25" i="78"/>
  <c r="K26" i="78"/>
  <c r="S26" i="78" s="1"/>
  <c r="I27" i="78"/>
  <c r="M30" i="78"/>
  <c r="M31" i="78"/>
  <c r="K32" i="78"/>
  <c r="H33" i="78"/>
  <c r="P33" i="78"/>
  <c r="P34" i="78"/>
  <c r="S34" i="78" s="1"/>
  <c r="H38" i="78"/>
  <c r="P47" i="78"/>
  <c r="M48" i="78"/>
  <c r="I50" i="78"/>
  <c r="L55" i="78"/>
  <c r="S55" i="78"/>
  <c r="I55" i="78"/>
  <c r="M61" i="78"/>
  <c r="H64" i="78"/>
  <c r="U64" i="78" s="1"/>
  <c r="P64" i="78"/>
  <c r="S66" i="78"/>
  <c r="K67" i="78"/>
  <c r="K76" i="78" s="1"/>
  <c r="I71" i="78"/>
  <c r="K72" i="78"/>
  <c r="L73" i="78"/>
  <c r="I73" i="78"/>
  <c r="K75" i="78"/>
  <c r="S84" i="78"/>
  <c r="K103" i="78"/>
  <c r="S123" i="78"/>
  <c r="P42" i="78"/>
  <c r="P43" i="78" s="1"/>
  <c r="H42" i="78"/>
  <c r="H43" i="78" s="1"/>
  <c r="M42" i="78"/>
  <c r="M43" i="78" s="1"/>
  <c r="K49" i="78"/>
  <c r="K56" i="78" s="1"/>
  <c r="P49" i="78"/>
  <c r="H49" i="78"/>
  <c r="P51" i="78"/>
  <c r="H51" i="78"/>
  <c r="M51" i="78"/>
  <c r="P53" i="78"/>
  <c r="H53" i="78"/>
  <c r="M53" i="78"/>
  <c r="L69" i="78"/>
  <c r="I69" i="78"/>
  <c r="S69" i="78" s="1"/>
  <c r="L79" i="78"/>
  <c r="L86" i="78" s="1"/>
  <c r="I79" i="78"/>
  <c r="I86" i="78" s="1"/>
  <c r="K83" i="78"/>
  <c r="P83" i="78"/>
  <c r="P86" i="78" s="1"/>
  <c r="H83" i="78"/>
  <c r="I113" i="78"/>
  <c r="P113" i="78"/>
  <c r="H113" i="78"/>
  <c r="M113" i="78"/>
  <c r="L113" i="78"/>
  <c r="K113" i="78"/>
  <c r="L11" i="78"/>
  <c r="H14" i="78"/>
  <c r="P14" i="78"/>
  <c r="L17" i="78"/>
  <c r="I18" i="78"/>
  <c r="S18" i="78" s="1"/>
  <c r="L20" i="78"/>
  <c r="L21" i="78"/>
  <c r="L22" i="78"/>
  <c r="H25" i="78"/>
  <c r="P25" i="78"/>
  <c r="L27" i="78"/>
  <c r="H30" i="78"/>
  <c r="P30" i="78"/>
  <c r="H31" i="78"/>
  <c r="P31" i="78"/>
  <c r="M32" i="78"/>
  <c r="S32" i="78" s="1"/>
  <c r="I35" i="78"/>
  <c r="S35" i="78" s="1"/>
  <c r="I36" i="78"/>
  <c r="S36" i="78" s="1"/>
  <c r="L38" i="78"/>
  <c r="I42" i="78"/>
  <c r="I43" i="78" s="1"/>
  <c r="H47" i="78"/>
  <c r="I49" i="78"/>
  <c r="L50" i="78"/>
  <c r="I51" i="78"/>
  <c r="I53" i="78"/>
  <c r="K55" i="78"/>
  <c r="H69" i="78"/>
  <c r="K73" i="78"/>
  <c r="S73" i="78" s="1"/>
  <c r="L74" i="78"/>
  <c r="S74" i="78"/>
  <c r="I74" i="78"/>
  <c r="H79" i="78"/>
  <c r="H86" i="78" s="1"/>
  <c r="I83" i="78"/>
  <c r="F99" i="78"/>
  <c r="K89" i="78"/>
  <c r="P89" i="78"/>
  <c r="H89" i="78"/>
  <c r="M89" i="78"/>
  <c r="K106" i="78"/>
  <c r="I14" i="78"/>
  <c r="M17" i="78"/>
  <c r="S17" i="78" s="1"/>
  <c r="M20" i="78"/>
  <c r="M22" i="78"/>
  <c r="I25" i="78"/>
  <c r="M27" i="78"/>
  <c r="I30" i="78"/>
  <c r="I31" i="78"/>
  <c r="K42" i="78"/>
  <c r="K43" i="78" s="1"/>
  <c r="F43" i="78"/>
  <c r="K47" i="78"/>
  <c r="S47" i="78" s="1"/>
  <c r="L48" i="78"/>
  <c r="S48" i="78"/>
  <c r="I48" i="78"/>
  <c r="L49" i="78"/>
  <c r="L56" i="78" s="1"/>
  <c r="K51" i="78"/>
  <c r="K53" i="78"/>
  <c r="K69" i="78"/>
  <c r="K79" i="78"/>
  <c r="K86" i="78" s="1"/>
  <c r="L83" i="78"/>
  <c r="F86" i="78"/>
  <c r="S90" i="78"/>
  <c r="H90" i="78"/>
  <c r="L90" i="78"/>
  <c r="P90" i="78"/>
  <c r="K31" i="78"/>
  <c r="K39" i="78" s="1"/>
  <c r="L42" i="78"/>
  <c r="L43" i="78" s="1"/>
  <c r="M47" i="78"/>
  <c r="M49" i="78"/>
  <c r="L51" i="78"/>
  <c r="L53" i="78"/>
  <c r="P67" i="78"/>
  <c r="H67" i="78"/>
  <c r="S67" i="78" s="1"/>
  <c r="M67" i="78"/>
  <c r="M69" i="78"/>
  <c r="L72" i="78"/>
  <c r="I72" i="78"/>
  <c r="L75" i="78"/>
  <c r="S75" i="78"/>
  <c r="I75" i="78"/>
  <c r="M79" i="78"/>
  <c r="M86" i="78" s="1"/>
  <c r="M83" i="78"/>
  <c r="S83" i="78" s="1"/>
  <c r="M96" i="78"/>
  <c r="L96" i="78"/>
  <c r="I96" i="78"/>
  <c r="I99" i="78" s="1"/>
  <c r="H96" i="78"/>
  <c r="I111" i="78"/>
  <c r="P111" i="78"/>
  <c r="H111" i="78"/>
  <c r="S111" i="78" s="1"/>
  <c r="U111" i="78" s="1"/>
  <c r="M111" i="78"/>
  <c r="K111" i="78"/>
  <c r="K48" i="78"/>
  <c r="S60" i="78"/>
  <c r="S65" i="78"/>
  <c r="I67" i="78"/>
  <c r="P71" i="78"/>
  <c r="H71" i="78"/>
  <c r="M71" i="78"/>
  <c r="H72" i="78"/>
  <c r="S72" i="78" s="1"/>
  <c r="H75" i="78"/>
  <c r="F76" i="78"/>
  <c r="S85" i="78"/>
  <c r="K96" i="78"/>
  <c r="M103" i="78"/>
  <c r="M106" i="78" s="1"/>
  <c r="L103" i="78"/>
  <c r="I103" i="78"/>
  <c r="F106" i="78"/>
  <c r="H103" i="78"/>
  <c r="S103" i="78" s="1"/>
  <c r="L104" i="78"/>
  <c r="K104" i="78"/>
  <c r="H104" i="78"/>
  <c r="I104" i="78"/>
  <c r="P104" i="78"/>
  <c r="P106" i="78" s="1"/>
  <c r="L111" i="78"/>
  <c r="G188" i="78"/>
  <c r="L59" i="78"/>
  <c r="L61" i="78" s="1"/>
  <c r="K91" i="78"/>
  <c r="S91" i="78" s="1"/>
  <c r="M94" i="78"/>
  <c r="S94" i="78" s="1"/>
  <c r="M109" i="78"/>
  <c r="M115" i="78"/>
  <c r="L115" i="78"/>
  <c r="I115" i="78"/>
  <c r="L122" i="78"/>
  <c r="I122" i="78"/>
  <c r="P122" i="78"/>
  <c r="H122" i="78"/>
  <c r="S122" i="78" s="1"/>
  <c r="M122" i="78"/>
  <c r="K126" i="78"/>
  <c r="P95" i="78"/>
  <c r="K95" i="78"/>
  <c r="S95" i="78" s="1"/>
  <c r="O106" i="78"/>
  <c r="M105" i="78"/>
  <c r="L105" i="78"/>
  <c r="I105" i="78"/>
  <c r="S105" i="78" s="1"/>
  <c r="S110" i="78"/>
  <c r="M112" i="78"/>
  <c r="L112" i="78"/>
  <c r="S112" i="78" s="1"/>
  <c r="U112" i="78" s="1"/>
  <c r="I112" i="78"/>
  <c r="I117" i="78" s="1"/>
  <c r="L124" i="78"/>
  <c r="I124" i="78"/>
  <c r="P124" i="78"/>
  <c r="H124" i="78"/>
  <c r="S124" i="78" s="1"/>
  <c r="M124" i="78"/>
  <c r="L116" i="78"/>
  <c r="S116" i="78"/>
  <c r="U116" i="78" s="1"/>
  <c r="K116" i="78"/>
  <c r="P116" i="78"/>
  <c r="H116" i="78"/>
  <c r="P134" i="78"/>
  <c r="H134" i="78"/>
  <c r="M134" i="78"/>
  <c r="K134" i="78"/>
  <c r="I134" i="78"/>
  <c r="S134" i="78"/>
  <c r="L159" i="78"/>
  <c r="K159" i="78"/>
  <c r="P159" i="78"/>
  <c r="H159" i="78"/>
  <c r="S159" i="78" s="1"/>
  <c r="U159" i="78" s="1"/>
  <c r="M159" i="78"/>
  <c r="I159" i="78"/>
  <c r="J99" i="78"/>
  <c r="J188" i="78" s="1"/>
  <c r="S97" i="78"/>
  <c r="S102" i="78"/>
  <c r="L109" i="78"/>
  <c r="K109" i="78"/>
  <c r="F117" i="78"/>
  <c r="P109" i="78"/>
  <c r="P117" i="78" s="1"/>
  <c r="H109" i="78"/>
  <c r="I116" i="78"/>
  <c r="O129" i="78"/>
  <c r="F129" i="78"/>
  <c r="P121" i="78"/>
  <c r="H121" i="78"/>
  <c r="M121" i="78"/>
  <c r="L121" i="78"/>
  <c r="I121" i="78"/>
  <c r="S132" i="78"/>
  <c r="L134" i="78"/>
  <c r="M148" i="78"/>
  <c r="K148" i="78"/>
  <c r="L148" i="78"/>
  <c r="I148" i="78"/>
  <c r="H148" i="78"/>
  <c r="P148" i="78"/>
  <c r="S120" i="78"/>
  <c r="P126" i="78"/>
  <c r="H126" i="78"/>
  <c r="S126" i="78" s="1"/>
  <c r="M126" i="78"/>
  <c r="M129" i="78" s="1"/>
  <c r="L126" i="78"/>
  <c r="I126" i="78"/>
  <c r="K149" i="78"/>
  <c r="P149" i="78"/>
  <c r="H149" i="78"/>
  <c r="M149" i="78"/>
  <c r="L149" i="78"/>
  <c r="I149" i="78"/>
  <c r="R187" i="78"/>
  <c r="L98" i="78"/>
  <c r="L114" i="78"/>
  <c r="L125" i="78"/>
  <c r="L127" i="78"/>
  <c r="H128" i="78"/>
  <c r="P128" i="78"/>
  <c r="I137" i="78"/>
  <c r="K141" i="78"/>
  <c r="H143" i="78"/>
  <c r="L145" i="78"/>
  <c r="I145" i="78"/>
  <c r="S145" i="78" s="1"/>
  <c r="I146" i="78"/>
  <c r="I151" i="78"/>
  <c r="I154" i="78"/>
  <c r="M158" i="78"/>
  <c r="I166" i="78"/>
  <c r="P166" i="78"/>
  <c r="H166" i="78"/>
  <c r="M166" i="78"/>
  <c r="K166" i="78"/>
  <c r="S166" i="78" s="1"/>
  <c r="I172" i="78"/>
  <c r="P172" i="78"/>
  <c r="H172" i="78"/>
  <c r="S172" i="78" s="1"/>
  <c r="M172" i="78"/>
  <c r="K172" i="78"/>
  <c r="K128" i="78"/>
  <c r="K129" i="78" s="1"/>
  <c r="O187" i="78"/>
  <c r="F187" i="78"/>
  <c r="K133" i="78"/>
  <c r="P133" i="78"/>
  <c r="I133" i="78"/>
  <c r="M137" i="78"/>
  <c r="K138" i="78"/>
  <c r="H138" i="78"/>
  <c r="S138" i="78" s="1"/>
  <c r="M142" i="78"/>
  <c r="K142" i="78"/>
  <c r="M144" i="78"/>
  <c r="K144" i="78"/>
  <c r="L152" i="78"/>
  <c r="I152" i="78"/>
  <c r="S153" i="78"/>
  <c r="I157" i="78"/>
  <c r="M157" i="78"/>
  <c r="S157" i="78" s="1"/>
  <c r="K157" i="78"/>
  <c r="I160" i="78"/>
  <c r="S160" i="78" s="1"/>
  <c r="U160" i="78" s="1"/>
  <c r="P160" i="78"/>
  <c r="H160" i="78"/>
  <c r="M160" i="78"/>
  <c r="K160" i="78"/>
  <c r="L168" i="78"/>
  <c r="K168" i="78"/>
  <c r="P168" i="78"/>
  <c r="H168" i="78"/>
  <c r="L174" i="78"/>
  <c r="K174" i="78"/>
  <c r="P174" i="78"/>
  <c r="H174" i="78"/>
  <c r="M174" i="78"/>
  <c r="S174" i="78" s="1"/>
  <c r="S177" i="78"/>
  <c r="H98" i="78"/>
  <c r="S98" i="78" s="1"/>
  <c r="H114" i="78"/>
  <c r="S114" i="78" s="1"/>
  <c r="U114" i="78" s="1"/>
  <c r="H125" i="78"/>
  <c r="H127" i="78"/>
  <c r="H133" i="78"/>
  <c r="S133" i="78" s="1"/>
  <c r="S136" i="78"/>
  <c r="I138" i="78"/>
  <c r="H142" i="78"/>
  <c r="H144" i="78"/>
  <c r="M145" i="78"/>
  <c r="L150" i="78"/>
  <c r="I150" i="78"/>
  <c r="S150" i="78" s="1"/>
  <c r="H152" i="78"/>
  <c r="S152" i="78" s="1"/>
  <c r="H157" i="78"/>
  <c r="L160" i="78"/>
  <c r="I168" i="78"/>
  <c r="I169" i="78"/>
  <c r="P169" i="78"/>
  <c r="H169" i="78"/>
  <c r="M169" i="78"/>
  <c r="K169" i="78"/>
  <c r="I174" i="78"/>
  <c r="S180" i="78"/>
  <c r="P141" i="78"/>
  <c r="H141" i="78"/>
  <c r="M141" i="78"/>
  <c r="M151" i="78"/>
  <c r="K151" i="78"/>
  <c r="S155" i="78"/>
  <c r="P158" i="78"/>
  <c r="H158" i="78"/>
  <c r="L158" i="78"/>
  <c r="I158" i="78"/>
  <c r="L162" i="78"/>
  <c r="K162" i="78"/>
  <c r="P162" i="78"/>
  <c r="H162" i="78"/>
  <c r="M162" i="78"/>
  <c r="S183" i="78"/>
  <c r="S185" i="78"/>
  <c r="K137" i="78"/>
  <c r="H137" i="78"/>
  <c r="S137" i="78" s="1"/>
  <c r="I141" i="78"/>
  <c r="M143" i="78"/>
  <c r="K143" i="78"/>
  <c r="P146" i="78"/>
  <c r="H146" i="78"/>
  <c r="M146" i="78"/>
  <c r="H151" i="78"/>
  <c r="S151" i="78" s="1"/>
  <c r="K154" i="78"/>
  <c r="P154" i="78"/>
  <c r="H154" i="78"/>
  <c r="K158" i="78"/>
  <c r="I162" i="78"/>
  <c r="S163" i="78"/>
  <c r="U163" i="78" s="1"/>
  <c r="L165" i="78"/>
  <c r="K165" i="78"/>
  <c r="P165" i="78"/>
  <c r="H165" i="78"/>
  <c r="M165" i="78"/>
  <c r="L171" i="78"/>
  <c r="K171" i="78"/>
  <c r="P171" i="78"/>
  <c r="H171" i="78"/>
  <c r="M171" i="78"/>
  <c r="H161" i="78"/>
  <c r="P161" i="78"/>
  <c r="H164" i="78"/>
  <c r="S164" i="78" s="1"/>
  <c r="U164" i="78" s="1"/>
  <c r="P164" i="78"/>
  <c r="H167" i="78"/>
  <c r="S167" i="78" s="1"/>
  <c r="P167" i="78"/>
  <c r="M168" i="78"/>
  <c r="H170" i="78"/>
  <c r="S170" i="78" s="1"/>
  <c r="P170" i="78"/>
  <c r="H173" i="78"/>
  <c r="P173" i="78"/>
  <c r="S173" i="78" s="1"/>
  <c r="I175" i="78"/>
  <c r="I178" i="78"/>
  <c r="I181" i="78"/>
  <c r="I184" i="78"/>
  <c r="K161" i="78"/>
  <c r="K164" i="78"/>
  <c r="K167" i="78"/>
  <c r="K170" i="78"/>
  <c r="K173" i="78"/>
  <c r="L175" i="78"/>
  <c r="L178" i="78"/>
  <c r="L181" i="78"/>
  <c r="L184" i="78"/>
  <c r="H175" i="78"/>
  <c r="H178" i="78"/>
  <c r="H181" i="78"/>
  <c r="H184" i="78"/>
  <c r="R188" i="78" l="1"/>
  <c r="S27" i="78"/>
  <c r="U27" i="78" s="1"/>
  <c r="M76" i="78"/>
  <c r="S71" i="78"/>
  <c r="U71" i="78" s="1"/>
  <c r="S162" i="78"/>
  <c r="U162" i="78" s="1"/>
  <c r="S161" i="78"/>
  <c r="U161" i="78" s="1"/>
  <c r="S158" i="78"/>
  <c r="U158" i="78" s="1"/>
  <c r="S143" i="78"/>
  <c r="U143" i="78" s="1"/>
  <c r="S142" i="78"/>
  <c r="U142" i="78" s="1"/>
  <c r="S141" i="78"/>
  <c r="U141" i="78" s="1"/>
  <c r="S178" i="78"/>
  <c r="S171" i="78"/>
  <c r="L187" i="78"/>
  <c r="S168" i="78"/>
  <c r="S169" i="78"/>
  <c r="S165" i="78"/>
  <c r="S148" i="78"/>
  <c r="S149" i="78"/>
  <c r="P187" i="78"/>
  <c r="S144" i="78"/>
  <c r="M187" i="78"/>
  <c r="I187" i="78"/>
  <c r="H129" i="78"/>
  <c r="S115" i="78"/>
  <c r="U115" i="78" s="1"/>
  <c r="S113" i="78"/>
  <c r="U113" i="78" s="1"/>
  <c r="M117" i="78"/>
  <c r="I106" i="78"/>
  <c r="S104" i="78"/>
  <c r="S96" i="78"/>
  <c r="L99" i="78"/>
  <c r="I76" i="78"/>
  <c r="S53" i="78"/>
  <c r="I56" i="78"/>
  <c r="S51" i="78"/>
  <c r="P56" i="78"/>
  <c r="M56" i="78"/>
  <c r="P39" i="78"/>
  <c r="S25" i="78"/>
  <c r="S21" i="78"/>
  <c r="L39" i="78"/>
  <c r="S20" i="78"/>
  <c r="M39" i="78"/>
  <c r="I39" i="78"/>
  <c r="Y188" i="78"/>
  <c r="S76" i="78"/>
  <c r="U76" i="78" s="1"/>
  <c r="S184" i="78"/>
  <c r="S154" i="78"/>
  <c r="P99" i="78"/>
  <c r="S121" i="78"/>
  <c r="S181" i="78"/>
  <c r="P129" i="78"/>
  <c r="H117" i="78"/>
  <c r="H106" i="78"/>
  <c r="K99" i="78"/>
  <c r="H56" i="78"/>
  <c r="S31" i="78"/>
  <c r="S14" i="78"/>
  <c r="S22" i="78"/>
  <c r="S11" i="78"/>
  <c r="H187" i="78"/>
  <c r="H39" i="78"/>
  <c r="S49" i="78"/>
  <c r="S175" i="78"/>
  <c r="S127" i="78"/>
  <c r="K187" i="78"/>
  <c r="I129" i="78"/>
  <c r="S30" i="78"/>
  <c r="S79" i="78"/>
  <c r="S12" i="78"/>
  <c r="S59" i="78"/>
  <c r="S125" i="78"/>
  <c r="L129" i="78"/>
  <c r="K117" i="78"/>
  <c r="L106" i="78"/>
  <c r="M99" i="78"/>
  <c r="S109" i="78"/>
  <c r="P76" i="78"/>
  <c r="L76" i="78"/>
  <c r="O188" i="78"/>
  <c r="S146" i="78"/>
  <c r="L117" i="78"/>
  <c r="H99" i="78"/>
  <c r="S89" i="78"/>
  <c r="H76" i="78"/>
  <c r="S33" i="78"/>
  <c r="S128" i="78"/>
  <c r="S106" i="78"/>
  <c r="F188" i="78"/>
  <c r="S42" i="78"/>
  <c r="P188" i="78" l="1"/>
  <c r="K188" i="78"/>
  <c r="H188" i="78"/>
  <c r="M188" i="78"/>
  <c r="L188" i="78"/>
  <c r="I188" i="78"/>
  <c r="S99" i="78"/>
  <c r="S43" i="78"/>
  <c r="S129" i="78"/>
  <c r="S117" i="78"/>
  <c r="U117" i="78" s="1"/>
  <c r="U188" i="78" s="1"/>
  <c r="S61" i="78"/>
  <c r="S187" i="78"/>
  <c r="S39" i="78"/>
  <c r="S56" i="78"/>
  <c r="S86" i="78"/>
  <c r="S188" i="78" l="1"/>
  <c r="L176" i="1"/>
  <c r="M134" i="1"/>
  <c r="H157" i="1" l="1"/>
  <c r="L31" i="1"/>
  <c r="M100" i="1"/>
  <c r="L124" i="1"/>
  <c r="L111" i="1"/>
  <c r="M102" i="1" l="1"/>
  <c r="L131" i="1"/>
  <c r="S157" i="1" l="1"/>
  <c r="M175" i="1" l="1"/>
  <c r="I187" i="1"/>
  <c r="I183" i="1"/>
  <c r="M183" i="1"/>
  <c r="H183" i="1"/>
  <c r="S183" i="1" l="1"/>
  <c r="H182" i="1" l="1"/>
  <c r="H187" i="1"/>
  <c r="S187" i="1" l="1"/>
  <c r="I112" i="1" l="1"/>
  <c r="M79" i="1" l="1"/>
  <c r="M32" i="1"/>
  <c r="M185" i="1"/>
  <c r="M141" i="1"/>
  <c r="M46" i="1"/>
  <c r="L148" i="1"/>
  <c r="H181" i="1" l="1"/>
  <c r="H180" i="1"/>
  <c r="H179" i="1"/>
  <c r="H178" i="1"/>
  <c r="H177" i="1"/>
  <c r="H149" i="1"/>
  <c r="H148" i="1"/>
  <c r="H147" i="1"/>
  <c r="G66" i="1"/>
  <c r="G49" i="1"/>
  <c r="G46" i="1"/>
  <c r="H124" i="1" l="1"/>
  <c r="L28" i="1"/>
  <c r="L39" i="1"/>
  <c r="G111" i="1"/>
  <c r="H37" i="1"/>
  <c r="H40" i="1" s="1"/>
  <c r="L40" i="1" l="1"/>
  <c r="Q40" i="1" l="1"/>
  <c r="S124" i="1"/>
  <c r="J37" i="1"/>
  <c r="S28" i="1"/>
  <c r="S39" i="1"/>
  <c r="S31" i="1"/>
  <c r="J40" i="1" l="1"/>
  <c r="S111" i="1"/>
  <c r="S37" i="1"/>
  <c r="S40" i="1" s="1"/>
  <c r="G19" i="1" l="1"/>
  <c r="I9" i="1"/>
  <c r="C168" i="68"/>
  <c r="F58" i="68" l="1"/>
  <c r="M172" i="1" l="1"/>
  <c r="M170" i="1"/>
  <c r="S184" i="1" l="1"/>
  <c r="L43" i="1"/>
  <c r="L10" i="1"/>
  <c r="I182" i="1" l="1"/>
  <c r="I185" i="1"/>
  <c r="I181" i="1"/>
  <c r="I180" i="1"/>
  <c r="I179" i="1"/>
  <c r="I178" i="1"/>
  <c r="I177" i="1"/>
  <c r="H176" i="1"/>
  <c r="I176" i="1"/>
  <c r="I175" i="1"/>
  <c r="I173" i="1"/>
  <c r="I172" i="1"/>
  <c r="I171" i="1"/>
  <c r="I170" i="1"/>
  <c r="I169" i="1"/>
  <c r="I168" i="1"/>
  <c r="I167" i="1"/>
  <c r="H166" i="1"/>
  <c r="I166" i="1"/>
  <c r="H165" i="1"/>
  <c r="I165" i="1"/>
  <c r="H164" i="1"/>
  <c r="I164" i="1"/>
  <c r="H163" i="1"/>
  <c r="I163" i="1"/>
  <c r="H162" i="1"/>
  <c r="I162" i="1"/>
  <c r="H145" i="1"/>
  <c r="H142" i="1"/>
  <c r="H144" i="1"/>
  <c r="H143" i="1"/>
  <c r="H141" i="1"/>
  <c r="H140" i="1"/>
  <c r="H134" i="1"/>
  <c r="H127" i="1"/>
  <c r="H126" i="1"/>
  <c r="H125" i="1"/>
  <c r="H123" i="1"/>
  <c r="H13" i="1"/>
  <c r="H121" i="1"/>
  <c r="H100" i="1"/>
  <c r="H102" i="1" s="1"/>
  <c r="H118" i="1"/>
  <c r="H15" i="1"/>
  <c r="H82" i="1"/>
  <c r="H8" i="1"/>
  <c r="H34" i="1" l="1"/>
  <c r="I193" i="1"/>
  <c r="H193" i="1"/>
  <c r="H131" i="1"/>
  <c r="H194" i="1" l="1"/>
  <c r="M173" i="1"/>
  <c r="M145" i="1"/>
  <c r="I20" i="1"/>
  <c r="L62" i="1"/>
  <c r="L45" i="1"/>
  <c r="G110" i="1" l="1"/>
  <c r="G107" i="1"/>
  <c r="G105" i="1"/>
  <c r="G89" i="1"/>
  <c r="G88" i="1"/>
  <c r="G86" i="1"/>
  <c r="G85" i="1"/>
  <c r="G79" i="1"/>
  <c r="G76" i="1"/>
  <c r="G75" i="1"/>
  <c r="G65" i="1"/>
  <c r="G63" i="1"/>
  <c r="G62" i="1"/>
  <c r="G59" i="1"/>
  <c r="G43" i="1"/>
  <c r="G7" i="1"/>
  <c r="G34" i="1" s="1"/>
  <c r="G72" i="1" l="1"/>
  <c r="G82" i="1"/>
  <c r="G95" i="1"/>
  <c r="G54" i="1"/>
  <c r="G112" i="1"/>
  <c r="G194" i="1" l="1"/>
  <c r="M109" i="1"/>
  <c r="M66" i="1"/>
  <c r="L66" i="1"/>
  <c r="L146" i="1"/>
  <c r="M72" i="1" l="1"/>
  <c r="M112" i="1"/>
  <c r="M178" i="1"/>
  <c r="M75" i="1"/>
  <c r="M82" i="1" s="1"/>
  <c r="L99" i="1" l="1"/>
  <c r="M125" i="1" l="1"/>
  <c r="M131" i="1" l="1"/>
  <c r="M163" i="1" l="1"/>
  <c r="L136" i="1"/>
  <c r="L110" i="1"/>
  <c r="L79" i="1"/>
  <c r="L82" i="1" l="1"/>
  <c r="S182" i="1" l="1"/>
  <c r="L32" i="1" l="1"/>
  <c r="S76" i="1" l="1"/>
  <c r="S19" i="1" l="1"/>
  <c r="S90" i="1"/>
  <c r="S89" i="1"/>
  <c r="S79" i="1"/>
  <c r="S110" i="1"/>
  <c r="S32" i="1"/>
  <c r="S29" i="1"/>
  <c r="S63" i="1" l="1"/>
  <c r="S77" i="1"/>
  <c r="S8" i="1" l="1"/>
  <c r="S9" i="1"/>
  <c r="S65" i="1"/>
  <c r="D50" i="61" l="1"/>
  <c r="B8" i="61"/>
  <c r="D7" i="61"/>
  <c r="D6" i="61"/>
  <c r="D5" i="61"/>
  <c r="L48" i="1" l="1"/>
  <c r="S146" i="1" l="1"/>
  <c r="L154" i="1" l="1"/>
  <c r="L64" i="1" l="1"/>
  <c r="M95" i="1" l="1"/>
  <c r="L134" i="1" l="1"/>
  <c r="L98" i="1"/>
  <c r="S156" i="1" l="1"/>
  <c r="M45" i="1" l="1"/>
  <c r="M54" i="1" l="1"/>
  <c r="M194" i="1" s="1"/>
  <c r="L138" i="1"/>
  <c r="L108" i="1"/>
  <c r="I102" i="1" l="1"/>
  <c r="J62" i="1" l="1"/>
  <c r="S62" i="1" l="1"/>
  <c r="J105" i="1" l="1"/>
  <c r="S20" i="1" l="1"/>
  <c r="I15" i="1" l="1"/>
  <c r="I34" i="1" s="1"/>
  <c r="I194" i="1" l="1"/>
  <c r="S186" i="1" l="1"/>
  <c r="J43" i="1" l="1"/>
  <c r="S43" i="1" l="1"/>
  <c r="S26" i="1" l="1"/>
  <c r="L100" i="1" l="1"/>
  <c r="L102" i="1" l="1"/>
  <c r="Q34" i="1"/>
  <c r="Q194" i="1" s="1"/>
  <c r="S174" i="1" l="1"/>
  <c r="S154" i="1"/>
  <c r="S155" i="1" l="1"/>
  <c r="S70" i="1"/>
  <c r="S109" i="1"/>
  <c r="S143" i="1" l="1"/>
  <c r="S153" i="1"/>
  <c r="S185" i="1" l="1"/>
  <c r="S152" i="1" l="1"/>
  <c r="S66" i="1" l="1"/>
  <c r="S7" i="1" l="1"/>
  <c r="S173" i="1" l="1"/>
  <c r="L105" i="1" l="1"/>
  <c r="L112" i="1" s="1"/>
  <c r="L147" i="1" l="1"/>
  <c r="S179" i="1" l="1"/>
  <c r="S178" i="1" l="1"/>
  <c r="S105" i="1"/>
  <c r="L87" i="1" l="1"/>
  <c r="S149" i="1" l="1"/>
  <c r="S181" i="1"/>
  <c r="S11" i="1" l="1"/>
  <c r="S180" i="1" l="1"/>
  <c r="S148" i="1"/>
  <c r="S177" i="1" l="1"/>
  <c r="S176" i="1" l="1"/>
  <c r="S48" i="1" l="1"/>
  <c r="L67" i="1"/>
  <c r="L46" i="1"/>
  <c r="L72" i="1" l="1"/>
  <c r="L54" i="1"/>
  <c r="S145" i="1"/>
  <c r="S136" i="1" l="1"/>
  <c r="C13" i="23" l="1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/>
  <c r="E12" i="8"/>
  <c r="D12" i="8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/>
  <c r="L144" i="1"/>
  <c r="E9" i="11"/>
  <c r="D9" i="11" s="1"/>
  <c r="E7" i="11"/>
  <c r="D7" i="11" s="1"/>
  <c r="E8" i="7"/>
  <c r="D8" i="7" s="1"/>
  <c r="E12" i="5"/>
  <c r="D12" i="5" s="1"/>
  <c r="E10" i="5"/>
  <c r="D10" i="5" s="1"/>
  <c r="E9" i="5"/>
  <c r="D9" i="5" s="1"/>
  <c r="E8" i="5"/>
  <c r="D8" i="5" s="1"/>
  <c r="E6" i="5"/>
  <c r="D6" i="5" s="1"/>
  <c r="S10" i="1" l="1"/>
  <c r="S15" i="1"/>
  <c r="S86" i="1"/>
  <c r="S78" i="1"/>
  <c r="S17" i="1"/>
  <c r="S169" i="1"/>
  <c r="S46" i="1"/>
  <c r="S49" i="1"/>
  <c r="L95" i="1"/>
  <c r="S45" i="1"/>
  <c r="S88" i="1"/>
  <c r="S47" i="1"/>
  <c r="S87" i="1"/>
  <c r="S175" i="1"/>
  <c r="J118" i="1"/>
  <c r="E12" i="7"/>
  <c r="D12" i="7" s="1"/>
  <c r="E9" i="7"/>
  <c r="D9" i="7" s="1"/>
  <c r="E10" i="7"/>
  <c r="D10" i="7" s="1"/>
  <c r="E6" i="7"/>
  <c r="D6" i="7" s="1"/>
  <c r="S147" i="1"/>
  <c r="E8" i="6"/>
  <c r="D8" i="6" s="1"/>
  <c r="E12" i="6"/>
  <c r="D12" i="6" s="1"/>
  <c r="E9" i="6"/>
  <c r="D9" i="6" s="1"/>
  <c r="E6" i="6"/>
  <c r="D6" i="6" s="1"/>
  <c r="R4" i="12"/>
  <c r="R7" i="12"/>
  <c r="R8" i="12"/>
  <c r="S142" i="1"/>
  <c r="S163" i="1"/>
  <c r="S167" i="1"/>
  <c r="S67" i="1"/>
  <c r="J121" i="1"/>
  <c r="S141" i="1"/>
  <c r="S126" i="1"/>
  <c r="S138" i="1"/>
  <c r="S170" i="1"/>
  <c r="S172" i="1"/>
  <c r="S14" i="1"/>
  <c r="S108" i="1"/>
  <c r="S162" i="1"/>
  <c r="S168" i="1"/>
  <c r="S140" i="1"/>
  <c r="J85" i="1"/>
  <c r="J134" i="1"/>
  <c r="S125" i="1"/>
  <c r="S99" i="1"/>
  <c r="S164" i="1"/>
  <c r="S171" i="1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E8" i="8"/>
  <c r="D8" i="8" s="1"/>
  <c r="D4" i="10"/>
  <c r="D4" i="13"/>
  <c r="B14" i="23"/>
  <c r="D5" i="8"/>
  <c r="D5" i="9"/>
  <c r="E6" i="13"/>
  <c r="D6" i="13" s="1"/>
  <c r="J75" i="1"/>
  <c r="J59" i="1"/>
  <c r="C14" i="23"/>
  <c r="E10" i="6"/>
  <c r="D10" i="6" s="1"/>
  <c r="E12" i="11"/>
  <c r="D12" i="11" s="1"/>
  <c r="D4" i="5"/>
  <c r="J72" i="1" l="1"/>
  <c r="S98" i="1"/>
  <c r="L194" i="1"/>
  <c r="S127" i="1"/>
  <c r="S18" i="131"/>
  <c r="J82" i="1"/>
  <c r="J95" i="1"/>
  <c r="J54" i="1"/>
  <c r="S117" i="1"/>
  <c r="J112" i="1"/>
  <c r="S135" i="1"/>
  <c r="S137" i="1"/>
  <c r="S166" i="1"/>
  <c r="E14" i="7"/>
  <c r="D14" i="7" s="1"/>
  <c r="S64" i="1"/>
  <c r="S72" i="1" s="1"/>
  <c r="S134" i="1"/>
  <c r="S107" i="1"/>
  <c r="S85" i="1"/>
  <c r="S106" i="1"/>
  <c r="S121" i="1"/>
  <c r="S144" i="1"/>
  <c r="S165" i="1"/>
  <c r="S122" i="1"/>
  <c r="E14" i="4"/>
  <c r="D14" i="4" s="1"/>
  <c r="D5" i="7"/>
  <c r="D14" i="5"/>
  <c r="E14" i="5"/>
  <c r="E14" i="13"/>
  <c r="D14" i="13" s="1"/>
  <c r="E13" i="8"/>
  <c r="D13" i="8" s="1"/>
  <c r="S75" i="1"/>
  <c r="S82" i="1" s="1"/>
  <c r="S59" i="1"/>
  <c r="E14" i="6"/>
  <c r="D14" i="6" s="1"/>
  <c r="S118" i="1" l="1"/>
  <c r="H55" i="68" s="1"/>
  <c r="S95" i="1"/>
  <c r="S54" i="1"/>
  <c r="S112" i="1"/>
  <c r="H49" i="68"/>
  <c r="H47" i="68"/>
  <c r="J34" i="1" l="1"/>
  <c r="S13" i="1"/>
  <c r="S34" i="1"/>
  <c r="H54" i="68"/>
  <c r="H51" i="68"/>
  <c r="H48" i="68"/>
  <c r="H52" i="68"/>
  <c r="J131" i="1"/>
  <c r="S123" i="1" l="1"/>
  <c r="S131" i="1" s="1"/>
  <c r="H56" i="68" l="1"/>
  <c r="J102" i="1" l="1"/>
  <c r="S100" i="1" l="1"/>
  <c r="J193" i="1"/>
  <c r="S102" i="1" l="1"/>
  <c r="H53" i="68" s="1"/>
  <c r="J194" i="1"/>
  <c r="S150" i="1"/>
  <c r="S193" i="1" s="1"/>
  <c r="S194" i="1" l="1"/>
  <c r="H57" i="68"/>
  <c r="H50" i="68" l="1"/>
  <c r="E194" i="1"/>
  <c r="G23" i="68"/>
  <c r="G26" i="68"/>
  <c r="H46" i="68"/>
  <c r="H20" i="68"/>
  <c r="G25" i="68"/>
  <c r="G24" i="68"/>
  <c r="H28" i="68" l="1"/>
  <c r="H58" i="68"/>
  <c r="H29" i="68" l="1"/>
  <c r="H31" i="68" s="1"/>
  <c r="Z11" i="131"/>
  <c r="AB11" i="131" l="1"/>
  <c r="Z13" i="131"/>
  <c r="AB13" i="131" l="1"/>
  <c r="X12" i="132"/>
  <c r="V12" i="132"/>
  <c r="Q12" i="132"/>
  <c r="T8" i="131"/>
  <c r="T27" i="131" s="1"/>
  <c r="Z7" i="131"/>
  <c r="Z8" i="131" s="1"/>
  <c r="Z27" i="131" s="1"/>
  <c r="AB7" i="131" l="1"/>
  <c r="AB8" i="131" s="1"/>
  <c r="AB27" i="131" s="1"/>
  <c r="Q27" i="131"/>
  <c r="Q11" i="131"/>
  <c r="Q13" i="131"/>
  <c r="Q18" i="131"/>
  <c r="Q7" i="131"/>
  <c r="Q12" i="131"/>
</calcChain>
</file>

<file path=xl/sharedStrings.xml><?xml version="1.0" encoding="utf-8"?>
<sst xmlns="http://schemas.openxmlformats.org/spreadsheetml/2006/main" count="10835" uniqueCount="1174">
  <si>
    <t>STAFF NAME</t>
  </si>
  <si>
    <t>BASIC</t>
  </si>
  <si>
    <t>RENT</t>
  </si>
  <si>
    <t>UTILITY</t>
  </si>
  <si>
    <t>GROSS</t>
  </si>
  <si>
    <t>N</t>
  </si>
  <si>
    <t>USMAN WAZIRI</t>
  </si>
  <si>
    <t>SALAMATU YAKUBU</t>
  </si>
  <si>
    <t>GRAND TOTAL</t>
  </si>
  <si>
    <t>PREPARED BY:</t>
  </si>
  <si>
    <t>INTERNAL MEMO</t>
  </si>
  <si>
    <t>DR SHUIBU DANWANKA</t>
  </si>
  <si>
    <t>DESIGNATION</t>
  </si>
  <si>
    <t>DRIVER</t>
  </si>
  <si>
    <t>TASIU MOHAMMED</t>
  </si>
  <si>
    <t>TOTAL</t>
  </si>
  <si>
    <t>DG OFFICE</t>
  </si>
  <si>
    <t>ICT OFFICER</t>
  </si>
  <si>
    <t>ALI ABDULLAHI</t>
  </si>
  <si>
    <t>DR ASIMIYU G. ABIOLA</t>
  </si>
  <si>
    <t>IBRAHIM M. MSHELIA</t>
  </si>
  <si>
    <t>AMINU BELLO DUKKU</t>
  </si>
  <si>
    <t>OLATUNJI OYEDELE YUSUF</t>
  </si>
  <si>
    <t>NAMADI IDRIS UMAR</t>
  </si>
  <si>
    <t>DANJUMA KAGADAMA</t>
  </si>
  <si>
    <t>ALFRED ISABU</t>
  </si>
  <si>
    <t>ANTHONY EDET</t>
  </si>
  <si>
    <t>10(10)</t>
  </si>
  <si>
    <t>4(10)</t>
  </si>
  <si>
    <t>16(7)</t>
  </si>
  <si>
    <t>15(7)</t>
  </si>
  <si>
    <t>PERSONAL</t>
  </si>
  <si>
    <t>DOMESTIC</t>
  </si>
  <si>
    <t>ALLCE</t>
  </si>
  <si>
    <t>CONSOL</t>
  </si>
  <si>
    <t>LEVEL</t>
  </si>
  <si>
    <t>SALARY</t>
  </si>
  <si>
    <t xml:space="preserve">SALARY </t>
  </si>
  <si>
    <t>PAYE</t>
  </si>
  <si>
    <t>ALIYU YAKUBU</t>
  </si>
  <si>
    <t>ABDULLAHI HARUNA</t>
  </si>
  <si>
    <t>LEAVE</t>
  </si>
  <si>
    <t>ENTERT.</t>
  </si>
  <si>
    <t>FURNIT.</t>
  </si>
  <si>
    <t>ASSISTANT</t>
  </si>
  <si>
    <t>MOTOR/</t>
  </si>
  <si>
    <t>FUEL</t>
  </si>
  <si>
    <t>OUT FIT</t>
  </si>
  <si>
    <t>LEGISLATIVE</t>
  </si>
  <si>
    <t>DUTY ALLCE</t>
  </si>
  <si>
    <t>Director General's Office</t>
  </si>
  <si>
    <t>8(9)</t>
  </si>
  <si>
    <t>10(11)</t>
  </si>
  <si>
    <t>ABDULWAHAB DAHIRU</t>
  </si>
  <si>
    <t>SIGNATURE</t>
  </si>
  <si>
    <t>DATE</t>
  </si>
  <si>
    <t>LEG. SUPPORT SEVICES</t>
  </si>
  <si>
    <t>GIDEON B. LAMIDO</t>
  </si>
  <si>
    <t>IN LIEU</t>
  </si>
  <si>
    <t>28 DAYS ALCE</t>
  </si>
  <si>
    <t>FEB. 2012</t>
  </si>
  <si>
    <t>MAR.2012</t>
  </si>
  <si>
    <t>GRADE LEVEL 17 STEP 7</t>
  </si>
  <si>
    <t>Domestic Staff Allowance</t>
  </si>
  <si>
    <t>Basic Salary</t>
  </si>
  <si>
    <t>Rent Subsidy</t>
  </si>
  <si>
    <t>Utility</t>
  </si>
  <si>
    <t>Entertainment Allowance</t>
  </si>
  <si>
    <t>Furniture Allowance</t>
  </si>
  <si>
    <t>Motor Fuel Allowance</t>
  </si>
  <si>
    <t>Leave Allowance</t>
  </si>
  <si>
    <t>Outfit Allowance</t>
  </si>
  <si>
    <t>ANNUALLY</t>
  </si>
  <si>
    <t>MONTHLY</t>
  </si>
  <si>
    <t>GROSS SALARY</t>
  </si>
  <si>
    <t>15(9)</t>
  </si>
  <si>
    <t>GRADE LEVEL 16 STEP 7</t>
  </si>
  <si>
    <t>DIRECTOR</t>
  </si>
  <si>
    <t>RESEARCH FELLOW I</t>
  </si>
  <si>
    <t>13/7</t>
  </si>
  <si>
    <t>RESEARCH FELLOW II</t>
  </si>
  <si>
    <t>12/7</t>
  </si>
  <si>
    <t>SALARY DETAILS OF NILS  RESEARCH OFFICERS</t>
  </si>
  <si>
    <t>GRADE LEVEL 10 STEP 7</t>
  </si>
  <si>
    <t>RESEARCH OFFICER</t>
  </si>
  <si>
    <t>10/7</t>
  </si>
  <si>
    <t>SALARY DETAILS OF NILS  RESEARCH ASSISTANTS</t>
  </si>
  <si>
    <t>RESEARCH ASSISTANTS</t>
  </si>
  <si>
    <t>9/7</t>
  </si>
  <si>
    <t>GRADE LEVEL 9 STEP 7</t>
  </si>
  <si>
    <t>8/7</t>
  </si>
  <si>
    <t>Research Allowance</t>
  </si>
  <si>
    <t>RESEARCH</t>
  </si>
  <si>
    <t>ALLOWANCE</t>
  </si>
  <si>
    <t xml:space="preserve">RESEARCH FELLOW </t>
  </si>
  <si>
    <t>14(7)</t>
  </si>
  <si>
    <t xml:space="preserve">Research Assistants </t>
  </si>
  <si>
    <t>GRADE LEVEL 14 STEP 7</t>
  </si>
  <si>
    <t>DR KABIR AHMED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</si>
  <si>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</si>
  <si>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KABIR MUHAMMAD SULAIMAN</t>
  </si>
  <si>
    <t>IBE EZECHI CYRIACUS</t>
  </si>
  <si>
    <t>EROMOSELE OMONIGBO</t>
  </si>
  <si>
    <t>OGUNYOMI ROTIMI</t>
  </si>
  <si>
    <t>10(7)</t>
  </si>
  <si>
    <t>8(7)</t>
  </si>
  <si>
    <t>SIMON YAKUBU WAKAWA</t>
  </si>
  <si>
    <t>MAGAJI BALA</t>
  </si>
  <si>
    <t>SHEHU ABDULLAHI</t>
  </si>
  <si>
    <t>ALIYU SANNI ABUBAKAR</t>
  </si>
  <si>
    <t>CATHERINE E. IKOKOH</t>
  </si>
  <si>
    <t>ANDRAWUS MUSA</t>
  </si>
  <si>
    <t>AKINSANMI ADEJOKE OLUKEMI</t>
  </si>
  <si>
    <t>JUMARE FADILA</t>
  </si>
  <si>
    <t>UZODINMA EMMANUEL EZENWA</t>
  </si>
  <si>
    <t>RESEARCH ASSISTANT</t>
  </si>
  <si>
    <t>OFORDEME ADAOBI JULIA</t>
  </si>
  <si>
    <t>UDEFUNA NNADOZIE PATRICK</t>
  </si>
  <si>
    <t>IBRAHIM USMAN</t>
  </si>
  <si>
    <t>DIRECTOR GENERAL</t>
  </si>
  <si>
    <t>AMOUNT</t>
  </si>
  <si>
    <t>DEDUCTIONS</t>
  </si>
  <si>
    <t>S/NO</t>
  </si>
  <si>
    <t xml:space="preserve"> </t>
  </si>
  <si>
    <t>MOHAMMED R. ADAMU</t>
  </si>
  <si>
    <t>TO: DG</t>
  </si>
  <si>
    <t>SALARY DETAILS OF NILS DIRECTOR RESEARCH AND TRAINING</t>
  </si>
  <si>
    <t>OGABO OGAH USMAN</t>
  </si>
  <si>
    <t>ETSU UMARU</t>
  </si>
  <si>
    <t xml:space="preserve">MURTALA LAWAL </t>
  </si>
  <si>
    <t>IKPEAZU CHINEDU ANITA</t>
  </si>
  <si>
    <t>CONFIDENTIAL SECRETARY</t>
  </si>
  <si>
    <t>BAKARI HUSSEINI</t>
  </si>
  <si>
    <t>SALARY OF SECRTARY ON SCALE 8 STEP 7</t>
  </si>
  <si>
    <t>RAHILA SALIHU</t>
  </si>
  <si>
    <t>CHINAKO N. ASOGWA</t>
  </si>
  <si>
    <t>EDACHE  OGA</t>
  </si>
  <si>
    <t>DR JAKE DABANG DAN AZUMI</t>
  </si>
  <si>
    <t>NGARA CHRISTOPHER OCHANJA</t>
  </si>
  <si>
    <t>JOY HARUNA MAKERI</t>
  </si>
  <si>
    <t>YUGUDA S. IDRIS</t>
  </si>
  <si>
    <t>CHRISTIAN MADUABUCHI ODO</t>
  </si>
  <si>
    <t>TONDO IORWUESE EDWARD</t>
  </si>
  <si>
    <t>S/N</t>
  </si>
  <si>
    <t>DONALD E. MKPANAM</t>
  </si>
  <si>
    <t>DEPUTY DIRECTOR</t>
  </si>
  <si>
    <t>17/8</t>
  </si>
  <si>
    <t>16/8</t>
  </si>
  <si>
    <t>15(8)</t>
  </si>
  <si>
    <t>13(8)</t>
  </si>
  <si>
    <t>4(8)</t>
  </si>
  <si>
    <t>OMOUDU QUEEN PRISCILLA</t>
  </si>
  <si>
    <t>GARBA ADAMU</t>
  </si>
  <si>
    <t>RAHILA NURUDEEN HABU</t>
  </si>
  <si>
    <t>DR ADEYEMI AKEEB FAJINGBESI</t>
  </si>
  <si>
    <t>SALARY DETAILS OF NILS  LIBRARIAN</t>
  </si>
  <si>
    <t>GRADE LEVEL 15 STEP 7</t>
  </si>
  <si>
    <t>SALARY DETAILS OF NILS  CHIEF LIBRARIAN</t>
  </si>
  <si>
    <t>DR CLINTON JAJA</t>
  </si>
  <si>
    <t>OGUCHE SAMUEL</t>
  </si>
  <si>
    <t>16(9)</t>
  </si>
  <si>
    <t>17(9)</t>
  </si>
  <si>
    <t>14(9)</t>
  </si>
  <si>
    <t>13(9)</t>
  </si>
  <si>
    <t>10(9)</t>
  </si>
  <si>
    <t>BETHEL UZOMA IHUGBA</t>
  </si>
  <si>
    <t>ABUBAKAR MUSA DANLAMI</t>
  </si>
  <si>
    <t>SENIOR DRIVER</t>
  </si>
  <si>
    <t>OFFICER M&amp;E</t>
  </si>
  <si>
    <t>TERFA WILLIAMS ABRAHAM</t>
  </si>
  <si>
    <t>13(10)</t>
  </si>
  <si>
    <t xml:space="preserve">          </t>
  </si>
  <si>
    <t>PAYE DEDUCTIONS</t>
  </si>
  <si>
    <t>YAHAYA SHAMSU</t>
  </si>
  <si>
    <t>14(11)</t>
  </si>
  <si>
    <t>13(11)</t>
  </si>
  <si>
    <t>8(8)</t>
  </si>
  <si>
    <t>5(10)</t>
  </si>
  <si>
    <t>OJOGIWA ABISOLA GANIAT</t>
  </si>
  <si>
    <t>BASSEY NSONGURUA UDOFIA</t>
  </si>
  <si>
    <t>COOP. LOAN RECOVERY</t>
  </si>
  <si>
    <t>14(10)</t>
  </si>
  <si>
    <t>OSOLAFIA MUHAMMAD EGYE</t>
  </si>
  <si>
    <t>ARCH. TIJO ZARA BORYO</t>
  </si>
  <si>
    <t>DORIS DAKDA AARON</t>
  </si>
  <si>
    <t>DR FRANCIS NDUM OJIE</t>
  </si>
  <si>
    <t>EMILY EDOISA IKHIDE</t>
  </si>
  <si>
    <t>DR IKEME ARTHUR J.O</t>
  </si>
  <si>
    <t>SNR RESEARCH FELLOW</t>
  </si>
  <si>
    <t>EJALONIBU GANIYU LAYI</t>
  </si>
  <si>
    <t>GRADE LEVEL 13 STEP 7</t>
  </si>
  <si>
    <t>SALARY DETAILS OF NILS ASSISTANT MANAGER</t>
  </si>
  <si>
    <t>DR AUGUSTINE C. OSIGWE</t>
  </si>
  <si>
    <t>SALARY DETAILS OF NILS SENIOR RESEARCH FELLOW</t>
  </si>
  <si>
    <t>SALARY DETAILS OF NILS INSTITUTE LIBRARIAN</t>
  </si>
  <si>
    <t>LEGAL SERVICES</t>
  </si>
  <si>
    <t>Legal Services</t>
  </si>
  <si>
    <t>Legis. Support Services</t>
  </si>
  <si>
    <t>Reasearch Allowance</t>
  </si>
  <si>
    <t xml:space="preserve">SENIOR RESEARCH FELLOW </t>
  </si>
  <si>
    <t>DIRECTOR LEGAL SERVICES</t>
  </si>
  <si>
    <t>DIRECTOR POST GRADUATE</t>
  </si>
  <si>
    <t>OMOJU OLUWASOLA EMMANUEL</t>
  </si>
  <si>
    <t>MOSHOOD M. OLALERE</t>
  </si>
  <si>
    <t>OYINLOLA ISMAHEEL TAIWO</t>
  </si>
  <si>
    <t>DR MOHAMMED O. AMALI</t>
  </si>
  <si>
    <t>17(8)</t>
  </si>
  <si>
    <t>10(8)</t>
  </si>
  <si>
    <t>YUSIF SADIQ SANI</t>
  </si>
  <si>
    <t>IBRAHIM ZAKARI AHMAD</t>
  </si>
  <si>
    <t>STELLA NGOZI PAUL</t>
  </si>
  <si>
    <t>ABUBAKAR AMINU DOLE</t>
  </si>
  <si>
    <t>OWOEYE TOSIN KAYODE</t>
  </si>
  <si>
    <t>DARAMOLA SANJO SAMSON</t>
  </si>
  <si>
    <t>MANAGER ADMIN DG's OFFICE</t>
  </si>
  <si>
    <t>NHF DEDUCTIONS</t>
  </si>
  <si>
    <t>DR MAIMUNA IZAH</t>
  </si>
  <si>
    <t>INSITUTE LIBRARIAN</t>
  </si>
  <si>
    <t>SHEDRACK NASARA M.</t>
  </si>
  <si>
    <t>IBRAHIM ALIYU</t>
  </si>
  <si>
    <t>HUSSEIN EGYE MUSA</t>
  </si>
  <si>
    <t>16(8)</t>
  </si>
  <si>
    <t>14(8)</t>
  </si>
  <si>
    <t>5(12)</t>
  </si>
  <si>
    <t xml:space="preserve">PROF. ABUBAKAR O. SULAIMAN </t>
  </si>
  <si>
    <t>DR ABDULSALAM NASIRU NAEEM</t>
  </si>
  <si>
    <t>SA ACADEMICS</t>
  </si>
  <si>
    <t>SARAFADEEN ALABELEWE</t>
  </si>
  <si>
    <t>SALARY/ALLOWCE AREARS</t>
  </si>
  <si>
    <t>YUNUSA ABDULLAHI</t>
  </si>
  <si>
    <t>NAZIRU RABIU IBRAHIM</t>
  </si>
  <si>
    <t>YUNUSA ABDULMUMINI ELEOJO</t>
  </si>
  <si>
    <t>JONATHAN GABRIEL</t>
  </si>
  <si>
    <t>ZHOKWO PETER</t>
  </si>
  <si>
    <t>NATIONAL INSTITUTE FOR LEGISLATIVE AND DEMOCRATIC STUDIES</t>
  </si>
  <si>
    <t>PRINCIPAL CONF. SECRETARY</t>
  </si>
  <si>
    <t>ASST OFFICER ASSETS &amp; MAINT</t>
  </si>
  <si>
    <t>OKECHUKWU UCHENNA HULDA</t>
  </si>
  <si>
    <t>JUWAIRATU ABDULSALAM ISAH</t>
  </si>
  <si>
    <t>SENIOR CONFIDENTIAL SECR</t>
  </si>
  <si>
    <t>AMOS ABA</t>
  </si>
  <si>
    <t>SARATU H. GWALEM</t>
  </si>
  <si>
    <t>HAUWA PATE SADIQ</t>
  </si>
  <si>
    <t>PROGRAMME OFFICER</t>
  </si>
  <si>
    <t>DR ASEMOTA OMOROGBE JOSEPH</t>
  </si>
  <si>
    <t>SENIOR RESEARCH FELLOW</t>
  </si>
  <si>
    <t>JOHN GIMAH</t>
  </si>
  <si>
    <t>EGUATU U. ONYEJELEM</t>
  </si>
  <si>
    <t>IJEOMA NKOLIKWA</t>
  </si>
  <si>
    <t>ASSISTANT STORES OFFICER</t>
  </si>
  <si>
    <t>DIR. FINANCE &amp; ACCOUNTS</t>
  </si>
  <si>
    <t>IWODI ENE JUDITH</t>
  </si>
  <si>
    <t>INFORMATION OFFICER</t>
  </si>
  <si>
    <t>ADUGBA RICHARD TERSEER</t>
  </si>
  <si>
    <t>VICTOR ASUKWO</t>
  </si>
  <si>
    <t>PROF. EDOBA BRIGHT OMOREGBE</t>
  </si>
  <si>
    <t>AG. DLSS</t>
  </si>
  <si>
    <t>RESEARCH FELLOW 11</t>
  </si>
  <si>
    <t xml:space="preserve">SNR RESEARCH FELLOW </t>
  </si>
  <si>
    <t>SNR RESEARCH FELLOW DOCU</t>
  </si>
  <si>
    <t>THRU: DIRECTOR, FINANCE AND ACCOUNTS</t>
  </si>
  <si>
    <t>FROM : DEPUTY DIRECTOR,  FINANCE AND ACCOUNTS</t>
  </si>
  <si>
    <t>5(8)</t>
  </si>
  <si>
    <t>5(11)</t>
  </si>
  <si>
    <t>4(9)</t>
  </si>
  <si>
    <t>10(14)</t>
  </si>
  <si>
    <t>5(13)</t>
  </si>
  <si>
    <t>8(10)</t>
  </si>
  <si>
    <t>DD FINANCE &amp; ACCOUNTS</t>
  </si>
  <si>
    <t>COOP LOAN RECOVERY</t>
  </si>
  <si>
    <t>ANALYSED AS FOLLOWS:</t>
  </si>
  <si>
    <t>16 (8)</t>
  </si>
  <si>
    <t>15 (7)</t>
  </si>
  <si>
    <t>13 (7)</t>
  </si>
  <si>
    <t>SULEIMAN ABUBAKAR SODEEQ</t>
  </si>
  <si>
    <t>YAKUB OLUWATOYIN USMAN</t>
  </si>
  <si>
    <t>ABDULSALAM BAKO</t>
  </si>
  <si>
    <t>DR. ADEWALE ADEREMI</t>
  </si>
  <si>
    <t>DIRECTOR, DEMOCRATIC STUDIES</t>
  </si>
  <si>
    <t>JOHN ETIMBUK UDO</t>
  </si>
  <si>
    <t>FINANCE &amp; ACCOUNT</t>
  </si>
  <si>
    <t>ADMINISTRATION &amp; HUMAN RESOURCE</t>
  </si>
  <si>
    <t>LIBRARY AND DOCUMENTATION</t>
  </si>
  <si>
    <t>TRAINING AND INTERNATIONAL COOP</t>
  </si>
  <si>
    <t>INTERNAL AUDIT</t>
  </si>
  <si>
    <t>Internal Audit</t>
  </si>
  <si>
    <t>Library &amp; Documentation</t>
  </si>
  <si>
    <t>Finance and Accounts</t>
  </si>
  <si>
    <t>ABDULRAHMAN A SULAIMAN</t>
  </si>
  <si>
    <t>BUKOLA HAUWA SHIRU</t>
  </si>
  <si>
    <t>ADMIN. ASST.</t>
  </si>
  <si>
    <t>HASSANA AHMED IBRAHIM</t>
  </si>
  <si>
    <t>11</t>
  </si>
  <si>
    <t>ODEH SUZIE</t>
  </si>
  <si>
    <t>ADMIN. OFFICER, LIASION OFFICE</t>
  </si>
  <si>
    <t>8 (9)</t>
  </si>
  <si>
    <t>ASST. MGR  M&amp;E</t>
  </si>
  <si>
    <t>RESEARCH FELLOW 1</t>
  </si>
  <si>
    <t>10(13)</t>
  </si>
  <si>
    <t>DEPUTY DIRECTOR  TRAINING</t>
  </si>
  <si>
    <t>ADMIN OFFICER</t>
  </si>
  <si>
    <t>5(9)</t>
  </si>
  <si>
    <t>CHIEF DRIVER</t>
  </si>
  <si>
    <t>29TH JANUARY , 2021</t>
  </si>
  <si>
    <t>SUBJECT: PAYROLL FOR THE MONTH OF JANUARY, 2021</t>
  </si>
  <si>
    <t>Find below the details of  NILDS Staff Payroll for the month of January, 2021</t>
  </si>
  <si>
    <t>7(3)</t>
  </si>
  <si>
    <t>STEPS</t>
  </si>
  <si>
    <t>BASIC SALARY</t>
  </si>
  <si>
    <t>GRADE LEVEL</t>
  </si>
  <si>
    <t xml:space="preserve">TRAINING OFFICER </t>
  </si>
  <si>
    <t>RESEARCH FELLOW 11 DATA &amp; DOCU</t>
  </si>
  <si>
    <t>Ag. DEPUTY DIRECTOR, ECO &amp; SOC DEV DEPT</t>
  </si>
  <si>
    <t>DIR. SPECIAL DUTIES, DG OFFICE</t>
  </si>
  <si>
    <t>ASST. ADMIN. OFFICER</t>
  </si>
  <si>
    <t>RAHEEM USMAN AYIGORO</t>
  </si>
  <si>
    <t>SA-INFRASTRUCTURE</t>
  </si>
  <si>
    <t>MARIAM MOHAMMED BELLO</t>
  </si>
  <si>
    <t>PA- SPECIAL DUTIES</t>
  </si>
  <si>
    <t>ASSIST. INFORMATION</t>
  </si>
  <si>
    <t>NNANDI LIVINUS ATURE</t>
  </si>
  <si>
    <t>LUCKY AGWOM</t>
  </si>
  <si>
    <t>ABAYOMI KAYODE QUADRI</t>
  </si>
  <si>
    <t>LONA POLIT BONKAT</t>
  </si>
  <si>
    <t>IGWE STACY</t>
  </si>
  <si>
    <t>USMAN WALI</t>
  </si>
  <si>
    <t>MOSHOOD TOSHO AMUDA</t>
  </si>
  <si>
    <t>MANAGER, EXAMS &amp; RECORDS</t>
  </si>
  <si>
    <t>DARE SHEU MAGBON</t>
  </si>
  <si>
    <t>ASSIST. PG</t>
  </si>
  <si>
    <t>MOHAMMED BELLO</t>
  </si>
  <si>
    <t>RESEARCH ASSITANT PG</t>
  </si>
  <si>
    <t>NDANUSA MOHAMMED MANZUMA</t>
  </si>
  <si>
    <t>AYOBOLU OLAJIDE OLUFUNSHO</t>
  </si>
  <si>
    <t>PERCY TERFA GBAHABO</t>
  </si>
  <si>
    <t>RIFKATU NGHARGBU</t>
  </si>
  <si>
    <t>OSIKHEN LEO IGBANOI</t>
  </si>
  <si>
    <t>OKUNGBOWA OSARETIN GODSPOWER</t>
  </si>
  <si>
    <t>LIBRARY ASSISTANT</t>
  </si>
  <si>
    <t>HEAD INFORMATION/PROTOCOL</t>
  </si>
  <si>
    <t>MANAGER, LEGAL SERVICES</t>
  </si>
  <si>
    <t>TITILAYO DANIEL MARVELLOUS</t>
  </si>
  <si>
    <t>ABDULLAHI YUSUF</t>
  </si>
  <si>
    <t>DEPUTY DIRECTOR TRAINING</t>
  </si>
  <si>
    <t>DIFFERENCE</t>
  </si>
  <si>
    <t>TASSNEEM IBRAHIM</t>
  </si>
  <si>
    <t>PA- TO DG</t>
  </si>
  <si>
    <t>STUDIES</t>
  </si>
  <si>
    <t>ADMIN. ASSISTANT DLSS</t>
  </si>
  <si>
    <t>HARDSHIP</t>
  </si>
  <si>
    <t>SA- ADMIN</t>
  </si>
  <si>
    <t>HEAD, NILDS LIAISON OFFICE</t>
  </si>
  <si>
    <t>AUCTION</t>
  </si>
  <si>
    <t>DEMOCRACY AND GOVERNANCE</t>
  </si>
  <si>
    <t>ECONOMIC DEV. AND SOCIAL RESEARCH</t>
  </si>
  <si>
    <t>Democracy and Governance</t>
  </si>
  <si>
    <t>Economic Dev. &amp; Social Research</t>
  </si>
  <si>
    <t>Studies</t>
  </si>
  <si>
    <t>ABBAS ZAINAB</t>
  </si>
  <si>
    <t>OLOLADE ABRU IDOWU</t>
  </si>
  <si>
    <t>JIMOH ADEBAYO ZAKA</t>
  </si>
  <si>
    <t>OSANAIYE DAVID AKINYEMI</t>
  </si>
  <si>
    <t>DIRECTOR INTERNAL AUDIT</t>
  </si>
  <si>
    <t>ARAOYE GANIYAT TITILOLA</t>
  </si>
  <si>
    <t>REKIYA IBRAHIM ATTAH</t>
  </si>
  <si>
    <t>SALMAN RABBIAT BOLATITO</t>
  </si>
  <si>
    <t>ABUBAKAR MOHAMMED BASHIR</t>
  </si>
  <si>
    <t>ASST. CHIEF TRAINING OFFICER</t>
  </si>
  <si>
    <t>OLD GROSS</t>
  </si>
  <si>
    <t>12(7)</t>
  </si>
  <si>
    <t>OLD PAYE</t>
  </si>
  <si>
    <t>NEW PAYE</t>
  </si>
  <si>
    <t>ASST. OFFICER/COMM</t>
  </si>
  <si>
    <t>CHIEF TRAINING OFFICER</t>
  </si>
  <si>
    <t>ENENCHE JEREMIAH AGADA</t>
  </si>
  <si>
    <t xml:space="preserve">ASST. DIRECTOR, STORE </t>
  </si>
  <si>
    <t>ASST. DIRECTOR, ACCOUNTS</t>
  </si>
  <si>
    <t>9</t>
  </si>
  <si>
    <t>PRISCILLA NKECHI CHUWKU</t>
  </si>
  <si>
    <t>ASST. DIRECTOR, ASSETS/MAINT.</t>
  </si>
  <si>
    <t>ASST. DIRECTOR, HUMAN RESOURCES</t>
  </si>
  <si>
    <t>CHIEF , ASSETS &amp; MAINT. OFFICER</t>
  </si>
  <si>
    <t>ASST. CHIEF BUDGET OFFICER</t>
  </si>
  <si>
    <t>ASST. CHIEF ACCOUNT OFFICER</t>
  </si>
  <si>
    <t>ASST. CHIEF ACCOUNTOFFICER</t>
  </si>
  <si>
    <t>CHIEF ADMIN OFFICER</t>
  </si>
  <si>
    <t>RESEARCH FELLOW 1 TRAINING</t>
  </si>
  <si>
    <t>ASST.DIR., INFORMATION</t>
  </si>
  <si>
    <t>CHIEF PROTOCOL OFFICER</t>
  </si>
  <si>
    <t>CHIEF ICT OFFICER</t>
  </si>
  <si>
    <t>ASST. CHIEF ICT OFFICER</t>
  </si>
  <si>
    <t>PRINCIPAL ICT OFFICER</t>
  </si>
  <si>
    <t>DIR.ADMIN &amp; HR</t>
  </si>
  <si>
    <t>DIR ADMIN</t>
  </si>
  <si>
    <t>DD ADMIN</t>
  </si>
  <si>
    <t>PRINCIPAL PERSONNEL OFFICER</t>
  </si>
  <si>
    <t xml:space="preserve">FROM: </t>
  </si>
  <si>
    <t>TO:</t>
  </si>
  <si>
    <t>DIRECTOR, GENERAL</t>
  </si>
  <si>
    <t>THRU:</t>
  </si>
  <si>
    <t>DIRECTOR, FINANCE AND ACCOUNT</t>
  </si>
  <si>
    <t xml:space="preserve">DATE: </t>
  </si>
  <si>
    <t>No. of Staff</t>
  </si>
  <si>
    <t>LAWAL TANIMU</t>
  </si>
  <si>
    <t>`12333</t>
  </si>
  <si>
    <t>SUNDAY ADEYI</t>
  </si>
  <si>
    <t>CHARITY EZENWAJIOBI</t>
  </si>
  <si>
    <t>CHRISTABEL UKOH</t>
  </si>
  <si>
    <t>55</t>
  </si>
  <si>
    <t>STAFF PAYROLL FOR THE MONTH OF DECEMBER, 2021</t>
  </si>
  <si>
    <t>NEW GROSS</t>
  </si>
  <si>
    <t>8 (10)</t>
  </si>
  <si>
    <t>15 (8)</t>
  </si>
  <si>
    <t>13 (8)</t>
  </si>
  <si>
    <t>5 (8)</t>
  </si>
  <si>
    <t>12(8)</t>
  </si>
  <si>
    <t>7(4)</t>
  </si>
  <si>
    <t>HABEEBA K MUHAMMAD SALIHU</t>
  </si>
  <si>
    <t>SA- SPECIAL DUTIES</t>
  </si>
  <si>
    <t>JAMILA ABDUL</t>
  </si>
  <si>
    <t>ZAINAB AKINDE</t>
  </si>
  <si>
    <t>YUSUF IBRAHIM</t>
  </si>
  <si>
    <t>PRINCIPAL RESEARCH OFFICER</t>
  </si>
  <si>
    <t>HASSAN YERIMA</t>
  </si>
  <si>
    <t>SHAFIU YAHYA MIKAIL</t>
  </si>
  <si>
    <t>ISERE RICHARD KANTEE</t>
  </si>
  <si>
    <t>HARUNA MUSA</t>
  </si>
  <si>
    <t>AUDITOR II</t>
  </si>
  <si>
    <t>9(7)</t>
  </si>
  <si>
    <t>FESTUS OSAGU NDIDI</t>
  </si>
  <si>
    <t>SNR ADMIN OFFICER</t>
  </si>
  <si>
    <t>56</t>
  </si>
  <si>
    <t>REASEARCH. ASST.</t>
  </si>
  <si>
    <t>DG'S OFFICE</t>
  </si>
  <si>
    <t>ELIZABETH OGECHUKWU ONYEAKU</t>
  </si>
  <si>
    <t>ABDULLAHI AHMAD USMAN</t>
  </si>
  <si>
    <t>MARYAM MUSA SADA</t>
  </si>
  <si>
    <t>FAROOQ ONOKIJIPA</t>
  </si>
  <si>
    <t>ADMIN. OFFICER</t>
  </si>
  <si>
    <t>MUNIRAT JIMOH</t>
  </si>
  <si>
    <t>ACCOUNT ASSISTANT</t>
  </si>
  <si>
    <t>YAHAYA ADAMU ABDULHAMID</t>
  </si>
  <si>
    <t>ASST. OFF. ASSET &amp; MAINT.t.</t>
  </si>
  <si>
    <t>HUSSAIN HAZEEM</t>
  </si>
  <si>
    <t>58</t>
  </si>
  <si>
    <t>AYUBA SULE</t>
  </si>
  <si>
    <t>DISPATCH OFFICER</t>
  </si>
  <si>
    <t>ACCOUNT. OFFICER</t>
  </si>
  <si>
    <t>LOHNA BONKAT JONATHAN</t>
  </si>
  <si>
    <t>STAFF PAYROLL FOR THE MONTH OF AUGUST 2022</t>
  </si>
  <si>
    <t>AUGUST 2022  PAYE</t>
  </si>
  <si>
    <t>JULY 2022  PAYE</t>
  </si>
  <si>
    <t>GUNAT NANSAK MARK</t>
  </si>
  <si>
    <t>HARUNA JIBRIL A.</t>
  </si>
  <si>
    <t>COOP SOCIETY DEDUCTIONS ( CONTR.&amp; SPEC. SAVINGS)</t>
  </si>
  <si>
    <t>Training &amp; Int'l Cooperation</t>
  </si>
  <si>
    <t>Admin &amp; Human Resource</t>
  </si>
  <si>
    <t>COOP CONTR/SPEC SAVINGS</t>
  </si>
  <si>
    <t>NHF DED.</t>
  </si>
  <si>
    <t>TOTAL DEDUCTION</t>
  </si>
  <si>
    <t>ALLCE/ AREARS</t>
  </si>
  <si>
    <t>DEMOCRACY  &amp; GOVERNANCE</t>
  </si>
  <si>
    <t>DEPARTMENT OF STUDIES</t>
  </si>
  <si>
    <t>ECON. DEV. &amp; SOC. RESEARCH</t>
  </si>
  <si>
    <t>TRAINING  &amp;  INT''L COOP</t>
  </si>
  <si>
    <t>LIBRARY &amp;  DOCUMENTATION</t>
  </si>
  <si>
    <t>FINANCE &amp; ACCOUNTS</t>
  </si>
  <si>
    <t>ADMIN &amp; HUMAN RESOURCE</t>
  </si>
  <si>
    <t>ASST. DIRECTOR, STORES</t>
  </si>
  <si>
    <t>HABEEBA K MUH'D SALIHU</t>
  </si>
  <si>
    <t>ASSIT. RESEARCH OFFICER</t>
  </si>
  <si>
    <t>NGN</t>
  </si>
  <si>
    <t>DEPUTY DIR.  TTECHNICAL</t>
  </si>
  <si>
    <t>DEPUTY DIR. INFO/PROTOCOL</t>
  </si>
  <si>
    <t>DEPUTY DIRECTOR, M&amp;E</t>
  </si>
  <si>
    <t>DEPUTY DIR. GENERAL SERVICE</t>
  </si>
  <si>
    <t>CHIEF ACCOUNT OFFICER</t>
  </si>
  <si>
    <t xml:space="preserve">PRINCIPAL M&amp;E OFFICER </t>
  </si>
  <si>
    <t>PRINCIPAL INFO. OFFICER</t>
  </si>
  <si>
    <t>PRINC.CONFIDENTIAL SECRETARY II</t>
  </si>
  <si>
    <t>STORES OFFICER</t>
  </si>
  <si>
    <t>TRANSPORT OFFICER</t>
  </si>
  <si>
    <t>SENIOR CONFIDENTIAL SECRETARY</t>
  </si>
  <si>
    <t xml:space="preserve">PRINCIPALTRAINING OFFICER </t>
  </si>
  <si>
    <t>PRINCIPAL PROGRAMME OFFICER</t>
  </si>
  <si>
    <t>SNR CONFIDENTIAL SECRETARY</t>
  </si>
  <si>
    <t>DEPUTY DIRECTOR, ASSETS/MAINT.</t>
  </si>
  <si>
    <t>NAME</t>
  </si>
  <si>
    <t>YUSUF SADIQ SANI</t>
  </si>
  <si>
    <t>STELLA NGIZI PAUL</t>
  </si>
  <si>
    <t>TRAINING  &amp;  INT'L COOP</t>
  </si>
  <si>
    <t>AG DIR ADMIN &amp; HR</t>
  </si>
  <si>
    <t>STAFF ENHANCED WELFARE SCHEDULE 2023</t>
  </si>
  <si>
    <t>Grade Level       01 - 13</t>
  </si>
  <si>
    <t>Grade Level         14 - 17</t>
  </si>
  <si>
    <t>STAFF PAYROLL FOR THE MONTH OF JANUARY 2023</t>
  </si>
  <si>
    <t>16 (9)</t>
  </si>
  <si>
    <t>12(9)</t>
  </si>
  <si>
    <t>9(8)</t>
  </si>
  <si>
    <t>8(11)</t>
  </si>
  <si>
    <t>13 (9)</t>
  </si>
  <si>
    <t>7(5)</t>
  </si>
  <si>
    <t>5 (9)</t>
  </si>
  <si>
    <t>4(11)</t>
  </si>
  <si>
    <t>ASEMOTA OMOROGBE JOSEPH</t>
  </si>
  <si>
    <t>j</t>
  </si>
  <si>
    <t>NEW NHF DED.</t>
  </si>
  <si>
    <t>OLD NHF DED.</t>
  </si>
  <si>
    <t>DIFFRENCE</t>
  </si>
  <si>
    <t>NATIONAL ASSEMBLY ABUJA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</si>
  <si>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</si>
  <si>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</si>
  <si>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</si>
  <si>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</si>
  <si>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</si>
  <si>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</si>
  <si>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</si>
  <si>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</si>
  <si>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</si>
  <si>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</si>
  <si>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</si>
  <si>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</si>
  <si>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</si>
  <si>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</si>
  <si>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</si>
  <si>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</si>
  <si>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</si>
  <si>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</si>
  <si>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</si>
  <si>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</si>
  <si>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OLD Tax</t>
  </si>
  <si>
    <t>Difference</t>
  </si>
  <si>
    <t>TAX COMPUTATION FOR 2023</t>
  </si>
  <si>
    <t xml:space="preserve">PROTOCOL ASSISTANT </t>
  </si>
  <si>
    <t>EMILY EKHIDE</t>
  </si>
  <si>
    <t>SHOLAGBERU T. SOFIAT</t>
  </si>
  <si>
    <t>ASST. ACCOUNT. OFFICER</t>
  </si>
  <si>
    <t>STAFF WELFARE APRIL, 2023</t>
  </si>
  <si>
    <t>TASNEEM IBRAHIM</t>
  </si>
  <si>
    <t>ASST. INFORMATION OFFICER</t>
  </si>
  <si>
    <t>DEPUTY DIR.  TECHNICAL</t>
  </si>
  <si>
    <t>ASSIST. INFO.OFFICER</t>
  </si>
  <si>
    <t>LEG, CTRE FOR SEC. ANALYSIS</t>
  </si>
  <si>
    <t>10</t>
  </si>
  <si>
    <t>54</t>
  </si>
  <si>
    <t>LEG, CTRE FOR SECURITY ANALYSIS</t>
  </si>
  <si>
    <t>PRINC.LIAISON OFFICER</t>
  </si>
  <si>
    <t>LEG, CENTRE FOR SECURITY ANALYSIS</t>
  </si>
  <si>
    <t>Leg. Center for Security Analysis</t>
  </si>
  <si>
    <t>STAFF PAYROLL FOR THE MONTH OF JUNE 2023</t>
  </si>
  <si>
    <t>ETTI  HAWANAT OYENIKE</t>
  </si>
  <si>
    <t>BILKIS S. LAWAL-GAMBARI</t>
  </si>
  <si>
    <t>AMINAT JUMOKE SULAIMON</t>
  </si>
  <si>
    <t>AST. PROGRAMME OFFICER</t>
  </si>
  <si>
    <t>OLANIYAN TAIWO ABINBOLA</t>
  </si>
  <si>
    <t>HARUNA JIBRIL AMEH</t>
  </si>
  <si>
    <t>MUSTAPHA RAFIU AYOBANJI</t>
  </si>
  <si>
    <t>SAHEED AYINLA AJIA</t>
  </si>
  <si>
    <t>MOTOR DRIVER MECHANIC</t>
  </si>
  <si>
    <t>4(7)</t>
  </si>
  <si>
    <t>ABUBAKAR YAHAYA</t>
  </si>
  <si>
    <t>SULEIMAN USMAN</t>
  </si>
  <si>
    <t>ABDULLAHI HUSSAINI</t>
  </si>
  <si>
    <t>SENIOR MOTOR DRIVER</t>
  </si>
  <si>
    <t>5(7)</t>
  </si>
  <si>
    <t>SALIHU ABASS</t>
  </si>
  <si>
    <t>SEPTEMBER, 2023</t>
  </si>
  <si>
    <t>GRANT OF WAGE AWARD TO FEDERAL GOVERNMENT WORKERS</t>
  </si>
  <si>
    <t>SCHEDULE FOR FOUR (4) MONTHS SEPTEMBER TO DECEMBER 2023</t>
  </si>
  <si>
    <t>TOTAL FOR DG'S OFFICE</t>
  </si>
  <si>
    <t>TOTAL FOR AUDIT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</si>
  <si>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</si>
  <si>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</si>
  <si>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</si>
  <si>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</si>
  <si>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</si>
  <si>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</si>
  <si>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</si>
  <si>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TOTAL FOR LEG. CENTER FOR SECURITY ANALYSIS</t>
  </si>
  <si>
    <t>TOTAL FINANCE &amp; ACCOUNTS</t>
  </si>
  <si>
    <t>TOTAL FOR ADMIN &amp; HUMAN RESOURCE</t>
  </si>
  <si>
    <t>GRAND TOTAL FOR 151 NILDS STAFF</t>
  </si>
  <si>
    <t>N/A</t>
  </si>
  <si>
    <t>SEPT. TO DEC. 2023</t>
  </si>
  <si>
    <t>SEPTEMBER</t>
  </si>
  <si>
    <t>OCTOBER</t>
  </si>
  <si>
    <t>NOVEMBER</t>
  </si>
  <si>
    <t>DECEMBER</t>
  </si>
  <si>
    <t>Consultant</t>
  </si>
  <si>
    <t>Saratu Adamu Attajiri</t>
  </si>
  <si>
    <t>Office Assistant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</si>
  <si>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</si>
  <si>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</si>
  <si>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</si>
  <si>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</si>
  <si>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</si>
  <si>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</si>
  <si>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</si>
  <si>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</si>
  <si>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</si>
  <si>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</si>
  <si>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</si>
  <si>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</si>
  <si>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</si>
  <si>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</si>
  <si>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</si>
  <si>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</si>
  <si>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</si>
  <si>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</si>
  <si>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</si>
  <si>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</si>
  <si>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</si>
  <si>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</si>
  <si>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Contract Staff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</si>
  <si>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</si>
  <si>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</si>
  <si>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</si>
  <si>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</si>
  <si>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</si>
  <si>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</si>
  <si>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</si>
  <si>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</si>
  <si>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Rahimat Suberu Onize</t>
  </si>
  <si>
    <t>Inya Joephine Ode</t>
  </si>
  <si>
    <t>Prof Charles U. Ilebune</t>
  </si>
  <si>
    <t>Ikip Lebo</t>
  </si>
  <si>
    <t>Yusuf Yusuf Dayyabu</t>
  </si>
  <si>
    <t>Musa Mustapha Adekola</t>
  </si>
  <si>
    <t xml:space="preserve">Casual Staff </t>
  </si>
  <si>
    <t>Ramatu Ibrahim Abdulrahim</t>
  </si>
  <si>
    <t xml:space="preserve">Rasheedat Daibu </t>
  </si>
  <si>
    <t>Ladan Abdulmushin Tawfiq</t>
  </si>
  <si>
    <t>Dr. Alabi Adesina Muhydeen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</si>
  <si>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</si>
  <si>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</si>
  <si>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</si>
  <si>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</si>
  <si>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</si>
  <si>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</si>
  <si>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</si>
  <si>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</si>
  <si>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</si>
  <si>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</si>
  <si>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</si>
  <si>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</si>
  <si>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</si>
  <si>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</si>
  <si>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</si>
  <si>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</si>
  <si>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 xml:space="preserve">Contract Staff </t>
  </si>
  <si>
    <t>Elizabeth Ogechukwu Onyeaku</t>
  </si>
  <si>
    <t>Magaji Bala</t>
  </si>
  <si>
    <t>Ganiyat Titilola Araoye</t>
  </si>
  <si>
    <t>Ngalabak Shugge</t>
  </si>
  <si>
    <t>Olufemi Emmanuel Oyegoke</t>
  </si>
  <si>
    <t>OCTOBER, 2023</t>
  </si>
  <si>
    <t>NOVEMBER, 2023</t>
  </si>
  <si>
    <t>DECEMBER, 2023</t>
  </si>
  <si>
    <t>Mohammed Etudaiye</t>
  </si>
  <si>
    <t>7</t>
  </si>
  <si>
    <t>CURRENT GROSS SALARY</t>
  </si>
  <si>
    <t>CURRENT GRADE LEVEL</t>
  </si>
  <si>
    <t>NEW GROSS SALARY</t>
  </si>
  <si>
    <t>STAFF PAYROLL FOR THE MONTH OF OCTOBER 2023</t>
  </si>
  <si>
    <t>NEW GRADE LEVEL</t>
  </si>
  <si>
    <t>CURRENT PAYE</t>
  </si>
  <si>
    <t xml:space="preserve">CURRENT NHF </t>
  </si>
  <si>
    <t>NEW NHF</t>
  </si>
  <si>
    <t>INCREMENT IN GROSS SALARY</t>
  </si>
  <si>
    <t>INCREMENT IN PAYE</t>
  </si>
  <si>
    <t>NET SALARY INCREMENT</t>
  </si>
  <si>
    <t>ARREARS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</si>
  <si>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</si>
  <si>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</si>
  <si>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</si>
  <si>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</si>
  <si>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</si>
  <si>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</si>
  <si>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</si>
  <si>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</si>
  <si>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</si>
  <si>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</si>
  <si>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</si>
  <si>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</si>
  <si>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</si>
  <si>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</si>
  <si>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</si>
  <si>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</si>
  <si>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</si>
  <si>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</si>
  <si>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</si>
  <si>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</si>
  <si>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</si>
  <si>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</si>
  <si>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</si>
  <si>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</si>
  <si>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</si>
  <si>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</si>
  <si>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</si>
  <si>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</si>
  <si>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</si>
  <si>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</si>
  <si>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</si>
  <si>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</si>
  <si>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</si>
  <si>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</si>
  <si>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STORE OFFICER</t>
  </si>
  <si>
    <t>CHIEF PROGRAMMES OFFICER</t>
  </si>
  <si>
    <t>AD, TRAINING &amp; IC./SA TO DG</t>
  </si>
  <si>
    <t>SENIOR PROGRAMME OFFICER</t>
  </si>
  <si>
    <t>59</t>
  </si>
  <si>
    <t>PRINCIPAL ADMIN OFFICER</t>
  </si>
  <si>
    <t>PRINC. ADMIN &amp; HR OFFICER</t>
  </si>
  <si>
    <t>ADMIN. &amp; HR OFFICER</t>
  </si>
  <si>
    <t>CHIEF MOTOR DRIVER MECH.</t>
  </si>
  <si>
    <t>SENIOR MOTOR DRIVER MECH.</t>
  </si>
  <si>
    <t>1</t>
  </si>
  <si>
    <t>NET AMOUNT</t>
  </si>
  <si>
    <t>STAFF PAYROLL FOR THE MONTH OF NOVEMBER 2023</t>
  </si>
  <si>
    <t>DEPUTY DIRECTOR, FINANCE AND ACCOUNTS</t>
  </si>
  <si>
    <t>IJEOMA EWELUKWA</t>
  </si>
  <si>
    <t>AUDIT OFFICER</t>
  </si>
  <si>
    <t>14 (7)</t>
  </si>
  <si>
    <t>DEM. &amp; GOVERNANCE</t>
  </si>
  <si>
    <t>ABDULSALAM S. MUSTAPHA</t>
  </si>
  <si>
    <t>ASST. MANAGER ICT</t>
  </si>
  <si>
    <t>KOLAPO Q. ABAYOMI</t>
  </si>
  <si>
    <t>SCHEDULE OF 1ST 28 DAY TO THE NEWLY CONVERTED STAFF</t>
  </si>
  <si>
    <t>ELIZABETHOGECHUKWU ONYEAKU</t>
  </si>
  <si>
    <t>ASST. ICT OFFICER</t>
  </si>
  <si>
    <r>
      <t xml:space="preserve">AMOUNT </t>
    </r>
    <r>
      <rPr>
        <b/>
        <sz val="10"/>
        <rFont val="Times New Roman"/>
        <family val="1"/>
      </rPr>
      <t>(N20,000 X 28 DAYS)</t>
    </r>
  </si>
  <si>
    <t>ADMIN &amp; HR</t>
  </si>
  <si>
    <t>ARREARS PAID IN OCTOBER</t>
  </si>
  <si>
    <t>SHORTFALL IN ARREARS</t>
  </si>
  <si>
    <t>STAFF PAYROLL FOR THE MONTH OF DECEMBER 2023</t>
  </si>
  <si>
    <t>SHEU MAGABON DARE</t>
  </si>
  <si>
    <t>ADMIN ASSISTANT</t>
  </si>
  <si>
    <t>ADMINISTRATION OFFICER</t>
  </si>
  <si>
    <t>DEPUTY DIRECTOR, LEGAL RESEARCH</t>
  </si>
  <si>
    <t>DEP. DIRECTOR, ACCOUNTS</t>
  </si>
  <si>
    <t>Ag. DIR. TRAINING &amp; IC</t>
  </si>
  <si>
    <t>FARUQ ATOFARATI</t>
  </si>
  <si>
    <t>PA (SPECIAL DUTIES) TO DG</t>
  </si>
  <si>
    <t>HALF SALARY</t>
  </si>
  <si>
    <t>CONS. SALARY</t>
  </si>
  <si>
    <t>STAFF CHRISTMAS WELFARE DECEMBER 2023</t>
  </si>
  <si>
    <t>9(9)</t>
  </si>
  <si>
    <t>15 (9)</t>
  </si>
  <si>
    <t>8(12)</t>
  </si>
  <si>
    <t>12(10)</t>
  </si>
  <si>
    <t>FAROOQ ONIKIJIPA ABDULAFEEZ</t>
  </si>
  <si>
    <t>7(6)</t>
  </si>
  <si>
    <t>5 (10)</t>
  </si>
  <si>
    <t>STAFF ENHANCED WELFARE SCHEDULE 2024</t>
  </si>
  <si>
    <t>PREPARED BY:  Rahila N. Habu                                        SIGNATURE………………..                                  DATE:  29TH JANUARY, 2024</t>
  </si>
  <si>
    <t>NET PAY AS PER  JANUARY, 2024 PAYROLL</t>
  </si>
  <si>
    <t>IDRIS IBRAHIM</t>
  </si>
  <si>
    <t>ABUBAKAR SULAIMAN SODEEQ</t>
  </si>
  <si>
    <t>13(7)</t>
  </si>
  <si>
    <t>TAX COMPUTATION FOR 2022</t>
  </si>
  <si>
    <t>difference</t>
  </si>
  <si>
    <t>Total Tax Regularisation Figure</t>
  </si>
  <si>
    <t>INACCURATE TAX CHARGED</t>
  </si>
  <si>
    <t xml:space="preserve">ACCURATE  TAX FIGURE </t>
  </si>
  <si>
    <t>EXCESS DEDUCTION</t>
  </si>
  <si>
    <t>Amount of Under Deduction</t>
  </si>
  <si>
    <t>Net Difference</t>
  </si>
  <si>
    <t>STAFF PAYROLL FOR THE MONTH OF FEBRUARY, 2024</t>
  </si>
  <si>
    <t>JANUARY, 2023</t>
  </si>
  <si>
    <t>FEBRUARY, 2024</t>
  </si>
  <si>
    <t>Effect of Cooperative Adjustment for February, 2024</t>
  </si>
  <si>
    <t>29TH FEBRUARY 2024</t>
  </si>
  <si>
    <t>Find below the details of NILDS Staff Payroll for the Month of  February 2024:</t>
  </si>
  <si>
    <t>SUBJECT: PAYROLL FOR THE MONTH OF FEBRUARY 2024</t>
  </si>
  <si>
    <t>GROSS SALARY FOR  FEBRUARY, 2024</t>
  </si>
  <si>
    <t>TOTAL DEDUCTIONS FOR  FEBRUARY 2024</t>
  </si>
  <si>
    <t>NET PAY AS PER  FEBRUARY, 2024 PAYROLL</t>
  </si>
  <si>
    <t>NET INCREASE/ (DECREASE)  IN PAY FOR  FEBRUARY, 2024</t>
  </si>
  <si>
    <t>Effect Regularisation of Taxes of Dr. Augustine Osigwe &amp; 17 others</t>
  </si>
  <si>
    <t>CHANGES IN GROSS SALARY AND PAYE TAX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</si>
  <si>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</si>
  <si>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</si>
  <si>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</si>
  <si>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</si>
  <si>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</si>
  <si>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</si>
  <si>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</si>
  <si>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</si>
  <si>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PPS TO DG</t>
  </si>
  <si>
    <t>PA- TRAINING</t>
  </si>
  <si>
    <t>PA-TECHNICAL</t>
  </si>
  <si>
    <t>SENIOR INTERNAL AUDITOR</t>
  </si>
  <si>
    <t>COMPUTATION OF 8% EMPLOYEE PENSION DEDUCTION</t>
  </si>
  <si>
    <t>CONSOLIDATED SALARY</t>
  </si>
  <si>
    <t>EMPLOYEE PENSIONS</t>
  </si>
  <si>
    <t>to be paid in February</t>
  </si>
  <si>
    <t>Effect of Arrears due to over deduction of Tax of Dr. Idris Ibrahim</t>
  </si>
  <si>
    <t>Amount of Over Deduction (paid in January)</t>
  </si>
  <si>
    <t>Add Over deduction to be paid in February</t>
  </si>
  <si>
    <t>Total</t>
  </si>
  <si>
    <t>DR SHUAIBU DANWANKA</t>
  </si>
  <si>
    <t>Effect of Increase in Gross Salary due to change in Salary Scale</t>
  </si>
  <si>
    <t>Effect of Increase in PAYE Tax due to change in Salary Scale</t>
  </si>
  <si>
    <t>TOTAL - ANNUAL</t>
  </si>
  <si>
    <t>TOTAL - MONTHLY</t>
  </si>
  <si>
    <t>PENSION DEDUCTIONS</t>
  </si>
  <si>
    <t>Effect of 8% Employee Pension deductions in February change in Salary Scale</t>
  </si>
  <si>
    <t>A</t>
  </si>
  <si>
    <t>B</t>
  </si>
  <si>
    <t>(A-B)</t>
  </si>
  <si>
    <t>JANUARY 2024 ARREARS</t>
  </si>
  <si>
    <t>Salary Arrears for the Month of January 2024 to all Staff</t>
  </si>
  <si>
    <t>NET SALARY</t>
  </si>
  <si>
    <t>NEW LEVEL</t>
  </si>
  <si>
    <t>ARREARS FOR DECEMBER</t>
  </si>
  <si>
    <t>STAFF PAYROLL FOR THE MONTH OF FEBRUARY 2024</t>
  </si>
  <si>
    <t>Net Effect of Arrears ifo Jamila Abdul due to Upgrade in Grade Level</t>
  </si>
  <si>
    <t>Less 700,000</t>
  </si>
  <si>
    <t>Net Effect of Research Allowance to Ayobolu Olufunso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</si>
  <si>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</si>
  <si>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</si>
  <si>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</si>
  <si>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</si>
  <si>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</si>
  <si>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</si>
  <si>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</si>
  <si>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</si>
  <si>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</si>
  <si>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</si>
  <si>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</si>
  <si>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</si>
  <si>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</si>
  <si>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</si>
  <si>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</si>
  <si>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</si>
  <si>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</si>
  <si>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</si>
  <si>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</si>
  <si>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</si>
  <si>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</si>
  <si>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</si>
  <si>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</si>
  <si>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</si>
  <si>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</si>
  <si>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</si>
  <si>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</si>
  <si>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</si>
  <si>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</si>
  <si>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</si>
  <si>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SIMON WAKAWA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</si>
  <si>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</si>
  <si>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</si>
  <si>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</si>
  <si>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</si>
  <si>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</si>
  <si>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</si>
  <si>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</si>
  <si>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</si>
  <si>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</si>
  <si>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</si>
  <si>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</si>
  <si>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</si>
  <si>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</si>
  <si>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</si>
  <si>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</si>
  <si>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</si>
  <si>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</si>
  <si>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</si>
  <si>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</si>
  <si>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</si>
  <si>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</si>
  <si>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</si>
  <si>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</si>
  <si>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</si>
  <si>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</si>
  <si>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</si>
  <si>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</si>
  <si>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</si>
  <si>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</si>
  <si>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</si>
  <si>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</si>
  <si>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</si>
  <si>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</si>
  <si>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</si>
  <si>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</si>
  <si>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</si>
  <si>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</si>
  <si>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</si>
  <si>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</si>
  <si>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</si>
  <si>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</si>
  <si>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</si>
  <si>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</si>
  <si>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</si>
  <si>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</si>
  <si>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</si>
  <si>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</si>
  <si>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</si>
  <si>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</si>
  <si>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</si>
  <si>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</si>
  <si>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</si>
  <si>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</si>
  <si>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</si>
  <si>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</si>
  <si>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</si>
  <si>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03145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</si>
  <si>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</si>
  <si>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</si>
  <si>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</si>
  <si>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</si>
  <si>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</si>
  <si>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</si>
  <si>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</si>
  <si>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</si>
  <si>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</si>
  <si>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</si>
  <si>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</si>
  <si>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</si>
  <si>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</si>
  <si>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</si>
  <si>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</si>
  <si>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</si>
  <si>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</si>
  <si>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</si>
  <si>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</si>
  <si>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</si>
  <si>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</si>
  <si>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</si>
  <si>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</si>
  <si>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</si>
  <si>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</si>
  <si>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</si>
  <si>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</si>
  <si>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</si>
  <si>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</si>
  <si>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</si>
  <si>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</si>
  <si>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</si>
  <si>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</si>
  <si>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</si>
  <si>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</si>
  <si>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</si>
  <si>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</si>
  <si>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</si>
  <si>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</si>
  <si>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</si>
  <si>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</si>
  <si>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</si>
  <si>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</si>
  <si>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</si>
  <si>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</si>
  <si>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</si>
  <si>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</si>
  <si>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</si>
  <si>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</si>
  <si>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</si>
  <si>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</si>
  <si>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</si>
  <si>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</si>
  <si>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</si>
  <si>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</si>
  <si>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</si>
  <si>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</si>
  <si>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</si>
  <si>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</si>
  <si>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</si>
  <si>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</si>
  <si>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</si>
  <si>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</si>
  <si>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</si>
  <si>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</si>
  <si>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</si>
  <si>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</si>
  <si>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</si>
  <si>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</si>
  <si>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</si>
  <si>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</si>
  <si>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</si>
  <si>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</si>
  <si>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</si>
  <si>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</si>
  <si>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</si>
  <si>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</si>
  <si>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</si>
  <si>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</si>
  <si>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</si>
  <si>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</si>
  <si>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</si>
  <si>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</si>
  <si>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</si>
  <si>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</si>
  <si>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</si>
  <si>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</si>
  <si>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</si>
  <si>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</si>
  <si>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</si>
  <si>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</si>
  <si>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</si>
  <si>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</si>
  <si>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</si>
  <si>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</si>
  <si>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</si>
  <si>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</si>
  <si>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</si>
  <si>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</si>
  <si>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</si>
  <si>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</si>
  <si>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</si>
  <si>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</si>
  <si>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</si>
  <si>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</si>
  <si>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</si>
  <si>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</si>
  <si>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</si>
  <si>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</si>
  <si>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</si>
  <si>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</si>
  <si>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</si>
  <si>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</si>
  <si>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</si>
  <si>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</si>
  <si>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</si>
  <si>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</si>
  <si>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</si>
  <si>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</si>
  <si>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</si>
  <si>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</si>
  <si>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</si>
  <si>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</si>
  <si>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</si>
  <si>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</si>
  <si>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</si>
  <si>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</si>
  <si>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</si>
  <si>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</si>
  <si>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</si>
  <si>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</si>
  <si>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</si>
  <si>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</si>
  <si>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</si>
  <si>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</si>
  <si>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</si>
  <si>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</si>
  <si>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</si>
  <si>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</si>
  <si>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</si>
  <si>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</si>
  <si>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</si>
  <si>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</si>
  <si>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</si>
  <si>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</si>
  <si>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</si>
  <si>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</si>
  <si>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</si>
  <si>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</si>
  <si>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</si>
  <si>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</si>
  <si>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</si>
  <si>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</si>
  <si>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</si>
  <si>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</si>
  <si>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</si>
  <si>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</si>
  <si>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</si>
  <si>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</si>
  <si>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</si>
  <si>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</si>
  <si>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</si>
  <si>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</si>
  <si>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</si>
  <si>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</si>
  <si>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</si>
  <si>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</si>
  <si>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</si>
  <si>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</si>
  <si>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</si>
  <si>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</si>
  <si>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</si>
  <si>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</si>
  <si>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</si>
  <si>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</si>
  <si>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</si>
  <si>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</si>
  <si>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</si>
  <si>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</si>
  <si>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</si>
  <si>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</si>
  <si>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</si>
  <si>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</si>
  <si>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</si>
  <si>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</si>
  <si>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</si>
  <si>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</si>
  <si>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</si>
  <si>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</si>
  <si>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</si>
  <si>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</si>
  <si>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</si>
  <si>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</si>
  <si>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</si>
  <si>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</si>
  <si>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</si>
  <si>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</si>
  <si>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</si>
  <si>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</si>
  <si>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</si>
  <si>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</si>
  <si>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</si>
  <si>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</si>
  <si>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</si>
  <si>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</si>
  <si>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</si>
  <si>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</si>
  <si>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</si>
  <si>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</si>
  <si>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</si>
  <si>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</si>
  <si>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</si>
  <si>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</si>
  <si>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</si>
  <si>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</si>
  <si>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</si>
  <si>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</si>
  <si>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</si>
  <si>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</si>
  <si>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</si>
  <si>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</si>
  <si>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</si>
  <si>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</si>
  <si>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</si>
  <si>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</si>
  <si>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</si>
  <si>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</si>
  <si>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</si>
  <si>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</si>
  <si>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</si>
  <si>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</si>
  <si>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</si>
  <si>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</si>
  <si>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</si>
  <si>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</si>
  <si>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</si>
  <si>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</si>
  <si>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</si>
  <si>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</si>
  <si>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Tongs Lucky Agwom</t>
  </si>
  <si>
    <t>ABBASS SALIHU</t>
  </si>
  <si>
    <t>ANALYSIS OF CHANGES IN LOAN</t>
  </si>
  <si>
    <t>Leo Igbanoi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</si>
  <si>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</si>
  <si>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</si>
  <si>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</si>
  <si>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</si>
  <si>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</si>
  <si>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</si>
  <si>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</si>
  <si>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</si>
  <si>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</si>
  <si>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</si>
  <si>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</si>
  <si>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</si>
  <si>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</si>
  <si>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</si>
  <si>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</si>
  <si>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</si>
  <si>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</si>
  <si>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</si>
  <si>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RAMATU IBRAHIM ABDULRAHEEM</t>
  </si>
  <si>
    <t>031190</t>
  </si>
  <si>
    <t>Contract Schedule</t>
  </si>
  <si>
    <t>Dr. Shuaibu Danwanka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</si>
  <si>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N73,861,002.93 </t>
    </r>
    <r>
      <rPr>
        <sz val="14"/>
        <rFont val="Times New Roman"/>
        <family val="1"/>
      </rPr>
      <t xml:space="preserve">to Guaranty Trust Bank  being February, 2024 Salary, </t>
    </r>
    <r>
      <rPr>
        <b/>
        <sz val="14"/>
        <rFont val="Times New Roman"/>
        <family val="1"/>
      </rPr>
      <t xml:space="preserve">N12,199,445.68 </t>
    </r>
    <r>
      <rPr>
        <sz val="14"/>
        <rFont val="Times New Roman"/>
        <family val="1"/>
      </rPr>
      <t>being NILDS Coop Society deductions for February 2024,</t>
    </r>
    <r>
      <rPr>
        <b/>
        <sz val="14"/>
        <rFont val="Times New Roman"/>
        <family val="1"/>
      </rPr>
      <t xml:space="preserve"> N11,302,661.13   </t>
    </r>
    <r>
      <rPr>
        <sz val="14"/>
        <rFont val="Times New Roman"/>
        <family val="1"/>
      </rPr>
      <t xml:space="preserve">being PAYE Tax Deductions from Staff Salary for the month  of February 2024 and </t>
    </r>
    <r>
      <rPr>
        <b/>
        <sz val="14"/>
        <rFont val="Times New Roman"/>
        <family val="1"/>
      </rPr>
      <t xml:space="preserve">N23,031.31 </t>
    </r>
    <r>
      <rPr>
        <sz val="14"/>
        <rFont val="Times New Roman"/>
        <family val="1"/>
      </rPr>
      <t xml:space="preserve"> being NHF deductions from staff for February 2024 </t>
    </r>
  </si>
  <si>
    <t>COMPUTATION OF JANUARY 2024 ARREARS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</si>
</sst>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_);_(@_)"/>
  </numFmts>
  <fonts count="77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"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/>
      <sz val="14"/>
      <name val="Times New Roman"/>
      <family val="1"/>
    </font>
    <font>
      <b/>
      <sz val="14"/>
      <name val="Arial"/>
      <family val="2"/>
    </font>
    <font>
      <sz val="12"/>
      <name val="Tahn"/>
      <charset val="1"/>
    </font>
    <font>
      <b/>
      <u/>
      <sz val="20"/>
      <name val="Times New Roman"/>
      <family val="1"/>
    </font>
    <font>
      <sz val="20"/>
      <name val="Times New Roman"/>
      <family val="1"/>
    </font>
    <font>
      <b/>
      <u/>
      <sz val="16"/>
      <name val="Times New Roman"/>
      <family val="1"/>
    </font>
    <font>
      <b/>
      <sz val="12"/>
      <color indexed="8"/>
      <name val="Times New Roman"/>
      <family val="1"/>
    </font>
    <font>
      <b/>
      <u/>
      <sz val="12"/>
      <name val="Times New Roman"/>
      <family val="1"/>
    </font>
    <font>
      <b/>
      <u val="double"/>
      <sz val="11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u val="double"/>
      <sz val="16"/>
      <name val="Times New Roman"/>
      <family val="1"/>
    </font>
    <font>
      <b/>
      <u/>
      <sz val="18"/>
      <name val="Times New Roman"/>
      <family val="1"/>
    </font>
    <font>
      <b/>
      <u val="singleAccounting"/>
      <sz val="16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u/>
      <sz val="10"/>
      <name val="Times New Roman"/>
      <family val="1"/>
    </font>
    <font>
      <b/>
      <u val="double"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1"/>
      <name val="Arial"/>
      <family val="2"/>
    </font>
    <font>
      <b/>
      <sz val="12"/>
      <color theme="1"/>
      <name val="Times New Roman"/>
      <family val="1"/>
    </font>
    <font>
      <b/>
      <u/>
      <sz val="22"/>
      <name val="Times New Roman"/>
      <family val="1"/>
    </font>
    <font>
      <sz val="22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u val="double"/>
      <sz val="10"/>
      <name val="Arial"/>
      <family val="2"/>
    </font>
    <font>
      <b/>
      <sz val="18"/>
      <color theme="1"/>
      <name val="Tahoma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u val="singleAccounting"/>
      <sz val="12"/>
      <color theme="1"/>
      <name val="Times New Roman"/>
      <family val="1"/>
    </font>
    <font>
      <sz val="13"/>
      <color theme="1"/>
      <name val="Tahoma"/>
      <family val="2"/>
    </font>
    <font>
      <sz val="11"/>
      <color theme="1"/>
      <name val="Tahoma"/>
      <family val="2"/>
    </font>
    <font>
      <sz val="14"/>
      <name val="Tahoma"/>
      <family val="2"/>
    </font>
    <font>
      <sz val="13"/>
      <name val="Tahoma"/>
      <family val="2"/>
    </font>
    <font>
      <sz val="14"/>
      <color theme="1"/>
      <name val="Tahoma"/>
      <family val="2"/>
    </font>
    <font>
      <sz val="14"/>
      <color rgb="FFFF0000"/>
      <name val="Tahoma"/>
      <family val="2"/>
    </font>
    <font>
      <b/>
      <sz val="13"/>
      <color theme="1"/>
      <name val="Tahoma"/>
      <family val="2"/>
    </font>
    <font>
      <sz val="12"/>
      <color theme="1"/>
      <name val="Calibri"/>
      <family val="2"/>
      <scheme val="minor"/>
    </font>
    <font>
      <sz val="16"/>
      <color theme="1"/>
      <name val="Tahoma"/>
      <family val="2"/>
    </font>
    <font>
      <sz val="18"/>
      <color theme="1"/>
      <name val="Tahoma"/>
      <family val="2"/>
    </font>
    <font>
      <b/>
      <sz val="14"/>
      <color theme="1"/>
      <name val="Tahoma"/>
      <family val="2"/>
    </font>
    <font>
      <b/>
      <sz val="14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91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2" fillId="0" borderId="0" xfId="0" applyFont="1" applyAlignment="1"/>
    <xf numFmtId="0" fontId="4" fillId="0" borderId="1" xfId="0" applyFont="1" applyBorder="1" applyAlignment="1">
      <alignment horizontal="center"/>
    </xf>
    <xf numFmtId="164" fontId="9" fillId="2" borderId="1" xfId="1" applyFont="1" applyFill="1" applyBorder="1" applyAlignment="1">
      <alignment horizontal="right"/>
    </xf>
    <xf numFmtId="0" fontId="10" fillId="0" borderId="0" xfId="0" applyFont="1"/>
    <xf numFmtId="164" fontId="2" fillId="0" borderId="1" xfId="1" applyFont="1" applyBorder="1" applyAlignment="1"/>
    <xf numFmtId="0" fontId="2" fillId="0" borderId="0" xfId="0" applyFont="1" applyAlignment="1">
      <alignment horizontal="center"/>
    </xf>
    <xf numFmtId="164" fontId="2" fillId="0" borderId="1" xfId="0" applyNumberFormat="1" applyFont="1" applyBorder="1"/>
    <xf numFmtId="164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164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164" fontId="2" fillId="3" borderId="1" xfId="1" quotePrefix="1" applyFont="1" applyFill="1" applyBorder="1" applyAlignment="1">
      <alignment horizontal="right"/>
    </xf>
    <xf numFmtId="164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center"/>
    </xf>
    <xf numFmtId="164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164" fontId="2" fillId="4" borderId="1" xfId="1" quotePrefix="1" applyFont="1" applyFill="1" applyBorder="1" applyAlignment="1">
      <alignment horizontal="right"/>
    </xf>
    <xf numFmtId="164" fontId="2" fillId="0" borderId="1" xfId="1" applyFont="1" applyBorder="1"/>
    <xf numFmtId="164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4" fillId="4" borderId="1" xfId="1" quotePrefix="1" applyFont="1" applyFill="1" applyBorder="1" applyAlignment="1">
      <alignment horizontal="right"/>
    </xf>
    <xf numFmtId="164" fontId="0" fillId="0" borderId="0" xfId="0" applyNumberFormat="1"/>
    <xf numFmtId="0" fontId="2" fillId="0" borderId="1" xfId="0" applyFont="1" applyBorder="1"/>
    <xf numFmtId="0" fontId="2" fillId="0" borderId="0" xfId="0" applyFont="1" applyBorder="1"/>
    <xf numFmtId="164" fontId="2" fillId="0" borderId="0" xfId="0" applyNumberFormat="1" applyFont="1"/>
    <xf numFmtId="4" fontId="0" fillId="0" borderId="0" xfId="0" applyNumberFormat="1"/>
    <xf numFmtId="164" fontId="2" fillId="0" borderId="0" xfId="0" applyNumberFormat="1" applyFont="1" applyAlignment="1"/>
    <xf numFmtId="164" fontId="2" fillId="0" borderId="1" xfId="1" applyFont="1" applyFill="1" applyBorder="1" applyAlignment="1">
      <alignment horizontal="right"/>
    </xf>
    <xf numFmtId="49" fontId="9" fillId="0" borderId="1" xfId="0" applyNumberFormat="1" applyFont="1" applyFill="1" applyBorder="1" applyAlignment="1">
      <alignment horizontal="center"/>
    </xf>
    <xf numFmtId="20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Fill="1" applyBorder="1" applyAlignment="1"/>
    <xf numFmtId="0" fontId="4" fillId="0" borderId="1" xfId="0" applyFont="1" applyFill="1" applyBorder="1" applyAlignment="1"/>
    <xf numFmtId="0" fontId="3" fillId="0" borderId="1" xfId="0" applyFont="1" applyFill="1" applyBorder="1" applyAlignment="1">
      <alignment horizontal="center"/>
    </xf>
    <xf numFmtId="164" fontId="4" fillId="0" borderId="1" xfId="1" quotePrefix="1" applyFont="1" applyFill="1" applyBorder="1" applyAlignment="1">
      <alignment horizontal="right"/>
    </xf>
    <xf numFmtId="164" fontId="6" fillId="0" borderId="1" xfId="1" applyFont="1" applyFill="1" applyBorder="1" applyAlignment="1">
      <alignment horizontal="right"/>
    </xf>
    <xf numFmtId="0" fontId="2" fillId="0" borderId="5" xfId="0" applyFont="1" applyFill="1" applyBorder="1"/>
    <xf numFmtId="20" fontId="2" fillId="0" borderId="5" xfId="0" applyNumberFormat="1" applyFont="1" applyFill="1" applyBorder="1" applyAlignment="1">
      <alignment horizontal="center"/>
    </xf>
    <xf numFmtId="49" fontId="11" fillId="0" borderId="1" xfId="0" applyNumberFormat="1" applyFont="1" applyFill="1" applyBorder="1" applyAlignment="1">
      <alignment horizontal="center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2" fillId="0" borderId="0" xfId="0" applyNumberFormat="1" applyFont="1"/>
    <xf numFmtId="0" fontId="12" fillId="0" borderId="0" xfId="0" applyFont="1" applyFill="1"/>
    <xf numFmtId="0" fontId="2" fillId="0" borderId="0" xfId="0" applyFont="1" applyFill="1"/>
    <xf numFmtId="0" fontId="3" fillId="0" borderId="0" xfId="0" applyFont="1" applyBorder="1" applyAlignment="1"/>
    <xf numFmtId="0" fontId="3" fillId="0" borderId="1" xfId="0" applyFont="1" applyFill="1" applyBorder="1" applyAlignment="1">
      <alignment horizontal="center" wrapText="1"/>
    </xf>
    <xf numFmtId="0" fontId="4" fillId="0" borderId="1" xfId="0" applyFont="1" applyFill="1" applyBorder="1"/>
    <xf numFmtId="0" fontId="5" fillId="0" borderId="1" xfId="0" applyFont="1" applyFill="1" applyBorder="1" applyAlignment="1">
      <alignment horizontal="center"/>
    </xf>
    <xf numFmtId="164" fontId="2" fillId="0" borderId="1" xfId="1" quotePrefix="1" applyFont="1" applyFill="1" applyBorder="1" applyAlignment="1">
      <alignment horizontal="right"/>
    </xf>
    <xf numFmtId="164" fontId="4" fillId="0" borderId="1" xfId="1" applyFont="1" applyFill="1" applyBorder="1" applyAlignment="1">
      <alignment horizontal="right"/>
    </xf>
    <xf numFmtId="164" fontId="2" fillId="0" borderId="5" xfId="1" quotePrefix="1" applyFont="1" applyFill="1" applyBorder="1" applyAlignment="1">
      <alignment horizontal="right"/>
    </xf>
    <xf numFmtId="164" fontId="2" fillId="0" borderId="5" xfId="1" applyFon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center"/>
    </xf>
    <xf numFmtId="164" fontId="2" fillId="0" borderId="1" xfId="1" applyFont="1" applyFill="1" applyBorder="1"/>
    <xf numFmtId="164" fontId="3" fillId="0" borderId="1" xfId="1" applyFont="1" applyFill="1" applyBorder="1" applyAlignment="1">
      <alignment horizontal="right"/>
    </xf>
    <xf numFmtId="49" fontId="4" fillId="0" borderId="1" xfId="0" applyNumberFormat="1" applyFont="1" applyFill="1" applyBorder="1" applyAlignment="1"/>
    <xf numFmtId="4" fontId="6" fillId="0" borderId="1" xfId="0" applyNumberFormat="1" applyFont="1" applyFill="1" applyBorder="1" applyAlignment="1">
      <alignment horizontal="right"/>
    </xf>
    <xf numFmtId="49" fontId="11" fillId="0" borderId="1" xfId="0" applyNumberFormat="1" applyFont="1" applyFill="1" applyBorder="1" applyAlignment="1">
      <alignment horizontal="left"/>
    </xf>
    <xf numFmtId="3" fontId="4" fillId="0" borderId="1" xfId="0" applyNumberFormat="1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164" fontId="4" fillId="0" borderId="5" xfId="1" applyFont="1" applyFill="1" applyBorder="1" applyAlignment="1">
      <alignment horizontal="right"/>
    </xf>
    <xf numFmtId="0" fontId="15" fillId="0" borderId="0" xfId="0" applyFont="1"/>
    <xf numFmtId="164" fontId="0" fillId="0" borderId="0" xfId="1" applyFont="1"/>
    <xf numFmtId="43" fontId="0" fillId="0" borderId="0" xfId="0" applyNumberFormat="1"/>
    <xf numFmtId="49" fontId="2" fillId="0" borderId="0" xfId="0" applyNumberFormat="1" applyFont="1" applyFill="1" applyBorder="1" applyAlignment="1">
      <alignment horizontal="left"/>
    </xf>
    <xf numFmtId="164" fontId="4" fillId="0" borderId="1" xfId="0" applyNumberFormat="1" applyFont="1" applyFill="1" applyBorder="1"/>
    <xf numFmtId="164" fontId="17" fillId="4" borderId="1" xfId="1" quotePrefix="1" applyFont="1" applyFill="1" applyBorder="1" applyAlignment="1">
      <alignment horizontal="right"/>
    </xf>
    <xf numFmtId="164" fontId="17" fillId="0" borderId="1" xfId="0" applyNumberFormat="1" applyFont="1" applyFill="1" applyBorder="1"/>
    <xf numFmtId="164" fontId="17" fillId="0" borderId="1" xfId="1" quotePrefix="1" applyFont="1" applyFill="1" applyBorder="1" applyAlignment="1">
      <alignment horizontal="right"/>
    </xf>
    <xf numFmtId="164" fontId="17" fillId="0" borderId="1" xfId="1" applyFont="1" applyFill="1" applyBorder="1" applyAlignment="1">
      <alignment horizontal="right"/>
    </xf>
    <xf numFmtId="43" fontId="2" fillId="0" borderId="0" xfId="0" applyNumberFormat="1" applyFont="1"/>
    <xf numFmtId="0" fontId="19" fillId="0" borderId="0" xfId="0" applyFont="1"/>
    <xf numFmtId="0" fontId="18" fillId="0" borderId="0" xfId="0" applyFont="1"/>
    <xf numFmtId="164" fontId="17" fillId="0" borderId="1" xfId="1" applyFont="1" applyBorder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164" fontId="22" fillId="0" borderId="0" xfId="1" applyFont="1"/>
    <xf numFmtId="0" fontId="4" fillId="0" borderId="0" xfId="0" applyFont="1"/>
    <xf numFmtId="164" fontId="9" fillId="0" borderId="5" xfId="1" quotePrefix="1" applyFont="1" applyFill="1" applyBorder="1" applyAlignment="1">
      <alignment horizontal="right"/>
    </xf>
    <xf numFmtId="0" fontId="4" fillId="0" borderId="1" xfId="0" applyFont="1" applyFill="1" applyBorder="1" applyAlignment="1">
      <alignment horizontal="center" wrapText="1"/>
    </xf>
    <xf numFmtId="164" fontId="4" fillId="0" borderId="0" xfId="0" applyNumberFormat="1" applyFont="1"/>
    <xf numFmtId="0" fontId="2" fillId="0" borderId="0" xfId="0" applyFont="1" applyAlignment="1">
      <alignment horizontal="left"/>
    </xf>
    <xf numFmtId="0" fontId="24" fillId="0" borderId="0" xfId="0" applyFont="1"/>
    <xf numFmtId="0" fontId="6" fillId="0" borderId="0" xfId="0" applyFont="1" applyAlignment="1"/>
    <xf numFmtId="164" fontId="2" fillId="0" borderId="0" xfId="0" applyNumberFormat="1" applyFont="1" applyAlignment="1">
      <alignment horizontal="right"/>
    </xf>
    <xf numFmtId="0" fontId="4" fillId="0" borderId="0" xfId="0" applyFont="1" applyAlignment="1"/>
    <xf numFmtId="164" fontId="2" fillId="0" borderId="0" xfId="1" applyFont="1" applyFill="1" applyBorder="1" applyAlignment="1"/>
    <xf numFmtId="164" fontId="4" fillId="0" borderId="3" xfId="1" applyFont="1" applyBorder="1" applyAlignment="1"/>
    <xf numFmtId="0" fontId="5" fillId="0" borderId="1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4" fontId="2" fillId="0" borderId="0" xfId="0" applyNumberFormat="1" applyFont="1" applyAlignment="1"/>
    <xf numFmtId="4" fontId="25" fillId="0" borderId="0" xfId="0" applyNumberFormat="1" applyFont="1" applyBorder="1" applyAlignment="1"/>
    <xf numFmtId="0" fontId="26" fillId="0" borderId="0" xfId="0" applyFont="1"/>
    <xf numFmtId="49" fontId="2" fillId="0" borderId="1" xfId="0" applyNumberFormat="1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center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" fontId="4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left"/>
    </xf>
    <xf numFmtId="49" fontId="2" fillId="0" borderId="10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13" fillId="0" borderId="1" xfId="0" applyFont="1" applyFill="1" applyBorder="1"/>
    <xf numFmtId="0" fontId="13" fillId="0" borderId="1" xfId="0" applyFont="1" applyFill="1" applyBorder="1" applyAlignment="1">
      <alignment horizontal="center"/>
    </xf>
    <xf numFmtId="164" fontId="13" fillId="0" borderId="1" xfId="1" quotePrefix="1" applyFont="1" applyFill="1" applyBorder="1" applyAlignment="1">
      <alignment horizontal="right"/>
    </xf>
    <xf numFmtId="164" fontId="13" fillId="0" borderId="1" xfId="1" applyFont="1" applyBorder="1"/>
    <xf numFmtId="164" fontId="13" fillId="0" borderId="1" xfId="1" applyFon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164" fontId="4" fillId="0" borderId="6" xfId="1" applyFont="1" applyBorder="1" applyAlignment="1"/>
    <xf numFmtId="49" fontId="2" fillId="0" borderId="2" xfId="0" applyNumberFormat="1" applyFont="1" applyFill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4" fillId="0" borderId="1" xfId="0" applyNumberFormat="1" applyFont="1" applyFill="1" applyBorder="1" applyAlignment="1">
      <alignment horizontal="left" wrapText="1"/>
    </xf>
    <xf numFmtId="0" fontId="2" fillId="0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1" xfId="0" applyNumberFormat="1" applyFont="1" applyFill="1" applyBorder="1" applyAlignment="1">
      <alignment horizontal="left" wrapText="1"/>
    </xf>
    <xf numFmtId="49" fontId="2" fillId="0" borderId="2" xfId="0" applyNumberFormat="1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49" fontId="2" fillId="4" borderId="2" xfId="0" applyNumberFormat="1" applyFont="1" applyFill="1" applyBorder="1" applyAlignment="1">
      <alignment wrapText="1"/>
    </xf>
    <xf numFmtId="49" fontId="2" fillId="0" borderId="1" xfId="0" applyNumberFormat="1" applyFont="1" applyFill="1" applyBorder="1" applyAlignment="1">
      <alignment wrapText="1"/>
    </xf>
    <xf numFmtId="0" fontId="14" fillId="0" borderId="2" xfId="0" applyFont="1" applyFill="1" applyBorder="1" applyAlignment="1">
      <alignment wrapText="1"/>
    </xf>
    <xf numFmtId="49" fontId="4" fillId="0" borderId="1" xfId="0" applyNumberFormat="1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49" fontId="4" fillId="4" borderId="2" xfId="0" applyNumberFormat="1" applyFont="1" applyFill="1" applyBorder="1" applyAlignment="1">
      <alignment wrapText="1"/>
    </xf>
    <xf numFmtId="49" fontId="4" fillId="0" borderId="2" xfId="0" applyNumberFormat="1" applyFont="1" applyFill="1" applyBorder="1" applyAlignment="1">
      <alignment wrapText="1"/>
    </xf>
    <xf numFmtId="0" fontId="2" fillId="4" borderId="1" xfId="0" applyFont="1" applyFill="1" applyBorder="1" applyAlignment="1">
      <alignment horizontal="left"/>
    </xf>
    <xf numFmtId="164" fontId="27" fillId="0" borderId="0" xfId="1" applyFont="1"/>
    <xf numFmtId="49" fontId="9" fillId="0" borderId="1" xfId="0" applyNumberFormat="1" applyFont="1" applyFill="1" applyBorder="1" applyAlignment="1">
      <alignment horizontal="left"/>
    </xf>
    <xf numFmtId="164" fontId="2" fillId="0" borderId="0" xfId="1" quotePrefix="1" applyFont="1" applyFill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4" fontId="4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left"/>
    </xf>
    <xf numFmtId="0" fontId="6" fillId="0" borderId="0" xfId="0" applyFont="1" applyAlignment="1">
      <alignment horizontal="left"/>
    </xf>
    <xf numFmtId="4" fontId="6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4" fillId="0" borderId="0" xfId="0" applyFont="1" applyBorder="1" applyAlignment="1">
      <alignment horizontal="center"/>
    </xf>
    <xf numFmtId="164" fontId="2" fillId="0" borderId="1" xfId="1" applyFont="1" applyFill="1" applyBorder="1" applyAlignment="1">
      <alignment horizontal="left"/>
    </xf>
    <xf numFmtId="164" fontId="2" fillId="0" borderId="1" xfId="1" applyFont="1" applyFill="1" applyBorder="1" applyAlignment="1">
      <alignment horizontal="center"/>
    </xf>
    <xf numFmtId="164" fontId="2" fillId="0" borderId="5" xfId="1" applyFont="1" applyFill="1" applyBorder="1" applyAlignment="1">
      <alignment horizontal="center"/>
    </xf>
    <xf numFmtId="164" fontId="2" fillId="4" borderId="1" xfId="1" applyFont="1" applyFill="1" applyBorder="1" applyAlignment="1">
      <alignment horizontal="center"/>
    </xf>
    <xf numFmtId="164" fontId="2" fillId="0" borderId="0" xfId="1" applyFont="1" applyAlignment="1">
      <alignment horizontal="center"/>
    </xf>
    <xf numFmtId="164" fontId="3" fillId="0" borderId="1" xfId="1" applyFont="1" applyFill="1" applyBorder="1" applyAlignment="1">
      <alignment horizontal="center"/>
    </xf>
    <xf numFmtId="164" fontId="4" fillId="4" borderId="1" xfId="1" applyFont="1" applyFill="1" applyBorder="1" applyAlignment="1">
      <alignment horizontal="center"/>
    </xf>
    <xf numFmtId="164" fontId="4" fillId="0" borderId="1" xfId="1" applyFont="1" applyFill="1" applyBorder="1" applyAlignment="1">
      <alignment horizontal="center"/>
    </xf>
    <xf numFmtId="164" fontId="17" fillId="0" borderId="1" xfId="1" applyFont="1" applyFill="1" applyBorder="1"/>
    <xf numFmtId="164" fontId="17" fillId="0" borderId="1" xfId="1" applyFont="1" applyFill="1" applyBorder="1" applyAlignment="1">
      <alignment horizontal="center"/>
    </xf>
    <xf numFmtId="164" fontId="11" fillId="0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4" fillId="0" borderId="0" xfId="0" applyNumberFormat="1" applyFont="1" applyBorder="1"/>
    <xf numFmtId="49" fontId="2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0" fontId="14" fillId="4" borderId="1" xfId="0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/>
    </xf>
    <xf numFmtId="0" fontId="23" fillId="0" borderId="0" xfId="0" applyFont="1" applyAlignment="1">
      <alignment horizontal="center"/>
    </xf>
    <xf numFmtId="0" fontId="12" fillId="4" borderId="0" xfId="0" applyFont="1" applyFill="1"/>
    <xf numFmtId="0" fontId="2" fillId="4" borderId="0" xfId="0" applyFont="1" applyFill="1"/>
    <xf numFmtId="0" fontId="28" fillId="4" borderId="0" xfId="0" applyFont="1" applyFill="1" applyBorder="1" applyAlignment="1"/>
    <xf numFmtId="0" fontId="29" fillId="4" borderId="0" xfId="0" applyFont="1" applyFill="1"/>
    <xf numFmtId="0" fontId="28" fillId="4" borderId="0" xfId="0" applyFont="1" applyFill="1" applyAlignment="1">
      <alignment horizontal="left"/>
    </xf>
    <xf numFmtId="17" fontId="3" fillId="4" borderId="0" xfId="0" applyNumberFormat="1" applyFont="1" applyFill="1" applyAlignment="1">
      <alignment horizontal="left"/>
    </xf>
    <xf numFmtId="4" fontId="12" fillId="4" borderId="0" xfId="0" applyNumberFormat="1" applyFont="1" applyFill="1"/>
    <xf numFmtId="0" fontId="2" fillId="4" borderId="0" xfId="0" applyFont="1" applyFill="1" applyBorder="1"/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/>
    <xf numFmtId="49" fontId="11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164" fontId="2" fillId="4" borderId="1" xfId="1" applyFont="1" applyFill="1" applyBorder="1"/>
    <xf numFmtId="164" fontId="2" fillId="4" borderId="0" xfId="0" applyNumberFormat="1" applyFont="1" applyFill="1"/>
    <xf numFmtId="49" fontId="2" fillId="4" borderId="1" xfId="0" applyNumberFormat="1" applyFont="1" applyFill="1" applyBorder="1" applyAlignment="1">
      <alignment horizontal="center"/>
    </xf>
    <xf numFmtId="164" fontId="4" fillId="4" borderId="1" xfId="1" applyFont="1" applyFill="1" applyBorder="1" applyAlignment="1">
      <alignment horizontal="right"/>
    </xf>
    <xf numFmtId="164" fontId="3" fillId="4" borderId="1" xfId="1" applyFont="1" applyFill="1" applyBorder="1" applyAlignment="1">
      <alignment horizontal="right"/>
    </xf>
    <xf numFmtId="164" fontId="17" fillId="4" borderId="1" xfId="1" applyFont="1" applyFill="1" applyBorder="1"/>
    <xf numFmtId="0" fontId="3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/>
    <xf numFmtId="49" fontId="4" fillId="4" borderId="1" xfId="0" applyNumberFormat="1" applyFont="1" applyFill="1" applyBorder="1" applyAlignment="1">
      <alignment horizontal="center"/>
    </xf>
    <xf numFmtId="164" fontId="17" fillId="4" borderId="1" xfId="0" applyNumberFormat="1" applyFont="1" applyFill="1" applyBorder="1"/>
    <xf numFmtId="164" fontId="4" fillId="4" borderId="1" xfId="0" applyNumberFormat="1" applyFont="1" applyFill="1" applyBorder="1"/>
    <xf numFmtId="164" fontId="17" fillId="4" borderId="1" xfId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 vertical="center"/>
    </xf>
    <xf numFmtId="164" fontId="14" fillId="4" borderId="1" xfId="1" applyFont="1" applyFill="1" applyBorder="1"/>
    <xf numFmtId="49" fontId="11" fillId="4" borderId="1" xfId="0" applyNumberFormat="1" applyFont="1" applyFill="1" applyBorder="1" applyAlignment="1">
      <alignment horizontal="center"/>
    </xf>
    <xf numFmtId="4" fontId="6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164" fontId="6" fillId="4" borderId="1" xfId="1" applyFont="1" applyFill="1" applyBorder="1" applyAlignment="1">
      <alignment horizontal="right"/>
    </xf>
    <xf numFmtId="4" fontId="6" fillId="4" borderId="0" xfId="0" applyNumberFormat="1" applyFont="1" applyFill="1" applyBorder="1" applyAlignment="1">
      <alignment horizontal="center"/>
    </xf>
    <xf numFmtId="4" fontId="4" fillId="4" borderId="0" xfId="0" applyNumberFormat="1" applyFont="1" applyFill="1" applyBorder="1" applyAlignment="1">
      <alignment horizontal="left"/>
    </xf>
    <xf numFmtId="4" fontId="4" fillId="4" borderId="0" xfId="0" applyNumberFormat="1" applyFont="1" applyFill="1" applyBorder="1" applyAlignment="1">
      <alignment horizontal="center"/>
    </xf>
    <xf numFmtId="4" fontId="6" fillId="4" borderId="0" xfId="0" applyNumberFormat="1" applyFont="1" applyFill="1" applyBorder="1" applyAlignment="1">
      <alignment horizontal="right"/>
    </xf>
    <xf numFmtId="43" fontId="2" fillId="4" borderId="0" xfId="0" applyNumberFormat="1" applyFont="1" applyFill="1"/>
    <xf numFmtId="0" fontId="3" fillId="7" borderId="1" xfId="0" applyFont="1" applyFill="1" applyBorder="1" applyAlignment="1">
      <alignment horizontal="center" wrapText="1"/>
    </xf>
    <xf numFmtId="164" fontId="2" fillId="7" borderId="1" xfId="1" applyFont="1" applyFill="1" applyBorder="1" applyAlignment="1">
      <alignment horizontal="right"/>
    </xf>
    <xf numFmtId="164" fontId="2" fillId="7" borderId="1" xfId="1" quotePrefix="1" applyFont="1" applyFill="1" applyBorder="1" applyAlignment="1">
      <alignment horizontal="right"/>
    </xf>
    <xf numFmtId="164" fontId="4" fillId="7" borderId="1" xfId="0" applyNumberFormat="1" applyFont="1" applyFill="1" applyBorder="1"/>
    <xf numFmtId="164" fontId="2" fillId="6" borderId="1" xfId="1" applyFont="1" applyFill="1" applyBorder="1" applyAlignment="1">
      <alignment horizontal="right"/>
    </xf>
    <xf numFmtId="164" fontId="2" fillId="6" borderId="1" xfId="1" quotePrefix="1" applyFont="1" applyFill="1" applyBorder="1" applyAlignment="1">
      <alignment horizontal="right"/>
    </xf>
    <xf numFmtId="164" fontId="4" fillId="6" borderId="1" xfId="0" applyNumberFormat="1" applyFont="1" applyFill="1" applyBorder="1"/>
    <xf numFmtId="0" fontId="5" fillId="7" borderId="1" xfId="0" applyFont="1" applyFill="1" applyBorder="1" applyAlignment="1">
      <alignment horizontal="center"/>
    </xf>
    <xf numFmtId="164" fontId="3" fillId="7" borderId="1" xfId="1" applyFont="1" applyFill="1" applyBorder="1" applyAlignment="1">
      <alignment horizontal="right"/>
    </xf>
    <xf numFmtId="164" fontId="4" fillId="7" borderId="1" xfId="1" quotePrefix="1" applyFont="1" applyFill="1" applyBorder="1" applyAlignment="1">
      <alignment horizontal="right"/>
    </xf>
    <xf numFmtId="164" fontId="4" fillId="7" borderId="1" xfId="1" applyFont="1" applyFill="1" applyBorder="1" applyAlignment="1">
      <alignment horizontal="right"/>
    </xf>
    <xf numFmtId="0" fontId="2" fillId="7" borderId="1" xfId="0" applyFont="1" applyFill="1" applyBorder="1"/>
    <xf numFmtId="164" fontId="17" fillId="7" borderId="1" xfId="0" applyNumberFormat="1" applyFont="1" applyFill="1" applyBorder="1"/>
    <xf numFmtId="0" fontId="5" fillId="6" borderId="1" xfId="0" applyFont="1" applyFill="1" applyBorder="1" applyAlignment="1">
      <alignment horizontal="center"/>
    </xf>
    <xf numFmtId="164" fontId="3" fillId="6" borderId="1" xfId="1" applyFont="1" applyFill="1" applyBorder="1" applyAlignment="1">
      <alignment horizontal="right"/>
    </xf>
    <xf numFmtId="164" fontId="4" fillId="6" borderId="1" xfId="1" quotePrefix="1" applyFont="1" applyFill="1" applyBorder="1" applyAlignment="1">
      <alignment horizontal="right"/>
    </xf>
    <xf numFmtId="0" fontId="2" fillId="6" borderId="1" xfId="0" applyFont="1" applyFill="1" applyBorder="1"/>
    <xf numFmtId="164" fontId="4" fillId="6" borderId="1" xfId="1" applyFont="1" applyFill="1" applyBorder="1" applyAlignment="1">
      <alignment horizontal="right"/>
    </xf>
    <xf numFmtId="0" fontId="4" fillId="6" borderId="1" xfId="0" applyFont="1" applyFill="1" applyBorder="1" applyAlignment="1">
      <alignment horizontal="center" wrapText="1"/>
    </xf>
    <xf numFmtId="164" fontId="2" fillId="0" borderId="1" xfId="0" applyNumberFormat="1" applyFont="1" applyBorder="1" applyAlignment="1">
      <alignment horizontal="center"/>
    </xf>
    <xf numFmtId="164" fontId="1" fillId="0" borderId="0" xfId="1" applyFont="1"/>
    <xf numFmtId="0" fontId="23" fillId="4" borderId="1" xfId="0" applyFont="1" applyFill="1" applyBorder="1" applyAlignment="1">
      <alignment horizontal="left" wrapText="1"/>
    </xf>
    <xf numFmtId="49" fontId="31" fillId="4" borderId="1" xfId="0" applyNumberFormat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left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23" fillId="4" borderId="1" xfId="0" applyFont="1" applyFill="1" applyBorder="1" applyAlignment="1">
      <alignment horizontal="center"/>
    </xf>
    <xf numFmtId="0" fontId="32" fillId="4" borderId="1" xfId="0" applyFont="1" applyFill="1" applyBorder="1" applyAlignment="1">
      <alignment horizontal="left"/>
    </xf>
    <xf numFmtId="49" fontId="23" fillId="4" borderId="1" xfId="0" applyNumberFormat="1" applyFont="1" applyFill="1" applyBorder="1" applyAlignment="1"/>
    <xf numFmtId="0" fontId="7" fillId="4" borderId="1" xfId="0" applyFont="1" applyFill="1" applyBorder="1" applyAlignment="1">
      <alignment horizontal="center"/>
    </xf>
    <xf numFmtId="49" fontId="23" fillId="4" borderId="1" xfId="0" applyNumberFormat="1" applyFont="1" applyFill="1" applyBorder="1" applyAlignment="1">
      <alignment horizontal="center"/>
    </xf>
    <xf numFmtId="49" fontId="31" fillId="4" borderId="1" xfId="0" applyNumberFormat="1" applyFont="1" applyFill="1" applyBorder="1" applyAlignment="1">
      <alignment horizontal="center"/>
    </xf>
    <xf numFmtId="3" fontId="23" fillId="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3" fontId="2" fillId="4" borderId="1" xfId="1" applyNumberFormat="1" applyFont="1" applyFill="1" applyBorder="1" applyAlignment="1">
      <alignment horizontal="right"/>
    </xf>
    <xf numFmtId="3" fontId="3" fillId="4" borderId="1" xfId="1" applyNumberFormat="1" applyFont="1" applyFill="1" applyBorder="1" applyAlignment="1">
      <alignment horizontal="right"/>
    </xf>
    <xf numFmtId="3" fontId="17" fillId="4" borderId="1" xfId="1" quotePrefix="1" applyNumberFormat="1" applyFont="1" applyFill="1" applyBorder="1" applyAlignment="1">
      <alignment horizontal="right"/>
    </xf>
    <xf numFmtId="3" fontId="4" fillId="4" borderId="1" xfId="1" quotePrefix="1" applyNumberFormat="1" applyFont="1" applyFill="1" applyBorder="1" applyAlignment="1">
      <alignment horizontal="right"/>
    </xf>
    <xf numFmtId="3" fontId="2" fillId="4" borderId="1" xfId="1" quotePrefix="1" applyNumberFormat="1" applyFont="1" applyFill="1" applyBorder="1" applyAlignment="1">
      <alignment horizontal="right"/>
    </xf>
    <xf numFmtId="3" fontId="2" fillId="4" borderId="1" xfId="0" applyNumberFormat="1" applyFont="1" applyFill="1" applyBorder="1"/>
    <xf numFmtId="3" fontId="17" fillId="4" borderId="1" xfId="0" applyNumberFormat="1" applyFont="1" applyFill="1" applyBorder="1"/>
    <xf numFmtId="3" fontId="4" fillId="4" borderId="1" xfId="0" applyNumberFormat="1" applyFont="1" applyFill="1" applyBorder="1"/>
    <xf numFmtId="3" fontId="17" fillId="4" borderId="1" xfId="1" applyNumberFormat="1" applyFont="1" applyFill="1" applyBorder="1" applyAlignment="1">
      <alignment horizontal="right"/>
    </xf>
    <xf numFmtId="3" fontId="4" fillId="4" borderId="1" xfId="1" applyNumberFormat="1" applyFont="1" applyFill="1" applyBorder="1" applyAlignment="1">
      <alignment horizontal="right"/>
    </xf>
    <xf numFmtId="3" fontId="6" fillId="4" borderId="1" xfId="1" applyNumberFormat="1" applyFont="1" applyFill="1" applyBorder="1" applyAlignment="1">
      <alignment horizontal="right"/>
    </xf>
    <xf numFmtId="3" fontId="6" fillId="4" borderId="0" xfId="0" applyNumberFormat="1" applyFont="1" applyFill="1" applyBorder="1" applyAlignment="1">
      <alignment horizontal="right"/>
    </xf>
    <xf numFmtId="3" fontId="2" fillId="4" borderId="0" xfId="0" applyNumberFormat="1" applyFont="1" applyFill="1"/>
    <xf numFmtId="4" fontId="33" fillId="4" borderId="0" xfId="0" applyNumberFormat="1" applyFont="1" applyFill="1" applyBorder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left"/>
    </xf>
    <xf numFmtId="164" fontId="2" fillId="5" borderId="1" xfId="1" quotePrefix="1" applyFont="1" applyFill="1" applyBorder="1" applyAlignment="1">
      <alignment horizontal="right"/>
    </xf>
    <xf numFmtId="164" fontId="2" fillId="5" borderId="1" xfId="1" applyFont="1" applyFill="1" applyBorder="1" applyAlignment="1">
      <alignment horizontal="right"/>
    </xf>
    <xf numFmtId="164" fontId="2" fillId="5" borderId="1" xfId="1" applyFont="1" applyFill="1" applyBorder="1"/>
    <xf numFmtId="0" fontId="0" fillId="0" borderId="0" xfId="0" applyNumberFormat="1"/>
    <xf numFmtId="4" fontId="16" fillId="0" borderId="0" xfId="0" applyNumberFormat="1" applyFont="1"/>
    <xf numFmtId="4" fontId="16" fillId="0" borderId="0" xfId="0" applyNumberFormat="1" applyFont="1" applyAlignment="1">
      <alignment wrapText="1"/>
    </xf>
    <xf numFmtId="0" fontId="3" fillId="8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/>
    </xf>
    <xf numFmtId="164" fontId="2" fillId="8" borderId="1" xfId="1" applyFont="1" applyFill="1" applyBorder="1" applyAlignment="1">
      <alignment horizontal="right"/>
    </xf>
    <xf numFmtId="164" fontId="3" fillId="8" borderId="1" xfId="1" applyFont="1" applyFill="1" applyBorder="1" applyAlignment="1">
      <alignment horizontal="right"/>
    </xf>
    <xf numFmtId="164" fontId="4" fillId="8" borderId="1" xfId="1" quotePrefix="1" applyFont="1" applyFill="1" applyBorder="1" applyAlignment="1">
      <alignment horizontal="right"/>
    </xf>
    <xf numFmtId="164" fontId="2" fillId="8" borderId="1" xfId="1" quotePrefix="1" applyFont="1" applyFill="1" applyBorder="1" applyAlignment="1">
      <alignment horizontal="right"/>
    </xf>
    <xf numFmtId="0" fontId="2" fillId="8" borderId="1" xfId="0" applyFont="1" applyFill="1" applyBorder="1"/>
    <xf numFmtId="164" fontId="4" fillId="8" borderId="1" xfId="0" applyNumberFormat="1" applyFont="1" applyFill="1" applyBorder="1"/>
    <xf numFmtId="164" fontId="4" fillId="8" borderId="1" xfId="1" applyFont="1" applyFill="1" applyBorder="1" applyAlignment="1">
      <alignment horizontal="right"/>
    </xf>
    <xf numFmtId="0" fontId="34" fillId="4" borderId="1" xfId="0" applyFont="1" applyFill="1" applyBorder="1"/>
    <xf numFmtId="4" fontId="36" fillId="9" borderId="1" xfId="0" applyNumberFormat="1" applyFont="1" applyFill="1" applyBorder="1" applyAlignment="1">
      <alignment horizontal="left"/>
    </xf>
    <xf numFmtId="3" fontId="35" fillId="9" borderId="1" xfId="0" applyNumberFormat="1" applyFont="1" applyFill="1" applyBorder="1" applyAlignment="1">
      <alignment horizontal="center"/>
    </xf>
    <xf numFmtId="4" fontId="35" fillId="9" borderId="1" xfId="0" applyNumberFormat="1" applyFont="1" applyFill="1" applyBorder="1" applyAlignment="1">
      <alignment horizontal="center"/>
    </xf>
    <xf numFmtId="3" fontId="36" fillId="9" borderId="1" xfId="1" applyNumberFormat="1" applyFont="1" applyFill="1" applyBorder="1" applyAlignment="1">
      <alignment horizontal="right"/>
    </xf>
    <xf numFmtId="0" fontId="37" fillId="4" borderId="0" xfId="0" applyFont="1" applyFill="1" applyBorder="1" applyAlignment="1"/>
    <xf numFmtId="0" fontId="19" fillId="4" borderId="0" xfId="0" applyFont="1" applyFill="1"/>
    <xf numFmtId="0" fontId="30" fillId="4" borderId="1" xfId="0" applyFont="1" applyFill="1" applyBorder="1" applyAlignment="1">
      <alignment horizontal="left"/>
    </xf>
    <xf numFmtId="0" fontId="35" fillId="4" borderId="1" xfId="0" applyFont="1" applyFill="1" applyBorder="1" applyAlignment="1">
      <alignment horizontal="left"/>
    </xf>
    <xf numFmtId="0" fontId="35" fillId="4" borderId="1" xfId="0" applyFont="1" applyFill="1" applyBorder="1" applyAlignment="1">
      <alignment horizontal="left" wrapText="1"/>
    </xf>
    <xf numFmtId="0" fontId="35" fillId="6" borderId="1" xfId="0" applyFont="1" applyFill="1" applyBorder="1" applyAlignment="1">
      <alignment horizontal="center" wrapText="1"/>
    </xf>
    <xf numFmtId="3" fontId="34" fillId="6" borderId="1" xfId="1" applyNumberFormat="1" applyFont="1" applyFill="1" applyBorder="1" applyAlignment="1">
      <alignment horizontal="right"/>
    </xf>
    <xf numFmtId="3" fontId="30" fillId="4" borderId="1" xfId="1" applyNumberFormat="1" applyFont="1" applyFill="1" applyBorder="1" applyAlignment="1">
      <alignment horizontal="right"/>
    </xf>
    <xf numFmtId="3" fontId="30" fillId="6" borderId="1" xfId="1" applyNumberFormat="1" applyFont="1" applyFill="1" applyBorder="1" applyAlignment="1">
      <alignment horizontal="right"/>
    </xf>
    <xf numFmtId="3" fontId="38" fillId="4" borderId="1" xfId="1" quotePrefix="1" applyNumberFormat="1" applyFont="1" applyFill="1" applyBorder="1" applyAlignment="1">
      <alignment horizontal="right"/>
    </xf>
    <xf numFmtId="3" fontId="35" fillId="6" borderId="1" xfId="1" quotePrefix="1" applyNumberFormat="1" applyFont="1" applyFill="1" applyBorder="1" applyAlignment="1">
      <alignment horizontal="right"/>
    </xf>
    <xf numFmtId="3" fontId="34" fillId="6" borderId="1" xfId="1" quotePrefix="1" applyNumberFormat="1" applyFont="1" applyFill="1" applyBorder="1" applyAlignment="1">
      <alignment horizontal="right"/>
    </xf>
    <xf numFmtId="3" fontId="34" fillId="6" borderId="1" xfId="0" applyNumberFormat="1" applyFont="1" applyFill="1" applyBorder="1"/>
    <xf numFmtId="3" fontId="38" fillId="4" borderId="1" xfId="0" applyNumberFormat="1" applyFont="1" applyFill="1" applyBorder="1"/>
    <xf numFmtId="3" fontId="35" fillId="6" borderId="1" xfId="0" applyNumberFormat="1" applyFont="1" applyFill="1" applyBorder="1"/>
    <xf numFmtId="3" fontId="38" fillId="6" borderId="1" xfId="1" applyNumberFormat="1" applyFont="1" applyFill="1" applyBorder="1" applyAlignment="1">
      <alignment horizontal="right"/>
    </xf>
    <xf numFmtId="3" fontId="35" fillId="6" borderId="1" xfId="1" applyNumberFormat="1" applyFont="1" applyFill="1" applyBorder="1" applyAlignment="1">
      <alignment horizontal="right"/>
    </xf>
    <xf numFmtId="3" fontId="35" fillId="4" borderId="1" xfId="1" applyNumberFormat="1" applyFont="1" applyFill="1" applyBorder="1" applyAlignment="1">
      <alignment horizontal="right"/>
    </xf>
    <xf numFmtId="0" fontId="2" fillId="0" borderId="0" xfId="0" applyFont="1" applyAlignment="1">
      <alignment horizontal="left"/>
    </xf>
    <xf numFmtId="164" fontId="2" fillId="4" borderId="0" xfId="1" applyFont="1" applyFill="1"/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49" fontId="7" fillId="4" borderId="1" xfId="0" applyNumberFormat="1" applyFont="1" applyFill="1" applyBorder="1" applyAlignment="1">
      <alignment horizontal="left" wrapText="1"/>
    </xf>
    <xf numFmtId="164" fontId="2" fillId="10" borderId="1" xfId="1" applyFont="1" applyFill="1" applyBorder="1" applyAlignment="1">
      <alignment horizontal="right"/>
    </xf>
    <xf numFmtId="0" fontId="4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4" fillId="0" borderId="1" xfId="0" applyNumberFormat="1" applyFont="1" applyBorder="1"/>
    <xf numFmtId="0" fontId="4" fillId="0" borderId="1" xfId="0" applyFont="1" applyBorder="1" applyAlignment="1">
      <alignment horizontal="left"/>
    </xf>
    <xf numFmtId="0" fontId="40" fillId="4" borderId="0" xfId="0" applyFont="1" applyFill="1" applyAlignment="1">
      <alignment horizontal="left"/>
    </xf>
    <xf numFmtId="3" fontId="10" fillId="0" borderId="0" xfId="0" applyNumberFormat="1" applyFont="1"/>
    <xf numFmtId="0" fontId="40" fillId="4" borderId="0" xfId="0" applyFont="1" applyFill="1" applyBorder="1"/>
    <xf numFmtId="0" fontId="39" fillId="0" borderId="0" xfId="0" applyFont="1" applyAlignment="1">
      <alignment horizontal="left"/>
    </xf>
    <xf numFmtId="0" fontId="39" fillId="0" borderId="0" xfId="0" applyFont="1" applyAlignment="1">
      <alignment horizontal="left" wrapText="1"/>
    </xf>
    <xf numFmtId="0" fontId="39" fillId="0" borderId="0" xfId="0" applyFont="1"/>
    <xf numFmtId="3" fontId="39" fillId="0" borderId="0" xfId="0" applyNumberFormat="1" applyFont="1"/>
    <xf numFmtId="0" fontId="39" fillId="0" borderId="0" xfId="0" applyFont="1" applyAlignment="1">
      <alignment horizontal="right" wrapText="1"/>
    </xf>
    <xf numFmtId="3" fontId="43" fillId="0" borderId="0" xfId="0" applyNumberFormat="1" applyFont="1"/>
    <xf numFmtId="3" fontId="44" fillId="0" borderId="0" xfId="0" applyNumberFormat="1" applyFont="1"/>
    <xf numFmtId="0" fontId="23" fillId="0" borderId="1" xfId="0" applyFont="1" applyBorder="1"/>
    <xf numFmtId="0" fontId="23" fillId="0" borderId="1" xfId="0" applyNumberFormat="1" applyFont="1" applyBorder="1" applyAlignment="1">
      <alignment horizontal="center" wrapText="1"/>
    </xf>
    <xf numFmtId="0" fontId="23" fillId="0" borderId="1" xfId="0" applyFont="1" applyBorder="1" applyAlignment="1">
      <alignment horizontal="right" wrapText="1"/>
    </xf>
    <xf numFmtId="3" fontId="3" fillId="0" borderId="1" xfId="0" applyNumberFormat="1" applyFont="1" applyBorder="1"/>
    <xf numFmtId="0" fontId="10" fillId="0" borderId="1" xfId="0" applyFont="1" applyBorder="1"/>
    <xf numFmtId="3" fontId="10" fillId="0" borderId="1" xfId="0" applyNumberFormat="1" applyFont="1" applyBorder="1"/>
    <xf numFmtId="0" fontId="10" fillId="4" borderId="1" xfId="0" applyFont="1" applyFill="1" applyBorder="1"/>
    <xf numFmtId="3" fontId="43" fillId="0" borderId="1" xfId="0" applyNumberFormat="1" applyFont="1" applyBorder="1"/>
    <xf numFmtId="0" fontId="39" fillId="0" borderId="1" xfId="0" applyFont="1" applyBorder="1"/>
    <xf numFmtId="3" fontId="40" fillId="0" borderId="1" xfId="0" applyNumberFormat="1" applyFont="1" applyBorder="1"/>
    <xf numFmtId="3" fontId="33" fillId="0" borderId="1" xfId="0" applyNumberFormat="1" applyFont="1" applyBorder="1"/>
    <xf numFmtId="0" fontId="2" fillId="4" borderId="1" xfId="0" applyFont="1" applyFill="1" applyBorder="1"/>
    <xf numFmtId="49" fontId="9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49" fontId="4" fillId="4" borderId="1" xfId="0" applyNumberFormat="1" applyFont="1" applyFill="1" applyBorder="1" applyAlignment="1">
      <alignment horizontal="left" wrapText="1"/>
    </xf>
    <xf numFmtId="49" fontId="2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/>
    </xf>
    <xf numFmtId="0" fontId="2" fillId="4" borderId="0" xfId="0" applyFont="1" applyFill="1" applyAlignment="1">
      <alignment wrapText="1"/>
    </xf>
    <xf numFmtId="4" fontId="12" fillId="4" borderId="0" xfId="0" applyNumberFormat="1" applyFont="1" applyFill="1" applyAlignment="1">
      <alignment wrapText="1"/>
    </xf>
    <xf numFmtId="0" fontId="5" fillId="4" borderId="1" xfId="0" applyFont="1" applyFill="1" applyBorder="1" applyAlignment="1">
      <alignment horizontal="center" wrapText="1"/>
    </xf>
    <xf numFmtId="164" fontId="2" fillId="4" borderId="1" xfId="1" quotePrefix="1" applyFont="1" applyFill="1" applyBorder="1" applyAlignment="1">
      <alignment horizontal="right" wrapText="1"/>
    </xf>
    <xf numFmtId="164" fontId="3" fillId="4" borderId="1" xfId="1" applyFont="1" applyFill="1" applyBorder="1" applyAlignment="1">
      <alignment horizontal="right" wrapText="1"/>
    </xf>
    <xf numFmtId="164" fontId="2" fillId="4" borderId="1" xfId="1" applyFont="1" applyFill="1" applyBorder="1" applyAlignment="1">
      <alignment horizontal="right" wrapText="1"/>
    </xf>
    <xf numFmtId="164" fontId="17" fillId="4" borderId="1" xfId="1" quotePrefix="1" applyFont="1" applyFill="1" applyBorder="1" applyAlignment="1">
      <alignment horizontal="right" wrapText="1"/>
    </xf>
    <xf numFmtId="164" fontId="4" fillId="4" borderId="1" xfId="1" quotePrefix="1" applyFont="1" applyFill="1" applyBorder="1" applyAlignment="1">
      <alignment horizontal="right" wrapText="1"/>
    </xf>
    <xf numFmtId="164" fontId="4" fillId="4" borderId="1" xfId="0" applyNumberFormat="1" applyFont="1" applyFill="1" applyBorder="1" applyAlignment="1">
      <alignment wrapText="1"/>
    </xf>
    <xf numFmtId="4" fontId="6" fillId="4" borderId="0" xfId="0" applyNumberFormat="1" applyFont="1" applyFill="1" applyBorder="1" applyAlignment="1">
      <alignment horizontal="right" wrapText="1"/>
    </xf>
    <xf numFmtId="0" fontId="0" fillId="11" borderId="0" xfId="0" applyFill="1"/>
    <xf numFmtId="49" fontId="2" fillId="9" borderId="1" xfId="0" applyNumberFormat="1" applyFont="1" applyFill="1" applyBorder="1" applyAlignment="1">
      <alignment horizontal="left" wrapText="1"/>
    </xf>
    <xf numFmtId="49" fontId="2" fillId="9" borderId="1" xfId="0" applyNumberFormat="1" applyFont="1" applyFill="1" applyBorder="1" applyAlignment="1">
      <alignment horizontal="left"/>
    </xf>
    <xf numFmtId="49" fontId="2" fillId="9" borderId="1" xfId="0" applyNumberFormat="1" applyFont="1" applyFill="1" applyBorder="1" applyAlignment="1">
      <alignment horizontal="center"/>
    </xf>
    <xf numFmtId="164" fontId="2" fillId="9" borderId="1" xfId="1" applyFont="1" applyFill="1" applyBorder="1"/>
    <xf numFmtId="164" fontId="2" fillId="9" borderId="1" xfId="1" quotePrefix="1" applyFont="1" applyFill="1" applyBorder="1" applyAlignment="1">
      <alignment horizontal="right"/>
    </xf>
    <xf numFmtId="164" fontId="2" fillId="9" borderId="1" xfId="1" applyFont="1" applyFill="1" applyBorder="1" applyAlignment="1">
      <alignment horizontal="right"/>
    </xf>
    <xf numFmtId="164" fontId="2" fillId="9" borderId="0" xfId="0" applyNumberFormat="1" applyFont="1" applyFill="1"/>
    <xf numFmtId="0" fontId="2" fillId="9" borderId="0" xfId="0" applyFont="1" applyFill="1"/>
    <xf numFmtId="49" fontId="2" fillId="9" borderId="1" xfId="0" applyNumberFormat="1" applyFont="1" applyFill="1" applyBorder="1" applyAlignment="1">
      <alignment wrapText="1"/>
    </xf>
    <xf numFmtId="0" fontId="2" fillId="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wrapText="1"/>
    </xf>
    <xf numFmtId="164" fontId="17" fillId="6" borderId="1" xfId="1" quotePrefix="1" applyFont="1" applyFill="1" applyBorder="1" applyAlignment="1">
      <alignment horizontal="right"/>
    </xf>
    <xf numFmtId="164" fontId="17" fillId="6" borderId="1" xfId="1" quotePrefix="1" applyFont="1" applyFill="1" applyBorder="1" applyAlignment="1">
      <alignment horizontal="right" wrapText="1"/>
    </xf>
    <xf numFmtId="164" fontId="6" fillId="6" borderId="1" xfId="1" applyFont="1" applyFill="1" applyBorder="1" applyAlignment="1">
      <alignment horizontal="right"/>
    </xf>
    <xf numFmtId="0" fontId="23" fillId="4" borderId="1" xfId="0" applyFont="1" applyFill="1" applyBorder="1" applyAlignment="1">
      <alignment horizontal="center" wrapText="1"/>
    </xf>
    <xf numFmtId="0" fontId="23" fillId="6" borderId="1" xfId="0" applyFont="1" applyFill="1" applyBorder="1" applyAlignment="1">
      <alignment horizontal="center" wrapText="1"/>
    </xf>
    <xf numFmtId="4" fontId="2" fillId="0" borderId="1" xfId="0" applyNumberFormat="1" applyFont="1" applyBorder="1"/>
    <xf numFmtId="0" fontId="0" fillId="4" borderId="0" xfId="0" applyFill="1"/>
    <xf numFmtId="0" fontId="16" fillId="0" borderId="0" xfId="0" applyFont="1"/>
    <xf numFmtId="0" fontId="16" fillId="4" borderId="0" xfId="0" applyFont="1" applyFill="1"/>
    <xf numFmtId="4" fontId="42" fillId="0" borderId="0" xfId="0" applyNumberFormat="1" applyFont="1"/>
    <xf numFmtId="4" fontId="42" fillId="4" borderId="0" xfId="0" applyNumberFormat="1" applyFont="1" applyFill="1"/>
    <xf numFmtId="0" fontId="39" fillId="11" borderId="0" xfId="0" applyFont="1" applyFill="1"/>
    <xf numFmtId="0" fontId="39" fillId="4" borderId="0" xfId="0" applyFont="1" applyFill="1"/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wrapText="1"/>
    </xf>
    <xf numFmtId="49" fontId="2" fillId="3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164" fontId="2" fillId="3" borderId="1" xfId="1" applyFont="1" applyFill="1" applyBorder="1"/>
    <xf numFmtId="164" fontId="2" fillId="3" borderId="1" xfId="1" applyFont="1" applyFill="1" applyBorder="1" applyAlignment="1">
      <alignment horizontal="right" wrapText="1"/>
    </xf>
    <xf numFmtId="164" fontId="2" fillId="3" borderId="0" xfId="0" applyNumberFormat="1" applyFont="1" applyFill="1"/>
    <xf numFmtId="0" fontId="2" fillId="3" borderId="0" xfId="0" applyFont="1" applyFill="1"/>
    <xf numFmtId="164" fontId="17" fillId="8" borderId="1" xfId="1" quotePrefix="1" applyFont="1" applyFill="1" applyBorder="1" applyAlignment="1">
      <alignment horizontal="right"/>
    </xf>
    <xf numFmtId="164" fontId="17" fillId="8" borderId="1" xfId="0" applyNumberFormat="1" applyFont="1" applyFill="1" applyBorder="1"/>
    <xf numFmtId="164" fontId="17" fillId="6" borderId="1" xfId="0" applyNumberFormat="1" applyFont="1" applyFill="1" applyBorder="1"/>
    <xf numFmtId="164" fontId="17" fillId="7" borderId="1" xfId="1" applyFont="1" applyFill="1" applyBorder="1" applyAlignment="1">
      <alignment horizontal="right"/>
    </xf>
    <xf numFmtId="0" fontId="2" fillId="4" borderId="0" xfId="0" applyFont="1" applyFill="1" applyAlignment="1">
      <alignment horizontal="center"/>
    </xf>
    <xf numFmtId="4" fontId="2" fillId="4" borderId="0" xfId="0" applyNumberFormat="1" applyFont="1" applyFill="1"/>
    <xf numFmtId="0" fontId="2" fillId="0" borderId="0" xfId="0" applyFont="1" applyAlignment="1">
      <alignment horizontal="left"/>
    </xf>
    <xf numFmtId="4" fontId="2" fillId="4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43" fontId="2" fillId="6" borderId="1" xfId="0" applyNumberFormat="1" applyFont="1" applyFill="1" applyBorder="1"/>
    <xf numFmtId="164" fontId="2" fillId="9" borderId="0" xfId="1" applyFont="1" applyFill="1" applyBorder="1" applyAlignment="1">
      <alignment horizontal="right"/>
    </xf>
    <xf numFmtId="164" fontId="2" fillId="8" borderId="0" xfId="1" applyFont="1" applyFill="1" applyBorder="1" applyAlignment="1">
      <alignment horizontal="right"/>
    </xf>
    <xf numFmtId="164" fontId="2" fillId="6" borderId="0" xfId="1" applyFont="1" applyFill="1" applyBorder="1" applyAlignment="1">
      <alignment horizontal="right"/>
    </xf>
    <xf numFmtId="164" fontId="2" fillId="9" borderId="1" xfId="1" applyFont="1" applyFill="1" applyBorder="1" applyAlignment="1">
      <alignment horizontal="center"/>
    </xf>
    <xf numFmtId="43" fontId="2" fillId="9" borderId="0" xfId="0" applyNumberFormat="1" applyFont="1" applyFill="1"/>
    <xf numFmtId="164" fontId="2" fillId="9" borderId="1" xfId="0" applyNumberFormat="1" applyFont="1" applyFill="1" applyBorder="1"/>
    <xf numFmtId="4" fontId="2" fillId="9" borderId="1" xfId="0" applyNumberFormat="1" applyFont="1" applyFill="1" applyBorder="1"/>
    <xf numFmtId="43" fontId="2" fillId="9" borderId="1" xfId="0" applyNumberFormat="1" applyFont="1" applyFill="1" applyBorder="1"/>
    <xf numFmtId="43" fontId="4" fillId="9" borderId="0" xfId="0" applyNumberFormat="1" applyFont="1" applyFill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wrapText="1"/>
    </xf>
    <xf numFmtId="43" fontId="2" fillId="4" borderId="0" xfId="0" applyNumberFormat="1" applyFont="1" applyFill="1"/>
    <xf numFmtId="49" fontId="2" fillId="4" borderId="1" xfId="0" applyNumberFormat="1" applyFont="1" applyFill="1" applyBorder="1" applyAlignment="1">
      <alignment horizontal="center"/>
    </xf>
    <xf numFmtId="43" fontId="2" fillId="6" borderId="1" xfId="3" applyFont="1" applyFill="1" applyBorder="1" applyAlignment="1">
      <alignment horizontal="right"/>
    </xf>
    <xf numFmtId="0" fontId="3" fillId="10" borderId="1" xfId="0" applyFont="1" applyFill="1" applyBorder="1" applyAlignment="1">
      <alignment horizontal="center" wrapText="1"/>
    </xf>
    <xf numFmtId="0" fontId="5" fillId="10" borderId="1" xfId="0" applyFont="1" applyFill="1" applyBorder="1" applyAlignment="1">
      <alignment horizontal="center"/>
    </xf>
    <xf numFmtId="164" fontId="2" fillId="10" borderId="1" xfId="1" quotePrefix="1" applyFont="1" applyFill="1" applyBorder="1" applyAlignment="1">
      <alignment horizontal="right"/>
    </xf>
    <xf numFmtId="164" fontId="2" fillId="10" borderId="1" xfId="1" applyFont="1" applyFill="1" applyBorder="1"/>
    <xf numFmtId="164" fontId="3" fillId="10" borderId="1" xfId="1" applyFont="1" applyFill="1" applyBorder="1" applyAlignment="1">
      <alignment horizontal="right"/>
    </xf>
    <xf numFmtId="164" fontId="17" fillId="10" borderId="1" xfId="1" quotePrefix="1" applyFont="1" applyFill="1" applyBorder="1" applyAlignment="1">
      <alignment horizontal="right"/>
    </xf>
    <xf numFmtId="164" fontId="4" fillId="10" borderId="1" xfId="1" quotePrefix="1" applyFont="1" applyFill="1" applyBorder="1" applyAlignment="1">
      <alignment horizontal="right"/>
    </xf>
    <xf numFmtId="0" fontId="2" fillId="10" borderId="1" xfId="0" applyFont="1" applyFill="1" applyBorder="1"/>
    <xf numFmtId="164" fontId="17" fillId="10" borderId="1" xfId="0" applyNumberFormat="1" applyFont="1" applyFill="1" applyBorder="1"/>
    <xf numFmtId="164" fontId="4" fillId="10" borderId="1" xfId="0" applyNumberFormat="1" applyFont="1" applyFill="1" applyBorder="1"/>
    <xf numFmtId="164" fontId="14" fillId="10" borderId="1" xfId="1" applyFont="1" applyFill="1" applyBorder="1"/>
    <xf numFmtId="164" fontId="36" fillId="10" borderId="1" xfId="1" applyFont="1" applyFill="1" applyBorder="1" applyAlignment="1">
      <alignment horizontal="right"/>
    </xf>
    <xf numFmtId="0" fontId="19" fillId="4" borderId="0" xfId="0" applyFont="1" applyFill="1" applyAlignment="1"/>
    <xf numFmtId="0" fontId="37" fillId="4" borderId="0" xfId="0" applyFont="1" applyFill="1" applyAlignment="1"/>
    <xf numFmtId="0" fontId="37" fillId="4" borderId="0" xfId="0" applyFont="1" applyFill="1" applyBorder="1" applyAlignment="1"/>
    <xf numFmtId="3" fontId="2" fillId="4" borderId="1" xfId="1" applyNumberFormat="1" applyFont="1" applyFill="1" applyBorder="1"/>
    <xf numFmtId="3" fontId="2" fillId="4" borderId="1" xfId="3" quotePrefix="1" applyNumberFormat="1" applyFont="1" applyFill="1" applyBorder="1" applyAlignment="1">
      <alignment horizontal="right"/>
    </xf>
    <xf numFmtId="3" fontId="14" fillId="4" borderId="1" xfId="1" applyNumberFormat="1" applyFont="1" applyFill="1" applyBorder="1"/>
    <xf numFmtId="3" fontId="2" fillId="0" borderId="1" xfId="1" quotePrefix="1" applyNumberFormat="1" applyFont="1" applyFill="1" applyBorder="1" applyAlignment="1">
      <alignment horizontal="right"/>
    </xf>
    <xf numFmtId="3" fontId="4" fillId="4" borderId="0" xfId="0" applyNumberFormat="1" applyFont="1" applyFill="1" applyBorder="1" applyAlignment="1">
      <alignment horizontal="left"/>
    </xf>
    <xf numFmtId="0" fontId="2" fillId="4" borderId="2" xfId="0" applyFont="1" applyFill="1" applyBorder="1"/>
    <xf numFmtId="4" fontId="6" fillId="4" borderId="3" xfId="0" applyNumberFormat="1" applyFont="1" applyFill="1" applyBorder="1" applyAlignment="1">
      <alignment horizontal="center"/>
    </xf>
    <xf numFmtId="4" fontId="4" fillId="4" borderId="3" xfId="0" applyNumberFormat="1" applyFont="1" applyFill="1" applyBorder="1" applyAlignment="1">
      <alignment horizontal="left"/>
    </xf>
    <xf numFmtId="3" fontId="4" fillId="4" borderId="3" xfId="0" applyNumberFormat="1" applyFont="1" applyFill="1" applyBorder="1" applyAlignment="1">
      <alignment horizontal="left"/>
    </xf>
    <xf numFmtId="3" fontId="4" fillId="4" borderId="4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3" fontId="6" fillId="4" borderId="1" xfId="0" applyNumberFormat="1" applyFont="1" applyFill="1" applyBorder="1" applyAlignment="1">
      <alignment horizontal="right"/>
    </xf>
    <xf numFmtId="3" fontId="6" fillId="4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43" fontId="2" fillId="4" borderId="1" xfId="3" quotePrefix="1" applyFont="1" applyFill="1" applyBorder="1" applyAlignment="1">
      <alignment horizontal="right"/>
    </xf>
    <xf numFmtId="164" fontId="14" fillId="0" borderId="1" xfId="1" applyFont="1" applyBorder="1"/>
    <xf numFmtId="0" fontId="2" fillId="0" borderId="0" xfId="0" applyFont="1" applyAlignment="1">
      <alignment horizontal="left"/>
    </xf>
    <xf numFmtId="0" fontId="46" fillId="0" borderId="0" xfId="0" applyFont="1"/>
    <xf numFmtId="0" fontId="45" fillId="0" borderId="11" xfId="0" applyFont="1" applyBorder="1"/>
    <xf numFmtId="0" fontId="45" fillId="0" borderId="12" xfId="0" applyFont="1" applyBorder="1" applyAlignment="1">
      <alignment wrapText="1"/>
    </xf>
    <xf numFmtId="0" fontId="45" fillId="0" borderId="12" xfId="0" applyFont="1" applyBorder="1" applyAlignment="1">
      <alignment horizontal="right" wrapText="1"/>
    </xf>
    <xf numFmtId="0" fontId="45" fillId="0" borderId="13" xfId="0" applyFont="1" applyFill="1" applyBorder="1" applyAlignment="1">
      <alignment horizontal="right" wrapText="1"/>
    </xf>
    <xf numFmtId="0" fontId="46" fillId="0" borderId="1" xfId="0" applyFont="1" applyBorder="1" applyAlignment="1">
      <alignment horizontal="center"/>
    </xf>
    <xf numFmtId="164" fontId="47" fillId="0" borderId="1" xfId="1" applyFont="1" applyBorder="1" applyAlignment="1">
      <alignment vertical="center"/>
    </xf>
    <xf numFmtId="0" fontId="46" fillId="0" borderId="1" xfId="0" applyFont="1" applyBorder="1" applyAlignment="1">
      <alignment horizontal="center" wrapText="1"/>
    </xf>
    <xf numFmtId="164" fontId="46" fillId="0" borderId="1" xfId="1" applyFont="1" applyBorder="1"/>
    <xf numFmtId="3" fontId="46" fillId="0" borderId="1" xfId="1" applyNumberFormat="1" applyFont="1" applyBorder="1"/>
    <xf numFmtId="0" fontId="46" fillId="9" borderId="1" xfId="0" applyFont="1" applyFill="1" applyBorder="1" applyAlignment="1">
      <alignment horizontal="center"/>
    </xf>
    <xf numFmtId="164" fontId="46" fillId="9" borderId="1" xfId="1" applyFont="1" applyFill="1" applyBorder="1"/>
    <xf numFmtId="4" fontId="0" fillId="9" borderId="0" xfId="0" applyNumberFormat="1" applyFill="1"/>
    <xf numFmtId="0" fontId="0" fillId="9" borderId="0" xfId="0" applyFill="1"/>
    <xf numFmtId="4" fontId="0" fillId="3" borderId="0" xfId="0" applyNumberFormat="1" applyFill="1"/>
    <xf numFmtId="4" fontId="49" fillId="0" borderId="0" xfId="0" applyNumberFormat="1" applyFont="1"/>
    <xf numFmtId="164" fontId="46" fillId="4" borderId="1" xfId="1" applyFont="1" applyFill="1" applyBorder="1"/>
    <xf numFmtId="0" fontId="46" fillId="4" borderId="1" xfId="0" applyFont="1" applyFill="1" applyBorder="1" applyAlignment="1">
      <alignment horizontal="center" wrapText="1"/>
    </xf>
    <xf numFmtId="0" fontId="46" fillId="4" borderId="1" xfId="0" applyFont="1" applyFill="1" applyBorder="1"/>
    <xf numFmtId="164" fontId="10" fillId="4" borderId="1" xfId="1" applyFont="1" applyFill="1" applyBorder="1" applyAlignment="1">
      <alignment horizontal="right"/>
    </xf>
    <xf numFmtId="3" fontId="46" fillId="4" borderId="1" xfId="1" applyNumberFormat="1" applyFont="1" applyFill="1" applyBorder="1"/>
    <xf numFmtId="4" fontId="0" fillId="4" borderId="0" xfId="0" applyNumberFormat="1" applyFill="1"/>
    <xf numFmtId="4" fontId="0" fillId="5" borderId="0" xfId="0" applyNumberFormat="1" applyFill="1"/>
    <xf numFmtId="164" fontId="47" fillId="4" borderId="1" xfId="1" applyFont="1" applyFill="1" applyBorder="1" applyAlignment="1">
      <alignment vertical="center"/>
    </xf>
    <xf numFmtId="164" fontId="48" fillId="4" borderId="1" xfId="1" applyFont="1" applyFill="1" applyBorder="1"/>
    <xf numFmtId="4" fontId="46" fillId="4" borderId="0" xfId="0" applyNumberFormat="1" applyFont="1" applyFill="1"/>
    <xf numFmtId="0" fontId="51" fillId="0" borderId="0" xfId="0" applyFont="1"/>
    <xf numFmtId="0" fontId="52" fillId="0" borderId="1" xfId="0" applyFont="1" applyBorder="1" applyAlignment="1">
      <alignment wrapText="1"/>
    </xf>
    <xf numFmtId="0" fontId="52" fillId="0" borderId="1" xfId="0" applyFont="1" applyBorder="1" applyAlignment="1">
      <alignment horizontal="center" wrapText="1"/>
    </xf>
    <xf numFmtId="0" fontId="53" fillId="0" borderId="0" xfId="0" applyFont="1"/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4" fontId="14" fillId="0" borderId="1" xfId="0" applyNumberFormat="1" applyFont="1" applyBorder="1"/>
    <xf numFmtId="4" fontId="14" fillId="4" borderId="1" xfId="0" applyNumberFormat="1" applyFont="1" applyFill="1" applyBorder="1"/>
    <xf numFmtId="4" fontId="52" fillId="0" borderId="1" xfId="0" applyNumberFormat="1" applyFont="1" applyBorder="1"/>
    <xf numFmtId="0" fontId="14" fillId="0" borderId="0" xfId="0" applyFont="1"/>
    <xf numFmtId="4" fontId="1" fillId="12" borderId="0" xfId="0" applyNumberFormat="1" applyFont="1" applyFill="1"/>
    <xf numFmtId="164" fontId="46" fillId="12" borderId="1" xfId="1" applyFont="1" applyFill="1" applyBorder="1"/>
    <xf numFmtId="4" fontId="0" fillId="12" borderId="0" xfId="0" applyNumberFormat="1" applyFill="1"/>
    <xf numFmtId="0" fontId="1" fillId="0" borderId="0" xfId="0" applyFont="1"/>
    <xf numFmtId="4" fontId="54" fillId="12" borderId="0" xfId="0" applyNumberFormat="1" applyFont="1" applyFill="1"/>
    <xf numFmtId="4" fontId="54" fillId="3" borderId="0" xfId="0" applyNumberFormat="1" applyFont="1" applyFill="1"/>
    <xf numFmtId="0" fontId="56" fillId="4" borderId="0" xfId="0" applyFont="1" applyFill="1" applyBorder="1" applyAlignment="1"/>
    <xf numFmtId="0" fontId="57" fillId="4" borderId="0" xfId="0" applyFont="1" applyFill="1"/>
    <xf numFmtId="0" fontId="56" fillId="4" borderId="0" xfId="0" applyFont="1" applyFill="1" applyAlignment="1">
      <alignment horizontal="left"/>
    </xf>
    <xf numFmtId="0" fontId="3" fillId="13" borderId="1" xfId="0" applyFont="1" applyFill="1" applyBorder="1" applyAlignment="1">
      <alignment horizontal="center" wrapText="1"/>
    </xf>
    <xf numFmtId="0" fontId="3" fillId="14" borderId="1" xfId="0" applyFont="1" applyFill="1" applyBorder="1" applyAlignment="1">
      <alignment horizontal="center" wrapText="1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164" fontId="2" fillId="13" borderId="1" xfId="1" applyFont="1" applyFill="1" applyBorder="1" applyAlignment="1">
      <alignment horizontal="right"/>
    </xf>
    <xf numFmtId="164" fontId="2" fillId="14" borderId="1" xfId="1" applyFont="1" applyFill="1" applyBorder="1" applyAlignment="1">
      <alignment horizontal="right"/>
    </xf>
    <xf numFmtId="43" fontId="14" fillId="14" borderId="1" xfId="4" applyFont="1" applyFill="1" applyBorder="1"/>
    <xf numFmtId="164" fontId="2" fillId="14" borderId="1" xfId="1" quotePrefix="1" applyFont="1" applyFill="1" applyBorder="1" applyAlignment="1">
      <alignment horizontal="right"/>
    </xf>
    <xf numFmtId="164" fontId="14" fillId="14" borderId="1" xfId="1" applyFont="1" applyFill="1" applyBorder="1"/>
    <xf numFmtId="164" fontId="2" fillId="14" borderId="1" xfId="1" applyFont="1" applyFill="1" applyBorder="1"/>
    <xf numFmtId="164" fontId="3" fillId="13" borderId="1" xfId="1" applyFont="1" applyFill="1" applyBorder="1" applyAlignment="1">
      <alignment horizontal="right"/>
    </xf>
    <xf numFmtId="164" fontId="3" fillId="14" borderId="1" xfId="1" applyFont="1" applyFill="1" applyBorder="1" applyAlignment="1">
      <alignment horizontal="right"/>
    </xf>
    <xf numFmtId="164" fontId="2" fillId="13" borderId="1" xfId="1" quotePrefix="1" applyFont="1" applyFill="1" applyBorder="1" applyAlignment="1">
      <alignment horizontal="right"/>
    </xf>
    <xf numFmtId="164" fontId="4" fillId="13" borderId="1" xfId="1" quotePrefix="1" applyFont="1" applyFill="1" applyBorder="1" applyAlignment="1">
      <alignment horizontal="right"/>
    </xf>
    <xf numFmtId="164" fontId="4" fillId="14" borderId="1" xfId="1" quotePrefix="1" applyFont="1" applyFill="1" applyBorder="1" applyAlignment="1">
      <alignment horizontal="right"/>
    </xf>
    <xf numFmtId="164" fontId="4" fillId="14" borderId="1" xfId="1" applyFont="1" applyFill="1" applyBorder="1" applyAlignment="1">
      <alignment horizontal="right"/>
    </xf>
    <xf numFmtId="43" fontId="59" fillId="14" borderId="1" xfId="4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164" fontId="17" fillId="13" borderId="1" xfId="0" applyNumberFormat="1" applyFont="1" applyFill="1" applyBorder="1"/>
    <xf numFmtId="164" fontId="17" fillId="14" borderId="1" xfId="0" applyNumberFormat="1" applyFont="1" applyFill="1" applyBorder="1"/>
    <xf numFmtId="164" fontId="4" fillId="13" borderId="1" xfId="0" applyNumberFormat="1" applyFont="1" applyFill="1" applyBorder="1"/>
    <xf numFmtId="164" fontId="4" fillId="14" borderId="1" xfId="0" applyNumberFormat="1" applyFont="1" applyFill="1" applyBorder="1"/>
    <xf numFmtId="164" fontId="6" fillId="15" borderId="1" xfId="1" applyFont="1" applyFill="1" applyBorder="1" applyAlignment="1">
      <alignment horizontal="right"/>
    </xf>
    <xf numFmtId="164" fontId="46" fillId="3" borderId="1" xfId="1" applyFont="1" applyFill="1" applyBorder="1"/>
    <xf numFmtId="164" fontId="10" fillId="4" borderId="1" xfId="1" applyFont="1" applyFill="1" applyBorder="1"/>
    <xf numFmtId="4" fontId="1" fillId="0" borderId="0" xfId="0" applyNumberFormat="1" applyFont="1"/>
    <xf numFmtId="164" fontId="10" fillId="12" borderId="1" xfId="1" applyFont="1" applyFill="1" applyBorder="1"/>
    <xf numFmtId="0" fontId="16" fillId="0" borderId="0" xfId="0" applyFont="1" applyFill="1" applyBorder="1"/>
    <xf numFmtId="4" fontId="50" fillId="10" borderId="0" xfId="0" applyNumberFormat="1" applyFont="1" applyFill="1"/>
    <xf numFmtId="4" fontId="54" fillId="4" borderId="0" xfId="0" applyNumberFormat="1" applyFont="1" applyFill="1"/>
    <xf numFmtId="0" fontId="54" fillId="3" borderId="0" xfId="0" applyFont="1" applyFill="1"/>
    <xf numFmtId="164" fontId="16" fillId="0" borderId="0" xfId="0" applyNumberFormat="1" applyFont="1"/>
    <xf numFmtId="4" fontId="60" fillId="0" borderId="0" xfId="0" applyNumberFormat="1" applyFont="1"/>
    <xf numFmtId="0" fontId="46" fillId="4" borderId="0" xfId="0" applyFont="1" applyFill="1"/>
    <xf numFmtId="0" fontId="45" fillId="4" borderId="11" xfId="0" applyFont="1" applyFill="1" applyBorder="1"/>
    <xf numFmtId="0" fontId="45" fillId="4" borderId="12" xfId="0" applyFont="1" applyFill="1" applyBorder="1" applyAlignment="1">
      <alignment wrapText="1"/>
    </xf>
    <xf numFmtId="0" fontId="45" fillId="4" borderId="12" xfId="0" applyFont="1" applyFill="1" applyBorder="1" applyAlignment="1">
      <alignment horizontal="right" wrapText="1"/>
    </xf>
    <xf numFmtId="0" fontId="45" fillId="5" borderId="12" xfId="0" applyFont="1" applyFill="1" applyBorder="1" applyAlignment="1">
      <alignment horizontal="right" wrapText="1"/>
    </xf>
    <xf numFmtId="0" fontId="45" fillId="4" borderId="13" xfId="0" applyFont="1" applyFill="1" applyBorder="1" applyAlignment="1">
      <alignment horizontal="right" wrapText="1"/>
    </xf>
    <xf numFmtId="0" fontId="46" fillId="4" borderId="1" xfId="0" applyFont="1" applyFill="1" applyBorder="1" applyAlignment="1">
      <alignment horizontal="center"/>
    </xf>
    <xf numFmtId="164" fontId="46" fillId="5" borderId="1" xfId="1" applyFont="1" applyFill="1" applyBorder="1"/>
    <xf numFmtId="43" fontId="10" fillId="4" borderId="1" xfId="5" applyFont="1" applyFill="1" applyBorder="1" applyAlignment="1">
      <alignment horizontal="right"/>
    </xf>
    <xf numFmtId="43" fontId="10" fillId="4" borderId="1" xfId="5" quotePrefix="1" applyFont="1" applyFill="1" applyBorder="1" applyAlignment="1">
      <alignment horizontal="right"/>
    </xf>
    <xf numFmtId="164" fontId="10" fillId="4" borderId="1" xfId="1" quotePrefix="1" applyFont="1" applyFill="1" applyBorder="1" applyAlignment="1">
      <alignment horizontal="right"/>
    </xf>
    <xf numFmtId="0" fontId="0" fillId="5" borderId="0" xfId="0" applyFill="1"/>
    <xf numFmtId="164" fontId="46" fillId="7" borderId="1" xfId="1" applyFont="1" applyFill="1" applyBorder="1"/>
    <xf numFmtId="164" fontId="46" fillId="4" borderId="0" xfId="1" applyFont="1" applyFill="1" applyBorder="1"/>
    <xf numFmtId="49" fontId="2" fillId="4" borderId="5" xfId="0" applyNumberFormat="1" applyFont="1" applyFill="1" applyBorder="1" applyAlignment="1">
      <alignment horizontal="left" wrapText="1"/>
    </xf>
    <xf numFmtId="0" fontId="46" fillId="4" borderId="5" xfId="0" applyFont="1" applyFill="1" applyBorder="1" applyAlignment="1">
      <alignment horizontal="center" wrapText="1"/>
    </xf>
    <xf numFmtId="164" fontId="46" fillId="4" borderId="5" xfId="1" applyFont="1" applyFill="1" applyBorder="1"/>
    <xf numFmtId="43" fontId="10" fillId="4" borderId="5" xfId="5" applyFont="1" applyFill="1" applyBorder="1" applyAlignment="1">
      <alignment horizontal="right"/>
    </xf>
    <xf numFmtId="164" fontId="45" fillId="4" borderId="1" xfId="1" applyFont="1" applyFill="1" applyBorder="1"/>
    <xf numFmtId="164" fontId="0" fillId="4" borderId="0" xfId="1" applyFont="1" applyFill="1"/>
    <xf numFmtId="43" fontId="0" fillId="4" borderId="0" xfId="0" applyNumberFormat="1" applyFill="1"/>
    <xf numFmtId="4" fontId="0" fillId="4" borderId="5" xfId="0" applyNumberFormat="1" applyFill="1" applyBorder="1"/>
    <xf numFmtId="0" fontId="0" fillId="4" borderId="5" xfId="0" applyFill="1" applyBorder="1"/>
    <xf numFmtId="3" fontId="46" fillId="4" borderId="5" xfId="1" applyNumberFormat="1" applyFont="1" applyFill="1" applyBorder="1"/>
    <xf numFmtId="164" fontId="46" fillId="5" borderId="5" xfId="1" applyFont="1" applyFill="1" applyBorder="1"/>
    <xf numFmtId="49" fontId="11" fillId="6" borderId="1" xfId="0" applyNumberFormat="1" applyFont="1" applyFill="1" applyBorder="1" applyAlignment="1">
      <alignment horizontal="left"/>
    </xf>
    <xf numFmtId="0" fontId="0" fillId="6" borderId="1" xfId="0" applyFill="1" applyBorder="1"/>
    <xf numFmtId="4" fontId="6" fillId="6" borderId="1" xfId="0" applyNumberFormat="1" applyFont="1" applyFill="1" applyBorder="1" applyAlignment="1">
      <alignment horizontal="left"/>
    </xf>
    <xf numFmtId="164" fontId="2" fillId="0" borderId="0" xfId="1" applyFont="1"/>
    <xf numFmtId="164" fontId="16" fillId="6" borderId="1" xfId="0" applyNumberFormat="1" applyFont="1" applyFill="1" applyBorder="1"/>
    <xf numFmtId="43" fontId="16" fillId="6" borderId="1" xfId="0" applyNumberFormat="1" applyFont="1" applyFill="1" applyBorder="1"/>
    <xf numFmtId="0" fontId="16" fillId="6" borderId="1" xfId="0" applyFont="1" applyFill="1" applyBorder="1"/>
    <xf numFmtId="4" fontId="16" fillId="6" borderId="1" xfId="0" applyNumberFormat="1" applyFont="1" applyFill="1" applyBorder="1"/>
    <xf numFmtId="164" fontId="45" fillId="6" borderId="1" xfId="1" applyFont="1" applyFill="1" applyBorder="1"/>
    <xf numFmtId="0" fontId="3" fillId="14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/>
    </xf>
    <xf numFmtId="43" fontId="14" fillId="14" borderId="2" xfId="4" applyFont="1" applyFill="1" applyBorder="1"/>
    <xf numFmtId="164" fontId="3" fillId="4" borderId="2" xfId="1" applyFont="1" applyFill="1" applyBorder="1" applyAlignment="1">
      <alignment horizontal="right"/>
    </xf>
    <xf numFmtId="164" fontId="3" fillId="14" borderId="2" xfId="1" applyFont="1" applyFill="1" applyBorder="1" applyAlignment="1">
      <alignment horizontal="right"/>
    </xf>
    <xf numFmtId="164" fontId="2" fillId="14" borderId="2" xfId="1" applyFont="1" applyFill="1" applyBorder="1" applyAlignment="1">
      <alignment horizontal="right"/>
    </xf>
    <xf numFmtId="164" fontId="17" fillId="4" borderId="2" xfId="1" quotePrefix="1" applyFont="1" applyFill="1" applyBorder="1" applyAlignment="1">
      <alignment horizontal="right"/>
    </xf>
    <xf numFmtId="164" fontId="4" fillId="14" borderId="2" xfId="1" quotePrefix="1" applyFont="1" applyFill="1" applyBorder="1" applyAlignment="1">
      <alignment horizontal="right"/>
    </xf>
    <xf numFmtId="164" fontId="4" fillId="14" borderId="2" xfId="1" applyFont="1" applyFill="1" applyBorder="1" applyAlignment="1">
      <alignment horizontal="right"/>
    </xf>
    <xf numFmtId="0" fontId="2" fillId="14" borderId="2" xfId="0" applyFont="1" applyFill="1" applyBorder="1"/>
    <xf numFmtId="164" fontId="17" fillId="4" borderId="2" xfId="0" applyNumberFormat="1" applyFont="1" applyFill="1" applyBorder="1"/>
    <xf numFmtId="164" fontId="17" fillId="14" borderId="2" xfId="0" applyNumberFormat="1" applyFont="1" applyFill="1" applyBorder="1"/>
    <xf numFmtId="164" fontId="4" fillId="14" borderId="2" xfId="0" applyNumberFormat="1" applyFont="1" applyFill="1" applyBorder="1"/>
    <xf numFmtId="164" fontId="4" fillId="4" borderId="2" xfId="1" quotePrefix="1" applyFont="1" applyFill="1" applyBorder="1" applyAlignment="1">
      <alignment horizontal="right"/>
    </xf>
    <xf numFmtId="0" fontId="5" fillId="4" borderId="4" xfId="0" applyFont="1" applyFill="1" applyBorder="1" applyAlignment="1">
      <alignment horizontal="center"/>
    </xf>
    <xf numFmtId="43" fontId="14" fillId="14" borderId="4" xfId="4" applyFont="1" applyFill="1" applyBorder="1"/>
    <xf numFmtId="164" fontId="3" fillId="4" borderId="4" xfId="1" applyFont="1" applyFill="1" applyBorder="1" applyAlignment="1">
      <alignment horizontal="right"/>
    </xf>
    <xf numFmtId="164" fontId="17" fillId="4" borderId="4" xfId="1" quotePrefix="1" applyFont="1" applyFill="1" applyBorder="1" applyAlignment="1">
      <alignment horizontal="right"/>
    </xf>
    <xf numFmtId="164" fontId="17" fillId="4" borderId="4" xfId="0" applyNumberFormat="1" applyFont="1" applyFill="1" applyBorder="1"/>
    <xf numFmtId="164" fontId="4" fillId="4" borderId="4" xfId="1" quotePrefix="1" applyFont="1" applyFill="1" applyBorder="1" applyAlignment="1">
      <alignment horizontal="right"/>
    </xf>
    <xf numFmtId="164" fontId="2" fillId="14" borderId="2" xfId="1" quotePrefix="1" applyFont="1" applyFill="1" applyBorder="1" applyAlignment="1">
      <alignment horizontal="right"/>
    </xf>
    <xf numFmtId="164" fontId="2" fillId="14" borderId="2" xfId="1" applyFont="1" applyFill="1" applyBorder="1"/>
    <xf numFmtId="164" fontId="14" fillId="14" borderId="2" xfId="1" applyFont="1" applyFill="1" applyBorder="1"/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164" fontId="3" fillId="4" borderId="14" xfId="1" applyFont="1" applyFill="1" applyBorder="1" applyAlignment="1">
      <alignment horizontal="right"/>
    </xf>
    <xf numFmtId="164" fontId="17" fillId="4" borderId="14" xfId="1" quotePrefix="1" applyFont="1" applyFill="1" applyBorder="1" applyAlignment="1">
      <alignment horizontal="right"/>
    </xf>
    <xf numFmtId="164" fontId="17" fillId="4" borderId="14" xfId="0" applyNumberFormat="1" applyFont="1" applyFill="1" applyBorder="1"/>
    <xf numFmtId="164" fontId="4" fillId="4" borderId="14" xfId="1" quotePrefix="1" applyFont="1" applyFill="1" applyBorder="1" applyAlignment="1">
      <alignment horizontal="right"/>
    </xf>
    <xf numFmtId="0" fontId="3" fillId="4" borderId="5" xfId="0" applyFont="1" applyFill="1" applyBorder="1" applyAlignment="1">
      <alignment horizontal="center" wrapText="1"/>
    </xf>
    <xf numFmtId="43" fontId="14" fillId="4" borderId="14" xfId="4" applyFont="1" applyFill="1" applyBorder="1"/>
    <xf numFmtId="164" fontId="2" fillId="4" borderId="14" xfId="1" applyFont="1" applyFill="1" applyBorder="1" applyAlignment="1">
      <alignment horizontal="right"/>
    </xf>
    <xf numFmtId="164" fontId="4" fillId="4" borderId="14" xfId="1" applyFont="1" applyFill="1" applyBorder="1" applyAlignment="1">
      <alignment horizontal="right"/>
    </xf>
    <xf numFmtId="0" fontId="2" fillId="4" borderId="14" xfId="0" applyFont="1" applyFill="1" applyBorder="1"/>
    <xf numFmtId="164" fontId="4" fillId="4" borderId="14" xfId="0" applyNumberFormat="1" applyFont="1" applyFill="1" applyBorder="1"/>
    <xf numFmtId="164" fontId="4" fillId="10" borderId="4" xfId="1" applyFont="1" applyFill="1" applyBorder="1" applyAlignment="1">
      <alignment horizontal="right"/>
    </xf>
    <xf numFmtId="164" fontId="2" fillId="10" borderId="4" xfId="1" applyFont="1" applyFill="1" applyBorder="1" applyAlignment="1">
      <alignment horizontal="right"/>
    </xf>
    <xf numFmtId="43" fontId="14" fillId="10" borderId="4" xfId="4" applyFont="1" applyFill="1" applyBorder="1"/>
    <xf numFmtId="164" fontId="4" fillId="10" borderId="4" xfId="0" applyNumberFormat="1" applyFont="1" applyFill="1" applyBorder="1"/>
    <xf numFmtId="164" fontId="17" fillId="10" borderId="4" xfId="0" applyNumberFormat="1" applyFont="1" applyFill="1" applyBorder="1"/>
    <xf numFmtId="164" fontId="4" fillId="10" borderId="4" xfId="1" quotePrefix="1" applyFont="1" applyFill="1" applyBorder="1" applyAlignment="1">
      <alignment horizontal="right"/>
    </xf>
    <xf numFmtId="0" fontId="2" fillId="10" borderId="4" xfId="0" applyFont="1" applyFill="1" applyBorder="1"/>
    <xf numFmtId="164" fontId="3" fillId="10" borderId="4" xfId="1" applyFont="1" applyFill="1" applyBorder="1" applyAlignment="1">
      <alignment horizontal="right"/>
    </xf>
    <xf numFmtId="0" fontId="3" fillId="10" borderId="4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wrapText="1"/>
    </xf>
    <xf numFmtId="164" fontId="4" fillId="4" borderId="1" xfId="1" applyFont="1" applyFill="1" applyBorder="1"/>
    <xf numFmtId="0" fontId="0" fillId="0" borderId="8" xfId="0" applyBorder="1"/>
    <xf numFmtId="164" fontId="4" fillId="4" borderId="15" xfId="1" applyFont="1" applyFill="1" applyBorder="1" applyAlignment="1">
      <alignment horizontal="right"/>
    </xf>
    <xf numFmtId="164" fontId="4" fillId="4" borderId="9" xfId="1" applyFont="1" applyFill="1" applyBorder="1" applyAlignment="1">
      <alignment horizontal="right"/>
    </xf>
    <xf numFmtId="0" fontId="0" fillId="0" borderId="16" xfId="0" applyBorder="1"/>
    <xf numFmtId="164" fontId="4" fillId="4" borderId="6" xfId="1" applyFont="1" applyFill="1" applyBorder="1" applyAlignment="1">
      <alignment horizontal="right"/>
    </xf>
    <xf numFmtId="164" fontId="4" fillId="4" borderId="17" xfId="1" applyFont="1" applyFill="1" applyBorder="1" applyAlignment="1">
      <alignment horizontal="right"/>
    </xf>
    <xf numFmtId="0" fontId="61" fillId="0" borderId="1" xfId="0" applyFont="1" applyBorder="1"/>
    <xf numFmtId="0" fontId="0" fillId="0" borderId="1" xfId="0" applyFont="1" applyBorder="1"/>
    <xf numFmtId="0" fontId="61" fillId="0" borderId="0" xfId="0" applyFont="1" applyBorder="1"/>
    <xf numFmtId="0" fontId="62" fillId="0" borderId="0" xfId="0" applyFont="1"/>
    <xf numFmtId="0" fontId="63" fillId="0" borderId="1" xfId="0" applyFont="1" applyBorder="1"/>
    <xf numFmtId="0" fontId="64" fillId="0" borderId="1" xfId="0" applyFont="1" applyBorder="1"/>
    <xf numFmtId="0" fontId="63" fillId="0" borderId="1" xfId="0" applyFont="1" applyBorder="1" applyAlignment="1">
      <alignment wrapText="1"/>
    </xf>
    <xf numFmtId="0" fontId="63" fillId="0" borderId="1" xfId="0" applyFont="1" applyBorder="1" applyAlignment="1">
      <alignment horizontal="center" wrapText="1"/>
    </xf>
    <xf numFmtId="0" fontId="63" fillId="0" borderId="1" xfId="0" applyFont="1" applyBorder="1" applyAlignment="1">
      <alignment horizontal="center"/>
    </xf>
    <xf numFmtId="0" fontId="62" fillId="0" borderId="1" xfId="0" quotePrefix="1" applyFont="1" applyBorder="1"/>
    <xf numFmtId="0" fontId="62" fillId="0" borderId="1" xfId="0" applyFont="1" applyFill="1" applyBorder="1"/>
    <xf numFmtId="17" fontId="62" fillId="0" borderId="1" xfId="0" applyNumberFormat="1" applyFont="1" applyFill="1" applyBorder="1" applyAlignment="1">
      <alignment horizontal="center"/>
    </xf>
    <xf numFmtId="164" fontId="65" fillId="0" borderId="1" xfId="1" applyFont="1" applyFill="1" applyBorder="1" applyAlignment="1">
      <alignment horizontal="center" vertical="center"/>
    </xf>
    <xf numFmtId="164" fontId="65" fillId="0" borderId="1" xfId="1" applyFont="1" applyBorder="1"/>
    <xf numFmtId="14" fontId="62" fillId="0" borderId="1" xfId="0" applyNumberFormat="1" applyFont="1" applyBorder="1"/>
    <xf numFmtId="164" fontId="65" fillId="0" borderId="1" xfId="1" applyFont="1" applyBorder="1" applyAlignment="1">
      <alignment horizontal="center" vertical="center"/>
    </xf>
    <xf numFmtId="164" fontId="58" fillId="0" borderId="0" xfId="1" applyFont="1"/>
    <xf numFmtId="0" fontId="62" fillId="0" borderId="1" xfId="0" applyFont="1" applyBorder="1"/>
    <xf numFmtId="164" fontId="65" fillId="0" borderId="10" xfId="1" applyFont="1" applyFill="1" applyBorder="1" applyAlignment="1">
      <alignment horizontal="center" vertical="center"/>
    </xf>
    <xf numFmtId="164" fontId="58" fillId="0" borderId="0" xfId="0" applyNumberFormat="1" applyFont="1"/>
    <xf numFmtId="43" fontId="58" fillId="0" borderId="0" xfId="0" applyNumberFormat="1" applyFont="1"/>
    <xf numFmtId="164" fontId="66" fillId="0" borderId="1" xfId="1" applyFont="1" applyBorder="1"/>
    <xf numFmtId="0" fontId="58" fillId="0" borderId="0" xfId="0" applyFont="1"/>
    <xf numFmtId="164" fontId="65" fillId="0" borderId="2" xfId="1" applyFont="1" applyBorder="1" applyAlignment="1">
      <alignment horizontal="center" vertical="center"/>
    </xf>
    <xf numFmtId="164" fontId="67" fillId="4" borderId="1" xfId="1" applyFont="1" applyFill="1" applyBorder="1" applyAlignment="1">
      <alignment horizontal="right"/>
    </xf>
    <xf numFmtId="0" fontId="66" fillId="0" borderId="0" xfId="0" applyFont="1"/>
    <xf numFmtId="164" fontId="62" fillId="0" borderId="1" xfId="1" applyFont="1" applyBorder="1"/>
    <xf numFmtId="164" fontId="65" fillId="0" borderId="0" xfId="1" applyFont="1"/>
    <xf numFmtId="164" fontId="63" fillId="0" borderId="1" xfId="1" applyFont="1" applyBorder="1"/>
    <xf numFmtId="0" fontId="22" fillId="0" borderId="1" xfId="0" quotePrefix="1" applyFont="1" applyBorder="1"/>
    <xf numFmtId="0" fontId="22" fillId="0" borderId="1" xfId="0" applyFont="1" applyFill="1" applyBorder="1"/>
    <xf numFmtId="164" fontId="68" fillId="0" borderId="1" xfId="1" applyFont="1" applyBorder="1"/>
    <xf numFmtId="164" fontId="69" fillId="0" borderId="1" xfId="1" applyFont="1" applyBorder="1"/>
    <xf numFmtId="164" fontId="66" fillId="0" borderId="0" xfId="1" applyFont="1"/>
    <xf numFmtId="0" fontId="62" fillId="0" borderId="0" xfId="0" quotePrefix="1" applyFont="1" applyFill="1" applyBorder="1"/>
    <xf numFmtId="0" fontId="62" fillId="0" borderId="0" xfId="0" quotePrefix="1" applyFont="1" applyBorder="1"/>
    <xf numFmtId="164" fontId="69" fillId="0" borderId="1" xfId="1" applyFont="1" applyBorder="1" applyAlignment="1">
      <alignment horizontal="center" vertical="center"/>
    </xf>
    <xf numFmtId="0" fontId="62" fillId="0" borderId="2" xfId="0" quotePrefix="1" applyFont="1" applyFill="1" applyBorder="1"/>
    <xf numFmtId="164" fontId="70" fillId="0" borderId="1" xfId="1" applyFont="1" applyBorder="1" applyAlignment="1">
      <alignment horizontal="center" vertical="center"/>
    </xf>
    <xf numFmtId="0" fontId="65" fillId="0" borderId="0" xfId="0" applyFont="1"/>
    <xf numFmtId="43" fontId="69" fillId="0" borderId="0" xfId="0" applyNumberFormat="1" applyFont="1"/>
    <xf numFmtId="164" fontId="69" fillId="0" borderId="0" xfId="1" applyFont="1"/>
    <xf numFmtId="0" fontId="62" fillId="0" borderId="2" xfId="0" quotePrefix="1" applyFont="1" applyBorder="1"/>
    <xf numFmtId="164" fontId="69" fillId="0" borderId="2" xfId="1" applyFont="1" applyBorder="1" applyAlignment="1">
      <alignment horizontal="center" vertical="center"/>
    </xf>
    <xf numFmtId="43" fontId="66" fillId="0" borderId="1" xfId="0" applyNumberFormat="1" applyFont="1" applyBorder="1"/>
    <xf numFmtId="17" fontId="62" fillId="0" borderId="1" xfId="0" applyNumberFormat="1" applyFont="1" applyFill="1" applyBorder="1"/>
    <xf numFmtId="164" fontId="71" fillId="0" borderId="2" xfId="1" applyFont="1" applyBorder="1" applyAlignment="1">
      <alignment horizontal="center" vertical="center"/>
    </xf>
    <xf numFmtId="164" fontId="71" fillId="0" borderId="1" xfId="1" applyFont="1" applyBorder="1"/>
    <xf numFmtId="0" fontId="72" fillId="0" borderId="1" xfId="0" applyFont="1" applyBorder="1"/>
    <xf numFmtId="0" fontId="55" fillId="0" borderId="1" xfId="0" applyFont="1" applyBorder="1"/>
    <xf numFmtId="165" fontId="73" fillId="0" borderId="1" xfId="1" applyNumberFormat="1" applyFont="1" applyBorder="1"/>
    <xf numFmtId="165" fontId="74" fillId="0" borderId="1" xfId="1" applyNumberFormat="1" applyFont="1" applyBorder="1"/>
    <xf numFmtId="0" fontId="0" fillId="0" borderId="1" xfId="0" applyBorder="1"/>
    <xf numFmtId="165" fontId="62" fillId="0" borderId="1" xfId="0" applyNumberFormat="1" applyFont="1" applyBorder="1"/>
    <xf numFmtId="165" fontId="0" fillId="0" borderId="0" xfId="0" applyNumberFormat="1"/>
    <xf numFmtId="164" fontId="49" fillId="0" borderId="0" xfId="1" applyFont="1"/>
    <xf numFmtId="164" fontId="69" fillId="0" borderId="2" xfId="1" applyFont="1" applyBorder="1"/>
    <xf numFmtId="0" fontId="69" fillId="0" borderId="1" xfId="0" applyFont="1" applyBorder="1"/>
    <xf numFmtId="0" fontId="0" fillId="0" borderId="1" xfId="0" applyFill="1" applyBorder="1"/>
    <xf numFmtId="0" fontId="75" fillId="0" borderId="1" xfId="0" applyFont="1" applyBorder="1"/>
    <xf numFmtId="164" fontId="62" fillId="0" borderId="1" xfId="1" applyFont="1" applyBorder="1" applyAlignment="1">
      <alignment horizontal="center" vertical="center"/>
    </xf>
    <xf numFmtId="164" fontId="75" fillId="0" borderId="1" xfId="1" applyFont="1" applyBorder="1"/>
    <xf numFmtId="165" fontId="76" fillId="0" borderId="0" xfId="0" applyNumberFormat="1" applyFont="1"/>
    <xf numFmtId="0" fontId="65" fillId="0" borderId="1" xfId="0" applyFont="1" applyBorder="1"/>
    <xf numFmtId="0" fontId="62" fillId="0" borderId="0" xfId="0" applyFont="1" applyBorder="1"/>
    <xf numFmtId="164" fontId="63" fillId="0" borderId="0" xfId="1" applyFont="1" applyBorder="1"/>
    <xf numFmtId="43" fontId="63" fillId="0" borderId="0" xfId="0" applyNumberFormat="1" applyFont="1"/>
    <xf numFmtId="0" fontId="65" fillId="0" borderId="0" xfId="0" applyFont="1" applyBorder="1"/>
    <xf numFmtId="164" fontId="69" fillId="15" borderId="2" xfId="1" applyFont="1" applyFill="1" applyBorder="1"/>
    <xf numFmtId="164" fontId="69" fillId="15" borderId="1" xfId="1" applyFont="1" applyFill="1" applyBorder="1"/>
    <xf numFmtId="164" fontId="75" fillId="5" borderId="1" xfId="1" applyFont="1" applyFill="1" applyBorder="1"/>
    <xf numFmtId="0" fontId="28" fillId="4" borderId="0" xfId="0" applyFont="1" applyFill="1" applyBorder="1"/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56" fillId="4" borderId="0" xfId="0" applyFont="1" applyFill="1" applyBorder="1"/>
    <xf numFmtId="0" fontId="45" fillId="0" borderId="0" xfId="0" applyFont="1" applyBorder="1" applyAlignment="1">
      <alignment horizontal="center"/>
    </xf>
    <xf numFmtId="0" fontId="45" fillId="0" borderId="0" xfId="0" applyFont="1" applyBorder="1" applyAlignment="1">
      <alignment horizontal="center" wrapText="1"/>
    </xf>
    <xf numFmtId="0" fontId="45" fillId="0" borderId="10" xfId="0" applyFont="1" applyBorder="1" applyAlignment="1">
      <alignment horizontal="center"/>
    </xf>
    <xf numFmtId="0" fontId="45" fillId="4" borderId="0" xfId="0" applyFont="1" applyFill="1" applyBorder="1" applyAlignment="1">
      <alignment horizontal="center"/>
    </xf>
    <xf numFmtId="0" fontId="45" fillId="4" borderId="0" xfId="0" applyFont="1" applyFill="1" applyBorder="1" applyAlignment="1">
      <alignment horizontal="center" wrapText="1"/>
    </xf>
    <xf numFmtId="0" fontId="45" fillId="4" borderId="10" xfId="0" applyFont="1" applyFill="1" applyBorder="1" applyAlignment="1">
      <alignment horizontal="center"/>
    </xf>
    <xf numFmtId="0" fontId="30" fillId="4" borderId="0" xfId="0" applyFont="1" applyFill="1" applyBorder="1" applyAlignment="1">
      <alignment horizontal="center"/>
    </xf>
    <xf numFmtId="0" fontId="30" fillId="4" borderId="0" xfId="0" applyFont="1" applyFill="1" applyBorder="1" applyAlignment="1">
      <alignment horizontal="left"/>
    </xf>
    <xf numFmtId="0" fontId="37" fillId="4" borderId="0" xfId="0" applyFont="1" applyFill="1" applyBorder="1" applyAlignment="1"/>
    <xf numFmtId="0" fontId="2" fillId="4" borderId="0" xfId="0" applyFont="1" applyFill="1" applyBorder="1" applyAlignment="1">
      <alignment horizontal="center" vertical="center"/>
    </xf>
    <xf numFmtId="0" fontId="28" fillId="4" borderId="0" xfId="0" applyFont="1" applyFill="1" applyBorder="1" applyAlignment="1">
      <alignment horizontal="center"/>
    </xf>
    <xf numFmtId="0" fontId="41" fillId="4" borderId="0" xfId="0" applyFont="1" applyFill="1" applyBorder="1" applyAlignment="1">
      <alignment horizontal="center"/>
    </xf>
    <xf numFmtId="0" fontId="42" fillId="0" borderId="0" xfId="0" applyFont="1" applyAlignment="1">
      <alignment horizontal="center"/>
    </xf>
    <xf numFmtId="0" fontId="42" fillId="0" borderId="1" xfId="0" applyFont="1" applyBorder="1" applyAlignment="1">
      <alignment horizontal="left"/>
    </xf>
    <xf numFmtId="0" fontId="3" fillId="4" borderId="0" xfId="0" applyFont="1" applyFill="1" applyBorder="1" applyAlignment="1">
      <alignment horizontal="center"/>
    </xf>
    <xf numFmtId="0" fontId="35" fillId="0" borderId="0" xfId="0" applyFont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4" fontId="4" fillId="0" borderId="1" xfId="0" applyNumberFormat="1" applyFont="1" applyFill="1" applyBorder="1" applyAlignment="1">
      <alignment horizontal="left"/>
    </xf>
    <xf numFmtId="4" fontId="6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2" fillId="0" borderId="8" xfId="0" applyNumberFormat="1" applyFont="1" applyFill="1" applyBorder="1" applyAlignment="1">
      <alignment horizontal="left"/>
    </xf>
    <xf numFmtId="49" fontId="2" fillId="0" borderId="9" xfId="0" applyNumberFormat="1" applyFont="1" applyFill="1" applyBorder="1" applyAlignment="1">
      <alignment horizontal="left"/>
    </xf>
    <xf numFmtId="49" fontId="2" fillId="0" borderId="10" xfId="0" applyNumberFormat="1" applyFont="1" applyFill="1" applyBorder="1" applyAlignment="1">
      <alignment horizontal="left"/>
    </xf>
    <xf numFmtId="49" fontId="2" fillId="0" borderId="7" xfId="0" applyNumberFormat="1" applyFont="1" applyFill="1" applyBorder="1" applyAlignment="1">
      <alignment horizontal="left"/>
    </xf>
    <xf numFmtId="4" fontId="6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/>
    <xf numFmtId="0" fontId="2" fillId="0" borderId="1" xfId="0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/>
    <xf numFmtId="49" fontId="2" fillId="0" borderId="4" xfId="0" applyNumberFormat="1" applyFont="1" applyFill="1" applyBorder="1" applyAlignment="1"/>
    <xf numFmtId="0" fontId="2" fillId="0" borderId="2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Fill="1" applyBorder="1" applyAlignment="1">
      <alignment horizontal="center"/>
    </xf>
    <xf numFmtId="49" fontId="4" fillId="0" borderId="4" xfId="0" applyNumberFormat="1" applyFont="1" applyFill="1" applyBorder="1" applyAlignment="1">
      <alignment horizontal="center"/>
    </xf>
    <xf numFmtId="49" fontId="4" fillId="0" borderId="2" xfId="0" applyNumberFormat="1" applyFont="1" applyFill="1" applyBorder="1" applyAlignment="1">
      <alignment horizontal="left"/>
    </xf>
    <xf numFmtId="49" fontId="4" fillId="0" borderId="4" xfId="0" applyNumberFormat="1" applyFont="1" applyFill="1" applyBorder="1" applyAlignment="1">
      <alignment horizontal="left"/>
    </xf>
    <xf numFmtId="49" fontId="13" fillId="0" borderId="2" xfId="0" applyNumberFormat="1" applyFont="1" applyFill="1" applyBorder="1" applyAlignment="1">
      <alignment horizontal="left"/>
    </xf>
    <xf numFmtId="49" fontId="13" fillId="0" borderId="4" xfId="0" applyNumberFormat="1" applyFont="1" applyFill="1" applyBorder="1" applyAlignment="1">
      <alignment horizontal="left"/>
    </xf>
    <xf numFmtId="0" fontId="2" fillId="0" borderId="2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49" fontId="8" fillId="0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3" fillId="4" borderId="0" xfId="0" applyFont="1" applyFill="1" applyBorder="1"/>
  </cellXfs>
  <cellStyles count="6">
    <cellStyle name="Comma" xfId="1" builtinId="3"/>
    <cellStyle name="Comma 12" xfId="4"/>
    <cellStyle name="Comma 2" xfId="3"/>
    <cellStyle name="Comma 8" xfId="5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2.xml"/><Relationship Id="rId55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5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8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.xml"/><Relationship Id="rId57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4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25" y="136070"/>
          <a:ext cx="1698625" cy="407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Deductions%20(18)%20Octob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/October%202022%20Payroll/Deductions%20for%20Cooperativ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January%202024%20%20Salar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NILDS%20Tax%20Schedule%20October%20202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October%20%202023%20%20Salary%20Revise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July%202023%20Payroll/Consultants,%20Deployed%20Staff%20June%20%20202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NILDS%20Tax%20Schedule%202022%20new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193">
          <cell r="D193">
            <v>230499.8</v>
          </cell>
        </row>
      </sheetData>
      <sheetData sheetId="89"/>
      <sheetData sheetId="9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>
        <row r="182">
          <cell r="D182">
            <v>175000</v>
          </cell>
        </row>
        <row r="184">
          <cell r="D184">
            <v>43750</v>
          </cell>
        </row>
      </sheetData>
      <sheetData sheetId="77" refreshError="1"/>
      <sheetData sheetId="7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775.49600000000009</v>
          </cell>
        </row>
        <row r="47">
          <cell r="V47">
            <v>837.6875</v>
          </cell>
        </row>
        <row r="78">
          <cell r="V78">
            <v>668.31625000000008</v>
          </cell>
        </row>
        <row r="86">
          <cell r="V86">
            <v>837.6875</v>
          </cell>
        </row>
        <row r="92">
          <cell r="V92">
            <v>576.87475000000006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658.48250000000007</v>
          </cell>
        </row>
        <row r="115">
          <cell r="V115">
            <v>806.58</v>
          </cell>
        </row>
        <row r="117">
          <cell r="V117">
            <v>576.62125000000003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31749.120666666666</v>
          </cell>
        </row>
        <row r="29">
          <cell r="Z29">
            <v>21640.882666666668</v>
          </cell>
        </row>
        <row r="30">
          <cell r="Z30">
            <v>25571.732666666667</v>
          </cell>
        </row>
        <row r="50">
          <cell r="Z50">
            <v>54812.468586666662</v>
          </cell>
        </row>
        <row r="62">
          <cell r="Z62">
            <v>54931.226666666662</v>
          </cell>
        </row>
        <row r="78">
          <cell r="Z78">
            <v>54931.226666666662</v>
          </cell>
        </row>
        <row r="85">
          <cell r="Z85">
            <v>75440.404746666667</v>
          </cell>
        </row>
        <row r="86">
          <cell r="Z86">
            <v>75572.938666666669</v>
          </cell>
        </row>
        <row r="89">
          <cell r="Z89">
            <v>53384.122666666663</v>
          </cell>
        </row>
        <row r="97">
          <cell r="Z97">
            <v>94644.621866666668</v>
          </cell>
        </row>
        <row r="118">
          <cell r="Z118">
            <v>42034.243346666663</v>
          </cell>
        </row>
        <row r="129">
          <cell r="Z129">
            <v>42047.769026666661</v>
          </cell>
        </row>
        <row r="134">
          <cell r="Z134">
            <v>31653.201066666661</v>
          </cell>
        </row>
        <row r="145">
          <cell r="Z145">
            <v>21640.882666666668</v>
          </cell>
        </row>
        <row r="164">
          <cell r="Z164">
            <v>8312.5899999999983</v>
          </cell>
        </row>
        <row r="177">
          <cell r="Z177">
            <v>3951.8553333333325</v>
          </cell>
        </row>
      </sheetData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8312.5899999999983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180306.80685866671</v>
          </cell>
        </row>
        <row r="69">
          <cell r="Z69">
            <v>41338.951098666665</v>
          </cell>
        </row>
      </sheetData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668.31625000000008</v>
          </cell>
        </row>
        <row r="28">
          <cell r="H28">
            <v>837.6875</v>
          </cell>
        </row>
        <row r="35">
          <cell r="H35">
            <v>658.48250000000007</v>
          </cell>
        </row>
        <row r="36">
          <cell r="H36">
            <v>444.60249999999996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668.31625000000008</v>
          </cell>
        </row>
        <row r="48">
          <cell r="H48">
            <v>618.53150000000005</v>
          </cell>
        </row>
        <row r="50">
          <cell r="H50">
            <v>668.31625000000008</v>
          </cell>
        </row>
        <row r="51">
          <cell r="H51">
            <v>226.2535</v>
          </cell>
        </row>
        <row r="52">
          <cell r="H52">
            <v>576.87475000000006</v>
          </cell>
        </row>
        <row r="54">
          <cell r="H54">
            <v>668.31625000000008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9"/>
  <sheetViews>
    <sheetView tabSelected="1" zoomScaleNormal="100" zoomScaleSheetLayoutView="50" workbookViewId="0">
      <pane xSplit="3" ySplit="7" topLeftCell="D35" activePane="bottomRight" state="frozen"/>
      <selection pane="topRight" activeCell="E1" sqref="E1"/>
      <selection pane="bottomLeft" activeCell="A10" sqref="A10"/>
      <selection pane="bottomRight" activeCell="B4" sqref="B4"/>
    </sheetView>
  </sheetViews>
  <sheetFormatPr defaultColWidth="9.140625" defaultRowHeight="20.100000000000001" customHeight="1"/>
  <cols>
    <col min="1" max="1" width="5.42578125" style="196" customWidth="1"/>
    <col min="2" max="2" width="43.85546875" style="196" customWidth="1"/>
    <col min="3" max="3" width="40.42578125" style="196" customWidth="1"/>
    <col min="4" max="4" width="12.7109375" style="196" customWidth="1"/>
    <col min="5" max="6" width="19.28515625" style="196" customWidth="1"/>
    <col min="7" max="7" width="18.28515625" style="196" customWidth="1"/>
    <col min="8" max="8" width="18.140625" style="196" customWidth="1"/>
    <col min="9" max="9" width="17.85546875" style="196" customWidth="1"/>
    <col min="10" max="10" width="21.5703125" style="196" customWidth="1"/>
    <col min="11" max="11" width="9.140625" style="196" customWidth="1"/>
    <col min="12" max="12" width="18.42578125" style="196" customWidth="1"/>
    <col min="13" max="13" width="17.7109375" style="196" customWidth="1"/>
    <col min="14" max="14" width="16" style="196" customWidth="1"/>
    <col min="15" max="15" width="19.85546875" style="196" customWidth="1"/>
    <col min="16" max="16" width="18.140625" style="196" customWidth="1"/>
    <col min="17" max="19" width="19.28515625" style="196" customWidth="1"/>
    <col min="20" max="20" width="21.7109375" style="196" customWidth="1"/>
    <col min="21" max="16384" width="9.140625" style="196"/>
  </cols>
  <sheetData>
    <row r="1" spans="1:20" ht="27" customHeight="1">
      <c r="A1" s="705" t="s">
        <v>234</v>
      </c>
      <c r="B1" s="705"/>
      <c r="C1" s="705"/>
      <c r="D1" s="705"/>
      <c r="E1" s="705"/>
      <c r="F1" s="705"/>
      <c r="G1" s="195"/>
      <c r="H1" s="195"/>
      <c r="I1" s="195"/>
    </row>
    <row r="2" spans="1:20" ht="33.75" customHeight="1">
      <c r="A2" s="197" t="s">
        <v>767</v>
      </c>
      <c r="B2" s="198"/>
      <c r="C2" s="197"/>
      <c r="D2" s="197"/>
      <c r="E2" s="199"/>
      <c r="F2" s="199"/>
      <c r="G2" s="200"/>
      <c r="H2" s="200"/>
      <c r="I2" s="200"/>
      <c r="J2" s="201"/>
      <c r="K2" s="201"/>
      <c r="L2" s="201"/>
      <c r="M2" s="201"/>
      <c r="N2" s="201"/>
      <c r="O2" s="201"/>
      <c r="P2" s="201"/>
      <c r="Q2" s="201"/>
      <c r="R2" s="201"/>
      <c r="S2" s="201"/>
    </row>
    <row r="3" spans="1:20" ht="9.75" customHeight="1">
      <c r="A3" s="202"/>
      <c r="B3" s="202"/>
      <c r="C3" s="202"/>
      <c r="D3" s="202"/>
      <c r="E3" s="195" t="e">
        <f>'[1]FEB 08'!E11/'[1]FEB 08'!M11</f>
        <v>#REF!</v>
      </c>
      <c r="F3" s="195"/>
      <c r="G3" s="195"/>
      <c r="H3" s="195"/>
      <c r="I3" s="195"/>
    </row>
    <row r="4" spans="1:20" ht="49.5" customHeight="1">
      <c r="A4" s="21"/>
      <c r="B4" s="203" t="s">
        <v>0</v>
      </c>
      <c r="C4" s="204" t="s">
        <v>12</v>
      </c>
      <c r="D4" s="205" t="s">
        <v>309</v>
      </c>
      <c r="E4" s="206" t="s">
        <v>308</v>
      </c>
      <c r="F4" s="206" t="s">
        <v>460</v>
      </c>
      <c r="G4" s="206" t="s">
        <v>93</v>
      </c>
      <c r="H4" s="206" t="s">
        <v>93</v>
      </c>
      <c r="I4" s="206" t="s">
        <v>49</v>
      </c>
      <c r="J4" s="236" t="s">
        <v>74</v>
      </c>
      <c r="K4" s="206" t="s">
        <v>352</v>
      </c>
      <c r="L4" s="206" t="s">
        <v>457</v>
      </c>
      <c r="M4" s="206" t="s">
        <v>180</v>
      </c>
      <c r="N4" s="206" t="s">
        <v>458</v>
      </c>
      <c r="O4" s="207" t="s">
        <v>38</v>
      </c>
      <c r="P4" s="206" t="s">
        <v>794</v>
      </c>
      <c r="Q4" s="294" t="s">
        <v>459</v>
      </c>
      <c r="R4" s="208" t="s">
        <v>768</v>
      </c>
      <c r="S4" s="254" t="s">
        <v>769</v>
      </c>
    </row>
    <row r="5" spans="1:20" ht="17.25" customHeight="1">
      <c r="C5" s="210"/>
      <c r="D5" s="210"/>
      <c r="E5" s="211" t="s">
        <v>5</v>
      </c>
      <c r="F5" s="30"/>
      <c r="G5" s="211" t="s">
        <v>5</v>
      </c>
      <c r="H5" s="211" t="s">
        <v>5</v>
      </c>
      <c r="I5" s="211" t="s">
        <v>5</v>
      </c>
      <c r="J5" s="243" t="s">
        <v>5</v>
      </c>
      <c r="K5" s="211" t="s">
        <v>5</v>
      </c>
      <c r="L5" s="211" t="s">
        <v>5</v>
      </c>
      <c r="M5" s="211" t="s">
        <v>5</v>
      </c>
      <c r="N5" s="211" t="s">
        <v>5</v>
      </c>
      <c r="O5" s="211" t="s">
        <v>5</v>
      </c>
      <c r="P5" s="211" t="s">
        <v>5</v>
      </c>
      <c r="Q5" s="295" t="s">
        <v>5</v>
      </c>
      <c r="R5" s="211" t="s">
        <v>5</v>
      </c>
      <c r="S5" s="249" t="s">
        <v>5</v>
      </c>
    </row>
    <row r="6" spans="1:20" ht="20.100000000000001" customHeight="1">
      <c r="A6" s="209" t="s">
        <v>143</v>
      </c>
      <c r="B6" s="210" t="s">
        <v>433</v>
      </c>
      <c r="C6" s="210"/>
      <c r="D6" s="210"/>
      <c r="E6" s="211"/>
      <c r="F6" s="30"/>
      <c r="G6" s="211"/>
      <c r="H6" s="211"/>
      <c r="I6" s="211"/>
      <c r="J6" s="243"/>
      <c r="K6" s="211"/>
      <c r="L6" s="211"/>
      <c r="M6" s="211"/>
      <c r="N6" s="211"/>
      <c r="O6" s="211"/>
      <c r="P6" s="211"/>
      <c r="Q6" s="295"/>
      <c r="R6" s="211"/>
      <c r="S6" s="249"/>
    </row>
    <row r="7" spans="1:20" ht="20.100000000000001" customHeight="1">
      <c r="A7" s="29">
        <v>1</v>
      </c>
      <c r="B7" s="188" t="s">
        <v>224</v>
      </c>
      <c r="C7" s="193" t="s">
        <v>119</v>
      </c>
      <c r="D7" s="193" t="s">
        <v>34</v>
      </c>
      <c r="E7" s="24">
        <v>1659751.1669999999</v>
      </c>
      <c r="F7" s="24">
        <v>627118.1522159999</v>
      </c>
      <c r="G7" s="212">
        <f>250000</f>
        <v>250000</v>
      </c>
      <c r="H7" s="212"/>
      <c r="I7" s="24">
        <v>25235</v>
      </c>
      <c r="J7" s="237">
        <f>E7+F7+G7+H7+I7</f>
        <v>2562104.3192159999</v>
      </c>
      <c r="K7" s="24"/>
      <c r="L7" s="24"/>
      <c r="M7" s="24"/>
      <c r="N7" s="24"/>
      <c r="O7" s="24">
        <v>350184.01073066675</v>
      </c>
      <c r="P7" s="24"/>
      <c r="Q7" s="296">
        <f>O7+N7+M7+L7+K7+P7</f>
        <v>350184.01073066675</v>
      </c>
      <c r="R7" s="24">
        <v>957684.00405333319</v>
      </c>
      <c r="S7" s="240">
        <f>J7-Q7</f>
        <v>2211920.3084853333</v>
      </c>
      <c r="T7" s="213"/>
    </row>
    <row r="8" spans="1:20" ht="20.100000000000001" customHeight="1">
      <c r="A8" s="430">
        <v>2</v>
      </c>
      <c r="B8" s="188" t="s">
        <v>315</v>
      </c>
      <c r="C8" s="193" t="s">
        <v>316</v>
      </c>
      <c r="D8" s="29" t="s">
        <v>496</v>
      </c>
      <c r="E8" s="24">
        <v>762373.16666666663</v>
      </c>
      <c r="F8" s="26">
        <v>262923.8305086667</v>
      </c>
      <c r="G8" s="212"/>
      <c r="H8" s="212">
        <f>90000</f>
        <v>90000</v>
      </c>
      <c r="I8" s="24">
        <v>0</v>
      </c>
      <c r="J8" s="237">
        <f t="shared" ref="J8:J33" si="0">E8+F8+G8+H8+I8</f>
        <v>1115296.9971753333</v>
      </c>
      <c r="K8" s="24"/>
      <c r="L8" s="24">
        <f>100000</f>
        <v>100000</v>
      </c>
      <c r="M8" s="24"/>
      <c r="N8" s="24"/>
      <c r="O8" s="24">
        <v>130612.26282666666</v>
      </c>
      <c r="P8" s="24">
        <v>60989.853333333333</v>
      </c>
      <c r="Q8" s="296">
        <f t="shared" ref="Q8:Q33" si="1">O8+N8+M8+L8+K8+P8</f>
        <v>291602.11615999998</v>
      </c>
      <c r="R8" s="24">
        <v>358837.07333133329</v>
      </c>
      <c r="S8" s="240">
        <f t="shared" ref="S8:S33" si="2">J8-Q8</f>
        <v>823694.88101533335</v>
      </c>
      <c r="T8" s="213"/>
    </row>
    <row r="9" spans="1:20" ht="20.100000000000001" customHeight="1">
      <c r="A9" s="430">
        <v>3</v>
      </c>
      <c r="B9" s="190" t="s">
        <v>317</v>
      </c>
      <c r="C9" s="21" t="s">
        <v>418</v>
      </c>
      <c r="D9" s="430" t="s">
        <v>496</v>
      </c>
      <c r="E9" s="24">
        <v>762373.16666666663</v>
      </c>
      <c r="F9" s="26">
        <v>251213.77866866646</v>
      </c>
      <c r="G9" s="212"/>
      <c r="H9" s="212">
        <f>90000</f>
        <v>90000</v>
      </c>
      <c r="I9" s="26">
        <f>100000+100000</f>
        <v>200000</v>
      </c>
      <c r="J9" s="237">
        <f t="shared" si="0"/>
        <v>1303586.9453353332</v>
      </c>
      <c r="K9" s="24"/>
      <c r="L9" s="24"/>
      <c r="M9" s="24"/>
      <c r="N9" s="24"/>
      <c r="O9" s="26">
        <v>180722.31466666664</v>
      </c>
      <c r="P9" s="26"/>
      <c r="Q9" s="296">
        <f t="shared" si="1"/>
        <v>180722.31466666664</v>
      </c>
      <c r="R9" s="24">
        <v>620437.07333133346</v>
      </c>
      <c r="S9" s="240">
        <f t="shared" si="2"/>
        <v>1122864.6306686667</v>
      </c>
      <c r="T9" s="213"/>
    </row>
    <row r="10" spans="1:20" ht="20.100000000000001" customHeight="1">
      <c r="A10" s="430">
        <v>4</v>
      </c>
      <c r="B10" s="188" t="s">
        <v>187</v>
      </c>
      <c r="C10" s="155" t="s">
        <v>474</v>
      </c>
      <c r="D10" s="430" t="s">
        <v>496</v>
      </c>
      <c r="E10" s="24">
        <v>762373.16666666663</v>
      </c>
      <c r="F10" s="26">
        <v>262923.83050866652</v>
      </c>
      <c r="G10" s="212">
        <v>180000</v>
      </c>
      <c r="H10" s="212"/>
      <c r="I10" s="26">
        <v>0</v>
      </c>
      <c r="J10" s="237">
        <f t="shared" si="0"/>
        <v>1205296.9971753331</v>
      </c>
      <c r="K10" s="24"/>
      <c r="L10" s="26">
        <f>50000</f>
        <v>50000</v>
      </c>
      <c r="M10" s="26">
        <v>103000</v>
      </c>
      <c r="N10" s="24">
        <v>1066.32925</v>
      </c>
      <c r="O10" s="26">
        <v>147687.52761066667</v>
      </c>
      <c r="P10" s="26">
        <v>60989.853333333333</v>
      </c>
      <c r="Q10" s="296">
        <f t="shared" si="1"/>
        <v>362743.71019399998</v>
      </c>
      <c r="R10" s="24">
        <v>377695.4792973334</v>
      </c>
      <c r="S10" s="240">
        <f t="shared" si="2"/>
        <v>842553.28698133305</v>
      </c>
      <c r="T10" s="213"/>
    </row>
    <row r="11" spans="1:20" ht="20.100000000000001" customHeight="1">
      <c r="A11" s="430">
        <v>5</v>
      </c>
      <c r="B11" s="190" t="s">
        <v>203</v>
      </c>
      <c r="C11" s="21" t="s">
        <v>475</v>
      </c>
      <c r="D11" s="430" t="s">
        <v>496</v>
      </c>
      <c r="E11" s="24">
        <v>762373.16666666663</v>
      </c>
      <c r="F11" s="26">
        <v>262923.83050866652</v>
      </c>
      <c r="G11" s="212"/>
      <c r="H11" s="212">
        <f>80000+10000</f>
        <v>90000</v>
      </c>
      <c r="I11" s="24">
        <v>150000</v>
      </c>
      <c r="J11" s="237">
        <f t="shared" si="0"/>
        <v>1265296.9971753331</v>
      </c>
      <c r="K11" s="24"/>
      <c r="L11" s="24">
        <f>20000+60000</f>
        <v>80000</v>
      </c>
      <c r="M11" s="24">
        <f>'[2]OCTOBER 2023 '!$D$193</f>
        <v>230499.8</v>
      </c>
      <c r="N11" s="24">
        <v>1066.32925</v>
      </c>
      <c r="O11" s="24">
        <v>159207.52761066667</v>
      </c>
      <c r="P11" s="24">
        <v>60989.853333333333</v>
      </c>
      <c r="Q11" s="296">
        <f t="shared" si="1"/>
        <v>531763.51019400009</v>
      </c>
      <c r="R11" s="24">
        <v>268675.67929733347</v>
      </c>
      <c r="S11" s="240">
        <f t="shared" si="2"/>
        <v>733533.486981333</v>
      </c>
      <c r="T11" s="213"/>
    </row>
    <row r="12" spans="1:20" ht="20.100000000000001" customHeight="1">
      <c r="A12" s="430">
        <v>6</v>
      </c>
      <c r="B12" s="364" t="s">
        <v>364</v>
      </c>
      <c r="C12" s="359" t="s">
        <v>343</v>
      </c>
      <c r="D12" s="430" t="s">
        <v>496</v>
      </c>
      <c r="E12" s="24">
        <v>762373.16666666663</v>
      </c>
      <c r="F12" s="26">
        <v>251213.77866866667</v>
      </c>
      <c r="G12" s="212"/>
      <c r="H12" s="212">
        <f>90000</f>
        <v>90000</v>
      </c>
      <c r="I12" s="26">
        <v>100000</v>
      </c>
      <c r="J12" s="237">
        <f t="shared" si="0"/>
        <v>1203586.9453353332</v>
      </c>
      <c r="K12" s="24"/>
      <c r="L12" s="24">
        <f>50000</f>
        <v>50000</v>
      </c>
      <c r="M12" s="24">
        <f>91666.67</f>
        <v>91666.67</v>
      </c>
      <c r="N12" s="24"/>
      <c r="O12" s="26">
        <v>161522.31466666667</v>
      </c>
      <c r="P12" s="26"/>
      <c r="Q12" s="296">
        <f t="shared" si="1"/>
        <v>303188.98466666666</v>
      </c>
      <c r="R12" s="24">
        <v>397970.40333133331</v>
      </c>
      <c r="S12" s="240">
        <f t="shared" si="2"/>
        <v>900397.96066866652</v>
      </c>
      <c r="T12" s="213"/>
    </row>
    <row r="13" spans="1:20" ht="20.100000000000001" customHeight="1">
      <c r="A13" s="430">
        <v>7</v>
      </c>
      <c r="B13" s="188" t="s">
        <v>111</v>
      </c>
      <c r="C13" s="193" t="s">
        <v>468</v>
      </c>
      <c r="D13" s="214" t="s">
        <v>75</v>
      </c>
      <c r="E13" s="26">
        <v>620675.58333333337</v>
      </c>
      <c r="F13" s="26">
        <v>214056.21827333339</v>
      </c>
      <c r="G13" s="212"/>
      <c r="H13" s="212">
        <f t="shared" ref="H13:H123" si="3">80000</f>
        <v>80000</v>
      </c>
      <c r="I13" s="26">
        <v>50000</v>
      </c>
      <c r="J13" s="237">
        <f t="shared" si="0"/>
        <v>964731.80160666676</v>
      </c>
      <c r="K13" s="24"/>
      <c r="L13" s="24">
        <f>50000-40000</f>
        <v>10000</v>
      </c>
      <c r="M13" s="24">
        <f>90000+110000</f>
        <v>200000</v>
      </c>
      <c r="N13" s="24">
        <v>837.6875</v>
      </c>
      <c r="O13" s="26">
        <v>113101.96570666666</v>
      </c>
      <c r="P13" s="26">
        <v>49654.046666666669</v>
      </c>
      <c r="Q13" s="296">
        <f t="shared" si="1"/>
        <v>373593.69987333333</v>
      </c>
      <c r="R13" s="24">
        <v>212679.71185333334</v>
      </c>
      <c r="S13" s="240">
        <f t="shared" si="2"/>
        <v>591138.10173333343</v>
      </c>
      <c r="T13" s="213"/>
    </row>
    <row r="14" spans="1:20" ht="20.100000000000001" customHeight="1">
      <c r="A14" s="430">
        <v>8</v>
      </c>
      <c r="B14" s="363" t="s">
        <v>185</v>
      </c>
      <c r="C14" s="357" t="s">
        <v>708</v>
      </c>
      <c r="D14" s="359" t="s">
        <v>30</v>
      </c>
      <c r="E14" s="26">
        <v>582118.08333333337</v>
      </c>
      <c r="F14" s="26">
        <v>200751.53371733334</v>
      </c>
      <c r="G14" s="212">
        <v>160000</v>
      </c>
      <c r="H14" s="212"/>
      <c r="I14" s="26">
        <f>100000</f>
        <v>100000</v>
      </c>
      <c r="J14" s="237">
        <f t="shared" si="0"/>
        <v>1042869.6170506667</v>
      </c>
      <c r="K14" s="24"/>
      <c r="L14" s="24"/>
      <c r="M14" s="24"/>
      <c r="N14" s="24">
        <v>775.49600000000009</v>
      </c>
      <c r="O14" s="24">
        <v>131263.10967466666</v>
      </c>
      <c r="P14" s="24">
        <v>46569.44666666667</v>
      </c>
      <c r="Q14" s="296">
        <f t="shared" si="1"/>
        <v>178608.05234133336</v>
      </c>
      <c r="R14" s="24">
        <v>509327.94394133339</v>
      </c>
      <c r="S14" s="240">
        <f t="shared" si="2"/>
        <v>864261.56470933335</v>
      </c>
      <c r="T14" s="213"/>
    </row>
    <row r="15" spans="1:20" ht="20.100000000000001" customHeight="1">
      <c r="A15" s="430">
        <v>9</v>
      </c>
      <c r="B15" s="188" t="s">
        <v>18</v>
      </c>
      <c r="C15" s="21" t="s">
        <v>389</v>
      </c>
      <c r="D15" s="214" t="s">
        <v>174</v>
      </c>
      <c r="E15" s="26">
        <v>484373.75</v>
      </c>
      <c r="F15" s="26">
        <v>178220.88547200005</v>
      </c>
      <c r="G15" s="212"/>
      <c r="H15" s="212">
        <f t="shared" ref="H15" si="4">70000</f>
        <v>70000</v>
      </c>
      <c r="I15" s="26">
        <f>0</f>
        <v>0</v>
      </c>
      <c r="J15" s="237">
        <f t="shared" si="0"/>
        <v>732594.63547200011</v>
      </c>
      <c r="K15" s="24"/>
      <c r="L15" s="24"/>
      <c r="M15" s="24"/>
      <c r="N15" s="24"/>
      <c r="O15" s="26">
        <v>77666.445866666661</v>
      </c>
      <c r="P15" s="26">
        <v>38749.9</v>
      </c>
      <c r="Q15" s="296">
        <f t="shared" si="1"/>
        <v>116416.34586666667</v>
      </c>
      <c r="R15" s="24">
        <v>298486.41866133327</v>
      </c>
      <c r="S15" s="240">
        <f t="shared" si="2"/>
        <v>616178.28960533347</v>
      </c>
      <c r="T15" s="213"/>
    </row>
    <row r="16" spans="1:20" ht="20.100000000000001" customHeight="1">
      <c r="A16" s="430">
        <v>10</v>
      </c>
      <c r="B16" s="365" t="s">
        <v>534</v>
      </c>
      <c r="C16" s="155" t="s">
        <v>297</v>
      </c>
      <c r="D16" s="214" t="s">
        <v>181</v>
      </c>
      <c r="E16" s="26">
        <v>470498</v>
      </c>
      <c r="F16" s="26">
        <v>166536.14079799995</v>
      </c>
      <c r="G16" s="212">
        <v>140000</v>
      </c>
      <c r="H16" s="212"/>
      <c r="I16" s="26">
        <v>50000</v>
      </c>
      <c r="J16" s="237">
        <f t="shared" si="0"/>
        <v>827034.14079799992</v>
      </c>
      <c r="K16" s="24"/>
      <c r="L16" s="24">
        <f>50000</f>
        <v>50000</v>
      </c>
      <c r="M16" s="24"/>
      <c r="N16" s="24"/>
      <c r="O16" s="24">
        <v>98255.433386666657</v>
      </c>
      <c r="P16" s="24">
        <v>37639.840000000004</v>
      </c>
      <c r="Q16" s="296">
        <f t="shared" si="1"/>
        <v>185895.27338666664</v>
      </c>
      <c r="R16" s="24">
        <v>366666.36858333345</v>
      </c>
      <c r="S16" s="240">
        <f t="shared" si="2"/>
        <v>641138.86741133325</v>
      </c>
      <c r="T16" s="213"/>
    </row>
    <row r="17" spans="1:20" ht="20.100000000000001" customHeight="1">
      <c r="A17" s="430">
        <v>11</v>
      </c>
      <c r="B17" s="363" t="s">
        <v>184</v>
      </c>
      <c r="C17" s="357" t="s">
        <v>78</v>
      </c>
      <c r="D17" s="359" t="s">
        <v>222</v>
      </c>
      <c r="E17" s="26">
        <v>442746.5</v>
      </c>
      <c r="F17" s="26">
        <v>156712.97330000007</v>
      </c>
      <c r="G17" s="212">
        <f>140000</f>
        <v>140000</v>
      </c>
      <c r="H17" s="212"/>
      <c r="I17" s="26">
        <v>150000</v>
      </c>
      <c r="J17" s="237">
        <f t="shared" si="0"/>
        <v>889459.47330000007</v>
      </c>
      <c r="K17" s="24"/>
      <c r="L17" s="24">
        <v>70000</v>
      </c>
      <c r="M17" s="24"/>
      <c r="N17" s="24"/>
      <c r="O17" s="26">
        <v>112553.40842666665</v>
      </c>
      <c r="P17" s="26">
        <v>35419.72</v>
      </c>
      <c r="Q17" s="296">
        <f t="shared" si="1"/>
        <v>217973.12842666663</v>
      </c>
      <c r="R17" s="24">
        <v>430544.70083333331</v>
      </c>
      <c r="S17" s="240">
        <f t="shared" si="2"/>
        <v>671486.34487333347</v>
      </c>
      <c r="T17" s="213"/>
    </row>
    <row r="18" spans="1:20" ht="20.100000000000001" customHeight="1">
      <c r="A18" s="430">
        <v>12</v>
      </c>
      <c r="B18" s="363" t="s">
        <v>724</v>
      </c>
      <c r="C18" s="357" t="s">
        <v>725</v>
      </c>
      <c r="D18" s="359" t="s">
        <v>175</v>
      </c>
      <c r="E18" s="26">
        <v>441804.91666666669</v>
      </c>
      <c r="F18" s="26">
        <v>157040.81570666673</v>
      </c>
      <c r="G18" s="212"/>
      <c r="H18" s="212">
        <v>70000</v>
      </c>
      <c r="I18" s="26"/>
      <c r="J18" s="237">
        <f t="shared" si="0"/>
        <v>668845.73237333342</v>
      </c>
      <c r="K18" s="357"/>
      <c r="L18" s="357"/>
      <c r="M18" s="24"/>
      <c r="N18" s="24"/>
      <c r="O18" s="24">
        <v>70147.087146666672</v>
      </c>
      <c r="P18" s="24">
        <v>35344.393333333333</v>
      </c>
      <c r="Q18" s="296">
        <f t="shared" si="1"/>
        <v>105491.48048</v>
      </c>
      <c r="R18" s="327">
        <v>284617.01749999996</v>
      </c>
      <c r="S18" s="240">
        <f t="shared" si="2"/>
        <v>563354.25189333339</v>
      </c>
    </row>
    <row r="19" spans="1:20" ht="20.100000000000001" customHeight="1">
      <c r="A19" s="430">
        <v>13</v>
      </c>
      <c r="B19" s="188" t="s">
        <v>334</v>
      </c>
      <c r="C19" s="193" t="s">
        <v>351</v>
      </c>
      <c r="D19" s="214" t="s">
        <v>170</v>
      </c>
      <c r="E19" s="26">
        <v>428915.91666666669</v>
      </c>
      <c r="F19" s="26">
        <v>151816.66491666675</v>
      </c>
      <c r="G19" s="212">
        <f>120000</f>
        <v>120000</v>
      </c>
      <c r="H19" s="212"/>
      <c r="I19" s="26">
        <v>0</v>
      </c>
      <c r="J19" s="237">
        <f t="shared" si="0"/>
        <v>700732.58158333343</v>
      </c>
      <c r="K19" s="24"/>
      <c r="L19" s="24">
        <f>50000</f>
        <v>50000</v>
      </c>
      <c r="M19" s="24">
        <v>0</v>
      </c>
      <c r="N19" s="24"/>
      <c r="O19" s="26">
        <v>77470.374186666668</v>
      </c>
      <c r="P19" s="26">
        <v>34313.273333333338</v>
      </c>
      <c r="Q19" s="296">
        <f t="shared" si="1"/>
        <v>161783.64752</v>
      </c>
      <c r="R19" s="24">
        <v>272510.98708333331</v>
      </c>
      <c r="S19" s="240">
        <f t="shared" si="2"/>
        <v>538948.93406333344</v>
      </c>
      <c r="T19" s="213"/>
    </row>
    <row r="20" spans="1:20" ht="20.100000000000001" customHeight="1">
      <c r="A20" s="430">
        <v>14</v>
      </c>
      <c r="B20" s="189" t="s">
        <v>291</v>
      </c>
      <c r="C20" s="21" t="s">
        <v>346</v>
      </c>
      <c r="D20" s="214" t="s">
        <v>500</v>
      </c>
      <c r="E20" s="26">
        <v>416026.91666666669</v>
      </c>
      <c r="F20" s="26">
        <v>147121.82298266672</v>
      </c>
      <c r="G20" s="212">
        <f>120000</f>
        <v>120000</v>
      </c>
      <c r="H20" s="212"/>
      <c r="I20" s="26">
        <f>100000</f>
        <v>100000</v>
      </c>
      <c r="J20" s="237">
        <f t="shared" si="0"/>
        <v>783148.73964933341</v>
      </c>
      <c r="K20" s="24"/>
      <c r="L20" s="26">
        <f>30000-20000</f>
        <v>10000</v>
      </c>
      <c r="M20" s="26">
        <f>95833.33</f>
        <v>95833.33</v>
      </c>
      <c r="N20" s="24">
        <v>618.53150000000005</v>
      </c>
      <c r="O20" s="26">
        <v>94274.903466666685</v>
      </c>
      <c r="P20" s="26">
        <v>33282.153333333335</v>
      </c>
      <c r="Q20" s="296">
        <f t="shared" si="1"/>
        <v>234008.91830000002</v>
      </c>
      <c r="R20" s="24">
        <v>308882.53233333339</v>
      </c>
      <c r="S20" s="240">
        <f t="shared" si="2"/>
        <v>549139.82134933339</v>
      </c>
      <c r="T20" s="213"/>
    </row>
    <row r="21" spans="1:20" ht="18.75" customHeight="1">
      <c r="A21" s="430">
        <v>15</v>
      </c>
      <c r="B21" s="188" t="s">
        <v>253</v>
      </c>
      <c r="C21" s="193" t="s">
        <v>478</v>
      </c>
      <c r="D21" s="434" t="s">
        <v>497</v>
      </c>
      <c r="E21" s="26">
        <v>377895.16666666669</v>
      </c>
      <c r="F21" s="26">
        <v>129717.8696386668</v>
      </c>
      <c r="G21" s="212"/>
      <c r="H21" s="212">
        <f>60000</f>
        <v>60000</v>
      </c>
      <c r="I21" s="26">
        <v>100000</v>
      </c>
      <c r="J21" s="237">
        <f t="shared" si="0"/>
        <v>667613.03630533349</v>
      </c>
      <c r="K21" s="24"/>
      <c r="L21" s="24">
        <f>20000</f>
        <v>20000</v>
      </c>
      <c r="M21" s="24">
        <f>111833.33</f>
        <v>111833.33</v>
      </c>
      <c r="N21" s="24"/>
      <c r="O21" s="26">
        <v>76138.068906666667</v>
      </c>
      <c r="P21" s="26">
        <v>30231.613333333335</v>
      </c>
      <c r="Q21" s="296">
        <f t="shared" si="1"/>
        <v>238203.01224000001</v>
      </c>
      <c r="R21" s="24">
        <v>200205.89812133327</v>
      </c>
      <c r="S21" s="240">
        <f t="shared" si="2"/>
        <v>429410.02406533348</v>
      </c>
      <c r="T21" s="213"/>
    </row>
    <row r="22" spans="1:20" ht="20.100000000000001" customHeight="1">
      <c r="A22" s="430">
        <v>16</v>
      </c>
      <c r="B22" s="365" t="s">
        <v>321</v>
      </c>
      <c r="C22" s="155" t="s">
        <v>115</v>
      </c>
      <c r="D22" s="359" t="s">
        <v>369</v>
      </c>
      <c r="E22" s="26">
        <v>353512.5</v>
      </c>
      <c r="F22" s="26">
        <v>129167.41539999998</v>
      </c>
      <c r="G22" s="212">
        <f t="shared" ref="G22" si="5">100000</f>
        <v>100000</v>
      </c>
      <c r="H22" s="212"/>
      <c r="I22" s="26">
        <v>100000</v>
      </c>
      <c r="J22" s="237">
        <f t="shared" si="0"/>
        <v>682679.91540000006</v>
      </c>
      <c r="K22" s="24"/>
      <c r="L22" s="24">
        <v>50000</v>
      </c>
      <c r="M22" s="24"/>
      <c r="N22" s="24"/>
      <c r="O22" s="26">
        <v>79511.114666666675</v>
      </c>
      <c r="P22" s="26">
        <v>28281</v>
      </c>
      <c r="Q22" s="296">
        <f t="shared" si="1"/>
        <v>157792.11466666666</v>
      </c>
      <c r="R22" s="24">
        <v>301705.40833333333</v>
      </c>
      <c r="S22" s="240">
        <f t="shared" si="2"/>
        <v>524887.80073333345</v>
      </c>
      <c r="T22" s="213"/>
    </row>
    <row r="23" spans="1:20" ht="21.6" customHeight="1">
      <c r="A23" s="430">
        <v>17</v>
      </c>
      <c r="B23" s="432" t="s">
        <v>756</v>
      </c>
      <c r="C23" s="431" t="s">
        <v>422</v>
      </c>
      <c r="D23" s="434" t="s">
        <v>369</v>
      </c>
      <c r="E23" s="26">
        <v>353512.5</v>
      </c>
      <c r="F23" s="26">
        <f>'January Arrears'!Q23</f>
        <v>126058.48560000004</v>
      </c>
      <c r="G23" s="212">
        <v>110000</v>
      </c>
      <c r="H23" s="212"/>
      <c r="I23" s="26">
        <v>0</v>
      </c>
      <c r="J23" s="237">
        <f t="shared" si="0"/>
        <v>589570.98560000001</v>
      </c>
      <c r="K23" s="24"/>
      <c r="L23" s="24">
        <v>0</v>
      </c>
      <c r="M23" s="24"/>
      <c r="N23" s="24"/>
      <c r="O23" s="26">
        <v>62231.114666666661</v>
      </c>
      <c r="P23" s="26">
        <v>28281</v>
      </c>
      <c r="Q23" s="296">
        <f t="shared" si="1"/>
        <v>90512.114666666661</v>
      </c>
      <c r="R23" s="24">
        <v>968705.40833333344</v>
      </c>
      <c r="S23" s="240">
        <f t="shared" si="2"/>
        <v>499058.87093333335</v>
      </c>
      <c r="T23" s="213"/>
    </row>
    <row r="24" spans="1:20" ht="20.100000000000001" customHeight="1">
      <c r="A24" s="430">
        <v>18</v>
      </c>
      <c r="B24" s="365" t="s">
        <v>741</v>
      </c>
      <c r="C24" s="431" t="s">
        <v>742</v>
      </c>
      <c r="D24" s="430" t="s">
        <v>104</v>
      </c>
      <c r="E24" s="26">
        <v>293029.66666666669</v>
      </c>
      <c r="F24" s="26">
        <v>105651.97765866664</v>
      </c>
      <c r="G24" s="212"/>
      <c r="H24" s="212">
        <f>50000+10000</f>
        <v>60000</v>
      </c>
      <c r="I24" s="26">
        <v>100000</v>
      </c>
      <c r="J24" s="237">
        <f t="shared" si="0"/>
        <v>558681.6443253333</v>
      </c>
      <c r="K24" s="24"/>
      <c r="L24" s="24"/>
      <c r="M24" s="24"/>
      <c r="N24" s="24"/>
      <c r="O24" s="26">
        <v>61147.426986666665</v>
      </c>
      <c r="P24" s="26">
        <v>23442.373333333337</v>
      </c>
      <c r="Q24" s="296">
        <f t="shared" si="1"/>
        <v>84589.800320000009</v>
      </c>
      <c r="R24" s="24">
        <v>286230.26202133339</v>
      </c>
      <c r="S24" s="240">
        <f t="shared" si="2"/>
        <v>474091.84400533326</v>
      </c>
      <c r="T24" s="213"/>
    </row>
    <row r="25" spans="1:20" ht="18.75" customHeight="1">
      <c r="A25" s="430">
        <v>19</v>
      </c>
      <c r="B25" s="21" t="s">
        <v>434</v>
      </c>
      <c r="C25" s="21" t="s">
        <v>17</v>
      </c>
      <c r="D25" s="430" t="s">
        <v>746</v>
      </c>
      <c r="E25" s="26">
        <v>270481.66666666669</v>
      </c>
      <c r="F25" s="26">
        <v>100957.35594666668</v>
      </c>
      <c r="G25" s="212"/>
      <c r="H25" s="212">
        <f>50000+10000</f>
        <v>60000</v>
      </c>
      <c r="I25" s="26"/>
      <c r="J25" s="237">
        <f t="shared" si="0"/>
        <v>431439.02261333336</v>
      </c>
      <c r="K25" s="24"/>
      <c r="L25" s="24">
        <v>10000</v>
      </c>
      <c r="M25" s="24">
        <f>20000</f>
        <v>20000</v>
      </c>
      <c r="N25" s="24"/>
      <c r="O25" s="26">
        <v>39052.313066666662</v>
      </c>
      <c r="P25" s="26">
        <v>21638.533333333336</v>
      </c>
      <c r="Q25" s="296">
        <f t="shared" si="1"/>
        <v>90690.846399999995</v>
      </c>
      <c r="R25" s="24">
        <v>160471.99765333335</v>
      </c>
      <c r="S25" s="240">
        <f t="shared" si="2"/>
        <v>340748.17621333338</v>
      </c>
      <c r="T25" s="213"/>
    </row>
    <row r="26" spans="1:20" ht="18.75" customHeight="1">
      <c r="A26" s="430">
        <v>20</v>
      </c>
      <c r="B26" s="189" t="s">
        <v>254</v>
      </c>
      <c r="C26" s="193" t="s">
        <v>17</v>
      </c>
      <c r="D26" s="434" t="s">
        <v>746</v>
      </c>
      <c r="E26" s="26">
        <v>270481.66666666669</v>
      </c>
      <c r="F26" s="26">
        <v>100957.35594666668</v>
      </c>
      <c r="G26" s="212"/>
      <c r="H26" s="212">
        <f>50000+10000</f>
        <v>60000</v>
      </c>
      <c r="I26" s="26"/>
      <c r="J26" s="237">
        <f t="shared" si="0"/>
        <v>431439.02261333336</v>
      </c>
      <c r="K26" s="24"/>
      <c r="L26" s="24"/>
      <c r="M26" s="24"/>
      <c r="N26" s="24"/>
      <c r="O26" s="26">
        <v>39052.313066666662</v>
      </c>
      <c r="P26" s="26">
        <v>21638.533333333336</v>
      </c>
      <c r="Q26" s="296">
        <f t="shared" si="1"/>
        <v>60690.846399999995</v>
      </c>
      <c r="R26" s="24">
        <v>190471.99765333335</v>
      </c>
      <c r="S26" s="240">
        <f t="shared" si="2"/>
        <v>370748.17621333338</v>
      </c>
      <c r="T26" s="213"/>
    </row>
    <row r="27" spans="1:20" ht="20.100000000000001" customHeight="1">
      <c r="A27" s="430">
        <v>21</v>
      </c>
      <c r="B27" s="432" t="s">
        <v>320</v>
      </c>
      <c r="C27" s="431" t="s">
        <v>115</v>
      </c>
      <c r="D27" s="430" t="s">
        <v>746</v>
      </c>
      <c r="E27" s="26">
        <v>270481.66666666669</v>
      </c>
      <c r="F27" s="26">
        <v>100957.35594666668</v>
      </c>
      <c r="G27" s="212">
        <f t="shared" ref="G27" si="6">100000</f>
        <v>100000</v>
      </c>
      <c r="H27" s="212"/>
      <c r="I27" s="26"/>
      <c r="J27" s="237">
        <f t="shared" si="0"/>
        <v>471439.02261333336</v>
      </c>
      <c r="K27" s="24"/>
      <c r="L27" s="24">
        <f>10000</f>
        <v>10000</v>
      </c>
      <c r="M27" s="24">
        <f>95833.33</f>
        <v>95833.33</v>
      </c>
      <c r="N27" s="24"/>
      <c r="O27" s="26">
        <v>45772.313066666677</v>
      </c>
      <c r="P27" s="26">
        <v>21638.533333333336</v>
      </c>
      <c r="Q27" s="296">
        <f t="shared" si="1"/>
        <v>173244.1764</v>
      </c>
      <c r="R27" s="24">
        <v>117918.66765333334</v>
      </c>
      <c r="S27" s="240">
        <f t="shared" si="2"/>
        <v>298194.84621333337</v>
      </c>
      <c r="T27" s="213"/>
    </row>
    <row r="28" spans="1:20" ht="18.75" customHeight="1">
      <c r="A28" s="430">
        <v>22</v>
      </c>
      <c r="B28" s="364" t="s">
        <v>288</v>
      </c>
      <c r="C28" s="367" t="s">
        <v>706</v>
      </c>
      <c r="D28" s="214" t="s">
        <v>498</v>
      </c>
      <c r="E28" s="26">
        <v>263165.33333333331</v>
      </c>
      <c r="F28" s="26">
        <v>98226.268101333306</v>
      </c>
      <c r="G28" s="212"/>
      <c r="H28" s="212">
        <f>60000</f>
        <v>60000</v>
      </c>
      <c r="I28" s="357"/>
      <c r="J28" s="237">
        <f t="shared" si="0"/>
        <v>421391.60143466661</v>
      </c>
      <c r="K28" s="26"/>
      <c r="L28" s="24">
        <f>20000</f>
        <v>20000</v>
      </c>
      <c r="M28" s="24">
        <f>17500</f>
        <v>17500</v>
      </c>
      <c r="N28" s="24"/>
      <c r="O28" s="26">
        <v>37921.500586666662</v>
      </c>
      <c r="P28" s="26">
        <v>21053.226666666666</v>
      </c>
      <c r="Q28" s="296">
        <f t="shared" si="1"/>
        <v>96474.727253333331</v>
      </c>
      <c r="R28" s="24">
        <v>149517.56464533333</v>
      </c>
      <c r="S28" s="240">
        <f t="shared" si="2"/>
        <v>324916.87418133329</v>
      </c>
      <c r="T28" s="213"/>
    </row>
    <row r="29" spans="1:20" ht="18.75" customHeight="1">
      <c r="A29" s="430">
        <v>23</v>
      </c>
      <c r="B29" s="189" t="s">
        <v>328</v>
      </c>
      <c r="C29" s="21" t="s">
        <v>737</v>
      </c>
      <c r="D29" s="29" t="s">
        <v>428</v>
      </c>
      <c r="E29" s="26">
        <v>255849</v>
      </c>
      <c r="F29" s="26">
        <v>95495.180256000007</v>
      </c>
      <c r="G29" s="212"/>
      <c r="H29" s="212">
        <f>60000</f>
        <v>60000</v>
      </c>
      <c r="I29" s="26"/>
      <c r="J29" s="237">
        <f t="shared" si="0"/>
        <v>411344.18025600002</v>
      </c>
      <c r="K29" s="24"/>
      <c r="L29" s="24">
        <f>30000+20000</f>
        <v>50000</v>
      </c>
      <c r="M29" s="24">
        <v>0</v>
      </c>
      <c r="N29" s="24"/>
      <c r="O29" s="26">
        <v>36790.688106666661</v>
      </c>
      <c r="P29" s="26">
        <v>20467.920000000002</v>
      </c>
      <c r="Q29" s="296">
        <f t="shared" si="1"/>
        <v>107258.60810666667</v>
      </c>
      <c r="R29" s="24">
        <v>133563.13163733331</v>
      </c>
      <c r="S29" s="240">
        <f t="shared" si="2"/>
        <v>304085.57214933337</v>
      </c>
      <c r="T29" s="213"/>
    </row>
    <row r="30" spans="1:20" ht="18.75" customHeight="1">
      <c r="A30" s="430">
        <v>24</v>
      </c>
      <c r="B30" s="364" t="s">
        <v>757</v>
      </c>
      <c r="C30" s="357" t="s">
        <v>737</v>
      </c>
      <c r="D30" s="430" t="s">
        <v>428</v>
      </c>
      <c r="E30" s="26">
        <v>255849</v>
      </c>
      <c r="F30" s="26">
        <v>95495.180256000007</v>
      </c>
      <c r="G30" s="212"/>
      <c r="H30" s="212">
        <f>60000</f>
        <v>60000</v>
      </c>
      <c r="I30" s="26"/>
      <c r="J30" s="237">
        <f t="shared" si="0"/>
        <v>411344.18025600002</v>
      </c>
      <c r="K30" s="24"/>
      <c r="L30" s="24"/>
      <c r="M30" s="24">
        <v>0</v>
      </c>
      <c r="N30" s="24"/>
      <c r="O30" s="26">
        <v>36790.688106666661</v>
      </c>
      <c r="P30" s="26">
        <v>20467.920000000002</v>
      </c>
      <c r="Q30" s="296">
        <f t="shared" si="1"/>
        <v>57258.608106666667</v>
      </c>
      <c r="R30" s="24">
        <v>183563.13163733334</v>
      </c>
      <c r="S30" s="240">
        <f t="shared" si="2"/>
        <v>354085.57214933337</v>
      </c>
      <c r="T30" s="213"/>
    </row>
    <row r="31" spans="1:20" ht="18.75" customHeight="1">
      <c r="A31" s="430">
        <v>25</v>
      </c>
      <c r="B31" s="189" t="s">
        <v>360</v>
      </c>
      <c r="C31" s="155" t="s">
        <v>372</v>
      </c>
      <c r="D31" s="214" t="s">
        <v>746</v>
      </c>
      <c r="E31" s="26">
        <v>270481.66666666669</v>
      </c>
      <c r="F31" s="26">
        <v>104411.78895466668</v>
      </c>
      <c r="G31" s="212"/>
      <c r="H31" s="212">
        <f>60000</f>
        <v>60000</v>
      </c>
      <c r="I31" s="26"/>
      <c r="J31" s="237">
        <f t="shared" si="0"/>
        <v>434893.45562133339</v>
      </c>
      <c r="K31" s="24"/>
      <c r="L31" s="24">
        <f>50000</f>
        <v>50000</v>
      </c>
      <c r="M31" s="24">
        <v>50000</v>
      </c>
      <c r="N31" s="24"/>
      <c r="O31" s="212">
        <v>39052.313066666662</v>
      </c>
      <c r="P31" s="212">
        <v>21638.533333333336</v>
      </c>
      <c r="Q31" s="296">
        <f t="shared" si="1"/>
        <v>160690.84639999998</v>
      </c>
      <c r="R31" s="24">
        <v>87017.564645333347</v>
      </c>
      <c r="S31" s="240">
        <f t="shared" si="2"/>
        <v>274202.60922133341</v>
      </c>
      <c r="T31" s="213"/>
    </row>
    <row r="32" spans="1:20" ht="18.75" customHeight="1">
      <c r="A32" s="430">
        <v>26</v>
      </c>
      <c r="B32" s="189" t="s">
        <v>330</v>
      </c>
      <c r="C32" s="21" t="s">
        <v>533</v>
      </c>
      <c r="D32" s="430" t="s">
        <v>51</v>
      </c>
      <c r="E32" s="26">
        <v>230631.91666666666</v>
      </c>
      <c r="F32" s="26">
        <v>86687.597962666638</v>
      </c>
      <c r="G32" s="212"/>
      <c r="H32" s="212">
        <f>50000</f>
        <v>50000</v>
      </c>
      <c r="I32" s="26"/>
      <c r="J32" s="237">
        <f t="shared" si="0"/>
        <v>367319.51462933328</v>
      </c>
      <c r="K32" s="24"/>
      <c r="L32" s="24">
        <f>0</f>
        <v>0</v>
      </c>
      <c r="M32" s="24">
        <f>26666.67</f>
        <v>26666.67</v>
      </c>
      <c r="N32" s="24"/>
      <c r="O32" s="26">
        <v>31213.135706666657</v>
      </c>
      <c r="P32" s="26">
        <v>18450.553333333333</v>
      </c>
      <c r="Q32" s="296">
        <f t="shared" si="1"/>
        <v>76330.359039999981</v>
      </c>
      <c r="R32" s="24">
        <v>136064.51299733334</v>
      </c>
      <c r="S32" s="240">
        <f t="shared" si="2"/>
        <v>290989.15558933327</v>
      </c>
      <c r="T32" s="213"/>
    </row>
    <row r="33" spans="1:20" ht="18.75" customHeight="1">
      <c r="A33" s="430">
        <v>27</v>
      </c>
      <c r="B33" s="189" t="s">
        <v>555</v>
      </c>
      <c r="C33" s="193" t="s">
        <v>314</v>
      </c>
      <c r="D33" s="214" t="s">
        <v>176</v>
      </c>
      <c r="E33" s="26">
        <v>224459.75</v>
      </c>
      <c r="F33" s="26">
        <v>87384.217064000011</v>
      </c>
      <c r="G33" s="212"/>
      <c r="H33" s="212">
        <v>50000</v>
      </c>
      <c r="I33" s="26"/>
      <c r="J33" s="237">
        <f t="shared" si="0"/>
        <v>361843.96706400003</v>
      </c>
      <c r="K33" s="24"/>
      <c r="L33" s="24">
        <v>20000</v>
      </c>
      <c r="M33" s="24">
        <v>0</v>
      </c>
      <c r="N33" s="24"/>
      <c r="O33" s="26">
        <v>30259.165626666669</v>
      </c>
      <c r="P33" s="26">
        <v>17956.78</v>
      </c>
      <c r="Q33" s="296">
        <f t="shared" si="1"/>
        <v>68215.945626666668</v>
      </c>
      <c r="R33" s="24">
        <v>136816.36730933332</v>
      </c>
      <c r="S33" s="240">
        <f t="shared" si="2"/>
        <v>293628.02143733337</v>
      </c>
      <c r="T33" s="213"/>
    </row>
    <row r="34" spans="1:20" ht="26.25" customHeight="1">
      <c r="A34" s="29"/>
      <c r="B34" s="191" t="s">
        <v>15</v>
      </c>
      <c r="C34" s="30">
        <v>27</v>
      </c>
      <c r="D34" s="214"/>
      <c r="E34" s="216">
        <v>13048608.166999994</v>
      </c>
      <c r="F34" s="216">
        <f>SUM(F7:F33)</f>
        <v>4651742.3049779991</v>
      </c>
      <c r="G34" s="216">
        <f t="shared" ref="G34:Q34" si="7">SUM(G7:G33)</f>
        <v>1420000</v>
      </c>
      <c r="H34" s="216">
        <f t="shared" si="7"/>
        <v>1160000</v>
      </c>
      <c r="I34" s="216">
        <f t="shared" si="7"/>
        <v>1225235</v>
      </c>
      <c r="J34" s="216">
        <f t="shared" si="7"/>
        <v>21505585.471978001</v>
      </c>
      <c r="K34" s="216">
        <f t="shared" si="7"/>
        <v>0</v>
      </c>
      <c r="L34" s="216">
        <f t="shared" si="7"/>
        <v>700000</v>
      </c>
      <c r="M34" s="216">
        <f t="shared" si="7"/>
        <v>1042833.1299999999</v>
      </c>
      <c r="N34" s="216">
        <f t="shared" si="7"/>
        <v>4364.3734999999997</v>
      </c>
      <c r="O34" s="216">
        <f t="shared" si="7"/>
        <v>2519600.8415999999</v>
      </c>
      <c r="P34" s="216">
        <f t="shared" si="7"/>
        <v>789128.85333333351</v>
      </c>
      <c r="Q34" s="216">
        <f t="shared" si="7"/>
        <v>5055927.198433334</v>
      </c>
      <c r="R34" s="216">
        <v>8717267.3060726672</v>
      </c>
      <c r="S34" s="216">
        <f>SUM(S7:S33)</f>
        <v>16449658.273544671</v>
      </c>
      <c r="T34" s="213"/>
    </row>
    <row r="35" spans="1:20" ht="18.75" customHeight="1">
      <c r="A35" s="29"/>
      <c r="B35" s="141"/>
      <c r="C35" s="21"/>
      <c r="D35" s="214"/>
      <c r="E35" s="216"/>
      <c r="F35" s="216"/>
      <c r="G35" s="212"/>
      <c r="H35" s="212"/>
      <c r="I35" s="216"/>
      <c r="J35" s="244"/>
      <c r="K35" s="216"/>
      <c r="L35" s="216"/>
      <c r="M35" s="216"/>
      <c r="N35" s="216"/>
      <c r="O35" s="216"/>
      <c r="P35" s="216"/>
      <c r="Q35" s="297"/>
      <c r="R35" s="216"/>
      <c r="S35" s="250"/>
      <c r="T35" s="213"/>
    </row>
    <row r="36" spans="1:20" ht="18.75" customHeight="1">
      <c r="A36" s="29"/>
      <c r="B36" s="191" t="s">
        <v>284</v>
      </c>
      <c r="C36" s="21"/>
      <c r="D36" s="214"/>
      <c r="E36" s="26"/>
      <c r="F36" s="26"/>
      <c r="G36" s="212"/>
      <c r="H36" s="212"/>
      <c r="I36" s="26"/>
      <c r="J36" s="237"/>
      <c r="K36" s="24"/>
      <c r="L36" s="24"/>
      <c r="M36" s="24"/>
      <c r="N36" s="24"/>
      <c r="O36" s="26"/>
      <c r="P36" s="26"/>
      <c r="Q36" s="296"/>
      <c r="R36" s="24"/>
      <c r="S36" s="240"/>
      <c r="T36" s="213"/>
    </row>
    <row r="37" spans="1:20" ht="18.75" customHeight="1">
      <c r="A37" s="29">
        <v>1</v>
      </c>
      <c r="B37" s="189" t="s">
        <v>361</v>
      </c>
      <c r="C37" s="21" t="s">
        <v>362</v>
      </c>
      <c r="D37" s="29" t="s">
        <v>161</v>
      </c>
      <c r="E37" s="26">
        <v>1435720</v>
      </c>
      <c r="F37" s="26">
        <v>495145.49589200004</v>
      </c>
      <c r="G37" s="212"/>
      <c r="H37" s="212">
        <f>100000</f>
        <v>100000</v>
      </c>
      <c r="I37" s="26"/>
      <c r="J37" s="237">
        <f>SUM(E37:I37)</f>
        <v>2030865.4958919999</v>
      </c>
      <c r="K37" s="24">
        <f>'FEBRUARY 2024'!F196</f>
        <v>0</v>
      </c>
      <c r="L37" s="24">
        <v>200000</v>
      </c>
      <c r="M37" s="24">
        <v>0</v>
      </c>
      <c r="N37" s="24"/>
      <c r="O37" s="26">
        <v>251472.24746666662</v>
      </c>
      <c r="P37" s="26">
        <v>114857.60000000001</v>
      </c>
      <c r="Q37" s="296">
        <f>O37+N37+M37+L37+K37+P37</f>
        <v>566329.8474666666</v>
      </c>
      <c r="R37" s="24">
        <v>589102.25664133334</v>
      </c>
      <c r="S37" s="240">
        <f>J37-Q37</f>
        <v>1464535.6484253332</v>
      </c>
      <c r="T37" s="213"/>
    </row>
    <row r="38" spans="1:20" ht="18.75" customHeight="1">
      <c r="A38" s="29">
        <v>2</v>
      </c>
      <c r="B38" s="189" t="s">
        <v>419</v>
      </c>
      <c r="C38" s="21" t="s">
        <v>427</v>
      </c>
      <c r="D38" s="29" t="s">
        <v>104</v>
      </c>
      <c r="E38" s="26">
        <v>293029.66666666669</v>
      </c>
      <c r="F38" s="26">
        <f>150718.948586667+37675.34</f>
        <v>188394.28858666698</v>
      </c>
      <c r="G38" s="212"/>
      <c r="H38" s="212">
        <f>60000</f>
        <v>60000</v>
      </c>
      <c r="I38" s="26"/>
      <c r="J38" s="237">
        <f t="shared" ref="J38:J39" si="8">SUM(E38:I38)</f>
        <v>541423.95525333367</v>
      </c>
      <c r="K38" s="24"/>
      <c r="L38" s="24">
        <f>20000</f>
        <v>20000</v>
      </c>
      <c r="M38" s="24"/>
      <c r="N38" s="24">
        <v>0</v>
      </c>
      <c r="O38" s="26">
        <v>42537.331946666665</v>
      </c>
      <c r="P38" s="26">
        <v>23442.373333333337</v>
      </c>
      <c r="Q38" s="296">
        <f t="shared" ref="Q38:Q39" si="9">O38+N38+M38+L38+K38+P38</f>
        <v>85979.705279999995</v>
      </c>
      <c r="R38" s="24">
        <v>139773.38613333332</v>
      </c>
      <c r="S38" s="240">
        <f>J38-Q38</f>
        <v>455444.24997333367</v>
      </c>
      <c r="T38" s="213"/>
    </row>
    <row r="39" spans="1:20" ht="18.75" customHeight="1">
      <c r="A39" s="359">
        <v>3</v>
      </c>
      <c r="B39" s="188" t="s">
        <v>720</v>
      </c>
      <c r="C39" s="193" t="s">
        <v>721</v>
      </c>
      <c r="D39" s="214" t="s">
        <v>207</v>
      </c>
      <c r="E39" s="26">
        <v>300965.58333333331</v>
      </c>
      <c r="F39" s="26">
        <v>110371.63701333333</v>
      </c>
      <c r="G39" s="212"/>
      <c r="H39" s="212">
        <f>50000+10000</f>
        <v>60000</v>
      </c>
      <c r="I39" s="26"/>
      <c r="J39" s="237">
        <f t="shared" si="8"/>
        <v>471337.22034666664</v>
      </c>
      <c r="K39" s="24"/>
      <c r="L39" s="24">
        <f>10000</f>
        <v>10000</v>
      </c>
      <c r="M39" s="24"/>
      <c r="N39" s="24"/>
      <c r="O39" s="26">
        <v>43763.90722666667</v>
      </c>
      <c r="P39" s="26">
        <v>24077.246666666666</v>
      </c>
      <c r="Q39" s="296">
        <f t="shared" si="9"/>
        <v>77841.153893333336</v>
      </c>
      <c r="R39" s="24">
        <v>196830.03909333333</v>
      </c>
      <c r="S39" s="240">
        <f>J39-Q39</f>
        <v>393496.0664533333</v>
      </c>
      <c r="T39" s="213"/>
    </row>
    <row r="40" spans="1:20" ht="19.5" customHeight="1">
      <c r="A40" s="29"/>
      <c r="B40" s="190"/>
      <c r="C40" s="30">
        <v>3</v>
      </c>
      <c r="D40" s="29"/>
      <c r="E40" s="216">
        <v>2029715.25</v>
      </c>
      <c r="F40" s="216">
        <f>SUM(F37:F39)</f>
        <v>793911.42149200034</v>
      </c>
      <c r="G40" s="216">
        <f t="shared" ref="G40:S40" si="10">SUM(G37:G39)</f>
        <v>0</v>
      </c>
      <c r="H40" s="216">
        <f t="shared" si="10"/>
        <v>220000</v>
      </c>
      <c r="I40" s="216">
        <f t="shared" si="10"/>
        <v>0</v>
      </c>
      <c r="J40" s="216">
        <f t="shared" si="10"/>
        <v>3043626.6714920001</v>
      </c>
      <c r="K40" s="216">
        <f t="shared" si="10"/>
        <v>0</v>
      </c>
      <c r="L40" s="216">
        <f t="shared" si="10"/>
        <v>230000</v>
      </c>
      <c r="M40" s="216">
        <f t="shared" si="10"/>
        <v>0</v>
      </c>
      <c r="N40" s="216">
        <v>0</v>
      </c>
      <c r="O40" s="216">
        <v>337773.48663999996</v>
      </c>
      <c r="P40" s="216">
        <f>SUM(P37:P39)</f>
        <v>162377.22</v>
      </c>
      <c r="Q40" s="216">
        <f t="shared" si="10"/>
        <v>730150.70663999999</v>
      </c>
      <c r="R40" s="216">
        <v>925705.68186799996</v>
      </c>
      <c r="S40" s="216">
        <f t="shared" si="10"/>
        <v>2313475.9648520001</v>
      </c>
      <c r="T40" s="213"/>
    </row>
    <row r="41" spans="1:20" ht="20.100000000000001" customHeight="1">
      <c r="A41" s="29"/>
      <c r="B41" s="190"/>
      <c r="C41" s="21"/>
      <c r="D41" s="29"/>
      <c r="E41" s="216"/>
      <c r="F41" s="216"/>
      <c r="G41" s="212"/>
      <c r="H41" s="212"/>
      <c r="I41" s="216"/>
      <c r="J41" s="244"/>
      <c r="K41" s="216"/>
      <c r="L41" s="216"/>
      <c r="M41" s="216"/>
      <c r="N41" s="216"/>
      <c r="O41" s="216"/>
      <c r="P41" s="216"/>
      <c r="Q41" s="296"/>
      <c r="R41" s="24"/>
      <c r="S41" s="240"/>
      <c r="T41" s="213"/>
    </row>
    <row r="42" spans="1:20" ht="20.100000000000001" customHeight="1">
      <c r="A42" s="29"/>
      <c r="B42" s="218" t="s">
        <v>56</v>
      </c>
      <c r="C42" s="203"/>
      <c r="D42" s="207"/>
      <c r="E42" s="216"/>
      <c r="F42" s="216"/>
      <c r="G42" s="212"/>
      <c r="H42" s="212"/>
      <c r="I42" s="24"/>
      <c r="J42" s="237"/>
      <c r="K42" s="24"/>
      <c r="L42" s="24"/>
      <c r="M42" s="24"/>
      <c r="N42" s="24"/>
      <c r="O42" s="24"/>
      <c r="P42" s="24"/>
      <c r="Q42" s="296"/>
      <c r="R42" s="24"/>
      <c r="S42" s="240"/>
      <c r="T42" s="213"/>
    </row>
    <row r="43" spans="1:20" ht="20.100000000000001" customHeight="1">
      <c r="A43" s="29">
        <v>1</v>
      </c>
      <c r="B43" s="188" t="s">
        <v>255</v>
      </c>
      <c r="C43" s="21" t="s">
        <v>256</v>
      </c>
      <c r="D43" s="29" t="s">
        <v>161</v>
      </c>
      <c r="E43" s="26">
        <v>1435720</v>
      </c>
      <c r="F43" s="26">
        <v>495145.49589199992</v>
      </c>
      <c r="G43" s="212">
        <f>200000</f>
        <v>200000</v>
      </c>
      <c r="H43" s="212"/>
      <c r="I43" s="26"/>
      <c r="J43" s="237">
        <f>SUM(E43:I43)</f>
        <v>2130865.4958919999</v>
      </c>
      <c r="K43" s="24"/>
      <c r="L43" s="24">
        <f>200000</f>
        <v>200000</v>
      </c>
      <c r="M43" s="24">
        <f>380000</f>
        <v>380000</v>
      </c>
      <c r="N43" s="24"/>
      <c r="O43" s="26">
        <v>270672.24746666662</v>
      </c>
      <c r="P43" s="26">
        <v>114857.60000000001</v>
      </c>
      <c r="Q43" s="296">
        <f>O43+N43+M43+L43+K43+P43</f>
        <v>965529.8474666666</v>
      </c>
      <c r="R43" s="24">
        <v>289902.25664133346</v>
      </c>
      <c r="S43" s="240">
        <f>J43-Q43</f>
        <v>1165335.6484253332</v>
      </c>
      <c r="T43" s="213"/>
    </row>
    <row r="44" spans="1:20" ht="20.100000000000001" customHeight="1">
      <c r="A44" s="430">
        <v>2</v>
      </c>
      <c r="B44" s="188" t="s">
        <v>158</v>
      </c>
      <c r="C44" s="21" t="s">
        <v>199</v>
      </c>
      <c r="D44" s="29" t="s">
        <v>75</v>
      </c>
      <c r="E44" s="26">
        <v>620675.58333333337</v>
      </c>
      <c r="F44" s="26">
        <v>214056.21827333342</v>
      </c>
      <c r="G44" s="212">
        <f>160000</f>
        <v>160000</v>
      </c>
      <c r="H44" s="212"/>
      <c r="I44" s="26">
        <v>0</v>
      </c>
      <c r="J44" s="237">
        <f t="shared" ref="J44:J53" si="11">SUM(E44:I44)</f>
        <v>994731.80160666676</v>
      </c>
      <c r="K44" s="24"/>
      <c r="L44" s="24">
        <f>50000</f>
        <v>50000</v>
      </c>
      <c r="M44" s="24">
        <f>385000</f>
        <v>385000</v>
      </c>
      <c r="N44" s="24"/>
      <c r="O44" s="26">
        <v>119022.80170666667</v>
      </c>
      <c r="P44" s="26">
        <v>49654.046666666669</v>
      </c>
      <c r="Q44" s="296">
        <f t="shared" ref="Q44:Q53" si="12">O44+N44+M44+L44+K44+P44</f>
        <v>603676.84837333323</v>
      </c>
      <c r="R44" s="24">
        <v>12596.563353333273</v>
      </c>
      <c r="S44" s="240">
        <f t="shared" ref="S44:S53" si="13">J44-Q44</f>
        <v>391054.95323333354</v>
      </c>
      <c r="T44" s="213"/>
    </row>
    <row r="45" spans="1:20" ht="20.100000000000001" customHeight="1">
      <c r="A45" s="430">
        <v>3</v>
      </c>
      <c r="B45" s="188" t="s">
        <v>165</v>
      </c>
      <c r="C45" s="21" t="s">
        <v>738</v>
      </c>
      <c r="D45" s="359" t="s">
        <v>221</v>
      </c>
      <c r="E45" s="26">
        <v>739203.58333333337</v>
      </c>
      <c r="F45" s="26">
        <v>254933.51380733337</v>
      </c>
      <c r="G45" s="212">
        <f>180000</f>
        <v>180000</v>
      </c>
      <c r="H45" s="212"/>
      <c r="I45" s="26"/>
      <c r="J45" s="237">
        <f t="shared" si="11"/>
        <v>1174137.0971406668</v>
      </c>
      <c r="K45" s="24"/>
      <c r="L45" s="24">
        <f>80000+23000</f>
        <v>103000</v>
      </c>
      <c r="M45" s="24">
        <f>246905.96</f>
        <v>246905.96</v>
      </c>
      <c r="N45" s="24"/>
      <c r="O45" s="26">
        <v>143799.58762666667</v>
      </c>
      <c r="P45" s="26">
        <v>59136.286666666674</v>
      </c>
      <c r="Q45" s="296">
        <f t="shared" si="12"/>
        <v>552841.83429333335</v>
      </c>
      <c r="R45" s="24">
        <v>170564.52189933334</v>
      </c>
      <c r="S45" s="240">
        <f t="shared" si="13"/>
        <v>621295.26284733345</v>
      </c>
      <c r="T45" s="213"/>
    </row>
    <row r="46" spans="1:20" ht="20.100000000000001" customHeight="1">
      <c r="A46" s="430">
        <v>4</v>
      </c>
      <c r="B46" s="188" t="s">
        <v>159</v>
      </c>
      <c r="C46" s="21" t="s">
        <v>258</v>
      </c>
      <c r="D46" s="29" t="s">
        <v>75</v>
      </c>
      <c r="E46" s="26">
        <v>620675.58333333337</v>
      </c>
      <c r="F46" s="26">
        <v>214056.21827333342</v>
      </c>
      <c r="G46" s="212">
        <f>160000</f>
        <v>160000</v>
      </c>
      <c r="H46" s="212"/>
      <c r="I46" s="26"/>
      <c r="J46" s="237">
        <f t="shared" si="11"/>
        <v>994731.80160666676</v>
      </c>
      <c r="K46" s="24"/>
      <c r="L46" s="24">
        <f>30000</f>
        <v>30000</v>
      </c>
      <c r="M46" s="24">
        <f>176288.88</f>
        <v>176288.88</v>
      </c>
      <c r="N46" s="24"/>
      <c r="O46" s="26">
        <v>119022.80170666667</v>
      </c>
      <c r="P46" s="26">
        <v>49654.046666666669</v>
      </c>
      <c r="Q46" s="296">
        <f t="shared" si="12"/>
        <v>374965.72837333335</v>
      </c>
      <c r="R46" s="24">
        <v>241307.68335333327</v>
      </c>
      <c r="S46" s="240">
        <f t="shared" si="13"/>
        <v>619766.07323333342</v>
      </c>
      <c r="T46" s="213"/>
    </row>
    <row r="47" spans="1:20" ht="20.100000000000001" customHeight="1">
      <c r="A47" s="430">
        <v>5</v>
      </c>
      <c r="B47" s="188" t="s">
        <v>118</v>
      </c>
      <c r="C47" s="21" t="s">
        <v>258</v>
      </c>
      <c r="D47" s="29" t="s">
        <v>75</v>
      </c>
      <c r="E47" s="26">
        <v>620675.58333333337</v>
      </c>
      <c r="F47" s="26">
        <v>214056.21827333342</v>
      </c>
      <c r="G47" s="212">
        <f>140000+20000</f>
        <v>160000</v>
      </c>
      <c r="H47" s="212"/>
      <c r="I47" s="26">
        <v>0</v>
      </c>
      <c r="J47" s="237">
        <f t="shared" si="11"/>
        <v>994731.80160666676</v>
      </c>
      <c r="K47" s="24"/>
      <c r="L47" s="24"/>
      <c r="M47" s="24"/>
      <c r="N47" s="24">
        <v>837.6875</v>
      </c>
      <c r="O47" s="26">
        <v>118861.96570666666</v>
      </c>
      <c r="P47" s="26">
        <v>49654.046666666669</v>
      </c>
      <c r="Q47" s="296">
        <f t="shared" si="12"/>
        <v>169353.69987333333</v>
      </c>
      <c r="R47" s="24">
        <v>446919.71185333328</v>
      </c>
      <c r="S47" s="240">
        <f t="shared" si="13"/>
        <v>825378.10173333343</v>
      </c>
      <c r="T47" s="213"/>
    </row>
    <row r="48" spans="1:20" ht="20.100000000000001" customHeight="1">
      <c r="A48" s="430">
        <v>6</v>
      </c>
      <c r="B48" s="188" t="s">
        <v>205</v>
      </c>
      <c r="C48" s="357" t="s">
        <v>258</v>
      </c>
      <c r="D48" s="29" t="s">
        <v>30</v>
      </c>
      <c r="E48" s="26">
        <v>582118.08333333337</v>
      </c>
      <c r="F48" s="26">
        <v>200758.94711733336</v>
      </c>
      <c r="G48" s="212">
        <f>140000+20000</f>
        <v>160000</v>
      </c>
      <c r="H48" s="212"/>
      <c r="I48" s="26"/>
      <c r="J48" s="237">
        <f t="shared" si="11"/>
        <v>942877.03045066679</v>
      </c>
      <c r="K48" s="24"/>
      <c r="L48" s="24">
        <f>15000</f>
        <v>15000</v>
      </c>
      <c r="M48" s="24">
        <f>216666.67</f>
        <v>216666.67</v>
      </c>
      <c r="N48" s="24"/>
      <c r="O48" s="26">
        <v>112212.00490666665</v>
      </c>
      <c r="P48" s="26">
        <v>46569.44666666667</v>
      </c>
      <c r="Q48" s="296">
        <f t="shared" si="12"/>
        <v>390448.12157333334</v>
      </c>
      <c r="R48" s="24">
        <v>197480.46130933333</v>
      </c>
      <c r="S48" s="240">
        <f t="shared" si="13"/>
        <v>552428.90887733339</v>
      </c>
      <c r="T48" s="213"/>
    </row>
    <row r="49" spans="1:20" ht="20.100000000000001" customHeight="1">
      <c r="A49" s="430">
        <v>7</v>
      </c>
      <c r="B49" s="190" t="s">
        <v>173</v>
      </c>
      <c r="C49" s="21" t="s">
        <v>297</v>
      </c>
      <c r="D49" s="25" t="s">
        <v>181</v>
      </c>
      <c r="E49" s="26">
        <v>470498</v>
      </c>
      <c r="F49" s="26">
        <v>166536.14079799995</v>
      </c>
      <c r="G49" s="212">
        <f>140000</f>
        <v>140000</v>
      </c>
      <c r="H49" s="212"/>
      <c r="I49" s="26"/>
      <c r="J49" s="237">
        <f t="shared" si="11"/>
        <v>777034.14079799992</v>
      </c>
      <c r="K49" s="24"/>
      <c r="L49" s="24"/>
      <c r="M49" s="24"/>
      <c r="N49" s="24">
        <v>0</v>
      </c>
      <c r="O49" s="24">
        <v>88655.433386666657</v>
      </c>
      <c r="P49" s="24">
        <v>37639.840000000004</v>
      </c>
      <c r="Q49" s="296">
        <f t="shared" si="12"/>
        <v>126295.27338666667</v>
      </c>
      <c r="R49" s="24">
        <v>355306.42581533338</v>
      </c>
      <c r="S49" s="240">
        <f t="shared" si="13"/>
        <v>650738.86741133325</v>
      </c>
      <c r="T49" s="213"/>
    </row>
    <row r="50" spans="1:20" ht="20.100000000000001" customHeight="1">
      <c r="A50" s="430">
        <v>8</v>
      </c>
      <c r="B50" s="188" t="s">
        <v>551</v>
      </c>
      <c r="C50" s="21" t="s">
        <v>84</v>
      </c>
      <c r="D50" s="29" t="s">
        <v>207</v>
      </c>
      <c r="E50" s="26">
        <v>300965.58333333331</v>
      </c>
      <c r="F50" s="26">
        <v>109826.31693333332</v>
      </c>
      <c r="G50" s="212">
        <v>100000</v>
      </c>
      <c r="H50" s="212"/>
      <c r="I50" s="26"/>
      <c r="J50" s="237">
        <f t="shared" si="11"/>
        <v>510791.90026666666</v>
      </c>
      <c r="K50" s="24"/>
      <c r="L50" s="24"/>
      <c r="M50" s="24"/>
      <c r="N50" s="24"/>
      <c r="O50" s="26">
        <v>51029.227306666668</v>
      </c>
      <c r="P50" s="26">
        <v>24077.246666666666</v>
      </c>
      <c r="Q50" s="296">
        <f t="shared" si="12"/>
        <v>75106.473973333341</v>
      </c>
      <c r="R50" s="24">
        <v>240110.03909333333</v>
      </c>
      <c r="S50" s="240">
        <f t="shared" si="13"/>
        <v>435685.42629333329</v>
      </c>
      <c r="T50" s="213"/>
    </row>
    <row r="51" spans="1:20" ht="20.100000000000001" customHeight="1">
      <c r="A51" s="430">
        <v>9</v>
      </c>
      <c r="B51" s="188" t="s">
        <v>420</v>
      </c>
      <c r="C51" s="21" t="s">
        <v>84</v>
      </c>
      <c r="D51" s="29" t="s">
        <v>498</v>
      </c>
      <c r="E51" s="26">
        <v>263165.33333333331</v>
      </c>
      <c r="F51" s="26">
        <v>98226.268101333306</v>
      </c>
      <c r="G51" s="212">
        <f>100000</f>
        <v>100000</v>
      </c>
      <c r="H51" s="212"/>
      <c r="I51" s="26"/>
      <c r="J51" s="237">
        <f t="shared" si="11"/>
        <v>461391.60143466661</v>
      </c>
      <c r="K51" s="24"/>
      <c r="L51" s="24"/>
      <c r="M51" s="24"/>
      <c r="N51" s="24"/>
      <c r="O51" s="26">
        <v>44641.500586666669</v>
      </c>
      <c r="P51" s="26">
        <v>21053.226666666666</v>
      </c>
      <c r="Q51" s="296">
        <f t="shared" si="12"/>
        <v>65694.727253333331</v>
      </c>
      <c r="R51" s="24">
        <v>220297.56464533333</v>
      </c>
      <c r="S51" s="240">
        <f t="shared" si="13"/>
        <v>395696.87418133329</v>
      </c>
      <c r="T51" s="213"/>
    </row>
    <row r="52" spans="1:20" ht="20.100000000000001" customHeight="1">
      <c r="A52" s="430">
        <v>10</v>
      </c>
      <c r="B52" s="188" t="s">
        <v>435</v>
      </c>
      <c r="C52" s="21" t="s">
        <v>84</v>
      </c>
      <c r="D52" s="430" t="s">
        <v>498</v>
      </c>
      <c r="E52" s="26">
        <v>263165.33333333331</v>
      </c>
      <c r="F52" s="26">
        <v>97528.738359333307</v>
      </c>
      <c r="G52" s="212">
        <f>100000</f>
        <v>100000</v>
      </c>
      <c r="H52" s="212"/>
      <c r="I52" s="26"/>
      <c r="J52" s="237">
        <f t="shared" si="11"/>
        <v>460694.07169266662</v>
      </c>
      <c r="K52" s="24"/>
      <c r="L52" s="24"/>
      <c r="M52" s="24"/>
      <c r="N52" s="24"/>
      <c r="O52" s="26">
        <v>44641.500586666669</v>
      </c>
      <c r="P52" s="26">
        <v>21053.226666666666</v>
      </c>
      <c r="Q52" s="296">
        <f t="shared" si="12"/>
        <v>65694.727253333331</v>
      </c>
      <c r="R52" s="24">
        <v>220995.09438733335</v>
      </c>
      <c r="S52" s="240">
        <f t="shared" si="13"/>
        <v>394999.3444393333</v>
      </c>
      <c r="T52" s="213"/>
    </row>
    <row r="53" spans="1:20" ht="20.100000000000001" customHeight="1">
      <c r="A53" s="430">
        <v>11</v>
      </c>
      <c r="B53" s="188" t="s">
        <v>452</v>
      </c>
      <c r="C53" s="21" t="s">
        <v>84</v>
      </c>
      <c r="D53" s="430" t="s">
        <v>498</v>
      </c>
      <c r="E53" s="26">
        <v>263165.33333333331</v>
      </c>
      <c r="F53" s="26">
        <v>98226.268101333306</v>
      </c>
      <c r="G53" s="212">
        <f>100000</f>
        <v>100000</v>
      </c>
      <c r="H53" s="212"/>
      <c r="I53" s="26"/>
      <c r="J53" s="237">
        <f t="shared" si="11"/>
        <v>461391.60143466661</v>
      </c>
      <c r="K53" s="24"/>
      <c r="L53" s="24"/>
      <c r="M53" s="24"/>
      <c r="N53" s="24"/>
      <c r="O53" s="26">
        <v>44641.500586666669</v>
      </c>
      <c r="P53" s="26">
        <v>21053.226666666666</v>
      </c>
      <c r="Q53" s="296">
        <f t="shared" si="12"/>
        <v>65694.727253333331</v>
      </c>
      <c r="R53" s="24">
        <v>220297.56464533333</v>
      </c>
      <c r="S53" s="240">
        <f t="shared" si="13"/>
        <v>395696.87418133329</v>
      </c>
      <c r="T53" s="213"/>
    </row>
    <row r="54" spans="1:20" ht="25.5" customHeight="1">
      <c r="A54" s="29"/>
      <c r="B54" s="191" t="s">
        <v>15</v>
      </c>
      <c r="C54" s="30">
        <v>11</v>
      </c>
      <c r="D54" s="30"/>
      <c r="E54" s="78">
        <v>6180027.9999999991</v>
      </c>
      <c r="F54" s="78">
        <v>2163350.3439300004</v>
      </c>
      <c r="G54" s="78">
        <f t="shared" ref="G54:Q54" si="14">SUM(G43:G53)</f>
        <v>1560000</v>
      </c>
      <c r="H54" s="78">
        <f t="shared" si="14"/>
        <v>0</v>
      </c>
      <c r="I54" s="78">
        <f t="shared" si="14"/>
        <v>0</v>
      </c>
      <c r="J54" s="78">
        <f t="shared" si="14"/>
        <v>9903378.3439299986</v>
      </c>
      <c r="K54" s="78">
        <f t="shared" si="14"/>
        <v>0</v>
      </c>
      <c r="L54" s="78">
        <f t="shared" si="14"/>
        <v>398000</v>
      </c>
      <c r="M54" s="78">
        <f t="shared" si="14"/>
        <v>1404861.5099999998</v>
      </c>
      <c r="N54" s="78">
        <v>837.6875</v>
      </c>
      <c r="O54" s="78">
        <v>1157200.5715733333</v>
      </c>
      <c r="P54" s="78">
        <v>494402.24000000011</v>
      </c>
      <c r="Q54" s="411">
        <f t="shared" si="14"/>
        <v>3455302.0090733324</v>
      </c>
      <c r="R54" s="78">
        <v>2615777.8869966664</v>
      </c>
      <c r="S54" s="390">
        <f>SUM(S43:S53)</f>
        <v>6448076.3348566657</v>
      </c>
      <c r="T54" s="213"/>
    </row>
    <row r="55" spans="1:20" ht="20.100000000000001" customHeight="1">
      <c r="A55" s="29"/>
      <c r="B55" s="141"/>
      <c r="C55" s="30"/>
      <c r="D55" s="30"/>
      <c r="E55" s="31"/>
      <c r="F55" s="31"/>
      <c r="G55" s="212"/>
      <c r="H55" s="212"/>
      <c r="I55" s="31"/>
      <c r="J55" s="245"/>
      <c r="K55" s="31"/>
      <c r="L55" s="31"/>
      <c r="M55" s="31"/>
      <c r="N55" s="31"/>
      <c r="O55" s="31"/>
      <c r="P55" s="31"/>
      <c r="Q55" s="298"/>
      <c r="R55" s="31"/>
      <c r="S55" s="251"/>
      <c r="T55" s="213"/>
    </row>
    <row r="56" spans="1:20" ht="20.100000000000001" customHeight="1">
      <c r="A56" s="29"/>
      <c r="B56" s="191" t="s">
        <v>195</v>
      </c>
      <c r="C56" s="30"/>
      <c r="D56" s="30"/>
      <c r="E56" s="31"/>
      <c r="F56" s="31"/>
      <c r="G56" s="212"/>
      <c r="H56" s="212"/>
      <c r="I56" s="31"/>
      <c r="J56" s="245"/>
      <c r="K56" s="31"/>
      <c r="L56" s="31"/>
      <c r="M56" s="31"/>
      <c r="N56" s="31"/>
      <c r="O56" s="31"/>
      <c r="P56" s="31"/>
      <c r="Q56" s="298"/>
      <c r="R56" s="31"/>
      <c r="S56" s="251"/>
      <c r="T56" s="213"/>
    </row>
    <row r="57" spans="1:20" ht="20.100000000000001" customHeight="1">
      <c r="A57" s="29">
        <v>1</v>
      </c>
      <c r="B57" s="188" t="s">
        <v>11</v>
      </c>
      <c r="C57" s="193" t="s">
        <v>200</v>
      </c>
      <c r="D57" s="214" t="s">
        <v>161</v>
      </c>
      <c r="E57" s="26">
        <v>1435720</v>
      </c>
      <c r="F57" s="26">
        <v>495145.49589199992</v>
      </c>
      <c r="G57" s="212">
        <f>200000</f>
        <v>200000</v>
      </c>
      <c r="H57" s="212"/>
      <c r="I57" s="26">
        <v>0</v>
      </c>
      <c r="J57" s="237">
        <f>SUM(E57:I57)</f>
        <v>2130865.4958919999</v>
      </c>
      <c r="K57" s="24"/>
      <c r="L57" s="24">
        <v>120000</v>
      </c>
      <c r="M57" s="24"/>
      <c r="N57" s="24">
        <v>0</v>
      </c>
      <c r="O57" s="466">
        <v>270672.24746666662</v>
      </c>
      <c r="P57" s="466">
        <v>114857.60000000001</v>
      </c>
      <c r="Q57" s="296">
        <f>O57+N57+M57+L57+K57+P57</f>
        <v>505529.8474666666</v>
      </c>
      <c r="R57" s="24">
        <v>629902.25664133346</v>
      </c>
      <c r="S57" s="240">
        <f>J57-Q57</f>
        <v>1625335.6484253332</v>
      </c>
      <c r="T57" s="213"/>
    </row>
    <row r="58" spans="1:20" ht="20.100000000000001" customHeight="1">
      <c r="A58" s="29">
        <v>2</v>
      </c>
      <c r="B58" s="188" t="s">
        <v>276</v>
      </c>
      <c r="C58" s="287" t="s">
        <v>340</v>
      </c>
      <c r="D58" s="214" t="s">
        <v>747</v>
      </c>
      <c r="E58" s="26">
        <v>620675.58333333337</v>
      </c>
      <c r="F58" s="26">
        <v>214056.21827333336</v>
      </c>
      <c r="G58" s="212"/>
      <c r="H58" s="212">
        <v>80000</v>
      </c>
      <c r="I58" s="26"/>
      <c r="J58" s="237">
        <f>SUM(E58:I58)</f>
        <v>914731.80160666676</v>
      </c>
      <c r="K58" s="24"/>
      <c r="L58" s="24">
        <v>50000</v>
      </c>
      <c r="M58" s="24">
        <v>145000</v>
      </c>
      <c r="N58" s="24">
        <v>0</v>
      </c>
      <c r="O58" s="466">
        <v>103662.80170666667</v>
      </c>
      <c r="P58" s="466">
        <v>49654.046666666669</v>
      </c>
      <c r="Q58" s="296">
        <f>O58+N58+M58+L58+K58+P58</f>
        <v>348316.84837333334</v>
      </c>
      <c r="R58" s="24">
        <v>187956.56335333333</v>
      </c>
      <c r="S58" s="240">
        <f>J58-Q58</f>
        <v>566414.95323333342</v>
      </c>
      <c r="T58" s="213"/>
    </row>
    <row r="59" spans="1:20" ht="20.100000000000001" customHeight="1">
      <c r="A59" s="29"/>
      <c r="B59" s="191" t="s">
        <v>15</v>
      </c>
      <c r="C59" s="30">
        <v>2</v>
      </c>
      <c r="D59" s="30"/>
      <c r="E59" s="78">
        <v>2056395.5833333335</v>
      </c>
      <c r="F59" s="78">
        <v>709201.71416533331</v>
      </c>
      <c r="G59" s="78">
        <f t="shared" ref="G59:S59" si="15">SUM(G57:G58)</f>
        <v>200000</v>
      </c>
      <c r="H59" s="78">
        <f t="shared" si="15"/>
        <v>80000</v>
      </c>
      <c r="I59" s="78">
        <f t="shared" si="15"/>
        <v>0</v>
      </c>
      <c r="J59" s="78">
        <f t="shared" si="15"/>
        <v>3045597.2974986667</v>
      </c>
      <c r="K59" s="78">
        <f t="shared" si="15"/>
        <v>0</v>
      </c>
      <c r="L59" s="78">
        <f t="shared" si="15"/>
        <v>170000</v>
      </c>
      <c r="M59" s="78">
        <f t="shared" si="15"/>
        <v>145000</v>
      </c>
      <c r="N59" s="78">
        <v>0</v>
      </c>
      <c r="O59" s="78">
        <v>374335.04917333327</v>
      </c>
      <c r="P59" s="78">
        <v>164511.64666666667</v>
      </c>
      <c r="Q59" s="411">
        <f t="shared" si="15"/>
        <v>853846.69583999994</v>
      </c>
      <c r="R59" s="78">
        <v>817858.81999466685</v>
      </c>
      <c r="S59" s="390">
        <f t="shared" si="15"/>
        <v>2191750.6016586665</v>
      </c>
      <c r="T59" s="213"/>
    </row>
    <row r="60" spans="1:20" ht="20.100000000000001" customHeight="1">
      <c r="A60" s="29"/>
      <c r="B60" s="191"/>
      <c r="C60" s="30"/>
      <c r="D60" s="30"/>
      <c r="E60" s="31"/>
      <c r="F60" s="31"/>
      <c r="G60" s="212"/>
      <c r="H60" s="212"/>
      <c r="I60" s="31"/>
      <c r="J60" s="245"/>
      <c r="K60" s="31"/>
      <c r="L60" s="31"/>
      <c r="M60" s="31"/>
      <c r="N60" s="31"/>
      <c r="O60" s="31"/>
      <c r="P60" s="31"/>
      <c r="Q60" s="298"/>
      <c r="R60" s="31"/>
      <c r="S60" s="251"/>
      <c r="T60" s="213"/>
    </row>
    <row r="61" spans="1:20" ht="20.100000000000001" customHeight="1">
      <c r="A61" s="29"/>
      <c r="B61" s="191" t="s">
        <v>461</v>
      </c>
      <c r="C61" s="30"/>
      <c r="D61" s="30"/>
      <c r="E61" s="31"/>
      <c r="F61" s="31"/>
      <c r="G61" s="212"/>
      <c r="H61" s="212"/>
      <c r="I61" s="31"/>
      <c r="J61" s="245"/>
      <c r="K61" s="31"/>
      <c r="L61" s="31"/>
      <c r="M61" s="31"/>
      <c r="N61" s="31"/>
      <c r="O61" s="31"/>
      <c r="P61" s="31"/>
      <c r="Q61" s="298"/>
      <c r="R61" s="31"/>
      <c r="S61" s="251"/>
      <c r="T61" s="213"/>
    </row>
    <row r="62" spans="1:20" ht="20.100000000000001" customHeight="1">
      <c r="A62" s="29">
        <v>1</v>
      </c>
      <c r="B62" s="188" t="s">
        <v>277</v>
      </c>
      <c r="C62" s="155" t="s">
        <v>278</v>
      </c>
      <c r="D62" s="29" t="s">
        <v>161</v>
      </c>
      <c r="E62" s="26">
        <v>1435720</v>
      </c>
      <c r="F62" s="26">
        <v>473092.83669199987</v>
      </c>
      <c r="G62" s="212">
        <f>200000</f>
        <v>200000</v>
      </c>
      <c r="H62" s="212"/>
      <c r="I62" s="26">
        <v>0</v>
      </c>
      <c r="J62" s="238">
        <f>SUM(E62:I62)</f>
        <v>2108812.8366919998</v>
      </c>
      <c r="K62" s="26"/>
      <c r="L62" s="26">
        <f>100000+100000</f>
        <v>200000</v>
      </c>
      <c r="M62" s="26">
        <f>223611.11</f>
        <v>223611.11</v>
      </c>
      <c r="N62" s="26"/>
      <c r="O62" s="26">
        <v>292724.90666666668</v>
      </c>
      <c r="P62" s="26"/>
      <c r="Q62" s="299">
        <f>O62+N62+M62+L62+K62+P62</f>
        <v>716336.0166666666</v>
      </c>
      <c r="R62" s="26">
        <v>446291.14664133347</v>
      </c>
      <c r="S62" s="241">
        <f t="shared" ref="S62:S71" si="16">J62-Q62</f>
        <v>1392476.8200253332</v>
      </c>
      <c r="T62" s="213"/>
    </row>
    <row r="63" spans="1:20" ht="20.100000000000001" customHeight="1">
      <c r="A63" s="359">
        <v>2</v>
      </c>
      <c r="B63" s="330" t="s">
        <v>332</v>
      </c>
      <c r="C63" s="155" t="s">
        <v>188</v>
      </c>
      <c r="D63" s="214" t="s">
        <v>148</v>
      </c>
      <c r="E63" s="26">
        <v>601396.83333333337</v>
      </c>
      <c r="F63" s="26">
        <v>207407.36029333336</v>
      </c>
      <c r="G63" s="212">
        <f>160000</f>
        <v>160000</v>
      </c>
      <c r="H63" s="212"/>
      <c r="I63" s="215">
        <v>0</v>
      </c>
      <c r="J63" s="238">
        <f t="shared" ref="J63:J71" si="17">SUM(E63:I63)</f>
        <v>968804.19362666667</v>
      </c>
      <c r="K63" s="24"/>
      <c r="L63" s="24">
        <f>100000</f>
        <v>100000</v>
      </c>
      <c r="M63" s="24">
        <f>131250</f>
        <v>131250</v>
      </c>
      <c r="N63" s="24"/>
      <c r="O63" s="26">
        <v>115617.40330666665</v>
      </c>
      <c r="P63" s="26">
        <v>48111.746666666673</v>
      </c>
      <c r="Q63" s="299">
        <f t="shared" ref="Q63:Q71" si="18">O63+N63+M63+L63+K63+P63</f>
        <v>394979.14997333335</v>
      </c>
      <c r="R63" s="24">
        <v>207122.06973333337</v>
      </c>
      <c r="S63" s="240">
        <f t="shared" si="16"/>
        <v>573825.04365333333</v>
      </c>
      <c r="T63" s="213"/>
    </row>
    <row r="64" spans="1:20" ht="20.100000000000001" customHeight="1">
      <c r="A64" s="359">
        <v>3</v>
      </c>
      <c r="B64" s="363" t="s">
        <v>189</v>
      </c>
      <c r="C64" s="357" t="s">
        <v>297</v>
      </c>
      <c r="D64" s="359" t="s">
        <v>222</v>
      </c>
      <c r="E64" s="26">
        <v>442746.5</v>
      </c>
      <c r="F64" s="26">
        <v>156712.97330000001</v>
      </c>
      <c r="G64" s="212">
        <v>140000</v>
      </c>
      <c r="H64" s="212"/>
      <c r="I64" s="26"/>
      <c r="J64" s="238">
        <f t="shared" si="17"/>
        <v>739459.47329999995</v>
      </c>
      <c r="K64" s="26"/>
      <c r="L64" s="26">
        <f>110000</f>
        <v>110000</v>
      </c>
      <c r="M64" s="26"/>
      <c r="N64" s="26"/>
      <c r="O64" s="26">
        <v>83753.408426666647</v>
      </c>
      <c r="P64" s="26">
        <v>35419.72</v>
      </c>
      <c r="Q64" s="299">
        <f t="shared" si="18"/>
        <v>229173.12842666663</v>
      </c>
      <c r="R64" s="26">
        <v>232280.11827333333</v>
      </c>
      <c r="S64" s="241">
        <f t="shared" si="16"/>
        <v>510286.34487333335</v>
      </c>
      <c r="T64" s="213"/>
    </row>
    <row r="65" spans="1:20" ht="20.100000000000001" customHeight="1">
      <c r="A65" s="359">
        <v>4</v>
      </c>
      <c r="B65" s="189" t="s">
        <v>448</v>
      </c>
      <c r="C65" s="155" t="s">
        <v>257</v>
      </c>
      <c r="D65" s="214" t="s">
        <v>170</v>
      </c>
      <c r="E65" s="26">
        <v>428915.91666666669</v>
      </c>
      <c r="F65" s="26">
        <v>151816.66491666675</v>
      </c>
      <c r="G65" s="212">
        <f t="shared" ref="G65" si="19">120000</f>
        <v>120000</v>
      </c>
      <c r="H65" s="212"/>
      <c r="I65" s="26">
        <v>0</v>
      </c>
      <c r="J65" s="238">
        <f t="shared" si="17"/>
        <v>700732.58158333343</v>
      </c>
      <c r="K65" s="24"/>
      <c r="L65" s="24">
        <f>20000+65000</f>
        <v>85000</v>
      </c>
      <c r="M65" s="24">
        <v>0</v>
      </c>
      <c r="N65" s="24">
        <v>0</v>
      </c>
      <c r="O65" s="26">
        <v>77470.374186666668</v>
      </c>
      <c r="P65" s="26">
        <v>34313.273333333338</v>
      </c>
      <c r="Q65" s="299">
        <f t="shared" si="18"/>
        <v>196783.64752000003</v>
      </c>
      <c r="R65" s="24">
        <v>234628.87756333334</v>
      </c>
      <c r="S65" s="240">
        <f t="shared" si="16"/>
        <v>503948.93406333344</v>
      </c>
      <c r="T65" s="213"/>
    </row>
    <row r="66" spans="1:20" ht="20.100000000000001" customHeight="1">
      <c r="A66" s="359">
        <v>5</v>
      </c>
      <c r="B66" s="190" t="s">
        <v>229</v>
      </c>
      <c r="C66" s="155" t="s">
        <v>297</v>
      </c>
      <c r="D66" s="214" t="s">
        <v>174</v>
      </c>
      <c r="E66" s="26">
        <v>484373.75</v>
      </c>
      <c r="F66" s="26">
        <v>171447.61334599994</v>
      </c>
      <c r="G66" s="212">
        <f>140000</f>
        <v>140000</v>
      </c>
      <c r="H66" s="212"/>
      <c r="I66" s="26"/>
      <c r="J66" s="238">
        <f t="shared" si="17"/>
        <v>795821.36334599997</v>
      </c>
      <c r="K66" s="24"/>
      <c r="L66" s="24">
        <f>10000</f>
        <v>10000</v>
      </c>
      <c r="M66" s="24">
        <f>54585.66</f>
        <v>54585.66</v>
      </c>
      <c r="N66" s="24"/>
      <c r="O66" s="24">
        <v>91106.445866666661</v>
      </c>
      <c r="P66" s="24">
        <v>38749.9</v>
      </c>
      <c r="Q66" s="299">
        <f t="shared" si="18"/>
        <v>194442.00586666664</v>
      </c>
      <c r="R66" s="24">
        <v>310141.6800833334</v>
      </c>
      <c r="S66" s="240">
        <f t="shared" si="16"/>
        <v>601379.3574793333</v>
      </c>
      <c r="T66" s="213"/>
    </row>
    <row r="67" spans="1:20" ht="20.100000000000001" customHeight="1">
      <c r="A67" s="359">
        <v>7</v>
      </c>
      <c r="B67" s="188" t="s">
        <v>117</v>
      </c>
      <c r="C67" s="21" t="s">
        <v>84</v>
      </c>
      <c r="D67" s="29" t="s">
        <v>415</v>
      </c>
      <c r="E67" s="26">
        <v>365703.83333333331</v>
      </c>
      <c r="F67" s="26">
        <v>130204.11864533329</v>
      </c>
      <c r="G67" s="212">
        <f>110000</f>
        <v>110000</v>
      </c>
      <c r="H67" s="212"/>
      <c r="I67" s="26">
        <v>0</v>
      </c>
      <c r="J67" s="238">
        <f t="shared" si="17"/>
        <v>605907.95197866659</v>
      </c>
      <c r="K67" s="24"/>
      <c r="L67" s="24">
        <f>10000</f>
        <v>10000</v>
      </c>
      <c r="M67" s="24">
        <f>65885.83</f>
        <v>65885.83</v>
      </c>
      <c r="N67" s="24"/>
      <c r="O67" s="26">
        <v>64384.591786666664</v>
      </c>
      <c r="P67" s="26">
        <v>29256.306666666667</v>
      </c>
      <c r="Q67" s="299">
        <f t="shared" si="18"/>
        <v>169526.72845333334</v>
      </c>
      <c r="R67" s="24">
        <v>205229.29290133336</v>
      </c>
      <c r="S67" s="240">
        <f t="shared" si="16"/>
        <v>436381.22352533322</v>
      </c>
      <c r="T67" s="213"/>
    </row>
    <row r="68" spans="1:20" ht="20.100000000000001" customHeight="1">
      <c r="A68" s="359">
        <v>8</v>
      </c>
      <c r="B68" s="188" t="s">
        <v>424</v>
      </c>
      <c r="C68" s="155" t="s">
        <v>422</v>
      </c>
      <c r="D68" s="430" t="s">
        <v>415</v>
      </c>
      <c r="E68" s="26">
        <v>365703.83333333331</v>
      </c>
      <c r="F68" s="26">
        <v>130204.11864533329</v>
      </c>
      <c r="G68" s="212">
        <f t="shared" ref="G68:G69" si="20">110000</f>
        <v>110000</v>
      </c>
      <c r="H68" s="212"/>
      <c r="I68" s="26">
        <v>0</v>
      </c>
      <c r="J68" s="238">
        <f t="shared" si="17"/>
        <v>605907.95197866659</v>
      </c>
      <c r="K68" s="24"/>
      <c r="L68" s="24">
        <f>52000-2000</f>
        <v>50000</v>
      </c>
      <c r="M68" s="24"/>
      <c r="N68" s="24"/>
      <c r="O68" s="26">
        <v>64384.591786666664</v>
      </c>
      <c r="P68" s="26">
        <v>29256.306666666667</v>
      </c>
      <c r="Q68" s="299">
        <f t="shared" si="18"/>
        <v>143640.89845333333</v>
      </c>
      <c r="R68" s="24">
        <v>231115.12290133335</v>
      </c>
      <c r="S68" s="240">
        <f t="shared" si="16"/>
        <v>462267.05352533329</v>
      </c>
      <c r="T68" s="213"/>
    </row>
    <row r="69" spans="1:20" ht="20.100000000000001" customHeight="1">
      <c r="A69" s="359">
        <v>9</v>
      </c>
      <c r="B69" s="188" t="s">
        <v>423</v>
      </c>
      <c r="C69" s="155" t="s">
        <v>422</v>
      </c>
      <c r="D69" s="430" t="s">
        <v>415</v>
      </c>
      <c r="E69" s="26">
        <v>365703.83333333331</v>
      </c>
      <c r="F69" s="26">
        <v>130204.11864533329</v>
      </c>
      <c r="G69" s="212">
        <f t="shared" si="20"/>
        <v>110000</v>
      </c>
      <c r="H69" s="212"/>
      <c r="I69" s="26">
        <v>0</v>
      </c>
      <c r="J69" s="238">
        <f t="shared" si="17"/>
        <v>605907.95197866659</v>
      </c>
      <c r="K69" s="24"/>
      <c r="L69" s="24">
        <f>67000-2000</f>
        <v>65000</v>
      </c>
      <c r="M69" s="24"/>
      <c r="N69" s="24"/>
      <c r="O69" s="26">
        <v>64384.591786666664</v>
      </c>
      <c r="P69" s="26">
        <v>29256.306666666667</v>
      </c>
      <c r="Q69" s="299">
        <f t="shared" si="18"/>
        <v>158640.89845333333</v>
      </c>
      <c r="R69" s="24">
        <v>216115.12290133335</v>
      </c>
      <c r="S69" s="240">
        <f t="shared" si="16"/>
        <v>447267.05352533329</v>
      </c>
      <c r="T69" s="213"/>
    </row>
    <row r="70" spans="1:20" ht="20.100000000000001" customHeight="1">
      <c r="A70" s="359">
        <v>10</v>
      </c>
      <c r="B70" s="188" t="s">
        <v>242</v>
      </c>
      <c r="C70" s="21" t="s">
        <v>484</v>
      </c>
      <c r="D70" s="29" t="s">
        <v>497</v>
      </c>
      <c r="E70" s="465">
        <v>377895.16666666669</v>
      </c>
      <c r="F70" s="26">
        <v>130188.98167466669</v>
      </c>
      <c r="G70" s="212">
        <f>110000</f>
        <v>110000</v>
      </c>
      <c r="H70" s="212"/>
      <c r="I70" s="26"/>
      <c r="J70" s="238">
        <f t="shared" si="17"/>
        <v>618084.14834133338</v>
      </c>
      <c r="K70" s="24"/>
      <c r="L70" s="24">
        <f>80000+20000</f>
        <v>100000</v>
      </c>
      <c r="M70" s="24"/>
      <c r="N70" s="24"/>
      <c r="O70" s="26">
        <v>66538.068906666667</v>
      </c>
      <c r="P70" s="26">
        <v>30231.613333333335</v>
      </c>
      <c r="Q70" s="299">
        <f t="shared" si="18"/>
        <v>196769.68223999999</v>
      </c>
      <c r="R70" s="24">
        <v>191168.11608533331</v>
      </c>
      <c r="S70" s="240">
        <f t="shared" si="16"/>
        <v>421314.46610133338</v>
      </c>
      <c r="T70" s="213"/>
    </row>
    <row r="71" spans="1:20" ht="21.6" customHeight="1">
      <c r="A71" s="359">
        <v>11</v>
      </c>
      <c r="B71" s="363" t="s">
        <v>726</v>
      </c>
      <c r="C71" s="357" t="s">
        <v>84</v>
      </c>
      <c r="D71" s="359" t="s">
        <v>207</v>
      </c>
      <c r="E71" s="212">
        <v>300965.58333333331</v>
      </c>
      <c r="F71" s="26">
        <v>106028.29558933334</v>
      </c>
      <c r="G71" s="212">
        <v>100000</v>
      </c>
      <c r="H71" s="212"/>
      <c r="I71" s="26"/>
      <c r="J71" s="238">
        <f t="shared" si="17"/>
        <v>506993.87892266666</v>
      </c>
      <c r="K71" s="357"/>
      <c r="L71" s="357"/>
      <c r="M71" s="357"/>
      <c r="N71" s="357"/>
      <c r="O71" s="26">
        <v>51029.227306666668</v>
      </c>
      <c r="P71" s="26">
        <v>24077.246666666666</v>
      </c>
      <c r="Q71" s="299">
        <f t="shared" si="18"/>
        <v>75106.473973333341</v>
      </c>
      <c r="R71" s="24">
        <v>243908.0604373333</v>
      </c>
      <c r="S71" s="420">
        <f t="shared" si="16"/>
        <v>431887.40494933329</v>
      </c>
    </row>
    <row r="72" spans="1:20" ht="27" customHeight="1">
      <c r="A72" s="29"/>
      <c r="B72" s="191" t="s">
        <v>15</v>
      </c>
      <c r="C72" s="30">
        <v>12</v>
      </c>
      <c r="D72" s="30"/>
      <c r="E72" s="78">
        <v>5169125.25</v>
      </c>
      <c r="F72" s="78">
        <v>1787307.0817479996</v>
      </c>
      <c r="G72" s="78">
        <f t="shared" ref="G72:Q72" si="21">SUM(G62:G71)</f>
        <v>1300000</v>
      </c>
      <c r="H72" s="78">
        <f t="shared" si="21"/>
        <v>0</v>
      </c>
      <c r="I72" s="78">
        <f t="shared" si="21"/>
        <v>0</v>
      </c>
      <c r="J72" s="78">
        <f t="shared" si="21"/>
        <v>8256432.3317479994</v>
      </c>
      <c r="K72" s="78">
        <f t="shared" si="21"/>
        <v>0</v>
      </c>
      <c r="L72" s="78">
        <f t="shared" si="21"/>
        <v>730000</v>
      </c>
      <c r="M72" s="78">
        <f t="shared" si="21"/>
        <v>475332.60000000003</v>
      </c>
      <c r="N72" s="78">
        <v>0</v>
      </c>
      <c r="O72" s="78">
        <v>971393.61002666655</v>
      </c>
      <c r="P72" s="78">
        <v>298672.42</v>
      </c>
      <c r="Q72" s="78">
        <f t="shared" si="21"/>
        <v>2475398.6300266664</v>
      </c>
      <c r="R72" s="78">
        <v>2517999.6075213333</v>
      </c>
      <c r="S72" s="78">
        <f>SUM(S62:S71)</f>
        <v>5781033.7017213339</v>
      </c>
      <c r="T72" s="213"/>
    </row>
    <row r="73" spans="1:20" ht="20.100000000000001" customHeight="1">
      <c r="A73" s="29"/>
      <c r="B73" s="141"/>
      <c r="C73" s="30"/>
      <c r="D73" s="30"/>
      <c r="E73" s="31"/>
      <c r="F73" s="31"/>
      <c r="G73" s="212"/>
      <c r="H73" s="212"/>
      <c r="I73" s="31"/>
      <c r="J73" s="245"/>
      <c r="K73" s="31"/>
      <c r="L73" s="31"/>
      <c r="M73" s="31"/>
      <c r="N73" s="31"/>
      <c r="O73" s="31"/>
      <c r="P73" s="31"/>
      <c r="Q73" s="298"/>
      <c r="R73" s="31"/>
      <c r="S73" s="251"/>
      <c r="T73" s="213"/>
    </row>
    <row r="74" spans="1:20" ht="20.100000000000001" customHeight="1">
      <c r="A74" s="29"/>
      <c r="B74" s="191" t="s">
        <v>462</v>
      </c>
      <c r="C74" s="30"/>
      <c r="D74" s="30"/>
      <c r="E74" s="31"/>
      <c r="F74" s="31"/>
      <c r="G74" s="212"/>
      <c r="H74" s="212"/>
      <c r="I74" s="31"/>
      <c r="J74" s="245"/>
      <c r="K74" s="31"/>
      <c r="L74" s="31"/>
      <c r="M74" s="31"/>
      <c r="N74" s="31"/>
      <c r="O74" s="31"/>
      <c r="P74" s="31"/>
      <c r="Q74" s="298"/>
      <c r="R74" s="31"/>
      <c r="S74" s="251"/>
      <c r="T74" s="213"/>
    </row>
    <row r="75" spans="1:20" ht="20.100000000000001" customHeight="1">
      <c r="A75" s="29">
        <v>1</v>
      </c>
      <c r="B75" s="188" t="s">
        <v>19</v>
      </c>
      <c r="C75" s="21" t="s">
        <v>201</v>
      </c>
      <c r="D75" s="29" t="s">
        <v>161</v>
      </c>
      <c r="E75" s="26">
        <v>1435720</v>
      </c>
      <c r="F75" s="26">
        <v>495145.49589199992</v>
      </c>
      <c r="G75" s="212">
        <f>200000</f>
        <v>200000</v>
      </c>
      <c r="H75" s="212"/>
      <c r="I75" s="26">
        <v>0</v>
      </c>
      <c r="J75" s="237">
        <f>SUM(E75:I75)</f>
        <v>2130865.4958919999</v>
      </c>
      <c r="K75" s="24"/>
      <c r="L75" s="24">
        <v>250000</v>
      </c>
      <c r="M75" s="24">
        <f>0</f>
        <v>0</v>
      </c>
      <c r="N75" s="24">
        <v>0</v>
      </c>
      <c r="O75" s="26">
        <v>270672.24746666662</v>
      </c>
      <c r="P75" s="26">
        <v>114857.60000000001</v>
      </c>
      <c r="Q75" s="296">
        <f>O75+N75+M75+L75+K75+P75</f>
        <v>635529.8474666666</v>
      </c>
      <c r="R75" s="24">
        <v>619902.25664133346</v>
      </c>
      <c r="S75" s="240">
        <f t="shared" ref="S75:S81" si="22">J75-Q75</f>
        <v>1495335.6484253332</v>
      </c>
      <c r="T75" s="213"/>
    </row>
    <row r="76" spans="1:20" ht="20.100000000000001" customHeight="1">
      <c r="A76" s="29">
        <v>2</v>
      </c>
      <c r="B76" s="190" t="s">
        <v>325</v>
      </c>
      <c r="C76" s="21" t="s">
        <v>245</v>
      </c>
      <c r="D76" s="214" t="s">
        <v>412</v>
      </c>
      <c r="E76" s="24">
        <v>601396.83333333337</v>
      </c>
      <c r="F76" s="26">
        <v>198169.90493333334</v>
      </c>
      <c r="G76" s="212">
        <f>160000</f>
        <v>160000</v>
      </c>
      <c r="H76" s="212"/>
      <c r="I76" s="215">
        <v>0</v>
      </c>
      <c r="J76" s="237">
        <f t="shared" ref="J76:J81" si="23">SUM(E76:I76)</f>
        <v>959566.73826666665</v>
      </c>
      <c r="K76" s="24"/>
      <c r="L76" s="24"/>
      <c r="M76" s="24"/>
      <c r="N76" s="24">
        <v>0</v>
      </c>
      <c r="O76" s="26">
        <v>124854.85866666667</v>
      </c>
      <c r="P76" s="26"/>
      <c r="Q76" s="296">
        <f t="shared" ref="Q76:Q81" si="24">O76+N76+M76+L76+K76+P76</f>
        <v>124854.85866666667</v>
      </c>
      <c r="R76" s="24">
        <v>438372.06973333337</v>
      </c>
      <c r="S76" s="240">
        <f t="shared" si="22"/>
        <v>834711.87959999999</v>
      </c>
      <c r="T76" s="213"/>
    </row>
    <row r="77" spans="1:20" ht="20.100000000000001" customHeight="1">
      <c r="A77" s="29">
        <v>3</v>
      </c>
      <c r="B77" s="189" t="s">
        <v>333</v>
      </c>
      <c r="C77" s="193" t="s">
        <v>387</v>
      </c>
      <c r="D77" s="29" t="s">
        <v>747</v>
      </c>
      <c r="E77" s="26">
        <v>620675.58333333337</v>
      </c>
      <c r="F77" s="26">
        <v>204522.64131333338</v>
      </c>
      <c r="G77" s="212">
        <v>160000</v>
      </c>
      <c r="H77" s="212"/>
      <c r="I77" s="215">
        <v>0</v>
      </c>
      <c r="J77" s="237">
        <f t="shared" si="23"/>
        <v>985198.22464666679</v>
      </c>
      <c r="K77" s="24"/>
      <c r="L77" s="24">
        <f>50000</f>
        <v>50000</v>
      </c>
      <c r="M77" s="24">
        <f>59583.33</f>
        <v>59583.33</v>
      </c>
      <c r="N77" s="24"/>
      <c r="O77" s="24">
        <v>128556.38</v>
      </c>
      <c r="P77" s="24"/>
      <c r="Q77" s="296">
        <f t="shared" si="24"/>
        <v>238139.71000000002</v>
      </c>
      <c r="R77" s="24">
        <v>273373.23335333331</v>
      </c>
      <c r="S77" s="240">
        <f t="shared" si="22"/>
        <v>747058.51464666682</v>
      </c>
      <c r="T77" s="213"/>
    </row>
    <row r="78" spans="1:20" ht="20.100000000000001" customHeight="1">
      <c r="A78" s="359">
        <v>4</v>
      </c>
      <c r="B78" s="363" t="s">
        <v>26</v>
      </c>
      <c r="C78" s="357" t="s">
        <v>707</v>
      </c>
      <c r="D78" s="214" t="s">
        <v>162</v>
      </c>
      <c r="E78" s="26">
        <v>456622.25</v>
      </c>
      <c r="F78" s="26">
        <v>161624.66825000002</v>
      </c>
      <c r="G78" s="212">
        <f>140000</f>
        <v>140000</v>
      </c>
      <c r="H78" s="212"/>
      <c r="I78" s="26">
        <v>0</v>
      </c>
      <c r="J78" s="237">
        <f t="shared" si="23"/>
        <v>758246.91824999999</v>
      </c>
      <c r="K78" s="24"/>
      <c r="L78" s="24">
        <v>20000</v>
      </c>
      <c r="M78" s="24">
        <f>96664.65</f>
        <v>96664.65</v>
      </c>
      <c r="N78" s="24">
        <v>668.31625000000008</v>
      </c>
      <c r="O78" s="26">
        <v>86076.104186666664</v>
      </c>
      <c r="P78" s="26">
        <v>36529.78</v>
      </c>
      <c r="Q78" s="296">
        <f t="shared" si="24"/>
        <v>239938.85043666666</v>
      </c>
      <c r="R78" s="24">
        <v>231588.51131333332</v>
      </c>
      <c r="S78" s="240">
        <f t="shared" si="22"/>
        <v>518308.06781333336</v>
      </c>
      <c r="T78" s="213"/>
    </row>
    <row r="79" spans="1:20" ht="20.100000000000001" customHeight="1">
      <c r="A79" s="29">
        <v>5</v>
      </c>
      <c r="B79" s="188" t="s">
        <v>324</v>
      </c>
      <c r="C79" s="21" t="s">
        <v>243</v>
      </c>
      <c r="D79" s="29" t="s">
        <v>164</v>
      </c>
      <c r="E79" s="26">
        <v>308901.5</v>
      </c>
      <c r="F79" s="26">
        <v>116360.43328</v>
      </c>
      <c r="G79" s="212">
        <f>100000</f>
        <v>100000</v>
      </c>
      <c r="H79" s="212"/>
      <c r="I79" s="26"/>
      <c r="J79" s="237">
        <f t="shared" si="23"/>
        <v>525261.93328</v>
      </c>
      <c r="K79" s="24"/>
      <c r="L79" s="24">
        <f>50000</f>
        <v>50000</v>
      </c>
      <c r="M79" s="24">
        <f>50000</f>
        <v>50000</v>
      </c>
      <c r="N79" s="24"/>
      <c r="O79" s="26">
        <v>52431.02762666667</v>
      </c>
      <c r="P79" s="26">
        <v>24712.12</v>
      </c>
      <c r="Q79" s="296">
        <f t="shared" si="24"/>
        <v>177143.14762666667</v>
      </c>
      <c r="R79" s="24">
        <v>155661.56853333331</v>
      </c>
      <c r="S79" s="240">
        <f t="shared" si="22"/>
        <v>348118.7856533333</v>
      </c>
      <c r="T79" s="213"/>
    </row>
    <row r="80" spans="1:20" ht="20.100000000000001" customHeight="1">
      <c r="A80" s="29">
        <v>6</v>
      </c>
      <c r="B80" s="188" t="s">
        <v>554</v>
      </c>
      <c r="C80" s="21" t="s">
        <v>243</v>
      </c>
      <c r="D80" s="29" t="s">
        <v>498</v>
      </c>
      <c r="E80" s="26">
        <v>263165.33333333331</v>
      </c>
      <c r="F80" s="26">
        <v>98226.268101333306</v>
      </c>
      <c r="G80" s="212">
        <v>100000</v>
      </c>
      <c r="H80" s="212"/>
      <c r="I80" s="26"/>
      <c r="J80" s="237">
        <f t="shared" si="23"/>
        <v>461391.60143466661</v>
      </c>
      <c r="K80" s="24"/>
      <c r="L80" s="24"/>
      <c r="M80" s="24"/>
      <c r="N80" s="24"/>
      <c r="O80" s="26">
        <v>44641.500586666669</v>
      </c>
      <c r="P80" s="26">
        <v>21053.226666666666</v>
      </c>
      <c r="Q80" s="296">
        <f t="shared" si="24"/>
        <v>65694.727253333331</v>
      </c>
      <c r="R80" s="24">
        <v>220297.56464533333</v>
      </c>
      <c r="S80" s="240">
        <f t="shared" si="22"/>
        <v>395696.87418133329</v>
      </c>
      <c r="T80" s="213"/>
    </row>
    <row r="81" spans="1:20" ht="20.100000000000001" customHeight="1">
      <c r="A81" s="29">
        <v>7</v>
      </c>
      <c r="B81" s="188" t="s">
        <v>552</v>
      </c>
      <c r="C81" s="21" t="s">
        <v>553</v>
      </c>
      <c r="D81" s="29" t="s">
        <v>176</v>
      </c>
      <c r="E81" s="26">
        <v>224459.75</v>
      </c>
      <c r="F81" s="26">
        <v>86834.470335999984</v>
      </c>
      <c r="G81" s="212">
        <v>100000</v>
      </c>
      <c r="H81" s="212">
        <v>0</v>
      </c>
      <c r="I81" s="26"/>
      <c r="J81" s="237">
        <f t="shared" si="23"/>
        <v>411294.22033599997</v>
      </c>
      <c r="K81" s="24"/>
      <c r="L81" s="24">
        <v>20000</v>
      </c>
      <c r="M81" s="24">
        <v>0</v>
      </c>
      <c r="N81" s="24">
        <v>0</v>
      </c>
      <c r="O81" s="26">
        <v>38659.165626666669</v>
      </c>
      <c r="P81" s="26">
        <v>17956.78</v>
      </c>
      <c r="Q81" s="296">
        <f t="shared" si="24"/>
        <v>76615.945626666668</v>
      </c>
      <c r="R81" s="24">
        <v>178966.11403733335</v>
      </c>
      <c r="S81" s="240">
        <f t="shared" si="22"/>
        <v>334678.27470933332</v>
      </c>
      <c r="T81" s="213"/>
    </row>
    <row r="82" spans="1:20" ht="20.100000000000001" customHeight="1">
      <c r="A82" s="29"/>
      <c r="B82" s="191" t="s">
        <v>15</v>
      </c>
      <c r="C82" s="30">
        <v>7</v>
      </c>
      <c r="D82" s="30"/>
      <c r="E82" s="78">
        <v>3910941.2500000005</v>
      </c>
      <c r="F82" s="78">
        <v>1360883.8821060001</v>
      </c>
      <c r="G82" s="78">
        <f t="shared" ref="G82:S82" si="25">SUM(G75:G81)</f>
        <v>960000</v>
      </c>
      <c r="H82" s="78">
        <f t="shared" si="25"/>
        <v>0</v>
      </c>
      <c r="I82" s="78">
        <f t="shared" si="25"/>
        <v>0</v>
      </c>
      <c r="J82" s="78">
        <f t="shared" si="25"/>
        <v>6231825.1321060006</v>
      </c>
      <c r="K82" s="78">
        <f t="shared" si="25"/>
        <v>0</v>
      </c>
      <c r="L82" s="78">
        <f t="shared" si="25"/>
        <v>390000</v>
      </c>
      <c r="M82" s="78">
        <f t="shared" si="25"/>
        <v>206247.97999999998</v>
      </c>
      <c r="N82" s="78">
        <f t="shared" si="25"/>
        <v>668.31625000000008</v>
      </c>
      <c r="O82" s="78">
        <f t="shared" si="25"/>
        <v>745891.28415999992</v>
      </c>
      <c r="P82" s="78">
        <v>215109.50666666665</v>
      </c>
      <c r="Q82" s="411">
        <f t="shared" si="25"/>
        <v>1557917.0870766668</v>
      </c>
      <c r="R82" s="78">
        <v>2118161.3182573337</v>
      </c>
      <c r="S82" s="390">
        <f t="shared" si="25"/>
        <v>4673908.0450293329</v>
      </c>
      <c r="T82" s="213"/>
    </row>
    <row r="83" spans="1:20" ht="20.100000000000001" customHeight="1">
      <c r="A83" s="29"/>
      <c r="B83" s="191"/>
      <c r="C83" s="30"/>
      <c r="D83" s="30"/>
      <c r="E83" s="31"/>
      <c r="F83" s="31"/>
      <c r="G83" s="212"/>
      <c r="H83" s="212"/>
      <c r="I83" s="31"/>
      <c r="J83" s="246"/>
      <c r="K83" s="215"/>
      <c r="L83" s="215"/>
      <c r="M83" s="215"/>
      <c r="N83" s="215"/>
      <c r="O83" s="31"/>
      <c r="P83" s="31"/>
      <c r="Q83" s="296"/>
      <c r="R83" s="24"/>
      <c r="S83" s="240"/>
      <c r="T83" s="213"/>
    </row>
    <row r="84" spans="1:20" ht="20.100000000000001" customHeight="1">
      <c r="A84" s="29"/>
      <c r="B84" s="191" t="s">
        <v>463</v>
      </c>
      <c r="C84" s="219"/>
      <c r="D84" s="30"/>
      <c r="E84" s="31"/>
      <c r="F84" s="31"/>
      <c r="G84" s="212"/>
      <c r="H84" s="212"/>
      <c r="I84" s="31"/>
      <c r="J84" s="246"/>
      <c r="K84" s="215"/>
      <c r="L84" s="215"/>
      <c r="M84" s="215"/>
      <c r="N84" s="215"/>
      <c r="O84" s="31"/>
      <c r="P84" s="31"/>
      <c r="Q84" s="296"/>
      <c r="R84" s="24"/>
      <c r="S84" s="240"/>
      <c r="T84" s="213"/>
    </row>
    <row r="85" spans="1:20" ht="20.100000000000001" customHeight="1">
      <c r="A85" s="29">
        <v>1</v>
      </c>
      <c r="B85" s="188" t="s">
        <v>169</v>
      </c>
      <c r="C85" s="21" t="s">
        <v>258</v>
      </c>
      <c r="D85" s="29" t="s">
        <v>75</v>
      </c>
      <c r="E85" s="26">
        <v>620675.58333333337</v>
      </c>
      <c r="F85" s="26">
        <v>214056.21827333342</v>
      </c>
      <c r="G85" s="212">
        <f>160000</f>
        <v>160000</v>
      </c>
      <c r="H85" s="212"/>
      <c r="I85" s="26">
        <v>100000</v>
      </c>
      <c r="J85" s="237">
        <f>SUM(E85:I85)</f>
        <v>1094731.8016066668</v>
      </c>
      <c r="K85" s="24"/>
      <c r="L85" s="24"/>
      <c r="M85" s="24"/>
      <c r="N85" s="24"/>
      <c r="O85" s="26">
        <v>138222.80170666668</v>
      </c>
      <c r="P85" s="26">
        <v>49654.046666666669</v>
      </c>
      <c r="Q85" s="296">
        <f>O85+N85+M85+L85+K85+P85</f>
        <v>187876.84837333334</v>
      </c>
      <c r="R85" s="24">
        <v>528396.56335333327</v>
      </c>
      <c r="S85" s="240">
        <f t="shared" ref="S85:S94" si="26">J85-Q85</f>
        <v>906854.95323333342</v>
      </c>
      <c r="T85" s="213"/>
    </row>
    <row r="86" spans="1:20" ht="20.100000000000001" customHeight="1">
      <c r="A86" s="430">
        <v>2</v>
      </c>
      <c r="B86" s="188" t="s">
        <v>192</v>
      </c>
      <c r="C86" s="21" t="s">
        <v>258</v>
      </c>
      <c r="D86" s="29" t="s">
        <v>75</v>
      </c>
      <c r="E86" s="26">
        <v>620675.58333333337</v>
      </c>
      <c r="F86" s="26">
        <v>214056.21827333342</v>
      </c>
      <c r="G86" s="212">
        <f>160000</f>
        <v>160000</v>
      </c>
      <c r="H86" s="212"/>
      <c r="I86" s="26"/>
      <c r="J86" s="237">
        <f t="shared" ref="J86:J94" si="27">SUM(E86:I86)</f>
        <v>994731.80160666676</v>
      </c>
      <c r="K86" s="24"/>
      <c r="L86" s="24">
        <f>30000</f>
        <v>30000</v>
      </c>
      <c r="M86" s="24">
        <v>98750</v>
      </c>
      <c r="N86" s="24">
        <v>837.6875</v>
      </c>
      <c r="O86" s="26">
        <v>118861.96570666666</v>
      </c>
      <c r="P86" s="26">
        <v>49654.046666666669</v>
      </c>
      <c r="Q86" s="296">
        <f t="shared" ref="Q86:Q94" si="28">O86+N86+M86+L86+K86+P86</f>
        <v>298103.69987333333</v>
      </c>
      <c r="R86" s="24">
        <v>298969.71185333328</v>
      </c>
      <c r="S86" s="240">
        <f t="shared" si="26"/>
        <v>696628.10173333343</v>
      </c>
      <c r="T86" s="213"/>
    </row>
    <row r="87" spans="1:20" ht="20.100000000000001" customHeight="1">
      <c r="A87" s="430">
        <v>3</v>
      </c>
      <c r="B87" s="363" t="s">
        <v>202</v>
      </c>
      <c r="C87" s="357" t="s">
        <v>258</v>
      </c>
      <c r="D87" s="359" t="s">
        <v>30</v>
      </c>
      <c r="E87" s="26">
        <v>582118.08333333337</v>
      </c>
      <c r="F87" s="26">
        <v>200751.53371733334</v>
      </c>
      <c r="G87" s="212">
        <v>160000</v>
      </c>
      <c r="H87" s="212"/>
      <c r="I87" s="26"/>
      <c r="J87" s="237">
        <f t="shared" si="27"/>
        <v>942869.61705066671</v>
      </c>
      <c r="K87" s="24"/>
      <c r="L87" s="24">
        <f>50000</f>
        <v>50000</v>
      </c>
      <c r="M87" s="212">
        <f>79861.11</f>
        <v>79861.11</v>
      </c>
      <c r="N87" s="24"/>
      <c r="O87" s="24">
        <v>112212.00490666665</v>
      </c>
      <c r="P87" s="24">
        <v>46569.44666666667</v>
      </c>
      <c r="Q87" s="296">
        <f t="shared" si="28"/>
        <v>288642.56157333334</v>
      </c>
      <c r="R87" s="24">
        <v>294911.17285333341</v>
      </c>
      <c r="S87" s="240">
        <f t="shared" si="26"/>
        <v>654227.05547733337</v>
      </c>
      <c r="T87" s="213"/>
    </row>
    <row r="88" spans="1:20" ht="21.6" customHeight="1">
      <c r="A88" s="430">
        <v>4</v>
      </c>
      <c r="B88" s="188" t="s">
        <v>101</v>
      </c>
      <c r="C88" s="21" t="s">
        <v>80</v>
      </c>
      <c r="D88" s="214" t="s">
        <v>175</v>
      </c>
      <c r="E88" s="26">
        <v>441804.91666666669</v>
      </c>
      <c r="F88" s="26">
        <v>156380.72956666676</v>
      </c>
      <c r="G88" s="212">
        <f>120000</f>
        <v>120000</v>
      </c>
      <c r="H88" s="212"/>
      <c r="I88" s="26">
        <v>0</v>
      </c>
      <c r="J88" s="237">
        <f t="shared" si="27"/>
        <v>718185.64623333351</v>
      </c>
      <c r="K88" s="24"/>
      <c r="L88" s="24">
        <f>50000</f>
        <v>50000</v>
      </c>
      <c r="M88" s="24">
        <v>0</v>
      </c>
      <c r="N88" s="24"/>
      <c r="O88" s="26">
        <v>79747.087146666672</v>
      </c>
      <c r="P88" s="26">
        <v>35344.393333333333</v>
      </c>
      <c r="Q88" s="296">
        <f t="shared" si="28"/>
        <v>165091.48048</v>
      </c>
      <c r="R88" s="24">
        <v>251088.40020933328</v>
      </c>
      <c r="S88" s="240">
        <f t="shared" si="26"/>
        <v>553094.16575333348</v>
      </c>
      <c r="T88" s="213"/>
    </row>
    <row r="89" spans="1:20" ht="21.6" customHeight="1">
      <c r="A89" s="430">
        <v>5</v>
      </c>
      <c r="B89" s="188" t="s">
        <v>336</v>
      </c>
      <c r="C89" s="193" t="s">
        <v>257</v>
      </c>
      <c r="D89" s="214" t="s">
        <v>170</v>
      </c>
      <c r="E89" s="26">
        <v>428915.91666666669</v>
      </c>
      <c r="F89" s="26">
        <v>151816.66491666675</v>
      </c>
      <c r="G89" s="212">
        <f t="shared" ref="G89" si="29">120000</f>
        <v>120000</v>
      </c>
      <c r="H89" s="212"/>
      <c r="I89" s="26">
        <v>0</v>
      </c>
      <c r="J89" s="237">
        <f t="shared" si="27"/>
        <v>700732.58158333343</v>
      </c>
      <c r="K89" s="24"/>
      <c r="L89" s="24">
        <v>50000</v>
      </c>
      <c r="M89" s="24">
        <v>0</v>
      </c>
      <c r="N89" s="24"/>
      <c r="O89" s="26">
        <v>77470.374186666668</v>
      </c>
      <c r="P89" s="26">
        <v>34313.273333333338</v>
      </c>
      <c r="Q89" s="296">
        <f t="shared" si="28"/>
        <v>161783.64752</v>
      </c>
      <c r="R89" s="24">
        <v>248191.67620333334</v>
      </c>
      <c r="S89" s="240">
        <f t="shared" si="26"/>
        <v>538948.93406333344</v>
      </c>
      <c r="T89" s="213"/>
    </row>
    <row r="90" spans="1:20" ht="21.6" customHeight="1">
      <c r="A90" s="430">
        <v>6</v>
      </c>
      <c r="B90" s="363" t="s">
        <v>337</v>
      </c>
      <c r="C90" s="367" t="s">
        <v>297</v>
      </c>
      <c r="D90" s="214" t="s">
        <v>95</v>
      </c>
      <c r="E90" s="26">
        <v>428870.75</v>
      </c>
      <c r="F90" s="26">
        <v>151799.35086600002</v>
      </c>
      <c r="G90" s="212">
        <f>140000</f>
        <v>140000</v>
      </c>
      <c r="H90" s="212"/>
      <c r="I90" s="26">
        <v>0</v>
      </c>
      <c r="J90" s="237">
        <f t="shared" si="27"/>
        <v>720670.10086600005</v>
      </c>
      <c r="K90" s="24"/>
      <c r="L90" s="24">
        <f>100000-100000</f>
        <v>0</v>
      </c>
      <c r="M90" s="24"/>
      <c r="N90" s="24"/>
      <c r="O90" s="26">
        <v>81302.395946666657</v>
      </c>
      <c r="P90" s="26">
        <v>34309.660000000003</v>
      </c>
      <c r="Q90" s="296">
        <f t="shared" si="28"/>
        <v>115612.05594666666</v>
      </c>
      <c r="R90" s="24">
        <v>339604.2805633333</v>
      </c>
      <c r="S90" s="240">
        <f t="shared" si="26"/>
        <v>605058.04491933342</v>
      </c>
      <c r="T90" s="213"/>
    </row>
    <row r="91" spans="1:20" ht="21.6" customHeight="1">
      <c r="A91" s="430">
        <v>7</v>
      </c>
      <c r="B91" s="188" t="s">
        <v>421</v>
      </c>
      <c r="C91" s="155" t="s">
        <v>422</v>
      </c>
      <c r="D91" s="214" t="s">
        <v>415</v>
      </c>
      <c r="E91" s="26">
        <v>365703.83333333331</v>
      </c>
      <c r="F91" s="26">
        <v>130204.11864533331</v>
      </c>
      <c r="G91" s="212">
        <f t="shared" ref="G91" si="30">110000</f>
        <v>110000</v>
      </c>
      <c r="H91" s="212"/>
      <c r="I91" s="26">
        <v>0</v>
      </c>
      <c r="J91" s="237">
        <f t="shared" si="27"/>
        <v>605907.95197866659</v>
      </c>
      <c r="K91" s="24"/>
      <c r="L91" s="24">
        <f>20000</f>
        <v>20000</v>
      </c>
      <c r="M91" s="24">
        <v>43750</v>
      </c>
      <c r="N91" s="24"/>
      <c r="O91" s="26">
        <v>64384.591786666657</v>
      </c>
      <c r="P91" s="26">
        <v>29256.306666666667</v>
      </c>
      <c r="Q91" s="296">
        <f t="shared" si="28"/>
        <v>157390.89845333333</v>
      </c>
      <c r="R91" s="24">
        <v>205320.02043733335</v>
      </c>
      <c r="S91" s="240">
        <f t="shared" si="26"/>
        <v>448517.05352533329</v>
      </c>
      <c r="T91" s="213"/>
    </row>
    <row r="92" spans="1:20" ht="21.6" customHeight="1">
      <c r="A92" s="430">
        <v>8</v>
      </c>
      <c r="B92" s="188" t="s">
        <v>556</v>
      </c>
      <c r="C92" s="155" t="s">
        <v>257</v>
      </c>
      <c r="D92" s="214" t="s">
        <v>758</v>
      </c>
      <c r="E92" s="26">
        <v>390248.91666666669</v>
      </c>
      <c r="F92" s="26">
        <v>138323.94935666665</v>
      </c>
      <c r="G92" s="212">
        <v>120000</v>
      </c>
      <c r="H92" s="212"/>
      <c r="I92" s="26">
        <v>0</v>
      </c>
      <c r="J92" s="237">
        <f t="shared" si="27"/>
        <v>648572.86602333328</v>
      </c>
      <c r="K92" s="24"/>
      <c r="L92" s="24">
        <v>0</v>
      </c>
      <c r="M92" s="24"/>
      <c r="N92" s="24">
        <v>576.87475000000006</v>
      </c>
      <c r="O92" s="26">
        <v>70529.475354666662</v>
      </c>
      <c r="P92" s="26">
        <v>31219.913333333334</v>
      </c>
      <c r="Q92" s="296">
        <f t="shared" si="28"/>
        <v>102326.26343799999</v>
      </c>
      <c r="R92" s="24">
        <v>304894.12235933339</v>
      </c>
      <c r="S92" s="240">
        <f t="shared" si="26"/>
        <v>546246.60258533328</v>
      </c>
      <c r="T92" s="213"/>
    </row>
    <row r="93" spans="1:20" ht="21.6" customHeight="1">
      <c r="A93" s="430">
        <v>9</v>
      </c>
      <c r="B93" s="188" t="s">
        <v>436</v>
      </c>
      <c r="C93" s="21" t="s">
        <v>470</v>
      </c>
      <c r="D93" s="29" t="s">
        <v>207</v>
      </c>
      <c r="E93" s="212">
        <v>300965.58333333331</v>
      </c>
      <c r="F93" s="26">
        <v>106028.29558933334</v>
      </c>
      <c r="G93" s="212">
        <v>100000</v>
      </c>
      <c r="H93" s="212"/>
      <c r="I93" s="26"/>
      <c r="J93" s="237">
        <f t="shared" si="27"/>
        <v>506993.87892266666</v>
      </c>
      <c r="K93" s="24"/>
      <c r="L93" s="24"/>
      <c r="M93" s="24"/>
      <c r="N93" s="24"/>
      <c r="O93" s="26">
        <v>51029.227306666668</v>
      </c>
      <c r="P93" s="26">
        <v>24077.246666666666</v>
      </c>
      <c r="Q93" s="296">
        <f t="shared" si="28"/>
        <v>75106.473973333341</v>
      </c>
      <c r="R93" s="24">
        <v>232319.59074733331</v>
      </c>
      <c r="S93" s="240">
        <f t="shared" si="26"/>
        <v>431887.40494933329</v>
      </c>
      <c r="T93" s="213"/>
    </row>
    <row r="94" spans="1:20" ht="21.6" customHeight="1">
      <c r="A94" s="430">
        <v>10</v>
      </c>
      <c r="B94" s="188" t="s">
        <v>406</v>
      </c>
      <c r="C94" s="155" t="s">
        <v>432</v>
      </c>
      <c r="D94" s="214" t="s">
        <v>51</v>
      </c>
      <c r="E94" s="212">
        <v>230631.91666666666</v>
      </c>
      <c r="F94" s="26">
        <v>66133.388440426643</v>
      </c>
      <c r="G94" s="212">
        <f t="shared" ref="G94" si="31">100000</f>
        <v>100000</v>
      </c>
      <c r="H94" s="212"/>
      <c r="I94" s="26"/>
      <c r="J94" s="237">
        <f t="shared" si="27"/>
        <v>396765.3051070933</v>
      </c>
      <c r="K94" s="24"/>
      <c r="L94" s="24">
        <v>50000</v>
      </c>
      <c r="M94" s="24"/>
      <c r="N94" s="24">
        <v>0</v>
      </c>
      <c r="O94" s="26">
        <v>39613.135706666661</v>
      </c>
      <c r="P94" s="26">
        <v>18450.553333333333</v>
      </c>
      <c r="Q94" s="296">
        <f t="shared" si="28"/>
        <v>108063.68903999998</v>
      </c>
      <c r="R94" s="24">
        <v>171044.27688233333</v>
      </c>
      <c r="S94" s="240">
        <f t="shared" si="26"/>
        <v>288701.61606709333</v>
      </c>
      <c r="T94" s="213"/>
    </row>
    <row r="95" spans="1:20" ht="20.100000000000001" customHeight="1">
      <c r="A95" s="29"/>
      <c r="B95" s="191" t="s">
        <v>15</v>
      </c>
      <c r="C95" s="30">
        <v>11</v>
      </c>
      <c r="D95" s="30"/>
      <c r="E95" s="78">
        <v>4410611.083333333</v>
      </c>
      <c r="F95" s="78">
        <v>1529550.4676450936</v>
      </c>
      <c r="G95" s="78">
        <f t="shared" ref="G95:Q95" si="32">SUM(G85:G94)</f>
        <v>1290000</v>
      </c>
      <c r="H95" s="78">
        <f t="shared" si="32"/>
        <v>0</v>
      </c>
      <c r="I95" s="78">
        <f t="shared" si="32"/>
        <v>100000</v>
      </c>
      <c r="J95" s="78">
        <f t="shared" si="32"/>
        <v>7330161.5509784278</v>
      </c>
      <c r="K95" s="78">
        <f t="shared" si="32"/>
        <v>0</v>
      </c>
      <c r="L95" s="78">
        <f t="shared" si="32"/>
        <v>250000</v>
      </c>
      <c r="M95" s="78">
        <f t="shared" si="32"/>
        <v>222361.11</v>
      </c>
      <c r="N95" s="78">
        <v>1414.5622499999999</v>
      </c>
      <c r="O95" s="78">
        <v>833373.05975466652</v>
      </c>
      <c r="P95" s="78">
        <v>352848.88666666666</v>
      </c>
      <c r="Q95" s="411">
        <f t="shared" si="32"/>
        <v>1659997.6186713334</v>
      </c>
      <c r="R95" s="78">
        <v>2874739.8154623332</v>
      </c>
      <c r="S95" s="390">
        <f>SUM(S85:S94)</f>
        <v>5670163.9323070943</v>
      </c>
      <c r="T95" s="213"/>
    </row>
    <row r="96" spans="1:20" ht="20.100000000000001" customHeight="1">
      <c r="A96" s="29"/>
      <c r="B96" s="141"/>
      <c r="C96" s="30"/>
      <c r="D96" s="30"/>
      <c r="E96" s="31"/>
      <c r="F96" s="31"/>
      <c r="G96" s="212"/>
      <c r="H96" s="212"/>
      <c r="I96" s="31"/>
      <c r="J96" s="31"/>
      <c r="K96" s="31"/>
      <c r="L96" s="31"/>
      <c r="M96" s="31"/>
      <c r="N96" s="31"/>
      <c r="O96" s="31"/>
      <c r="P96" s="31"/>
      <c r="Q96" s="298"/>
      <c r="R96" s="31"/>
      <c r="S96" s="251"/>
      <c r="T96" s="213"/>
    </row>
    <row r="97" spans="1:20" ht="20.100000000000001" customHeight="1">
      <c r="A97" s="29"/>
      <c r="B97" s="191" t="s">
        <v>464</v>
      </c>
      <c r="C97" s="30"/>
      <c r="D97" s="30"/>
      <c r="E97" s="31"/>
      <c r="F97" s="31"/>
      <c r="G97" s="212"/>
      <c r="H97" s="212"/>
      <c r="I97" s="31"/>
      <c r="J97" s="31"/>
      <c r="K97" s="31"/>
      <c r="L97" s="31"/>
      <c r="M97" s="31"/>
      <c r="N97" s="31"/>
      <c r="O97" s="31"/>
      <c r="P97" s="31"/>
      <c r="Q97" s="298"/>
      <c r="R97" s="31"/>
      <c r="S97" s="251"/>
      <c r="T97" s="213"/>
    </row>
    <row r="98" spans="1:20" ht="20.100000000000001" customHeight="1">
      <c r="A98" s="359">
        <v>1</v>
      </c>
      <c r="B98" s="190" t="s">
        <v>112</v>
      </c>
      <c r="C98" s="21" t="s">
        <v>740</v>
      </c>
      <c r="D98" s="25" t="s">
        <v>160</v>
      </c>
      <c r="E98" s="24">
        <v>762373.16666666663</v>
      </c>
      <c r="F98" s="26">
        <v>262923.8305086667</v>
      </c>
      <c r="G98" s="212"/>
      <c r="H98" s="212">
        <f>80000+10000</f>
        <v>90000</v>
      </c>
      <c r="I98" s="26"/>
      <c r="J98" s="237">
        <f>E98+F98+G98+H98+I98</f>
        <v>1115296.9971753333</v>
      </c>
      <c r="K98" s="24"/>
      <c r="L98" s="24">
        <f>0</f>
        <v>0</v>
      </c>
      <c r="M98" s="24">
        <v>0</v>
      </c>
      <c r="N98" s="24">
        <v>1066.32925</v>
      </c>
      <c r="O98" s="24">
        <v>130407.52761066666</v>
      </c>
      <c r="P98" s="24">
        <v>60989.853333333333</v>
      </c>
      <c r="Q98" s="296">
        <f>O98+N98+M98+L98+K98+P98</f>
        <v>192463.71019399998</v>
      </c>
      <c r="R98" s="24">
        <v>457975.47929733328</v>
      </c>
      <c r="S98" s="240">
        <f>J98-Q98</f>
        <v>922833.28698133328</v>
      </c>
      <c r="T98" s="213"/>
    </row>
    <row r="99" spans="1:20" ht="20.100000000000001" customHeight="1">
      <c r="A99" s="359">
        <v>2</v>
      </c>
      <c r="B99" s="363" t="s">
        <v>124</v>
      </c>
      <c r="C99" s="357" t="s">
        <v>373</v>
      </c>
      <c r="D99" s="214" t="s">
        <v>162</v>
      </c>
      <c r="E99" s="26">
        <v>456622.25</v>
      </c>
      <c r="F99" s="26">
        <v>162078.13872000005</v>
      </c>
      <c r="G99" s="212"/>
      <c r="H99" s="212">
        <v>70000</v>
      </c>
      <c r="I99" s="26">
        <v>0</v>
      </c>
      <c r="J99" s="237">
        <f t="shared" ref="J99:J101" si="33">E99+F99+G99+H99+I99</f>
        <v>688700.38872000005</v>
      </c>
      <c r="K99" s="24"/>
      <c r="L99" s="24">
        <f>10000</f>
        <v>10000</v>
      </c>
      <c r="M99" s="24">
        <v>175000</v>
      </c>
      <c r="N99" s="24"/>
      <c r="O99" s="26">
        <v>72764.420906666652</v>
      </c>
      <c r="P99" s="26">
        <v>36529.78</v>
      </c>
      <c r="Q99" s="296">
        <f t="shared" ref="Q99:Q101" si="34">O99+N99+M99+L99+K99+P99</f>
        <v>294294.20090666669</v>
      </c>
      <c r="R99" s="24">
        <v>67644.112331333279</v>
      </c>
      <c r="S99" s="240">
        <f>J99-Q99</f>
        <v>394406.18781333335</v>
      </c>
      <c r="T99" s="213"/>
    </row>
    <row r="100" spans="1:20" ht="20.100000000000001" customHeight="1">
      <c r="A100" s="359">
        <v>3</v>
      </c>
      <c r="B100" s="188" t="s">
        <v>237</v>
      </c>
      <c r="C100" s="21" t="s">
        <v>483</v>
      </c>
      <c r="D100" s="214" t="s">
        <v>497</v>
      </c>
      <c r="E100" s="26">
        <v>377895.16666666669</v>
      </c>
      <c r="F100" s="26">
        <v>131388.98167466669</v>
      </c>
      <c r="G100" s="212"/>
      <c r="H100" s="212">
        <f>60000</f>
        <v>60000</v>
      </c>
      <c r="I100" s="26"/>
      <c r="J100" s="237">
        <f t="shared" si="33"/>
        <v>569284.14834133338</v>
      </c>
      <c r="K100" s="24"/>
      <c r="L100" s="24">
        <f>5000</f>
        <v>5000</v>
      </c>
      <c r="M100" s="24">
        <f>64806.29</f>
        <v>64806.29</v>
      </c>
      <c r="N100" s="24"/>
      <c r="O100" s="26">
        <v>56938.068906666675</v>
      </c>
      <c r="P100" s="26">
        <v>30231.613333333335</v>
      </c>
      <c r="Q100" s="296">
        <f t="shared" si="34"/>
        <v>156975.97224</v>
      </c>
      <c r="R100" s="24">
        <v>171238.33512333332</v>
      </c>
      <c r="S100" s="240">
        <f>J100-Q100</f>
        <v>412308.17610133335</v>
      </c>
      <c r="T100" s="213"/>
    </row>
    <row r="101" spans="1:20" ht="20.100000000000001" customHeight="1">
      <c r="A101" s="359">
        <v>4</v>
      </c>
      <c r="B101" s="363" t="s">
        <v>345</v>
      </c>
      <c r="C101" s="357" t="s">
        <v>709</v>
      </c>
      <c r="D101" s="214" t="s">
        <v>207</v>
      </c>
      <c r="E101" s="212">
        <v>300965.58333333331</v>
      </c>
      <c r="F101" s="26">
        <v>106573.61566933335</v>
      </c>
      <c r="G101" s="212"/>
      <c r="H101" s="212">
        <f>60000</f>
        <v>60000</v>
      </c>
      <c r="I101" s="26"/>
      <c r="J101" s="237">
        <f t="shared" si="33"/>
        <v>467539.19900266663</v>
      </c>
      <c r="K101" s="24"/>
      <c r="L101" s="24">
        <f>10000</f>
        <v>10000</v>
      </c>
      <c r="M101" s="24">
        <f>19583.33</f>
        <v>19583.330000000002</v>
      </c>
      <c r="N101" s="24"/>
      <c r="O101" s="26">
        <v>43763.90722666667</v>
      </c>
      <c r="P101" s="26">
        <v>24077.246666666666</v>
      </c>
      <c r="Q101" s="296">
        <f t="shared" si="34"/>
        <v>97424.483893333352</v>
      </c>
      <c r="R101" s="24">
        <v>173181.8345853333</v>
      </c>
      <c r="S101" s="240">
        <f>J101-Q101</f>
        <v>370114.71510933328</v>
      </c>
      <c r="T101" s="213"/>
    </row>
    <row r="102" spans="1:20" ht="20.100000000000001" customHeight="1">
      <c r="A102" s="21"/>
      <c r="B102" s="191" t="s">
        <v>15</v>
      </c>
      <c r="C102" s="30">
        <v>4</v>
      </c>
      <c r="D102" s="220"/>
      <c r="E102" s="78">
        <v>1897856.1666666665</v>
      </c>
      <c r="F102" s="78">
        <v>662964.56657266687</v>
      </c>
      <c r="G102" s="78">
        <f t="shared" ref="G102:S102" si="35">SUM(G98:G101)</f>
        <v>0</v>
      </c>
      <c r="H102" s="78">
        <f t="shared" si="35"/>
        <v>280000</v>
      </c>
      <c r="I102" s="78">
        <f t="shared" si="35"/>
        <v>0</v>
      </c>
      <c r="J102" s="78">
        <f t="shared" si="35"/>
        <v>2840820.7332393331</v>
      </c>
      <c r="K102" s="78">
        <f t="shared" si="35"/>
        <v>0</v>
      </c>
      <c r="L102" s="78">
        <f t="shared" si="35"/>
        <v>25000</v>
      </c>
      <c r="M102" s="78">
        <f t="shared" si="35"/>
        <v>259389.62</v>
      </c>
      <c r="N102" s="78">
        <v>1066.32925</v>
      </c>
      <c r="O102" s="78">
        <v>303873.92465066665</v>
      </c>
      <c r="P102" s="78">
        <v>151828.49333333335</v>
      </c>
      <c r="Q102" s="78">
        <f t="shared" si="35"/>
        <v>741158.367234</v>
      </c>
      <c r="R102" s="78">
        <v>870039.76133733313</v>
      </c>
      <c r="S102" s="78">
        <f t="shared" si="35"/>
        <v>2099662.3660053336</v>
      </c>
      <c r="T102" s="213"/>
    </row>
    <row r="103" spans="1:20" ht="20.100000000000001" customHeight="1">
      <c r="A103" s="21"/>
      <c r="B103" s="141"/>
      <c r="C103" s="30"/>
      <c r="D103" s="220"/>
      <c r="E103" s="31"/>
      <c r="F103" s="31"/>
      <c r="G103" s="212"/>
      <c r="H103" s="212"/>
      <c r="I103" s="31"/>
      <c r="J103" s="31"/>
      <c r="K103" s="31"/>
      <c r="L103" s="31"/>
      <c r="M103" s="31"/>
      <c r="N103" s="31"/>
      <c r="O103" s="31"/>
      <c r="P103" s="31"/>
      <c r="Q103" s="298"/>
      <c r="R103" s="31"/>
      <c r="S103" s="251"/>
      <c r="T103" s="213"/>
    </row>
    <row r="104" spans="1:20" ht="20.100000000000001" customHeight="1">
      <c r="A104" s="21"/>
      <c r="B104" s="191" t="s">
        <v>465</v>
      </c>
      <c r="C104" s="21"/>
      <c r="D104" s="21"/>
      <c r="E104" s="21"/>
      <c r="F104" s="21"/>
      <c r="G104" s="212"/>
      <c r="H104" s="212"/>
      <c r="I104" s="21"/>
      <c r="J104" s="357"/>
      <c r="K104" s="21"/>
      <c r="L104" s="21"/>
      <c r="M104" s="21"/>
      <c r="N104" s="21"/>
      <c r="O104" s="21"/>
      <c r="P104" s="357"/>
      <c r="Q104" s="300"/>
      <c r="R104" s="21"/>
      <c r="S104" s="252"/>
      <c r="T104" s="213"/>
    </row>
    <row r="105" spans="1:20" ht="20.100000000000001" customHeight="1">
      <c r="A105" s="21">
        <v>1</v>
      </c>
      <c r="B105" s="188" t="s">
        <v>216</v>
      </c>
      <c r="C105" s="193" t="s">
        <v>217</v>
      </c>
      <c r="D105" s="214" t="s">
        <v>161</v>
      </c>
      <c r="E105" s="26">
        <v>1435720</v>
      </c>
      <c r="F105" s="26">
        <v>495145.49589199992</v>
      </c>
      <c r="G105" s="212">
        <f>200000</f>
        <v>200000</v>
      </c>
      <c r="H105" s="212"/>
      <c r="I105" s="26">
        <v>0</v>
      </c>
      <c r="J105" s="237">
        <f>SUM(E105:I105)</f>
        <v>2130865.4958919999</v>
      </c>
      <c r="K105" s="24"/>
      <c r="L105" s="24">
        <f>100000</f>
        <v>100000</v>
      </c>
      <c r="M105" s="24">
        <v>0</v>
      </c>
      <c r="N105" s="24">
        <v>0</v>
      </c>
      <c r="O105" s="26">
        <v>270672.24746666662</v>
      </c>
      <c r="P105" s="26">
        <v>114857.60000000001</v>
      </c>
      <c r="Q105" s="296">
        <f>O105+N105+M105+L105+K105+P105</f>
        <v>485529.8474666666</v>
      </c>
      <c r="R105" s="24">
        <v>769902.25664133346</v>
      </c>
      <c r="S105" s="240">
        <f t="shared" ref="S105:S111" si="36">J105-Q105</f>
        <v>1645335.6484253332</v>
      </c>
      <c r="T105" s="213"/>
    </row>
    <row r="106" spans="1:20" ht="20.100000000000001" customHeight="1">
      <c r="A106" s="21">
        <v>2</v>
      </c>
      <c r="B106" s="188" t="s">
        <v>110</v>
      </c>
      <c r="C106" s="21" t="s">
        <v>259</v>
      </c>
      <c r="D106" s="25" t="s">
        <v>160</v>
      </c>
      <c r="E106" s="24">
        <v>762373.16666666663</v>
      </c>
      <c r="F106" s="26">
        <v>262923.83050866652</v>
      </c>
      <c r="G106" s="212">
        <f>160000+20000</f>
        <v>180000</v>
      </c>
      <c r="H106" s="212"/>
      <c r="I106" s="26">
        <v>0</v>
      </c>
      <c r="J106" s="237">
        <f t="shared" ref="J106:J111" si="37">SUM(E106:I106)</f>
        <v>1205296.9971753331</v>
      </c>
      <c r="K106" s="24"/>
      <c r="L106" s="24">
        <v>40000</v>
      </c>
      <c r="M106" s="24">
        <f>238888.89</f>
        <v>238888.89</v>
      </c>
      <c r="N106" s="24">
        <v>1066.32925</v>
      </c>
      <c r="O106" s="26">
        <v>147687.52761066667</v>
      </c>
      <c r="P106" s="26">
        <v>60989.853333333333</v>
      </c>
      <c r="Q106" s="296">
        <f t="shared" ref="Q106:Q111" si="38">O106+N106+M106+L106+K106+P106</f>
        <v>488632.600194</v>
      </c>
      <c r="R106" s="24">
        <v>251806.58929733338</v>
      </c>
      <c r="S106" s="240">
        <f t="shared" si="36"/>
        <v>716664.39698133315</v>
      </c>
      <c r="T106" s="213"/>
    </row>
    <row r="107" spans="1:20" ht="20.100000000000001" customHeight="1">
      <c r="A107" s="21">
        <v>3</v>
      </c>
      <c r="B107" s="188" t="s">
        <v>109</v>
      </c>
      <c r="C107" s="21" t="s">
        <v>311</v>
      </c>
      <c r="D107" s="430" t="s">
        <v>175</v>
      </c>
      <c r="E107" s="26">
        <v>441804.91666666669</v>
      </c>
      <c r="F107" s="26">
        <v>156380.72956666676</v>
      </c>
      <c r="G107" s="212">
        <f>120000</f>
        <v>120000</v>
      </c>
      <c r="H107" s="212"/>
      <c r="I107" s="26">
        <v>41432.938524999998</v>
      </c>
      <c r="J107" s="237">
        <f t="shared" si="37"/>
        <v>759618.58475833351</v>
      </c>
      <c r="K107" s="24"/>
      <c r="L107" s="24">
        <v>30000</v>
      </c>
      <c r="M107" s="24">
        <f>61111.11</f>
        <v>61111.11</v>
      </c>
      <c r="N107" s="24">
        <v>658.48250000000007</v>
      </c>
      <c r="O107" s="24">
        <v>87575.78270346667</v>
      </c>
      <c r="P107" s="24">
        <v>35344.393333333333</v>
      </c>
      <c r="Q107" s="296">
        <f t="shared" si="38"/>
        <v>214689.76853680002</v>
      </c>
      <c r="R107" s="24">
        <v>146146.04530633322</v>
      </c>
      <c r="S107" s="240">
        <f t="shared" si="36"/>
        <v>544928.81622153346</v>
      </c>
      <c r="T107" s="213"/>
    </row>
    <row r="108" spans="1:20" ht="20.100000000000001" customHeight="1">
      <c r="A108" s="21">
        <v>4</v>
      </c>
      <c r="B108" s="188" t="s">
        <v>135</v>
      </c>
      <c r="C108" s="21" t="s">
        <v>311</v>
      </c>
      <c r="D108" s="430" t="s">
        <v>175</v>
      </c>
      <c r="E108" s="26">
        <v>441804.91666666669</v>
      </c>
      <c r="F108" s="26">
        <v>156380.72956666679</v>
      </c>
      <c r="G108" s="212">
        <f>120000</f>
        <v>120000</v>
      </c>
      <c r="H108" s="212"/>
      <c r="I108" s="26">
        <v>39820.116654999998</v>
      </c>
      <c r="J108" s="237">
        <f t="shared" si="37"/>
        <v>758005.76288833353</v>
      </c>
      <c r="K108" s="24"/>
      <c r="L108" s="24">
        <f>50000</f>
        <v>50000</v>
      </c>
      <c r="M108" s="24">
        <f>0</f>
        <v>0</v>
      </c>
      <c r="N108" s="24"/>
      <c r="O108" s="24">
        <v>87392.549544426671</v>
      </c>
      <c r="P108" s="24">
        <v>35344.393333333333</v>
      </c>
      <c r="Q108" s="296">
        <f t="shared" si="38"/>
        <v>172736.94287776001</v>
      </c>
      <c r="R108" s="24">
        <v>266575.24273633328</v>
      </c>
      <c r="S108" s="240">
        <f t="shared" si="36"/>
        <v>585268.82001057349</v>
      </c>
      <c r="T108" s="213"/>
    </row>
    <row r="109" spans="1:20" ht="20.100000000000001" customHeight="1">
      <c r="A109" s="21">
        <v>5</v>
      </c>
      <c r="B109" s="188" t="s">
        <v>240</v>
      </c>
      <c r="C109" s="21" t="s">
        <v>338</v>
      </c>
      <c r="D109" s="214" t="s">
        <v>748</v>
      </c>
      <c r="E109" s="212">
        <v>249148.41666666666</v>
      </c>
      <c r="F109" s="26">
        <v>93513.716967146611</v>
      </c>
      <c r="G109" s="212">
        <f>100000</f>
        <v>100000</v>
      </c>
      <c r="H109" s="212"/>
      <c r="I109" s="26">
        <v>25333.447479999999</v>
      </c>
      <c r="J109" s="237">
        <f t="shared" si="37"/>
        <v>467995.58111381321</v>
      </c>
      <c r="K109" s="24"/>
      <c r="L109" s="24">
        <v>20000</v>
      </c>
      <c r="M109" s="24">
        <f>50000</f>
        <v>50000</v>
      </c>
      <c r="N109" s="24"/>
      <c r="O109" s="26">
        <v>46740.264902826661</v>
      </c>
      <c r="P109" s="26">
        <v>19931.873333333333</v>
      </c>
      <c r="Q109" s="296">
        <f t="shared" si="38"/>
        <v>136672.13823615998</v>
      </c>
      <c r="R109" s="24">
        <v>137158.11573653333</v>
      </c>
      <c r="S109" s="240">
        <f t="shared" si="36"/>
        <v>331323.44287765323</v>
      </c>
      <c r="T109" s="213"/>
    </row>
    <row r="110" spans="1:20" ht="20.100000000000001" customHeight="1">
      <c r="A110" s="21">
        <v>6</v>
      </c>
      <c r="B110" s="189" t="s">
        <v>341</v>
      </c>
      <c r="C110" s="21" t="s">
        <v>338</v>
      </c>
      <c r="D110" s="29" t="s">
        <v>499</v>
      </c>
      <c r="E110" s="212">
        <v>242976.25</v>
      </c>
      <c r="F110" s="26">
        <v>91205.488160000023</v>
      </c>
      <c r="G110" s="212">
        <f>100000</f>
        <v>100000</v>
      </c>
      <c r="H110" s="212"/>
      <c r="I110" s="26">
        <v>24949.771000000001</v>
      </c>
      <c r="J110" s="237">
        <f t="shared" si="37"/>
        <v>459131.50916000002</v>
      </c>
      <c r="K110" s="24"/>
      <c r="L110" s="24">
        <f>25000</f>
        <v>25000</v>
      </c>
      <c r="M110" s="24">
        <v>0</v>
      </c>
      <c r="N110" s="24"/>
      <c r="O110" s="26">
        <v>45712.637394666672</v>
      </c>
      <c r="P110" s="26">
        <v>19438.100000000002</v>
      </c>
      <c r="Q110" s="296">
        <f t="shared" si="38"/>
        <v>90150.737394666678</v>
      </c>
      <c r="R110" s="24">
        <v>178597.60105557329</v>
      </c>
      <c r="S110" s="240">
        <f t="shared" si="36"/>
        <v>368980.77176533337</v>
      </c>
      <c r="T110" s="213"/>
    </row>
    <row r="111" spans="1:20" ht="20.100000000000001" customHeight="1">
      <c r="A111" s="21">
        <v>7</v>
      </c>
      <c r="B111" s="189" t="s">
        <v>374</v>
      </c>
      <c r="C111" s="21" t="s">
        <v>338</v>
      </c>
      <c r="D111" s="214" t="s">
        <v>51</v>
      </c>
      <c r="E111" s="212">
        <v>230631.91666666666</v>
      </c>
      <c r="F111" s="26">
        <v>86572.463050666658</v>
      </c>
      <c r="G111" s="212">
        <f t="shared" ref="G111" si="39">100000</f>
        <v>100000</v>
      </c>
      <c r="H111" s="212"/>
      <c r="I111" s="26">
        <v>24566.195445000001</v>
      </c>
      <c r="J111" s="237">
        <f t="shared" si="37"/>
        <v>441770.57516233332</v>
      </c>
      <c r="K111" s="24"/>
      <c r="L111" s="24">
        <f>30000</f>
        <v>30000</v>
      </c>
      <c r="M111" s="24"/>
      <c r="N111" s="24"/>
      <c r="O111" s="26">
        <v>43740.256541426665</v>
      </c>
      <c r="P111" s="26">
        <v>18450.553333333333</v>
      </c>
      <c r="Q111" s="296">
        <f t="shared" si="38"/>
        <v>92190.809874760002</v>
      </c>
      <c r="R111" s="24">
        <v>192998.92824169333</v>
      </c>
      <c r="S111" s="240">
        <f t="shared" si="36"/>
        <v>349579.76528757333</v>
      </c>
      <c r="T111" s="213"/>
    </row>
    <row r="112" spans="1:20" ht="25.5" customHeight="1">
      <c r="A112" s="21"/>
      <c r="B112" s="191" t="s">
        <v>15</v>
      </c>
      <c r="C112" s="30">
        <v>7</v>
      </c>
      <c r="D112" s="21"/>
      <c r="E112" s="221">
        <v>3804459.5833333326</v>
      </c>
      <c r="F112" s="221">
        <v>1342122.4537118133</v>
      </c>
      <c r="G112" s="217">
        <f t="shared" ref="G112" si="40">SUM(G105:G111)</f>
        <v>920000</v>
      </c>
      <c r="H112" s="217"/>
      <c r="I112" s="221">
        <f>SUM(I105:I111)</f>
        <v>156102.469105</v>
      </c>
      <c r="J112" s="248">
        <f>SUM(J105:J111)</f>
        <v>6222684.5061501469</v>
      </c>
      <c r="K112" s="221"/>
      <c r="L112" s="221">
        <f>SUM(L105:L111)</f>
        <v>295000</v>
      </c>
      <c r="M112" s="221">
        <f t="shared" ref="M112:S112" si="41">SUM(M105:M111)</f>
        <v>350000</v>
      </c>
      <c r="N112" s="221">
        <v>1724.8117500000001</v>
      </c>
      <c r="O112" s="221">
        <v>729521.2661641466</v>
      </c>
      <c r="P112" s="221">
        <v>304356.76666666666</v>
      </c>
      <c r="Q112" s="412">
        <f t="shared" si="41"/>
        <v>1680602.8445808133</v>
      </c>
      <c r="R112" s="221">
        <v>1943184.7790151334</v>
      </c>
      <c r="S112" s="413">
        <f t="shared" si="41"/>
        <v>4542081.6615693336</v>
      </c>
      <c r="T112" s="213"/>
    </row>
    <row r="113" spans="1:20" ht="20.100000000000001" customHeight="1">
      <c r="A113" s="21"/>
      <c r="B113" s="191"/>
      <c r="C113" s="30"/>
      <c r="D113" s="21"/>
      <c r="E113" s="221"/>
      <c r="F113" s="221"/>
      <c r="G113" s="217"/>
      <c r="H113" s="217"/>
      <c r="I113" s="221"/>
      <c r="J113" s="248"/>
      <c r="K113" s="221"/>
      <c r="L113" s="221"/>
      <c r="M113" s="221"/>
      <c r="N113" s="221"/>
      <c r="O113" s="221"/>
      <c r="P113" s="221"/>
      <c r="Q113" s="412"/>
      <c r="R113" s="221"/>
      <c r="S113" s="413"/>
      <c r="T113" s="213"/>
    </row>
    <row r="114" spans="1:20" ht="20.100000000000001" customHeight="1">
      <c r="A114" s="29"/>
      <c r="B114" s="191" t="s">
        <v>542</v>
      </c>
      <c r="C114" s="30"/>
      <c r="D114" s="30"/>
      <c r="E114" s="31"/>
      <c r="F114" s="31"/>
      <c r="G114" s="212"/>
      <c r="H114" s="212"/>
      <c r="I114" s="31"/>
      <c r="J114" s="245"/>
      <c r="K114" s="31"/>
      <c r="L114" s="31"/>
      <c r="M114" s="31"/>
      <c r="N114" s="31"/>
      <c r="O114" s="31"/>
      <c r="P114" s="31"/>
      <c r="Q114" s="298"/>
      <c r="R114" s="31"/>
      <c r="S114" s="251"/>
      <c r="T114" s="213"/>
    </row>
    <row r="115" spans="1:20" ht="20.100000000000001" customHeight="1">
      <c r="A115" s="430">
        <v>1</v>
      </c>
      <c r="B115" s="365" t="s">
        <v>138</v>
      </c>
      <c r="C115" s="357" t="s">
        <v>258</v>
      </c>
      <c r="D115" s="430" t="s">
        <v>148</v>
      </c>
      <c r="E115" s="24">
        <v>601396.83333333337</v>
      </c>
      <c r="F115" s="26">
        <v>207407.3602933333</v>
      </c>
      <c r="G115" s="212">
        <v>160000</v>
      </c>
      <c r="H115" s="212"/>
      <c r="I115" s="26">
        <v>0</v>
      </c>
      <c r="J115" s="24">
        <f>SUM(E115:I115)</f>
        <v>968804.19362666667</v>
      </c>
      <c r="K115" s="26"/>
      <c r="L115" s="24">
        <f>20000</f>
        <v>20000</v>
      </c>
      <c r="M115" s="24">
        <f>163103.59</f>
        <v>163103.59</v>
      </c>
      <c r="N115" s="24">
        <v>806.58</v>
      </c>
      <c r="O115" s="24">
        <v>115462.53994666669</v>
      </c>
      <c r="P115" s="24">
        <v>48111.746666666673</v>
      </c>
      <c r="Q115" s="296">
        <f>O115+N115+M115+L115+K115+P115</f>
        <v>347484.45661333331</v>
      </c>
      <c r="R115" s="26">
        <v>254616.7630933334</v>
      </c>
      <c r="S115" s="240">
        <f>J115-Q115</f>
        <v>621319.73701333336</v>
      </c>
      <c r="T115" s="213"/>
    </row>
    <row r="116" spans="1:20" ht="18.75" customHeight="1">
      <c r="A116" s="430">
        <v>2</v>
      </c>
      <c r="B116" s="188" t="s">
        <v>247</v>
      </c>
      <c r="C116" s="21" t="s">
        <v>477</v>
      </c>
      <c r="D116" s="214" t="s">
        <v>497</v>
      </c>
      <c r="E116" s="26">
        <v>377895.16666666669</v>
      </c>
      <c r="F116" s="26">
        <v>130188.98167466665</v>
      </c>
      <c r="G116" s="212">
        <v>110000</v>
      </c>
      <c r="H116" s="212">
        <v>0</v>
      </c>
      <c r="I116" s="26"/>
      <c r="J116" s="24">
        <f t="shared" ref="J116:J117" si="42">SUM(E116:I116)</f>
        <v>618084.14834133326</v>
      </c>
      <c r="K116" s="24"/>
      <c r="L116" s="24">
        <f>20000</f>
        <v>20000</v>
      </c>
      <c r="M116" s="24">
        <f>'[3]OCT 2022 '!$D$184</f>
        <v>43750</v>
      </c>
      <c r="N116" s="24"/>
      <c r="O116" s="26">
        <v>66538.068906666667</v>
      </c>
      <c r="P116" s="26">
        <v>30231.613333333335</v>
      </c>
      <c r="Q116" s="296">
        <f t="shared" ref="Q116:Q117" si="43">O116+N116+M116+L116+K116+P116</f>
        <v>160519.68223999999</v>
      </c>
      <c r="R116" s="24">
        <v>227418.11608533337</v>
      </c>
      <c r="S116" s="240">
        <f>J116-Q116</f>
        <v>457564.46610133327</v>
      </c>
      <c r="T116" s="213"/>
    </row>
    <row r="117" spans="1:20" ht="20.100000000000001" customHeight="1">
      <c r="A117" s="430">
        <v>3</v>
      </c>
      <c r="B117" s="188" t="s">
        <v>141</v>
      </c>
      <c r="C117" s="193" t="s">
        <v>391</v>
      </c>
      <c r="D117" s="214" t="s">
        <v>749</v>
      </c>
      <c r="E117" s="26">
        <v>390086.5</v>
      </c>
      <c r="F117" s="26">
        <v>139707.62059000006</v>
      </c>
      <c r="G117" s="212"/>
      <c r="H117" s="212">
        <f>60000</f>
        <v>60000</v>
      </c>
      <c r="I117" s="26"/>
      <c r="J117" s="24">
        <f t="shared" si="42"/>
        <v>589794.12059000006</v>
      </c>
      <c r="K117" s="24"/>
      <c r="L117" s="24"/>
      <c r="M117" s="24"/>
      <c r="N117" s="24">
        <v>576.62125000000003</v>
      </c>
      <c r="O117" s="26">
        <v>58980.834746666667</v>
      </c>
      <c r="P117" s="26">
        <v>31206.920000000002</v>
      </c>
      <c r="Q117" s="296">
        <f t="shared" si="43"/>
        <v>90764.375996666669</v>
      </c>
      <c r="R117" s="24">
        <v>250821.42341333325</v>
      </c>
      <c r="S117" s="240">
        <f>J117-Q117</f>
        <v>499029.74459333339</v>
      </c>
      <c r="T117" s="213"/>
    </row>
    <row r="118" spans="1:20" ht="24.75" customHeight="1">
      <c r="A118" s="21"/>
      <c r="B118" s="191" t="s">
        <v>15</v>
      </c>
      <c r="C118" s="30">
        <v>2</v>
      </c>
      <c r="D118" s="220"/>
      <c r="E118" s="78">
        <v>1369378.5</v>
      </c>
      <c r="F118" s="78">
        <v>477303.962558</v>
      </c>
      <c r="G118" s="78">
        <f t="shared" ref="G118:S118" si="44">SUM(G115:G117)</f>
        <v>270000</v>
      </c>
      <c r="H118" s="78">
        <f t="shared" si="44"/>
        <v>60000</v>
      </c>
      <c r="I118" s="78">
        <f t="shared" si="44"/>
        <v>0</v>
      </c>
      <c r="J118" s="78">
        <f t="shared" si="44"/>
        <v>2176682.4625579999</v>
      </c>
      <c r="K118" s="78">
        <f t="shared" si="44"/>
        <v>0</v>
      </c>
      <c r="L118" s="78">
        <f t="shared" si="44"/>
        <v>40000</v>
      </c>
      <c r="M118" s="78">
        <f t="shared" si="44"/>
        <v>206853.59</v>
      </c>
      <c r="N118" s="78">
        <v>1383.2012500000001</v>
      </c>
      <c r="O118" s="78">
        <v>240981.4436</v>
      </c>
      <c r="P118" s="78">
        <v>109550.28000000001</v>
      </c>
      <c r="Q118" s="78">
        <f t="shared" si="44"/>
        <v>598768.51484999992</v>
      </c>
      <c r="R118" s="78">
        <v>732856.30259199999</v>
      </c>
      <c r="S118" s="78">
        <f t="shared" si="44"/>
        <v>1577913.947708</v>
      </c>
      <c r="T118" s="213"/>
    </row>
    <row r="119" spans="1:20" ht="20.100000000000001" customHeight="1">
      <c r="A119" s="21"/>
      <c r="B119" s="141"/>
      <c r="C119" s="29"/>
      <c r="D119" s="21"/>
      <c r="E119" s="222"/>
      <c r="F119" s="209"/>
      <c r="G119" s="212"/>
      <c r="H119" s="212"/>
      <c r="I119" s="222"/>
      <c r="J119" s="239"/>
      <c r="K119" s="222"/>
      <c r="L119" s="222"/>
      <c r="M119" s="222"/>
      <c r="N119" s="222"/>
      <c r="O119" s="222"/>
      <c r="P119" s="222"/>
      <c r="Q119" s="301"/>
      <c r="R119" s="222"/>
      <c r="S119" s="242"/>
      <c r="T119" s="213"/>
    </row>
    <row r="120" spans="1:20" ht="20.100000000000001" customHeight="1">
      <c r="A120" s="21"/>
      <c r="B120" s="191" t="s">
        <v>466</v>
      </c>
      <c r="C120" s="30"/>
      <c r="D120" s="30"/>
      <c r="E120" s="31"/>
      <c r="F120" s="31"/>
      <c r="G120" s="212"/>
      <c r="H120" s="212"/>
      <c r="I120" s="31"/>
      <c r="J120" s="246"/>
      <c r="K120" s="215"/>
      <c r="L120" s="215"/>
      <c r="M120" s="215"/>
      <c r="N120" s="215"/>
      <c r="O120" s="31"/>
      <c r="P120" s="31"/>
      <c r="Q120" s="296"/>
      <c r="R120" s="24"/>
      <c r="S120" s="240"/>
      <c r="T120" s="213"/>
    </row>
    <row r="121" spans="1:20" ht="20.100000000000001" customHeight="1">
      <c r="A121" s="21">
        <v>1</v>
      </c>
      <c r="B121" s="188" t="s">
        <v>20</v>
      </c>
      <c r="C121" s="193" t="s">
        <v>250</v>
      </c>
      <c r="D121" s="214" t="s">
        <v>161</v>
      </c>
      <c r="E121" s="26">
        <v>1435720</v>
      </c>
      <c r="F121" s="26">
        <v>495145.49589199986</v>
      </c>
      <c r="G121" s="212"/>
      <c r="H121" s="212">
        <f>100000</f>
        <v>100000</v>
      </c>
      <c r="I121" s="26">
        <v>100000</v>
      </c>
      <c r="J121" s="237">
        <f>SUM(E121:I121)</f>
        <v>2130865.4958919999</v>
      </c>
      <c r="K121" s="24"/>
      <c r="L121" s="24">
        <f>200000</f>
        <v>200000</v>
      </c>
      <c r="M121" s="24">
        <f>327777.78</f>
        <v>327777.78000000003</v>
      </c>
      <c r="N121" s="24">
        <v>2043.5005000000001</v>
      </c>
      <c r="O121" s="26">
        <v>270279.89537066669</v>
      </c>
      <c r="P121" s="26">
        <v>114857.60000000001</v>
      </c>
      <c r="Q121" s="296">
        <f>O121+N121+M121+L121+K121+P121</f>
        <v>914958.77587066672</v>
      </c>
      <c r="R121" s="24">
        <v>340473.32823733345</v>
      </c>
      <c r="S121" s="240">
        <f t="shared" ref="S121:S130" si="45">J121-Q121</f>
        <v>1215906.7200213331</v>
      </c>
      <c r="T121" s="213"/>
    </row>
    <row r="122" spans="1:20" ht="20.100000000000001" customHeight="1">
      <c r="A122" s="21">
        <v>2</v>
      </c>
      <c r="B122" s="188" t="s">
        <v>153</v>
      </c>
      <c r="C122" s="193" t="s">
        <v>739</v>
      </c>
      <c r="D122" s="214" t="s">
        <v>221</v>
      </c>
      <c r="E122" s="26">
        <v>739203.58333333337</v>
      </c>
      <c r="F122" s="26">
        <v>254933.51380733337</v>
      </c>
      <c r="G122" s="212"/>
      <c r="H122" s="212">
        <f>90000</f>
        <v>90000</v>
      </c>
      <c r="I122" s="26">
        <v>100000</v>
      </c>
      <c r="J122" s="237">
        <f t="shared" ref="J122:J130" si="46">SUM(E122:I122)</f>
        <v>1184137.0971406668</v>
      </c>
      <c r="K122" s="24"/>
      <c r="L122" s="24">
        <f>100000</f>
        <v>100000</v>
      </c>
      <c r="M122" s="24">
        <f>0</f>
        <v>0</v>
      </c>
      <c r="N122" s="24">
        <v>1028.9422500000001</v>
      </c>
      <c r="O122" s="26">
        <v>145522.03071466667</v>
      </c>
      <c r="P122" s="26">
        <v>59136.286666666674</v>
      </c>
      <c r="Q122" s="296">
        <f t="shared" ref="Q122:Q130" si="47">O122+N122+M122+L122+K122+P122</f>
        <v>305687.25963133335</v>
      </c>
      <c r="R122" s="24">
        <v>427719.09656133328</v>
      </c>
      <c r="S122" s="240">
        <f t="shared" si="45"/>
        <v>878449.83750933339</v>
      </c>
      <c r="T122" s="213"/>
    </row>
    <row r="123" spans="1:20" ht="20.100000000000001" customHeight="1">
      <c r="A123" s="21">
        <v>3</v>
      </c>
      <c r="B123" s="190" t="s">
        <v>142</v>
      </c>
      <c r="C123" s="193" t="s">
        <v>376</v>
      </c>
      <c r="D123" s="214" t="s">
        <v>75</v>
      </c>
      <c r="E123" s="26">
        <v>620675.58333333337</v>
      </c>
      <c r="F123" s="26">
        <v>214056.21827333342</v>
      </c>
      <c r="G123" s="212"/>
      <c r="H123" s="212">
        <f t="shared" si="3"/>
        <v>80000</v>
      </c>
      <c r="I123" s="26">
        <f>100000+30000</f>
        <v>130000</v>
      </c>
      <c r="J123" s="237">
        <f t="shared" si="46"/>
        <v>1044731.8016066668</v>
      </c>
      <c r="K123" s="24"/>
      <c r="L123" s="24">
        <v>100000</v>
      </c>
      <c r="M123" s="24"/>
      <c r="N123" s="24">
        <v>837.6875</v>
      </c>
      <c r="O123" s="26">
        <v>128461.96570666666</v>
      </c>
      <c r="P123" s="26">
        <v>49654.046666666669</v>
      </c>
      <c r="Q123" s="296">
        <f t="shared" si="47"/>
        <v>278953.69987333333</v>
      </c>
      <c r="R123" s="24">
        <v>387319.71185333328</v>
      </c>
      <c r="S123" s="240">
        <f t="shared" si="45"/>
        <v>765778.10173333343</v>
      </c>
      <c r="T123" s="213"/>
    </row>
    <row r="124" spans="1:20" ht="20.100000000000001" customHeight="1">
      <c r="A124" s="21">
        <v>4</v>
      </c>
      <c r="B124" s="365" t="s">
        <v>363</v>
      </c>
      <c r="C124" s="193" t="s">
        <v>376</v>
      </c>
      <c r="D124" s="434" t="s">
        <v>30</v>
      </c>
      <c r="E124" s="26">
        <v>582118.08333333337</v>
      </c>
      <c r="F124" s="26">
        <v>191810.19995733333</v>
      </c>
      <c r="G124" s="212"/>
      <c r="H124" s="212">
        <f>80000</f>
        <v>80000</v>
      </c>
      <c r="I124" s="26">
        <v>0</v>
      </c>
      <c r="J124" s="237">
        <f t="shared" si="46"/>
        <v>853928.28329066676</v>
      </c>
      <c r="K124" s="24"/>
      <c r="L124" s="24">
        <f>100000</f>
        <v>100000</v>
      </c>
      <c r="M124" s="24">
        <f>51500</f>
        <v>51500</v>
      </c>
      <c r="N124" s="24"/>
      <c r="O124" s="26">
        <v>105793.33866666665</v>
      </c>
      <c r="P124" s="26"/>
      <c r="Q124" s="296">
        <f t="shared" si="47"/>
        <v>257293.33866666665</v>
      </c>
      <c r="R124" s="24">
        <v>213014.54470933339</v>
      </c>
      <c r="S124" s="240">
        <f t="shared" si="45"/>
        <v>596634.94462400011</v>
      </c>
      <c r="T124" s="213"/>
    </row>
    <row r="125" spans="1:20" ht="20.100000000000001" customHeight="1">
      <c r="A125" s="21">
        <v>5</v>
      </c>
      <c r="B125" s="188" t="s">
        <v>108</v>
      </c>
      <c r="C125" s="193" t="s">
        <v>476</v>
      </c>
      <c r="D125" s="214" t="s">
        <v>181</v>
      </c>
      <c r="E125" s="26">
        <v>470498</v>
      </c>
      <c r="F125" s="26">
        <v>166796.14795199994</v>
      </c>
      <c r="G125" s="212"/>
      <c r="H125" s="212">
        <f>70000</f>
        <v>70000</v>
      </c>
      <c r="I125" s="26">
        <v>0</v>
      </c>
      <c r="J125" s="237">
        <f t="shared" si="46"/>
        <v>707294.14795199991</v>
      </c>
      <c r="K125" s="24"/>
      <c r="L125" s="24">
        <f>70000</f>
        <v>70000</v>
      </c>
      <c r="M125" s="24">
        <f>50000</f>
        <v>50000</v>
      </c>
      <c r="N125" s="24"/>
      <c r="O125" s="26">
        <v>75215.433386666657</v>
      </c>
      <c r="P125" s="26">
        <v>37639.840000000004</v>
      </c>
      <c r="Q125" s="296">
        <f t="shared" si="47"/>
        <v>232855.27338666664</v>
      </c>
      <c r="R125" s="24">
        <v>178486.41866133339</v>
      </c>
      <c r="S125" s="240">
        <f t="shared" si="45"/>
        <v>474438.87456533324</v>
      </c>
      <c r="T125" s="213"/>
    </row>
    <row r="126" spans="1:20" ht="20.100000000000001" customHeight="1">
      <c r="A126" s="21">
        <v>6</v>
      </c>
      <c r="B126" s="188" t="s">
        <v>178</v>
      </c>
      <c r="C126" s="193" t="s">
        <v>382</v>
      </c>
      <c r="D126" s="214" t="s">
        <v>222</v>
      </c>
      <c r="E126" s="26">
        <v>442746.5</v>
      </c>
      <c r="F126" s="26">
        <v>157375.41294000001</v>
      </c>
      <c r="G126" s="212"/>
      <c r="H126" s="212">
        <f t="shared" ref="H126:H127" si="48">70000</f>
        <v>70000</v>
      </c>
      <c r="I126" s="26">
        <v>0</v>
      </c>
      <c r="J126" s="237">
        <f t="shared" si="46"/>
        <v>670121.91293999995</v>
      </c>
      <c r="K126" s="24"/>
      <c r="L126" s="24">
        <f>20000</f>
        <v>20000</v>
      </c>
      <c r="M126" s="24">
        <v>75694.44</v>
      </c>
      <c r="N126" s="24">
        <v>646.35249999999996</v>
      </c>
      <c r="O126" s="26">
        <v>70189.308746666662</v>
      </c>
      <c r="P126" s="26">
        <v>35419.72</v>
      </c>
      <c r="Q126" s="296">
        <f t="shared" si="47"/>
        <v>201949.82124666666</v>
      </c>
      <c r="R126" s="24">
        <v>188840.9858133333</v>
      </c>
      <c r="S126" s="240">
        <f t="shared" si="45"/>
        <v>468172.09169333329</v>
      </c>
      <c r="T126" s="213"/>
    </row>
    <row r="127" spans="1:20" ht="20.100000000000001" customHeight="1">
      <c r="A127" s="357">
        <v>7</v>
      </c>
      <c r="B127" s="363" t="s">
        <v>134</v>
      </c>
      <c r="C127" s="367" t="s">
        <v>476</v>
      </c>
      <c r="D127" s="214" t="s">
        <v>162</v>
      </c>
      <c r="E127" s="26">
        <v>456622.25</v>
      </c>
      <c r="F127" s="26">
        <v>162094.17831000002</v>
      </c>
      <c r="G127" s="212"/>
      <c r="H127" s="212">
        <f t="shared" si="48"/>
        <v>70000</v>
      </c>
      <c r="I127" s="26"/>
      <c r="J127" s="237">
        <f t="shared" si="46"/>
        <v>688716.42830999999</v>
      </c>
      <c r="K127" s="24"/>
      <c r="L127" s="24">
        <f>35000+25000</f>
        <v>60000</v>
      </c>
      <c r="M127" s="24">
        <f>55000</f>
        <v>55000</v>
      </c>
      <c r="N127" s="24">
        <v>668.31625000000008</v>
      </c>
      <c r="O127" s="26">
        <v>72636.104186666664</v>
      </c>
      <c r="P127" s="26">
        <v>36529.78</v>
      </c>
      <c r="Q127" s="296">
        <f t="shared" si="47"/>
        <v>224834.20043666667</v>
      </c>
      <c r="R127" s="24">
        <v>176223.65125333332</v>
      </c>
      <c r="S127" s="240">
        <f t="shared" si="45"/>
        <v>463882.22787333332</v>
      </c>
      <c r="T127" s="213"/>
    </row>
    <row r="128" spans="1:20" ht="20.100000000000001" customHeight="1">
      <c r="A128" s="21">
        <v>8</v>
      </c>
      <c r="B128" s="188" t="s">
        <v>443</v>
      </c>
      <c r="C128" s="193" t="s">
        <v>447</v>
      </c>
      <c r="D128" s="29" t="s">
        <v>746</v>
      </c>
      <c r="E128" s="26">
        <v>270481.66666666669</v>
      </c>
      <c r="F128" s="26">
        <v>100957.35594666668</v>
      </c>
      <c r="G128" s="212"/>
      <c r="H128" s="212">
        <f>60000</f>
        <v>60000</v>
      </c>
      <c r="I128" s="26"/>
      <c r="J128" s="237">
        <f t="shared" si="46"/>
        <v>431439.02261333336</v>
      </c>
      <c r="K128" s="24"/>
      <c r="L128" s="24">
        <v>15000</v>
      </c>
      <c r="M128" s="24">
        <v>30000</v>
      </c>
      <c r="N128" s="24"/>
      <c r="O128" s="26">
        <v>39052.313066666662</v>
      </c>
      <c r="P128" s="26">
        <v>21638.533333333336</v>
      </c>
      <c r="Q128" s="296">
        <f t="shared" si="47"/>
        <v>105690.84639999999</v>
      </c>
      <c r="R128" s="24">
        <v>145471.99765333335</v>
      </c>
      <c r="S128" s="240">
        <f t="shared" si="45"/>
        <v>325748.17621333338</v>
      </c>
      <c r="T128" s="213"/>
    </row>
    <row r="129" spans="1:20" ht="20.100000000000001" customHeight="1">
      <c r="A129" s="21">
        <v>9</v>
      </c>
      <c r="B129" s="189" t="s">
        <v>439</v>
      </c>
      <c r="C129" s="193" t="s">
        <v>440</v>
      </c>
      <c r="D129" s="214" t="s">
        <v>176</v>
      </c>
      <c r="E129" s="26">
        <v>224459.75</v>
      </c>
      <c r="F129" s="26">
        <v>84427.198240000012</v>
      </c>
      <c r="G129" s="212"/>
      <c r="H129" s="212">
        <f>50000</f>
        <v>50000</v>
      </c>
      <c r="I129" s="26"/>
      <c r="J129" s="237">
        <f t="shared" si="46"/>
        <v>358886.94824</v>
      </c>
      <c r="K129" s="24"/>
      <c r="L129" s="24">
        <f>10000</f>
        <v>10000</v>
      </c>
      <c r="M129" s="24">
        <v>70000</v>
      </c>
      <c r="N129" s="24">
        <v>0</v>
      </c>
      <c r="O129" s="26">
        <v>30259.165626666669</v>
      </c>
      <c r="P129" s="26">
        <v>17956.78</v>
      </c>
      <c r="Q129" s="296">
        <f t="shared" si="47"/>
        <v>128215.94562666667</v>
      </c>
      <c r="R129" s="24">
        <v>79773.386133333319</v>
      </c>
      <c r="S129" s="240">
        <f t="shared" si="45"/>
        <v>230671.00261333334</v>
      </c>
      <c r="T129" s="213"/>
    </row>
    <row r="130" spans="1:20" ht="20.100000000000001" customHeight="1">
      <c r="A130" s="21">
        <v>10</v>
      </c>
      <c r="B130" s="189" t="s">
        <v>535</v>
      </c>
      <c r="C130" s="287" t="s">
        <v>536</v>
      </c>
      <c r="D130" s="214" t="s">
        <v>176</v>
      </c>
      <c r="E130" s="26">
        <v>224459.75</v>
      </c>
      <c r="F130" s="26">
        <v>84427.198240000012</v>
      </c>
      <c r="G130" s="212"/>
      <c r="H130" s="212">
        <v>50000</v>
      </c>
      <c r="I130" s="26"/>
      <c r="J130" s="237">
        <f t="shared" si="46"/>
        <v>358886.94824</v>
      </c>
      <c r="K130" s="24"/>
      <c r="L130" s="24">
        <v>10000</v>
      </c>
      <c r="M130" s="24">
        <v>63888.89</v>
      </c>
      <c r="N130" s="24">
        <v>0</v>
      </c>
      <c r="O130" s="26">
        <v>30259.165626666669</v>
      </c>
      <c r="P130" s="26">
        <v>17956.78</v>
      </c>
      <c r="Q130" s="296">
        <f t="shared" si="47"/>
        <v>122104.83562666667</v>
      </c>
      <c r="R130" s="24">
        <v>85884.496133333319</v>
      </c>
      <c r="S130" s="240">
        <f t="shared" si="45"/>
        <v>236782.11261333333</v>
      </c>
      <c r="T130" s="213"/>
    </row>
    <row r="131" spans="1:20" ht="28.5" customHeight="1">
      <c r="A131" s="21"/>
      <c r="B131" s="191" t="s">
        <v>15</v>
      </c>
      <c r="C131" s="220" t="s">
        <v>543</v>
      </c>
      <c r="D131" s="214"/>
      <c r="E131" s="31">
        <v>5466985.166666667</v>
      </c>
      <c r="F131" s="31">
        <v>1912022.9195586666</v>
      </c>
      <c r="G131" s="31">
        <f t="shared" ref="G131:S131" si="49">SUM(G121:G130)</f>
        <v>0</v>
      </c>
      <c r="H131" s="31">
        <f t="shared" si="49"/>
        <v>720000</v>
      </c>
      <c r="I131" s="31">
        <f t="shared" si="49"/>
        <v>330000</v>
      </c>
      <c r="J131" s="31">
        <f t="shared" si="49"/>
        <v>8429008.0862253346</v>
      </c>
      <c r="K131" s="31">
        <f t="shared" si="49"/>
        <v>0</v>
      </c>
      <c r="L131" s="31">
        <f t="shared" si="49"/>
        <v>685000</v>
      </c>
      <c r="M131" s="31">
        <f t="shared" si="49"/>
        <v>723861.11</v>
      </c>
      <c r="N131" s="31">
        <v>5224.799</v>
      </c>
      <c r="O131" s="31">
        <v>967668.72109866666</v>
      </c>
      <c r="P131" s="31">
        <v>390789.3666666667</v>
      </c>
      <c r="Q131" s="298">
        <f t="shared" si="49"/>
        <v>2772543.9967653332</v>
      </c>
      <c r="R131" s="31">
        <v>2223207.6170093338</v>
      </c>
      <c r="S131" s="251">
        <f t="shared" si="49"/>
        <v>5656464.0894600004</v>
      </c>
      <c r="T131" s="213"/>
    </row>
    <row r="132" spans="1:20" ht="20.100000000000001" customHeight="1">
      <c r="A132" s="21"/>
      <c r="B132" s="141"/>
      <c r="C132" s="220"/>
      <c r="D132" s="214"/>
      <c r="E132" s="31"/>
      <c r="F132" s="31"/>
      <c r="G132" s="212">
        <f>226713.38+70000</f>
        <v>296713.38</v>
      </c>
      <c r="H132" s="212"/>
      <c r="I132" s="31"/>
      <c r="J132" s="246"/>
      <c r="K132" s="215"/>
      <c r="L132" s="215"/>
      <c r="M132" s="215"/>
      <c r="N132" s="215"/>
      <c r="O132" s="31"/>
      <c r="P132" s="31"/>
      <c r="Q132" s="302"/>
      <c r="R132" s="215"/>
      <c r="S132" s="253"/>
      <c r="T132" s="213"/>
    </row>
    <row r="133" spans="1:20" ht="20.100000000000001" customHeight="1">
      <c r="A133" s="21"/>
      <c r="B133" s="191" t="s">
        <v>467</v>
      </c>
      <c r="C133" s="193"/>
      <c r="D133" s="214"/>
      <c r="E133" s="26"/>
      <c r="F133" s="26"/>
      <c r="G133" s="212"/>
      <c r="H133" s="212"/>
      <c r="I133" s="26"/>
      <c r="J133" s="237"/>
      <c r="K133" s="24"/>
      <c r="L133" s="24"/>
      <c r="M133" s="24"/>
      <c r="N133" s="24"/>
      <c r="O133" s="26"/>
      <c r="P133" s="26"/>
      <c r="Q133" s="296"/>
      <c r="R133" s="24"/>
      <c r="S133" s="240"/>
      <c r="T133" s="213"/>
    </row>
    <row r="134" spans="1:20" ht="20.100000000000001" customHeight="1">
      <c r="A134" s="224">
        <v>1</v>
      </c>
      <c r="B134" s="188" t="s">
        <v>21</v>
      </c>
      <c r="C134" s="193" t="s">
        <v>393</v>
      </c>
      <c r="D134" s="214" t="s">
        <v>161</v>
      </c>
      <c r="E134" s="26">
        <v>1435720</v>
      </c>
      <c r="F134" s="26">
        <v>495145.49589200004</v>
      </c>
      <c r="G134" s="212"/>
      <c r="H134" s="212">
        <f>100000</f>
        <v>100000</v>
      </c>
      <c r="I134" s="26">
        <v>0</v>
      </c>
      <c r="J134" s="237">
        <f>SUM(E134:I134)</f>
        <v>2030865.4958919999</v>
      </c>
      <c r="K134" s="24"/>
      <c r="L134" s="24">
        <f>100000</f>
        <v>100000</v>
      </c>
      <c r="M134" s="24">
        <f>208526.24</f>
        <v>208526.24</v>
      </c>
      <c r="N134" s="24"/>
      <c r="O134" s="26">
        <v>251472.24746666662</v>
      </c>
      <c r="P134" s="26">
        <v>114857.60000000001</v>
      </c>
      <c r="Q134" s="296">
        <f>O134+N134+M134+L134+K134+P134</f>
        <v>674856.08746666659</v>
      </c>
      <c r="R134" s="24">
        <v>480576.01664133335</v>
      </c>
      <c r="S134" s="240">
        <f t="shared" ref="S134:S165" si="50">J134-Q134</f>
        <v>1356009.4084253334</v>
      </c>
      <c r="T134" s="213"/>
    </row>
    <row r="135" spans="1:20" ht="20.100000000000001" customHeight="1">
      <c r="A135" s="224">
        <v>2</v>
      </c>
      <c r="B135" s="188" t="s">
        <v>107</v>
      </c>
      <c r="C135" s="193" t="s">
        <v>394</v>
      </c>
      <c r="D135" s="214" t="s">
        <v>160</v>
      </c>
      <c r="E135" s="26">
        <v>762373.16666666663</v>
      </c>
      <c r="F135" s="26">
        <v>251213.77866866667</v>
      </c>
      <c r="G135" s="212"/>
      <c r="H135" s="212">
        <v>90000</v>
      </c>
      <c r="I135" s="26"/>
      <c r="J135" s="237">
        <f t="shared" ref="J135:J192" si="51">SUM(E135:I135)</f>
        <v>1103586.9453353332</v>
      </c>
      <c r="K135" s="24"/>
      <c r="L135" s="38">
        <v>50000</v>
      </c>
      <c r="M135" s="38">
        <v>200000</v>
      </c>
      <c r="O135" s="24">
        <v>142322.31466666667</v>
      </c>
      <c r="P135" s="24"/>
      <c r="Q135" s="296">
        <f t="shared" ref="Q135:Q192" si="52">O135+N135+M135+L135+K135+P135</f>
        <v>392322.31466666667</v>
      </c>
      <c r="R135" s="24">
        <v>208837.07333133329</v>
      </c>
      <c r="S135" s="240">
        <f t="shared" si="50"/>
        <v>711264.63066866656</v>
      </c>
      <c r="T135" s="213"/>
    </row>
    <row r="136" spans="1:20" ht="20.100000000000001" customHeight="1">
      <c r="A136" s="224">
        <v>3</v>
      </c>
      <c r="B136" s="190" t="s">
        <v>183</v>
      </c>
      <c r="C136" s="21" t="s">
        <v>486</v>
      </c>
      <c r="D136" s="25" t="s">
        <v>160</v>
      </c>
      <c r="E136" s="26">
        <v>762373.16666666663</v>
      </c>
      <c r="F136" s="26">
        <v>262923.83050866664</v>
      </c>
      <c r="G136" s="212"/>
      <c r="H136" s="212">
        <f>80000+10000</f>
        <v>90000</v>
      </c>
      <c r="I136" s="26">
        <v>50000</v>
      </c>
      <c r="J136" s="237">
        <f t="shared" si="51"/>
        <v>1165296.9971753333</v>
      </c>
      <c r="K136" s="24"/>
      <c r="L136" s="24">
        <f>37500</f>
        <v>37500</v>
      </c>
      <c r="M136" s="24"/>
      <c r="N136" s="24">
        <v>1066.32925</v>
      </c>
      <c r="O136" s="24">
        <v>140007.52761066667</v>
      </c>
      <c r="P136" s="24">
        <v>60989.853333333333</v>
      </c>
      <c r="Q136" s="296">
        <f t="shared" si="52"/>
        <v>239563.71019400001</v>
      </c>
      <c r="R136" s="24">
        <v>460875.47929733328</v>
      </c>
      <c r="S136" s="240">
        <f t="shared" si="50"/>
        <v>925733.28698133328</v>
      </c>
      <c r="T136" s="213"/>
    </row>
    <row r="137" spans="1:20" ht="20.100000000000001" customHeight="1">
      <c r="A137" s="224">
        <v>4</v>
      </c>
      <c r="B137" s="188" t="s">
        <v>106</v>
      </c>
      <c r="C137" s="193" t="s">
        <v>381</v>
      </c>
      <c r="D137" s="214" t="s">
        <v>174</v>
      </c>
      <c r="E137" s="26">
        <v>484373.75</v>
      </c>
      <c r="F137" s="26">
        <v>171531.25106999994</v>
      </c>
      <c r="G137" s="212"/>
      <c r="H137" s="212">
        <v>70000</v>
      </c>
      <c r="I137" s="26"/>
      <c r="J137" s="237">
        <f t="shared" si="51"/>
        <v>725905.00107</v>
      </c>
      <c r="K137" s="24"/>
      <c r="L137" s="24">
        <v>30000</v>
      </c>
      <c r="M137" s="24">
        <f>91666.67</f>
        <v>91666.67</v>
      </c>
      <c r="N137" s="24">
        <v>712.24525000000006</v>
      </c>
      <c r="O137" s="26">
        <v>77529.694778666671</v>
      </c>
      <c r="P137" s="26">
        <v>38749.9</v>
      </c>
      <c r="Q137" s="296">
        <f t="shared" si="52"/>
        <v>238658.51002866667</v>
      </c>
      <c r="R137" s="24">
        <v>182933.88890133338</v>
      </c>
      <c r="S137" s="240">
        <f t="shared" si="50"/>
        <v>487246.4910413333</v>
      </c>
      <c r="T137" s="213"/>
    </row>
    <row r="138" spans="1:20" ht="20.100000000000001" customHeight="1">
      <c r="A138" s="224">
        <v>5</v>
      </c>
      <c r="B138" s="188" t="s">
        <v>7</v>
      </c>
      <c r="C138" s="21" t="s">
        <v>385</v>
      </c>
      <c r="D138" s="434" t="s">
        <v>174</v>
      </c>
      <c r="E138" s="26">
        <v>484373.75</v>
      </c>
      <c r="F138" s="26">
        <v>171531.25106999994</v>
      </c>
      <c r="G138" s="212"/>
      <c r="H138" s="212">
        <v>70000</v>
      </c>
      <c r="I138" s="26">
        <v>0</v>
      </c>
      <c r="J138" s="237">
        <f t="shared" si="51"/>
        <v>725905.00107</v>
      </c>
      <c r="K138" s="24"/>
      <c r="L138" s="24">
        <f>0</f>
        <v>0</v>
      </c>
      <c r="M138" s="24">
        <f>163333.33</f>
        <v>163333.32999999999</v>
      </c>
      <c r="N138" s="24">
        <v>712.24525000000006</v>
      </c>
      <c r="O138" s="26">
        <v>77529.694778666671</v>
      </c>
      <c r="P138" s="26">
        <v>38749.9</v>
      </c>
      <c r="Q138" s="296">
        <f t="shared" si="52"/>
        <v>280325.17002866667</v>
      </c>
      <c r="R138" s="24">
        <v>141267.22890133341</v>
      </c>
      <c r="S138" s="240">
        <f t="shared" si="50"/>
        <v>445579.83104133332</v>
      </c>
      <c r="T138" s="213"/>
    </row>
    <row r="139" spans="1:20" ht="20.100000000000001" customHeight="1">
      <c r="A139" s="224">
        <v>6</v>
      </c>
      <c r="B139" s="188" t="s">
        <v>6</v>
      </c>
      <c r="C139" s="21" t="s">
        <v>385</v>
      </c>
      <c r="D139" s="434" t="s">
        <v>174</v>
      </c>
      <c r="E139" s="26">
        <v>484373.75</v>
      </c>
      <c r="F139" s="26">
        <v>171531.25106999994</v>
      </c>
      <c r="G139" s="212"/>
      <c r="H139" s="212">
        <v>70000</v>
      </c>
      <c r="I139" s="26">
        <v>0</v>
      </c>
      <c r="J139" s="237">
        <f t="shared" si="51"/>
        <v>725905.00107</v>
      </c>
      <c r="K139" s="24"/>
      <c r="L139" s="24">
        <f>0</f>
        <v>0</v>
      </c>
      <c r="M139" s="24">
        <v>50000</v>
      </c>
      <c r="N139" s="24">
        <v>712.24525000000006</v>
      </c>
      <c r="O139" s="26">
        <v>77529.694778666671</v>
      </c>
      <c r="P139" s="26">
        <v>38749.9</v>
      </c>
      <c r="Q139" s="296">
        <f t="shared" si="52"/>
        <v>166991.84002866669</v>
      </c>
      <c r="R139" s="24">
        <v>254600.55890133337</v>
      </c>
      <c r="S139" s="240">
        <f t="shared" si="50"/>
        <v>558913.16104133334</v>
      </c>
      <c r="T139" s="213"/>
    </row>
    <row r="140" spans="1:20" ht="20.100000000000001" customHeight="1">
      <c r="A140" s="224">
        <v>7</v>
      </c>
      <c r="B140" s="188" t="s">
        <v>102</v>
      </c>
      <c r="C140" s="193" t="s">
        <v>395</v>
      </c>
      <c r="D140" s="214" t="s">
        <v>749</v>
      </c>
      <c r="E140" s="26">
        <v>390086.5</v>
      </c>
      <c r="F140" s="26">
        <v>139707.62058999998</v>
      </c>
      <c r="G140" s="212"/>
      <c r="H140" s="212">
        <f>60000</f>
        <v>60000</v>
      </c>
      <c r="I140" s="26">
        <v>0</v>
      </c>
      <c r="J140" s="237">
        <f t="shared" si="51"/>
        <v>589794.12058999995</v>
      </c>
      <c r="K140" s="24"/>
      <c r="L140" s="24">
        <v>20000</v>
      </c>
      <c r="M140" s="24">
        <v>0</v>
      </c>
      <c r="N140" s="24">
        <v>576.62125000000003</v>
      </c>
      <c r="O140" s="26">
        <v>58980.834746666667</v>
      </c>
      <c r="P140" s="26">
        <v>31206.920000000002</v>
      </c>
      <c r="Q140" s="296">
        <f t="shared" si="52"/>
        <v>110764.37599666665</v>
      </c>
      <c r="R140" s="24">
        <v>230821.42341333337</v>
      </c>
      <c r="S140" s="240">
        <f t="shared" si="50"/>
        <v>479029.74459333328</v>
      </c>
      <c r="T140" s="213"/>
    </row>
    <row r="141" spans="1:20" ht="20.100000000000001" customHeight="1">
      <c r="A141" s="224">
        <v>8</v>
      </c>
      <c r="B141" s="188" t="s">
        <v>103</v>
      </c>
      <c r="C141" s="193" t="s">
        <v>395</v>
      </c>
      <c r="D141" s="434" t="s">
        <v>749</v>
      </c>
      <c r="E141" s="26">
        <v>390086.5</v>
      </c>
      <c r="F141" s="26">
        <v>139693.78167999996</v>
      </c>
      <c r="G141" s="212"/>
      <c r="H141" s="212">
        <f>60000</f>
        <v>60000</v>
      </c>
      <c r="I141" s="26">
        <v>0</v>
      </c>
      <c r="J141" s="237">
        <f t="shared" si="51"/>
        <v>589780.28168000001</v>
      </c>
      <c r="K141" s="24"/>
      <c r="L141" s="24"/>
      <c r="M141" s="24">
        <f>100000</f>
        <v>100000</v>
      </c>
      <c r="N141" s="24"/>
      <c r="O141" s="26">
        <v>59091.546026666671</v>
      </c>
      <c r="P141" s="26">
        <v>31206.920000000002</v>
      </c>
      <c r="Q141" s="296">
        <f t="shared" si="52"/>
        <v>190298.46602666669</v>
      </c>
      <c r="R141" s="24">
        <v>151301.17229333337</v>
      </c>
      <c r="S141" s="240">
        <f t="shared" si="50"/>
        <v>399481.81565333332</v>
      </c>
      <c r="T141" s="213"/>
    </row>
    <row r="142" spans="1:20" ht="20.100000000000001" customHeight="1">
      <c r="A142" s="224">
        <v>9</v>
      </c>
      <c r="B142" s="188" t="s">
        <v>151</v>
      </c>
      <c r="C142" s="21" t="s">
        <v>235</v>
      </c>
      <c r="D142" s="434" t="s">
        <v>749</v>
      </c>
      <c r="E142" s="26">
        <v>390086.5</v>
      </c>
      <c r="F142" s="26">
        <v>139693.78167999996</v>
      </c>
      <c r="G142" s="212"/>
      <c r="H142" s="212">
        <f>60000</f>
        <v>60000</v>
      </c>
      <c r="I142" s="26"/>
      <c r="J142" s="237">
        <f t="shared" si="51"/>
        <v>589780.28168000001</v>
      </c>
      <c r="K142" s="24"/>
      <c r="L142" s="24">
        <f>30000</f>
        <v>30000</v>
      </c>
      <c r="M142" s="24">
        <f>45833.33</f>
        <v>45833.33</v>
      </c>
      <c r="N142" s="24"/>
      <c r="O142" s="26">
        <v>59091.546026666671</v>
      </c>
      <c r="P142" s="26">
        <v>31206.920000000002</v>
      </c>
      <c r="Q142" s="296">
        <f t="shared" si="52"/>
        <v>166131.79602666668</v>
      </c>
      <c r="R142" s="24">
        <v>175467.84229333335</v>
      </c>
      <c r="S142" s="240">
        <f t="shared" si="50"/>
        <v>423648.48565333337</v>
      </c>
      <c r="T142" s="213"/>
    </row>
    <row r="143" spans="1:20" ht="20.100000000000001" customHeight="1">
      <c r="A143" s="224">
        <v>10</v>
      </c>
      <c r="B143" s="188" t="s">
        <v>238</v>
      </c>
      <c r="C143" s="193" t="s">
        <v>546</v>
      </c>
      <c r="D143" s="214" t="s">
        <v>497</v>
      </c>
      <c r="E143" s="26">
        <v>377895.16666666669</v>
      </c>
      <c r="F143" s="26">
        <v>131388.98167466669</v>
      </c>
      <c r="G143" s="212"/>
      <c r="H143" s="212">
        <f>60000</f>
        <v>60000</v>
      </c>
      <c r="I143" s="26"/>
      <c r="J143" s="237">
        <f t="shared" si="51"/>
        <v>569284.14834133338</v>
      </c>
      <c r="K143" s="24"/>
      <c r="L143" s="24">
        <v>35000</v>
      </c>
      <c r="M143" s="24">
        <v>159722.22</v>
      </c>
      <c r="N143" s="24"/>
      <c r="O143" s="26">
        <v>56938.068906666675</v>
      </c>
      <c r="P143" s="26">
        <v>30231.613333333335</v>
      </c>
      <c r="Q143" s="296">
        <f t="shared" si="52"/>
        <v>281891.90224000002</v>
      </c>
      <c r="R143" s="24">
        <v>54845.896085333312</v>
      </c>
      <c r="S143" s="240">
        <f t="shared" si="50"/>
        <v>287392.24610133335</v>
      </c>
      <c r="T143" s="213"/>
    </row>
    <row r="144" spans="1:20" ht="20.100000000000001" customHeight="1">
      <c r="A144" s="224">
        <v>11</v>
      </c>
      <c r="B144" s="363" t="s">
        <v>53</v>
      </c>
      <c r="C144" s="367" t="s">
        <v>711</v>
      </c>
      <c r="D144" s="214" t="s">
        <v>415</v>
      </c>
      <c r="E144" s="26">
        <v>365703.83333333331</v>
      </c>
      <c r="F144" s="26">
        <v>131417.03117333329</v>
      </c>
      <c r="G144" s="212"/>
      <c r="H144" s="212">
        <f>60000</f>
        <v>60000</v>
      </c>
      <c r="I144" s="26"/>
      <c r="J144" s="237">
        <f t="shared" si="51"/>
        <v>557120.86450666655</v>
      </c>
      <c r="K144" s="24"/>
      <c r="L144" s="24">
        <f>10000</f>
        <v>10000</v>
      </c>
      <c r="M144" s="24">
        <v>100000</v>
      </c>
      <c r="N144" s="24">
        <v>538.02200000000005</v>
      </c>
      <c r="O144" s="26">
        <v>54681.291562666673</v>
      </c>
      <c r="P144" s="26">
        <v>29256.306666666667</v>
      </c>
      <c r="Q144" s="296">
        <f t="shared" si="52"/>
        <v>194475.62022933335</v>
      </c>
      <c r="R144" s="24">
        <v>129067.48859733337</v>
      </c>
      <c r="S144" s="240">
        <f t="shared" si="50"/>
        <v>362645.2442773332</v>
      </c>
      <c r="T144" s="213"/>
    </row>
    <row r="145" spans="1:20" ht="20.100000000000001" customHeight="1">
      <c r="A145" s="224">
        <v>12</v>
      </c>
      <c r="B145" s="188" t="s">
        <v>179</v>
      </c>
      <c r="C145" s="193" t="s">
        <v>479</v>
      </c>
      <c r="D145" s="434" t="s">
        <v>749</v>
      </c>
      <c r="E145" s="26">
        <v>390086.5</v>
      </c>
      <c r="F145" s="26">
        <v>139707.62058999998</v>
      </c>
      <c r="G145" s="212"/>
      <c r="H145" s="212">
        <f>60000</f>
        <v>60000</v>
      </c>
      <c r="I145" s="26"/>
      <c r="J145" s="237">
        <f t="shared" si="51"/>
        <v>589794.12058999995</v>
      </c>
      <c r="K145" s="24"/>
      <c r="L145" s="24">
        <v>20000</v>
      </c>
      <c r="M145" s="24">
        <f>68750</f>
        <v>68750</v>
      </c>
      <c r="N145" s="24">
        <v>576.62125000000003</v>
      </c>
      <c r="O145" s="26">
        <v>58980.834746666667</v>
      </c>
      <c r="P145" s="26">
        <v>31206.920000000002</v>
      </c>
      <c r="Q145" s="296">
        <f t="shared" si="52"/>
        <v>179514.37599666667</v>
      </c>
      <c r="R145" s="24">
        <v>162071.42341333337</v>
      </c>
      <c r="S145" s="240">
        <f t="shared" si="50"/>
        <v>410279.74459333328</v>
      </c>
      <c r="T145" s="213"/>
    </row>
    <row r="146" spans="1:20" ht="20.100000000000001" customHeight="1">
      <c r="A146" s="224">
        <v>13</v>
      </c>
      <c r="B146" s="364" t="s">
        <v>293</v>
      </c>
      <c r="C146" s="357" t="s">
        <v>712</v>
      </c>
      <c r="D146" s="214" t="s">
        <v>369</v>
      </c>
      <c r="E146" s="212">
        <v>353512.5</v>
      </c>
      <c r="F146" s="26">
        <v>127258.48560000004</v>
      </c>
      <c r="G146" s="212"/>
      <c r="H146" s="212">
        <v>60000</v>
      </c>
      <c r="I146" s="26"/>
      <c r="J146" s="237">
        <f t="shared" si="51"/>
        <v>540770.98560000001</v>
      </c>
      <c r="K146" s="24"/>
      <c r="L146" s="24">
        <f>30000</f>
        <v>30000</v>
      </c>
      <c r="M146" s="24">
        <v>17500</v>
      </c>
      <c r="N146" s="24">
        <v>0</v>
      </c>
      <c r="O146" s="26">
        <v>52631.114666666661</v>
      </c>
      <c r="P146" s="26">
        <v>28281</v>
      </c>
      <c r="Q146" s="296">
        <f t="shared" si="52"/>
        <v>128412.11466666666</v>
      </c>
      <c r="R146" s="24">
        <v>186122.8997333333</v>
      </c>
      <c r="S146" s="240">
        <f t="shared" si="50"/>
        <v>412358.87093333335</v>
      </c>
      <c r="T146" s="213"/>
    </row>
    <row r="147" spans="1:20" ht="20.100000000000001" customHeight="1">
      <c r="A147" s="224">
        <v>14</v>
      </c>
      <c r="B147" s="188" t="s">
        <v>488</v>
      </c>
      <c r="C147" s="21" t="s">
        <v>239</v>
      </c>
      <c r="D147" s="214" t="s">
        <v>164</v>
      </c>
      <c r="E147" s="212">
        <v>308901.5</v>
      </c>
      <c r="F147" s="26">
        <v>113282.95705600004</v>
      </c>
      <c r="G147" s="212"/>
      <c r="H147" s="212">
        <f>60000</f>
        <v>60000</v>
      </c>
      <c r="I147" s="26"/>
      <c r="J147" s="237">
        <f t="shared" si="51"/>
        <v>482184.45705600001</v>
      </c>
      <c r="K147" s="24"/>
      <c r="L147" s="24">
        <f>10000</f>
        <v>10000</v>
      </c>
      <c r="M147" s="24">
        <v>50000</v>
      </c>
      <c r="N147" s="24"/>
      <c r="O147" s="26">
        <v>44990.48250666666</v>
      </c>
      <c r="P147" s="26">
        <v>24712.12</v>
      </c>
      <c r="Q147" s="296">
        <f t="shared" si="52"/>
        <v>129702.60250666665</v>
      </c>
      <c r="R147" s="24">
        <v>150628.0604373333</v>
      </c>
      <c r="S147" s="240">
        <f t="shared" si="50"/>
        <v>352481.85454933334</v>
      </c>
      <c r="T147" s="213"/>
    </row>
    <row r="148" spans="1:20" ht="20.100000000000001" customHeight="1">
      <c r="A148" s="224">
        <v>15</v>
      </c>
      <c r="B148" s="188" t="s">
        <v>489</v>
      </c>
      <c r="C148" s="21" t="s">
        <v>239</v>
      </c>
      <c r="D148" s="214" t="s">
        <v>27</v>
      </c>
      <c r="E148" s="212">
        <v>316837.41666666669</v>
      </c>
      <c r="F148" s="26">
        <v>116193.36106666674</v>
      </c>
      <c r="G148" s="212"/>
      <c r="H148" s="212">
        <f>60000</f>
        <v>60000</v>
      </c>
      <c r="I148" s="26"/>
      <c r="J148" s="237">
        <f t="shared" si="51"/>
        <v>493030.77773333341</v>
      </c>
      <c r="K148" s="24"/>
      <c r="L148" s="24">
        <f>10000</f>
        <v>10000</v>
      </c>
      <c r="M148" s="24">
        <v>0</v>
      </c>
      <c r="N148" s="24">
        <v>469.48250000000002</v>
      </c>
      <c r="O148" s="26">
        <v>46138.184726666659</v>
      </c>
      <c r="P148" s="26">
        <v>25346.993333333336</v>
      </c>
      <c r="Q148" s="296">
        <f t="shared" si="52"/>
        <v>81954.660559999989</v>
      </c>
      <c r="R148" s="24">
        <v>204036.38837333329</v>
      </c>
      <c r="S148" s="240">
        <f t="shared" si="50"/>
        <v>411076.11717333342</v>
      </c>
      <c r="T148" s="213"/>
    </row>
    <row r="149" spans="1:20" ht="20.100000000000001" customHeight="1">
      <c r="A149" s="224">
        <v>16</v>
      </c>
      <c r="B149" s="188" t="s">
        <v>212</v>
      </c>
      <c r="C149" s="21" t="s">
        <v>239</v>
      </c>
      <c r="D149" s="434" t="s">
        <v>27</v>
      </c>
      <c r="E149" s="212">
        <v>316837.41666666669</v>
      </c>
      <c r="F149" s="26">
        <v>116193.36106666672</v>
      </c>
      <c r="G149" s="212"/>
      <c r="H149" s="212">
        <f>60000</f>
        <v>60000</v>
      </c>
      <c r="I149" s="26"/>
      <c r="J149" s="237">
        <f t="shared" si="51"/>
        <v>493030.77773333341</v>
      </c>
      <c r="K149" s="24"/>
      <c r="L149" s="24">
        <f>10000</f>
        <v>10000</v>
      </c>
      <c r="M149" s="24"/>
      <c r="N149" s="24"/>
      <c r="O149" s="26">
        <v>46217.057786666664</v>
      </c>
      <c r="P149" s="26">
        <v>25346.993333333336</v>
      </c>
      <c r="Q149" s="296">
        <f t="shared" si="52"/>
        <v>81564.051120000004</v>
      </c>
      <c r="R149" s="24">
        <v>204426.99781333329</v>
      </c>
      <c r="S149" s="240">
        <f t="shared" si="50"/>
        <v>411466.72661333339</v>
      </c>
      <c r="T149" s="213"/>
    </row>
    <row r="150" spans="1:20" ht="20.100000000000001" customHeight="1">
      <c r="A150" s="224">
        <v>17</v>
      </c>
      <c r="B150" s="188" t="s">
        <v>425</v>
      </c>
      <c r="C150" s="193" t="s">
        <v>430</v>
      </c>
      <c r="D150" s="214" t="s">
        <v>207</v>
      </c>
      <c r="E150" s="212">
        <v>300965.58333333331</v>
      </c>
      <c r="F150" s="26">
        <v>106573.61566933335</v>
      </c>
      <c r="G150" s="212"/>
      <c r="H150" s="212">
        <f>60000</f>
        <v>60000</v>
      </c>
      <c r="I150" s="26"/>
      <c r="J150" s="237">
        <f t="shared" si="51"/>
        <v>467539.19900266663</v>
      </c>
      <c r="K150" s="24"/>
      <c r="L150" s="24">
        <f>30000</f>
        <v>30000</v>
      </c>
      <c r="M150" s="24"/>
      <c r="N150" s="24"/>
      <c r="O150" s="26">
        <v>43763.90722666667</v>
      </c>
      <c r="P150" s="26">
        <v>24077.246666666666</v>
      </c>
      <c r="Q150" s="296">
        <f t="shared" si="52"/>
        <v>97841.153893333336</v>
      </c>
      <c r="R150" s="24">
        <v>180628.0604373333</v>
      </c>
      <c r="S150" s="240">
        <f t="shared" si="50"/>
        <v>369698.0451093333</v>
      </c>
      <c r="T150" s="213"/>
    </row>
    <row r="151" spans="1:20" ht="20.100000000000001" customHeight="1">
      <c r="A151" s="224">
        <v>18</v>
      </c>
      <c r="B151" s="188" t="s">
        <v>750</v>
      </c>
      <c r="C151" s="193" t="s">
        <v>438</v>
      </c>
      <c r="D151" s="29" t="s">
        <v>498</v>
      </c>
      <c r="E151" s="26">
        <v>263165.33333333331</v>
      </c>
      <c r="F151" s="26">
        <v>98226.268101333306</v>
      </c>
      <c r="G151" s="212"/>
      <c r="H151" s="212">
        <f>60000</f>
        <v>60000</v>
      </c>
      <c r="I151" s="26"/>
      <c r="J151" s="237">
        <f t="shared" si="51"/>
        <v>421391.60143466661</v>
      </c>
      <c r="K151" s="24"/>
      <c r="L151" s="24">
        <f>30000</f>
        <v>30000</v>
      </c>
      <c r="M151" s="24"/>
      <c r="N151" s="24"/>
      <c r="O151" s="26">
        <v>37921.500586666662</v>
      </c>
      <c r="P151" s="26">
        <v>21053.226666666666</v>
      </c>
      <c r="Q151" s="296">
        <f t="shared" si="52"/>
        <v>88974.727253333331</v>
      </c>
      <c r="R151" s="24">
        <v>157017.56464533333</v>
      </c>
      <c r="S151" s="240">
        <f t="shared" si="50"/>
        <v>332416.87418133329</v>
      </c>
      <c r="T151" s="213"/>
    </row>
    <row r="152" spans="1:20" ht="20.100000000000001" customHeight="1">
      <c r="A152" s="224">
        <v>19</v>
      </c>
      <c r="B152" s="188" t="s">
        <v>230</v>
      </c>
      <c r="C152" s="193" t="s">
        <v>485</v>
      </c>
      <c r="D152" s="214" t="s">
        <v>164</v>
      </c>
      <c r="E152" s="212">
        <v>308901.5</v>
      </c>
      <c r="F152" s="26">
        <v>113282.95705600004</v>
      </c>
      <c r="G152" s="212"/>
      <c r="H152" s="212">
        <f>50000+10000</f>
        <v>60000</v>
      </c>
      <c r="I152" s="26"/>
      <c r="J152" s="237">
        <f t="shared" si="51"/>
        <v>482184.45705600001</v>
      </c>
      <c r="K152" s="24"/>
      <c r="L152" s="24">
        <v>10000</v>
      </c>
      <c r="M152" s="24"/>
      <c r="N152" s="24"/>
      <c r="O152" s="26">
        <v>44990.48250666666</v>
      </c>
      <c r="P152" s="26">
        <v>24712.12</v>
      </c>
      <c r="Q152" s="296">
        <f t="shared" si="52"/>
        <v>79702.602506666663</v>
      </c>
      <c r="R152" s="24">
        <v>200628.0604373333</v>
      </c>
      <c r="S152" s="240">
        <f t="shared" si="50"/>
        <v>402481.85454933334</v>
      </c>
      <c r="T152" s="213"/>
    </row>
    <row r="153" spans="1:20" ht="20.100000000000001" customHeight="1">
      <c r="A153" s="224">
        <v>20</v>
      </c>
      <c r="B153" s="188" t="s">
        <v>57</v>
      </c>
      <c r="C153" s="193" t="s">
        <v>481</v>
      </c>
      <c r="D153" s="214" t="s">
        <v>746</v>
      </c>
      <c r="E153" s="212">
        <v>270481.66666666669</v>
      </c>
      <c r="F153" s="26">
        <v>100957.35594666668</v>
      </c>
      <c r="G153" s="212"/>
      <c r="H153" s="212">
        <f>50000+10000</f>
        <v>60000</v>
      </c>
      <c r="I153" s="26"/>
      <c r="J153" s="237">
        <f t="shared" si="51"/>
        <v>431439.02261333336</v>
      </c>
      <c r="K153" s="24"/>
      <c r="L153" s="24">
        <f>30000+10000</f>
        <v>40000</v>
      </c>
      <c r="M153" s="24">
        <f>70000</f>
        <v>70000</v>
      </c>
      <c r="N153" s="24"/>
      <c r="O153" s="26">
        <v>39052.313066666662</v>
      </c>
      <c r="P153" s="26">
        <v>21638.533333333336</v>
      </c>
      <c r="Q153" s="296">
        <f t="shared" si="52"/>
        <v>170690.84639999998</v>
      </c>
      <c r="R153" s="24">
        <v>80471.997653333354</v>
      </c>
      <c r="S153" s="240">
        <f t="shared" si="50"/>
        <v>260748.17621333338</v>
      </c>
      <c r="T153" s="213"/>
    </row>
    <row r="154" spans="1:20" ht="20.100000000000001" customHeight="1">
      <c r="A154" s="224">
        <v>21</v>
      </c>
      <c r="B154" s="188" t="s">
        <v>251</v>
      </c>
      <c r="C154" s="193" t="s">
        <v>482</v>
      </c>
      <c r="D154" s="214" t="s">
        <v>164</v>
      </c>
      <c r="E154" s="212">
        <v>308901.5</v>
      </c>
      <c r="F154" s="26">
        <v>113282.95705600003</v>
      </c>
      <c r="G154" s="212"/>
      <c r="H154" s="212">
        <f>50000+10000</f>
        <v>60000</v>
      </c>
      <c r="I154" s="26"/>
      <c r="J154" s="237">
        <f t="shared" si="51"/>
        <v>482184.45705600001</v>
      </c>
      <c r="K154" s="24"/>
      <c r="L154" s="24">
        <f>10000</f>
        <v>10000</v>
      </c>
      <c r="M154" s="24">
        <f>90000</f>
        <v>90000</v>
      </c>
      <c r="N154" s="24">
        <v>457.041</v>
      </c>
      <c r="O154" s="26">
        <v>44913.699618666666</v>
      </c>
      <c r="P154" s="26">
        <v>24712.12</v>
      </c>
      <c r="Q154" s="296">
        <f t="shared" si="52"/>
        <v>170082.86061866666</v>
      </c>
      <c r="R154" s="24">
        <v>110247.80232533331</v>
      </c>
      <c r="S154" s="240">
        <f t="shared" si="50"/>
        <v>312101.59643733338</v>
      </c>
      <c r="T154" s="213"/>
    </row>
    <row r="155" spans="1:20" ht="20.100000000000001" customHeight="1">
      <c r="A155" s="224">
        <v>22</v>
      </c>
      <c r="B155" s="188" t="s">
        <v>241</v>
      </c>
      <c r="C155" s="193" t="s">
        <v>348</v>
      </c>
      <c r="D155" s="214" t="s">
        <v>746</v>
      </c>
      <c r="E155" s="212">
        <v>270481.66666666669</v>
      </c>
      <c r="F155" s="26">
        <v>104411.78895466668</v>
      </c>
      <c r="G155" s="212"/>
      <c r="H155" s="212">
        <f>50000+10000</f>
        <v>60000</v>
      </c>
      <c r="I155" s="26"/>
      <c r="J155" s="237">
        <f t="shared" si="51"/>
        <v>434893.45562133339</v>
      </c>
      <c r="K155" s="24"/>
      <c r="L155" s="24"/>
      <c r="M155" s="24">
        <v>0</v>
      </c>
      <c r="N155" s="24"/>
      <c r="O155" s="26">
        <v>39052.313066666662</v>
      </c>
      <c r="P155" s="26">
        <v>21638.533333333336</v>
      </c>
      <c r="Q155" s="296">
        <f t="shared" si="52"/>
        <v>60690.846399999995</v>
      </c>
      <c r="R155" s="24">
        <v>187017.56464533333</v>
      </c>
      <c r="S155" s="240">
        <f t="shared" si="50"/>
        <v>374202.60922133341</v>
      </c>
      <c r="T155" s="213"/>
    </row>
    <row r="156" spans="1:20" ht="20.100000000000001" customHeight="1">
      <c r="A156" s="224">
        <v>23</v>
      </c>
      <c r="B156" s="364" t="s">
        <v>289</v>
      </c>
      <c r="C156" s="367" t="s">
        <v>713</v>
      </c>
      <c r="D156" s="214" t="s">
        <v>428</v>
      </c>
      <c r="E156" s="212">
        <v>255849</v>
      </c>
      <c r="F156" s="26">
        <v>95495.180256000007</v>
      </c>
      <c r="G156" s="212"/>
      <c r="H156" s="212">
        <f>60000</f>
        <v>60000</v>
      </c>
      <c r="I156" s="357"/>
      <c r="J156" s="237">
        <f t="shared" si="51"/>
        <v>411344.18025600002</v>
      </c>
      <c r="K156" s="26"/>
      <c r="L156" s="24">
        <v>30000</v>
      </c>
      <c r="M156" s="24">
        <f>60000</f>
        <v>60000</v>
      </c>
      <c r="N156" s="24"/>
      <c r="O156" s="26">
        <v>36790.688106666661</v>
      </c>
      <c r="P156" s="26">
        <v>20467.920000000002</v>
      </c>
      <c r="Q156" s="296">
        <f t="shared" si="52"/>
        <v>147258.60810666668</v>
      </c>
      <c r="R156" s="24">
        <v>93563.131637333325</v>
      </c>
      <c r="S156" s="240">
        <f t="shared" si="50"/>
        <v>264085.57214933331</v>
      </c>
      <c r="T156" s="213"/>
    </row>
    <row r="157" spans="1:20" ht="20.100000000000001" customHeight="1">
      <c r="A157" s="224">
        <v>24</v>
      </c>
      <c r="B157" s="189" t="s">
        <v>407</v>
      </c>
      <c r="C157" s="193" t="s">
        <v>131</v>
      </c>
      <c r="D157" s="214" t="s">
        <v>176</v>
      </c>
      <c r="E157" s="26">
        <v>224459.75</v>
      </c>
      <c r="F157" s="26">
        <v>84427.198240000012</v>
      </c>
      <c r="G157" s="212"/>
      <c r="H157" s="212">
        <f>50000</f>
        <v>50000</v>
      </c>
      <c r="I157" s="26"/>
      <c r="J157" s="237">
        <f t="shared" si="51"/>
        <v>358886.94824</v>
      </c>
      <c r="K157" s="24"/>
      <c r="L157" s="24">
        <f>20000</f>
        <v>20000</v>
      </c>
      <c r="M157" s="24"/>
      <c r="N157" s="24">
        <v>0</v>
      </c>
      <c r="O157" s="26">
        <v>30259.165626666669</v>
      </c>
      <c r="P157" s="26">
        <v>17956.78</v>
      </c>
      <c r="Q157" s="296">
        <f t="shared" si="52"/>
        <v>68215.945626666668</v>
      </c>
      <c r="R157" s="24">
        <v>139773.38613333332</v>
      </c>
      <c r="S157" s="240">
        <f t="shared" si="50"/>
        <v>290671.00261333334</v>
      </c>
      <c r="T157" s="213"/>
    </row>
    <row r="158" spans="1:20" ht="20.100000000000001" customHeight="1">
      <c r="A158" s="224">
        <v>25</v>
      </c>
      <c r="B158" s="189" t="s">
        <v>426</v>
      </c>
      <c r="C158" s="193" t="s">
        <v>290</v>
      </c>
      <c r="D158" s="434" t="s">
        <v>176</v>
      </c>
      <c r="E158" s="26">
        <v>224459.75</v>
      </c>
      <c r="F158" s="26">
        <v>84427.198240000012</v>
      </c>
      <c r="G158" s="212"/>
      <c r="H158" s="212">
        <f>50000</f>
        <v>50000</v>
      </c>
      <c r="I158" s="26"/>
      <c r="J158" s="237">
        <f t="shared" si="51"/>
        <v>358886.94824</v>
      </c>
      <c r="K158" s="24"/>
      <c r="L158" s="24">
        <f>12000-2000</f>
        <v>10000</v>
      </c>
      <c r="M158" s="24"/>
      <c r="N158" s="24">
        <v>0</v>
      </c>
      <c r="O158" s="26">
        <v>30259.165626666669</v>
      </c>
      <c r="P158" s="26">
        <v>17956.78</v>
      </c>
      <c r="Q158" s="296">
        <f t="shared" si="52"/>
        <v>58215.945626666668</v>
      </c>
      <c r="R158" s="24">
        <v>149773.38613333332</v>
      </c>
      <c r="S158" s="240">
        <f t="shared" si="50"/>
        <v>300671.00261333334</v>
      </c>
      <c r="T158" s="213"/>
    </row>
    <row r="159" spans="1:20" ht="20.100000000000001" customHeight="1">
      <c r="A159" s="224">
        <v>26</v>
      </c>
      <c r="B159" s="189" t="s">
        <v>441</v>
      </c>
      <c r="C159" s="193" t="s">
        <v>442</v>
      </c>
      <c r="D159" s="434" t="s">
        <v>176</v>
      </c>
      <c r="E159" s="26">
        <v>224459.75</v>
      </c>
      <c r="F159" s="26">
        <v>84427.198240000012</v>
      </c>
      <c r="G159" s="212"/>
      <c r="H159" s="212">
        <f>50000</f>
        <v>50000</v>
      </c>
      <c r="I159" s="26"/>
      <c r="J159" s="237">
        <f t="shared" si="51"/>
        <v>358886.94824</v>
      </c>
      <c r="K159" s="24"/>
      <c r="L159" s="24">
        <v>0</v>
      </c>
      <c r="M159" s="24"/>
      <c r="N159" s="24">
        <v>0</v>
      </c>
      <c r="O159" s="26">
        <v>30259.165626666669</v>
      </c>
      <c r="P159" s="26">
        <v>17956.78</v>
      </c>
      <c r="Q159" s="296">
        <f t="shared" si="52"/>
        <v>48215.945626666668</v>
      </c>
      <c r="R159" s="24">
        <v>159773.38613333332</v>
      </c>
      <c r="S159" s="240">
        <f t="shared" si="50"/>
        <v>310671.00261333334</v>
      </c>
      <c r="T159" s="213"/>
    </row>
    <row r="160" spans="1:20" ht="20.100000000000001" customHeight="1">
      <c r="A160" s="224">
        <v>27</v>
      </c>
      <c r="B160" s="189" t="s">
        <v>445</v>
      </c>
      <c r="C160" s="193" t="s">
        <v>446</v>
      </c>
      <c r="D160" s="214" t="s">
        <v>51</v>
      </c>
      <c r="E160" s="26">
        <v>230631.91666666666</v>
      </c>
      <c r="F160" s="26">
        <v>86687.597962666638</v>
      </c>
      <c r="G160" s="212"/>
      <c r="H160" s="212">
        <f>50000</f>
        <v>50000</v>
      </c>
      <c r="I160" s="26"/>
      <c r="J160" s="237">
        <f t="shared" si="51"/>
        <v>367319.51462933328</v>
      </c>
      <c r="K160" s="24"/>
      <c r="L160" s="24">
        <f>10000+5000+5000</f>
        <v>20000</v>
      </c>
      <c r="M160" s="24">
        <f>32000</f>
        <v>32000</v>
      </c>
      <c r="N160" s="24">
        <v>0</v>
      </c>
      <c r="O160" s="26">
        <v>31213.135706666657</v>
      </c>
      <c r="P160" s="26">
        <v>18450.553333333333</v>
      </c>
      <c r="Q160" s="296">
        <f t="shared" si="52"/>
        <v>101663.68903999998</v>
      </c>
      <c r="R160" s="24">
        <v>110731.18299733332</v>
      </c>
      <c r="S160" s="240">
        <f t="shared" si="50"/>
        <v>265655.82558933331</v>
      </c>
      <c r="T160" s="213"/>
    </row>
    <row r="161" spans="1:20" ht="20.100000000000001" customHeight="1">
      <c r="A161" s="224">
        <v>28</v>
      </c>
      <c r="B161" s="189" t="s">
        <v>550</v>
      </c>
      <c r="C161" s="287" t="s">
        <v>290</v>
      </c>
      <c r="D161" s="214" t="s">
        <v>176</v>
      </c>
      <c r="E161" s="26">
        <v>224459.75</v>
      </c>
      <c r="F161" s="26">
        <v>84427.198240000012</v>
      </c>
      <c r="G161" s="212"/>
      <c r="H161" s="212">
        <f>50000</f>
        <v>50000</v>
      </c>
      <c r="I161" s="26"/>
      <c r="J161" s="237">
        <f t="shared" si="51"/>
        <v>358886.94824</v>
      </c>
      <c r="K161" s="24"/>
      <c r="L161" s="24">
        <v>30000</v>
      </c>
      <c r="M161" s="24">
        <v>0</v>
      </c>
      <c r="N161" s="24">
        <v>0</v>
      </c>
      <c r="O161" s="26">
        <v>30259.165626666669</v>
      </c>
      <c r="P161" s="26">
        <v>17956.78</v>
      </c>
      <c r="Q161" s="296">
        <f t="shared" si="52"/>
        <v>78215.945626666668</v>
      </c>
      <c r="R161" s="24">
        <v>129773.38613333332</v>
      </c>
      <c r="S161" s="240">
        <f t="shared" si="50"/>
        <v>280671.00261333334</v>
      </c>
      <c r="T161" s="213"/>
    </row>
    <row r="162" spans="1:20" ht="20.100000000000001" customHeight="1">
      <c r="A162" s="224">
        <v>29</v>
      </c>
      <c r="B162" s="188" t="s">
        <v>22</v>
      </c>
      <c r="C162" s="193" t="s">
        <v>302</v>
      </c>
      <c r="D162" s="214" t="s">
        <v>751</v>
      </c>
      <c r="E162" s="225">
        <v>168598.16666666666</v>
      </c>
      <c r="F162" s="212">
        <v>58853.758080000014</v>
      </c>
      <c r="G162" s="212"/>
      <c r="H162" s="212">
        <f>30000</f>
        <v>30000</v>
      </c>
      <c r="I162" s="26">
        <f>4000</f>
        <v>4000</v>
      </c>
      <c r="J162" s="237">
        <f t="shared" si="51"/>
        <v>261451.92474666669</v>
      </c>
      <c r="K162" s="24"/>
      <c r="L162" s="24">
        <f>20000+5000+5000</f>
        <v>30000</v>
      </c>
      <c r="M162" s="24">
        <f>47916.66</f>
        <v>47916.66</v>
      </c>
      <c r="N162" s="24">
        <v>263.19</v>
      </c>
      <c r="O162" s="24">
        <v>18892.983386666663</v>
      </c>
      <c r="P162" s="24">
        <v>13487.853333333333</v>
      </c>
      <c r="Q162" s="296">
        <f t="shared" si="52"/>
        <v>110560.68672</v>
      </c>
      <c r="R162" s="24">
        <v>46671.575199999977</v>
      </c>
      <c r="S162" s="240">
        <f t="shared" si="50"/>
        <v>150891.23802666669</v>
      </c>
      <c r="T162" s="213"/>
    </row>
    <row r="163" spans="1:20" ht="20.100000000000001" customHeight="1">
      <c r="A163" s="224">
        <v>30</v>
      </c>
      <c r="B163" s="188" t="s">
        <v>14</v>
      </c>
      <c r="C163" s="193" t="s">
        <v>302</v>
      </c>
      <c r="D163" s="434" t="s">
        <v>751</v>
      </c>
      <c r="E163" s="225">
        <v>168598.16666666666</v>
      </c>
      <c r="F163" s="212">
        <v>58798.694986666676</v>
      </c>
      <c r="G163" s="212"/>
      <c r="H163" s="212">
        <f>30000</f>
        <v>30000</v>
      </c>
      <c r="I163" s="26">
        <f>7000</f>
        <v>7000</v>
      </c>
      <c r="J163" s="237">
        <f t="shared" si="51"/>
        <v>264396.8616533333</v>
      </c>
      <c r="K163" s="24"/>
      <c r="L163" s="24">
        <f>5000+5000+5000</f>
        <v>15000</v>
      </c>
      <c r="M163" s="24">
        <f>14524.11</f>
        <v>14524.11</v>
      </c>
      <c r="N163" s="24"/>
      <c r="O163" s="24">
        <v>19441.199306666666</v>
      </c>
      <c r="P163" s="24">
        <v>13487.853333333333</v>
      </c>
      <c r="Q163" s="296">
        <f t="shared" si="52"/>
        <v>62453.162639999995</v>
      </c>
      <c r="R163" s="24">
        <v>97834.162373333325</v>
      </c>
      <c r="S163" s="240">
        <f t="shared" si="50"/>
        <v>201943.6990133333</v>
      </c>
      <c r="T163" s="213"/>
    </row>
    <row r="164" spans="1:20" ht="20.100000000000001" customHeight="1">
      <c r="A164" s="224">
        <v>31</v>
      </c>
      <c r="B164" s="188" t="s">
        <v>23</v>
      </c>
      <c r="C164" s="193" t="s">
        <v>302</v>
      </c>
      <c r="D164" s="434" t="s">
        <v>751</v>
      </c>
      <c r="E164" s="225">
        <v>168598.16666666666</v>
      </c>
      <c r="F164" s="212">
        <v>58846.694986666676</v>
      </c>
      <c r="G164" s="212"/>
      <c r="H164" s="212">
        <f>30000</f>
        <v>30000</v>
      </c>
      <c r="I164" s="26">
        <f>4000</f>
        <v>4000</v>
      </c>
      <c r="J164" s="237">
        <f t="shared" si="51"/>
        <v>261444.86165333333</v>
      </c>
      <c r="K164" s="24"/>
      <c r="L164" s="24">
        <f>10000+5000+5000</f>
        <v>20000</v>
      </c>
      <c r="M164" s="24"/>
      <c r="N164" s="24"/>
      <c r="O164" s="24">
        <v>18937.199306666666</v>
      </c>
      <c r="P164" s="24">
        <v>13487.853333333333</v>
      </c>
      <c r="Q164" s="296">
        <f t="shared" si="52"/>
        <v>52425.052639999994</v>
      </c>
      <c r="R164" s="24">
        <v>104814.27237333331</v>
      </c>
      <c r="S164" s="240">
        <f t="shared" si="50"/>
        <v>209019.80901333335</v>
      </c>
      <c r="T164" s="213"/>
    </row>
    <row r="165" spans="1:20" ht="20.100000000000001" customHeight="1">
      <c r="A165" s="224">
        <v>32</v>
      </c>
      <c r="B165" s="188" t="s">
        <v>39</v>
      </c>
      <c r="C165" s="193" t="s">
        <v>302</v>
      </c>
      <c r="D165" s="434" t="s">
        <v>751</v>
      </c>
      <c r="E165" s="225">
        <v>168598.16666666666</v>
      </c>
      <c r="F165" s="212">
        <v>58853.758080000014</v>
      </c>
      <c r="G165" s="212"/>
      <c r="H165" s="212">
        <f>30000</f>
        <v>30000</v>
      </c>
      <c r="I165" s="26">
        <f>4000</f>
        <v>4000</v>
      </c>
      <c r="J165" s="237">
        <f t="shared" si="51"/>
        <v>261451.92474666669</v>
      </c>
      <c r="K165" s="24"/>
      <c r="L165" s="24">
        <f>5000+5000+5000</f>
        <v>15000</v>
      </c>
      <c r="M165" s="24">
        <f>85704.84-50000</f>
        <v>35704.839999999997</v>
      </c>
      <c r="N165" s="24">
        <v>263.19</v>
      </c>
      <c r="O165" s="24">
        <v>18892.983386666663</v>
      </c>
      <c r="P165" s="24">
        <v>13487.853333333333</v>
      </c>
      <c r="Q165" s="296">
        <f t="shared" si="52"/>
        <v>83348.866719999991</v>
      </c>
      <c r="R165" s="24">
        <v>73883.395199999984</v>
      </c>
      <c r="S165" s="240">
        <f t="shared" si="50"/>
        <v>178103.05802666669</v>
      </c>
      <c r="T165" s="213"/>
    </row>
    <row r="166" spans="1:20" ht="20.100000000000001" customHeight="1">
      <c r="A166" s="224">
        <v>33</v>
      </c>
      <c r="B166" s="188" t="s">
        <v>40</v>
      </c>
      <c r="C166" s="193" t="s">
        <v>302</v>
      </c>
      <c r="D166" s="434" t="s">
        <v>751</v>
      </c>
      <c r="E166" s="225">
        <v>168598.16666666666</v>
      </c>
      <c r="F166" s="212">
        <v>58846.694986666676</v>
      </c>
      <c r="G166" s="212"/>
      <c r="H166" s="212">
        <f>30000</f>
        <v>30000</v>
      </c>
      <c r="I166" s="26">
        <f>4000</f>
        <v>4000</v>
      </c>
      <c r="J166" s="237">
        <f t="shared" si="51"/>
        <v>261444.86165333333</v>
      </c>
      <c r="K166" s="24"/>
      <c r="L166" s="24">
        <f>10000+5000+5000</f>
        <v>20000</v>
      </c>
      <c r="M166" s="24">
        <f>15112.49</f>
        <v>15112.49</v>
      </c>
      <c r="N166" s="24"/>
      <c r="O166" s="24">
        <v>18937.199306666666</v>
      </c>
      <c r="P166" s="24">
        <v>13487.853333333333</v>
      </c>
      <c r="Q166" s="296">
        <f t="shared" si="52"/>
        <v>67537.54264</v>
      </c>
      <c r="R166" s="24">
        <v>89701.782373333321</v>
      </c>
      <c r="S166" s="240">
        <f t="shared" ref="S166:S192" si="53">J166-Q166</f>
        <v>193907.31901333333</v>
      </c>
      <c r="T166" s="213"/>
    </row>
    <row r="167" spans="1:20" ht="20.100000000000001" customHeight="1">
      <c r="A167" s="224">
        <v>34</v>
      </c>
      <c r="B167" s="188" t="s">
        <v>127</v>
      </c>
      <c r="C167" s="193" t="s">
        <v>302</v>
      </c>
      <c r="D167" s="214" t="s">
        <v>501</v>
      </c>
      <c r="E167" s="225">
        <v>163336.83333333334</v>
      </c>
      <c r="F167" s="212">
        <v>54346.871520000022</v>
      </c>
      <c r="G167" s="212"/>
      <c r="H167" s="212">
        <f>20000+10000</f>
        <v>30000</v>
      </c>
      <c r="I167" s="26">
        <f>7000</f>
        <v>7000</v>
      </c>
      <c r="J167" s="237">
        <f t="shared" si="51"/>
        <v>254683.70485333336</v>
      </c>
      <c r="K167" s="24"/>
      <c r="L167" s="24">
        <f>5000+5000+15000+5000</f>
        <v>30000</v>
      </c>
      <c r="M167" s="24">
        <f>26430.62</f>
        <v>26430.62</v>
      </c>
      <c r="N167" s="24"/>
      <c r="O167" s="24">
        <v>18631.689440000002</v>
      </c>
      <c r="P167" s="24">
        <v>13066.946666666669</v>
      </c>
      <c r="Q167" s="296">
        <f t="shared" si="52"/>
        <v>88129.256106666668</v>
      </c>
      <c r="R167" s="24">
        <v>70927.652373333316</v>
      </c>
      <c r="S167" s="240">
        <f t="shared" si="53"/>
        <v>166554.44874666669</v>
      </c>
      <c r="T167" s="213"/>
    </row>
    <row r="168" spans="1:20" ht="20.100000000000001" customHeight="1">
      <c r="A168" s="224">
        <v>35</v>
      </c>
      <c r="B168" s="188" t="s">
        <v>128</v>
      </c>
      <c r="C168" s="193" t="s">
        <v>302</v>
      </c>
      <c r="D168" s="434" t="s">
        <v>501</v>
      </c>
      <c r="E168" s="225">
        <v>163336.83333333334</v>
      </c>
      <c r="F168" s="212">
        <v>54346.871520000022</v>
      </c>
      <c r="G168" s="212"/>
      <c r="H168" s="212">
        <f t="shared" ref="H168:H172" si="54">20000+10000</f>
        <v>30000</v>
      </c>
      <c r="I168" s="26">
        <f>4000</f>
        <v>4000</v>
      </c>
      <c r="J168" s="237">
        <f t="shared" si="51"/>
        <v>251683.70485333336</v>
      </c>
      <c r="K168" s="24"/>
      <c r="L168" s="24">
        <f>3000+5000+17000+5000</f>
        <v>30000</v>
      </c>
      <c r="M168" s="24">
        <f>25555.56</f>
        <v>25555.56</v>
      </c>
      <c r="N168" s="24"/>
      <c r="O168" s="24">
        <v>18175.689440000002</v>
      </c>
      <c r="P168" s="24">
        <v>13066.946666666669</v>
      </c>
      <c r="Q168" s="296">
        <f t="shared" si="52"/>
        <v>86798.19610666667</v>
      </c>
      <c r="R168" s="24">
        <v>69258.712373333314</v>
      </c>
      <c r="S168" s="240">
        <f t="shared" si="53"/>
        <v>164885.50874666669</v>
      </c>
      <c r="T168" s="213"/>
    </row>
    <row r="169" spans="1:20" ht="20.100000000000001" customHeight="1">
      <c r="A169" s="224">
        <v>36</v>
      </c>
      <c r="B169" s="190" t="s">
        <v>136</v>
      </c>
      <c r="C169" s="193" t="s">
        <v>302</v>
      </c>
      <c r="D169" s="434" t="s">
        <v>501</v>
      </c>
      <c r="E169" s="225">
        <v>163336.83333333334</v>
      </c>
      <c r="F169" s="212">
        <v>54346.871520000022</v>
      </c>
      <c r="G169" s="212"/>
      <c r="H169" s="212">
        <f t="shared" si="54"/>
        <v>30000</v>
      </c>
      <c r="I169" s="26">
        <f>7000</f>
        <v>7000</v>
      </c>
      <c r="J169" s="237">
        <f t="shared" si="51"/>
        <v>254683.70485333336</v>
      </c>
      <c r="K169" s="24"/>
      <c r="L169" s="24">
        <f>5000+5000+5000+5000</f>
        <v>20000</v>
      </c>
      <c r="M169" s="24">
        <f>20000</f>
        <v>20000</v>
      </c>
      <c r="N169" s="24"/>
      <c r="O169" s="24">
        <v>18631.689440000002</v>
      </c>
      <c r="P169" s="24">
        <v>13066.946666666669</v>
      </c>
      <c r="Q169" s="296">
        <f t="shared" si="52"/>
        <v>71698.636106666672</v>
      </c>
      <c r="R169" s="24">
        <v>87358.272373333311</v>
      </c>
      <c r="S169" s="240">
        <f t="shared" si="53"/>
        <v>182985.06874666669</v>
      </c>
      <c r="T169" s="213"/>
    </row>
    <row r="170" spans="1:20" ht="20.100000000000001" customHeight="1">
      <c r="A170" s="224">
        <v>37</v>
      </c>
      <c r="B170" s="188" t="s">
        <v>140</v>
      </c>
      <c r="C170" s="193" t="s">
        <v>302</v>
      </c>
      <c r="D170" s="434" t="s">
        <v>501</v>
      </c>
      <c r="E170" s="225">
        <v>163336.83333333334</v>
      </c>
      <c r="F170" s="212">
        <v>54346.871520000022</v>
      </c>
      <c r="G170" s="212"/>
      <c r="H170" s="212">
        <f t="shared" si="54"/>
        <v>30000</v>
      </c>
      <c r="I170" s="26">
        <f>4000</f>
        <v>4000</v>
      </c>
      <c r="J170" s="237">
        <f t="shared" si="51"/>
        <v>251683.70485333336</v>
      </c>
      <c r="K170" s="24"/>
      <c r="L170" s="24">
        <f>10000+5000+5000</f>
        <v>20000</v>
      </c>
      <c r="M170" s="24">
        <f>13750</f>
        <v>13750</v>
      </c>
      <c r="N170" s="24"/>
      <c r="O170" s="24">
        <v>18175.689440000002</v>
      </c>
      <c r="P170" s="24">
        <v>13066.946666666669</v>
      </c>
      <c r="Q170" s="296">
        <f t="shared" si="52"/>
        <v>64992.636106666672</v>
      </c>
      <c r="R170" s="24">
        <v>91064.272373333311</v>
      </c>
      <c r="S170" s="240">
        <f t="shared" si="53"/>
        <v>186691.06874666669</v>
      </c>
      <c r="T170" s="213"/>
    </row>
    <row r="171" spans="1:20" ht="20.100000000000001" customHeight="1">
      <c r="A171" s="224">
        <v>38</v>
      </c>
      <c r="B171" s="189" t="s">
        <v>152</v>
      </c>
      <c r="C171" s="193" t="s">
        <v>302</v>
      </c>
      <c r="D171" s="434" t="s">
        <v>501</v>
      </c>
      <c r="E171" s="225">
        <v>163336.83333333334</v>
      </c>
      <c r="F171" s="212">
        <v>54346.871520000022</v>
      </c>
      <c r="G171" s="212"/>
      <c r="H171" s="212">
        <f t="shared" si="54"/>
        <v>30000</v>
      </c>
      <c r="I171" s="26">
        <f>4000</f>
        <v>4000</v>
      </c>
      <c r="J171" s="237">
        <f t="shared" si="51"/>
        <v>251683.70485333336</v>
      </c>
      <c r="K171" s="24"/>
      <c r="L171" s="24">
        <f>3000+5000+7000+5000</f>
        <v>20000</v>
      </c>
      <c r="M171" s="24">
        <f>16958.34</f>
        <v>16958.34</v>
      </c>
      <c r="N171" s="24"/>
      <c r="O171" s="24">
        <v>18175.689440000002</v>
      </c>
      <c r="P171" s="24">
        <v>13066.946666666669</v>
      </c>
      <c r="Q171" s="296">
        <f t="shared" si="52"/>
        <v>68200.976106666669</v>
      </c>
      <c r="R171" s="24">
        <v>87855.932373333315</v>
      </c>
      <c r="S171" s="240">
        <f t="shared" si="53"/>
        <v>183482.72874666669</v>
      </c>
      <c r="T171" s="213"/>
    </row>
    <row r="172" spans="1:20" ht="20.100000000000001" customHeight="1">
      <c r="A172" s="224">
        <v>39</v>
      </c>
      <c r="B172" s="189" t="s">
        <v>132</v>
      </c>
      <c r="C172" s="193" t="s">
        <v>302</v>
      </c>
      <c r="D172" s="434" t="s">
        <v>501</v>
      </c>
      <c r="E172" s="225">
        <v>163336.83333333334</v>
      </c>
      <c r="F172" s="212">
        <v>54346.871520000022</v>
      </c>
      <c r="G172" s="212"/>
      <c r="H172" s="212">
        <f t="shared" si="54"/>
        <v>30000</v>
      </c>
      <c r="I172" s="26">
        <f>7000</f>
        <v>7000</v>
      </c>
      <c r="J172" s="237">
        <f t="shared" si="51"/>
        <v>254683.70485333336</v>
      </c>
      <c r="K172" s="24"/>
      <c r="L172" s="24">
        <f>10000+5000+5000</f>
        <v>20000</v>
      </c>
      <c r="M172" s="24">
        <f>22361.11</f>
        <v>22361.11</v>
      </c>
      <c r="N172" s="24"/>
      <c r="O172" s="24">
        <v>18631.689440000002</v>
      </c>
      <c r="P172" s="24">
        <v>13066.946666666669</v>
      </c>
      <c r="Q172" s="296">
        <f t="shared" si="52"/>
        <v>74059.746106666673</v>
      </c>
      <c r="R172" s="24">
        <v>84997.162373333325</v>
      </c>
      <c r="S172" s="240">
        <f t="shared" si="53"/>
        <v>180623.95874666667</v>
      </c>
      <c r="T172" s="213"/>
    </row>
    <row r="173" spans="1:20" ht="20.100000000000001" customHeight="1">
      <c r="A173" s="224">
        <v>40</v>
      </c>
      <c r="B173" s="363" t="s">
        <v>231</v>
      </c>
      <c r="C173" s="367" t="s">
        <v>714</v>
      </c>
      <c r="D173" s="214" t="s">
        <v>306</v>
      </c>
      <c r="E173" s="26">
        <v>152814.16666666666</v>
      </c>
      <c r="F173" s="212">
        <v>59701.568473333318</v>
      </c>
      <c r="G173" s="212"/>
      <c r="H173" s="212">
        <f>30000</f>
        <v>30000</v>
      </c>
      <c r="I173" s="26">
        <f>7000</f>
        <v>7000</v>
      </c>
      <c r="J173" s="237">
        <f t="shared" si="51"/>
        <v>249515.73513999998</v>
      </c>
      <c r="K173" s="24"/>
      <c r="L173" s="24">
        <f>10000+5000+5000</f>
        <v>20000</v>
      </c>
      <c r="M173" s="24">
        <f>15625</f>
        <v>15625</v>
      </c>
      <c r="N173" s="24"/>
      <c r="O173" s="24">
        <v>17160.199733333338</v>
      </c>
      <c r="P173" s="24">
        <v>12225.133333333333</v>
      </c>
      <c r="Q173" s="296">
        <f t="shared" si="52"/>
        <v>65010.333066666673</v>
      </c>
      <c r="R173" s="24">
        <v>77327.398459999997</v>
      </c>
      <c r="S173" s="24">
        <f t="shared" si="53"/>
        <v>184505.4020733333</v>
      </c>
      <c r="T173" s="213"/>
    </row>
    <row r="174" spans="1:20" ht="20.100000000000001" customHeight="1">
      <c r="A174" s="224">
        <v>41</v>
      </c>
      <c r="B174" s="363" t="s">
        <v>246</v>
      </c>
      <c r="C174" s="367" t="s">
        <v>714</v>
      </c>
      <c r="D174" s="434" t="s">
        <v>306</v>
      </c>
      <c r="E174" s="26">
        <v>152814.16666666666</v>
      </c>
      <c r="F174" s="212">
        <v>59701.568473333318</v>
      </c>
      <c r="G174" s="212"/>
      <c r="H174" s="212">
        <f>30000</f>
        <v>30000</v>
      </c>
      <c r="I174" s="26">
        <f>7000</f>
        <v>7000</v>
      </c>
      <c r="J174" s="237">
        <f t="shared" si="51"/>
        <v>249515.73513999998</v>
      </c>
      <c r="K174" s="24"/>
      <c r="L174" s="24">
        <v>20000</v>
      </c>
      <c r="M174" s="24">
        <v>18333.330000000002</v>
      </c>
      <c r="N174" s="24"/>
      <c r="O174" s="24">
        <v>17160.199733333338</v>
      </c>
      <c r="P174" s="24">
        <v>12225.133333333333</v>
      </c>
      <c r="Q174" s="296">
        <f t="shared" si="52"/>
        <v>67718.663066666675</v>
      </c>
      <c r="R174" s="24">
        <v>74619.06846000001</v>
      </c>
      <c r="S174" s="24">
        <f t="shared" si="53"/>
        <v>181797.07207333331</v>
      </c>
      <c r="T174" s="213"/>
    </row>
    <row r="175" spans="1:20" ht="20.100000000000001" customHeight="1">
      <c r="A175" s="224">
        <v>42</v>
      </c>
      <c r="B175" s="364" t="s">
        <v>166</v>
      </c>
      <c r="C175" s="367" t="s">
        <v>714</v>
      </c>
      <c r="D175" s="434" t="s">
        <v>416</v>
      </c>
      <c r="E175" s="26">
        <v>158075.5</v>
      </c>
      <c r="F175" s="212">
        <v>61648.725053333335</v>
      </c>
      <c r="G175" s="212"/>
      <c r="H175" s="212">
        <f>30000</f>
        <v>30000</v>
      </c>
      <c r="I175" s="26">
        <f>7000</f>
        <v>7000</v>
      </c>
      <c r="J175" s="237">
        <f t="shared" si="51"/>
        <v>256724.22505333333</v>
      </c>
      <c r="K175" s="24"/>
      <c r="L175" s="24">
        <f>3000+5000+5000</f>
        <v>13000</v>
      </c>
      <c r="M175" s="24">
        <f>44000</f>
        <v>44000</v>
      </c>
      <c r="N175" s="24"/>
      <c r="O175" s="24">
        <v>17895.944586666668</v>
      </c>
      <c r="P175" s="24">
        <v>12646.04</v>
      </c>
      <c r="Q175" s="296">
        <f t="shared" si="52"/>
        <v>87541.984586666658</v>
      </c>
      <c r="R175" s="24">
        <v>58530.830359999993</v>
      </c>
      <c r="S175" s="24">
        <f t="shared" si="53"/>
        <v>169182.24046666667</v>
      </c>
      <c r="T175" s="213"/>
    </row>
    <row r="176" spans="1:20" ht="20.100000000000001" customHeight="1">
      <c r="A176" s="224">
        <v>43</v>
      </c>
      <c r="B176" s="188" t="s">
        <v>204</v>
      </c>
      <c r="C176" s="193" t="s">
        <v>167</v>
      </c>
      <c r="D176" s="214" t="s">
        <v>263</v>
      </c>
      <c r="E176" s="26">
        <v>94145.75</v>
      </c>
      <c r="F176" s="212">
        <v>35574.388954666647</v>
      </c>
      <c r="G176" s="212"/>
      <c r="H176" s="212">
        <f>20000</f>
        <v>20000</v>
      </c>
      <c r="I176" s="26">
        <f>7000</f>
        <v>7000</v>
      </c>
      <c r="J176" s="237">
        <f t="shared" si="51"/>
        <v>156720.13895466665</v>
      </c>
      <c r="K176" s="24"/>
      <c r="L176" s="24">
        <f>15000</f>
        <v>15000</v>
      </c>
      <c r="M176" s="24">
        <f>20000</f>
        <v>20000</v>
      </c>
      <c r="N176" s="24"/>
      <c r="O176" s="24">
        <v>8133.6907999999994</v>
      </c>
      <c r="P176" s="24">
        <v>7531.66</v>
      </c>
      <c r="Q176" s="296">
        <f t="shared" si="52"/>
        <v>50665.3508</v>
      </c>
      <c r="R176" s="24">
        <v>42437.670245333349</v>
      </c>
      <c r="S176" s="240">
        <f t="shared" si="53"/>
        <v>106054.78815466665</v>
      </c>
      <c r="T176" s="213"/>
    </row>
    <row r="177" spans="1:20" ht="20.100000000000001" customHeight="1">
      <c r="A177" s="224">
        <v>44</v>
      </c>
      <c r="B177" s="188" t="s">
        <v>209</v>
      </c>
      <c r="C177" s="193" t="s">
        <v>13</v>
      </c>
      <c r="D177" s="214" t="s">
        <v>752</v>
      </c>
      <c r="E177" s="26">
        <v>91598</v>
      </c>
      <c r="F177" s="212">
        <v>34736.092522666666</v>
      </c>
      <c r="G177" s="212"/>
      <c r="H177" s="212">
        <f>20000</f>
        <v>20000</v>
      </c>
      <c r="I177" s="26">
        <f>7000</f>
        <v>7000</v>
      </c>
      <c r="J177" s="237">
        <f t="shared" si="51"/>
        <v>153334.09252266667</v>
      </c>
      <c r="K177" s="24"/>
      <c r="L177" s="24">
        <f>5000+5000+5000</f>
        <v>15000</v>
      </c>
      <c r="M177" s="24">
        <f>15000</f>
        <v>15000</v>
      </c>
      <c r="N177" s="24"/>
      <c r="O177" s="24">
        <v>7852.4191999999994</v>
      </c>
      <c r="P177" s="24">
        <v>7327.84</v>
      </c>
      <c r="Q177" s="296">
        <f t="shared" si="52"/>
        <v>45180.2592</v>
      </c>
      <c r="R177" s="24">
        <v>46009.488277333337</v>
      </c>
      <c r="S177" s="240">
        <f t="shared" si="53"/>
        <v>108153.83332266667</v>
      </c>
      <c r="T177" s="213"/>
    </row>
    <row r="178" spans="1:20" ht="20.100000000000001" customHeight="1">
      <c r="A178" s="224">
        <v>45</v>
      </c>
      <c r="B178" s="188" t="s">
        <v>218</v>
      </c>
      <c r="C178" s="193" t="s">
        <v>13</v>
      </c>
      <c r="D178" s="434" t="s">
        <v>752</v>
      </c>
      <c r="E178" s="26">
        <v>91598</v>
      </c>
      <c r="F178" s="212">
        <v>34832.092522666666</v>
      </c>
      <c r="G178" s="212"/>
      <c r="H178" s="212">
        <f>20000</f>
        <v>20000</v>
      </c>
      <c r="I178" s="26">
        <f>4000</f>
        <v>4000</v>
      </c>
      <c r="J178" s="237">
        <f t="shared" si="51"/>
        <v>150430.09252266667</v>
      </c>
      <c r="K178" s="24"/>
      <c r="L178" s="24">
        <f>15000+5000+5000+5000</f>
        <v>30000</v>
      </c>
      <c r="M178" s="24">
        <f>25555.56</f>
        <v>25555.56</v>
      </c>
      <c r="N178" s="24"/>
      <c r="O178" s="24">
        <v>7492.4192000000012</v>
      </c>
      <c r="P178" s="24">
        <v>7327.84</v>
      </c>
      <c r="Q178" s="296">
        <f t="shared" si="52"/>
        <v>70375.819199999998</v>
      </c>
      <c r="R178" s="24">
        <v>17717.928277333333</v>
      </c>
      <c r="S178" s="240">
        <f t="shared" si="53"/>
        <v>80054.273322666675</v>
      </c>
      <c r="T178" s="213"/>
    </row>
    <row r="179" spans="1:20" ht="20.100000000000001" customHeight="1">
      <c r="A179" s="224">
        <v>46</v>
      </c>
      <c r="B179" s="188" t="s">
        <v>219</v>
      </c>
      <c r="C179" s="193" t="s">
        <v>13</v>
      </c>
      <c r="D179" s="434" t="s">
        <v>752</v>
      </c>
      <c r="E179" s="26">
        <v>91598</v>
      </c>
      <c r="F179" s="212">
        <v>34736.092522666666</v>
      </c>
      <c r="G179" s="212"/>
      <c r="H179" s="212">
        <f>20000</f>
        <v>20000</v>
      </c>
      <c r="I179" s="26">
        <f>7000</f>
        <v>7000</v>
      </c>
      <c r="J179" s="237">
        <f t="shared" si="51"/>
        <v>153334.09252266667</v>
      </c>
      <c r="K179" s="24"/>
      <c r="L179" s="24">
        <f>5000+5000+5000</f>
        <v>15000</v>
      </c>
      <c r="M179" s="24">
        <v>15972.22</v>
      </c>
      <c r="N179" s="24"/>
      <c r="O179" s="24">
        <v>7852.4191999999994</v>
      </c>
      <c r="P179" s="24">
        <v>7327.84</v>
      </c>
      <c r="Q179" s="296">
        <f t="shared" si="52"/>
        <v>46152.479200000002</v>
      </c>
      <c r="R179" s="24">
        <v>45037.268277333336</v>
      </c>
      <c r="S179" s="240">
        <f t="shared" si="53"/>
        <v>107181.61332266667</v>
      </c>
      <c r="T179" s="213"/>
    </row>
    <row r="180" spans="1:20" ht="20.100000000000001" customHeight="1">
      <c r="A180" s="224">
        <v>47</v>
      </c>
      <c r="B180" s="188" t="s">
        <v>211</v>
      </c>
      <c r="C180" s="193" t="s">
        <v>13</v>
      </c>
      <c r="D180" s="434" t="s">
        <v>752</v>
      </c>
      <c r="E180" s="26">
        <v>91598</v>
      </c>
      <c r="F180" s="212">
        <v>34832.092522666666</v>
      </c>
      <c r="G180" s="212"/>
      <c r="H180" s="212">
        <f>20000</f>
        <v>20000</v>
      </c>
      <c r="I180" s="26">
        <f>4000</f>
        <v>4000</v>
      </c>
      <c r="J180" s="237">
        <f t="shared" si="51"/>
        <v>150430.09252266667</v>
      </c>
      <c r="K180" s="24"/>
      <c r="L180" s="24">
        <f>10000+5000+5000</f>
        <v>20000</v>
      </c>
      <c r="M180" s="24">
        <v>8416.67</v>
      </c>
      <c r="N180" s="24"/>
      <c r="O180" s="24">
        <v>7492.4192000000012</v>
      </c>
      <c r="P180" s="24">
        <v>7327.84</v>
      </c>
      <c r="Q180" s="296">
        <f t="shared" si="52"/>
        <v>43236.929199999999</v>
      </c>
      <c r="R180" s="24">
        <v>44856.818277333339</v>
      </c>
      <c r="S180" s="240">
        <f t="shared" si="53"/>
        <v>107193.16332266667</v>
      </c>
      <c r="T180" s="213"/>
    </row>
    <row r="181" spans="1:20" ht="20.100000000000001" customHeight="1">
      <c r="A181" s="224">
        <v>48</v>
      </c>
      <c r="B181" s="188" t="s">
        <v>213</v>
      </c>
      <c r="C181" s="193" t="s">
        <v>13</v>
      </c>
      <c r="D181" s="434" t="s">
        <v>752</v>
      </c>
      <c r="E181" s="26">
        <v>91598</v>
      </c>
      <c r="F181" s="212">
        <v>34736.092522666666</v>
      </c>
      <c r="G181" s="212"/>
      <c r="H181" s="212">
        <f>20000</f>
        <v>20000</v>
      </c>
      <c r="I181" s="26">
        <f>7000</f>
        <v>7000</v>
      </c>
      <c r="J181" s="237">
        <f t="shared" si="51"/>
        <v>153334.09252266667</v>
      </c>
      <c r="K181" s="24"/>
      <c r="L181" s="24">
        <v>20000</v>
      </c>
      <c r="M181" s="24">
        <f>30000</f>
        <v>30000</v>
      </c>
      <c r="N181" s="24"/>
      <c r="O181" s="24">
        <v>7852.4191999999994</v>
      </c>
      <c r="P181" s="24">
        <v>7327.84</v>
      </c>
      <c r="Q181" s="296">
        <f t="shared" si="52"/>
        <v>65180.2592</v>
      </c>
      <c r="R181" s="24">
        <v>26009.488277333337</v>
      </c>
      <c r="S181" s="240">
        <f t="shared" si="53"/>
        <v>88153.833322666673</v>
      </c>
      <c r="T181" s="213"/>
    </row>
    <row r="182" spans="1:20" ht="20.100000000000001" customHeight="1">
      <c r="A182" s="224">
        <v>49</v>
      </c>
      <c r="B182" s="189" t="s">
        <v>342</v>
      </c>
      <c r="C182" s="193" t="s">
        <v>13</v>
      </c>
      <c r="D182" s="434" t="s">
        <v>752</v>
      </c>
      <c r="E182" s="26">
        <v>91598</v>
      </c>
      <c r="F182" s="212">
        <v>34832.092522666666</v>
      </c>
      <c r="G182" s="212"/>
      <c r="H182" s="212">
        <f>20000</f>
        <v>20000</v>
      </c>
      <c r="I182" s="26">
        <f>4000</f>
        <v>4000</v>
      </c>
      <c r="J182" s="237">
        <f t="shared" si="51"/>
        <v>150430.09252266667</v>
      </c>
      <c r="K182" s="24"/>
      <c r="L182" s="24">
        <v>15000</v>
      </c>
      <c r="M182" s="24">
        <v>20000</v>
      </c>
      <c r="N182" s="24"/>
      <c r="O182" s="24">
        <v>7492.4192000000012</v>
      </c>
      <c r="P182" s="24">
        <v>7327.84</v>
      </c>
      <c r="Q182" s="296">
        <f t="shared" si="52"/>
        <v>49820.2592</v>
      </c>
      <c r="R182" s="24">
        <v>38273.488277333337</v>
      </c>
      <c r="S182" s="240">
        <f t="shared" si="53"/>
        <v>100609.83332266667</v>
      </c>
      <c r="T182" s="213"/>
    </row>
    <row r="183" spans="1:20" ht="20.100000000000001" customHeight="1">
      <c r="A183" s="224">
        <v>50</v>
      </c>
      <c r="B183" s="189" t="s">
        <v>405</v>
      </c>
      <c r="C183" s="193" t="s">
        <v>13</v>
      </c>
      <c r="D183" s="434" t="s">
        <v>752</v>
      </c>
      <c r="E183" s="26">
        <v>91598</v>
      </c>
      <c r="F183" s="212">
        <v>34736.092522666666</v>
      </c>
      <c r="G183" s="212"/>
      <c r="H183" s="212">
        <f>20000</f>
        <v>20000</v>
      </c>
      <c r="I183" s="26">
        <f>7000</f>
        <v>7000</v>
      </c>
      <c r="J183" s="237">
        <f t="shared" si="51"/>
        <v>153334.09252266667</v>
      </c>
      <c r="K183" s="24"/>
      <c r="L183" s="24">
        <f>10000+5000+5000</f>
        <v>20000</v>
      </c>
      <c r="M183" s="24">
        <f>0</f>
        <v>0</v>
      </c>
      <c r="N183" s="24"/>
      <c r="O183" s="24">
        <v>7852.4191999999994</v>
      </c>
      <c r="P183" s="24">
        <v>7327.84</v>
      </c>
      <c r="Q183" s="296">
        <f t="shared" si="52"/>
        <v>35180.2592</v>
      </c>
      <c r="R183" s="24">
        <v>56009.488277333337</v>
      </c>
      <c r="S183" s="240">
        <f t="shared" si="53"/>
        <v>118153.83332266667</v>
      </c>
      <c r="T183" s="213"/>
    </row>
    <row r="184" spans="1:20" ht="20.100000000000001" customHeight="1">
      <c r="A184" s="224">
        <v>51</v>
      </c>
      <c r="B184" s="188" t="s">
        <v>232</v>
      </c>
      <c r="C184" s="193" t="s">
        <v>167</v>
      </c>
      <c r="D184" s="434" t="s">
        <v>752</v>
      </c>
      <c r="E184" s="26">
        <v>91598</v>
      </c>
      <c r="F184" s="212">
        <v>36164.27449066667</v>
      </c>
      <c r="G184" s="212"/>
      <c r="H184" s="212">
        <v>20000</v>
      </c>
      <c r="I184" s="26">
        <v>7000</v>
      </c>
      <c r="J184" s="237">
        <f t="shared" si="51"/>
        <v>154762.27449066666</v>
      </c>
      <c r="K184" s="24"/>
      <c r="L184" s="24">
        <v>20000</v>
      </c>
      <c r="M184" s="24">
        <v>10000</v>
      </c>
      <c r="N184" s="24"/>
      <c r="O184" s="24">
        <v>7852.4191999999994</v>
      </c>
      <c r="P184" s="24">
        <v>7327.84</v>
      </c>
      <c r="Q184" s="296">
        <f t="shared" si="52"/>
        <v>45180.2592</v>
      </c>
      <c r="R184" s="24">
        <v>44581.306309333333</v>
      </c>
      <c r="S184" s="240">
        <f t="shared" si="53"/>
        <v>109582.01529066666</v>
      </c>
      <c r="T184" s="213"/>
    </row>
    <row r="185" spans="1:20" ht="20.100000000000001" customHeight="1">
      <c r="A185" s="224">
        <v>52</v>
      </c>
      <c r="B185" s="188" t="s">
        <v>233</v>
      </c>
      <c r="C185" s="193" t="s">
        <v>167</v>
      </c>
      <c r="D185" s="434" t="s">
        <v>752</v>
      </c>
      <c r="E185" s="26">
        <v>91598</v>
      </c>
      <c r="F185" s="212">
        <v>34736.092522666666</v>
      </c>
      <c r="G185" s="212"/>
      <c r="H185" s="212">
        <v>20000</v>
      </c>
      <c r="I185" s="26">
        <f>7000</f>
        <v>7000</v>
      </c>
      <c r="J185" s="237">
        <f t="shared" si="51"/>
        <v>153334.09252266667</v>
      </c>
      <c r="K185" s="24"/>
      <c r="L185" s="24">
        <f>10000+5000+5000</f>
        <v>20000</v>
      </c>
      <c r="M185" s="24">
        <f>26222.06</f>
        <v>26222.06</v>
      </c>
      <c r="N185" s="24"/>
      <c r="O185" s="24">
        <v>7852.4191999999994</v>
      </c>
      <c r="P185" s="24">
        <v>7327.84</v>
      </c>
      <c r="Q185" s="296">
        <f t="shared" si="52"/>
        <v>61402.319199999998</v>
      </c>
      <c r="R185" s="24">
        <v>29787.428277333333</v>
      </c>
      <c r="S185" s="240">
        <f t="shared" si="53"/>
        <v>91931.773322666675</v>
      </c>
      <c r="T185" s="213"/>
    </row>
    <row r="186" spans="1:20" ht="20.100000000000001" customHeight="1">
      <c r="A186" s="224">
        <v>53</v>
      </c>
      <c r="B186" s="364" t="s">
        <v>279</v>
      </c>
      <c r="C186" s="367" t="s">
        <v>715</v>
      </c>
      <c r="D186" s="214" t="s">
        <v>301</v>
      </c>
      <c r="E186" s="26">
        <v>89050.25</v>
      </c>
      <c r="F186" s="212">
        <v>33897.796090666656</v>
      </c>
      <c r="G186" s="212"/>
      <c r="H186" s="212">
        <f>20000</f>
        <v>20000</v>
      </c>
      <c r="I186" s="26">
        <f>4000+3000</f>
        <v>7000</v>
      </c>
      <c r="J186" s="237">
        <f t="shared" si="51"/>
        <v>149948.04609066667</v>
      </c>
      <c r="K186" s="24"/>
      <c r="L186" s="24">
        <f>10000+5000+5000</f>
        <v>20000</v>
      </c>
      <c r="M186" s="24">
        <f>32916.67</f>
        <v>32916.67</v>
      </c>
      <c r="N186" s="24"/>
      <c r="O186" s="24">
        <v>7571.1475999999993</v>
      </c>
      <c r="P186" s="24">
        <v>7124.02</v>
      </c>
      <c r="Q186" s="296">
        <f t="shared" si="52"/>
        <v>67611.837599999999</v>
      </c>
      <c r="R186" s="24">
        <v>21664.636309333349</v>
      </c>
      <c r="S186" s="240">
        <f t="shared" si="53"/>
        <v>82336.208490666671</v>
      </c>
      <c r="T186" s="213"/>
    </row>
    <row r="187" spans="1:20" ht="20.100000000000001" customHeight="1">
      <c r="A187" s="224">
        <v>54</v>
      </c>
      <c r="B187" s="189" t="s">
        <v>403</v>
      </c>
      <c r="C187" s="193" t="s">
        <v>13</v>
      </c>
      <c r="D187" s="214" t="s">
        <v>28</v>
      </c>
      <c r="E187" s="212">
        <v>80926.916666666672</v>
      </c>
      <c r="F187" s="212">
        <v>31386.742446533346</v>
      </c>
      <c r="G187" s="212"/>
      <c r="H187" s="212">
        <f>15000</f>
        <v>15000</v>
      </c>
      <c r="I187" s="26">
        <f>7000</f>
        <v>7000</v>
      </c>
      <c r="J187" s="237">
        <f t="shared" si="51"/>
        <v>134313.65911320003</v>
      </c>
      <c r="K187" s="24"/>
      <c r="L187" s="24">
        <v>20000</v>
      </c>
      <c r="M187" s="24">
        <f>11518</f>
        <v>11518</v>
      </c>
      <c r="N187" s="24"/>
      <c r="O187" s="24">
        <v>6074.3316000000004</v>
      </c>
      <c r="P187" s="24">
        <v>6474.1533333333336</v>
      </c>
      <c r="Q187" s="296">
        <f t="shared" si="52"/>
        <v>44066.48493333334</v>
      </c>
      <c r="R187" s="24">
        <v>33947.84262013332</v>
      </c>
      <c r="S187" s="240">
        <f t="shared" si="53"/>
        <v>90247.174179866692</v>
      </c>
      <c r="T187" s="213"/>
    </row>
    <row r="188" spans="1:20" ht="20.100000000000001" customHeight="1">
      <c r="A188" s="224">
        <v>55</v>
      </c>
      <c r="B188" s="189" t="s">
        <v>557</v>
      </c>
      <c r="C188" s="287" t="s">
        <v>558</v>
      </c>
      <c r="D188" s="214" t="s">
        <v>150</v>
      </c>
      <c r="E188" s="26">
        <v>76540.75</v>
      </c>
      <c r="F188" s="38">
        <v>30039.485590666656</v>
      </c>
      <c r="G188" s="21"/>
      <c r="H188" s="60">
        <v>15000</v>
      </c>
      <c r="I188" s="60">
        <v>4000</v>
      </c>
      <c r="J188" s="237">
        <f t="shared" si="51"/>
        <v>125580.23559066665</v>
      </c>
      <c r="K188" s="24"/>
      <c r="L188" s="24">
        <v>10000</v>
      </c>
      <c r="M188" s="24"/>
      <c r="N188" s="24"/>
      <c r="O188" s="24">
        <v>5230.0987999999998</v>
      </c>
      <c r="P188" s="24">
        <v>6123.26</v>
      </c>
      <c r="Q188" s="296">
        <f t="shared" si="52"/>
        <v>21353.358800000002</v>
      </c>
      <c r="R188" s="24">
        <v>48271.165609333344</v>
      </c>
      <c r="S188" s="240">
        <f t="shared" si="53"/>
        <v>104226.87679066665</v>
      </c>
      <c r="T188" s="213"/>
    </row>
    <row r="189" spans="1:20" ht="20.100000000000001" customHeight="1">
      <c r="A189" s="224">
        <v>56</v>
      </c>
      <c r="B189" s="189" t="s">
        <v>560</v>
      </c>
      <c r="C189" s="287" t="s">
        <v>558</v>
      </c>
      <c r="D189" s="434" t="s">
        <v>150</v>
      </c>
      <c r="E189" s="26">
        <v>76540.75</v>
      </c>
      <c r="F189" s="38">
        <v>30039.485590666656</v>
      </c>
      <c r="G189" s="21"/>
      <c r="H189" s="60">
        <v>15000</v>
      </c>
      <c r="I189" s="60">
        <v>4000</v>
      </c>
      <c r="J189" s="237">
        <f t="shared" si="51"/>
        <v>125580.23559066665</v>
      </c>
      <c r="K189" s="24"/>
      <c r="L189" s="24">
        <v>10000</v>
      </c>
      <c r="M189" s="24"/>
      <c r="N189" s="24"/>
      <c r="O189" s="24">
        <v>5230.0987999999998</v>
      </c>
      <c r="P189" s="24">
        <v>6123.26</v>
      </c>
      <c r="Q189" s="296">
        <f t="shared" si="52"/>
        <v>21353.358800000002</v>
      </c>
      <c r="R189" s="24">
        <v>48271.165609333344</v>
      </c>
      <c r="S189" s="240">
        <f t="shared" si="53"/>
        <v>104226.87679066665</v>
      </c>
      <c r="T189" s="213"/>
    </row>
    <row r="190" spans="1:20" ht="20.100000000000001" customHeight="1">
      <c r="A190" s="224">
        <v>57</v>
      </c>
      <c r="B190" s="189" t="s">
        <v>561</v>
      </c>
      <c r="C190" s="287" t="s">
        <v>558</v>
      </c>
      <c r="D190" s="434" t="s">
        <v>150</v>
      </c>
      <c r="E190" s="26">
        <v>76540.75</v>
      </c>
      <c r="F190" s="38">
        <v>30039.485590666656</v>
      </c>
      <c r="G190" s="21"/>
      <c r="H190" s="60">
        <v>15000</v>
      </c>
      <c r="I190" s="60">
        <v>4000</v>
      </c>
      <c r="J190" s="237">
        <f t="shared" si="51"/>
        <v>125580.23559066665</v>
      </c>
      <c r="K190" s="24"/>
      <c r="L190" s="24">
        <v>10000</v>
      </c>
      <c r="M190" s="24"/>
      <c r="N190" s="24"/>
      <c r="O190" s="24">
        <v>5230.0987999999998</v>
      </c>
      <c r="P190" s="24">
        <v>6123.26</v>
      </c>
      <c r="Q190" s="296">
        <f t="shared" si="52"/>
        <v>21353.358800000002</v>
      </c>
      <c r="R190" s="24">
        <v>48271.165609333344</v>
      </c>
      <c r="S190" s="240">
        <f t="shared" si="53"/>
        <v>104226.87679066665</v>
      </c>
      <c r="T190" s="213"/>
    </row>
    <row r="191" spans="1:20" ht="20.100000000000001" customHeight="1">
      <c r="A191" s="224">
        <v>58</v>
      </c>
      <c r="B191" s="189" t="s">
        <v>562</v>
      </c>
      <c r="C191" s="287" t="s">
        <v>563</v>
      </c>
      <c r="D191" s="214" t="s">
        <v>262</v>
      </c>
      <c r="E191" s="26">
        <v>86502.5</v>
      </c>
      <c r="F191" s="38">
        <v>33220.671122666659</v>
      </c>
      <c r="G191" s="212"/>
      <c r="H191" s="212">
        <f>15000</f>
        <v>15000</v>
      </c>
      <c r="I191" s="26">
        <v>7000</v>
      </c>
      <c r="J191" s="237">
        <f t="shared" si="51"/>
        <v>141723.17112266665</v>
      </c>
      <c r="K191" s="24"/>
      <c r="L191" s="24">
        <v>20000</v>
      </c>
      <c r="M191" s="24"/>
      <c r="N191" s="24"/>
      <c r="O191" s="24">
        <v>6689.8759999999993</v>
      </c>
      <c r="P191" s="24">
        <v>6920.2</v>
      </c>
      <c r="Q191" s="296">
        <f t="shared" si="52"/>
        <v>33610.076000000001</v>
      </c>
      <c r="R191" s="24">
        <v>46591.952877333337</v>
      </c>
      <c r="S191" s="240">
        <f t="shared" si="53"/>
        <v>108113.09512266665</v>
      </c>
      <c r="T191" s="213"/>
    </row>
    <row r="192" spans="1:20" ht="20.100000000000001" customHeight="1">
      <c r="A192" s="224">
        <v>59</v>
      </c>
      <c r="B192" s="189" t="s">
        <v>565</v>
      </c>
      <c r="C192" s="287" t="s">
        <v>563</v>
      </c>
      <c r="D192" s="214" t="s">
        <v>262</v>
      </c>
      <c r="E192" s="26">
        <v>86502.5</v>
      </c>
      <c r="F192" s="38">
        <v>33220.671122666659</v>
      </c>
      <c r="G192" s="212"/>
      <c r="H192" s="212">
        <f>15000</f>
        <v>15000</v>
      </c>
      <c r="I192" s="26">
        <v>7000</v>
      </c>
      <c r="J192" s="237">
        <f t="shared" si="51"/>
        <v>141723.17112266665</v>
      </c>
      <c r="K192" s="24"/>
      <c r="L192" s="24">
        <v>15000</v>
      </c>
      <c r="M192" s="24"/>
      <c r="N192" s="24"/>
      <c r="O192" s="24">
        <v>6689.8759999999993</v>
      </c>
      <c r="P192" s="24">
        <v>6920.2</v>
      </c>
      <c r="Q192" s="296">
        <f t="shared" si="52"/>
        <v>28610.076000000001</v>
      </c>
      <c r="R192" s="24">
        <v>51591.952877333337</v>
      </c>
      <c r="S192" s="240">
        <f t="shared" si="53"/>
        <v>113113.09512266665</v>
      </c>
      <c r="T192" s="213"/>
    </row>
    <row r="193" spans="1:20" ht="30.75" customHeight="1">
      <c r="A193" s="224"/>
      <c r="B193" s="210" t="s">
        <v>15</v>
      </c>
      <c r="C193" s="226" t="s">
        <v>710</v>
      </c>
      <c r="D193" s="23"/>
      <c r="E193" s="78">
        <v>14898686.416666664</v>
      </c>
      <c r="F193" s="78">
        <v>5348132.7878405293</v>
      </c>
      <c r="G193" s="78">
        <f t="shared" ref="G193:S193" si="55">SUM(G134:G192)</f>
        <v>0</v>
      </c>
      <c r="H193" s="78">
        <f t="shared" si="55"/>
        <v>2490000</v>
      </c>
      <c r="I193" s="78">
        <f t="shared" si="55"/>
        <v>228000</v>
      </c>
      <c r="J193" s="78">
        <f t="shared" si="55"/>
        <v>22964819.204507191</v>
      </c>
      <c r="K193" s="78">
        <f t="shared" si="55"/>
        <v>0</v>
      </c>
      <c r="L193" s="78">
        <f t="shared" si="55"/>
        <v>1210500</v>
      </c>
      <c r="M193" s="78">
        <f t="shared" si="55"/>
        <v>2039205.0300000005</v>
      </c>
      <c r="N193" s="78">
        <v>6347.2330000000002</v>
      </c>
      <c r="O193" s="78">
        <v>2121047.8747613332</v>
      </c>
      <c r="P193" s="78">
        <v>1130905.0599999998</v>
      </c>
      <c r="Q193" s="411">
        <f t="shared" si="55"/>
        <v>6508005.1977613326</v>
      </c>
      <c r="R193" s="78">
        <v>6881453.4910648037</v>
      </c>
      <c r="S193" s="390">
        <f t="shared" si="55"/>
        <v>16456814.006745869</v>
      </c>
      <c r="T193" s="213"/>
    </row>
    <row r="194" spans="1:20" ht="35.25" customHeight="1">
      <c r="A194" s="21"/>
      <c r="B194" s="227" t="s">
        <v>8</v>
      </c>
      <c r="C194" s="228">
        <f>C34+C40+C54+C59+C72+C82+C95+C102+C112+C131+C193</f>
        <v>153</v>
      </c>
      <c r="D194" s="229"/>
      <c r="E194" s="230">
        <f t="shared" ref="E194:Q194" si="56">E193+E131+E118+E112+E102+E95+E82+E72+E59+E54+E40+E34</f>
        <v>64242790.416999996</v>
      </c>
      <c r="F194" s="230">
        <f t="shared" si="56"/>
        <v>22738493.906306099</v>
      </c>
      <c r="G194" s="230">
        <f t="shared" si="56"/>
        <v>7920000</v>
      </c>
      <c r="H194" s="230">
        <f t="shared" si="56"/>
        <v>5010000</v>
      </c>
      <c r="I194" s="230">
        <f t="shared" si="56"/>
        <v>2039337.4691050001</v>
      </c>
      <c r="J194" s="230">
        <f t="shared" si="56"/>
        <v>101950621.79241109</v>
      </c>
      <c r="K194" s="230">
        <f t="shared" si="56"/>
        <v>0</v>
      </c>
      <c r="L194" s="230">
        <f t="shared" si="56"/>
        <v>5123500</v>
      </c>
      <c r="M194" s="230">
        <f>M193+M131+M118+M112+M102+M95+M82+M72+M59+M54+M40+M34</f>
        <v>7075945.6799999997</v>
      </c>
      <c r="N194" s="230">
        <f>N193+N131+N118+N112+N102+N95+N82+N72+N59+N54+N40+N34</f>
        <v>23031.313750000001</v>
      </c>
      <c r="O194" s="230">
        <f t="shared" si="56"/>
        <v>11302661.133202814</v>
      </c>
      <c r="P194" s="230">
        <f t="shared" si="56"/>
        <v>4564480.74</v>
      </c>
      <c r="Q194" s="230">
        <f t="shared" si="56"/>
        <v>28089618.866952814</v>
      </c>
      <c r="R194" s="230">
        <v>33238252.387191601</v>
      </c>
      <c r="S194" s="230">
        <f>S193+S131+S118+S112+S102+S95+S82+S72+S59+S54+S40+S34</f>
        <v>73861002.925458297</v>
      </c>
      <c r="T194" s="213"/>
    </row>
    <row r="195" spans="1:20" ht="38.25" customHeight="1">
      <c r="A195" s="202"/>
      <c r="B195" s="231"/>
      <c r="C195" s="202"/>
      <c r="D195" s="232"/>
      <c r="E195" s="232"/>
      <c r="F195" s="232"/>
      <c r="G195" s="233"/>
      <c r="H195" s="233"/>
      <c r="I195" s="233"/>
      <c r="J195" s="233"/>
      <c r="K195" s="233"/>
      <c r="L195" s="233"/>
      <c r="M195" s="233"/>
      <c r="N195" s="233"/>
      <c r="O195" s="234"/>
      <c r="P195" s="234"/>
      <c r="Q195" s="234"/>
      <c r="R195" s="234"/>
      <c r="S195" s="234"/>
      <c r="T195" s="235"/>
    </row>
    <row r="196" spans="1:20" ht="36.75" customHeight="1">
      <c r="A196" s="202"/>
      <c r="B196" s="231"/>
      <c r="C196" s="232"/>
      <c r="D196" s="232"/>
      <c r="E196" s="232"/>
      <c r="F196" s="232"/>
      <c r="G196" s="233"/>
      <c r="H196" s="233"/>
      <c r="J196" s="233" t="s">
        <v>754</v>
      </c>
      <c r="K196" s="233"/>
      <c r="L196" s="233"/>
      <c r="M196" s="233"/>
      <c r="N196" s="233"/>
      <c r="O196" s="234"/>
      <c r="P196" s="234"/>
      <c r="Q196" s="234"/>
      <c r="R196" s="234"/>
      <c r="S196" s="235"/>
    </row>
    <row r="197" spans="1:20" ht="20.100000000000001" customHeight="1">
      <c r="Q197" s="433"/>
      <c r="S197" s="416"/>
    </row>
    <row r="198" spans="1:20" ht="20.100000000000001" customHeight="1">
      <c r="S198" s="433"/>
    </row>
    <row r="199" spans="1:20" ht="20.100000000000001" customHeight="1">
      <c r="J199" s="235"/>
    </row>
  </sheetData>
  <mergeCells count="1">
    <mergeCell ref="A1:F1"/>
  </mergeCells>
  <phoneticPr fontId="0" type="noConversion"/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  <rowBreaks count="4" manualBreakCount="4">
    <brk id="45" max="25" man="1"/>
    <brk id="82" max="25" man="1"/>
    <brk id="119" max="25" man="1"/>
    <brk id="158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8"/>
  <sheetViews>
    <sheetView topLeftCell="A30" zoomScale="91" zoomScaleNormal="91" workbookViewId="0">
      <selection activeCell="I44" sqref="I44"/>
    </sheetView>
  </sheetViews>
  <sheetFormatPr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bestFit="1" customWidth="1"/>
    <col min="12" max="12" width="13.85546875" customWidth="1"/>
    <col min="13" max="13" width="11" bestFit="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9" customHeight="1">
      <c r="B1" s="186"/>
      <c r="C1" s="186"/>
      <c r="D1" s="186"/>
      <c r="E1" s="186"/>
      <c r="F1" s="186"/>
      <c r="G1" s="186"/>
      <c r="H1" s="186"/>
    </row>
    <row r="2" spans="1:8" ht="29.25" customHeight="1">
      <c r="A2" s="714" t="s">
        <v>234</v>
      </c>
      <c r="B2" s="714"/>
      <c r="C2" s="714"/>
      <c r="D2" s="714"/>
      <c r="E2" s="714"/>
      <c r="F2" s="714"/>
      <c r="G2" s="714"/>
      <c r="H2" s="714"/>
    </row>
    <row r="3" spans="1:8" ht="27" customHeight="1">
      <c r="A3" s="714" t="s">
        <v>10</v>
      </c>
      <c r="B3" s="714"/>
      <c r="C3" s="714"/>
      <c r="D3" s="714"/>
      <c r="E3" s="714"/>
      <c r="F3" s="714"/>
      <c r="G3" s="714"/>
      <c r="H3" s="714"/>
    </row>
    <row r="4" spans="1:8" ht="15.6" hidden="1" customHeight="1">
      <c r="A4" s="173" t="s">
        <v>261</v>
      </c>
      <c r="B4" s="173"/>
      <c r="C4" s="173"/>
      <c r="D4" s="173"/>
      <c r="E4" s="173"/>
      <c r="F4" s="173"/>
      <c r="G4" s="83"/>
      <c r="H4" s="83"/>
    </row>
    <row r="5" spans="1:8" ht="9.6" hidden="1" customHeight="1">
      <c r="A5" s="715" t="s">
        <v>260</v>
      </c>
      <c r="B5" s="715"/>
      <c r="C5" s="715"/>
      <c r="D5" s="715"/>
      <c r="E5" s="715"/>
      <c r="F5" s="715"/>
      <c r="G5" s="83"/>
      <c r="H5" s="83"/>
    </row>
    <row r="6" spans="1:8" ht="29.25" hidden="1" customHeight="1">
      <c r="A6" s="715" t="s">
        <v>125</v>
      </c>
      <c r="B6" s="715"/>
      <c r="C6" s="715"/>
      <c r="D6" s="715"/>
      <c r="E6" s="715"/>
      <c r="F6" s="715"/>
      <c r="G6" s="83"/>
      <c r="H6" s="83"/>
    </row>
    <row r="7" spans="1:8" ht="25.15" hidden="1" customHeight="1">
      <c r="A7" s="715" t="s">
        <v>303</v>
      </c>
      <c r="B7" s="715"/>
      <c r="C7" s="715"/>
      <c r="D7" s="715"/>
      <c r="E7" s="715"/>
      <c r="F7" s="83"/>
      <c r="G7" s="83"/>
      <c r="H7" s="83"/>
    </row>
    <row r="8" spans="1:8" ht="24.75" hidden="1" customHeight="1">
      <c r="A8" s="83"/>
      <c r="B8" s="83"/>
      <c r="C8" s="83"/>
      <c r="D8" s="83"/>
      <c r="E8" s="83"/>
      <c r="F8" s="83"/>
      <c r="G8" s="83"/>
      <c r="H8" s="83"/>
    </row>
    <row r="9" spans="1:8" ht="24" hidden="1" customHeight="1">
      <c r="A9" s="716" t="s">
        <v>304</v>
      </c>
      <c r="B9" s="716"/>
      <c r="C9" s="716"/>
      <c r="D9" s="716"/>
      <c r="E9" s="716"/>
      <c r="F9" s="716"/>
      <c r="G9" s="83"/>
      <c r="H9" s="83"/>
    </row>
    <row r="10" spans="1:8" ht="13.15" hidden="1" customHeight="1">
      <c r="A10" s="715" t="s">
        <v>305</v>
      </c>
      <c r="B10" s="715"/>
      <c r="C10" s="715"/>
      <c r="D10" s="715"/>
      <c r="E10" s="715"/>
      <c r="F10" s="715"/>
      <c r="G10" s="715"/>
      <c r="H10" s="715"/>
    </row>
    <row r="11" spans="1:8" ht="18" hidden="1" customHeight="1">
      <c r="A11" s="84"/>
      <c r="B11" s="83"/>
      <c r="C11" s="83"/>
      <c r="D11" s="83"/>
      <c r="E11" s="83"/>
      <c r="F11" s="83"/>
      <c r="G11" s="83"/>
      <c r="H11" s="83"/>
    </row>
    <row r="12" spans="1:8" ht="18.75" hidden="1" customHeight="1">
      <c r="A12" s="84"/>
      <c r="B12" s="83"/>
      <c r="C12" s="83"/>
      <c r="D12" s="83"/>
      <c r="E12" s="83"/>
      <c r="F12" s="83"/>
      <c r="G12" s="83"/>
      <c r="H12" s="83"/>
    </row>
    <row r="13" spans="1:8" ht="19.5" customHeight="1">
      <c r="A13" s="4" t="s">
        <v>397</v>
      </c>
      <c r="B13" s="4"/>
      <c r="C13" s="4" t="s">
        <v>398</v>
      </c>
      <c r="D13" s="4"/>
      <c r="E13" s="4"/>
      <c r="F13" s="73"/>
      <c r="G13" s="95"/>
      <c r="H13" s="83"/>
    </row>
    <row r="14" spans="1:8" ht="20.25" customHeight="1">
      <c r="A14" s="4" t="s">
        <v>399</v>
      </c>
      <c r="B14" s="73"/>
      <c r="C14" s="4" t="s">
        <v>400</v>
      </c>
      <c r="D14" s="4"/>
      <c r="E14" s="4"/>
      <c r="F14" s="4"/>
      <c r="G14" s="1"/>
      <c r="H14" s="83"/>
    </row>
    <row r="15" spans="1:8" ht="21" customHeight="1">
      <c r="A15" s="4" t="s">
        <v>396</v>
      </c>
      <c r="B15" s="4"/>
      <c r="C15" s="4" t="s">
        <v>719</v>
      </c>
      <c r="D15" s="4"/>
      <c r="E15" s="4"/>
      <c r="F15" s="4"/>
      <c r="G15" s="1"/>
      <c r="H15" s="83"/>
    </row>
    <row r="16" spans="1:8" ht="21" customHeight="1">
      <c r="A16" s="4" t="s">
        <v>401</v>
      </c>
      <c r="B16" s="4"/>
      <c r="C16" s="4" t="s">
        <v>771</v>
      </c>
      <c r="D16" s="4"/>
      <c r="E16" s="73"/>
      <c r="F16" s="73"/>
      <c r="G16" s="95"/>
      <c r="H16" s="83"/>
    </row>
    <row r="17" spans="1:10" ht="4.5" customHeight="1">
      <c r="A17" s="1"/>
      <c r="B17" s="1"/>
      <c r="C17" s="1"/>
      <c r="D17" s="1"/>
      <c r="E17" s="95"/>
      <c r="F17" s="95"/>
      <c r="G17" s="95"/>
      <c r="H17" s="83"/>
    </row>
    <row r="18" spans="1:10" ht="24" customHeight="1">
      <c r="A18" s="90" t="s">
        <v>773</v>
      </c>
      <c r="B18" s="90"/>
      <c r="C18" s="107"/>
      <c r="D18" s="107"/>
      <c r="E18" s="107"/>
      <c r="F18" s="107"/>
      <c r="G18" s="95"/>
      <c r="H18" s="83"/>
    </row>
    <row r="19" spans="1:10" ht="30.75" customHeight="1">
      <c r="A19" s="1" t="s">
        <v>772</v>
      </c>
      <c r="B19" s="1"/>
      <c r="C19" s="95"/>
      <c r="D19" s="95"/>
      <c r="E19" s="95"/>
      <c r="F19" s="95"/>
      <c r="G19" s="194" t="s">
        <v>471</v>
      </c>
      <c r="H19" s="194" t="s">
        <v>471</v>
      </c>
    </row>
    <row r="20" spans="1:10" ht="21" customHeight="1">
      <c r="A20" s="710" t="s">
        <v>774</v>
      </c>
      <c r="B20" s="710"/>
      <c r="C20" s="710"/>
      <c r="D20" s="710"/>
      <c r="E20" s="710"/>
      <c r="F20" s="710"/>
      <c r="G20" s="710"/>
      <c r="H20" s="93">
        <f>'FEBRUARY 2024'!J194</f>
        <v>101950621.79241109</v>
      </c>
      <c r="J20" s="75"/>
    </row>
    <row r="21" spans="1:10" ht="6.75" customHeight="1">
      <c r="A21" s="271"/>
      <c r="B21" s="271"/>
      <c r="C21" s="271"/>
      <c r="D21" s="271"/>
      <c r="E21" s="271"/>
      <c r="F21" s="271"/>
      <c r="G21" s="271"/>
      <c r="H21" s="93"/>
      <c r="J21" s="75"/>
    </row>
    <row r="22" spans="1:10" ht="21.75" customHeight="1">
      <c r="A22" s="717" t="s">
        <v>121</v>
      </c>
      <c r="B22" s="717"/>
      <c r="C22" s="717"/>
      <c r="D22" s="717"/>
      <c r="E22" s="717"/>
      <c r="F22" s="717"/>
      <c r="G22" s="96"/>
      <c r="H22" s="1"/>
      <c r="I22" s="75"/>
    </row>
    <row r="23" spans="1:10" ht="18.75" customHeight="1">
      <c r="A23" s="706" t="s">
        <v>454</v>
      </c>
      <c r="B23" s="706"/>
      <c r="C23" s="706"/>
      <c r="D23" s="706"/>
      <c r="E23" s="706"/>
      <c r="F23" s="706"/>
      <c r="G23" s="35">
        <f>'FEBRUARY 2024'!L194</f>
        <v>5123500</v>
      </c>
      <c r="H23" s="1"/>
      <c r="J23" s="75"/>
    </row>
    <row r="24" spans="1:10" ht="19.5" customHeight="1">
      <c r="A24" s="706" t="s">
        <v>269</v>
      </c>
      <c r="B24" s="706"/>
      <c r="C24" s="706"/>
      <c r="D24" s="706"/>
      <c r="E24" s="706"/>
      <c r="F24" s="706"/>
      <c r="G24" s="35">
        <f>'FEBRUARY 2024'!M194</f>
        <v>7075945.6799999997</v>
      </c>
      <c r="H24" s="1"/>
    </row>
    <row r="25" spans="1:10" ht="20.25" customHeight="1">
      <c r="A25" s="709" t="s">
        <v>215</v>
      </c>
      <c r="B25" s="709"/>
      <c r="C25" s="709"/>
      <c r="D25" s="709"/>
      <c r="E25" s="709"/>
      <c r="F25" s="709"/>
      <c r="G25" s="35">
        <f>'FEBRUARY 2024'!N194</f>
        <v>23031.313750000001</v>
      </c>
      <c r="H25" s="1"/>
    </row>
    <row r="26" spans="1:10" ht="20.25" customHeight="1">
      <c r="A26" s="706" t="s">
        <v>172</v>
      </c>
      <c r="B26" s="706"/>
      <c r="C26" s="706"/>
      <c r="D26" s="706"/>
      <c r="E26" s="706"/>
      <c r="F26" s="706"/>
      <c r="G26" s="35">
        <f>'FEBRUARY 2024'!O194</f>
        <v>11302661.133202814</v>
      </c>
      <c r="H26" s="1"/>
    </row>
    <row r="27" spans="1:10" ht="21" customHeight="1">
      <c r="A27" s="706" t="s">
        <v>805</v>
      </c>
      <c r="B27" s="706"/>
      <c r="C27" s="706"/>
      <c r="D27" s="706"/>
      <c r="E27" s="706"/>
      <c r="F27" s="706"/>
      <c r="G27" s="575">
        <f>'Employee Pensions'!F195</f>
        <v>4564480.74</v>
      </c>
      <c r="H27" s="1"/>
    </row>
    <row r="28" spans="1:10" ht="28.5" customHeight="1">
      <c r="A28" s="706" t="s">
        <v>775</v>
      </c>
      <c r="B28" s="706"/>
      <c r="C28" s="706"/>
      <c r="D28" s="706"/>
      <c r="E28" s="706"/>
      <c r="F28" s="706"/>
      <c r="G28" s="35"/>
      <c r="H28" s="97">
        <f>G23+G24+G26+G25+G27</f>
        <v>28089618.866952814</v>
      </c>
      <c r="I28" s="32"/>
    </row>
    <row r="29" spans="1:10" ht="20.25" customHeight="1">
      <c r="A29" s="706" t="s">
        <v>776</v>
      </c>
      <c r="B29" s="706"/>
      <c r="C29" s="706"/>
      <c r="D29" s="706"/>
      <c r="E29" s="706"/>
      <c r="F29" s="706"/>
      <c r="G29" s="90"/>
      <c r="H29" s="105">
        <f>H20-H28</f>
        <v>73861002.925458282</v>
      </c>
      <c r="I29" s="36"/>
    </row>
    <row r="30" spans="1:10" ht="21" customHeight="1">
      <c r="A30" s="706" t="s">
        <v>755</v>
      </c>
      <c r="B30" s="706"/>
      <c r="C30" s="706"/>
      <c r="D30" s="706"/>
      <c r="E30" s="706"/>
      <c r="F30" s="706"/>
      <c r="G30" s="98"/>
      <c r="H30" s="106">
        <f>'FEBRUARY 2024'!R194</f>
        <v>33238252.387191601</v>
      </c>
    </row>
    <row r="31" spans="1:10" ht="21" customHeight="1">
      <c r="A31" s="706" t="s">
        <v>777</v>
      </c>
      <c r="B31" s="706"/>
      <c r="C31" s="706"/>
      <c r="D31" s="706"/>
      <c r="E31" s="706"/>
      <c r="F31" s="706"/>
      <c r="G31" s="98"/>
      <c r="H31" s="136">
        <f>H29-H30</f>
        <v>40622750.538266681</v>
      </c>
    </row>
    <row r="32" spans="1:10" ht="29.25" customHeight="1">
      <c r="A32" s="710" t="s">
        <v>270</v>
      </c>
      <c r="B32" s="710"/>
      <c r="C32" s="710"/>
      <c r="D32" s="710"/>
      <c r="E32" s="710"/>
      <c r="F32" s="710"/>
      <c r="G32" s="710"/>
      <c r="H32" s="7"/>
    </row>
    <row r="33" spans="1:17" ht="21.75" customHeight="1">
      <c r="A33" s="94" t="s">
        <v>770</v>
      </c>
      <c r="B33" s="94"/>
      <c r="C33" s="94"/>
      <c r="D33" s="94"/>
      <c r="E33" s="94"/>
      <c r="F33" s="94"/>
      <c r="G33" s="94"/>
      <c r="H33" s="99">
        <v>-152000</v>
      </c>
      <c r="J33" s="32"/>
    </row>
    <row r="34" spans="1:17" ht="21.75" customHeight="1">
      <c r="A34" s="361" t="s">
        <v>801</v>
      </c>
      <c r="B34" s="326"/>
      <c r="C34" s="326"/>
      <c r="D34" s="326"/>
      <c r="E34" s="326"/>
      <c r="F34" s="326"/>
      <c r="G34" s="326"/>
      <c r="H34" s="99">
        <v>-26073903.93</v>
      </c>
      <c r="J34" s="32"/>
    </row>
    <row r="35" spans="1:17" ht="21.75" customHeight="1">
      <c r="A35" s="467" t="s">
        <v>802</v>
      </c>
      <c r="H35" s="575">
        <f>4073085.37</f>
        <v>4073085.37</v>
      </c>
      <c r="J35" s="32"/>
    </row>
    <row r="36" spans="1:17" ht="21.75" customHeight="1">
      <c r="A36" s="467" t="s">
        <v>806</v>
      </c>
      <c r="B36" s="467"/>
      <c r="C36" s="467"/>
      <c r="D36" s="467"/>
      <c r="E36" s="467"/>
      <c r="F36" s="467"/>
      <c r="G36" s="467"/>
      <c r="H36" s="99">
        <f>4564480.74</f>
        <v>4564480.74</v>
      </c>
      <c r="J36" s="32"/>
    </row>
    <row r="37" spans="1:17" ht="21.75" customHeight="1">
      <c r="A37" s="467" t="s">
        <v>811</v>
      </c>
      <c r="B37" s="467"/>
      <c r="C37" s="467"/>
      <c r="D37" s="467"/>
      <c r="E37" s="467"/>
      <c r="F37" s="467"/>
      <c r="G37" s="467"/>
      <c r="H37" s="99">
        <f>-22700818.57</f>
        <v>-22700818.57</v>
      </c>
      <c r="J37" s="32"/>
    </row>
    <row r="38" spans="1:17" ht="21.75" customHeight="1">
      <c r="A38" s="417" t="s">
        <v>778</v>
      </c>
      <c r="B38" s="417"/>
      <c r="C38" s="417"/>
      <c r="D38" s="417"/>
      <c r="E38" s="417"/>
      <c r="F38" s="417"/>
      <c r="G38" s="417"/>
      <c r="H38" s="99">
        <f>-224761.32</f>
        <v>-224761.32</v>
      </c>
      <c r="J38" s="32"/>
    </row>
    <row r="39" spans="1:17" ht="21.75" customHeight="1">
      <c r="A39" s="464" t="s">
        <v>796</v>
      </c>
      <c r="B39" s="464"/>
      <c r="C39" s="464"/>
      <c r="D39" s="464"/>
      <c r="E39" s="464"/>
      <c r="F39" s="464"/>
      <c r="G39" s="464"/>
      <c r="H39" s="99">
        <f>-6517.49</f>
        <v>-6517.49</v>
      </c>
      <c r="I39" s="75"/>
      <c r="J39" s="32"/>
    </row>
    <row r="40" spans="1:17" ht="21.75" customHeight="1">
      <c r="A40" s="467" t="s">
        <v>816</v>
      </c>
      <c r="B40" s="467"/>
      <c r="C40" s="467"/>
      <c r="D40" s="467"/>
      <c r="E40" s="467"/>
      <c r="F40" s="467"/>
      <c r="G40" s="467"/>
      <c r="H40" s="99">
        <v>-37675.339999999997</v>
      </c>
      <c r="J40" s="32"/>
    </row>
    <row r="41" spans="1:17" ht="21.75" customHeight="1">
      <c r="A41" s="467" t="s">
        <v>818</v>
      </c>
      <c r="B41" s="467"/>
      <c r="C41" s="467"/>
      <c r="D41" s="467"/>
      <c r="E41" s="467"/>
      <c r="F41" s="467"/>
      <c r="G41" s="467"/>
      <c r="H41" s="99">
        <v>-64640</v>
      </c>
      <c r="J41" s="32"/>
    </row>
    <row r="42" spans="1:17" ht="21" customHeight="1">
      <c r="H42" s="100">
        <f>SUM(H33:H41)</f>
        <v>-40622750.540000007</v>
      </c>
      <c r="I42" s="32"/>
      <c r="J42" s="256"/>
      <c r="K42" s="75"/>
      <c r="L42" s="74"/>
      <c r="M42" s="74"/>
      <c r="N42" s="75"/>
      <c r="P42" s="158"/>
      <c r="Q42" s="75"/>
    </row>
    <row r="43" spans="1:17" ht="6.75" customHeight="1">
      <c r="A43" s="270"/>
      <c r="B43" s="270"/>
      <c r="C43" s="270"/>
      <c r="D43" s="270"/>
      <c r="E43" s="270"/>
      <c r="F43" s="270"/>
      <c r="G43" s="270"/>
      <c r="H43" s="100"/>
      <c r="I43" s="32"/>
      <c r="J43" s="256"/>
      <c r="K43" s="75"/>
      <c r="L43" s="74"/>
      <c r="M43" s="74"/>
      <c r="N43" s="75"/>
      <c r="P43" s="158"/>
      <c r="Q43" s="75"/>
    </row>
    <row r="44" spans="1:17" ht="28.5" customHeight="1">
      <c r="A44" s="1"/>
      <c r="B44" s="1"/>
      <c r="C44" s="1"/>
      <c r="D44" s="1"/>
      <c r="E44" s="711" t="s">
        <v>768</v>
      </c>
      <c r="F44" s="712"/>
      <c r="G44" s="711" t="s">
        <v>769</v>
      </c>
      <c r="H44" s="712"/>
      <c r="I44" s="32"/>
      <c r="J44" s="32"/>
      <c r="K44" s="75"/>
    </row>
    <row r="45" spans="1:17" ht="18.600000000000001" customHeight="1">
      <c r="A45" s="1"/>
      <c r="B45" s="1"/>
      <c r="C45" s="1"/>
      <c r="D45" s="1"/>
      <c r="E45" s="8" t="s">
        <v>402</v>
      </c>
      <c r="F45" s="101" t="s">
        <v>5</v>
      </c>
      <c r="G45" s="8" t="s">
        <v>402</v>
      </c>
      <c r="H45" s="101" t="s">
        <v>5</v>
      </c>
      <c r="I45" s="32"/>
      <c r="J45" s="32"/>
    </row>
    <row r="46" spans="1:17" ht="28.5" customHeight="1">
      <c r="A46" s="12">
        <v>1</v>
      </c>
      <c r="B46" s="713" t="s">
        <v>50</v>
      </c>
      <c r="C46" s="706"/>
      <c r="D46" s="707"/>
      <c r="E46" s="3">
        <v>33</v>
      </c>
      <c r="F46" s="13">
        <f>'FEBRUARY 2024'!R34</f>
        <v>8717267.3060726672</v>
      </c>
      <c r="G46" s="3">
        <f>'FEBRUARY 2024'!C34</f>
        <v>27</v>
      </c>
      <c r="H46" s="13">
        <f>'FEBRUARY 2024'!S34</f>
        <v>16449658.273544671</v>
      </c>
      <c r="I46" s="32"/>
      <c r="J46" s="32"/>
    </row>
    <row r="47" spans="1:17" ht="21.75" customHeight="1">
      <c r="A47" s="12">
        <v>2</v>
      </c>
      <c r="B47" s="102" t="s">
        <v>285</v>
      </c>
      <c r="C47" s="94"/>
      <c r="D47" s="103"/>
      <c r="E47" s="3">
        <v>2</v>
      </c>
      <c r="F47" s="13">
        <f>'FEBRUARY 2024'!R40</f>
        <v>925705.68186799996</v>
      </c>
      <c r="G47" s="3">
        <f>'FEBRUARY 2024'!C40</f>
        <v>3</v>
      </c>
      <c r="H47" s="13">
        <f>'FEBRUARY 2024'!S40</f>
        <v>2313475.9648520001</v>
      </c>
      <c r="I47" s="32"/>
      <c r="J47" s="32"/>
    </row>
    <row r="48" spans="1:17" ht="24.75" customHeight="1">
      <c r="A48" s="12">
        <v>3</v>
      </c>
      <c r="B48" s="706" t="s">
        <v>197</v>
      </c>
      <c r="C48" s="706"/>
      <c r="D48" s="707"/>
      <c r="E48" s="3">
        <v>11</v>
      </c>
      <c r="F48" s="13">
        <f>'FEBRUARY 2024'!R54</f>
        <v>2615777.8869966664</v>
      </c>
      <c r="G48" s="3">
        <f>'FEBRUARY 2024'!C54</f>
        <v>11</v>
      </c>
      <c r="H48" s="13">
        <f>'FEBRUARY 2024'!S54</f>
        <v>6448076.3348566657</v>
      </c>
      <c r="I48" s="32"/>
      <c r="J48" s="32"/>
    </row>
    <row r="49" spans="1:14" ht="23.25" customHeight="1">
      <c r="A49" s="12">
        <v>4</v>
      </c>
      <c r="B49" s="706" t="s">
        <v>196</v>
      </c>
      <c r="C49" s="706"/>
      <c r="D49" s="718"/>
      <c r="E49" s="3">
        <v>2</v>
      </c>
      <c r="F49" s="13">
        <f>'FEBRUARY 2024'!R59</f>
        <v>817858.81999466685</v>
      </c>
      <c r="G49" s="3">
        <f>'FEBRUARY 2024'!C59</f>
        <v>2</v>
      </c>
      <c r="H49" s="13">
        <f>'FEBRUARY 2024'!S59</f>
        <v>2191750.6016586665</v>
      </c>
      <c r="I49" s="32"/>
      <c r="J49" s="32"/>
    </row>
    <row r="50" spans="1:14" ht="24" customHeight="1">
      <c r="A50" s="12">
        <v>5</v>
      </c>
      <c r="B50" s="706" t="s">
        <v>355</v>
      </c>
      <c r="C50" s="706"/>
      <c r="D50" s="718"/>
      <c r="E50" s="3">
        <v>13</v>
      </c>
      <c r="F50" s="13">
        <f>'FEBRUARY 2024'!R72</f>
        <v>2517999.6075213333</v>
      </c>
      <c r="G50" s="3">
        <f>'FEBRUARY 2024'!C72</f>
        <v>12</v>
      </c>
      <c r="H50" s="13">
        <f>'FEBRUARY 2024'!S72</f>
        <v>5781033.7017213339</v>
      </c>
      <c r="I50" s="32"/>
      <c r="J50" s="32"/>
    </row>
    <row r="51" spans="1:14" ht="21" customHeight="1">
      <c r="A51" s="12">
        <v>6</v>
      </c>
      <c r="B51" s="706" t="s">
        <v>357</v>
      </c>
      <c r="C51" s="706"/>
      <c r="D51" s="718"/>
      <c r="E51" s="3">
        <v>4</v>
      </c>
      <c r="F51" s="13">
        <f>'FEBRUARY 2024'!R82</f>
        <v>2118161.3182573337</v>
      </c>
      <c r="G51" s="3">
        <f>'FEBRUARY 2024'!C82</f>
        <v>7</v>
      </c>
      <c r="H51" s="13">
        <f>'FEBRUARY 2024'!S82</f>
        <v>4673908.0450293329</v>
      </c>
      <c r="I51" s="32"/>
      <c r="J51" s="32"/>
    </row>
    <row r="52" spans="1:14" ht="23.25" customHeight="1">
      <c r="A52" s="12">
        <v>7</v>
      </c>
      <c r="B52" s="94" t="s">
        <v>356</v>
      </c>
      <c r="C52" s="94"/>
      <c r="D52" s="103"/>
      <c r="E52" s="3">
        <v>12</v>
      </c>
      <c r="F52" s="13">
        <f>'FEBRUARY 2024'!R95</f>
        <v>2874739.8154623332</v>
      </c>
      <c r="G52" s="3">
        <f>'FEBRUARY 2024'!C95</f>
        <v>11</v>
      </c>
      <c r="H52" s="13">
        <f>'FEBRUARY 2024'!S95</f>
        <v>5670163.9323070943</v>
      </c>
      <c r="I52" s="32"/>
      <c r="J52" s="32"/>
    </row>
    <row r="53" spans="1:14" ht="25.5" customHeight="1">
      <c r="A53" s="12">
        <v>8</v>
      </c>
      <c r="B53" s="94" t="s">
        <v>455</v>
      </c>
      <c r="C53" s="94"/>
      <c r="D53" s="103"/>
      <c r="E53" s="3">
        <v>4</v>
      </c>
      <c r="F53" s="13">
        <f>'FEBRUARY 2024'!R102</f>
        <v>870039.76133733313</v>
      </c>
      <c r="G53" s="3">
        <f>'FEBRUARY 2024'!C102</f>
        <v>4</v>
      </c>
      <c r="H53" s="13">
        <f>'FEBRUARY 2024'!S102</f>
        <v>2099662.3660053336</v>
      </c>
      <c r="I53" s="32"/>
      <c r="J53" s="32"/>
    </row>
    <row r="54" spans="1:14" ht="21.75" customHeight="1">
      <c r="A54" s="12">
        <v>9</v>
      </c>
      <c r="B54" s="94" t="s">
        <v>286</v>
      </c>
      <c r="C54" s="94"/>
      <c r="D54" s="103"/>
      <c r="E54" s="3">
        <v>8</v>
      </c>
      <c r="F54" s="13">
        <f>'FEBRUARY 2024'!R112</f>
        <v>1943184.7790151334</v>
      </c>
      <c r="G54" s="3">
        <f>'FEBRUARY 2024'!C112</f>
        <v>7</v>
      </c>
      <c r="H54" s="13">
        <f>'FEBRUARY 2024'!S112</f>
        <v>4542081.6615693336</v>
      </c>
      <c r="I54" s="32"/>
      <c r="J54" s="32"/>
    </row>
    <row r="55" spans="1:14" ht="21.75" customHeight="1">
      <c r="A55" s="12">
        <v>10</v>
      </c>
      <c r="B55" s="328" t="s">
        <v>548</v>
      </c>
      <c r="C55" s="328"/>
      <c r="D55" s="329"/>
      <c r="E55" s="3">
        <v>2</v>
      </c>
      <c r="F55" s="13">
        <f>'FEBRUARY 2024'!R118</f>
        <v>732856.30259199999</v>
      </c>
      <c r="G55" s="3">
        <f>'FEBRUARY 2024'!C118</f>
        <v>2</v>
      </c>
      <c r="H55" s="13">
        <f>'FEBRUARY 2024'!S118</f>
        <v>1577913.947708</v>
      </c>
      <c r="I55" s="32"/>
      <c r="J55" s="32"/>
    </row>
    <row r="56" spans="1:14" ht="24.75" customHeight="1">
      <c r="A56" s="12">
        <v>11</v>
      </c>
      <c r="B56" s="94" t="s">
        <v>287</v>
      </c>
      <c r="C56" s="94"/>
      <c r="D56" s="103"/>
      <c r="E56" s="3">
        <v>9</v>
      </c>
      <c r="F56" s="13">
        <f>'FEBRUARY 2024'!R131</f>
        <v>2223207.6170093338</v>
      </c>
      <c r="G56" s="255" t="str">
        <f>'FEBRUARY 2024'!C131</f>
        <v>10</v>
      </c>
      <c r="H56" s="13">
        <f>'FEBRUARY 2024'!S131</f>
        <v>5656464.0894600004</v>
      </c>
      <c r="I56" s="32"/>
      <c r="J56" s="32"/>
    </row>
    <row r="57" spans="1:14" ht="24.75" customHeight="1">
      <c r="A57" s="12">
        <v>12</v>
      </c>
      <c r="B57" s="706" t="s">
        <v>456</v>
      </c>
      <c r="C57" s="706"/>
      <c r="D57" s="707"/>
      <c r="E57" s="3">
        <v>58</v>
      </c>
      <c r="F57" s="13">
        <f>'FEBRUARY 2024'!R193</f>
        <v>6881453.4910648037</v>
      </c>
      <c r="G57" s="255" t="str">
        <f>'FEBRUARY 2024'!C193</f>
        <v>59</v>
      </c>
      <c r="H57" s="13">
        <f>'FEBRUARY 2024'!S193</f>
        <v>16456814.006745869</v>
      </c>
      <c r="I57" s="32"/>
      <c r="J57" s="32"/>
    </row>
    <row r="58" spans="1:14" ht="24" customHeight="1">
      <c r="A58" s="1"/>
      <c r="B58" s="1"/>
      <c r="C58" s="1"/>
      <c r="D58" s="1"/>
      <c r="E58" s="8">
        <f>SUM(E46:E57)</f>
        <v>158</v>
      </c>
      <c r="F58" s="14">
        <f>SUM(F46:F57)</f>
        <v>33238252.387191601</v>
      </c>
      <c r="G58" s="8">
        <v>154</v>
      </c>
      <c r="H58" s="14">
        <f>SUM(H46:H57)</f>
        <v>73861002.925458312</v>
      </c>
      <c r="I58" s="32"/>
      <c r="J58" s="32"/>
    </row>
    <row r="59" spans="1:14" ht="0.75" customHeight="1">
      <c r="A59" s="1"/>
      <c r="B59" s="1"/>
      <c r="C59" s="1"/>
      <c r="D59" s="1"/>
      <c r="E59" s="174"/>
      <c r="F59" s="187"/>
      <c r="G59" s="174"/>
      <c r="H59" s="187"/>
      <c r="I59" s="32"/>
      <c r="J59" s="32"/>
    </row>
    <row r="60" spans="1:14" ht="78.75" customHeight="1">
      <c r="A60" s="708" t="s">
        <v>1172</v>
      </c>
      <c r="B60" s="708"/>
      <c r="C60" s="708"/>
      <c r="D60" s="708"/>
      <c r="E60" s="708"/>
      <c r="F60" s="708"/>
      <c r="G60" s="708"/>
      <c r="H60" s="708"/>
      <c r="I60" s="7"/>
      <c r="J60" s="37"/>
      <c r="K60" s="37"/>
      <c r="L60" s="7"/>
      <c r="M60" s="7"/>
      <c r="N60" s="7"/>
    </row>
    <row r="61" spans="1:14" ht="4.5" customHeight="1">
      <c r="A61" s="104"/>
      <c r="B61" s="104"/>
      <c r="C61" s="104"/>
      <c r="D61" s="104"/>
      <c r="E61" s="104"/>
      <c r="F61" s="104"/>
      <c r="G61" s="104"/>
      <c r="H61" s="104"/>
      <c r="I61" s="7"/>
      <c r="J61" s="7"/>
      <c r="K61" s="7"/>
      <c r="L61" s="7"/>
      <c r="M61" s="7"/>
      <c r="N61" s="7"/>
    </row>
    <row r="62" spans="1:14" ht="2.25" hidden="1" customHeight="1">
      <c r="A62" s="104"/>
      <c r="B62" s="104"/>
      <c r="C62" s="104"/>
      <c r="D62" s="104"/>
      <c r="E62" s="104"/>
      <c r="F62" s="104"/>
      <c r="G62" s="104"/>
      <c r="H62" s="104"/>
      <c r="I62" s="7"/>
      <c r="J62" s="7"/>
      <c r="K62" s="7"/>
      <c r="L62" s="7"/>
      <c r="M62" s="7"/>
      <c r="N62" s="7"/>
    </row>
    <row r="63" spans="1:14" ht="22.5" customHeight="1">
      <c r="F63" s="1"/>
      <c r="G63" s="1"/>
      <c r="H63" s="1"/>
    </row>
    <row r="64" spans="1:14" ht="17.25" customHeight="1">
      <c r="A64" s="710" t="s">
        <v>153</v>
      </c>
      <c r="B64" s="710"/>
      <c r="C64" s="710"/>
      <c r="D64" s="710"/>
      <c r="E64" s="710"/>
      <c r="F64" s="1"/>
      <c r="G64" s="1"/>
      <c r="H64" s="1"/>
      <c r="I64" s="36"/>
      <c r="K64" s="74"/>
    </row>
    <row r="65" spans="1:11">
      <c r="A65" s="10"/>
      <c r="B65" s="10"/>
      <c r="C65" s="10"/>
      <c r="D65" s="10" t="s">
        <v>99</v>
      </c>
      <c r="E65" s="10"/>
      <c r="F65" s="10"/>
      <c r="G65" s="10"/>
      <c r="H65" s="10"/>
      <c r="I65" s="36"/>
      <c r="K65" s="74"/>
    </row>
    <row r="66" spans="1:11">
      <c r="K66" s="74"/>
    </row>
    <row r="67" spans="1:11">
      <c r="K67" s="74"/>
    </row>
    <row r="70" spans="1:11">
      <c r="C70" t="s">
        <v>171</v>
      </c>
    </row>
    <row r="168" spans="3:3">
      <c r="C168">
        <f>10000</f>
        <v>10000</v>
      </c>
    </row>
  </sheetData>
  <mergeCells count="29">
    <mergeCell ref="A64:E64"/>
    <mergeCell ref="A26:F26"/>
    <mergeCell ref="A23:F23"/>
    <mergeCell ref="A24:F24"/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B49:D49"/>
    <mergeCell ref="B50:D50"/>
    <mergeCell ref="B51:D51"/>
    <mergeCell ref="B57:D57"/>
    <mergeCell ref="A60:H60"/>
    <mergeCell ref="B48:D48"/>
    <mergeCell ref="A25:F25"/>
    <mergeCell ref="A28:F28"/>
    <mergeCell ref="A29:F29"/>
    <mergeCell ref="A30:F30"/>
    <mergeCell ref="A31:F31"/>
    <mergeCell ref="A32:G32"/>
    <mergeCell ref="E44:F44"/>
    <mergeCell ref="G44:H44"/>
    <mergeCell ref="B46:D46"/>
    <mergeCell ref="A27:F27"/>
  </mergeCells>
  <pageMargins left="0.45" right="0" top="0" bottom="0" header="0" footer="0"/>
  <pageSetup paperSize="9" scale="6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8"/>
  <sheetViews>
    <sheetView zoomScaleNormal="100" workbookViewId="0">
      <selection activeCell="F12" sqref="F12"/>
    </sheetView>
  </sheetViews>
  <sheetFormatPr defaultColWidth="9.140625" defaultRowHeight="18.75"/>
  <cols>
    <col min="1" max="1" width="5.42578125" style="196" customWidth="1"/>
    <col min="2" max="2" width="43.85546875" style="196" customWidth="1"/>
    <col min="3" max="3" width="40.42578125" style="196" customWidth="1"/>
    <col min="4" max="4" width="12.7109375" style="196" customWidth="1"/>
    <col min="5" max="5" width="20.28515625" style="196" customWidth="1"/>
    <col min="6" max="6" width="18" style="196" customWidth="1"/>
    <col min="7" max="7" width="18.28515625" style="196" customWidth="1"/>
    <col min="8" max="8" width="18.140625" style="196" customWidth="1"/>
    <col min="9" max="9" width="17.85546875" style="196" customWidth="1"/>
    <col min="10" max="12" width="20" style="196" customWidth="1"/>
    <col min="13" max="15" width="19.7109375" style="196" customWidth="1"/>
    <col min="16" max="16" width="3.7109375" style="196" customWidth="1"/>
    <col min="17" max="17" width="21.7109375" style="196" customWidth="1"/>
    <col min="18" max="16384" width="9.140625" style="196"/>
  </cols>
  <sheetData>
    <row r="1" spans="1:17" ht="27" customHeight="1">
      <c r="A1" s="719" t="s">
        <v>234</v>
      </c>
      <c r="B1" s="719"/>
      <c r="C1" s="719"/>
      <c r="D1" s="719"/>
      <c r="E1" s="719"/>
      <c r="F1" s="719"/>
      <c r="G1" s="195"/>
      <c r="H1" s="195"/>
      <c r="I1" s="195"/>
      <c r="J1" s="195"/>
      <c r="K1" s="195"/>
      <c r="L1" s="195"/>
    </row>
    <row r="2" spans="1:17" ht="33.75" customHeight="1">
      <c r="A2" s="510" t="s">
        <v>1173</v>
      </c>
      <c r="B2" s="511"/>
      <c r="C2" s="510"/>
      <c r="D2" s="510"/>
      <c r="E2" s="512"/>
      <c r="F2" s="512"/>
      <c r="G2" s="200"/>
      <c r="H2" s="200"/>
      <c r="I2" s="200"/>
      <c r="J2" s="200"/>
      <c r="K2" s="200"/>
      <c r="L2" s="200"/>
      <c r="M2" s="201"/>
      <c r="N2" s="201"/>
      <c r="O2" s="201"/>
      <c r="P2" s="201"/>
    </row>
    <row r="3" spans="1:17" ht="9.75" customHeight="1">
      <c r="A3" s="202"/>
      <c r="B3" s="202"/>
      <c r="C3" s="202"/>
      <c r="D3" s="202"/>
      <c r="E3" s="195" t="e">
        <f>'[1]FEB 08'!E11/'[1]FEB 08'!M11</f>
        <v>#REF!</v>
      </c>
      <c r="F3" s="195"/>
      <c r="G3" s="195"/>
      <c r="H3" s="195"/>
      <c r="I3" s="195"/>
      <c r="J3" s="195"/>
      <c r="K3" s="195"/>
      <c r="L3" s="195"/>
    </row>
    <row r="4" spans="1:17" ht="52.5" customHeight="1">
      <c r="A4" s="357"/>
      <c r="B4" s="203" t="s">
        <v>0</v>
      </c>
      <c r="C4" s="204" t="s">
        <v>12</v>
      </c>
      <c r="D4" s="205" t="s">
        <v>309</v>
      </c>
      <c r="E4" s="206" t="s">
        <v>36</v>
      </c>
      <c r="F4" s="206" t="s">
        <v>780</v>
      </c>
      <c r="G4" s="206" t="s">
        <v>781</v>
      </c>
      <c r="H4" s="206" t="s">
        <v>782</v>
      </c>
      <c r="I4" s="206" t="s">
        <v>49</v>
      </c>
      <c r="J4" s="513" t="s">
        <v>662</v>
      </c>
      <c r="K4" s="513" t="s">
        <v>783</v>
      </c>
      <c r="L4" s="513" t="s">
        <v>784</v>
      </c>
      <c r="M4" s="514" t="s">
        <v>785</v>
      </c>
      <c r="N4" s="581" t="s">
        <v>786</v>
      </c>
      <c r="O4" s="581" t="s">
        <v>787</v>
      </c>
      <c r="P4" s="611"/>
      <c r="Q4" s="625" t="s">
        <v>810</v>
      </c>
    </row>
    <row r="5" spans="1:17" ht="17.25" customHeight="1">
      <c r="C5" s="210"/>
      <c r="D5" s="210"/>
      <c r="L5" s="415" t="s">
        <v>807</v>
      </c>
      <c r="O5" s="604" t="s">
        <v>808</v>
      </c>
      <c r="P5" s="605"/>
      <c r="Q5" s="415" t="s">
        <v>809</v>
      </c>
    </row>
    <row r="6" spans="1:17" ht="20.100000000000001" customHeight="1">
      <c r="A6" s="209" t="s">
        <v>143</v>
      </c>
      <c r="B6" s="210" t="s">
        <v>433</v>
      </c>
      <c r="C6" s="210"/>
      <c r="D6" s="210"/>
      <c r="E6" s="211" t="s">
        <v>5</v>
      </c>
      <c r="F6" s="211" t="s">
        <v>5</v>
      </c>
      <c r="G6" s="211" t="s">
        <v>5</v>
      </c>
      <c r="H6" s="211" t="s">
        <v>5</v>
      </c>
      <c r="I6" s="211" t="s">
        <v>5</v>
      </c>
      <c r="J6" s="211" t="s">
        <v>5</v>
      </c>
      <c r="K6" s="211" t="s">
        <v>5</v>
      </c>
      <c r="L6" s="211" t="s">
        <v>5</v>
      </c>
      <c r="M6" s="211" t="s">
        <v>5</v>
      </c>
      <c r="N6" s="582" t="s">
        <v>5</v>
      </c>
      <c r="O6" s="582" t="s">
        <v>5</v>
      </c>
      <c r="P6" s="606"/>
      <c r="Q6" s="595" t="s">
        <v>5</v>
      </c>
    </row>
    <row r="7" spans="1:17" ht="20.100000000000001" customHeight="1">
      <c r="A7" s="430">
        <v>1</v>
      </c>
      <c r="B7" s="432" t="s">
        <v>224</v>
      </c>
      <c r="C7" s="367" t="s">
        <v>119</v>
      </c>
      <c r="D7" s="367" t="s">
        <v>34</v>
      </c>
      <c r="E7" s="24">
        <v>1659751.1669999999</v>
      </c>
      <c r="F7" s="24"/>
      <c r="G7" s="212">
        <f>250000</f>
        <v>250000</v>
      </c>
      <c r="H7" s="212"/>
      <c r="I7" s="24">
        <v>25235</v>
      </c>
      <c r="J7" s="517">
        <f>E7+F7+G7+H7+I7</f>
        <v>1934986.1669999999</v>
      </c>
      <c r="K7" s="517">
        <v>1158849.8399999999</v>
      </c>
      <c r="L7" s="517">
        <f>J7-K7</f>
        <v>776136.32700000005</v>
      </c>
      <c r="M7" s="518">
        <v>350184.01073066675</v>
      </c>
      <c r="N7" s="586">
        <v>201165.83594666663</v>
      </c>
      <c r="O7" s="583">
        <f>M7-N7</f>
        <v>149018.17478400012</v>
      </c>
      <c r="P7" s="612"/>
      <c r="Q7" s="619">
        <f>L7-O7</f>
        <v>627118.1522159999</v>
      </c>
    </row>
    <row r="8" spans="1:17" ht="20.100000000000001" customHeight="1">
      <c r="A8" s="430">
        <v>2</v>
      </c>
      <c r="B8" s="432" t="s">
        <v>315</v>
      </c>
      <c r="C8" s="367" t="s">
        <v>316</v>
      </c>
      <c r="D8" s="430" t="s">
        <v>496</v>
      </c>
      <c r="E8" s="24">
        <v>762373.16666666663</v>
      </c>
      <c r="F8" s="26"/>
      <c r="G8" s="212"/>
      <c r="H8" s="212">
        <f>90000</f>
        <v>90000</v>
      </c>
      <c r="I8" s="24">
        <v>0</v>
      </c>
      <c r="J8" s="517">
        <f t="shared" ref="J8:J33" si="0">E8+F8+G8+H8+I8</f>
        <v>852373.16666666663</v>
      </c>
      <c r="K8" s="517">
        <v>541465.02474999998</v>
      </c>
      <c r="L8" s="517">
        <f t="shared" ref="L8:L33" si="1">J8-K8</f>
        <v>310908.14191666665</v>
      </c>
      <c r="M8" s="518">
        <v>130612.26282666666</v>
      </c>
      <c r="N8" s="586">
        <v>82627.951418666678</v>
      </c>
      <c r="O8" s="583">
        <f t="shared" ref="O8:O33" si="2">M8-N8</f>
        <v>47984.31140799998</v>
      </c>
      <c r="P8" s="612"/>
      <c r="Q8" s="619">
        <f t="shared" ref="Q8:Q33" si="3">L8-O8</f>
        <v>262923.8305086667</v>
      </c>
    </row>
    <row r="9" spans="1:17" ht="20.100000000000001" customHeight="1">
      <c r="A9" s="430">
        <v>3</v>
      </c>
      <c r="B9" s="365" t="s">
        <v>317</v>
      </c>
      <c r="C9" s="357" t="s">
        <v>418</v>
      </c>
      <c r="D9" s="430" t="s">
        <v>496</v>
      </c>
      <c r="E9" s="24">
        <v>762373.16666666663</v>
      </c>
      <c r="F9" s="26"/>
      <c r="G9" s="212"/>
      <c r="H9" s="212">
        <f>90000</f>
        <v>90000</v>
      </c>
      <c r="I9" s="26">
        <f>100000+100000</f>
        <v>200000</v>
      </c>
      <c r="J9" s="517">
        <f t="shared" si="0"/>
        <v>1052373.1666666665</v>
      </c>
      <c r="K9" s="517">
        <v>741465.0247500001</v>
      </c>
      <c r="L9" s="517">
        <f t="shared" si="1"/>
        <v>310908.14191666641</v>
      </c>
      <c r="M9" s="520">
        <v>180722.31466666664</v>
      </c>
      <c r="N9" s="601">
        <v>121027.95141866669</v>
      </c>
      <c r="O9" s="583">
        <f t="shared" si="2"/>
        <v>59694.363247999951</v>
      </c>
      <c r="P9" s="612"/>
      <c r="Q9" s="619">
        <f t="shared" si="3"/>
        <v>251213.77866866646</v>
      </c>
    </row>
    <row r="10" spans="1:17" ht="20.100000000000001" customHeight="1">
      <c r="A10" s="430">
        <v>4</v>
      </c>
      <c r="B10" s="432" t="s">
        <v>187</v>
      </c>
      <c r="C10" s="431" t="s">
        <v>474</v>
      </c>
      <c r="D10" s="430" t="s">
        <v>496</v>
      </c>
      <c r="E10" s="24">
        <v>762373.16666666663</v>
      </c>
      <c r="F10" s="26"/>
      <c r="G10" s="212">
        <v>180000</v>
      </c>
      <c r="H10" s="212"/>
      <c r="I10" s="26">
        <v>0</v>
      </c>
      <c r="J10" s="517">
        <f t="shared" si="0"/>
        <v>942373.16666666663</v>
      </c>
      <c r="K10" s="517">
        <v>631465.0247500001</v>
      </c>
      <c r="L10" s="517">
        <f t="shared" si="1"/>
        <v>310908.14191666653</v>
      </c>
      <c r="M10" s="520">
        <v>147687.52761066667</v>
      </c>
      <c r="N10" s="601">
        <v>99703.216202666677</v>
      </c>
      <c r="O10" s="583">
        <f t="shared" si="2"/>
        <v>47984.311407999994</v>
      </c>
      <c r="P10" s="612"/>
      <c r="Q10" s="619">
        <f t="shared" si="3"/>
        <v>262923.83050866652</v>
      </c>
    </row>
    <row r="11" spans="1:17" ht="20.100000000000001" customHeight="1">
      <c r="A11" s="430">
        <v>5</v>
      </c>
      <c r="B11" s="365" t="s">
        <v>203</v>
      </c>
      <c r="C11" s="357" t="s">
        <v>788</v>
      </c>
      <c r="D11" s="430" t="s">
        <v>496</v>
      </c>
      <c r="E11" s="24">
        <v>762373.16666666663</v>
      </c>
      <c r="F11" s="26"/>
      <c r="G11" s="212"/>
      <c r="H11" s="212">
        <f>80000+10000</f>
        <v>90000</v>
      </c>
      <c r="I11" s="24">
        <v>150000</v>
      </c>
      <c r="J11" s="517">
        <f t="shared" si="0"/>
        <v>1002373.1666666666</v>
      </c>
      <c r="K11" s="517">
        <v>691465.0247500001</v>
      </c>
      <c r="L11" s="517">
        <f t="shared" si="1"/>
        <v>310908.14191666653</v>
      </c>
      <c r="M11" s="518">
        <v>159207.52761066667</v>
      </c>
      <c r="N11" s="586">
        <v>111223.21620266668</v>
      </c>
      <c r="O11" s="583">
        <f t="shared" si="2"/>
        <v>47984.311407999994</v>
      </c>
      <c r="P11" s="612"/>
      <c r="Q11" s="619">
        <f t="shared" si="3"/>
        <v>262923.83050866652</v>
      </c>
    </row>
    <row r="12" spans="1:17" ht="20.100000000000001" customHeight="1">
      <c r="A12" s="430">
        <v>6</v>
      </c>
      <c r="B12" s="364" t="s">
        <v>364</v>
      </c>
      <c r="C12" s="430" t="s">
        <v>343</v>
      </c>
      <c r="D12" s="430" t="s">
        <v>496</v>
      </c>
      <c r="E12" s="24">
        <v>762373.16666666663</v>
      </c>
      <c r="F12" s="26"/>
      <c r="G12" s="212"/>
      <c r="H12" s="212">
        <f>90000</f>
        <v>90000</v>
      </c>
      <c r="I12" s="26">
        <v>100000</v>
      </c>
      <c r="J12" s="517">
        <f t="shared" si="0"/>
        <v>952373.16666666663</v>
      </c>
      <c r="K12" s="517">
        <v>641465.02474999998</v>
      </c>
      <c r="L12" s="517">
        <f t="shared" si="1"/>
        <v>310908.14191666665</v>
      </c>
      <c r="M12" s="520">
        <v>161522.31466666667</v>
      </c>
      <c r="N12" s="601">
        <v>101827.95141866668</v>
      </c>
      <c r="O12" s="583">
        <f t="shared" si="2"/>
        <v>59694.363247999994</v>
      </c>
      <c r="P12" s="612"/>
      <c r="Q12" s="619">
        <f t="shared" si="3"/>
        <v>251213.77866866667</v>
      </c>
    </row>
    <row r="13" spans="1:17" ht="20.100000000000001" customHeight="1">
      <c r="A13" s="430">
        <v>7</v>
      </c>
      <c r="B13" s="432" t="s">
        <v>111</v>
      </c>
      <c r="C13" s="367" t="s">
        <v>468</v>
      </c>
      <c r="D13" s="434" t="s">
        <v>75</v>
      </c>
      <c r="E13" s="26">
        <v>620675.58333333337</v>
      </c>
      <c r="F13" s="26"/>
      <c r="G13" s="212"/>
      <c r="H13" s="212">
        <f t="shared" ref="H13:H123" si="4">80000</f>
        <v>80000</v>
      </c>
      <c r="I13" s="26">
        <v>50000</v>
      </c>
      <c r="J13" s="517">
        <f t="shared" si="0"/>
        <v>750675.58333333337</v>
      </c>
      <c r="K13" s="517">
        <v>497553.5025</v>
      </c>
      <c r="L13" s="517">
        <f t="shared" si="1"/>
        <v>253122.08083333337</v>
      </c>
      <c r="M13" s="520">
        <v>113101.96570666666</v>
      </c>
      <c r="N13" s="601">
        <v>74036.103146666661</v>
      </c>
      <c r="O13" s="583">
        <f t="shared" si="2"/>
        <v>39065.862559999994</v>
      </c>
      <c r="P13" s="612"/>
      <c r="Q13" s="619">
        <f t="shared" si="3"/>
        <v>214056.21827333339</v>
      </c>
    </row>
    <row r="14" spans="1:17" ht="20.100000000000001" customHeight="1">
      <c r="A14" s="430">
        <v>8</v>
      </c>
      <c r="B14" s="432" t="s">
        <v>185</v>
      </c>
      <c r="C14" s="357" t="s">
        <v>708</v>
      </c>
      <c r="D14" s="430" t="s">
        <v>30</v>
      </c>
      <c r="E14" s="26">
        <v>582118.08333333337</v>
      </c>
      <c r="F14" s="26"/>
      <c r="G14" s="212">
        <v>160000</v>
      </c>
      <c r="H14" s="212"/>
      <c r="I14" s="26">
        <f>100000</f>
        <v>100000</v>
      </c>
      <c r="J14" s="517">
        <f t="shared" si="0"/>
        <v>842118.08333333337</v>
      </c>
      <c r="K14" s="517">
        <v>604729.22200000007</v>
      </c>
      <c r="L14" s="517">
        <f t="shared" si="1"/>
        <v>237388.86133333331</v>
      </c>
      <c r="M14" s="518">
        <v>131263.10967466666</v>
      </c>
      <c r="N14" s="586">
        <v>94625.782058666678</v>
      </c>
      <c r="O14" s="583">
        <f t="shared" si="2"/>
        <v>36637.32761599998</v>
      </c>
      <c r="P14" s="612"/>
      <c r="Q14" s="619">
        <f t="shared" si="3"/>
        <v>200751.53371733334</v>
      </c>
    </row>
    <row r="15" spans="1:17" ht="20.100000000000001" customHeight="1">
      <c r="A15" s="430">
        <v>9</v>
      </c>
      <c r="B15" s="432" t="s">
        <v>18</v>
      </c>
      <c r="C15" s="357" t="s">
        <v>389</v>
      </c>
      <c r="D15" s="434" t="s">
        <v>174</v>
      </c>
      <c r="E15" s="26">
        <v>484373.75</v>
      </c>
      <c r="F15" s="26"/>
      <c r="G15" s="212"/>
      <c r="H15" s="212">
        <f t="shared" ref="H15" si="5">70000</f>
        <v>70000</v>
      </c>
      <c r="I15" s="26">
        <f>0</f>
        <v>0</v>
      </c>
      <c r="J15" s="517">
        <f t="shared" si="0"/>
        <v>554373.75</v>
      </c>
      <c r="K15" s="517">
        <v>343333.03524999996</v>
      </c>
      <c r="L15" s="517">
        <f t="shared" si="1"/>
        <v>211040.71475000004</v>
      </c>
      <c r="M15" s="520">
        <v>77666.445866666661</v>
      </c>
      <c r="N15" s="601">
        <v>44846.616588666657</v>
      </c>
      <c r="O15" s="583">
        <f t="shared" si="2"/>
        <v>32819.829278000005</v>
      </c>
      <c r="P15" s="612"/>
      <c r="Q15" s="619">
        <f t="shared" si="3"/>
        <v>178220.88547200005</v>
      </c>
    </row>
    <row r="16" spans="1:17" ht="20.100000000000001" customHeight="1">
      <c r="A16" s="430">
        <v>10</v>
      </c>
      <c r="B16" s="365" t="s">
        <v>534</v>
      </c>
      <c r="C16" s="431" t="s">
        <v>297</v>
      </c>
      <c r="D16" s="434" t="s">
        <v>181</v>
      </c>
      <c r="E16" s="26">
        <v>470498</v>
      </c>
      <c r="F16" s="26"/>
      <c r="G16" s="212">
        <v>140000</v>
      </c>
      <c r="H16" s="212"/>
      <c r="I16" s="26">
        <v>50000</v>
      </c>
      <c r="J16" s="517">
        <f t="shared" si="0"/>
        <v>660498</v>
      </c>
      <c r="K16" s="517">
        <v>463333.03525000007</v>
      </c>
      <c r="L16" s="517">
        <f t="shared" si="1"/>
        <v>197164.96474999993</v>
      </c>
      <c r="M16" s="521">
        <v>98255.433386666657</v>
      </c>
      <c r="N16" s="586">
        <v>67626.60943466668</v>
      </c>
      <c r="O16" s="583">
        <f t="shared" si="2"/>
        <v>30628.823951999977</v>
      </c>
      <c r="P16" s="612"/>
      <c r="Q16" s="619">
        <f t="shared" si="3"/>
        <v>166536.14079799995</v>
      </c>
    </row>
    <row r="17" spans="1:17" ht="20.100000000000001" customHeight="1">
      <c r="A17" s="430">
        <v>11</v>
      </c>
      <c r="B17" s="432" t="s">
        <v>184</v>
      </c>
      <c r="C17" s="357" t="s">
        <v>78</v>
      </c>
      <c r="D17" s="430" t="s">
        <v>222</v>
      </c>
      <c r="E17" s="26">
        <v>442746.5</v>
      </c>
      <c r="F17" s="26"/>
      <c r="G17" s="212">
        <f>140000</f>
        <v>140000</v>
      </c>
      <c r="H17" s="212"/>
      <c r="I17" s="26">
        <v>150000</v>
      </c>
      <c r="J17" s="517">
        <f t="shared" si="0"/>
        <v>732746.5</v>
      </c>
      <c r="K17" s="517">
        <v>547211.36749999993</v>
      </c>
      <c r="L17" s="517">
        <f t="shared" si="1"/>
        <v>185535.13250000007</v>
      </c>
      <c r="M17" s="520">
        <v>112553.40842666665</v>
      </c>
      <c r="N17" s="601">
        <v>83731.249226666652</v>
      </c>
      <c r="O17" s="583">
        <f t="shared" si="2"/>
        <v>28822.159199999995</v>
      </c>
      <c r="P17" s="612"/>
      <c r="Q17" s="619">
        <f t="shared" si="3"/>
        <v>156712.97330000007</v>
      </c>
    </row>
    <row r="18" spans="1:17" ht="20.100000000000001" customHeight="1">
      <c r="A18" s="430">
        <v>12</v>
      </c>
      <c r="B18" s="432" t="s">
        <v>724</v>
      </c>
      <c r="C18" s="357" t="s">
        <v>725</v>
      </c>
      <c r="D18" s="430" t="s">
        <v>175</v>
      </c>
      <c r="E18" s="26">
        <v>441804.91666666669</v>
      </c>
      <c r="F18" s="26"/>
      <c r="G18" s="212"/>
      <c r="H18" s="212">
        <v>70000</v>
      </c>
      <c r="I18" s="26"/>
      <c r="J18" s="517">
        <f t="shared" si="0"/>
        <v>511804.91666666669</v>
      </c>
      <c r="K18" s="517">
        <v>326663.07749999996</v>
      </c>
      <c r="L18" s="517">
        <f t="shared" si="1"/>
        <v>185141.83916666673</v>
      </c>
      <c r="M18" s="518">
        <v>70147.087146666672</v>
      </c>
      <c r="N18" s="586">
        <v>42046.063686666661</v>
      </c>
      <c r="O18" s="583">
        <f t="shared" si="2"/>
        <v>28101.023460000011</v>
      </c>
      <c r="P18" s="612"/>
      <c r="Q18" s="619">
        <f t="shared" si="3"/>
        <v>157040.81570666673</v>
      </c>
    </row>
    <row r="19" spans="1:17" ht="20.100000000000001" customHeight="1">
      <c r="A19" s="430">
        <v>13</v>
      </c>
      <c r="B19" s="432" t="s">
        <v>334</v>
      </c>
      <c r="C19" s="367" t="s">
        <v>351</v>
      </c>
      <c r="D19" s="434" t="s">
        <v>170</v>
      </c>
      <c r="E19" s="26">
        <v>428915.91666666669</v>
      </c>
      <c r="F19" s="26"/>
      <c r="G19" s="212">
        <f>120000</f>
        <v>120000</v>
      </c>
      <c r="H19" s="212"/>
      <c r="I19" s="26">
        <v>0</v>
      </c>
      <c r="J19" s="517">
        <f t="shared" si="0"/>
        <v>548915.91666666674</v>
      </c>
      <c r="K19" s="517">
        <v>369177.65375</v>
      </c>
      <c r="L19" s="517">
        <f t="shared" si="1"/>
        <v>179738.26291666675</v>
      </c>
      <c r="M19" s="520">
        <v>77470.374186666668</v>
      </c>
      <c r="N19" s="601">
        <v>49548.776186666662</v>
      </c>
      <c r="O19" s="583">
        <f t="shared" si="2"/>
        <v>27921.598000000005</v>
      </c>
      <c r="P19" s="612"/>
      <c r="Q19" s="619">
        <f t="shared" si="3"/>
        <v>151816.66491666675</v>
      </c>
    </row>
    <row r="20" spans="1:17" ht="20.100000000000001" customHeight="1">
      <c r="A20" s="430">
        <v>14</v>
      </c>
      <c r="B20" s="364" t="s">
        <v>291</v>
      </c>
      <c r="C20" s="357" t="s">
        <v>789</v>
      </c>
      <c r="D20" s="434" t="s">
        <v>500</v>
      </c>
      <c r="E20" s="26">
        <v>416026.91666666669</v>
      </c>
      <c r="F20" s="26"/>
      <c r="G20" s="212">
        <f>120000</f>
        <v>120000</v>
      </c>
      <c r="H20" s="212"/>
      <c r="I20" s="26">
        <f>100000</f>
        <v>100000</v>
      </c>
      <c r="J20" s="517">
        <f t="shared" si="0"/>
        <v>636026.91666666674</v>
      </c>
      <c r="K20" s="517">
        <v>462001.06050000002</v>
      </c>
      <c r="L20" s="517">
        <f t="shared" si="1"/>
        <v>174025.85616666672</v>
      </c>
      <c r="M20" s="520">
        <v>94274.903466666685</v>
      </c>
      <c r="N20" s="601">
        <v>67370.87028266667</v>
      </c>
      <c r="O20" s="583">
        <f t="shared" si="2"/>
        <v>26904.033184000014</v>
      </c>
      <c r="P20" s="612"/>
      <c r="Q20" s="619">
        <f t="shared" si="3"/>
        <v>147121.82298266672</v>
      </c>
    </row>
    <row r="21" spans="1:17" ht="18.75" customHeight="1">
      <c r="A21" s="430">
        <v>15</v>
      </c>
      <c r="B21" s="432" t="s">
        <v>253</v>
      </c>
      <c r="C21" s="367" t="s">
        <v>478</v>
      </c>
      <c r="D21" s="434" t="s">
        <v>497</v>
      </c>
      <c r="E21" s="26">
        <v>377895.16666666669</v>
      </c>
      <c r="F21" s="26"/>
      <c r="G21" s="212"/>
      <c r="H21" s="212">
        <f>60000</f>
        <v>60000</v>
      </c>
      <c r="I21" s="26">
        <v>100000</v>
      </c>
      <c r="J21" s="517">
        <f t="shared" si="0"/>
        <v>537895.16666666674</v>
      </c>
      <c r="K21" s="517">
        <v>384536.99849999993</v>
      </c>
      <c r="L21" s="517">
        <f t="shared" si="1"/>
        <v>153358.16816666682</v>
      </c>
      <c r="M21" s="520">
        <v>76138.068906666667</v>
      </c>
      <c r="N21" s="601">
        <v>52497.770378666646</v>
      </c>
      <c r="O21" s="583">
        <f t="shared" si="2"/>
        <v>23640.298528000021</v>
      </c>
      <c r="P21" s="612"/>
      <c r="Q21" s="619">
        <f t="shared" si="3"/>
        <v>129717.8696386668</v>
      </c>
    </row>
    <row r="22" spans="1:17" ht="20.100000000000001" customHeight="1">
      <c r="A22" s="430">
        <v>16</v>
      </c>
      <c r="B22" s="365" t="s">
        <v>321</v>
      </c>
      <c r="C22" s="431" t="s">
        <v>790</v>
      </c>
      <c r="D22" s="430" t="s">
        <v>369</v>
      </c>
      <c r="E22" s="26">
        <v>353512.5</v>
      </c>
      <c r="F22" s="26"/>
      <c r="G22" s="212">
        <f t="shared" ref="G22" si="6">100000</f>
        <v>100000</v>
      </c>
      <c r="H22" s="212"/>
      <c r="I22" s="26">
        <v>100000</v>
      </c>
      <c r="J22" s="517">
        <f t="shared" si="0"/>
        <v>553512.5</v>
      </c>
      <c r="K22" s="517">
        <v>400372.07500000001</v>
      </c>
      <c r="L22" s="517">
        <f t="shared" si="1"/>
        <v>153140.42499999999</v>
      </c>
      <c r="M22" s="520">
        <v>79511.114666666675</v>
      </c>
      <c r="N22" s="601">
        <v>55538.105066666671</v>
      </c>
      <c r="O22" s="583">
        <f t="shared" si="2"/>
        <v>23973.009600000005</v>
      </c>
      <c r="P22" s="612"/>
      <c r="Q22" s="619">
        <f t="shared" si="3"/>
        <v>129167.41539999998</v>
      </c>
    </row>
    <row r="23" spans="1:17" ht="21.6" customHeight="1">
      <c r="A23" s="430">
        <v>17</v>
      </c>
      <c r="B23" s="432" t="s">
        <v>756</v>
      </c>
      <c r="C23" s="431" t="s">
        <v>422</v>
      </c>
      <c r="D23" s="434" t="s">
        <v>369</v>
      </c>
      <c r="E23" s="26">
        <v>353512.5</v>
      </c>
      <c r="F23" s="26"/>
      <c r="G23" s="212">
        <v>110000</v>
      </c>
      <c r="H23" s="212"/>
      <c r="I23" s="26">
        <v>0</v>
      </c>
      <c r="J23" s="517">
        <f t="shared" si="0"/>
        <v>463512.5</v>
      </c>
      <c r="K23" s="517">
        <f>1015372.075-700000</f>
        <v>315372.07499999995</v>
      </c>
      <c r="L23" s="517">
        <f t="shared" si="1"/>
        <v>148140.42500000005</v>
      </c>
      <c r="M23" s="520">
        <v>62231.114666666661</v>
      </c>
      <c r="N23" s="601">
        <v>40149.175266666658</v>
      </c>
      <c r="O23" s="583">
        <f t="shared" si="2"/>
        <v>22081.939400000003</v>
      </c>
      <c r="P23" s="612"/>
      <c r="Q23" s="619">
        <f t="shared" si="3"/>
        <v>126058.48560000004</v>
      </c>
    </row>
    <row r="24" spans="1:17" ht="20.100000000000001" customHeight="1">
      <c r="A24" s="430">
        <v>18</v>
      </c>
      <c r="B24" s="365" t="s">
        <v>741</v>
      </c>
      <c r="C24" s="431" t="s">
        <v>742</v>
      </c>
      <c r="D24" s="430" t="s">
        <v>104</v>
      </c>
      <c r="E24" s="26">
        <v>293029.66666666669</v>
      </c>
      <c r="F24" s="26"/>
      <c r="G24" s="212"/>
      <c r="H24" s="212">
        <f>50000+10000</f>
        <v>60000</v>
      </c>
      <c r="I24" s="26">
        <v>100000</v>
      </c>
      <c r="J24" s="517">
        <f t="shared" si="0"/>
        <v>453029.66666666669</v>
      </c>
      <c r="K24" s="517">
        <v>328602.07775000005</v>
      </c>
      <c r="L24" s="517">
        <f t="shared" si="1"/>
        <v>124427.58891666663</v>
      </c>
      <c r="M24" s="520">
        <v>61147.426986666665</v>
      </c>
      <c r="N24" s="601">
        <v>42371.815728666676</v>
      </c>
      <c r="O24" s="583">
        <f t="shared" si="2"/>
        <v>18775.61125799999</v>
      </c>
      <c r="P24" s="612"/>
      <c r="Q24" s="619">
        <f t="shared" si="3"/>
        <v>105651.97765866664</v>
      </c>
    </row>
    <row r="25" spans="1:17" ht="18.75" customHeight="1">
      <c r="A25" s="430">
        <v>19</v>
      </c>
      <c r="B25" s="357" t="s">
        <v>434</v>
      </c>
      <c r="C25" s="357" t="s">
        <v>17</v>
      </c>
      <c r="D25" s="430" t="s">
        <v>746</v>
      </c>
      <c r="E25" s="26">
        <v>270481.66666666669</v>
      </c>
      <c r="F25" s="26"/>
      <c r="G25" s="212"/>
      <c r="H25" s="212">
        <f>50000+10000</f>
        <v>60000</v>
      </c>
      <c r="I25" s="26"/>
      <c r="J25" s="517">
        <f t="shared" si="0"/>
        <v>330481.66666666669</v>
      </c>
      <c r="K25" s="517">
        <v>213508.01</v>
      </c>
      <c r="L25" s="517">
        <f t="shared" si="1"/>
        <v>116973.65666666668</v>
      </c>
      <c r="M25" s="521">
        <v>39052.313066666662</v>
      </c>
      <c r="N25" s="601">
        <v>23036.01234666667</v>
      </c>
      <c r="O25" s="583">
        <f t="shared" si="2"/>
        <v>16016.300719999992</v>
      </c>
      <c r="P25" s="612"/>
      <c r="Q25" s="619">
        <f t="shared" si="3"/>
        <v>100957.35594666668</v>
      </c>
    </row>
    <row r="26" spans="1:17" ht="18.75" customHeight="1">
      <c r="A26" s="430">
        <v>20</v>
      </c>
      <c r="B26" s="364" t="s">
        <v>254</v>
      </c>
      <c r="C26" s="367" t="s">
        <v>17</v>
      </c>
      <c r="D26" s="434" t="s">
        <v>746</v>
      </c>
      <c r="E26" s="26">
        <v>270481.66666666669</v>
      </c>
      <c r="F26" s="26"/>
      <c r="G26" s="212"/>
      <c r="H26" s="212">
        <f>50000+10000</f>
        <v>60000</v>
      </c>
      <c r="I26" s="26"/>
      <c r="J26" s="517">
        <f t="shared" si="0"/>
        <v>330481.66666666669</v>
      </c>
      <c r="K26" s="517">
        <v>213508.01</v>
      </c>
      <c r="L26" s="517">
        <f t="shared" si="1"/>
        <v>116973.65666666668</v>
      </c>
      <c r="M26" s="520">
        <v>39052.313066666662</v>
      </c>
      <c r="N26" s="601">
        <v>23036.01234666667</v>
      </c>
      <c r="O26" s="583">
        <f t="shared" si="2"/>
        <v>16016.300719999992</v>
      </c>
      <c r="P26" s="612"/>
      <c r="Q26" s="619">
        <f t="shared" si="3"/>
        <v>100957.35594666668</v>
      </c>
    </row>
    <row r="27" spans="1:17" ht="20.100000000000001" customHeight="1">
      <c r="A27" s="430">
        <v>21</v>
      </c>
      <c r="B27" s="432" t="s">
        <v>320</v>
      </c>
      <c r="C27" s="431" t="s">
        <v>115</v>
      </c>
      <c r="D27" s="430" t="s">
        <v>746</v>
      </c>
      <c r="E27" s="26">
        <v>270481.66666666669</v>
      </c>
      <c r="F27" s="26"/>
      <c r="G27" s="212">
        <f t="shared" ref="G27" si="7">100000</f>
        <v>100000</v>
      </c>
      <c r="H27" s="212"/>
      <c r="I27" s="26"/>
      <c r="J27" s="517">
        <f t="shared" si="0"/>
        <v>370481.66666666669</v>
      </c>
      <c r="K27" s="517">
        <v>253508.01</v>
      </c>
      <c r="L27" s="517">
        <f t="shared" si="1"/>
        <v>116973.65666666668</v>
      </c>
      <c r="M27" s="520">
        <v>45772.313066666677</v>
      </c>
      <c r="N27" s="601">
        <v>29756.01234666667</v>
      </c>
      <c r="O27" s="583">
        <f t="shared" si="2"/>
        <v>16016.300720000007</v>
      </c>
      <c r="P27" s="612"/>
      <c r="Q27" s="619">
        <f t="shared" si="3"/>
        <v>100957.35594666668</v>
      </c>
    </row>
    <row r="28" spans="1:17" ht="18.75" customHeight="1">
      <c r="A28" s="430">
        <v>22</v>
      </c>
      <c r="B28" s="364" t="s">
        <v>288</v>
      </c>
      <c r="C28" s="367" t="s">
        <v>706</v>
      </c>
      <c r="D28" s="434" t="s">
        <v>498</v>
      </c>
      <c r="E28" s="26">
        <v>263165.33333333331</v>
      </c>
      <c r="F28" s="26"/>
      <c r="G28" s="212"/>
      <c r="H28" s="212">
        <f>60000</f>
        <v>60000</v>
      </c>
      <c r="I28" s="357"/>
      <c r="J28" s="517">
        <f t="shared" si="0"/>
        <v>323165.33333333331</v>
      </c>
      <c r="K28" s="517">
        <v>209356.04725</v>
      </c>
      <c r="L28" s="517">
        <f t="shared" si="1"/>
        <v>113809.28608333331</v>
      </c>
      <c r="M28" s="520">
        <v>37921.500586666662</v>
      </c>
      <c r="N28" s="601">
        <v>22338.48260466666</v>
      </c>
      <c r="O28" s="583">
        <f t="shared" si="2"/>
        <v>15583.017982000001</v>
      </c>
      <c r="P28" s="612"/>
      <c r="Q28" s="619">
        <f t="shared" si="3"/>
        <v>98226.268101333306</v>
      </c>
    </row>
    <row r="29" spans="1:17" ht="18.75" customHeight="1">
      <c r="A29" s="430">
        <v>23</v>
      </c>
      <c r="B29" s="364" t="s">
        <v>328</v>
      </c>
      <c r="C29" s="357" t="s">
        <v>737</v>
      </c>
      <c r="D29" s="430" t="s">
        <v>428</v>
      </c>
      <c r="E29" s="26">
        <v>255849</v>
      </c>
      <c r="F29" s="26"/>
      <c r="G29" s="212"/>
      <c r="H29" s="212">
        <f>60000</f>
        <v>60000</v>
      </c>
      <c r="I29" s="26"/>
      <c r="J29" s="517">
        <f t="shared" si="0"/>
        <v>315849</v>
      </c>
      <c r="K29" s="517">
        <v>205204.0845</v>
      </c>
      <c r="L29" s="517">
        <f t="shared" si="1"/>
        <v>110644.9155</v>
      </c>
      <c r="M29" s="520">
        <v>36790.688106666661</v>
      </c>
      <c r="N29" s="601">
        <v>21640.952862666669</v>
      </c>
      <c r="O29" s="583">
        <f t="shared" si="2"/>
        <v>15149.735243999992</v>
      </c>
      <c r="P29" s="612"/>
      <c r="Q29" s="619">
        <f t="shared" si="3"/>
        <v>95495.180256000007</v>
      </c>
    </row>
    <row r="30" spans="1:17" ht="18.75" customHeight="1">
      <c r="A30" s="430">
        <v>24</v>
      </c>
      <c r="B30" s="364" t="s">
        <v>757</v>
      </c>
      <c r="C30" s="357" t="s">
        <v>737</v>
      </c>
      <c r="D30" s="430" t="s">
        <v>428</v>
      </c>
      <c r="E30" s="26">
        <v>255849</v>
      </c>
      <c r="F30" s="26"/>
      <c r="G30" s="212"/>
      <c r="H30" s="212">
        <f>60000</f>
        <v>60000</v>
      </c>
      <c r="I30" s="26"/>
      <c r="J30" s="517">
        <f t="shared" si="0"/>
        <v>315849</v>
      </c>
      <c r="K30" s="517">
        <v>205204.0845</v>
      </c>
      <c r="L30" s="517">
        <f t="shared" si="1"/>
        <v>110644.9155</v>
      </c>
      <c r="M30" s="520">
        <v>36790.688106666661</v>
      </c>
      <c r="N30" s="601">
        <v>21640.952862666669</v>
      </c>
      <c r="O30" s="583">
        <f t="shared" si="2"/>
        <v>15149.735243999992</v>
      </c>
      <c r="P30" s="612"/>
      <c r="Q30" s="619">
        <f t="shared" si="3"/>
        <v>95495.180256000007</v>
      </c>
    </row>
    <row r="31" spans="1:17" ht="18.75" customHeight="1">
      <c r="A31" s="430">
        <v>25</v>
      </c>
      <c r="B31" s="364" t="s">
        <v>360</v>
      </c>
      <c r="C31" s="431" t="s">
        <v>372</v>
      </c>
      <c r="D31" s="434" t="s">
        <v>746</v>
      </c>
      <c r="E31" s="26">
        <v>270481.66666666669</v>
      </c>
      <c r="F31" s="26"/>
      <c r="G31" s="212"/>
      <c r="H31" s="212">
        <f>60000</f>
        <v>60000</v>
      </c>
      <c r="I31" s="26"/>
      <c r="J31" s="517">
        <f t="shared" si="0"/>
        <v>330481.66666666669</v>
      </c>
      <c r="K31" s="517">
        <v>209356.04725</v>
      </c>
      <c r="L31" s="517">
        <f t="shared" si="1"/>
        <v>121125.61941666668</v>
      </c>
      <c r="M31" s="522">
        <v>39052.313066666662</v>
      </c>
      <c r="N31" s="602">
        <v>22338.48260466666</v>
      </c>
      <c r="O31" s="583">
        <f t="shared" si="2"/>
        <v>16713.830462000002</v>
      </c>
      <c r="P31" s="612"/>
      <c r="Q31" s="619">
        <f t="shared" si="3"/>
        <v>104411.78895466668</v>
      </c>
    </row>
    <row r="32" spans="1:17" ht="18.75" customHeight="1">
      <c r="A32" s="430">
        <v>26</v>
      </c>
      <c r="B32" s="364" t="s">
        <v>330</v>
      </c>
      <c r="C32" s="357" t="s">
        <v>533</v>
      </c>
      <c r="D32" s="430" t="s">
        <v>51</v>
      </c>
      <c r="E32" s="26">
        <v>230631.91666666666</v>
      </c>
      <c r="F32" s="26"/>
      <c r="G32" s="212"/>
      <c r="H32" s="212">
        <f>50000</f>
        <v>50000</v>
      </c>
      <c r="I32" s="26"/>
      <c r="J32" s="517">
        <f t="shared" si="0"/>
        <v>280631.91666666663</v>
      </c>
      <c r="K32" s="517">
        <v>180304.068</v>
      </c>
      <c r="L32" s="517">
        <f t="shared" si="1"/>
        <v>100327.84866666663</v>
      </c>
      <c r="M32" s="520">
        <v>31213.135706666657</v>
      </c>
      <c r="N32" s="601">
        <v>17572.88500266667</v>
      </c>
      <c r="O32" s="583">
        <f t="shared" si="2"/>
        <v>13640.250703999987</v>
      </c>
      <c r="P32" s="612"/>
      <c r="Q32" s="619">
        <f t="shared" si="3"/>
        <v>86687.597962666638</v>
      </c>
    </row>
    <row r="33" spans="1:17" ht="18.75" customHeight="1">
      <c r="A33" s="430">
        <v>27</v>
      </c>
      <c r="B33" s="364" t="s">
        <v>555</v>
      </c>
      <c r="C33" s="367" t="s">
        <v>314</v>
      </c>
      <c r="D33" s="434" t="s">
        <v>176</v>
      </c>
      <c r="E33" s="26">
        <v>224459.75</v>
      </c>
      <c r="F33" s="26"/>
      <c r="G33" s="212"/>
      <c r="H33" s="212">
        <v>50000</v>
      </c>
      <c r="I33" s="26"/>
      <c r="J33" s="517">
        <f t="shared" si="0"/>
        <v>274459.75</v>
      </c>
      <c r="K33" s="517">
        <v>173329.04949999999</v>
      </c>
      <c r="L33" s="517">
        <f t="shared" si="1"/>
        <v>101130.70050000001</v>
      </c>
      <c r="M33" s="520">
        <v>30259.165626666669</v>
      </c>
      <c r="N33" s="601">
        <v>16512.68219066667</v>
      </c>
      <c r="O33" s="583">
        <f t="shared" si="2"/>
        <v>13746.483435999999</v>
      </c>
      <c r="P33" s="612"/>
      <c r="Q33" s="619">
        <f t="shared" si="3"/>
        <v>87384.217064000011</v>
      </c>
    </row>
    <row r="34" spans="1:17" ht="26.25" customHeight="1">
      <c r="A34" s="430"/>
      <c r="B34" s="366" t="s">
        <v>15</v>
      </c>
      <c r="C34" s="360">
        <v>27</v>
      </c>
      <c r="D34" s="434"/>
      <c r="E34" s="216">
        <f>SUM(E7:E33)</f>
        <v>13048608.166999994</v>
      </c>
      <c r="F34" s="216">
        <f t="shared" ref="F34:I34" si="8">SUM(F7:F33)</f>
        <v>0</v>
      </c>
      <c r="G34" s="216">
        <f t="shared" si="8"/>
        <v>1420000</v>
      </c>
      <c r="H34" s="216">
        <f t="shared" si="8"/>
        <v>1160000</v>
      </c>
      <c r="I34" s="216">
        <f t="shared" si="8"/>
        <v>1225235</v>
      </c>
      <c r="J34" s="216">
        <f>SUM(J7:J33)</f>
        <v>16853843.166999996</v>
      </c>
      <c r="K34" s="216">
        <f t="shared" ref="K34:O34" si="9">SUM(K7:K33)</f>
        <v>11312337.555249996</v>
      </c>
      <c r="L34" s="216">
        <f t="shared" si="9"/>
        <v>5541505.6117500002</v>
      </c>
      <c r="M34" s="216">
        <f t="shared" si="9"/>
        <v>2519600.8415999999</v>
      </c>
      <c r="N34" s="216">
        <f t="shared" si="9"/>
        <v>1629837.5348280005</v>
      </c>
      <c r="O34" s="216">
        <f t="shared" si="9"/>
        <v>889763.30677199992</v>
      </c>
      <c r="P34" s="607"/>
      <c r="Q34" s="597">
        <f>SUM(Q7:Q33)</f>
        <v>4651742.3049779991</v>
      </c>
    </row>
    <row r="35" spans="1:17" ht="18.75" customHeight="1">
      <c r="A35" s="430"/>
      <c r="B35" s="362"/>
      <c r="C35" s="357"/>
      <c r="D35" s="434"/>
      <c r="E35" s="216"/>
      <c r="F35" s="216"/>
      <c r="G35" s="212"/>
      <c r="H35" s="212"/>
      <c r="I35" s="216"/>
      <c r="J35" s="523"/>
      <c r="K35" s="523"/>
      <c r="L35" s="523"/>
      <c r="M35" s="524"/>
      <c r="N35" s="585"/>
      <c r="O35" s="585"/>
      <c r="P35" s="607"/>
      <c r="Q35" s="624"/>
    </row>
    <row r="36" spans="1:17" ht="18.75" customHeight="1">
      <c r="A36" s="430"/>
      <c r="B36" s="366" t="s">
        <v>284</v>
      </c>
      <c r="C36" s="357"/>
      <c r="D36" s="434"/>
      <c r="E36" s="26"/>
      <c r="F36" s="26"/>
      <c r="G36" s="212"/>
      <c r="H36" s="212"/>
      <c r="I36" s="26"/>
      <c r="J36" s="525"/>
      <c r="K36" s="525"/>
      <c r="L36" s="525"/>
      <c r="M36" s="518"/>
      <c r="N36" s="601"/>
      <c r="O36" s="586"/>
      <c r="P36" s="613"/>
      <c r="Q36" s="618"/>
    </row>
    <row r="37" spans="1:17" ht="18.75" customHeight="1">
      <c r="A37" s="430">
        <v>1</v>
      </c>
      <c r="B37" s="364" t="s">
        <v>361</v>
      </c>
      <c r="C37" s="357" t="s">
        <v>362</v>
      </c>
      <c r="D37" s="430" t="s">
        <v>161</v>
      </c>
      <c r="E37" s="26">
        <v>1435720</v>
      </c>
      <c r="F37" s="26"/>
      <c r="G37" s="212"/>
      <c r="H37" s="212">
        <f>100000</f>
        <v>100000</v>
      </c>
      <c r="I37" s="26"/>
      <c r="J37" s="525">
        <f>E37+F37+G37+H37+I37</f>
        <v>1535720</v>
      </c>
      <c r="K37" s="525">
        <v>950209.06350000005</v>
      </c>
      <c r="L37" s="525">
        <f>J37-K37</f>
        <v>585510.93649999995</v>
      </c>
      <c r="M37" s="519">
        <v>251472.24746666662</v>
      </c>
      <c r="N37" s="601">
        <v>161106.80685866668</v>
      </c>
      <c r="O37" s="583">
        <f>M37-N37</f>
        <v>90365.440607999946</v>
      </c>
      <c r="P37" s="612"/>
      <c r="Q37" s="619">
        <f>L37-O37</f>
        <v>495145.49589200004</v>
      </c>
    </row>
    <row r="38" spans="1:17" ht="18.75" customHeight="1">
      <c r="A38" s="430">
        <v>2</v>
      </c>
      <c r="B38" s="364" t="s">
        <v>419</v>
      </c>
      <c r="C38" s="357" t="s">
        <v>791</v>
      </c>
      <c r="D38" s="430" t="s">
        <v>104</v>
      </c>
      <c r="E38" s="26">
        <v>293029.66666666669</v>
      </c>
      <c r="F38" s="26"/>
      <c r="G38" s="212"/>
      <c r="H38" s="212">
        <f>60000</f>
        <v>60000</v>
      </c>
      <c r="I38" s="26"/>
      <c r="J38" s="525">
        <f t="shared" ref="J38:J39" si="10">E38+F38+G38+H38+I38</f>
        <v>353029.66666666669</v>
      </c>
      <c r="K38" s="525">
        <v>176816.09999999998</v>
      </c>
      <c r="L38" s="525">
        <f t="shared" ref="L38:L39" si="11">J38-K38</f>
        <v>176213.56666666671</v>
      </c>
      <c r="M38" s="519">
        <v>42537.331946666665</v>
      </c>
      <c r="N38" s="601">
        <v>17042.713866666661</v>
      </c>
      <c r="O38" s="583">
        <f>M38-N38</f>
        <v>25494.618080000004</v>
      </c>
      <c r="P38" s="612"/>
      <c r="Q38" s="619">
        <f t="shared" ref="Q38:Q39" si="12">L38-O38</f>
        <v>150718.94858666669</v>
      </c>
    </row>
    <row r="39" spans="1:17" ht="18.75" customHeight="1">
      <c r="A39" s="430">
        <v>3</v>
      </c>
      <c r="B39" s="432" t="s">
        <v>720</v>
      </c>
      <c r="C39" s="367" t="s">
        <v>721</v>
      </c>
      <c r="D39" s="434" t="s">
        <v>207</v>
      </c>
      <c r="E39" s="26">
        <v>300965.58333333331</v>
      </c>
      <c r="F39" s="26"/>
      <c r="G39" s="212"/>
      <c r="H39" s="212">
        <f>50000+10000</f>
        <v>60000</v>
      </c>
      <c r="I39" s="26"/>
      <c r="J39" s="525">
        <f t="shared" si="10"/>
        <v>360965.58333333331</v>
      </c>
      <c r="K39" s="525">
        <v>233169.11749999999</v>
      </c>
      <c r="L39" s="525">
        <f t="shared" si="11"/>
        <v>127796.46583333332</v>
      </c>
      <c r="M39" s="519">
        <v>43763.90722666667</v>
      </c>
      <c r="N39" s="601">
        <v>26339.078406666667</v>
      </c>
      <c r="O39" s="583">
        <f>M39-N39</f>
        <v>17424.828820000002</v>
      </c>
      <c r="P39" s="612"/>
      <c r="Q39" s="619">
        <f t="shared" si="12"/>
        <v>110371.63701333333</v>
      </c>
    </row>
    <row r="40" spans="1:17" ht="19.5" customHeight="1">
      <c r="A40" s="430"/>
      <c r="B40" s="365"/>
      <c r="C40" s="360">
        <v>3</v>
      </c>
      <c r="D40" s="430"/>
      <c r="E40" s="216">
        <f>SUM(E37:E39)</f>
        <v>2029715.25</v>
      </c>
      <c r="F40" s="216">
        <f t="shared" ref="F40:O40" si="13">SUM(F37:F39)</f>
        <v>0</v>
      </c>
      <c r="G40" s="216">
        <f t="shared" si="13"/>
        <v>0</v>
      </c>
      <c r="H40" s="216">
        <f t="shared" si="13"/>
        <v>220000</v>
      </c>
      <c r="I40" s="216">
        <f t="shared" si="13"/>
        <v>0</v>
      </c>
      <c r="J40" s="216">
        <f t="shared" si="13"/>
        <v>2249715.25</v>
      </c>
      <c r="K40" s="216">
        <v>1360194.281</v>
      </c>
      <c r="L40" s="216">
        <f t="shared" si="13"/>
        <v>889520.96900000004</v>
      </c>
      <c r="M40" s="216">
        <f t="shared" si="13"/>
        <v>337773.48663999996</v>
      </c>
      <c r="N40" s="584">
        <v>204488.599132</v>
      </c>
      <c r="O40" s="584">
        <f t="shared" si="13"/>
        <v>133284.88750799996</v>
      </c>
      <c r="P40" s="607"/>
      <c r="Q40" s="597">
        <f>SUM(Q37:Q39)</f>
        <v>756236.08149200003</v>
      </c>
    </row>
    <row r="41" spans="1:17" ht="20.100000000000001" customHeight="1">
      <c r="A41" s="430"/>
      <c r="B41" s="365"/>
      <c r="C41" s="357"/>
      <c r="D41" s="430"/>
      <c r="E41" s="216"/>
      <c r="F41" s="216"/>
      <c r="G41" s="212"/>
      <c r="H41" s="212"/>
      <c r="I41" s="216"/>
      <c r="J41" s="523"/>
      <c r="K41" s="523"/>
      <c r="L41" s="523"/>
      <c r="M41" s="524"/>
      <c r="N41" s="585"/>
      <c r="O41" s="585"/>
      <c r="P41" s="607"/>
      <c r="Q41" s="624"/>
    </row>
    <row r="42" spans="1:17" ht="20.100000000000001" customHeight="1">
      <c r="A42" s="430"/>
      <c r="B42" s="218" t="s">
        <v>56</v>
      </c>
      <c r="C42" s="203"/>
      <c r="D42" s="207"/>
      <c r="E42" s="216"/>
      <c r="F42" s="216"/>
      <c r="G42" s="212"/>
      <c r="H42" s="212"/>
      <c r="I42" s="24"/>
      <c r="J42" s="517"/>
      <c r="K42" s="517"/>
      <c r="L42" s="517"/>
      <c r="M42" s="518"/>
      <c r="N42" s="586"/>
      <c r="O42" s="586"/>
      <c r="P42" s="613"/>
      <c r="Q42" s="618"/>
    </row>
    <row r="43" spans="1:17" ht="20.100000000000001" customHeight="1">
      <c r="A43" s="430">
        <v>1</v>
      </c>
      <c r="B43" s="432" t="s">
        <v>255</v>
      </c>
      <c r="C43" s="357" t="s">
        <v>256</v>
      </c>
      <c r="D43" s="430" t="s">
        <v>161</v>
      </c>
      <c r="E43" s="26">
        <v>1435720</v>
      </c>
      <c r="F43" s="26"/>
      <c r="G43" s="212">
        <f>200000</f>
        <v>200000</v>
      </c>
      <c r="H43" s="212"/>
      <c r="I43" s="26"/>
      <c r="J43" s="525">
        <f>E43+F43+G43+H43+I43</f>
        <v>1635720</v>
      </c>
      <c r="K43" s="525">
        <v>1050209.0635000002</v>
      </c>
      <c r="L43" s="525">
        <f>J43-K43</f>
        <v>585510.93649999984</v>
      </c>
      <c r="M43" s="519">
        <v>270672.24746666662</v>
      </c>
      <c r="N43" s="601">
        <v>180306.80685866671</v>
      </c>
      <c r="O43" s="583">
        <f t="shared" ref="O43:O53" si="14">M43-N43</f>
        <v>90365.440607999917</v>
      </c>
      <c r="P43" s="612"/>
      <c r="Q43" s="619">
        <f>L43-O43</f>
        <v>495145.49589199992</v>
      </c>
    </row>
    <row r="44" spans="1:17" ht="20.100000000000001" customHeight="1">
      <c r="A44" s="430">
        <v>2</v>
      </c>
      <c r="B44" s="432" t="s">
        <v>158</v>
      </c>
      <c r="C44" s="357" t="s">
        <v>199</v>
      </c>
      <c r="D44" s="430" t="s">
        <v>75</v>
      </c>
      <c r="E44" s="26">
        <v>620675.58333333337</v>
      </c>
      <c r="F44" s="26"/>
      <c r="G44" s="212">
        <f>160000</f>
        <v>160000</v>
      </c>
      <c r="H44" s="212"/>
      <c r="I44" s="26">
        <v>0</v>
      </c>
      <c r="J44" s="525">
        <f t="shared" ref="J44:J53" si="15">E44+F44+G44+H44+I44</f>
        <v>780675.58333333337</v>
      </c>
      <c r="K44" s="525">
        <v>527553.50249999994</v>
      </c>
      <c r="L44" s="525">
        <f t="shared" ref="L44:L53" si="16">J44-K44</f>
        <v>253122.08083333343</v>
      </c>
      <c r="M44" s="519">
        <v>119022.80170666667</v>
      </c>
      <c r="N44" s="601">
        <v>79956.939146666657</v>
      </c>
      <c r="O44" s="583">
        <f t="shared" si="14"/>
        <v>39065.862560000009</v>
      </c>
      <c r="P44" s="612"/>
      <c r="Q44" s="619">
        <f t="shared" ref="Q44:Q53" si="17">L44-O44</f>
        <v>214056.21827333342</v>
      </c>
    </row>
    <row r="45" spans="1:17" ht="20.100000000000001" customHeight="1">
      <c r="A45" s="430">
        <v>3</v>
      </c>
      <c r="B45" s="432" t="s">
        <v>165</v>
      </c>
      <c r="C45" s="357" t="s">
        <v>738</v>
      </c>
      <c r="D45" s="430" t="s">
        <v>221</v>
      </c>
      <c r="E45" s="26">
        <v>739203.58333333337</v>
      </c>
      <c r="F45" s="26"/>
      <c r="G45" s="212">
        <f>180000</f>
        <v>180000</v>
      </c>
      <c r="H45" s="212"/>
      <c r="I45" s="26"/>
      <c r="J45" s="525">
        <f t="shared" si="15"/>
        <v>919203.58333333337</v>
      </c>
      <c r="K45" s="525">
        <v>617743.99575</v>
      </c>
      <c r="L45" s="525">
        <f t="shared" si="16"/>
        <v>301459.58758333337</v>
      </c>
      <c r="M45" s="519">
        <v>143799.58762666667</v>
      </c>
      <c r="N45" s="601">
        <v>97273.513850666655</v>
      </c>
      <c r="O45" s="583">
        <f t="shared" si="14"/>
        <v>46526.073776000019</v>
      </c>
      <c r="P45" s="612"/>
      <c r="Q45" s="619">
        <f t="shared" si="17"/>
        <v>254933.51380733337</v>
      </c>
    </row>
    <row r="46" spans="1:17" ht="20.100000000000001" customHeight="1">
      <c r="A46" s="430">
        <v>4</v>
      </c>
      <c r="B46" s="432" t="s">
        <v>159</v>
      </c>
      <c r="C46" s="357" t="s">
        <v>258</v>
      </c>
      <c r="D46" s="430" t="s">
        <v>75</v>
      </c>
      <c r="E46" s="26">
        <v>620675.58333333337</v>
      </c>
      <c r="F46" s="26"/>
      <c r="G46" s="212">
        <f>160000</f>
        <v>160000</v>
      </c>
      <c r="H46" s="212"/>
      <c r="I46" s="26"/>
      <c r="J46" s="525">
        <f t="shared" si="15"/>
        <v>780675.58333333337</v>
      </c>
      <c r="K46" s="525">
        <v>527553.50249999994</v>
      </c>
      <c r="L46" s="525">
        <f t="shared" si="16"/>
        <v>253122.08083333343</v>
      </c>
      <c r="M46" s="519">
        <v>119022.80170666667</v>
      </c>
      <c r="N46" s="601">
        <v>79956.939146666657</v>
      </c>
      <c r="O46" s="583">
        <f t="shared" si="14"/>
        <v>39065.862560000009</v>
      </c>
      <c r="P46" s="612"/>
      <c r="Q46" s="619">
        <f t="shared" si="17"/>
        <v>214056.21827333342</v>
      </c>
    </row>
    <row r="47" spans="1:17" ht="20.100000000000001" customHeight="1">
      <c r="A47" s="430">
        <v>5</v>
      </c>
      <c r="B47" s="432" t="s">
        <v>118</v>
      </c>
      <c r="C47" s="357" t="s">
        <v>258</v>
      </c>
      <c r="D47" s="430" t="s">
        <v>75</v>
      </c>
      <c r="E47" s="26">
        <v>620675.58333333337</v>
      </c>
      <c r="F47" s="26"/>
      <c r="G47" s="212">
        <f>140000+20000</f>
        <v>160000</v>
      </c>
      <c r="H47" s="212"/>
      <c r="I47" s="26">
        <v>0</v>
      </c>
      <c r="J47" s="525">
        <f t="shared" si="15"/>
        <v>780675.58333333337</v>
      </c>
      <c r="K47" s="525">
        <v>527553.50249999994</v>
      </c>
      <c r="L47" s="525">
        <f t="shared" si="16"/>
        <v>253122.08083333343</v>
      </c>
      <c r="M47" s="519">
        <v>118861.96570666666</v>
      </c>
      <c r="N47" s="601">
        <v>79796.103146666646</v>
      </c>
      <c r="O47" s="583">
        <f t="shared" si="14"/>
        <v>39065.862560000009</v>
      </c>
      <c r="P47" s="612"/>
      <c r="Q47" s="619">
        <f t="shared" si="17"/>
        <v>214056.21827333342</v>
      </c>
    </row>
    <row r="48" spans="1:17" ht="20.100000000000001" customHeight="1">
      <c r="A48" s="430">
        <v>6</v>
      </c>
      <c r="B48" s="432" t="s">
        <v>205</v>
      </c>
      <c r="C48" s="357" t="s">
        <v>258</v>
      </c>
      <c r="D48" s="430" t="s">
        <v>30</v>
      </c>
      <c r="E48" s="26">
        <v>582118.08333333337</v>
      </c>
      <c r="F48" s="26"/>
      <c r="G48" s="212">
        <f>140000+20000</f>
        <v>160000</v>
      </c>
      <c r="H48" s="212"/>
      <c r="I48" s="26"/>
      <c r="J48" s="525">
        <f t="shared" si="15"/>
        <v>742118.08333333337</v>
      </c>
      <c r="K48" s="525">
        <v>504720.04700000002</v>
      </c>
      <c r="L48" s="525">
        <f t="shared" si="16"/>
        <v>237398.03633333335</v>
      </c>
      <c r="M48" s="519">
        <v>112212.00490666665</v>
      </c>
      <c r="N48" s="601">
        <v>75572.915690666661</v>
      </c>
      <c r="O48" s="583">
        <f t="shared" si="14"/>
        <v>36639.089215999993</v>
      </c>
      <c r="P48" s="612"/>
      <c r="Q48" s="619">
        <f t="shared" si="17"/>
        <v>200758.94711733336</v>
      </c>
    </row>
    <row r="49" spans="1:17" ht="20.100000000000001" customHeight="1">
      <c r="A49" s="430">
        <v>7</v>
      </c>
      <c r="B49" s="365" t="s">
        <v>173</v>
      </c>
      <c r="C49" s="357" t="s">
        <v>297</v>
      </c>
      <c r="D49" s="25" t="s">
        <v>181</v>
      </c>
      <c r="E49" s="26">
        <v>470498</v>
      </c>
      <c r="F49" s="26"/>
      <c r="G49" s="212">
        <f>140000</f>
        <v>140000</v>
      </c>
      <c r="H49" s="212"/>
      <c r="I49" s="26"/>
      <c r="J49" s="525">
        <f t="shared" si="15"/>
        <v>610498</v>
      </c>
      <c r="K49" s="525">
        <v>413333.03525000007</v>
      </c>
      <c r="L49" s="525">
        <f t="shared" si="16"/>
        <v>197164.96474999993</v>
      </c>
      <c r="M49" s="519">
        <v>88655.433386666657</v>
      </c>
      <c r="N49" s="586">
        <v>58026.609434666672</v>
      </c>
      <c r="O49" s="583">
        <f t="shared" si="14"/>
        <v>30628.823951999984</v>
      </c>
      <c r="P49" s="612"/>
      <c r="Q49" s="619">
        <f t="shared" si="17"/>
        <v>166536.14079799995</v>
      </c>
    </row>
    <row r="50" spans="1:17" ht="20.100000000000001" customHeight="1">
      <c r="A50" s="430">
        <v>8</v>
      </c>
      <c r="B50" s="432" t="s">
        <v>551</v>
      </c>
      <c r="C50" s="357" t="s">
        <v>84</v>
      </c>
      <c r="D50" s="430" t="s">
        <v>207</v>
      </c>
      <c r="E50" s="26">
        <v>300965.58333333331</v>
      </c>
      <c r="F50" s="26"/>
      <c r="G50" s="212">
        <v>100000</v>
      </c>
      <c r="H50" s="212"/>
      <c r="I50" s="26"/>
      <c r="J50" s="525">
        <f t="shared" si="15"/>
        <v>400965.58333333331</v>
      </c>
      <c r="K50" s="525">
        <v>273169.11749999999</v>
      </c>
      <c r="L50" s="525">
        <f t="shared" si="16"/>
        <v>127796.46583333332</v>
      </c>
      <c r="M50" s="519">
        <v>51029.227306666668</v>
      </c>
      <c r="N50" s="601">
        <v>33059.078406666667</v>
      </c>
      <c r="O50" s="583">
        <f t="shared" si="14"/>
        <v>17970.1489</v>
      </c>
      <c r="P50" s="612"/>
      <c r="Q50" s="619">
        <f t="shared" si="17"/>
        <v>109826.31693333332</v>
      </c>
    </row>
    <row r="51" spans="1:17" ht="20.100000000000001" customHeight="1">
      <c r="A51" s="430">
        <v>9</v>
      </c>
      <c r="B51" s="432" t="s">
        <v>420</v>
      </c>
      <c r="C51" s="357" t="s">
        <v>84</v>
      </c>
      <c r="D51" s="430" t="s">
        <v>498</v>
      </c>
      <c r="E51" s="26">
        <v>263165.33333333331</v>
      </c>
      <c r="F51" s="26"/>
      <c r="G51" s="212">
        <f>100000</f>
        <v>100000</v>
      </c>
      <c r="H51" s="212"/>
      <c r="I51" s="26"/>
      <c r="J51" s="525">
        <f t="shared" si="15"/>
        <v>363165.33333333331</v>
      </c>
      <c r="K51" s="525">
        <v>249356.04725</v>
      </c>
      <c r="L51" s="525">
        <f t="shared" si="16"/>
        <v>113809.28608333331</v>
      </c>
      <c r="M51" s="519">
        <v>44641.500586666669</v>
      </c>
      <c r="N51" s="601">
        <v>29058.48260466666</v>
      </c>
      <c r="O51" s="583">
        <f t="shared" si="14"/>
        <v>15583.017982000008</v>
      </c>
      <c r="P51" s="612"/>
      <c r="Q51" s="619">
        <f t="shared" si="17"/>
        <v>98226.268101333306</v>
      </c>
    </row>
    <row r="52" spans="1:17" ht="20.100000000000001" customHeight="1">
      <c r="A52" s="430">
        <v>10</v>
      </c>
      <c r="B52" s="432" t="s">
        <v>435</v>
      </c>
      <c r="C52" s="357" t="s">
        <v>84</v>
      </c>
      <c r="D52" s="430" t="s">
        <v>498</v>
      </c>
      <c r="E52" s="26">
        <v>263165.33333333331</v>
      </c>
      <c r="F52" s="26"/>
      <c r="G52" s="212">
        <f>100000</f>
        <v>100000</v>
      </c>
      <c r="H52" s="212"/>
      <c r="I52" s="26"/>
      <c r="J52" s="525">
        <f t="shared" si="15"/>
        <v>363165.33333333331</v>
      </c>
      <c r="K52" s="525">
        <v>249356.04725</v>
      </c>
      <c r="L52" s="525">
        <f t="shared" si="16"/>
        <v>113809.28608333331</v>
      </c>
      <c r="M52" s="519">
        <v>44641.500586666669</v>
      </c>
      <c r="N52" s="601">
        <v>28360.952862666662</v>
      </c>
      <c r="O52" s="583">
        <f t="shared" si="14"/>
        <v>16280.547724000007</v>
      </c>
      <c r="P52" s="612"/>
      <c r="Q52" s="619">
        <f t="shared" si="17"/>
        <v>97528.738359333307</v>
      </c>
    </row>
    <row r="53" spans="1:17" ht="20.100000000000001" customHeight="1">
      <c r="A53" s="430">
        <v>11</v>
      </c>
      <c r="B53" s="432" t="s">
        <v>452</v>
      </c>
      <c r="C53" s="357" t="s">
        <v>84</v>
      </c>
      <c r="D53" s="430" t="s">
        <v>498</v>
      </c>
      <c r="E53" s="26">
        <v>263165.33333333331</v>
      </c>
      <c r="F53" s="26"/>
      <c r="G53" s="212">
        <f>100000</f>
        <v>100000</v>
      </c>
      <c r="H53" s="212"/>
      <c r="I53" s="26"/>
      <c r="J53" s="525">
        <f t="shared" si="15"/>
        <v>363165.33333333331</v>
      </c>
      <c r="K53" s="525">
        <v>249356.04725</v>
      </c>
      <c r="L53" s="525">
        <f t="shared" si="16"/>
        <v>113809.28608333331</v>
      </c>
      <c r="M53" s="519">
        <v>44641.500586666669</v>
      </c>
      <c r="N53" s="601">
        <v>29058.48260466666</v>
      </c>
      <c r="O53" s="583">
        <f t="shared" si="14"/>
        <v>15583.017982000008</v>
      </c>
      <c r="P53" s="612"/>
      <c r="Q53" s="619">
        <f t="shared" si="17"/>
        <v>98226.268101333306</v>
      </c>
    </row>
    <row r="54" spans="1:17" ht="25.5" customHeight="1">
      <c r="A54" s="430"/>
      <c r="B54" s="366" t="s">
        <v>15</v>
      </c>
      <c r="C54" s="360">
        <v>11</v>
      </c>
      <c r="D54" s="360"/>
      <c r="E54" s="78">
        <f>SUM(E43:E53)</f>
        <v>6180027.9999999991</v>
      </c>
      <c r="F54" s="78">
        <f t="shared" ref="F54:O54" si="18">SUM(F43:F53)</f>
        <v>0</v>
      </c>
      <c r="G54" s="78">
        <f t="shared" si="18"/>
        <v>1560000</v>
      </c>
      <c r="H54" s="78">
        <f t="shared" si="18"/>
        <v>0</v>
      </c>
      <c r="I54" s="78">
        <f t="shared" si="18"/>
        <v>0</v>
      </c>
      <c r="J54" s="78">
        <f t="shared" si="18"/>
        <v>7740027.9999999991</v>
      </c>
      <c r="K54" s="78">
        <v>5189903.9082500003</v>
      </c>
      <c r="L54" s="78">
        <f t="shared" si="18"/>
        <v>2550124.0917499997</v>
      </c>
      <c r="M54" s="78">
        <f t="shared" si="18"/>
        <v>1157200.5715733333</v>
      </c>
      <c r="N54" s="587">
        <v>770426.8237533333</v>
      </c>
      <c r="O54" s="587">
        <f t="shared" si="18"/>
        <v>386773.74781999999</v>
      </c>
      <c r="P54" s="608"/>
      <c r="Q54" s="598">
        <f>SUM(Q43:Q53)</f>
        <v>2163350.3439300004</v>
      </c>
    </row>
    <row r="55" spans="1:17" ht="20.100000000000001" customHeight="1">
      <c r="A55" s="430"/>
      <c r="B55" s="362"/>
      <c r="C55" s="360"/>
      <c r="D55" s="360"/>
      <c r="E55" s="31"/>
      <c r="F55" s="31"/>
      <c r="G55" s="212"/>
      <c r="H55" s="212"/>
      <c r="I55" s="31"/>
      <c r="J55" s="526"/>
      <c r="K55" s="526"/>
      <c r="L55" s="526"/>
      <c r="M55" s="527"/>
      <c r="N55" s="588"/>
      <c r="O55" s="588"/>
      <c r="P55" s="610"/>
      <c r="Q55" s="622"/>
    </row>
    <row r="56" spans="1:17" ht="20.100000000000001" customHeight="1">
      <c r="A56" s="430"/>
      <c r="B56" s="366" t="s">
        <v>195</v>
      </c>
      <c r="C56" s="360"/>
      <c r="D56" s="360"/>
      <c r="E56" s="31"/>
      <c r="F56" s="31"/>
      <c r="G56" s="212"/>
      <c r="H56" s="212"/>
      <c r="I56" s="31"/>
      <c r="J56" s="526"/>
      <c r="K56" s="526"/>
      <c r="L56" s="526"/>
      <c r="M56" s="527"/>
      <c r="N56" s="588"/>
      <c r="O56" s="588"/>
      <c r="P56" s="610"/>
      <c r="Q56" s="622"/>
    </row>
    <row r="57" spans="1:17" ht="20.100000000000001" customHeight="1">
      <c r="A57" s="430">
        <v>1</v>
      </c>
      <c r="B57" s="432" t="s">
        <v>11</v>
      </c>
      <c r="C57" s="367" t="s">
        <v>200</v>
      </c>
      <c r="D57" s="434" t="s">
        <v>161</v>
      </c>
      <c r="E57" s="26">
        <v>1435720</v>
      </c>
      <c r="F57" s="26"/>
      <c r="G57" s="212">
        <f>200000</f>
        <v>200000</v>
      </c>
      <c r="H57" s="212"/>
      <c r="I57" s="26">
        <v>0</v>
      </c>
      <c r="J57" s="525">
        <f>E57+F57+G57+H57+I57</f>
        <v>1635720</v>
      </c>
      <c r="K57" s="525">
        <v>1050209.0635000002</v>
      </c>
      <c r="L57" s="525">
        <f>J57-K57</f>
        <v>585510.93649999984</v>
      </c>
      <c r="M57" s="519">
        <v>270672.24746666662</v>
      </c>
      <c r="N57" s="603">
        <v>180306.80685866671</v>
      </c>
      <c r="O57" s="583">
        <f>M57-N57</f>
        <v>90365.440607999917</v>
      </c>
      <c r="P57" s="612"/>
      <c r="Q57" s="619">
        <f>L57-O57</f>
        <v>495145.49589199992</v>
      </c>
    </row>
    <row r="58" spans="1:17" ht="20.100000000000001" customHeight="1">
      <c r="A58" s="430">
        <v>2</v>
      </c>
      <c r="B58" s="432" t="s">
        <v>276</v>
      </c>
      <c r="C58" s="367" t="s">
        <v>340</v>
      </c>
      <c r="D58" s="434" t="s">
        <v>747</v>
      </c>
      <c r="E58" s="26">
        <v>620675.58333333337</v>
      </c>
      <c r="F58" s="26"/>
      <c r="G58" s="212"/>
      <c r="H58" s="212">
        <v>80000</v>
      </c>
      <c r="I58" s="26"/>
      <c r="J58" s="525">
        <f>E58+F58+G58+H58+I58</f>
        <v>700675.58333333337</v>
      </c>
      <c r="K58" s="525">
        <v>447553.5025</v>
      </c>
      <c r="L58" s="525">
        <f>J58-K58</f>
        <v>253122.08083333337</v>
      </c>
      <c r="M58" s="519">
        <v>103662.80170666667</v>
      </c>
      <c r="N58" s="603">
        <v>64596.939146666664</v>
      </c>
      <c r="O58" s="583">
        <f>M58-N58</f>
        <v>39065.862560000001</v>
      </c>
      <c r="P58" s="612"/>
      <c r="Q58" s="619">
        <f>L58-O58</f>
        <v>214056.21827333336</v>
      </c>
    </row>
    <row r="59" spans="1:17" ht="20.100000000000001" customHeight="1">
      <c r="A59" s="430"/>
      <c r="B59" s="366" t="s">
        <v>15</v>
      </c>
      <c r="C59" s="360">
        <v>2</v>
      </c>
      <c r="D59" s="360"/>
      <c r="E59" s="78">
        <f>SUM(E57:E58)</f>
        <v>2056395.5833333335</v>
      </c>
      <c r="F59" s="78">
        <f t="shared" ref="F59:O59" si="19">SUM(F57:F58)</f>
        <v>0</v>
      </c>
      <c r="G59" s="78">
        <f t="shared" si="19"/>
        <v>200000</v>
      </c>
      <c r="H59" s="78">
        <f t="shared" si="19"/>
        <v>80000</v>
      </c>
      <c r="I59" s="78">
        <f t="shared" si="19"/>
        <v>0</v>
      </c>
      <c r="J59" s="78">
        <f t="shared" si="19"/>
        <v>2336395.5833333335</v>
      </c>
      <c r="K59" s="78">
        <v>1497762.5660000001</v>
      </c>
      <c r="L59" s="78">
        <f t="shared" si="19"/>
        <v>838633.01733333315</v>
      </c>
      <c r="M59" s="78">
        <f t="shared" si="19"/>
        <v>374335.04917333327</v>
      </c>
      <c r="N59" s="587">
        <v>244903.74600533338</v>
      </c>
      <c r="O59" s="587">
        <f t="shared" si="19"/>
        <v>129431.30316799993</v>
      </c>
      <c r="P59" s="608"/>
      <c r="Q59" s="598">
        <f>SUM(Q57:Q58)</f>
        <v>709201.71416533331</v>
      </c>
    </row>
    <row r="60" spans="1:17" ht="20.100000000000001" customHeight="1">
      <c r="A60" s="430"/>
      <c r="B60" s="366"/>
      <c r="C60" s="360"/>
      <c r="D60" s="360"/>
      <c r="E60" s="31"/>
      <c r="F60" s="31"/>
      <c r="G60" s="212"/>
      <c r="H60" s="212"/>
      <c r="I60" s="31"/>
      <c r="J60" s="526"/>
      <c r="K60" s="526"/>
      <c r="L60" s="526"/>
      <c r="M60" s="527"/>
      <c r="N60" s="588"/>
      <c r="O60" s="588"/>
      <c r="P60" s="610"/>
      <c r="Q60" s="622"/>
    </row>
    <row r="61" spans="1:17" ht="20.100000000000001" customHeight="1">
      <c r="A61" s="430"/>
      <c r="B61" s="366" t="s">
        <v>461</v>
      </c>
      <c r="C61" s="360"/>
      <c r="D61" s="360"/>
      <c r="E61" s="31"/>
      <c r="F61" s="31"/>
      <c r="G61" s="212"/>
      <c r="H61" s="212"/>
      <c r="I61" s="31"/>
      <c r="J61" s="526"/>
      <c r="K61" s="526"/>
      <c r="L61" s="526"/>
      <c r="M61" s="527"/>
      <c r="N61" s="588"/>
      <c r="O61" s="588"/>
      <c r="P61" s="610"/>
      <c r="Q61" s="622"/>
    </row>
    <row r="62" spans="1:17" ht="20.100000000000001" customHeight="1">
      <c r="A62" s="430">
        <v>1</v>
      </c>
      <c r="B62" s="432" t="s">
        <v>277</v>
      </c>
      <c r="C62" s="431" t="s">
        <v>278</v>
      </c>
      <c r="D62" s="430" t="s">
        <v>161</v>
      </c>
      <c r="E62" s="26">
        <v>1435720</v>
      </c>
      <c r="F62" s="26"/>
      <c r="G62" s="212">
        <f>200000</f>
        <v>200000</v>
      </c>
      <c r="H62" s="212"/>
      <c r="I62" s="26">
        <v>0</v>
      </c>
      <c r="J62" s="525">
        <f>E62+F62+G62+H62+I62</f>
        <v>1635720</v>
      </c>
      <c r="K62" s="525">
        <v>1050209.0635000002</v>
      </c>
      <c r="L62" s="525">
        <f>J62-K62</f>
        <v>585510.93649999984</v>
      </c>
      <c r="M62" s="519">
        <v>292724.90666666668</v>
      </c>
      <c r="N62" s="601">
        <v>180306.80685866671</v>
      </c>
      <c r="O62" s="583">
        <f t="shared" ref="O62:O71" si="20">M62-N62</f>
        <v>112418.09980799997</v>
      </c>
      <c r="P62" s="612"/>
      <c r="Q62" s="619">
        <f>L62-O62</f>
        <v>473092.83669199987</v>
      </c>
    </row>
    <row r="63" spans="1:17" ht="20.100000000000001" customHeight="1">
      <c r="A63" s="430">
        <v>2</v>
      </c>
      <c r="B63" s="330" t="s">
        <v>332</v>
      </c>
      <c r="C63" s="431" t="s">
        <v>188</v>
      </c>
      <c r="D63" s="434" t="s">
        <v>148</v>
      </c>
      <c r="E63" s="26">
        <v>601396.83333333337</v>
      </c>
      <c r="F63" s="26"/>
      <c r="G63" s="212">
        <f>160000</f>
        <v>160000</v>
      </c>
      <c r="H63" s="212"/>
      <c r="I63" s="215">
        <v>0</v>
      </c>
      <c r="J63" s="525">
        <f t="shared" ref="J63:J71" si="21">E63+F63+G63+H63+I63</f>
        <v>761396.83333333337</v>
      </c>
      <c r="K63" s="525">
        <v>516137.05000000005</v>
      </c>
      <c r="L63" s="525">
        <f t="shared" ref="L63:L71" si="22">J63-K63</f>
        <v>245259.78333333333</v>
      </c>
      <c r="M63" s="519">
        <v>115617.40330666665</v>
      </c>
      <c r="N63" s="601">
        <v>77764.98026666668</v>
      </c>
      <c r="O63" s="583">
        <f t="shared" si="20"/>
        <v>37852.423039999965</v>
      </c>
      <c r="P63" s="612"/>
      <c r="Q63" s="619">
        <f t="shared" ref="Q63:Q71" si="23">L63-O63</f>
        <v>207407.36029333336</v>
      </c>
    </row>
    <row r="64" spans="1:17" ht="20.100000000000001" customHeight="1">
      <c r="A64" s="430">
        <v>3</v>
      </c>
      <c r="B64" s="432" t="s">
        <v>189</v>
      </c>
      <c r="C64" s="357" t="s">
        <v>297</v>
      </c>
      <c r="D64" s="430" t="s">
        <v>222</v>
      </c>
      <c r="E64" s="26">
        <v>442746.5</v>
      </c>
      <c r="F64" s="26"/>
      <c r="G64" s="212">
        <v>140000</v>
      </c>
      <c r="H64" s="212"/>
      <c r="I64" s="26"/>
      <c r="J64" s="525">
        <f t="shared" si="21"/>
        <v>582746.5</v>
      </c>
      <c r="K64" s="525">
        <v>397211.36749999999</v>
      </c>
      <c r="L64" s="525">
        <f t="shared" si="22"/>
        <v>185535.13250000001</v>
      </c>
      <c r="M64" s="519">
        <v>83753.408426666647</v>
      </c>
      <c r="N64" s="601">
        <v>54931.249226666667</v>
      </c>
      <c r="O64" s="583">
        <f t="shared" si="20"/>
        <v>28822.15919999998</v>
      </c>
      <c r="P64" s="612"/>
      <c r="Q64" s="619">
        <f t="shared" si="23"/>
        <v>156712.97330000001</v>
      </c>
    </row>
    <row r="65" spans="1:17" ht="20.100000000000001" customHeight="1">
      <c r="A65" s="430">
        <v>4</v>
      </c>
      <c r="B65" s="364" t="s">
        <v>448</v>
      </c>
      <c r="C65" s="431" t="s">
        <v>257</v>
      </c>
      <c r="D65" s="434" t="s">
        <v>170</v>
      </c>
      <c r="E65" s="26">
        <v>428915.91666666669</v>
      </c>
      <c r="F65" s="26"/>
      <c r="G65" s="212">
        <f t="shared" ref="G65" si="24">120000</f>
        <v>120000</v>
      </c>
      <c r="H65" s="212"/>
      <c r="I65" s="26">
        <v>0</v>
      </c>
      <c r="J65" s="525">
        <f t="shared" si="21"/>
        <v>548915.91666666674</v>
      </c>
      <c r="K65" s="525">
        <v>369177.65375</v>
      </c>
      <c r="L65" s="525">
        <f t="shared" si="22"/>
        <v>179738.26291666675</v>
      </c>
      <c r="M65" s="519">
        <v>77470.374186666668</v>
      </c>
      <c r="N65" s="601">
        <v>49548.776186666662</v>
      </c>
      <c r="O65" s="583">
        <f t="shared" si="20"/>
        <v>27921.598000000005</v>
      </c>
      <c r="P65" s="612"/>
      <c r="Q65" s="619">
        <f t="shared" si="23"/>
        <v>151816.66491666675</v>
      </c>
    </row>
    <row r="66" spans="1:17" ht="20.100000000000001" customHeight="1">
      <c r="A66" s="430">
        <v>5</v>
      </c>
      <c r="B66" s="365" t="s">
        <v>229</v>
      </c>
      <c r="C66" s="431" t="s">
        <v>297</v>
      </c>
      <c r="D66" s="434" t="s">
        <v>174</v>
      </c>
      <c r="E66" s="26">
        <v>484373.75</v>
      </c>
      <c r="F66" s="26"/>
      <c r="G66" s="212">
        <f>140000</f>
        <v>140000</v>
      </c>
      <c r="H66" s="212"/>
      <c r="I66" s="26"/>
      <c r="J66" s="525">
        <f t="shared" si="21"/>
        <v>624373.75</v>
      </c>
      <c r="K66" s="525">
        <v>421394.00675000006</v>
      </c>
      <c r="L66" s="525">
        <f t="shared" si="22"/>
        <v>202979.74324999994</v>
      </c>
      <c r="M66" s="519">
        <v>91106.445866666661</v>
      </c>
      <c r="N66" s="586">
        <v>59574.315962666667</v>
      </c>
      <c r="O66" s="583">
        <f t="shared" si="20"/>
        <v>31532.129903999994</v>
      </c>
      <c r="P66" s="612"/>
      <c r="Q66" s="619">
        <f t="shared" si="23"/>
        <v>171447.61334599994</v>
      </c>
    </row>
    <row r="67" spans="1:17" ht="20.100000000000001" customHeight="1">
      <c r="A67" s="430">
        <v>7</v>
      </c>
      <c r="B67" s="432" t="s">
        <v>117</v>
      </c>
      <c r="C67" s="357" t="s">
        <v>84</v>
      </c>
      <c r="D67" s="430" t="s">
        <v>415</v>
      </c>
      <c r="E67" s="26">
        <v>365703.83333333331</v>
      </c>
      <c r="F67" s="26"/>
      <c r="G67" s="212">
        <f>110000</f>
        <v>110000</v>
      </c>
      <c r="H67" s="212"/>
      <c r="I67" s="26">
        <v>0</v>
      </c>
      <c r="J67" s="525">
        <f t="shared" si="21"/>
        <v>475703.83333333331</v>
      </c>
      <c r="K67" s="525">
        <v>322454.07400000002</v>
      </c>
      <c r="L67" s="525">
        <f t="shared" si="22"/>
        <v>153249.75933333329</v>
      </c>
      <c r="M67" s="519">
        <v>64384.591786666664</v>
      </c>
      <c r="N67" s="601">
        <v>41338.951098666665</v>
      </c>
      <c r="O67" s="583">
        <f t="shared" si="20"/>
        <v>23045.640687999999</v>
      </c>
      <c r="P67" s="612"/>
      <c r="Q67" s="619">
        <f t="shared" si="23"/>
        <v>130204.11864533329</v>
      </c>
    </row>
    <row r="68" spans="1:17" ht="20.100000000000001" customHeight="1">
      <c r="A68" s="430">
        <v>8</v>
      </c>
      <c r="B68" s="432" t="s">
        <v>424</v>
      </c>
      <c r="C68" s="431" t="s">
        <v>422</v>
      </c>
      <c r="D68" s="430" t="s">
        <v>415</v>
      </c>
      <c r="E68" s="26">
        <v>365703.83333333331</v>
      </c>
      <c r="F68" s="26"/>
      <c r="G68" s="212">
        <f t="shared" ref="G68:G69" si="25">110000</f>
        <v>110000</v>
      </c>
      <c r="H68" s="212"/>
      <c r="I68" s="26">
        <v>0</v>
      </c>
      <c r="J68" s="525">
        <f t="shared" si="21"/>
        <v>475703.83333333331</v>
      </c>
      <c r="K68" s="525">
        <v>322454.07400000002</v>
      </c>
      <c r="L68" s="525">
        <f t="shared" si="22"/>
        <v>153249.75933333329</v>
      </c>
      <c r="M68" s="519">
        <v>64384.591786666664</v>
      </c>
      <c r="N68" s="601">
        <v>41338.951098666665</v>
      </c>
      <c r="O68" s="583">
        <f t="shared" si="20"/>
        <v>23045.640687999999</v>
      </c>
      <c r="P68" s="612"/>
      <c r="Q68" s="619">
        <f t="shared" si="23"/>
        <v>130204.11864533329</v>
      </c>
    </row>
    <row r="69" spans="1:17" ht="20.100000000000001" customHeight="1">
      <c r="A69" s="430">
        <v>9</v>
      </c>
      <c r="B69" s="432" t="s">
        <v>423</v>
      </c>
      <c r="C69" s="431" t="s">
        <v>422</v>
      </c>
      <c r="D69" s="430" t="s">
        <v>415</v>
      </c>
      <c r="E69" s="26">
        <v>365703.83333333331</v>
      </c>
      <c r="F69" s="26"/>
      <c r="G69" s="212">
        <f t="shared" si="25"/>
        <v>110000</v>
      </c>
      <c r="H69" s="212"/>
      <c r="I69" s="26">
        <v>0</v>
      </c>
      <c r="J69" s="525">
        <f t="shared" si="21"/>
        <v>475703.83333333331</v>
      </c>
      <c r="K69" s="525">
        <v>322454.07400000002</v>
      </c>
      <c r="L69" s="525">
        <f t="shared" si="22"/>
        <v>153249.75933333329</v>
      </c>
      <c r="M69" s="519">
        <v>64384.591786666664</v>
      </c>
      <c r="N69" s="601">
        <v>41338.951098666665</v>
      </c>
      <c r="O69" s="583">
        <f t="shared" si="20"/>
        <v>23045.640687999999</v>
      </c>
      <c r="P69" s="612"/>
      <c r="Q69" s="619">
        <f t="shared" si="23"/>
        <v>130204.11864533329</v>
      </c>
    </row>
    <row r="70" spans="1:17" ht="20.100000000000001" customHeight="1">
      <c r="A70" s="430">
        <v>10</v>
      </c>
      <c r="B70" s="432" t="s">
        <v>242</v>
      </c>
      <c r="C70" s="357" t="s">
        <v>484</v>
      </c>
      <c r="D70" s="430" t="s">
        <v>497</v>
      </c>
      <c r="E70" s="465">
        <v>377895.16666666669</v>
      </c>
      <c r="F70" s="26"/>
      <c r="G70" s="212">
        <f>110000</f>
        <v>110000</v>
      </c>
      <c r="H70" s="212"/>
      <c r="I70" s="26"/>
      <c r="J70" s="525">
        <f t="shared" si="21"/>
        <v>487895.16666666669</v>
      </c>
      <c r="K70" s="525">
        <v>334536.99849999999</v>
      </c>
      <c r="L70" s="525">
        <f t="shared" si="22"/>
        <v>153358.1681666667</v>
      </c>
      <c r="M70" s="519">
        <v>66538.068906666667</v>
      </c>
      <c r="N70" s="601">
        <v>43368.882414666667</v>
      </c>
      <c r="O70" s="583">
        <f t="shared" si="20"/>
        <v>23169.186492000001</v>
      </c>
      <c r="P70" s="612"/>
      <c r="Q70" s="619">
        <f t="shared" si="23"/>
        <v>130188.98167466669</v>
      </c>
    </row>
    <row r="71" spans="1:17" ht="21.6" customHeight="1">
      <c r="A71" s="430">
        <v>11</v>
      </c>
      <c r="B71" s="432" t="s">
        <v>726</v>
      </c>
      <c r="C71" s="357" t="s">
        <v>84</v>
      </c>
      <c r="D71" s="430" t="s">
        <v>207</v>
      </c>
      <c r="E71" s="212">
        <v>300965.58333333331</v>
      </c>
      <c r="F71" s="26"/>
      <c r="G71" s="212">
        <v>100000</v>
      </c>
      <c r="H71" s="212"/>
      <c r="I71" s="26"/>
      <c r="J71" s="525">
        <f t="shared" si="21"/>
        <v>400965.58333333331</v>
      </c>
      <c r="K71" s="525">
        <v>277734.04699999996</v>
      </c>
      <c r="L71" s="525">
        <f t="shared" si="22"/>
        <v>123231.53633333335</v>
      </c>
      <c r="M71" s="519">
        <v>51029.227306666668</v>
      </c>
      <c r="N71" s="601">
        <v>33825.986562666658</v>
      </c>
      <c r="O71" s="583">
        <f t="shared" si="20"/>
        <v>17203.24074400001</v>
      </c>
      <c r="P71" s="612"/>
      <c r="Q71" s="619">
        <f t="shared" si="23"/>
        <v>106028.29558933334</v>
      </c>
    </row>
    <row r="72" spans="1:17" ht="27" customHeight="1">
      <c r="A72" s="430"/>
      <c r="B72" s="366" t="s">
        <v>15</v>
      </c>
      <c r="C72" s="360">
        <v>12</v>
      </c>
      <c r="D72" s="360"/>
      <c r="E72" s="78">
        <f>SUM(E62:E71)</f>
        <v>5169125.25</v>
      </c>
      <c r="F72" s="78">
        <f t="shared" ref="F72:O72" si="26">SUM(F62:F71)</f>
        <v>0</v>
      </c>
      <c r="G72" s="78">
        <f t="shared" si="26"/>
        <v>1300000</v>
      </c>
      <c r="H72" s="78">
        <f t="shared" si="26"/>
        <v>0</v>
      </c>
      <c r="I72" s="78">
        <f t="shared" si="26"/>
        <v>0</v>
      </c>
      <c r="J72" s="78">
        <f t="shared" si="26"/>
        <v>6469125.2499999991</v>
      </c>
      <c r="K72" s="78">
        <v>4333762.4090000009</v>
      </c>
      <c r="L72" s="78">
        <f t="shared" si="26"/>
        <v>2135362.8409999995</v>
      </c>
      <c r="M72" s="78">
        <f t="shared" si="26"/>
        <v>971393.61002666655</v>
      </c>
      <c r="N72" s="587">
        <v>623337.85077466676</v>
      </c>
      <c r="O72" s="587">
        <f t="shared" si="26"/>
        <v>348055.75925199996</v>
      </c>
      <c r="P72" s="608"/>
      <c r="Q72" s="598">
        <f>SUM(Q62:Q71)</f>
        <v>1787307.0817479996</v>
      </c>
    </row>
    <row r="73" spans="1:17" ht="20.100000000000001" customHeight="1">
      <c r="A73" s="430"/>
      <c r="B73" s="362"/>
      <c r="C73" s="360"/>
      <c r="D73" s="360"/>
      <c r="E73" s="31"/>
      <c r="F73" s="31"/>
      <c r="G73" s="212"/>
      <c r="H73" s="212"/>
      <c r="I73" s="31"/>
      <c r="J73" s="526"/>
      <c r="K73" s="526"/>
      <c r="L73" s="526"/>
      <c r="M73" s="527"/>
      <c r="N73" s="588"/>
      <c r="O73" s="588"/>
      <c r="P73" s="610"/>
      <c r="Q73" s="622"/>
    </row>
    <row r="74" spans="1:17" ht="20.100000000000001" customHeight="1">
      <c r="A74" s="430"/>
      <c r="B74" s="366" t="s">
        <v>462</v>
      </c>
      <c r="C74" s="360"/>
      <c r="D74" s="360"/>
      <c r="E74" s="31"/>
      <c r="F74" s="31"/>
      <c r="G74" s="212"/>
      <c r="H74" s="212"/>
      <c r="I74" s="31"/>
      <c r="J74" s="526"/>
      <c r="K74" s="526"/>
      <c r="L74" s="526"/>
      <c r="M74" s="527"/>
      <c r="N74" s="588"/>
      <c r="O74" s="588"/>
      <c r="P74" s="610"/>
      <c r="Q74" s="622"/>
    </row>
    <row r="75" spans="1:17" ht="20.100000000000001" customHeight="1">
      <c r="A75" s="430">
        <v>1</v>
      </c>
      <c r="B75" s="432" t="s">
        <v>19</v>
      </c>
      <c r="C75" s="357" t="s">
        <v>201</v>
      </c>
      <c r="D75" s="430" t="s">
        <v>161</v>
      </c>
      <c r="E75" s="26">
        <v>1435720</v>
      </c>
      <c r="F75" s="26"/>
      <c r="G75" s="212">
        <f>200000</f>
        <v>200000</v>
      </c>
      <c r="H75" s="212"/>
      <c r="I75" s="26">
        <v>0</v>
      </c>
      <c r="J75" s="525">
        <f>E75+F75+G75+H75+I75</f>
        <v>1635720</v>
      </c>
      <c r="K75" s="525">
        <v>1050209.0635000002</v>
      </c>
      <c r="L75" s="525">
        <f>J75-K75</f>
        <v>585510.93649999984</v>
      </c>
      <c r="M75" s="519">
        <v>270672.24746666662</v>
      </c>
      <c r="N75" s="601">
        <v>180306.80685866671</v>
      </c>
      <c r="O75" s="583">
        <f t="shared" ref="O75:O81" si="27">M75-N75</f>
        <v>90365.440607999917</v>
      </c>
      <c r="P75" s="612"/>
      <c r="Q75" s="619">
        <f>L75-O75</f>
        <v>495145.49589199992</v>
      </c>
    </row>
    <row r="76" spans="1:17" ht="20.100000000000001" customHeight="1">
      <c r="A76" s="430">
        <v>2</v>
      </c>
      <c r="B76" s="365" t="s">
        <v>325</v>
      </c>
      <c r="C76" s="357" t="s">
        <v>245</v>
      </c>
      <c r="D76" s="434" t="s">
        <v>412</v>
      </c>
      <c r="E76" s="24">
        <v>601396.83333333337</v>
      </c>
      <c r="F76" s="26"/>
      <c r="G76" s="212">
        <f>160000</f>
        <v>160000</v>
      </c>
      <c r="H76" s="212"/>
      <c r="I76" s="215">
        <v>0</v>
      </c>
      <c r="J76" s="525">
        <f t="shared" ref="J76:J81" si="28">E76+F76+G76+H76+I76</f>
        <v>761396.83333333337</v>
      </c>
      <c r="K76" s="525">
        <v>516137.05000000005</v>
      </c>
      <c r="L76" s="525">
        <f t="shared" ref="L76:L81" si="29">J76-K76</f>
        <v>245259.78333333333</v>
      </c>
      <c r="M76" s="519">
        <v>124854.85866666667</v>
      </c>
      <c r="N76" s="601">
        <v>77764.98026666668</v>
      </c>
      <c r="O76" s="583">
        <f t="shared" si="27"/>
        <v>47089.878399999987</v>
      </c>
      <c r="P76" s="612"/>
      <c r="Q76" s="619">
        <f t="shared" ref="Q76:Q81" si="30">L76-O76</f>
        <v>198169.90493333334</v>
      </c>
    </row>
    <row r="77" spans="1:17" ht="20.100000000000001" customHeight="1">
      <c r="A77" s="430">
        <v>3</v>
      </c>
      <c r="B77" s="364" t="s">
        <v>333</v>
      </c>
      <c r="C77" s="367" t="s">
        <v>387</v>
      </c>
      <c r="D77" s="430" t="s">
        <v>747</v>
      </c>
      <c r="E77" s="26">
        <v>620675.58333333337</v>
      </c>
      <c r="F77" s="26"/>
      <c r="G77" s="212">
        <v>0</v>
      </c>
      <c r="H77" s="212">
        <v>80000</v>
      </c>
      <c r="I77" s="215">
        <v>0</v>
      </c>
      <c r="J77" s="525">
        <f t="shared" si="28"/>
        <v>700675.58333333337</v>
      </c>
      <c r="K77" s="525">
        <v>447553.5025</v>
      </c>
      <c r="L77" s="525">
        <f t="shared" si="29"/>
        <v>253122.08083333337</v>
      </c>
      <c r="M77" s="519">
        <v>113196.37866666664</v>
      </c>
      <c r="N77" s="586">
        <v>64596.939146666664</v>
      </c>
      <c r="O77" s="583">
        <f t="shared" si="27"/>
        <v>48599.439519999978</v>
      </c>
      <c r="P77" s="612"/>
      <c r="Q77" s="619">
        <f t="shared" si="30"/>
        <v>204522.64131333338</v>
      </c>
    </row>
    <row r="78" spans="1:17" ht="20.100000000000001" customHeight="1">
      <c r="A78" s="430">
        <v>4</v>
      </c>
      <c r="B78" s="432" t="s">
        <v>26</v>
      </c>
      <c r="C78" s="357" t="s">
        <v>707</v>
      </c>
      <c r="D78" s="434" t="s">
        <v>162</v>
      </c>
      <c r="E78" s="26">
        <v>456622.25</v>
      </c>
      <c r="F78" s="26"/>
      <c r="G78" s="212">
        <f>140000</f>
        <v>140000</v>
      </c>
      <c r="H78" s="212"/>
      <c r="I78" s="26">
        <v>0</v>
      </c>
      <c r="J78" s="525">
        <f t="shared" si="28"/>
        <v>596622.25</v>
      </c>
      <c r="K78" s="525">
        <v>405272.06374999997</v>
      </c>
      <c r="L78" s="525">
        <f t="shared" si="29"/>
        <v>191350.18625000003</v>
      </c>
      <c r="M78" s="519">
        <v>86076.104186666664</v>
      </c>
      <c r="N78" s="601">
        <v>56350.58618666666</v>
      </c>
      <c r="O78" s="583">
        <f t="shared" si="27"/>
        <v>29725.518000000004</v>
      </c>
      <c r="P78" s="612"/>
      <c r="Q78" s="619">
        <f t="shared" si="30"/>
        <v>161624.66825000002</v>
      </c>
    </row>
    <row r="79" spans="1:17" ht="20.100000000000001" customHeight="1">
      <c r="A79" s="430">
        <v>5</v>
      </c>
      <c r="B79" s="432" t="s">
        <v>324</v>
      </c>
      <c r="C79" s="357" t="s">
        <v>243</v>
      </c>
      <c r="D79" s="430" t="s">
        <v>164</v>
      </c>
      <c r="E79" s="26">
        <v>308901.5</v>
      </c>
      <c r="F79" s="26"/>
      <c r="G79" s="212">
        <f>100000</f>
        <v>100000</v>
      </c>
      <c r="H79" s="212"/>
      <c r="I79" s="26"/>
      <c r="J79" s="525">
        <f t="shared" si="28"/>
        <v>408901.5</v>
      </c>
      <c r="K79" s="525">
        <v>273169.11749999999</v>
      </c>
      <c r="L79" s="525">
        <f t="shared" si="29"/>
        <v>135732.38250000001</v>
      </c>
      <c r="M79" s="519">
        <v>52431.02762666667</v>
      </c>
      <c r="N79" s="601">
        <v>33059.078406666667</v>
      </c>
      <c r="O79" s="583">
        <f t="shared" si="27"/>
        <v>19371.949220000002</v>
      </c>
      <c r="P79" s="612"/>
      <c r="Q79" s="619">
        <f t="shared" si="30"/>
        <v>116360.43328</v>
      </c>
    </row>
    <row r="80" spans="1:17" ht="20.100000000000001" customHeight="1">
      <c r="A80" s="430">
        <v>6</v>
      </c>
      <c r="B80" s="432" t="s">
        <v>554</v>
      </c>
      <c r="C80" s="357" t="s">
        <v>243</v>
      </c>
      <c r="D80" s="430" t="s">
        <v>498</v>
      </c>
      <c r="E80" s="26">
        <v>263165.33333333331</v>
      </c>
      <c r="F80" s="26"/>
      <c r="G80" s="212">
        <v>100000</v>
      </c>
      <c r="H80" s="212"/>
      <c r="I80" s="26"/>
      <c r="J80" s="525">
        <f t="shared" si="28"/>
        <v>363165.33333333331</v>
      </c>
      <c r="K80" s="525">
        <v>249356.04725</v>
      </c>
      <c r="L80" s="525">
        <f t="shared" si="29"/>
        <v>113809.28608333331</v>
      </c>
      <c r="M80" s="519">
        <v>44641.500586666669</v>
      </c>
      <c r="N80" s="601">
        <v>29058.48260466666</v>
      </c>
      <c r="O80" s="583">
        <f t="shared" si="27"/>
        <v>15583.017982000008</v>
      </c>
      <c r="P80" s="612"/>
      <c r="Q80" s="619">
        <f t="shared" si="30"/>
        <v>98226.268101333306</v>
      </c>
    </row>
    <row r="81" spans="1:17" ht="20.100000000000001" customHeight="1">
      <c r="A81" s="430">
        <v>7</v>
      </c>
      <c r="B81" s="432" t="s">
        <v>552</v>
      </c>
      <c r="C81" s="357" t="s">
        <v>553</v>
      </c>
      <c r="D81" s="430" t="s">
        <v>176</v>
      </c>
      <c r="E81" s="26">
        <v>224459.75</v>
      </c>
      <c r="F81" s="26"/>
      <c r="G81" s="212">
        <v>100000</v>
      </c>
      <c r="H81" s="212">
        <v>0</v>
      </c>
      <c r="I81" s="26"/>
      <c r="J81" s="525">
        <f t="shared" si="28"/>
        <v>324459.75</v>
      </c>
      <c r="K81" s="525">
        <v>223717.28450000001</v>
      </c>
      <c r="L81" s="525">
        <f t="shared" si="29"/>
        <v>100742.46549999999</v>
      </c>
      <c r="M81" s="519">
        <v>38659.165626666669</v>
      </c>
      <c r="N81" s="601">
        <v>24751.170462666665</v>
      </c>
      <c r="O81" s="583">
        <f t="shared" si="27"/>
        <v>13907.995164000004</v>
      </c>
      <c r="P81" s="612"/>
      <c r="Q81" s="619">
        <f t="shared" si="30"/>
        <v>86834.470335999984</v>
      </c>
    </row>
    <row r="82" spans="1:17" ht="20.100000000000001" customHeight="1">
      <c r="A82" s="430"/>
      <c r="B82" s="366" t="s">
        <v>15</v>
      </c>
      <c r="C82" s="360">
        <v>7</v>
      </c>
      <c r="D82" s="360"/>
      <c r="E82" s="78">
        <f>SUM(E75:E81)</f>
        <v>3910941.2500000005</v>
      </c>
      <c r="F82" s="78">
        <f t="shared" ref="F82:O82" si="31">SUM(F75:F81)</f>
        <v>0</v>
      </c>
      <c r="G82" s="78">
        <f t="shared" si="31"/>
        <v>800000</v>
      </c>
      <c r="H82" s="78">
        <f t="shared" si="31"/>
        <v>80000</v>
      </c>
      <c r="I82" s="78">
        <f t="shared" si="31"/>
        <v>0</v>
      </c>
      <c r="J82" s="78">
        <f t="shared" si="31"/>
        <v>4790941.25</v>
      </c>
      <c r="K82" s="78">
        <v>3165414.1290000002</v>
      </c>
      <c r="L82" s="78">
        <f t="shared" si="31"/>
        <v>1625527.1209999998</v>
      </c>
      <c r="M82" s="78">
        <f t="shared" si="31"/>
        <v>730531.2828266666</v>
      </c>
      <c r="N82" s="587">
        <v>465888.04393266671</v>
      </c>
      <c r="O82" s="587">
        <f t="shared" si="31"/>
        <v>264643.23889399995</v>
      </c>
      <c r="P82" s="608"/>
      <c r="Q82" s="598">
        <f>SUM(Q75:Q81)</f>
        <v>1360883.8821060001</v>
      </c>
    </row>
    <row r="83" spans="1:17" ht="20.100000000000001" customHeight="1">
      <c r="A83" s="430"/>
      <c r="B83" s="366"/>
      <c r="C83" s="360"/>
      <c r="D83" s="360"/>
      <c r="E83" s="31"/>
      <c r="F83" s="31"/>
      <c r="G83" s="212"/>
      <c r="H83" s="212"/>
      <c r="I83" s="31"/>
      <c r="J83" s="526"/>
      <c r="K83" s="526"/>
      <c r="L83" s="526"/>
      <c r="M83" s="528"/>
      <c r="N83" s="588"/>
      <c r="O83" s="589"/>
      <c r="P83" s="614"/>
      <c r="Q83" s="617"/>
    </row>
    <row r="84" spans="1:17" ht="20.100000000000001" customHeight="1">
      <c r="A84" s="430"/>
      <c r="B84" s="366" t="s">
        <v>463</v>
      </c>
      <c r="C84" s="219"/>
      <c r="D84" s="360"/>
      <c r="E84" s="31"/>
      <c r="F84" s="31"/>
      <c r="G84" s="212"/>
      <c r="H84" s="212"/>
      <c r="I84" s="31"/>
      <c r="J84" s="526"/>
      <c r="K84" s="526"/>
      <c r="L84" s="526"/>
      <c r="M84" s="528"/>
      <c r="N84" s="588"/>
      <c r="O84" s="589"/>
      <c r="P84" s="614"/>
      <c r="Q84" s="617"/>
    </row>
    <row r="85" spans="1:17" ht="20.100000000000001" customHeight="1">
      <c r="A85" s="430">
        <v>1</v>
      </c>
      <c r="B85" s="432" t="s">
        <v>169</v>
      </c>
      <c r="C85" s="357" t="s">
        <v>258</v>
      </c>
      <c r="D85" s="430" t="s">
        <v>75</v>
      </c>
      <c r="E85" s="26">
        <v>620675.58333333337</v>
      </c>
      <c r="F85" s="26"/>
      <c r="G85" s="212">
        <f>160000</f>
        <v>160000</v>
      </c>
      <c r="H85" s="212"/>
      <c r="I85" s="26">
        <v>100000</v>
      </c>
      <c r="J85" s="525">
        <f>E85+F85+G85+H85+I85</f>
        <v>880675.58333333337</v>
      </c>
      <c r="K85" s="525">
        <v>627553.50249999994</v>
      </c>
      <c r="L85" s="525">
        <f>J85-K85</f>
        <v>253122.08083333343</v>
      </c>
      <c r="M85" s="519">
        <v>138222.80170666668</v>
      </c>
      <c r="N85" s="601">
        <v>99156.939146666671</v>
      </c>
      <c r="O85" s="583">
        <f t="shared" ref="O85:O94" si="32">M85-N85</f>
        <v>39065.862560000009</v>
      </c>
      <c r="P85" s="612"/>
      <c r="Q85" s="619">
        <f>L85-O85</f>
        <v>214056.21827333342</v>
      </c>
    </row>
    <row r="86" spans="1:17" ht="20.100000000000001" customHeight="1">
      <c r="A86" s="430">
        <v>2</v>
      </c>
      <c r="B86" s="432" t="s">
        <v>192</v>
      </c>
      <c r="C86" s="357" t="s">
        <v>258</v>
      </c>
      <c r="D86" s="430" t="s">
        <v>75</v>
      </c>
      <c r="E86" s="26">
        <v>620675.58333333337</v>
      </c>
      <c r="F86" s="26"/>
      <c r="G86" s="212">
        <f>160000</f>
        <v>160000</v>
      </c>
      <c r="H86" s="212"/>
      <c r="I86" s="26"/>
      <c r="J86" s="525">
        <f t="shared" ref="J86:J94" si="33">E86+F86+G86+H86+I86</f>
        <v>780675.58333333337</v>
      </c>
      <c r="K86" s="525">
        <v>527553.50249999994</v>
      </c>
      <c r="L86" s="525">
        <f t="shared" ref="L86:L94" si="34">J86-K86</f>
        <v>253122.08083333343</v>
      </c>
      <c r="M86" s="519">
        <v>118861.96570666666</v>
      </c>
      <c r="N86" s="601">
        <v>79796.103146666646</v>
      </c>
      <c r="O86" s="583">
        <f t="shared" si="32"/>
        <v>39065.862560000009</v>
      </c>
      <c r="P86" s="612"/>
      <c r="Q86" s="619">
        <f t="shared" ref="Q86:Q94" si="35">L86-O86</f>
        <v>214056.21827333342</v>
      </c>
    </row>
    <row r="87" spans="1:17" ht="20.100000000000001" customHeight="1">
      <c r="A87" s="430">
        <v>3</v>
      </c>
      <c r="B87" s="432" t="s">
        <v>202</v>
      </c>
      <c r="C87" s="357" t="s">
        <v>258</v>
      </c>
      <c r="D87" s="430" t="s">
        <v>30</v>
      </c>
      <c r="E87" s="26">
        <v>582118.08333333337</v>
      </c>
      <c r="F87" s="26"/>
      <c r="G87" s="212">
        <v>160000</v>
      </c>
      <c r="H87" s="212"/>
      <c r="I87" s="26"/>
      <c r="J87" s="525">
        <f t="shared" si="33"/>
        <v>742118.08333333337</v>
      </c>
      <c r="K87" s="525">
        <v>504729.22200000007</v>
      </c>
      <c r="L87" s="525">
        <f t="shared" si="34"/>
        <v>237388.86133333331</v>
      </c>
      <c r="M87" s="519">
        <v>112212.00490666665</v>
      </c>
      <c r="N87" s="586">
        <v>75574.677290666688</v>
      </c>
      <c r="O87" s="583">
        <f t="shared" si="32"/>
        <v>36637.327615999966</v>
      </c>
      <c r="P87" s="612"/>
      <c r="Q87" s="619">
        <f t="shared" si="35"/>
        <v>200751.53371733334</v>
      </c>
    </row>
    <row r="88" spans="1:17" ht="21.6" customHeight="1">
      <c r="A88" s="430">
        <v>4</v>
      </c>
      <c r="B88" s="432" t="s">
        <v>101</v>
      </c>
      <c r="C88" s="357" t="s">
        <v>80</v>
      </c>
      <c r="D88" s="434" t="s">
        <v>175</v>
      </c>
      <c r="E88" s="26">
        <v>441804.91666666669</v>
      </c>
      <c r="F88" s="26"/>
      <c r="G88" s="212">
        <f>120000</f>
        <v>120000</v>
      </c>
      <c r="H88" s="212"/>
      <c r="I88" s="26">
        <v>0</v>
      </c>
      <c r="J88" s="525">
        <f t="shared" si="33"/>
        <v>561804.91666666674</v>
      </c>
      <c r="K88" s="525">
        <v>376663.07749999996</v>
      </c>
      <c r="L88" s="525">
        <f t="shared" si="34"/>
        <v>185141.83916666679</v>
      </c>
      <c r="M88" s="519">
        <v>79747.087146666672</v>
      </c>
      <c r="N88" s="601">
        <v>50985.977546666662</v>
      </c>
      <c r="O88" s="583">
        <f t="shared" si="32"/>
        <v>28761.109600000011</v>
      </c>
      <c r="P88" s="612"/>
      <c r="Q88" s="619">
        <f t="shared" si="35"/>
        <v>156380.72956666676</v>
      </c>
    </row>
    <row r="89" spans="1:17" ht="21.6" customHeight="1">
      <c r="A89" s="430">
        <v>5</v>
      </c>
      <c r="B89" s="432" t="s">
        <v>336</v>
      </c>
      <c r="C89" s="367" t="s">
        <v>257</v>
      </c>
      <c r="D89" s="434" t="s">
        <v>170</v>
      </c>
      <c r="E89" s="26">
        <v>428915.91666666669</v>
      </c>
      <c r="F89" s="26"/>
      <c r="G89" s="212">
        <f t="shared" ref="G89" si="36">120000</f>
        <v>120000</v>
      </c>
      <c r="H89" s="212"/>
      <c r="I89" s="26">
        <v>0</v>
      </c>
      <c r="J89" s="525">
        <f t="shared" si="33"/>
        <v>548915.91666666674</v>
      </c>
      <c r="K89" s="525">
        <v>369177.65375</v>
      </c>
      <c r="L89" s="525">
        <f t="shared" si="34"/>
        <v>179738.26291666675</v>
      </c>
      <c r="M89" s="519">
        <v>77470.374186666668</v>
      </c>
      <c r="N89" s="601">
        <v>49548.776186666662</v>
      </c>
      <c r="O89" s="583">
        <f t="shared" si="32"/>
        <v>27921.598000000005</v>
      </c>
      <c r="P89" s="612"/>
      <c r="Q89" s="619">
        <f t="shared" si="35"/>
        <v>151816.66491666675</v>
      </c>
    </row>
    <row r="90" spans="1:17" ht="21.6" customHeight="1">
      <c r="A90" s="430">
        <v>6</v>
      </c>
      <c r="B90" s="432" t="s">
        <v>337</v>
      </c>
      <c r="C90" s="367" t="s">
        <v>297</v>
      </c>
      <c r="D90" s="434" t="s">
        <v>95</v>
      </c>
      <c r="E90" s="26">
        <v>428870.75</v>
      </c>
      <c r="F90" s="26"/>
      <c r="G90" s="212">
        <f>140000</f>
        <v>140000</v>
      </c>
      <c r="H90" s="212"/>
      <c r="I90" s="26">
        <v>0</v>
      </c>
      <c r="J90" s="525">
        <f t="shared" si="33"/>
        <v>568870.75</v>
      </c>
      <c r="K90" s="525">
        <v>389153.05674999999</v>
      </c>
      <c r="L90" s="525">
        <f t="shared" si="34"/>
        <v>179717.69325000001</v>
      </c>
      <c r="M90" s="519">
        <v>81302.395946666657</v>
      </c>
      <c r="N90" s="601">
        <v>53384.053562666668</v>
      </c>
      <c r="O90" s="583">
        <f t="shared" si="32"/>
        <v>27918.342383999989</v>
      </c>
      <c r="P90" s="612"/>
      <c r="Q90" s="619">
        <f t="shared" si="35"/>
        <v>151799.35086600002</v>
      </c>
    </row>
    <row r="91" spans="1:17" ht="21.6" customHeight="1">
      <c r="A91" s="430">
        <v>7</v>
      </c>
      <c r="B91" s="432" t="s">
        <v>421</v>
      </c>
      <c r="C91" s="431" t="s">
        <v>422</v>
      </c>
      <c r="D91" s="434" t="s">
        <v>415</v>
      </c>
      <c r="E91" s="26">
        <v>365703.83333333331</v>
      </c>
      <c r="F91" s="26"/>
      <c r="G91" s="212">
        <f t="shared" ref="G91" si="37">110000</f>
        <v>110000</v>
      </c>
      <c r="H91" s="212"/>
      <c r="I91" s="26">
        <v>0</v>
      </c>
      <c r="J91" s="525">
        <f t="shared" si="33"/>
        <v>475703.83333333331</v>
      </c>
      <c r="K91" s="525">
        <v>322454.07400000002</v>
      </c>
      <c r="L91" s="525">
        <f t="shared" si="34"/>
        <v>153249.75933333329</v>
      </c>
      <c r="M91" s="519">
        <v>64384.591786666657</v>
      </c>
      <c r="N91" s="601">
        <v>41338.951098666665</v>
      </c>
      <c r="O91" s="583">
        <f t="shared" si="32"/>
        <v>23045.640687999992</v>
      </c>
      <c r="P91" s="612"/>
      <c r="Q91" s="619">
        <f t="shared" si="35"/>
        <v>130204.11864533331</v>
      </c>
    </row>
    <row r="92" spans="1:17" ht="21.6" customHeight="1">
      <c r="A92" s="430">
        <v>8</v>
      </c>
      <c r="B92" s="432" t="s">
        <v>556</v>
      </c>
      <c r="C92" s="431" t="s">
        <v>257</v>
      </c>
      <c r="D92" s="434" t="s">
        <v>758</v>
      </c>
      <c r="E92" s="26">
        <v>390248.91666666669</v>
      </c>
      <c r="F92" s="26"/>
      <c r="G92" s="212">
        <v>120000</v>
      </c>
      <c r="H92" s="212"/>
      <c r="I92" s="26">
        <v>0</v>
      </c>
      <c r="J92" s="525">
        <f t="shared" si="33"/>
        <v>510248.91666666669</v>
      </c>
      <c r="K92" s="525">
        <v>346713.03325000004</v>
      </c>
      <c r="L92" s="525">
        <f t="shared" si="34"/>
        <v>163535.88341666665</v>
      </c>
      <c r="M92" s="519">
        <v>70529.475354666662</v>
      </c>
      <c r="N92" s="601">
        <v>45317.541294666669</v>
      </c>
      <c r="O92" s="583">
        <f t="shared" si="32"/>
        <v>25211.934059999992</v>
      </c>
      <c r="P92" s="612"/>
      <c r="Q92" s="619">
        <f t="shared" si="35"/>
        <v>138323.94935666665</v>
      </c>
    </row>
    <row r="93" spans="1:17" ht="21.6" customHeight="1">
      <c r="A93" s="430">
        <v>9</v>
      </c>
      <c r="B93" s="432" t="s">
        <v>436</v>
      </c>
      <c r="C93" s="357" t="s">
        <v>470</v>
      </c>
      <c r="D93" s="430" t="s">
        <v>207</v>
      </c>
      <c r="E93" s="212">
        <v>300965.58333333331</v>
      </c>
      <c r="F93" s="26"/>
      <c r="G93" s="212">
        <v>100000</v>
      </c>
      <c r="H93" s="212"/>
      <c r="I93" s="26"/>
      <c r="J93" s="525">
        <f t="shared" si="33"/>
        <v>400965.58333333331</v>
      </c>
      <c r="K93" s="525">
        <v>277734.04699999996</v>
      </c>
      <c r="L93" s="525">
        <f t="shared" si="34"/>
        <v>123231.53633333335</v>
      </c>
      <c r="M93" s="519">
        <v>51029.227306666668</v>
      </c>
      <c r="N93" s="601">
        <v>33825.986562666658</v>
      </c>
      <c r="O93" s="583">
        <f t="shared" si="32"/>
        <v>17203.24074400001</v>
      </c>
      <c r="P93" s="612"/>
      <c r="Q93" s="619">
        <f t="shared" si="35"/>
        <v>106028.29558933334</v>
      </c>
    </row>
    <row r="94" spans="1:17" ht="21.6" customHeight="1">
      <c r="A94" s="430">
        <v>10</v>
      </c>
      <c r="B94" s="432" t="s">
        <v>406</v>
      </c>
      <c r="C94" s="431" t="s">
        <v>432</v>
      </c>
      <c r="D94" s="434" t="s">
        <v>51</v>
      </c>
      <c r="E94" s="212">
        <v>230631.91666666666</v>
      </c>
      <c r="F94" s="26"/>
      <c r="G94" s="212">
        <f t="shared" ref="G94" si="38">100000</f>
        <v>100000</v>
      </c>
      <c r="H94" s="212"/>
      <c r="I94" s="26"/>
      <c r="J94" s="525">
        <f t="shared" si="33"/>
        <v>330631.91666666663</v>
      </c>
      <c r="K94" s="525">
        <v>254870.26344499999</v>
      </c>
      <c r="L94" s="525">
        <f t="shared" si="34"/>
        <v>75761.653221666638</v>
      </c>
      <c r="M94" s="519">
        <v>39613.135706666661</v>
      </c>
      <c r="N94" s="601">
        <v>29984.870925426669</v>
      </c>
      <c r="O94" s="583">
        <f t="shared" si="32"/>
        <v>9628.2647812399919</v>
      </c>
      <c r="P94" s="612"/>
      <c r="Q94" s="596">
        <f t="shared" si="35"/>
        <v>66133.388440426643</v>
      </c>
    </row>
    <row r="95" spans="1:17" ht="20.100000000000001" customHeight="1">
      <c r="A95" s="430"/>
      <c r="B95" s="366" t="s">
        <v>15</v>
      </c>
      <c r="C95" s="360">
        <v>11</v>
      </c>
      <c r="D95" s="360"/>
      <c r="E95" s="78">
        <f>SUM(E85:E94)</f>
        <v>4410611.083333333</v>
      </c>
      <c r="F95" s="78">
        <f t="shared" ref="F95:O95" si="39">SUM(F85:F94)</f>
        <v>0</v>
      </c>
      <c r="G95" s="78">
        <f t="shared" si="39"/>
        <v>1290000</v>
      </c>
      <c r="H95" s="78">
        <f t="shared" si="39"/>
        <v>0</v>
      </c>
      <c r="I95" s="78">
        <f t="shared" si="39"/>
        <v>100000</v>
      </c>
      <c r="J95" s="78">
        <f t="shared" si="39"/>
        <v>5800611.083333334</v>
      </c>
      <c r="K95" s="78">
        <v>3996601.4326949995</v>
      </c>
      <c r="L95" s="78">
        <f t="shared" si="39"/>
        <v>1804009.6506383333</v>
      </c>
      <c r="M95" s="78">
        <f t="shared" si="39"/>
        <v>833373.05975466652</v>
      </c>
      <c r="N95" s="587">
        <v>558913.87676142668</v>
      </c>
      <c r="O95" s="587">
        <f t="shared" si="39"/>
        <v>274459.18299323996</v>
      </c>
      <c r="P95" s="608"/>
      <c r="Q95" s="598">
        <f>SUM(Q85:Q94)</f>
        <v>1529550.4676450936</v>
      </c>
    </row>
    <row r="96" spans="1:17" ht="20.100000000000001" customHeight="1">
      <c r="A96" s="430"/>
      <c r="B96" s="362"/>
      <c r="C96" s="360"/>
      <c r="D96" s="360"/>
      <c r="E96" s="31"/>
      <c r="F96" s="31"/>
      <c r="G96" s="212"/>
      <c r="H96" s="212"/>
      <c r="I96" s="31"/>
      <c r="J96" s="526"/>
      <c r="K96" s="526"/>
      <c r="L96" s="526"/>
      <c r="M96" s="527"/>
      <c r="N96" s="588"/>
      <c r="O96" s="588"/>
      <c r="P96" s="610"/>
      <c r="Q96" s="622"/>
    </row>
    <row r="97" spans="1:17" ht="20.100000000000001" customHeight="1">
      <c r="A97" s="430"/>
      <c r="B97" s="366" t="s">
        <v>464</v>
      </c>
      <c r="C97" s="360"/>
      <c r="D97" s="360"/>
      <c r="E97" s="31"/>
      <c r="F97" s="31"/>
      <c r="G97" s="212"/>
      <c r="H97" s="212"/>
      <c r="I97" s="31"/>
      <c r="J97" s="526"/>
      <c r="K97" s="526"/>
      <c r="L97" s="526"/>
      <c r="M97" s="527"/>
      <c r="N97" s="588"/>
      <c r="O97" s="588"/>
      <c r="P97" s="610"/>
      <c r="Q97" s="622"/>
    </row>
    <row r="98" spans="1:17" ht="20.100000000000001" customHeight="1">
      <c r="A98" s="430">
        <v>1</v>
      </c>
      <c r="B98" s="365" t="s">
        <v>112</v>
      </c>
      <c r="C98" s="357" t="s">
        <v>740</v>
      </c>
      <c r="D98" s="25" t="s">
        <v>160</v>
      </c>
      <c r="E98" s="24">
        <v>762373.16666666663</v>
      </c>
      <c r="F98" s="26"/>
      <c r="G98" s="212"/>
      <c r="H98" s="212">
        <f>80000+10000</f>
        <v>90000</v>
      </c>
      <c r="I98" s="26"/>
      <c r="J98" s="525">
        <f>E98+F98+G98+H98+I98</f>
        <v>852373.16666666663</v>
      </c>
      <c r="K98" s="525">
        <v>541465.02474999998</v>
      </c>
      <c r="L98" s="525">
        <f>J98-K98</f>
        <v>310908.14191666665</v>
      </c>
      <c r="M98" s="519">
        <v>130407.52761066666</v>
      </c>
      <c r="N98" s="586">
        <v>82423.216202666677</v>
      </c>
      <c r="O98" s="583">
        <f>M98-N98</f>
        <v>47984.31140799998</v>
      </c>
      <c r="P98" s="612"/>
      <c r="Q98" s="619">
        <f>L98-O98</f>
        <v>262923.8305086667</v>
      </c>
    </row>
    <row r="99" spans="1:17" ht="20.100000000000001" customHeight="1">
      <c r="A99" s="430">
        <v>2</v>
      </c>
      <c r="B99" s="432" t="s">
        <v>124</v>
      </c>
      <c r="C99" s="357" t="s">
        <v>373</v>
      </c>
      <c r="D99" s="434" t="s">
        <v>162</v>
      </c>
      <c r="E99" s="26">
        <v>456622.25</v>
      </c>
      <c r="F99" s="26"/>
      <c r="G99" s="212"/>
      <c r="H99" s="212">
        <v>70000</v>
      </c>
      <c r="I99" s="26">
        <v>0</v>
      </c>
      <c r="J99" s="525">
        <f t="shared" ref="J99:J101" si="40">E99+F99+G99+H99+I99</f>
        <v>526622.25</v>
      </c>
      <c r="K99" s="525">
        <v>335272.06374999997</v>
      </c>
      <c r="L99" s="525">
        <f t="shared" ref="L99:L101" si="41">J99-K99</f>
        <v>191350.18625000003</v>
      </c>
      <c r="M99" s="519">
        <v>72764.420906666652</v>
      </c>
      <c r="N99" s="601">
        <v>43492.373376666663</v>
      </c>
      <c r="O99" s="583">
        <f>M99-N99</f>
        <v>29272.047529999989</v>
      </c>
      <c r="P99" s="612"/>
      <c r="Q99" s="619">
        <f t="shared" ref="Q99:Q101" si="42">L99-O99</f>
        <v>162078.13872000005</v>
      </c>
    </row>
    <row r="100" spans="1:17" ht="20.100000000000001" customHeight="1">
      <c r="A100" s="430">
        <v>3</v>
      </c>
      <c r="B100" s="432" t="s">
        <v>237</v>
      </c>
      <c r="C100" s="357" t="s">
        <v>483</v>
      </c>
      <c r="D100" s="434" t="s">
        <v>497</v>
      </c>
      <c r="E100" s="26">
        <v>377895.16666666669</v>
      </c>
      <c r="F100" s="26"/>
      <c r="G100" s="212"/>
      <c r="H100" s="212">
        <f>60000</f>
        <v>60000</v>
      </c>
      <c r="I100" s="26"/>
      <c r="J100" s="525">
        <f t="shared" si="40"/>
        <v>437895.16666666669</v>
      </c>
      <c r="K100" s="525">
        <v>284536.99849999999</v>
      </c>
      <c r="L100" s="525">
        <f t="shared" si="41"/>
        <v>153358.1681666667</v>
      </c>
      <c r="M100" s="519">
        <v>56938.068906666675</v>
      </c>
      <c r="N100" s="601">
        <v>34968.882414666667</v>
      </c>
      <c r="O100" s="583">
        <f>M100-N100</f>
        <v>21969.186492000008</v>
      </c>
      <c r="P100" s="612"/>
      <c r="Q100" s="619">
        <f t="shared" si="42"/>
        <v>131388.98167466669</v>
      </c>
    </row>
    <row r="101" spans="1:17" ht="20.100000000000001" customHeight="1">
      <c r="A101" s="430">
        <v>4</v>
      </c>
      <c r="B101" s="432" t="s">
        <v>345</v>
      </c>
      <c r="C101" s="357" t="s">
        <v>709</v>
      </c>
      <c r="D101" s="434" t="s">
        <v>207</v>
      </c>
      <c r="E101" s="212">
        <v>300965.58333333331</v>
      </c>
      <c r="F101" s="26"/>
      <c r="G101" s="212"/>
      <c r="H101" s="212">
        <f>60000</f>
        <v>60000</v>
      </c>
      <c r="I101" s="26"/>
      <c r="J101" s="525">
        <f t="shared" si="40"/>
        <v>360965.58333333331</v>
      </c>
      <c r="K101" s="525">
        <v>237734.04699999996</v>
      </c>
      <c r="L101" s="525">
        <f t="shared" si="41"/>
        <v>123231.53633333335</v>
      </c>
      <c r="M101" s="519">
        <v>43763.90722666667</v>
      </c>
      <c r="N101" s="601">
        <v>27105.986562666658</v>
      </c>
      <c r="O101" s="583">
        <f>M101-N101</f>
        <v>16657.920664000012</v>
      </c>
      <c r="P101" s="612"/>
      <c r="Q101" s="619">
        <f t="shared" si="42"/>
        <v>106573.61566933335</v>
      </c>
    </row>
    <row r="102" spans="1:17" ht="20.100000000000001" customHeight="1">
      <c r="A102" s="357"/>
      <c r="B102" s="366" t="s">
        <v>15</v>
      </c>
      <c r="C102" s="360">
        <v>4</v>
      </c>
      <c r="D102" s="220"/>
      <c r="E102" s="78">
        <f>SUM(E98:E101)</f>
        <v>1897856.1666666665</v>
      </c>
      <c r="F102" s="78">
        <f t="shared" ref="F102:O102" si="43">SUM(F98:F101)</f>
        <v>0</v>
      </c>
      <c r="G102" s="78">
        <f t="shared" si="43"/>
        <v>0</v>
      </c>
      <c r="H102" s="78">
        <f t="shared" si="43"/>
        <v>280000</v>
      </c>
      <c r="I102" s="78">
        <f t="shared" si="43"/>
        <v>0</v>
      </c>
      <c r="J102" s="78">
        <f t="shared" si="43"/>
        <v>2177856.1666666665</v>
      </c>
      <c r="K102" s="78">
        <v>1399008.1339999998</v>
      </c>
      <c r="L102" s="78">
        <f t="shared" si="43"/>
        <v>778848.03266666678</v>
      </c>
      <c r="M102" s="78">
        <f t="shared" si="43"/>
        <v>303873.92465066665</v>
      </c>
      <c r="N102" s="587">
        <v>187990.45855666668</v>
      </c>
      <c r="O102" s="587">
        <f t="shared" si="43"/>
        <v>115883.46609399997</v>
      </c>
      <c r="P102" s="608"/>
      <c r="Q102" s="598">
        <f>SUM(Q98:Q101)</f>
        <v>662964.56657266687</v>
      </c>
    </row>
    <row r="103" spans="1:17" ht="20.100000000000001" customHeight="1">
      <c r="A103" s="357"/>
      <c r="B103" s="362"/>
      <c r="C103" s="360"/>
      <c r="D103" s="220"/>
      <c r="E103" s="31"/>
      <c r="F103" s="31"/>
      <c r="G103" s="212"/>
      <c r="H103" s="212"/>
      <c r="I103" s="31"/>
      <c r="J103" s="526"/>
      <c r="K103" s="526"/>
      <c r="L103" s="526"/>
      <c r="M103" s="527"/>
      <c r="N103" s="588"/>
      <c r="O103" s="588"/>
      <c r="P103" s="610"/>
      <c r="Q103" s="622"/>
    </row>
    <row r="104" spans="1:17" ht="20.100000000000001" customHeight="1">
      <c r="A104" s="357"/>
      <c r="B104" s="366" t="s">
        <v>465</v>
      </c>
      <c r="C104" s="357"/>
      <c r="D104" s="357"/>
      <c r="E104" s="357"/>
      <c r="F104" s="357"/>
      <c r="G104" s="212"/>
      <c r="H104" s="212"/>
      <c r="I104" s="357"/>
      <c r="J104" s="530"/>
      <c r="K104" s="530"/>
      <c r="L104" s="530"/>
      <c r="M104" s="531"/>
      <c r="N104" s="590"/>
      <c r="O104" s="590"/>
      <c r="P104" s="615"/>
      <c r="Q104" s="623"/>
    </row>
    <row r="105" spans="1:17" ht="20.100000000000001" customHeight="1">
      <c r="A105" s="357">
        <v>1</v>
      </c>
      <c r="B105" s="432" t="s">
        <v>216</v>
      </c>
      <c r="C105" s="367" t="s">
        <v>217</v>
      </c>
      <c r="D105" s="434" t="s">
        <v>161</v>
      </c>
      <c r="E105" s="26">
        <v>1435720</v>
      </c>
      <c r="F105" s="26"/>
      <c r="G105" s="212">
        <f>200000</f>
        <v>200000</v>
      </c>
      <c r="H105" s="212"/>
      <c r="I105" s="26">
        <v>0</v>
      </c>
      <c r="J105" s="525">
        <f>E105+F105+G105+H105+I105</f>
        <v>1635720</v>
      </c>
      <c r="K105" s="525">
        <v>1050209.0635000002</v>
      </c>
      <c r="L105" s="525">
        <f>J105-K105</f>
        <v>585510.93649999984</v>
      </c>
      <c r="M105" s="519">
        <v>270672.24746666662</v>
      </c>
      <c r="N105" s="601">
        <v>180306.80685866671</v>
      </c>
      <c r="O105" s="583">
        <f t="shared" ref="O105:O111" si="44">M105-N105</f>
        <v>90365.440607999917</v>
      </c>
      <c r="P105" s="612"/>
      <c r="Q105" s="619">
        <f>L105-O105</f>
        <v>495145.49589199992</v>
      </c>
    </row>
    <row r="106" spans="1:17" ht="20.100000000000001" customHeight="1">
      <c r="A106" s="357">
        <v>2</v>
      </c>
      <c r="B106" s="432" t="s">
        <v>110</v>
      </c>
      <c r="C106" s="357" t="s">
        <v>259</v>
      </c>
      <c r="D106" s="25" t="s">
        <v>160</v>
      </c>
      <c r="E106" s="24">
        <v>762373.16666666663</v>
      </c>
      <c r="F106" s="26"/>
      <c r="G106" s="212">
        <f>160000+20000</f>
        <v>180000</v>
      </c>
      <c r="H106" s="212"/>
      <c r="I106" s="26">
        <v>0</v>
      </c>
      <c r="J106" s="525">
        <f t="shared" ref="J106:J111" si="45">E106+F106+G106+H106+I106</f>
        <v>942373.16666666663</v>
      </c>
      <c r="K106" s="525">
        <v>631465.0247500001</v>
      </c>
      <c r="L106" s="525">
        <f t="shared" ref="L106:L111" si="46">J106-K106</f>
        <v>310908.14191666653</v>
      </c>
      <c r="M106" s="519">
        <v>147687.52761066667</v>
      </c>
      <c r="N106" s="601">
        <v>99703.216202666677</v>
      </c>
      <c r="O106" s="583">
        <f t="shared" si="44"/>
        <v>47984.311407999994</v>
      </c>
      <c r="P106" s="612"/>
      <c r="Q106" s="619">
        <f t="shared" ref="Q106:Q111" si="47">L106-O106</f>
        <v>262923.83050866652</v>
      </c>
    </row>
    <row r="107" spans="1:17" ht="20.100000000000001" customHeight="1">
      <c r="A107" s="357">
        <v>3</v>
      </c>
      <c r="B107" s="432" t="s">
        <v>109</v>
      </c>
      <c r="C107" s="357" t="s">
        <v>311</v>
      </c>
      <c r="D107" s="430" t="s">
        <v>175</v>
      </c>
      <c r="E107" s="26">
        <v>441804.91666666669</v>
      </c>
      <c r="F107" s="26"/>
      <c r="G107" s="212">
        <f>120000</f>
        <v>120000</v>
      </c>
      <c r="H107" s="212"/>
      <c r="I107" s="26">
        <v>41432.938524999998</v>
      </c>
      <c r="J107" s="525">
        <f t="shared" si="45"/>
        <v>603237.85519166675</v>
      </c>
      <c r="K107" s="525">
        <v>418096.01602499996</v>
      </c>
      <c r="L107" s="525">
        <f t="shared" si="46"/>
        <v>185141.83916666679</v>
      </c>
      <c r="M107" s="519">
        <v>87575.78270346667</v>
      </c>
      <c r="N107" s="586">
        <v>58814.673103466652</v>
      </c>
      <c r="O107" s="583">
        <f t="shared" si="44"/>
        <v>28761.109600000018</v>
      </c>
      <c r="P107" s="612"/>
      <c r="Q107" s="619">
        <f t="shared" si="47"/>
        <v>156380.72956666676</v>
      </c>
    </row>
    <row r="108" spans="1:17" ht="20.100000000000001" customHeight="1">
      <c r="A108" s="357">
        <v>4</v>
      </c>
      <c r="B108" s="432" t="s">
        <v>135</v>
      </c>
      <c r="C108" s="357" t="s">
        <v>311</v>
      </c>
      <c r="D108" s="430" t="s">
        <v>175</v>
      </c>
      <c r="E108" s="26">
        <v>441804.91666666669</v>
      </c>
      <c r="F108" s="26"/>
      <c r="G108" s="212">
        <f>120000</f>
        <v>120000</v>
      </c>
      <c r="H108" s="212"/>
      <c r="I108" s="26">
        <v>39820.116654999998</v>
      </c>
      <c r="J108" s="525">
        <f t="shared" si="45"/>
        <v>601625.03332166676</v>
      </c>
      <c r="K108" s="525">
        <v>416483.19415499998</v>
      </c>
      <c r="L108" s="525">
        <f t="shared" si="46"/>
        <v>185141.83916666679</v>
      </c>
      <c r="M108" s="519">
        <v>87392.549544426671</v>
      </c>
      <c r="N108" s="586">
        <v>58631.439944426667</v>
      </c>
      <c r="O108" s="583">
        <f t="shared" si="44"/>
        <v>28761.109600000003</v>
      </c>
      <c r="P108" s="612"/>
      <c r="Q108" s="619">
        <f t="shared" si="47"/>
        <v>156380.72956666679</v>
      </c>
    </row>
    <row r="109" spans="1:17" ht="20.100000000000001" customHeight="1">
      <c r="A109" s="357">
        <v>5</v>
      </c>
      <c r="B109" s="432" t="s">
        <v>240</v>
      </c>
      <c r="C109" s="357" t="s">
        <v>338</v>
      </c>
      <c r="D109" s="434" t="s">
        <v>748</v>
      </c>
      <c r="E109" s="212">
        <v>249148.41666666666</v>
      </c>
      <c r="F109" s="26"/>
      <c r="G109" s="212">
        <f>100000</f>
        <v>100000</v>
      </c>
      <c r="H109" s="212"/>
      <c r="I109" s="26">
        <v>25333.447479999999</v>
      </c>
      <c r="J109" s="525">
        <f t="shared" si="45"/>
        <v>374481.8641466666</v>
      </c>
      <c r="K109" s="525">
        <v>266099.21747999999</v>
      </c>
      <c r="L109" s="525">
        <f t="shared" si="46"/>
        <v>108382.64666666661</v>
      </c>
      <c r="M109" s="519">
        <v>46740.264902826661</v>
      </c>
      <c r="N109" s="601">
        <v>31871.335203306662</v>
      </c>
      <c r="O109" s="583">
        <f t="shared" si="44"/>
        <v>14868.929699519998</v>
      </c>
      <c r="P109" s="612"/>
      <c r="Q109" s="619">
        <f t="shared" si="47"/>
        <v>93513.716967146611</v>
      </c>
    </row>
    <row r="110" spans="1:17" ht="20.100000000000001" customHeight="1">
      <c r="A110" s="357">
        <v>6</v>
      </c>
      <c r="B110" s="364" t="s">
        <v>341</v>
      </c>
      <c r="C110" s="357" t="s">
        <v>338</v>
      </c>
      <c r="D110" s="430" t="s">
        <v>499</v>
      </c>
      <c r="E110" s="212">
        <v>242976.25</v>
      </c>
      <c r="F110" s="26"/>
      <c r="G110" s="212">
        <f>100000</f>
        <v>100000</v>
      </c>
      <c r="H110" s="212"/>
      <c r="I110" s="26">
        <v>24949.771000000001</v>
      </c>
      <c r="J110" s="525">
        <f t="shared" si="45"/>
        <v>367926.02100000001</v>
      </c>
      <c r="K110" s="525">
        <v>262229.04099999997</v>
      </c>
      <c r="L110" s="525">
        <f t="shared" si="46"/>
        <v>105696.98000000004</v>
      </c>
      <c r="M110" s="519">
        <v>45712.637394666672</v>
      </c>
      <c r="N110" s="601">
        <v>31221.145554666658</v>
      </c>
      <c r="O110" s="583">
        <f t="shared" si="44"/>
        <v>14491.491840000013</v>
      </c>
      <c r="P110" s="612"/>
      <c r="Q110" s="619">
        <f t="shared" si="47"/>
        <v>91205.488160000023</v>
      </c>
    </row>
    <row r="111" spans="1:17" ht="20.100000000000001" customHeight="1">
      <c r="A111" s="357">
        <v>7</v>
      </c>
      <c r="B111" s="364" t="s">
        <v>374</v>
      </c>
      <c r="C111" s="357" t="s">
        <v>338</v>
      </c>
      <c r="D111" s="434" t="s">
        <v>51</v>
      </c>
      <c r="E111" s="212">
        <v>230631.91666666666</v>
      </c>
      <c r="F111" s="26"/>
      <c r="G111" s="212">
        <f t="shared" ref="G111" si="48">100000</f>
        <v>100000</v>
      </c>
      <c r="H111" s="212"/>
      <c r="I111" s="26">
        <v>24566.195445000001</v>
      </c>
      <c r="J111" s="525">
        <f t="shared" si="45"/>
        <v>355198.11211166665</v>
      </c>
      <c r="K111" s="525">
        <v>254870.26344499999</v>
      </c>
      <c r="L111" s="525">
        <f t="shared" si="46"/>
        <v>100327.84866666666</v>
      </c>
      <c r="M111" s="519">
        <v>43740.256541426665</v>
      </c>
      <c r="N111" s="601">
        <v>29984.870925426669</v>
      </c>
      <c r="O111" s="583">
        <f t="shared" si="44"/>
        <v>13755.385615999996</v>
      </c>
      <c r="P111" s="612"/>
      <c r="Q111" s="619">
        <f t="shared" si="47"/>
        <v>86572.463050666658</v>
      </c>
    </row>
    <row r="112" spans="1:17" ht="25.5" customHeight="1">
      <c r="A112" s="357"/>
      <c r="B112" s="366" t="s">
        <v>15</v>
      </c>
      <c r="C112" s="360">
        <v>7</v>
      </c>
      <c r="D112" s="357"/>
      <c r="E112" s="221">
        <f>SUM(E105:E111)</f>
        <v>3804459.5833333326</v>
      </c>
      <c r="F112" s="221">
        <f t="shared" ref="F112:O112" si="49">SUM(F105:F111)</f>
        <v>0</v>
      </c>
      <c r="G112" s="221">
        <f t="shared" si="49"/>
        <v>920000</v>
      </c>
      <c r="H112" s="221">
        <f t="shared" si="49"/>
        <v>0</v>
      </c>
      <c r="I112" s="221">
        <f t="shared" si="49"/>
        <v>156102.469105</v>
      </c>
      <c r="J112" s="221">
        <f t="shared" si="49"/>
        <v>4880562.0524383327</v>
      </c>
      <c r="K112" s="221">
        <v>3299451.8203550009</v>
      </c>
      <c r="L112" s="221">
        <f t="shared" si="49"/>
        <v>1581110.2320833332</v>
      </c>
      <c r="M112" s="221">
        <f t="shared" si="49"/>
        <v>729521.2661641466</v>
      </c>
      <c r="N112" s="591">
        <v>490533.48779262666</v>
      </c>
      <c r="O112" s="591">
        <f t="shared" si="49"/>
        <v>238987.77837151993</v>
      </c>
      <c r="P112" s="609"/>
      <c r="Q112" s="599">
        <f>SUM(Q105:Q111)</f>
        <v>1342122.4537118133</v>
      </c>
    </row>
    <row r="113" spans="1:17" ht="20.100000000000001" customHeight="1">
      <c r="A113" s="357"/>
      <c r="B113" s="366"/>
      <c r="C113" s="360"/>
      <c r="D113" s="357"/>
      <c r="E113" s="221"/>
      <c r="F113" s="221"/>
      <c r="G113" s="217"/>
      <c r="H113" s="217"/>
      <c r="I113" s="221"/>
      <c r="J113" s="532"/>
      <c r="K113" s="532"/>
      <c r="L113" s="532"/>
      <c r="M113" s="533"/>
      <c r="N113" s="592"/>
      <c r="O113" s="592"/>
      <c r="P113" s="609"/>
      <c r="Q113" s="621"/>
    </row>
    <row r="114" spans="1:17" ht="20.100000000000001" customHeight="1">
      <c r="A114" s="430"/>
      <c r="B114" s="366" t="s">
        <v>542</v>
      </c>
      <c r="C114" s="360"/>
      <c r="D114" s="360"/>
      <c r="E114" s="31"/>
      <c r="F114" s="31"/>
      <c r="G114" s="212"/>
      <c r="H114" s="212"/>
      <c r="I114" s="31"/>
      <c r="J114" s="526"/>
      <c r="K114" s="526"/>
      <c r="L114" s="526"/>
      <c r="M114" s="527"/>
      <c r="N114" s="588"/>
      <c r="O114" s="588"/>
      <c r="P114" s="610"/>
      <c r="Q114" s="622"/>
    </row>
    <row r="115" spans="1:17" ht="20.100000000000001" customHeight="1">
      <c r="A115" s="430">
        <v>1</v>
      </c>
      <c r="B115" s="365" t="s">
        <v>138</v>
      </c>
      <c r="C115" s="357" t="s">
        <v>258</v>
      </c>
      <c r="D115" s="430" t="s">
        <v>148</v>
      </c>
      <c r="E115" s="24">
        <v>601396.83333333337</v>
      </c>
      <c r="F115" s="26"/>
      <c r="G115" s="212">
        <v>160000</v>
      </c>
      <c r="H115" s="212"/>
      <c r="I115" s="26">
        <v>0</v>
      </c>
      <c r="J115" s="525">
        <f>E115+F115+G115+H115+I115</f>
        <v>761396.83333333337</v>
      </c>
      <c r="K115" s="525">
        <v>516137.05000000005</v>
      </c>
      <c r="L115" s="525">
        <f>J115-K115</f>
        <v>245259.78333333333</v>
      </c>
      <c r="M115" s="519">
        <v>115462.53994666669</v>
      </c>
      <c r="N115" s="586">
        <v>77610.116906666663</v>
      </c>
      <c r="O115" s="583">
        <f>M115-N115</f>
        <v>37852.423040000023</v>
      </c>
      <c r="P115" s="612"/>
      <c r="Q115" s="619">
        <f>L115-O115</f>
        <v>207407.3602933333</v>
      </c>
    </row>
    <row r="116" spans="1:17" ht="18.75" customHeight="1">
      <c r="A116" s="430">
        <v>2</v>
      </c>
      <c r="B116" s="432" t="s">
        <v>247</v>
      </c>
      <c r="C116" s="357" t="s">
        <v>477</v>
      </c>
      <c r="D116" s="434" t="s">
        <v>497</v>
      </c>
      <c r="E116" s="26">
        <v>377895.16666666669</v>
      </c>
      <c r="F116" s="26"/>
      <c r="G116" s="212">
        <v>110000</v>
      </c>
      <c r="H116" s="212">
        <v>0</v>
      </c>
      <c r="I116" s="26"/>
      <c r="J116" s="525">
        <f t="shared" ref="J116:J117" si="50">E116+F116+G116+H116+I116</f>
        <v>487895.16666666669</v>
      </c>
      <c r="K116" s="525">
        <v>334536.99850000005</v>
      </c>
      <c r="L116" s="525">
        <f t="shared" ref="L116:L117" si="51">J116-K116</f>
        <v>153358.16816666664</v>
      </c>
      <c r="M116" s="519">
        <v>66538.068906666667</v>
      </c>
      <c r="N116" s="601">
        <v>43368.882414666674</v>
      </c>
      <c r="O116" s="583">
        <f>M116-N116</f>
        <v>23169.186491999993</v>
      </c>
      <c r="P116" s="612"/>
      <c r="Q116" s="619">
        <f t="shared" ref="Q116:Q117" si="52">L116-O116</f>
        <v>130188.98167466665</v>
      </c>
    </row>
    <row r="117" spans="1:17" ht="20.100000000000001" customHeight="1">
      <c r="A117" s="430">
        <v>3</v>
      </c>
      <c r="B117" s="432" t="s">
        <v>141</v>
      </c>
      <c r="C117" s="367" t="s">
        <v>391</v>
      </c>
      <c r="D117" s="434" t="s">
        <v>749</v>
      </c>
      <c r="E117" s="26">
        <v>390086.5</v>
      </c>
      <c r="F117" s="26"/>
      <c r="G117" s="212"/>
      <c r="H117" s="212">
        <f>60000</f>
        <v>60000</v>
      </c>
      <c r="I117" s="26"/>
      <c r="J117" s="525">
        <f t="shared" si="50"/>
        <v>450086.5</v>
      </c>
      <c r="K117" s="525">
        <v>286619.99874999991</v>
      </c>
      <c r="L117" s="525">
        <f t="shared" si="51"/>
        <v>163466.50125000009</v>
      </c>
      <c r="M117" s="519">
        <v>58980.834746666667</v>
      </c>
      <c r="N117" s="601">
        <v>35221.954086666658</v>
      </c>
      <c r="O117" s="583">
        <f>M117-N117</f>
        <v>23758.88066000001</v>
      </c>
      <c r="P117" s="612"/>
      <c r="Q117" s="619">
        <f t="shared" si="52"/>
        <v>139707.62059000006</v>
      </c>
    </row>
    <row r="118" spans="1:17" ht="24.75" customHeight="1">
      <c r="A118" s="357"/>
      <c r="B118" s="366" t="s">
        <v>15</v>
      </c>
      <c r="C118" s="360">
        <v>2</v>
      </c>
      <c r="D118" s="220"/>
      <c r="E118" s="78">
        <f>SUM(E115:E117)</f>
        <v>1369378.5</v>
      </c>
      <c r="F118" s="78">
        <f t="shared" ref="F118:O118" si="53">SUM(F115:F117)</f>
        <v>0</v>
      </c>
      <c r="G118" s="78">
        <f t="shared" si="53"/>
        <v>270000</v>
      </c>
      <c r="H118" s="78">
        <f t="shared" si="53"/>
        <v>60000</v>
      </c>
      <c r="I118" s="78">
        <f t="shared" si="53"/>
        <v>0</v>
      </c>
      <c r="J118" s="78">
        <f t="shared" si="53"/>
        <v>1699378.5</v>
      </c>
      <c r="K118" s="78">
        <v>1137294.0472499998</v>
      </c>
      <c r="L118" s="78">
        <f t="shared" si="53"/>
        <v>562084.45275000005</v>
      </c>
      <c r="M118" s="78">
        <f t="shared" si="53"/>
        <v>240981.4436</v>
      </c>
      <c r="N118" s="587">
        <v>156200.953408</v>
      </c>
      <c r="O118" s="587">
        <f t="shared" si="53"/>
        <v>84780.490192000027</v>
      </c>
      <c r="P118" s="608"/>
      <c r="Q118" s="598">
        <f>SUM(Q115:Q117)</f>
        <v>477303.962558</v>
      </c>
    </row>
    <row r="119" spans="1:17" ht="20.100000000000001" customHeight="1">
      <c r="A119" s="357"/>
      <c r="B119" s="362"/>
      <c r="C119" s="430"/>
      <c r="D119" s="357"/>
      <c r="E119" s="222"/>
      <c r="F119" s="209"/>
      <c r="G119" s="212"/>
      <c r="H119" s="212"/>
      <c r="I119" s="222"/>
      <c r="J119" s="534"/>
      <c r="K119" s="534"/>
      <c r="L119" s="534"/>
      <c r="M119" s="535"/>
      <c r="N119" s="593"/>
      <c r="O119" s="593"/>
      <c r="P119" s="616"/>
      <c r="Q119" s="620"/>
    </row>
    <row r="120" spans="1:17" ht="20.100000000000001" customHeight="1">
      <c r="A120" s="357"/>
      <c r="B120" s="366" t="s">
        <v>466</v>
      </c>
      <c r="C120" s="360"/>
      <c r="D120" s="360"/>
      <c r="E120" s="31"/>
      <c r="F120" s="31"/>
      <c r="G120" s="212"/>
      <c r="H120" s="212"/>
      <c r="I120" s="31"/>
      <c r="J120" s="526"/>
      <c r="K120" s="526"/>
      <c r="L120" s="526"/>
      <c r="M120" s="528"/>
      <c r="N120" s="588"/>
      <c r="O120" s="589"/>
      <c r="P120" s="614"/>
      <c r="Q120" s="617"/>
    </row>
    <row r="121" spans="1:17" ht="20.100000000000001" customHeight="1">
      <c r="A121" s="357">
        <v>1</v>
      </c>
      <c r="B121" s="432" t="s">
        <v>20</v>
      </c>
      <c r="C121" s="367" t="s">
        <v>250</v>
      </c>
      <c r="D121" s="434" t="s">
        <v>161</v>
      </c>
      <c r="E121" s="26">
        <v>1435720</v>
      </c>
      <c r="F121" s="26"/>
      <c r="G121" s="212"/>
      <c r="H121" s="212">
        <f>100000</f>
        <v>100000</v>
      </c>
      <c r="I121" s="26">
        <v>100000</v>
      </c>
      <c r="J121" s="525">
        <f>E121+F121+G121+H121+I121</f>
        <v>1635720</v>
      </c>
      <c r="K121" s="525">
        <v>1050209.0635000002</v>
      </c>
      <c r="L121" s="525">
        <f>J121-K121</f>
        <v>585510.93649999984</v>
      </c>
      <c r="M121" s="519">
        <v>270279.89537066669</v>
      </c>
      <c r="N121" s="601">
        <v>179914.45476266672</v>
      </c>
      <c r="O121" s="583">
        <f t="shared" ref="O121:O130" si="54">M121-N121</f>
        <v>90365.440607999975</v>
      </c>
      <c r="P121" s="612"/>
      <c r="Q121" s="619">
        <f>L121-O121</f>
        <v>495145.49589199986</v>
      </c>
    </row>
    <row r="122" spans="1:17" ht="20.100000000000001" customHeight="1">
      <c r="A122" s="357">
        <v>2</v>
      </c>
      <c r="B122" s="432" t="s">
        <v>153</v>
      </c>
      <c r="C122" s="367" t="s">
        <v>739</v>
      </c>
      <c r="D122" s="434" t="s">
        <v>221</v>
      </c>
      <c r="E122" s="26">
        <v>739203.58333333337</v>
      </c>
      <c r="F122" s="26"/>
      <c r="G122" s="212"/>
      <c r="H122" s="212">
        <f>90000</f>
        <v>90000</v>
      </c>
      <c r="I122" s="26">
        <v>100000</v>
      </c>
      <c r="J122" s="525">
        <f t="shared" ref="J122:J130" si="55">E122+F122+G122+H122+I122</f>
        <v>929203.58333333337</v>
      </c>
      <c r="K122" s="525">
        <v>627743.99575</v>
      </c>
      <c r="L122" s="525">
        <f t="shared" ref="L122:L130" si="56">J122-K122</f>
        <v>301459.58758333337</v>
      </c>
      <c r="M122" s="519">
        <v>145522.03071466667</v>
      </c>
      <c r="N122" s="601">
        <v>98995.956938666684</v>
      </c>
      <c r="O122" s="583">
        <f t="shared" si="54"/>
        <v>46526.07377599999</v>
      </c>
      <c r="P122" s="612"/>
      <c r="Q122" s="619">
        <f t="shared" ref="Q122:Q130" si="57">L122-O122</f>
        <v>254933.51380733337</v>
      </c>
    </row>
    <row r="123" spans="1:17" ht="20.100000000000001" customHeight="1">
      <c r="A123" s="357">
        <v>3</v>
      </c>
      <c r="B123" s="365" t="s">
        <v>142</v>
      </c>
      <c r="C123" s="367" t="s">
        <v>376</v>
      </c>
      <c r="D123" s="434" t="s">
        <v>75</v>
      </c>
      <c r="E123" s="26">
        <v>620675.58333333337</v>
      </c>
      <c r="F123" s="26"/>
      <c r="G123" s="212"/>
      <c r="H123" s="212">
        <f t="shared" si="4"/>
        <v>80000</v>
      </c>
      <c r="I123" s="26">
        <f>100000+30000</f>
        <v>130000</v>
      </c>
      <c r="J123" s="525">
        <f t="shared" si="55"/>
        <v>830675.58333333337</v>
      </c>
      <c r="K123" s="525">
        <v>577553.50249999994</v>
      </c>
      <c r="L123" s="525">
        <f t="shared" si="56"/>
        <v>253122.08083333343</v>
      </c>
      <c r="M123" s="519">
        <v>128461.96570666666</v>
      </c>
      <c r="N123" s="601">
        <v>89396.103146666646</v>
      </c>
      <c r="O123" s="583">
        <f t="shared" si="54"/>
        <v>39065.862560000009</v>
      </c>
      <c r="P123" s="612"/>
      <c r="Q123" s="619">
        <f t="shared" si="57"/>
        <v>214056.21827333342</v>
      </c>
    </row>
    <row r="124" spans="1:17" ht="20.100000000000001" customHeight="1">
      <c r="A124" s="357">
        <v>4</v>
      </c>
      <c r="B124" s="365" t="s">
        <v>363</v>
      </c>
      <c r="C124" s="367" t="s">
        <v>376</v>
      </c>
      <c r="D124" s="434" t="s">
        <v>30</v>
      </c>
      <c r="E124" s="26">
        <v>582118.08333333337</v>
      </c>
      <c r="F124" s="26"/>
      <c r="G124" s="212"/>
      <c r="H124" s="212">
        <f>80000</f>
        <v>80000</v>
      </c>
      <c r="I124" s="26">
        <v>0</v>
      </c>
      <c r="J124" s="525">
        <f t="shared" si="55"/>
        <v>662118.08333333337</v>
      </c>
      <c r="K124" s="525">
        <v>424729.22200000007</v>
      </c>
      <c r="L124" s="525">
        <f t="shared" si="56"/>
        <v>237388.86133333331</v>
      </c>
      <c r="M124" s="519">
        <v>105793.33866666665</v>
      </c>
      <c r="N124" s="601">
        <v>60214.677290666674</v>
      </c>
      <c r="O124" s="583">
        <f t="shared" si="54"/>
        <v>45578.661375999975</v>
      </c>
      <c r="P124" s="612"/>
      <c r="Q124" s="619">
        <f t="shared" si="57"/>
        <v>191810.19995733333</v>
      </c>
    </row>
    <row r="125" spans="1:17" ht="20.100000000000001" customHeight="1">
      <c r="A125" s="357">
        <v>5</v>
      </c>
      <c r="B125" s="432" t="s">
        <v>108</v>
      </c>
      <c r="C125" s="367" t="s">
        <v>476</v>
      </c>
      <c r="D125" s="434" t="s">
        <v>181</v>
      </c>
      <c r="E125" s="26">
        <v>470498</v>
      </c>
      <c r="F125" s="26"/>
      <c r="G125" s="212"/>
      <c r="H125" s="212">
        <f>70000</f>
        <v>70000</v>
      </c>
      <c r="I125" s="26">
        <v>0</v>
      </c>
      <c r="J125" s="525">
        <f t="shared" si="55"/>
        <v>540498</v>
      </c>
      <c r="K125" s="525">
        <v>343333.03525000007</v>
      </c>
      <c r="L125" s="525">
        <f t="shared" si="56"/>
        <v>197164.96474999993</v>
      </c>
      <c r="M125" s="519">
        <v>75215.433386666657</v>
      </c>
      <c r="N125" s="601">
        <v>44846.616588666679</v>
      </c>
      <c r="O125" s="583">
        <f t="shared" si="54"/>
        <v>30368.816797999978</v>
      </c>
      <c r="P125" s="612"/>
      <c r="Q125" s="619">
        <f t="shared" si="57"/>
        <v>166796.14795199994</v>
      </c>
    </row>
    <row r="126" spans="1:17" ht="20.100000000000001" customHeight="1">
      <c r="A126" s="357">
        <v>6</v>
      </c>
      <c r="B126" s="432" t="s">
        <v>178</v>
      </c>
      <c r="C126" s="367" t="s">
        <v>382</v>
      </c>
      <c r="D126" s="434" t="s">
        <v>222</v>
      </c>
      <c r="E126" s="26">
        <v>442746.5</v>
      </c>
      <c r="F126" s="26"/>
      <c r="G126" s="212"/>
      <c r="H126" s="212">
        <f t="shared" ref="H126:H127" si="58">70000</f>
        <v>70000</v>
      </c>
      <c r="I126" s="26">
        <v>0</v>
      </c>
      <c r="J126" s="525">
        <f t="shared" si="55"/>
        <v>512746.5</v>
      </c>
      <c r="K126" s="525">
        <v>327211.36749999999</v>
      </c>
      <c r="L126" s="525">
        <f t="shared" si="56"/>
        <v>185535.13250000001</v>
      </c>
      <c r="M126" s="519">
        <v>70189.308746666662</v>
      </c>
      <c r="N126" s="601">
        <v>42029.589186666672</v>
      </c>
      <c r="O126" s="583">
        <f t="shared" si="54"/>
        <v>28159.71955999999</v>
      </c>
      <c r="P126" s="612"/>
      <c r="Q126" s="619">
        <f t="shared" si="57"/>
        <v>157375.41294000001</v>
      </c>
    </row>
    <row r="127" spans="1:17" ht="20.100000000000001" customHeight="1">
      <c r="A127" s="357">
        <v>7</v>
      </c>
      <c r="B127" s="432" t="s">
        <v>134</v>
      </c>
      <c r="C127" s="367" t="s">
        <v>476</v>
      </c>
      <c r="D127" s="434" t="s">
        <v>162</v>
      </c>
      <c r="E127" s="26">
        <v>456622.25</v>
      </c>
      <c r="F127" s="26"/>
      <c r="G127" s="212"/>
      <c r="H127" s="212">
        <f t="shared" si="58"/>
        <v>70000</v>
      </c>
      <c r="I127" s="26"/>
      <c r="J127" s="525">
        <f t="shared" si="55"/>
        <v>526622.25</v>
      </c>
      <c r="K127" s="525">
        <v>335272.06374999997</v>
      </c>
      <c r="L127" s="525">
        <f t="shared" si="56"/>
        <v>191350.18625000003</v>
      </c>
      <c r="M127" s="519">
        <v>72636.104186666664</v>
      </c>
      <c r="N127" s="601">
        <v>43380.096246666661</v>
      </c>
      <c r="O127" s="583">
        <f t="shared" si="54"/>
        <v>29256.007940000003</v>
      </c>
      <c r="P127" s="612"/>
      <c r="Q127" s="619">
        <f t="shared" si="57"/>
        <v>162094.17831000002</v>
      </c>
    </row>
    <row r="128" spans="1:17" ht="20.100000000000001" customHeight="1">
      <c r="A128" s="357">
        <v>8</v>
      </c>
      <c r="B128" s="432" t="s">
        <v>443</v>
      </c>
      <c r="C128" s="367" t="s">
        <v>447</v>
      </c>
      <c r="D128" s="430" t="s">
        <v>746</v>
      </c>
      <c r="E128" s="26">
        <v>270481.66666666669</v>
      </c>
      <c r="F128" s="26"/>
      <c r="G128" s="212"/>
      <c r="H128" s="212">
        <f>60000</f>
        <v>60000</v>
      </c>
      <c r="I128" s="26"/>
      <c r="J128" s="525">
        <f t="shared" si="55"/>
        <v>330481.66666666669</v>
      </c>
      <c r="K128" s="525">
        <v>213508.01</v>
      </c>
      <c r="L128" s="525">
        <f t="shared" si="56"/>
        <v>116973.65666666668</v>
      </c>
      <c r="M128" s="519">
        <v>39052.313066666662</v>
      </c>
      <c r="N128" s="601">
        <v>23036.01234666667</v>
      </c>
      <c r="O128" s="583">
        <f t="shared" si="54"/>
        <v>16016.300719999992</v>
      </c>
      <c r="P128" s="612"/>
      <c r="Q128" s="619">
        <f t="shared" si="57"/>
        <v>100957.35594666668</v>
      </c>
    </row>
    <row r="129" spans="1:17" ht="20.100000000000001" customHeight="1">
      <c r="A129" s="357">
        <v>9</v>
      </c>
      <c r="B129" s="364" t="s">
        <v>439</v>
      </c>
      <c r="C129" s="367" t="s">
        <v>440</v>
      </c>
      <c r="D129" s="434" t="s">
        <v>176</v>
      </c>
      <c r="E129" s="26">
        <v>224459.75</v>
      </c>
      <c r="F129" s="26"/>
      <c r="G129" s="212"/>
      <c r="H129" s="212">
        <f>50000</f>
        <v>50000</v>
      </c>
      <c r="I129" s="26"/>
      <c r="J129" s="525">
        <f t="shared" si="55"/>
        <v>274459.75</v>
      </c>
      <c r="K129" s="525">
        <v>176816.09999999998</v>
      </c>
      <c r="L129" s="525">
        <f t="shared" si="56"/>
        <v>97643.650000000023</v>
      </c>
      <c r="M129" s="519">
        <v>30259.165626666669</v>
      </c>
      <c r="N129" s="601">
        <v>17042.713866666661</v>
      </c>
      <c r="O129" s="583">
        <f t="shared" si="54"/>
        <v>13216.451760000007</v>
      </c>
      <c r="P129" s="612"/>
      <c r="Q129" s="619">
        <f t="shared" si="57"/>
        <v>84427.198240000012</v>
      </c>
    </row>
    <row r="130" spans="1:17" ht="20.100000000000001" customHeight="1">
      <c r="A130" s="357">
        <v>10</v>
      </c>
      <c r="B130" s="364" t="s">
        <v>535</v>
      </c>
      <c r="C130" s="367" t="s">
        <v>536</v>
      </c>
      <c r="D130" s="434" t="s">
        <v>176</v>
      </c>
      <c r="E130" s="26">
        <v>224459.75</v>
      </c>
      <c r="F130" s="26"/>
      <c r="G130" s="212"/>
      <c r="H130" s="212">
        <v>50000</v>
      </c>
      <c r="I130" s="26"/>
      <c r="J130" s="525">
        <f t="shared" si="55"/>
        <v>274459.75</v>
      </c>
      <c r="K130" s="525">
        <v>176816.09999999998</v>
      </c>
      <c r="L130" s="525">
        <f t="shared" si="56"/>
        <v>97643.650000000023</v>
      </c>
      <c r="M130" s="519">
        <v>30259.165626666669</v>
      </c>
      <c r="N130" s="601">
        <v>17042.713866666661</v>
      </c>
      <c r="O130" s="583">
        <f t="shared" si="54"/>
        <v>13216.451760000007</v>
      </c>
      <c r="P130" s="612"/>
      <c r="Q130" s="619">
        <f t="shared" si="57"/>
        <v>84427.198240000012</v>
      </c>
    </row>
    <row r="131" spans="1:17" ht="28.5" customHeight="1">
      <c r="A131" s="357"/>
      <c r="B131" s="366" t="s">
        <v>15</v>
      </c>
      <c r="C131" s="220" t="s">
        <v>543</v>
      </c>
      <c r="D131" s="434"/>
      <c r="E131" s="31">
        <f>SUM(E121:E130)</f>
        <v>5466985.166666667</v>
      </c>
      <c r="F131" s="31">
        <f t="shared" ref="F131:O131" si="59">SUM(F121:F130)</f>
        <v>0</v>
      </c>
      <c r="G131" s="31">
        <f t="shared" si="59"/>
        <v>0</v>
      </c>
      <c r="H131" s="31">
        <f t="shared" si="59"/>
        <v>720000</v>
      </c>
      <c r="I131" s="31">
        <f t="shared" si="59"/>
        <v>330000</v>
      </c>
      <c r="J131" s="31">
        <f t="shared" si="59"/>
        <v>6516985.166666667</v>
      </c>
      <c r="K131" s="31">
        <v>4253192.4602500005</v>
      </c>
      <c r="L131" s="31">
        <f t="shared" si="59"/>
        <v>2263792.7064166665</v>
      </c>
      <c r="M131" s="31">
        <f t="shared" si="59"/>
        <v>967668.72109866666</v>
      </c>
      <c r="N131" s="594">
        <v>615898.93424066668</v>
      </c>
      <c r="O131" s="594">
        <f t="shared" si="59"/>
        <v>351769.78685799998</v>
      </c>
      <c r="P131" s="610"/>
      <c r="Q131" s="600">
        <f>SUM(Q121:Q130)</f>
        <v>1912022.9195586666</v>
      </c>
    </row>
    <row r="132" spans="1:17" ht="20.100000000000001" customHeight="1">
      <c r="A132" s="357"/>
      <c r="B132" s="362"/>
      <c r="C132" s="220"/>
      <c r="D132" s="434"/>
      <c r="E132" s="31"/>
      <c r="F132" s="31"/>
      <c r="G132" s="212"/>
      <c r="H132" s="212"/>
      <c r="I132" s="31"/>
      <c r="J132" s="526"/>
      <c r="K132" s="526"/>
      <c r="L132" s="526"/>
      <c r="M132" s="528"/>
      <c r="N132" s="588"/>
      <c r="O132" s="589"/>
      <c r="P132" s="614"/>
      <c r="Q132" s="617"/>
    </row>
    <row r="133" spans="1:17" ht="20.100000000000001" customHeight="1">
      <c r="A133" s="357"/>
      <c r="B133" s="366" t="s">
        <v>467</v>
      </c>
      <c r="C133" s="367"/>
      <c r="D133" s="434"/>
      <c r="E133" s="26"/>
      <c r="F133" s="26"/>
      <c r="G133" s="212"/>
      <c r="H133" s="212"/>
      <c r="I133" s="26"/>
      <c r="J133" s="525"/>
      <c r="K133" s="525"/>
      <c r="L133" s="525"/>
      <c r="M133" s="518"/>
      <c r="N133" s="601"/>
      <c r="O133" s="586"/>
      <c r="P133" s="613"/>
      <c r="Q133" s="618"/>
    </row>
    <row r="134" spans="1:17" ht="20.100000000000001" customHeight="1">
      <c r="A134" s="224">
        <v>1</v>
      </c>
      <c r="B134" s="432" t="s">
        <v>21</v>
      </c>
      <c r="C134" s="367" t="s">
        <v>393</v>
      </c>
      <c r="D134" s="434" t="s">
        <v>161</v>
      </c>
      <c r="E134" s="26">
        <v>1435720</v>
      </c>
      <c r="F134" s="26"/>
      <c r="G134" s="212"/>
      <c r="H134" s="212">
        <f>100000</f>
        <v>100000</v>
      </c>
      <c r="I134" s="26">
        <v>0</v>
      </c>
      <c r="J134" s="525">
        <f>E134+F134+G134+H134+I134</f>
        <v>1535720</v>
      </c>
      <c r="K134" s="525">
        <v>950209.06350000005</v>
      </c>
      <c r="L134" s="525">
        <f>J134-K134</f>
        <v>585510.93649999995</v>
      </c>
      <c r="M134" s="519">
        <v>251472.24746666662</v>
      </c>
      <c r="N134" s="601">
        <v>161106.80685866668</v>
      </c>
      <c r="O134" s="583">
        <f t="shared" ref="O134:O192" si="60">M134-N134</f>
        <v>90365.440607999946</v>
      </c>
      <c r="P134" s="612"/>
      <c r="Q134" s="619">
        <f>L134-O134</f>
        <v>495145.49589200004</v>
      </c>
    </row>
    <row r="135" spans="1:17" ht="20.100000000000001" customHeight="1">
      <c r="A135" s="224">
        <v>2</v>
      </c>
      <c r="B135" s="432" t="s">
        <v>107</v>
      </c>
      <c r="C135" s="367" t="s">
        <v>394</v>
      </c>
      <c r="D135" s="434" t="s">
        <v>160</v>
      </c>
      <c r="E135" s="26">
        <v>762373.16666666663</v>
      </c>
      <c r="F135" s="26"/>
      <c r="G135" s="212"/>
      <c r="H135" s="212">
        <v>90000</v>
      </c>
      <c r="I135" s="26"/>
      <c r="J135" s="525">
        <f t="shared" ref="J135:J192" si="61">E135+F135+G135+H135+I135</f>
        <v>852373.16666666663</v>
      </c>
      <c r="K135" s="525">
        <v>541465.02474999998</v>
      </c>
      <c r="L135" s="525">
        <f t="shared" ref="L135:L192" si="62">J135-K135</f>
        <v>310908.14191666665</v>
      </c>
      <c r="M135" s="519">
        <v>142322.31466666667</v>
      </c>
      <c r="N135" s="586">
        <v>82627.951418666678</v>
      </c>
      <c r="O135" s="583">
        <f t="shared" si="60"/>
        <v>59694.363247999994</v>
      </c>
      <c r="P135" s="612"/>
      <c r="Q135" s="619">
        <f t="shared" ref="Q135:Q192" si="63">L135-O135</f>
        <v>251213.77866866667</v>
      </c>
    </row>
    <row r="136" spans="1:17" ht="20.100000000000001" customHeight="1">
      <c r="A136" s="224">
        <v>3</v>
      </c>
      <c r="B136" s="365" t="s">
        <v>183</v>
      </c>
      <c r="C136" s="357" t="s">
        <v>486</v>
      </c>
      <c r="D136" s="25" t="s">
        <v>160</v>
      </c>
      <c r="E136" s="26">
        <v>762373.16666666663</v>
      </c>
      <c r="F136" s="26"/>
      <c r="G136" s="212"/>
      <c r="H136" s="212">
        <f>80000+10000</f>
        <v>90000</v>
      </c>
      <c r="I136" s="26">
        <v>50000</v>
      </c>
      <c r="J136" s="525">
        <f t="shared" si="61"/>
        <v>902373.16666666663</v>
      </c>
      <c r="K136" s="525">
        <v>591465.02474999998</v>
      </c>
      <c r="L136" s="525">
        <f t="shared" si="62"/>
        <v>310908.14191666665</v>
      </c>
      <c r="M136" s="519">
        <v>140007.52761066667</v>
      </c>
      <c r="N136" s="586">
        <v>92023.216202666677</v>
      </c>
      <c r="O136" s="583">
        <f t="shared" si="60"/>
        <v>47984.311407999994</v>
      </c>
      <c r="P136" s="612"/>
      <c r="Q136" s="619">
        <f t="shared" si="63"/>
        <v>262923.83050866664</v>
      </c>
    </row>
    <row r="137" spans="1:17" ht="20.100000000000001" customHeight="1">
      <c r="A137" s="224">
        <v>4</v>
      </c>
      <c r="B137" s="432" t="s">
        <v>106</v>
      </c>
      <c r="C137" s="367" t="s">
        <v>381</v>
      </c>
      <c r="D137" s="434" t="s">
        <v>174</v>
      </c>
      <c r="E137" s="26">
        <v>484373.75</v>
      </c>
      <c r="F137" s="26"/>
      <c r="G137" s="212"/>
      <c r="H137" s="212">
        <v>70000</v>
      </c>
      <c r="I137" s="26"/>
      <c r="J137" s="525">
        <f t="shared" si="61"/>
        <v>554373.75</v>
      </c>
      <c r="K137" s="525">
        <v>351394.00675000006</v>
      </c>
      <c r="L137" s="525">
        <f t="shared" si="62"/>
        <v>202979.74324999994</v>
      </c>
      <c r="M137" s="519">
        <v>77529.694778666671</v>
      </c>
      <c r="N137" s="601">
        <v>46081.202598666678</v>
      </c>
      <c r="O137" s="583">
        <f t="shared" si="60"/>
        <v>31448.492179999994</v>
      </c>
      <c r="P137" s="612"/>
      <c r="Q137" s="619">
        <f t="shared" si="63"/>
        <v>171531.25106999994</v>
      </c>
    </row>
    <row r="138" spans="1:17" ht="20.100000000000001" customHeight="1">
      <c r="A138" s="224">
        <v>5</v>
      </c>
      <c r="B138" s="432" t="s">
        <v>7</v>
      </c>
      <c r="C138" s="357" t="s">
        <v>385</v>
      </c>
      <c r="D138" s="434" t="s">
        <v>174</v>
      </c>
      <c r="E138" s="26">
        <v>484373.75</v>
      </c>
      <c r="F138" s="26"/>
      <c r="G138" s="212"/>
      <c r="H138" s="212">
        <v>70000</v>
      </c>
      <c r="I138" s="26">
        <v>0</v>
      </c>
      <c r="J138" s="525">
        <f t="shared" si="61"/>
        <v>554373.75</v>
      </c>
      <c r="K138" s="525">
        <v>351394.00675000006</v>
      </c>
      <c r="L138" s="525">
        <f t="shared" si="62"/>
        <v>202979.74324999994</v>
      </c>
      <c r="M138" s="519">
        <v>77529.694778666671</v>
      </c>
      <c r="N138" s="601">
        <v>46081.202598666678</v>
      </c>
      <c r="O138" s="583">
        <f t="shared" si="60"/>
        <v>31448.492179999994</v>
      </c>
      <c r="P138" s="612"/>
      <c r="Q138" s="619">
        <f t="shared" si="63"/>
        <v>171531.25106999994</v>
      </c>
    </row>
    <row r="139" spans="1:17" ht="20.100000000000001" customHeight="1">
      <c r="A139" s="224">
        <v>6</v>
      </c>
      <c r="B139" s="432" t="s">
        <v>6</v>
      </c>
      <c r="C139" s="357" t="s">
        <v>385</v>
      </c>
      <c r="D139" s="434" t="s">
        <v>174</v>
      </c>
      <c r="E139" s="26">
        <v>484373.75</v>
      </c>
      <c r="F139" s="26"/>
      <c r="G139" s="212"/>
      <c r="H139" s="212">
        <v>70000</v>
      </c>
      <c r="I139" s="26">
        <v>0</v>
      </c>
      <c r="J139" s="525">
        <f t="shared" si="61"/>
        <v>554373.75</v>
      </c>
      <c r="K139" s="525">
        <v>351394.00675000006</v>
      </c>
      <c r="L139" s="525">
        <f t="shared" si="62"/>
        <v>202979.74324999994</v>
      </c>
      <c r="M139" s="519">
        <v>77529.694778666671</v>
      </c>
      <c r="N139" s="601">
        <v>46081.202598666678</v>
      </c>
      <c r="O139" s="583">
        <f t="shared" si="60"/>
        <v>31448.492179999994</v>
      </c>
      <c r="P139" s="612"/>
      <c r="Q139" s="619">
        <f t="shared" si="63"/>
        <v>171531.25106999994</v>
      </c>
    </row>
    <row r="140" spans="1:17" ht="20.100000000000001" customHeight="1">
      <c r="A140" s="224">
        <v>7</v>
      </c>
      <c r="B140" s="432" t="s">
        <v>102</v>
      </c>
      <c r="C140" s="367" t="s">
        <v>395</v>
      </c>
      <c r="D140" s="434" t="s">
        <v>749</v>
      </c>
      <c r="E140" s="26">
        <v>390086.5</v>
      </c>
      <c r="F140" s="26"/>
      <c r="G140" s="212"/>
      <c r="H140" s="212">
        <f>60000</f>
        <v>60000</v>
      </c>
      <c r="I140" s="26">
        <v>0</v>
      </c>
      <c r="J140" s="525">
        <f t="shared" si="61"/>
        <v>450086.5</v>
      </c>
      <c r="K140" s="525">
        <v>286619.99875000003</v>
      </c>
      <c r="L140" s="525">
        <f t="shared" si="62"/>
        <v>163466.50124999997</v>
      </c>
      <c r="M140" s="519">
        <v>58980.834746666667</v>
      </c>
      <c r="N140" s="601">
        <v>35221.954086666665</v>
      </c>
      <c r="O140" s="583">
        <f t="shared" si="60"/>
        <v>23758.880660000003</v>
      </c>
      <c r="P140" s="612"/>
      <c r="Q140" s="619">
        <f t="shared" si="63"/>
        <v>139707.62058999998</v>
      </c>
    </row>
    <row r="141" spans="1:17" ht="20.100000000000001" customHeight="1">
      <c r="A141" s="224">
        <v>8</v>
      </c>
      <c r="B141" s="432" t="s">
        <v>103</v>
      </c>
      <c r="C141" s="367" t="s">
        <v>395</v>
      </c>
      <c r="D141" s="434" t="s">
        <v>749</v>
      </c>
      <c r="E141" s="26">
        <v>390086.5</v>
      </c>
      <c r="F141" s="26"/>
      <c r="G141" s="212"/>
      <c r="H141" s="212">
        <f>60000</f>
        <v>60000</v>
      </c>
      <c r="I141" s="26">
        <v>0</v>
      </c>
      <c r="J141" s="525">
        <f t="shared" si="61"/>
        <v>450086.5</v>
      </c>
      <c r="K141" s="525">
        <v>286619.99875000003</v>
      </c>
      <c r="L141" s="525">
        <f t="shared" si="62"/>
        <v>163466.50124999997</v>
      </c>
      <c r="M141" s="519">
        <v>59091.546026666671</v>
      </c>
      <c r="N141" s="601">
        <v>35318.826456666669</v>
      </c>
      <c r="O141" s="583">
        <f t="shared" si="60"/>
        <v>23772.719570000001</v>
      </c>
      <c r="P141" s="612"/>
      <c r="Q141" s="619">
        <f t="shared" si="63"/>
        <v>139693.78167999996</v>
      </c>
    </row>
    <row r="142" spans="1:17" ht="20.100000000000001" customHeight="1">
      <c r="A142" s="224">
        <v>9</v>
      </c>
      <c r="B142" s="432" t="s">
        <v>151</v>
      </c>
      <c r="C142" s="357" t="s">
        <v>235</v>
      </c>
      <c r="D142" s="434" t="s">
        <v>749</v>
      </c>
      <c r="E142" s="26">
        <v>390086.5</v>
      </c>
      <c r="F142" s="26"/>
      <c r="G142" s="212"/>
      <c r="H142" s="212">
        <f>60000</f>
        <v>60000</v>
      </c>
      <c r="I142" s="26"/>
      <c r="J142" s="525">
        <f t="shared" si="61"/>
        <v>450086.5</v>
      </c>
      <c r="K142" s="525">
        <v>286619.99875000003</v>
      </c>
      <c r="L142" s="525">
        <f t="shared" si="62"/>
        <v>163466.50124999997</v>
      </c>
      <c r="M142" s="519">
        <v>59091.546026666671</v>
      </c>
      <c r="N142" s="601">
        <v>35318.826456666669</v>
      </c>
      <c r="O142" s="583">
        <f t="shared" si="60"/>
        <v>23772.719570000001</v>
      </c>
      <c r="P142" s="612"/>
      <c r="Q142" s="619">
        <f t="shared" si="63"/>
        <v>139693.78167999996</v>
      </c>
    </row>
    <row r="143" spans="1:17" ht="20.100000000000001" customHeight="1">
      <c r="A143" s="224">
        <v>10</v>
      </c>
      <c r="B143" s="432" t="s">
        <v>238</v>
      </c>
      <c r="C143" s="367" t="s">
        <v>546</v>
      </c>
      <c r="D143" s="434" t="s">
        <v>497</v>
      </c>
      <c r="E143" s="26">
        <v>377895.16666666669</v>
      </c>
      <c r="F143" s="26"/>
      <c r="G143" s="212"/>
      <c r="H143" s="212">
        <f>60000</f>
        <v>60000</v>
      </c>
      <c r="I143" s="26"/>
      <c r="J143" s="525">
        <f t="shared" si="61"/>
        <v>437895.16666666669</v>
      </c>
      <c r="K143" s="525">
        <v>284536.99849999999</v>
      </c>
      <c r="L143" s="525">
        <f t="shared" si="62"/>
        <v>153358.1681666667</v>
      </c>
      <c r="M143" s="519">
        <v>56938.068906666675</v>
      </c>
      <c r="N143" s="601">
        <v>34968.882414666667</v>
      </c>
      <c r="O143" s="583">
        <f t="shared" si="60"/>
        <v>21969.186492000008</v>
      </c>
      <c r="P143" s="612"/>
      <c r="Q143" s="619">
        <f t="shared" si="63"/>
        <v>131388.98167466669</v>
      </c>
    </row>
    <row r="144" spans="1:17" ht="20.100000000000001" customHeight="1">
      <c r="A144" s="224">
        <v>11</v>
      </c>
      <c r="B144" s="432" t="s">
        <v>53</v>
      </c>
      <c r="C144" s="367" t="s">
        <v>711</v>
      </c>
      <c r="D144" s="434" t="s">
        <v>415</v>
      </c>
      <c r="E144" s="26">
        <v>365703.83333333331</v>
      </c>
      <c r="F144" s="26"/>
      <c r="G144" s="212"/>
      <c r="H144" s="212">
        <f>60000</f>
        <v>60000</v>
      </c>
      <c r="I144" s="26"/>
      <c r="J144" s="525">
        <f t="shared" si="61"/>
        <v>425703.83333333331</v>
      </c>
      <c r="K144" s="525">
        <v>272454.07400000002</v>
      </c>
      <c r="L144" s="525">
        <f t="shared" si="62"/>
        <v>153249.75933333329</v>
      </c>
      <c r="M144" s="519">
        <v>54681.291562666673</v>
      </c>
      <c r="N144" s="601">
        <v>32848.563402666667</v>
      </c>
      <c r="O144" s="583">
        <f t="shared" si="60"/>
        <v>21832.728160000006</v>
      </c>
      <c r="P144" s="612"/>
      <c r="Q144" s="619">
        <f t="shared" si="63"/>
        <v>131417.03117333329</v>
      </c>
    </row>
    <row r="145" spans="1:17" ht="20.100000000000001" customHeight="1">
      <c r="A145" s="224">
        <v>12</v>
      </c>
      <c r="B145" s="432" t="s">
        <v>179</v>
      </c>
      <c r="C145" s="367" t="s">
        <v>479</v>
      </c>
      <c r="D145" s="434" t="s">
        <v>749</v>
      </c>
      <c r="E145" s="26">
        <v>390086.5</v>
      </c>
      <c r="F145" s="26"/>
      <c r="G145" s="212"/>
      <c r="H145" s="212">
        <f>60000</f>
        <v>60000</v>
      </c>
      <c r="I145" s="26"/>
      <c r="J145" s="525">
        <f t="shared" si="61"/>
        <v>450086.5</v>
      </c>
      <c r="K145" s="525">
        <v>286619.99875000003</v>
      </c>
      <c r="L145" s="525">
        <f t="shared" si="62"/>
        <v>163466.50124999997</v>
      </c>
      <c r="M145" s="519">
        <v>58980.834746666667</v>
      </c>
      <c r="N145" s="601">
        <v>35221.954086666665</v>
      </c>
      <c r="O145" s="583">
        <f t="shared" si="60"/>
        <v>23758.880660000003</v>
      </c>
      <c r="P145" s="612"/>
      <c r="Q145" s="619">
        <f t="shared" si="63"/>
        <v>139707.62058999998</v>
      </c>
    </row>
    <row r="146" spans="1:17" ht="20.100000000000001" customHeight="1">
      <c r="A146" s="224">
        <v>13</v>
      </c>
      <c r="B146" s="364" t="s">
        <v>293</v>
      </c>
      <c r="C146" s="357" t="s">
        <v>712</v>
      </c>
      <c r="D146" s="434" t="s">
        <v>369</v>
      </c>
      <c r="E146" s="212">
        <v>353512.5</v>
      </c>
      <c r="F146" s="26"/>
      <c r="G146" s="212"/>
      <c r="H146" s="212">
        <v>60000</v>
      </c>
      <c r="I146" s="26"/>
      <c r="J146" s="525">
        <f t="shared" si="61"/>
        <v>413512.5</v>
      </c>
      <c r="K146" s="525">
        <v>265372.07499999995</v>
      </c>
      <c r="L146" s="525">
        <f t="shared" si="62"/>
        <v>148140.42500000005</v>
      </c>
      <c r="M146" s="519">
        <v>52631.114666666661</v>
      </c>
      <c r="N146" s="601">
        <v>31749.175266666658</v>
      </c>
      <c r="O146" s="583">
        <f t="shared" si="60"/>
        <v>20881.939400000003</v>
      </c>
      <c r="P146" s="612"/>
      <c r="Q146" s="619">
        <f t="shared" si="63"/>
        <v>127258.48560000004</v>
      </c>
    </row>
    <row r="147" spans="1:17" ht="20.100000000000001" customHeight="1">
      <c r="A147" s="224">
        <v>14</v>
      </c>
      <c r="B147" s="432" t="s">
        <v>488</v>
      </c>
      <c r="C147" s="357" t="s">
        <v>239</v>
      </c>
      <c r="D147" s="434" t="s">
        <v>164</v>
      </c>
      <c r="E147" s="212">
        <v>308901.5</v>
      </c>
      <c r="F147" s="26"/>
      <c r="G147" s="212"/>
      <c r="H147" s="212">
        <f>60000</f>
        <v>60000</v>
      </c>
      <c r="I147" s="26"/>
      <c r="J147" s="525">
        <f t="shared" si="61"/>
        <v>368901.5</v>
      </c>
      <c r="K147" s="525">
        <v>237734.04699999996</v>
      </c>
      <c r="L147" s="525">
        <f t="shared" si="62"/>
        <v>131167.45300000004</v>
      </c>
      <c r="M147" s="519">
        <v>44990.48250666666</v>
      </c>
      <c r="N147" s="601">
        <v>27105.986562666658</v>
      </c>
      <c r="O147" s="583">
        <f t="shared" si="60"/>
        <v>17884.495944000002</v>
      </c>
      <c r="P147" s="612"/>
      <c r="Q147" s="619">
        <f t="shared" si="63"/>
        <v>113282.95705600004</v>
      </c>
    </row>
    <row r="148" spans="1:17" ht="20.100000000000001" customHeight="1">
      <c r="A148" s="224">
        <v>15</v>
      </c>
      <c r="B148" s="432" t="s">
        <v>489</v>
      </c>
      <c r="C148" s="357" t="s">
        <v>239</v>
      </c>
      <c r="D148" s="434" t="s">
        <v>27</v>
      </c>
      <c r="E148" s="212">
        <v>316837.41666666669</v>
      </c>
      <c r="F148" s="26"/>
      <c r="G148" s="212"/>
      <c r="H148" s="212">
        <f>60000</f>
        <v>60000</v>
      </c>
      <c r="I148" s="26"/>
      <c r="J148" s="525">
        <f t="shared" si="61"/>
        <v>376837.41666666669</v>
      </c>
      <c r="K148" s="525">
        <v>242300.07749999996</v>
      </c>
      <c r="L148" s="525">
        <f t="shared" si="62"/>
        <v>134537.33916666673</v>
      </c>
      <c r="M148" s="519">
        <v>46138.184726666659</v>
      </c>
      <c r="N148" s="601">
        <v>27794.206626666662</v>
      </c>
      <c r="O148" s="583">
        <f t="shared" si="60"/>
        <v>18343.978099999997</v>
      </c>
      <c r="P148" s="612"/>
      <c r="Q148" s="619">
        <f t="shared" si="63"/>
        <v>116193.36106666674</v>
      </c>
    </row>
    <row r="149" spans="1:17" ht="20.100000000000001" customHeight="1">
      <c r="A149" s="224">
        <v>16</v>
      </c>
      <c r="B149" s="432" t="s">
        <v>212</v>
      </c>
      <c r="C149" s="357" t="s">
        <v>239</v>
      </c>
      <c r="D149" s="434" t="s">
        <v>27</v>
      </c>
      <c r="E149" s="212">
        <v>316837.41666666669</v>
      </c>
      <c r="F149" s="26"/>
      <c r="G149" s="212"/>
      <c r="H149" s="212">
        <f>60000</f>
        <v>60000</v>
      </c>
      <c r="I149" s="26"/>
      <c r="J149" s="525">
        <f t="shared" si="61"/>
        <v>376837.41666666669</v>
      </c>
      <c r="K149" s="525">
        <v>242300.07749999996</v>
      </c>
      <c r="L149" s="525">
        <f t="shared" si="62"/>
        <v>134537.33916666673</v>
      </c>
      <c r="M149" s="519">
        <v>46217.057786666664</v>
      </c>
      <c r="N149" s="601">
        <v>27873.079686666664</v>
      </c>
      <c r="O149" s="583">
        <f t="shared" si="60"/>
        <v>18343.9781</v>
      </c>
      <c r="P149" s="612"/>
      <c r="Q149" s="619">
        <f t="shared" si="63"/>
        <v>116193.36106666672</v>
      </c>
    </row>
    <row r="150" spans="1:17" ht="20.100000000000001" customHeight="1">
      <c r="A150" s="224">
        <v>17</v>
      </c>
      <c r="B150" s="432" t="s">
        <v>425</v>
      </c>
      <c r="C150" s="367" t="s">
        <v>430</v>
      </c>
      <c r="D150" s="434" t="s">
        <v>207</v>
      </c>
      <c r="E150" s="212">
        <v>300965.58333333331</v>
      </c>
      <c r="F150" s="26"/>
      <c r="G150" s="212"/>
      <c r="H150" s="212">
        <f>60000</f>
        <v>60000</v>
      </c>
      <c r="I150" s="26"/>
      <c r="J150" s="525">
        <f t="shared" si="61"/>
        <v>360965.58333333331</v>
      </c>
      <c r="K150" s="525">
        <v>237734.04699999996</v>
      </c>
      <c r="L150" s="525">
        <f t="shared" si="62"/>
        <v>123231.53633333335</v>
      </c>
      <c r="M150" s="519">
        <v>43763.90722666667</v>
      </c>
      <c r="N150" s="601">
        <v>27105.986562666658</v>
      </c>
      <c r="O150" s="583">
        <f t="shared" si="60"/>
        <v>16657.920664000012</v>
      </c>
      <c r="P150" s="612"/>
      <c r="Q150" s="619">
        <f t="shared" si="63"/>
        <v>106573.61566933335</v>
      </c>
    </row>
    <row r="151" spans="1:17" ht="20.100000000000001" customHeight="1">
      <c r="A151" s="224">
        <v>18</v>
      </c>
      <c r="B151" s="432" t="s">
        <v>750</v>
      </c>
      <c r="C151" s="367" t="s">
        <v>438</v>
      </c>
      <c r="D151" s="430" t="s">
        <v>498</v>
      </c>
      <c r="E151" s="26">
        <v>263165.33333333331</v>
      </c>
      <c r="F151" s="26"/>
      <c r="G151" s="212"/>
      <c r="H151" s="212">
        <f>60000</f>
        <v>60000</v>
      </c>
      <c r="I151" s="26"/>
      <c r="J151" s="525">
        <f t="shared" si="61"/>
        <v>323165.33333333331</v>
      </c>
      <c r="K151" s="525">
        <v>209356.04725</v>
      </c>
      <c r="L151" s="525">
        <f t="shared" si="62"/>
        <v>113809.28608333331</v>
      </c>
      <c r="M151" s="519">
        <v>37921.500586666662</v>
      </c>
      <c r="N151" s="601">
        <v>22338.48260466666</v>
      </c>
      <c r="O151" s="583">
        <f t="shared" si="60"/>
        <v>15583.017982000001</v>
      </c>
      <c r="P151" s="612"/>
      <c r="Q151" s="619">
        <f t="shared" si="63"/>
        <v>98226.268101333306</v>
      </c>
    </row>
    <row r="152" spans="1:17" ht="20.100000000000001" customHeight="1">
      <c r="A152" s="224">
        <v>19</v>
      </c>
      <c r="B152" s="432" t="s">
        <v>230</v>
      </c>
      <c r="C152" s="367" t="s">
        <v>485</v>
      </c>
      <c r="D152" s="434" t="s">
        <v>164</v>
      </c>
      <c r="E152" s="212">
        <v>308901.5</v>
      </c>
      <c r="F152" s="26"/>
      <c r="G152" s="212"/>
      <c r="H152" s="212">
        <f>50000+10000</f>
        <v>60000</v>
      </c>
      <c r="I152" s="26"/>
      <c r="J152" s="525">
        <f t="shared" si="61"/>
        <v>368901.5</v>
      </c>
      <c r="K152" s="525">
        <v>237734.04699999996</v>
      </c>
      <c r="L152" s="525">
        <f t="shared" si="62"/>
        <v>131167.45300000004</v>
      </c>
      <c r="M152" s="519">
        <v>44990.48250666666</v>
      </c>
      <c r="N152" s="601">
        <v>27105.986562666658</v>
      </c>
      <c r="O152" s="583">
        <f t="shared" si="60"/>
        <v>17884.495944000002</v>
      </c>
      <c r="P152" s="612"/>
      <c r="Q152" s="619">
        <f t="shared" si="63"/>
        <v>113282.95705600004</v>
      </c>
    </row>
    <row r="153" spans="1:17" ht="20.100000000000001" customHeight="1">
      <c r="A153" s="224">
        <v>20</v>
      </c>
      <c r="B153" s="432" t="s">
        <v>57</v>
      </c>
      <c r="C153" s="367" t="s">
        <v>481</v>
      </c>
      <c r="D153" s="434" t="s">
        <v>746</v>
      </c>
      <c r="E153" s="212">
        <v>270481.66666666669</v>
      </c>
      <c r="F153" s="26"/>
      <c r="G153" s="212"/>
      <c r="H153" s="212">
        <f>50000+10000</f>
        <v>60000</v>
      </c>
      <c r="I153" s="26"/>
      <c r="J153" s="525">
        <f t="shared" si="61"/>
        <v>330481.66666666669</v>
      </c>
      <c r="K153" s="525">
        <v>213508.01</v>
      </c>
      <c r="L153" s="525">
        <f t="shared" si="62"/>
        <v>116973.65666666668</v>
      </c>
      <c r="M153" s="519">
        <v>39052.313066666662</v>
      </c>
      <c r="N153" s="601">
        <v>23036.01234666667</v>
      </c>
      <c r="O153" s="583">
        <f t="shared" si="60"/>
        <v>16016.300719999992</v>
      </c>
      <c r="P153" s="612"/>
      <c r="Q153" s="619">
        <f t="shared" si="63"/>
        <v>100957.35594666668</v>
      </c>
    </row>
    <row r="154" spans="1:17" ht="20.100000000000001" customHeight="1">
      <c r="A154" s="224">
        <v>21</v>
      </c>
      <c r="B154" s="432" t="s">
        <v>251</v>
      </c>
      <c r="C154" s="367" t="s">
        <v>482</v>
      </c>
      <c r="D154" s="434" t="s">
        <v>164</v>
      </c>
      <c r="E154" s="212">
        <v>308901.5</v>
      </c>
      <c r="F154" s="26"/>
      <c r="G154" s="212"/>
      <c r="H154" s="212">
        <f>50000+10000</f>
        <v>60000</v>
      </c>
      <c r="I154" s="26"/>
      <c r="J154" s="525">
        <f t="shared" si="61"/>
        <v>368901.5</v>
      </c>
      <c r="K154" s="525">
        <v>237734.04699999996</v>
      </c>
      <c r="L154" s="525">
        <f t="shared" si="62"/>
        <v>131167.45300000004</v>
      </c>
      <c r="M154" s="519">
        <v>44913.699618666666</v>
      </c>
      <c r="N154" s="601">
        <v>27029.203674666656</v>
      </c>
      <c r="O154" s="583">
        <f t="shared" si="60"/>
        <v>17884.495944000009</v>
      </c>
      <c r="P154" s="612"/>
      <c r="Q154" s="619">
        <f t="shared" si="63"/>
        <v>113282.95705600003</v>
      </c>
    </row>
    <row r="155" spans="1:17" ht="20.100000000000001" customHeight="1">
      <c r="A155" s="224">
        <v>22</v>
      </c>
      <c r="B155" s="432" t="s">
        <v>241</v>
      </c>
      <c r="C155" s="367" t="s">
        <v>348</v>
      </c>
      <c r="D155" s="434" t="s">
        <v>746</v>
      </c>
      <c r="E155" s="212">
        <v>270481.66666666669</v>
      </c>
      <c r="F155" s="26"/>
      <c r="G155" s="212"/>
      <c r="H155" s="212">
        <f>50000+10000</f>
        <v>60000</v>
      </c>
      <c r="I155" s="26"/>
      <c r="J155" s="525">
        <f t="shared" si="61"/>
        <v>330481.66666666669</v>
      </c>
      <c r="K155" s="525">
        <v>209356.04725</v>
      </c>
      <c r="L155" s="525">
        <f t="shared" si="62"/>
        <v>121125.61941666668</v>
      </c>
      <c r="M155" s="519">
        <v>39052.313066666662</v>
      </c>
      <c r="N155" s="601">
        <v>22338.48260466666</v>
      </c>
      <c r="O155" s="583">
        <f t="shared" si="60"/>
        <v>16713.830462000002</v>
      </c>
      <c r="P155" s="612"/>
      <c r="Q155" s="619">
        <f t="shared" si="63"/>
        <v>104411.78895466668</v>
      </c>
    </row>
    <row r="156" spans="1:17" ht="20.100000000000001" customHeight="1">
      <c r="A156" s="224">
        <v>23</v>
      </c>
      <c r="B156" s="364" t="s">
        <v>289</v>
      </c>
      <c r="C156" s="367" t="s">
        <v>713</v>
      </c>
      <c r="D156" s="434" t="s">
        <v>428</v>
      </c>
      <c r="E156" s="212">
        <v>255849</v>
      </c>
      <c r="F156" s="26"/>
      <c r="G156" s="212"/>
      <c r="H156" s="212">
        <f>60000</f>
        <v>60000</v>
      </c>
      <c r="I156" s="357"/>
      <c r="J156" s="525">
        <f t="shared" si="61"/>
        <v>315849</v>
      </c>
      <c r="K156" s="525">
        <v>205204.0845</v>
      </c>
      <c r="L156" s="525">
        <f t="shared" si="62"/>
        <v>110644.9155</v>
      </c>
      <c r="M156" s="519">
        <v>36790.688106666661</v>
      </c>
      <c r="N156" s="601">
        <v>21640.952862666669</v>
      </c>
      <c r="O156" s="583">
        <f t="shared" si="60"/>
        <v>15149.735243999992</v>
      </c>
      <c r="P156" s="612"/>
      <c r="Q156" s="619">
        <f t="shared" si="63"/>
        <v>95495.180256000007</v>
      </c>
    </row>
    <row r="157" spans="1:17" ht="20.100000000000001" customHeight="1">
      <c r="A157" s="224">
        <v>24</v>
      </c>
      <c r="B157" s="364" t="s">
        <v>407</v>
      </c>
      <c r="C157" s="367" t="s">
        <v>131</v>
      </c>
      <c r="D157" s="434" t="s">
        <v>176</v>
      </c>
      <c r="E157" s="26">
        <v>224459.75</v>
      </c>
      <c r="F157" s="26"/>
      <c r="G157" s="212"/>
      <c r="H157" s="212">
        <f>50000</f>
        <v>50000</v>
      </c>
      <c r="I157" s="26"/>
      <c r="J157" s="525">
        <f t="shared" si="61"/>
        <v>274459.75</v>
      </c>
      <c r="K157" s="525">
        <v>176816.09999999998</v>
      </c>
      <c r="L157" s="525">
        <f t="shared" si="62"/>
        <v>97643.650000000023</v>
      </c>
      <c r="M157" s="519">
        <v>30259.165626666669</v>
      </c>
      <c r="N157" s="601">
        <v>17042.713866666661</v>
      </c>
      <c r="O157" s="583">
        <f t="shared" si="60"/>
        <v>13216.451760000007</v>
      </c>
      <c r="P157" s="612"/>
      <c r="Q157" s="619">
        <f t="shared" si="63"/>
        <v>84427.198240000012</v>
      </c>
    </row>
    <row r="158" spans="1:17" ht="20.100000000000001" customHeight="1">
      <c r="A158" s="224">
        <v>25</v>
      </c>
      <c r="B158" s="364" t="s">
        <v>426</v>
      </c>
      <c r="C158" s="367" t="s">
        <v>290</v>
      </c>
      <c r="D158" s="434" t="s">
        <v>176</v>
      </c>
      <c r="E158" s="26">
        <v>224459.75</v>
      </c>
      <c r="F158" s="26"/>
      <c r="G158" s="212"/>
      <c r="H158" s="212">
        <f>50000</f>
        <v>50000</v>
      </c>
      <c r="I158" s="26"/>
      <c r="J158" s="525">
        <f t="shared" si="61"/>
        <v>274459.75</v>
      </c>
      <c r="K158" s="525">
        <v>176816.09999999998</v>
      </c>
      <c r="L158" s="525">
        <f t="shared" si="62"/>
        <v>97643.650000000023</v>
      </c>
      <c r="M158" s="519">
        <v>30259.165626666669</v>
      </c>
      <c r="N158" s="601">
        <v>17042.713866666661</v>
      </c>
      <c r="O158" s="583">
        <f t="shared" si="60"/>
        <v>13216.451760000007</v>
      </c>
      <c r="P158" s="612"/>
      <c r="Q158" s="619">
        <f t="shared" si="63"/>
        <v>84427.198240000012</v>
      </c>
    </row>
    <row r="159" spans="1:17" ht="20.100000000000001" customHeight="1">
      <c r="A159" s="224">
        <v>26</v>
      </c>
      <c r="B159" s="364" t="s">
        <v>441</v>
      </c>
      <c r="C159" s="367" t="s">
        <v>442</v>
      </c>
      <c r="D159" s="434" t="s">
        <v>176</v>
      </c>
      <c r="E159" s="26">
        <v>224459.75</v>
      </c>
      <c r="F159" s="26"/>
      <c r="G159" s="212"/>
      <c r="H159" s="212">
        <f>50000</f>
        <v>50000</v>
      </c>
      <c r="I159" s="26"/>
      <c r="J159" s="525">
        <f t="shared" si="61"/>
        <v>274459.75</v>
      </c>
      <c r="K159" s="525">
        <v>176816.09999999998</v>
      </c>
      <c r="L159" s="525">
        <f t="shared" si="62"/>
        <v>97643.650000000023</v>
      </c>
      <c r="M159" s="519">
        <v>30259.165626666669</v>
      </c>
      <c r="N159" s="601">
        <v>17042.713866666661</v>
      </c>
      <c r="O159" s="583">
        <f t="shared" si="60"/>
        <v>13216.451760000007</v>
      </c>
      <c r="P159" s="612"/>
      <c r="Q159" s="619">
        <f t="shared" si="63"/>
        <v>84427.198240000012</v>
      </c>
    </row>
    <row r="160" spans="1:17" ht="20.100000000000001" customHeight="1">
      <c r="A160" s="224">
        <v>27</v>
      </c>
      <c r="B160" s="364" t="s">
        <v>445</v>
      </c>
      <c r="C160" s="367" t="s">
        <v>446</v>
      </c>
      <c r="D160" s="434" t="s">
        <v>51</v>
      </c>
      <c r="E160" s="26">
        <v>230631.91666666666</v>
      </c>
      <c r="F160" s="26"/>
      <c r="G160" s="212"/>
      <c r="H160" s="212">
        <f>50000</f>
        <v>50000</v>
      </c>
      <c r="I160" s="26"/>
      <c r="J160" s="525">
        <f t="shared" si="61"/>
        <v>280631.91666666663</v>
      </c>
      <c r="K160" s="525">
        <v>180304.068</v>
      </c>
      <c r="L160" s="525">
        <f t="shared" si="62"/>
        <v>100327.84866666663</v>
      </c>
      <c r="M160" s="519">
        <v>31213.135706666657</v>
      </c>
      <c r="N160" s="601">
        <v>17572.88500266667</v>
      </c>
      <c r="O160" s="583">
        <f t="shared" si="60"/>
        <v>13640.250703999987</v>
      </c>
      <c r="P160" s="612"/>
      <c r="Q160" s="619">
        <f t="shared" si="63"/>
        <v>86687.597962666638</v>
      </c>
    </row>
    <row r="161" spans="1:17" ht="20.100000000000001" customHeight="1">
      <c r="A161" s="224">
        <v>28</v>
      </c>
      <c r="B161" s="364" t="s">
        <v>550</v>
      </c>
      <c r="C161" s="367" t="s">
        <v>290</v>
      </c>
      <c r="D161" s="434" t="s">
        <v>176</v>
      </c>
      <c r="E161" s="26">
        <v>224459.75</v>
      </c>
      <c r="F161" s="26"/>
      <c r="G161" s="212"/>
      <c r="H161" s="212">
        <f>50000</f>
        <v>50000</v>
      </c>
      <c r="I161" s="26"/>
      <c r="J161" s="525">
        <f t="shared" si="61"/>
        <v>274459.75</v>
      </c>
      <c r="K161" s="525">
        <v>176816.09999999998</v>
      </c>
      <c r="L161" s="525">
        <f t="shared" si="62"/>
        <v>97643.650000000023</v>
      </c>
      <c r="M161" s="519">
        <v>30259.165626666669</v>
      </c>
      <c r="N161" s="601">
        <v>17042.713866666661</v>
      </c>
      <c r="O161" s="583">
        <f t="shared" si="60"/>
        <v>13216.451760000007</v>
      </c>
      <c r="P161" s="612"/>
      <c r="Q161" s="619">
        <f t="shared" si="63"/>
        <v>84427.198240000012</v>
      </c>
    </row>
    <row r="162" spans="1:17" ht="20.100000000000001" customHeight="1">
      <c r="A162" s="224">
        <v>29</v>
      </c>
      <c r="B162" s="432" t="s">
        <v>22</v>
      </c>
      <c r="C162" s="367" t="s">
        <v>302</v>
      </c>
      <c r="D162" s="434" t="s">
        <v>751</v>
      </c>
      <c r="E162" s="225">
        <v>168598.16666666666</v>
      </c>
      <c r="F162" s="212"/>
      <c r="G162" s="212"/>
      <c r="H162" s="212">
        <f>30000</f>
        <v>30000</v>
      </c>
      <c r="I162" s="26">
        <f>4000</f>
        <v>4000</v>
      </c>
      <c r="J162" s="525">
        <f t="shared" si="61"/>
        <v>202598.16666666666</v>
      </c>
      <c r="K162" s="525">
        <v>135590.72999999998</v>
      </c>
      <c r="L162" s="525">
        <f t="shared" si="62"/>
        <v>67007.436666666676</v>
      </c>
      <c r="M162" s="519">
        <v>18892.983386666663</v>
      </c>
      <c r="N162" s="586">
        <v>10739.304799999998</v>
      </c>
      <c r="O162" s="583">
        <f t="shared" si="60"/>
        <v>8153.6785866666651</v>
      </c>
      <c r="P162" s="612"/>
      <c r="Q162" s="619">
        <f t="shared" si="63"/>
        <v>58853.758080000014</v>
      </c>
    </row>
    <row r="163" spans="1:17" ht="20.100000000000001" customHeight="1">
      <c r="A163" s="224">
        <v>30</v>
      </c>
      <c r="B163" s="432" t="s">
        <v>14</v>
      </c>
      <c r="C163" s="367" t="s">
        <v>302</v>
      </c>
      <c r="D163" s="434" t="s">
        <v>751</v>
      </c>
      <c r="E163" s="225">
        <v>168598.16666666666</v>
      </c>
      <c r="F163" s="212"/>
      <c r="G163" s="212"/>
      <c r="H163" s="212">
        <f>30000</f>
        <v>30000</v>
      </c>
      <c r="I163" s="26">
        <f>7000</f>
        <v>7000</v>
      </c>
      <c r="J163" s="525">
        <f t="shared" si="61"/>
        <v>205598.16666666666</v>
      </c>
      <c r="K163" s="525">
        <v>138590.72999999998</v>
      </c>
      <c r="L163" s="525">
        <f t="shared" si="62"/>
        <v>67007.436666666676</v>
      </c>
      <c r="M163" s="519">
        <v>19441.199306666666</v>
      </c>
      <c r="N163" s="586">
        <v>11232.457626666665</v>
      </c>
      <c r="O163" s="583">
        <f t="shared" si="60"/>
        <v>8208.741680000001</v>
      </c>
      <c r="P163" s="612"/>
      <c r="Q163" s="619">
        <f t="shared" si="63"/>
        <v>58798.694986666676</v>
      </c>
    </row>
    <row r="164" spans="1:17" ht="20.100000000000001" customHeight="1">
      <c r="A164" s="224">
        <v>31</v>
      </c>
      <c r="B164" s="432" t="s">
        <v>23</v>
      </c>
      <c r="C164" s="367" t="s">
        <v>302</v>
      </c>
      <c r="D164" s="434" t="s">
        <v>751</v>
      </c>
      <c r="E164" s="225">
        <v>168598.16666666666</v>
      </c>
      <c r="F164" s="212"/>
      <c r="G164" s="212"/>
      <c r="H164" s="212">
        <f>30000</f>
        <v>30000</v>
      </c>
      <c r="I164" s="26">
        <f>4000</f>
        <v>4000</v>
      </c>
      <c r="J164" s="525">
        <f t="shared" si="61"/>
        <v>202598.16666666666</v>
      </c>
      <c r="K164" s="525">
        <v>135590.72999999998</v>
      </c>
      <c r="L164" s="525">
        <f t="shared" si="62"/>
        <v>67007.436666666676</v>
      </c>
      <c r="M164" s="519">
        <v>18937.199306666666</v>
      </c>
      <c r="N164" s="586">
        <v>10776.457626666665</v>
      </c>
      <c r="O164" s="583">
        <f t="shared" si="60"/>
        <v>8160.741680000001</v>
      </c>
      <c r="P164" s="612"/>
      <c r="Q164" s="619">
        <f t="shared" si="63"/>
        <v>58846.694986666676</v>
      </c>
    </row>
    <row r="165" spans="1:17" ht="20.100000000000001" customHeight="1">
      <c r="A165" s="224">
        <v>32</v>
      </c>
      <c r="B165" s="432" t="s">
        <v>39</v>
      </c>
      <c r="C165" s="367" t="s">
        <v>302</v>
      </c>
      <c r="D165" s="434" t="s">
        <v>751</v>
      </c>
      <c r="E165" s="225">
        <v>168598.16666666666</v>
      </c>
      <c r="F165" s="212"/>
      <c r="G165" s="212"/>
      <c r="H165" s="212">
        <f>30000</f>
        <v>30000</v>
      </c>
      <c r="I165" s="26">
        <f>4000</f>
        <v>4000</v>
      </c>
      <c r="J165" s="525">
        <f t="shared" si="61"/>
        <v>202598.16666666666</v>
      </c>
      <c r="K165" s="525">
        <v>135590.72999999998</v>
      </c>
      <c r="L165" s="525">
        <f t="shared" si="62"/>
        <v>67007.436666666676</v>
      </c>
      <c r="M165" s="519">
        <v>18892.983386666663</v>
      </c>
      <c r="N165" s="586">
        <v>10739.304799999998</v>
      </c>
      <c r="O165" s="583">
        <f t="shared" si="60"/>
        <v>8153.6785866666651</v>
      </c>
      <c r="P165" s="612"/>
      <c r="Q165" s="619">
        <f t="shared" si="63"/>
        <v>58853.758080000014</v>
      </c>
    </row>
    <row r="166" spans="1:17" ht="20.100000000000001" customHeight="1">
      <c r="A166" s="224">
        <v>33</v>
      </c>
      <c r="B166" s="432" t="s">
        <v>40</v>
      </c>
      <c r="C166" s="367" t="s">
        <v>302</v>
      </c>
      <c r="D166" s="434" t="s">
        <v>751</v>
      </c>
      <c r="E166" s="225">
        <v>168598.16666666666</v>
      </c>
      <c r="F166" s="212"/>
      <c r="G166" s="212"/>
      <c r="H166" s="212">
        <f>30000</f>
        <v>30000</v>
      </c>
      <c r="I166" s="26">
        <f>4000</f>
        <v>4000</v>
      </c>
      <c r="J166" s="525">
        <f t="shared" si="61"/>
        <v>202598.16666666666</v>
      </c>
      <c r="K166" s="525">
        <v>135590.72999999998</v>
      </c>
      <c r="L166" s="525">
        <f t="shared" si="62"/>
        <v>67007.436666666676</v>
      </c>
      <c r="M166" s="519">
        <v>18937.199306666666</v>
      </c>
      <c r="N166" s="586">
        <v>10776.457626666665</v>
      </c>
      <c r="O166" s="583">
        <f t="shared" si="60"/>
        <v>8160.741680000001</v>
      </c>
      <c r="P166" s="612"/>
      <c r="Q166" s="619">
        <f t="shared" si="63"/>
        <v>58846.694986666676</v>
      </c>
    </row>
    <row r="167" spans="1:17" ht="20.100000000000001" customHeight="1">
      <c r="A167" s="224">
        <v>34</v>
      </c>
      <c r="B167" s="432" t="s">
        <v>127</v>
      </c>
      <c r="C167" s="367" t="s">
        <v>302</v>
      </c>
      <c r="D167" s="434" t="s">
        <v>501</v>
      </c>
      <c r="E167" s="225">
        <v>163336.83333333334</v>
      </c>
      <c r="F167" s="212"/>
      <c r="G167" s="212"/>
      <c r="H167" s="212">
        <f>20000+10000</f>
        <v>30000</v>
      </c>
      <c r="I167" s="26">
        <f>7000</f>
        <v>7000</v>
      </c>
      <c r="J167" s="525">
        <f t="shared" si="61"/>
        <v>200336.83333333334</v>
      </c>
      <c r="K167" s="525">
        <v>138590.72999999998</v>
      </c>
      <c r="L167" s="525">
        <f t="shared" si="62"/>
        <v>61746.103333333362</v>
      </c>
      <c r="M167" s="519">
        <v>18631.689440000002</v>
      </c>
      <c r="N167" s="586">
        <v>11232.457626666665</v>
      </c>
      <c r="O167" s="583">
        <f t="shared" si="60"/>
        <v>7399.2318133333374</v>
      </c>
      <c r="P167" s="612"/>
      <c r="Q167" s="619">
        <f t="shared" si="63"/>
        <v>54346.871520000022</v>
      </c>
    </row>
    <row r="168" spans="1:17" ht="20.100000000000001" customHeight="1">
      <c r="A168" s="224">
        <v>35</v>
      </c>
      <c r="B168" s="432" t="s">
        <v>128</v>
      </c>
      <c r="C168" s="367" t="s">
        <v>302</v>
      </c>
      <c r="D168" s="434" t="s">
        <v>501</v>
      </c>
      <c r="E168" s="225">
        <v>163336.83333333334</v>
      </c>
      <c r="F168" s="212"/>
      <c r="G168" s="212"/>
      <c r="H168" s="212">
        <f t="shared" ref="H168:H172" si="64">20000+10000</f>
        <v>30000</v>
      </c>
      <c r="I168" s="26">
        <f>4000</f>
        <v>4000</v>
      </c>
      <c r="J168" s="525">
        <f t="shared" si="61"/>
        <v>197336.83333333334</v>
      </c>
      <c r="K168" s="525">
        <v>135590.72999999998</v>
      </c>
      <c r="L168" s="525">
        <f t="shared" si="62"/>
        <v>61746.103333333362</v>
      </c>
      <c r="M168" s="519">
        <v>18175.689440000002</v>
      </c>
      <c r="N168" s="586">
        <v>10776.457626666665</v>
      </c>
      <c r="O168" s="583">
        <f t="shared" si="60"/>
        <v>7399.2318133333374</v>
      </c>
      <c r="P168" s="612"/>
      <c r="Q168" s="619">
        <f t="shared" si="63"/>
        <v>54346.871520000022</v>
      </c>
    </row>
    <row r="169" spans="1:17" ht="20.100000000000001" customHeight="1">
      <c r="A169" s="224">
        <v>36</v>
      </c>
      <c r="B169" s="365" t="s">
        <v>136</v>
      </c>
      <c r="C169" s="367" t="s">
        <v>302</v>
      </c>
      <c r="D169" s="434" t="s">
        <v>501</v>
      </c>
      <c r="E169" s="225">
        <v>163336.83333333334</v>
      </c>
      <c r="F169" s="212"/>
      <c r="G169" s="212"/>
      <c r="H169" s="212">
        <f t="shared" si="64"/>
        <v>30000</v>
      </c>
      <c r="I169" s="26">
        <f>7000</f>
        <v>7000</v>
      </c>
      <c r="J169" s="525">
        <f t="shared" si="61"/>
        <v>200336.83333333334</v>
      </c>
      <c r="K169" s="525">
        <v>138590.72999999998</v>
      </c>
      <c r="L169" s="525">
        <f t="shared" si="62"/>
        <v>61746.103333333362</v>
      </c>
      <c r="M169" s="519">
        <v>18631.689440000002</v>
      </c>
      <c r="N169" s="586">
        <v>11232.457626666665</v>
      </c>
      <c r="O169" s="583">
        <f t="shared" si="60"/>
        <v>7399.2318133333374</v>
      </c>
      <c r="P169" s="612"/>
      <c r="Q169" s="619">
        <f t="shared" si="63"/>
        <v>54346.871520000022</v>
      </c>
    </row>
    <row r="170" spans="1:17" ht="20.100000000000001" customHeight="1">
      <c r="A170" s="224">
        <v>37</v>
      </c>
      <c r="B170" s="432" t="s">
        <v>140</v>
      </c>
      <c r="C170" s="367" t="s">
        <v>302</v>
      </c>
      <c r="D170" s="434" t="s">
        <v>501</v>
      </c>
      <c r="E170" s="225">
        <v>163336.83333333334</v>
      </c>
      <c r="F170" s="212"/>
      <c r="G170" s="212"/>
      <c r="H170" s="212">
        <f t="shared" si="64"/>
        <v>30000</v>
      </c>
      <c r="I170" s="26">
        <f>4000</f>
        <v>4000</v>
      </c>
      <c r="J170" s="525">
        <f t="shared" si="61"/>
        <v>197336.83333333334</v>
      </c>
      <c r="K170" s="525">
        <v>135590.72999999998</v>
      </c>
      <c r="L170" s="525">
        <f t="shared" si="62"/>
        <v>61746.103333333362</v>
      </c>
      <c r="M170" s="519">
        <v>18175.689440000002</v>
      </c>
      <c r="N170" s="586">
        <v>10776.457626666665</v>
      </c>
      <c r="O170" s="583">
        <f t="shared" si="60"/>
        <v>7399.2318133333374</v>
      </c>
      <c r="P170" s="612"/>
      <c r="Q170" s="619">
        <f t="shared" si="63"/>
        <v>54346.871520000022</v>
      </c>
    </row>
    <row r="171" spans="1:17" ht="20.100000000000001" customHeight="1">
      <c r="A171" s="224">
        <v>38</v>
      </c>
      <c r="B171" s="364" t="s">
        <v>152</v>
      </c>
      <c r="C171" s="367" t="s">
        <v>302</v>
      </c>
      <c r="D171" s="434" t="s">
        <v>501</v>
      </c>
      <c r="E171" s="225">
        <v>163336.83333333334</v>
      </c>
      <c r="F171" s="212"/>
      <c r="G171" s="212"/>
      <c r="H171" s="212">
        <f t="shared" si="64"/>
        <v>30000</v>
      </c>
      <c r="I171" s="26">
        <f>4000</f>
        <v>4000</v>
      </c>
      <c r="J171" s="525">
        <f t="shared" si="61"/>
        <v>197336.83333333334</v>
      </c>
      <c r="K171" s="525">
        <v>135590.72999999998</v>
      </c>
      <c r="L171" s="525">
        <f t="shared" si="62"/>
        <v>61746.103333333362</v>
      </c>
      <c r="M171" s="519">
        <v>18175.689440000002</v>
      </c>
      <c r="N171" s="586">
        <v>10776.457626666665</v>
      </c>
      <c r="O171" s="583">
        <f t="shared" si="60"/>
        <v>7399.2318133333374</v>
      </c>
      <c r="P171" s="612"/>
      <c r="Q171" s="619">
        <f t="shared" si="63"/>
        <v>54346.871520000022</v>
      </c>
    </row>
    <row r="172" spans="1:17" ht="20.100000000000001" customHeight="1">
      <c r="A172" s="224">
        <v>39</v>
      </c>
      <c r="B172" s="364" t="s">
        <v>132</v>
      </c>
      <c r="C172" s="367" t="s">
        <v>302</v>
      </c>
      <c r="D172" s="434" t="s">
        <v>501</v>
      </c>
      <c r="E172" s="225">
        <v>163336.83333333334</v>
      </c>
      <c r="F172" s="212"/>
      <c r="G172" s="212"/>
      <c r="H172" s="212">
        <f t="shared" si="64"/>
        <v>30000</v>
      </c>
      <c r="I172" s="26">
        <f>7000</f>
        <v>7000</v>
      </c>
      <c r="J172" s="525">
        <f t="shared" si="61"/>
        <v>200336.83333333334</v>
      </c>
      <c r="K172" s="525">
        <v>138590.72999999998</v>
      </c>
      <c r="L172" s="525">
        <f t="shared" si="62"/>
        <v>61746.103333333362</v>
      </c>
      <c r="M172" s="519">
        <v>18631.689440000002</v>
      </c>
      <c r="N172" s="586">
        <v>11232.457626666665</v>
      </c>
      <c r="O172" s="583">
        <f t="shared" si="60"/>
        <v>7399.2318133333374</v>
      </c>
      <c r="P172" s="612"/>
      <c r="Q172" s="619">
        <f t="shared" si="63"/>
        <v>54346.871520000022</v>
      </c>
    </row>
    <row r="173" spans="1:17" ht="20.100000000000001" customHeight="1">
      <c r="A173" s="224">
        <v>40</v>
      </c>
      <c r="B173" s="432" t="s">
        <v>231</v>
      </c>
      <c r="C173" s="367" t="s">
        <v>714</v>
      </c>
      <c r="D173" s="434" t="s">
        <v>306</v>
      </c>
      <c r="E173" s="26">
        <v>152814.16666666666</v>
      </c>
      <c r="F173" s="212"/>
      <c r="G173" s="212"/>
      <c r="H173" s="212">
        <f>30000</f>
        <v>30000</v>
      </c>
      <c r="I173" s="26">
        <f>7000</f>
        <v>7000</v>
      </c>
      <c r="J173" s="525">
        <f t="shared" si="61"/>
        <v>189814.16666666666</v>
      </c>
      <c r="K173" s="525">
        <v>122104.99825</v>
      </c>
      <c r="L173" s="525">
        <f t="shared" si="62"/>
        <v>67709.168416666653</v>
      </c>
      <c r="M173" s="519">
        <v>17160.199733333338</v>
      </c>
      <c r="N173" s="586">
        <v>9152.5997900000002</v>
      </c>
      <c r="O173" s="583">
        <f t="shared" si="60"/>
        <v>8007.5999433333382</v>
      </c>
      <c r="P173" s="612"/>
      <c r="Q173" s="619">
        <f t="shared" si="63"/>
        <v>59701.568473333318</v>
      </c>
    </row>
    <row r="174" spans="1:17" ht="20.100000000000001" customHeight="1">
      <c r="A174" s="224">
        <v>41</v>
      </c>
      <c r="B174" s="432" t="s">
        <v>246</v>
      </c>
      <c r="C174" s="367" t="s">
        <v>714</v>
      </c>
      <c r="D174" s="434" t="s">
        <v>306</v>
      </c>
      <c r="E174" s="26">
        <v>152814.16666666666</v>
      </c>
      <c r="F174" s="212"/>
      <c r="G174" s="212"/>
      <c r="H174" s="212">
        <f>30000</f>
        <v>30000</v>
      </c>
      <c r="I174" s="26">
        <f>7000</f>
        <v>7000</v>
      </c>
      <c r="J174" s="525">
        <f t="shared" si="61"/>
        <v>189814.16666666666</v>
      </c>
      <c r="K174" s="525">
        <v>122104.99825</v>
      </c>
      <c r="L174" s="525">
        <f t="shared" si="62"/>
        <v>67709.168416666653</v>
      </c>
      <c r="M174" s="519">
        <v>17160.199733333338</v>
      </c>
      <c r="N174" s="586">
        <v>9152.5997900000002</v>
      </c>
      <c r="O174" s="583">
        <f t="shared" si="60"/>
        <v>8007.5999433333382</v>
      </c>
      <c r="P174" s="612"/>
      <c r="Q174" s="619">
        <f t="shared" si="63"/>
        <v>59701.568473333318</v>
      </c>
    </row>
    <row r="175" spans="1:17" ht="20.100000000000001" customHeight="1">
      <c r="A175" s="224">
        <v>42</v>
      </c>
      <c r="B175" s="364" t="s">
        <v>166</v>
      </c>
      <c r="C175" s="367" t="s">
        <v>714</v>
      </c>
      <c r="D175" s="434" t="s">
        <v>416</v>
      </c>
      <c r="E175" s="26">
        <v>158075.5</v>
      </c>
      <c r="F175" s="212"/>
      <c r="G175" s="212"/>
      <c r="H175" s="212">
        <f>30000</f>
        <v>30000</v>
      </c>
      <c r="I175" s="26">
        <f>7000</f>
        <v>7000</v>
      </c>
      <c r="J175" s="525">
        <f t="shared" si="61"/>
        <v>195075.5</v>
      </c>
      <c r="K175" s="525">
        <v>125035.03449999999</v>
      </c>
      <c r="L175" s="525">
        <f t="shared" si="62"/>
        <v>70040.465500000006</v>
      </c>
      <c r="M175" s="519">
        <v>17895.944586666668</v>
      </c>
      <c r="N175" s="586">
        <v>9504.2041399999998</v>
      </c>
      <c r="O175" s="583">
        <f t="shared" si="60"/>
        <v>8391.7404466666685</v>
      </c>
      <c r="P175" s="612"/>
      <c r="Q175" s="619">
        <f t="shared" si="63"/>
        <v>61648.725053333335</v>
      </c>
    </row>
    <row r="176" spans="1:17" ht="20.100000000000001" customHeight="1">
      <c r="A176" s="224">
        <v>43</v>
      </c>
      <c r="B176" s="432" t="s">
        <v>204</v>
      </c>
      <c r="C176" s="367" t="s">
        <v>167</v>
      </c>
      <c r="D176" s="434" t="s">
        <v>263</v>
      </c>
      <c r="E176" s="26">
        <v>94145.75</v>
      </c>
      <c r="F176" s="212"/>
      <c r="G176" s="212"/>
      <c r="H176" s="212">
        <f>20000</f>
        <v>20000</v>
      </c>
      <c r="I176" s="26">
        <f>7000</f>
        <v>7000</v>
      </c>
      <c r="J176" s="525">
        <f t="shared" si="61"/>
        <v>121145.75</v>
      </c>
      <c r="K176" s="525">
        <v>81803.001000000018</v>
      </c>
      <c r="L176" s="525">
        <f t="shared" si="62"/>
        <v>39342.748999999982</v>
      </c>
      <c r="M176" s="519">
        <v>8133.6907999999994</v>
      </c>
      <c r="N176" s="586">
        <v>4365.3307546666683</v>
      </c>
      <c r="O176" s="583">
        <f t="shared" si="60"/>
        <v>3768.3600453333311</v>
      </c>
      <c r="P176" s="612"/>
      <c r="Q176" s="619">
        <f t="shared" si="63"/>
        <v>35574.388954666647</v>
      </c>
    </row>
    <row r="177" spans="1:17" ht="20.100000000000001" customHeight="1">
      <c r="A177" s="224">
        <v>44</v>
      </c>
      <c r="B177" s="432" t="s">
        <v>209</v>
      </c>
      <c r="C177" s="367" t="s">
        <v>13</v>
      </c>
      <c r="D177" s="434" t="s">
        <v>752</v>
      </c>
      <c r="E177" s="26">
        <v>91598</v>
      </c>
      <c r="F177" s="212"/>
      <c r="G177" s="212"/>
      <c r="H177" s="212">
        <f>20000</f>
        <v>20000</v>
      </c>
      <c r="I177" s="26">
        <f>7000</f>
        <v>7000</v>
      </c>
      <c r="J177" s="525">
        <f t="shared" si="61"/>
        <v>118598</v>
      </c>
      <c r="K177" s="525">
        <v>80237.012000000002</v>
      </c>
      <c r="L177" s="525">
        <f t="shared" si="62"/>
        <v>38360.987999999998</v>
      </c>
      <c r="M177" s="519">
        <v>7852.4191999999994</v>
      </c>
      <c r="N177" s="586">
        <v>4227.5237226666677</v>
      </c>
      <c r="O177" s="583">
        <f t="shared" si="60"/>
        <v>3624.8954773333317</v>
      </c>
      <c r="P177" s="612"/>
      <c r="Q177" s="619">
        <f t="shared" si="63"/>
        <v>34736.092522666666</v>
      </c>
    </row>
    <row r="178" spans="1:17" ht="20.100000000000001" customHeight="1">
      <c r="A178" s="224">
        <v>45</v>
      </c>
      <c r="B178" s="432" t="s">
        <v>218</v>
      </c>
      <c r="C178" s="367" t="s">
        <v>13</v>
      </c>
      <c r="D178" s="434" t="s">
        <v>752</v>
      </c>
      <c r="E178" s="26">
        <v>91598</v>
      </c>
      <c r="F178" s="212"/>
      <c r="G178" s="212"/>
      <c r="H178" s="212">
        <f>20000</f>
        <v>20000</v>
      </c>
      <c r="I178" s="26">
        <f>4000</f>
        <v>4000</v>
      </c>
      <c r="J178" s="525">
        <f t="shared" si="61"/>
        <v>115598</v>
      </c>
      <c r="K178" s="525">
        <v>77237.012000000002</v>
      </c>
      <c r="L178" s="525">
        <f t="shared" si="62"/>
        <v>38360.987999999998</v>
      </c>
      <c r="M178" s="519">
        <v>7492.4192000000012</v>
      </c>
      <c r="N178" s="586">
        <v>3963.5237226666673</v>
      </c>
      <c r="O178" s="583">
        <f t="shared" si="60"/>
        <v>3528.8954773333339</v>
      </c>
      <c r="P178" s="612"/>
      <c r="Q178" s="619">
        <f t="shared" si="63"/>
        <v>34832.092522666666</v>
      </c>
    </row>
    <row r="179" spans="1:17" ht="20.100000000000001" customHeight="1">
      <c r="A179" s="224">
        <v>46</v>
      </c>
      <c r="B179" s="432" t="s">
        <v>219</v>
      </c>
      <c r="C179" s="367" t="s">
        <v>13</v>
      </c>
      <c r="D179" s="434" t="s">
        <v>752</v>
      </c>
      <c r="E179" s="26">
        <v>91598</v>
      </c>
      <c r="F179" s="212"/>
      <c r="G179" s="212"/>
      <c r="H179" s="212">
        <f>20000</f>
        <v>20000</v>
      </c>
      <c r="I179" s="26">
        <f>7000</f>
        <v>7000</v>
      </c>
      <c r="J179" s="525">
        <f t="shared" si="61"/>
        <v>118598</v>
      </c>
      <c r="K179" s="525">
        <v>80237.012000000002</v>
      </c>
      <c r="L179" s="525">
        <f t="shared" si="62"/>
        <v>38360.987999999998</v>
      </c>
      <c r="M179" s="519">
        <v>7852.4191999999994</v>
      </c>
      <c r="N179" s="586">
        <v>4227.5237226666677</v>
      </c>
      <c r="O179" s="583">
        <f t="shared" si="60"/>
        <v>3624.8954773333317</v>
      </c>
      <c r="P179" s="612"/>
      <c r="Q179" s="619">
        <f t="shared" si="63"/>
        <v>34736.092522666666</v>
      </c>
    </row>
    <row r="180" spans="1:17" ht="20.100000000000001" customHeight="1">
      <c r="A180" s="224">
        <v>47</v>
      </c>
      <c r="B180" s="432" t="s">
        <v>211</v>
      </c>
      <c r="C180" s="367" t="s">
        <v>13</v>
      </c>
      <c r="D180" s="434" t="s">
        <v>752</v>
      </c>
      <c r="E180" s="26">
        <v>91598</v>
      </c>
      <c r="F180" s="212"/>
      <c r="G180" s="212"/>
      <c r="H180" s="212">
        <f>20000</f>
        <v>20000</v>
      </c>
      <c r="I180" s="26">
        <f>4000</f>
        <v>4000</v>
      </c>
      <c r="J180" s="525">
        <f t="shared" si="61"/>
        <v>115598</v>
      </c>
      <c r="K180" s="525">
        <v>77237.012000000002</v>
      </c>
      <c r="L180" s="525">
        <f t="shared" si="62"/>
        <v>38360.987999999998</v>
      </c>
      <c r="M180" s="519">
        <v>7492.4192000000012</v>
      </c>
      <c r="N180" s="586">
        <v>3963.5237226666673</v>
      </c>
      <c r="O180" s="583">
        <f t="shared" si="60"/>
        <v>3528.8954773333339</v>
      </c>
      <c r="P180" s="612"/>
      <c r="Q180" s="619">
        <f t="shared" si="63"/>
        <v>34832.092522666666</v>
      </c>
    </row>
    <row r="181" spans="1:17" ht="20.100000000000001" customHeight="1">
      <c r="A181" s="224">
        <v>48</v>
      </c>
      <c r="B181" s="432" t="s">
        <v>213</v>
      </c>
      <c r="C181" s="367" t="s">
        <v>13</v>
      </c>
      <c r="D181" s="434" t="s">
        <v>752</v>
      </c>
      <c r="E181" s="26">
        <v>91598</v>
      </c>
      <c r="F181" s="212"/>
      <c r="G181" s="212"/>
      <c r="H181" s="212">
        <f>20000</f>
        <v>20000</v>
      </c>
      <c r="I181" s="26">
        <f>7000</f>
        <v>7000</v>
      </c>
      <c r="J181" s="525">
        <f t="shared" si="61"/>
        <v>118598</v>
      </c>
      <c r="K181" s="525">
        <v>80237.012000000002</v>
      </c>
      <c r="L181" s="525">
        <f t="shared" si="62"/>
        <v>38360.987999999998</v>
      </c>
      <c r="M181" s="519">
        <v>7852.4191999999994</v>
      </c>
      <c r="N181" s="586">
        <v>4227.5237226666677</v>
      </c>
      <c r="O181" s="583">
        <f t="shared" si="60"/>
        <v>3624.8954773333317</v>
      </c>
      <c r="P181" s="612"/>
      <c r="Q181" s="619">
        <f t="shared" si="63"/>
        <v>34736.092522666666</v>
      </c>
    </row>
    <row r="182" spans="1:17" ht="20.100000000000001" customHeight="1">
      <c r="A182" s="224">
        <v>49</v>
      </c>
      <c r="B182" s="364" t="s">
        <v>342</v>
      </c>
      <c r="C182" s="367" t="s">
        <v>13</v>
      </c>
      <c r="D182" s="434" t="s">
        <v>752</v>
      </c>
      <c r="E182" s="26">
        <v>91598</v>
      </c>
      <c r="F182" s="212"/>
      <c r="G182" s="212"/>
      <c r="H182" s="212">
        <f>20000</f>
        <v>20000</v>
      </c>
      <c r="I182" s="26">
        <f>4000</f>
        <v>4000</v>
      </c>
      <c r="J182" s="525">
        <f t="shared" si="61"/>
        <v>115598</v>
      </c>
      <c r="K182" s="525">
        <v>77237.012000000002</v>
      </c>
      <c r="L182" s="525">
        <f t="shared" si="62"/>
        <v>38360.987999999998</v>
      </c>
      <c r="M182" s="519">
        <v>7492.4192000000012</v>
      </c>
      <c r="N182" s="586">
        <v>3963.5237226666673</v>
      </c>
      <c r="O182" s="583">
        <f t="shared" si="60"/>
        <v>3528.8954773333339</v>
      </c>
      <c r="P182" s="612"/>
      <c r="Q182" s="619">
        <f t="shared" si="63"/>
        <v>34832.092522666666</v>
      </c>
    </row>
    <row r="183" spans="1:17" ht="20.100000000000001" customHeight="1">
      <c r="A183" s="224">
        <v>50</v>
      </c>
      <c r="B183" s="364" t="s">
        <v>405</v>
      </c>
      <c r="C183" s="367" t="s">
        <v>13</v>
      </c>
      <c r="D183" s="434" t="s">
        <v>752</v>
      </c>
      <c r="E183" s="26">
        <v>91598</v>
      </c>
      <c r="F183" s="212"/>
      <c r="G183" s="212"/>
      <c r="H183" s="212">
        <f>20000</f>
        <v>20000</v>
      </c>
      <c r="I183" s="26">
        <f>7000</f>
        <v>7000</v>
      </c>
      <c r="J183" s="525">
        <f t="shared" si="61"/>
        <v>118598</v>
      </c>
      <c r="K183" s="525">
        <v>80237.012000000002</v>
      </c>
      <c r="L183" s="525">
        <f t="shared" si="62"/>
        <v>38360.987999999998</v>
      </c>
      <c r="M183" s="519">
        <v>7852.4191999999994</v>
      </c>
      <c r="N183" s="586">
        <v>4227.5237226666677</v>
      </c>
      <c r="O183" s="583">
        <f t="shared" si="60"/>
        <v>3624.8954773333317</v>
      </c>
      <c r="P183" s="612"/>
      <c r="Q183" s="619">
        <f t="shared" si="63"/>
        <v>34736.092522666666</v>
      </c>
    </row>
    <row r="184" spans="1:17" ht="20.100000000000001" customHeight="1">
      <c r="A184" s="224">
        <v>51</v>
      </c>
      <c r="B184" s="432" t="s">
        <v>232</v>
      </c>
      <c r="C184" s="367" t="s">
        <v>167</v>
      </c>
      <c r="D184" s="434" t="s">
        <v>752</v>
      </c>
      <c r="E184" s="26">
        <v>91598</v>
      </c>
      <c r="F184" s="212"/>
      <c r="G184" s="212"/>
      <c r="H184" s="212">
        <v>20000</v>
      </c>
      <c r="I184" s="26">
        <v>7000</v>
      </c>
      <c r="J184" s="525">
        <f t="shared" si="61"/>
        <v>118598</v>
      </c>
      <c r="K184" s="525">
        <v>78671.023000000001</v>
      </c>
      <c r="L184" s="525">
        <f t="shared" si="62"/>
        <v>39926.976999999999</v>
      </c>
      <c r="M184" s="519">
        <v>7852.4191999999994</v>
      </c>
      <c r="N184" s="586">
        <v>4089.716690666668</v>
      </c>
      <c r="O184" s="583">
        <f t="shared" si="60"/>
        <v>3762.7025093333314</v>
      </c>
      <c r="P184" s="612"/>
      <c r="Q184" s="619">
        <f t="shared" si="63"/>
        <v>36164.27449066667</v>
      </c>
    </row>
    <row r="185" spans="1:17" ht="20.100000000000001" customHeight="1">
      <c r="A185" s="224">
        <v>52</v>
      </c>
      <c r="B185" s="432" t="s">
        <v>233</v>
      </c>
      <c r="C185" s="367" t="s">
        <v>167</v>
      </c>
      <c r="D185" s="434" t="s">
        <v>752</v>
      </c>
      <c r="E185" s="26">
        <v>91598</v>
      </c>
      <c r="F185" s="212"/>
      <c r="G185" s="212"/>
      <c r="H185" s="212">
        <v>20000</v>
      </c>
      <c r="I185" s="26">
        <f>7000</f>
        <v>7000</v>
      </c>
      <c r="J185" s="525">
        <f t="shared" si="61"/>
        <v>118598</v>
      </c>
      <c r="K185" s="525">
        <v>80237.012000000002</v>
      </c>
      <c r="L185" s="525">
        <f t="shared" si="62"/>
        <v>38360.987999999998</v>
      </c>
      <c r="M185" s="519">
        <v>7852.4191999999994</v>
      </c>
      <c r="N185" s="586">
        <v>4227.5237226666677</v>
      </c>
      <c r="O185" s="583">
        <f t="shared" si="60"/>
        <v>3624.8954773333317</v>
      </c>
      <c r="P185" s="612"/>
      <c r="Q185" s="619">
        <f t="shared" si="63"/>
        <v>34736.092522666666</v>
      </c>
    </row>
    <row r="186" spans="1:17" ht="20.100000000000001" customHeight="1">
      <c r="A186" s="224">
        <v>53</v>
      </c>
      <c r="B186" s="364" t="s">
        <v>279</v>
      </c>
      <c r="C186" s="367" t="s">
        <v>715</v>
      </c>
      <c r="D186" s="434" t="s">
        <v>301</v>
      </c>
      <c r="E186" s="26">
        <v>89050.25</v>
      </c>
      <c r="F186" s="212"/>
      <c r="G186" s="212"/>
      <c r="H186" s="212">
        <f>20000</f>
        <v>20000</v>
      </c>
      <c r="I186" s="26">
        <f>4000+3000</f>
        <v>7000</v>
      </c>
      <c r="J186" s="525">
        <f t="shared" si="61"/>
        <v>116050.25</v>
      </c>
      <c r="K186" s="525">
        <v>78671.023000000016</v>
      </c>
      <c r="L186" s="525">
        <f t="shared" si="62"/>
        <v>37379.226999999984</v>
      </c>
      <c r="M186" s="519">
        <v>7571.1475999999993</v>
      </c>
      <c r="N186" s="586">
        <v>4089.716690666668</v>
      </c>
      <c r="O186" s="583">
        <f t="shared" si="60"/>
        <v>3481.4309093333313</v>
      </c>
      <c r="P186" s="612"/>
      <c r="Q186" s="619">
        <f t="shared" si="63"/>
        <v>33897.796090666656</v>
      </c>
    </row>
    <row r="187" spans="1:17" ht="20.100000000000001" customHeight="1">
      <c r="A187" s="224">
        <v>54</v>
      </c>
      <c r="B187" s="364" t="s">
        <v>403</v>
      </c>
      <c r="C187" s="367" t="s">
        <v>13</v>
      </c>
      <c r="D187" s="434" t="s">
        <v>28</v>
      </c>
      <c r="E187" s="212">
        <v>80926.916666666672</v>
      </c>
      <c r="F187" s="212"/>
      <c r="G187" s="212"/>
      <c r="H187" s="212">
        <f>15000</f>
        <v>15000</v>
      </c>
      <c r="I187" s="26">
        <f>7000</f>
        <v>7000</v>
      </c>
      <c r="J187" s="525">
        <f t="shared" si="61"/>
        <v>102926.91666666667</v>
      </c>
      <c r="K187" s="525">
        <v>68675.99702499999</v>
      </c>
      <c r="L187" s="525">
        <f t="shared" si="62"/>
        <v>34250.919641666682</v>
      </c>
      <c r="M187" s="519">
        <v>6074.3316000000004</v>
      </c>
      <c r="N187" s="586">
        <v>3210.1544048666656</v>
      </c>
      <c r="O187" s="583">
        <f t="shared" si="60"/>
        <v>2864.1771951333349</v>
      </c>
      <c r="P187" s="612"/>
      <c r="Q187" s="619">
        <f t="shared" si="63"/>
        <v>31386.742446533346</v>
      </c>
    </row>
    <row r="188" spans="1:17" ht="20.100000000000001" customHeight="1">
      <c r="A188" s="224">
        <v>55</v>
      </c>
      <c r="B188" s="364" t="s">
        <v>557</v>
      </c>
      <c r="C188" s="367" t="s">
        <v>558</v>
      </c>
      <c r="D188" s="434" t="s">
        <v>150</v>
      </c>
      <c r="E188" s="26">
        <v>76540.75</v>
      </c>
      <c r="F188" s="38"/>
      <c r="G188" s="357"/>
      <c r="H188" s="60">
        <v>15000</v>
      </c>
      <c r="I188" s="60">
        <v>4000</v>
      </c>
      <c r="J188" s="525">
        <f t="shared" si="61"/>
        <v>95540.75</v>
      </c>
      <c r="K188" s="525">
        <v>62980.07925000001</v>
      </c>
      <c r="L188" s="525">
        <f t="shared" si="62"/>
        <v>32560.67074999999</v>
      </c>
      <c r="M188" s="519">
        <v>5230.0987999999998</v>
      </c>
      <c r="N188" s="586">
        <v>2708.9136406666671</v>
      </c>
      <c r="O188" s="583">
        <f t="shared" si="60"/>
        <v>2521.1851593333326</v>
      </c>
      <c r="P188" s="612"/>
      <c r="Q188" s="619">
        <f t="shared" si="63"/>
        <v>30039.485590666656</v>
      </c>
    </row>
    <row r="189" spans="1:17" ht="20.100000000000001" customHeight="1">
      <c r="A189" s="224">
        <v>56</v>
      </c>
      <c r="B189" s="364" t="s">
        <v>560</v>
      </c>
      <c r="C189" s="367" t="s">
        <v>558</v>
      </c>
      <c r="D189" s="434" t="s">
        <v>150</v>
      </c>
      <c r="E189" s="26">
        <v>76540.75</v>
      </c>
      <c r="F189" s="38"/>
      <c r="G189" s="357"/>
      <c r="H189" s="60">
        <v>15000</v>
      </c>
      <c r="I189" s="60">
        <v>4000</v>
      </c>
      <c r="J189" s="525">
        <f t="shared" si="61"/>
        <v>95540.75</v>
      </c>
      <c r="K189" s="525">
        <v>62980.07925000001</v>
      </c>
      <c r="L189" s="525">
        <f t="shared" si="62"/>
        <v>32560.67074999999</v>
      </c>
      <c r="M189" s="519">
        <v>5230.0987999999998</v>
      </c>
      <c r="N189" s="586">
        <v>2708.9136406666671</v>
      </c>
      <c r="O189" s="583">
        <f t="shared" si="60"/>
        <v>2521.1851593333326</v>
      </c>
      <c r="P189" s="612"/>
      <c r="Q189" s="619">
        <f t="shared" si="63"/>
        <v>30039.485590666656</v>
      </c>
    </row>
    <row r="190" spans="1:17" ht="20.100000000000001" customHeight="1">
      <c r="A190" s="224">
        <v>57</v>
      </c>
      <c r="B190" s="364" t="s">
        <v>561</v>
      </c>
      <c r="C190" s="367" t="s">
        <v>558</v>
      </c>
      <c r="D190" s="434" t="s">
        <v>150</v>
      </c>
      <c r="E190" s="26">
        <v>76540.75</v>
      </c>
      <c r="F190" s="38"/>
      <c r="G190" s="357"/>
      <c r="H190" s="60">
        <v>15000</v>
      </c>
      <c r="I190" s="60">
        <v>4000</v>
      </c>
      <c r="J190" s="525">
        <f t="shared" si="61"/>
        <v>95540.75</v>
      </c>
      <c r="K190" s="525">
        <v>62980.07925000001</v>
      </c>
      <c r="L190" s="525">
        <f t="shared" si="62"/>
        <v>32560.67074999999</v>
      </c>
      <c r="M190" s="519">
        <v>5230.0987999999998</v>
      </c>
      <c r="N190" s="586">
        <v>2708.9136406666671</v>
      </c>
      <c r="O190" s="583">
        <f t="shared" si="60"/>
        <v>2521.1851593333326</v>
      </c>
      <c r="P190" s="612"/>
      <c r="Q190" s="619">
        <f t="shared" si="63"/>
        <v>30039.485590666656</v>
      </c>
    </row>
    <row r="191" spans="1:17" ht="20.100000000000001" customHeight="1">
      <c r="A191" s="224">
        <v>58</v>
      </c>
      <c r="B191" s="364" t="s">
        <v>562</v>
      </c>
      <c r="C191" s="367" t="s">
        <v>563</v>
      </c>
      <c r="D191" s="434" t="s">
        <v>262</v>
      </c>
      <c r="E191" s="26">
        <v>86502.5</v>
      </c>
      <c r="F191" s="38"/>
      <c r="G191" s="212"/>
      <c r="H191" s="212">
        <f>15000</f>
        <v>15000</v>
      </c>
      <c r="I191" s="26">
        <v>7000</v>
      </c>
      <c r="J191" s="525">
        <f t="shared" si="61"/>
        <v>108502.5</v>
      </c>
      <c r="K191" s="525">
        <v>72103.749500000005</v>
      </c>
      <c r="L191" s="525">
        <f t="shared" si="62"/>
        <v>36398.750499999995</v>
      </c>
      <c r="M191" s="519">
        <v>6689.8759999999993</v>
      </c>
      <c r="N191" s="586">
        <v>3511.7966226666667</v>
      </c>
      <c r="O191" s="583">
        <f t="shared" si="60"/>
        <v>3178.0793773333326</v>
      </c>
      <c r="P191" s="612"/>
      <c r="Q191" s="619">
        <f t="shared" si="63"/>
        <v>33220.671122666659</v>
      </c>
    </row>
    <row r="192" spans="1:17" ht="20.100000000000001" customHeight="1">
      <c r="A192" s="224">
        <v>59</v>
      </c>
      <c r="B192" s="364" t="s">
        <v>565</v>
      </c>
      <c r="C192" s="367" t="s">
        <v>563</v>
      </c>
      <c r="D192" s="434" t="s">
        <v>262</v>
      </c>
      <c r="E192" s="26">
        <v>86502.5</v>
      </c>
      <c r="F192" s="38"/>
      <c r="G192" s="212"/>
      <c r="H192" s="212">
        <f>15000</f>
        <v>15000</v>
      </c>
      <c r="I192" s="26">
        <v>7000</v>
      </c>
      <c r="J192" s="525">
        <f t="shared" si="61"/>
        <v>108502.5</v>
      </c>
      <c r="K192" s="525">
        <v>72103.749500000005</v>
      </c>
      <c r="L192" s="525">
        <f t="shared" si="62"/>
        <v>36398.750499999995</v>
      </c>
      <c r="M192" s="519">
        <v>6689.8759999999993</v>
      </c>
      <c r="N192" s="586">
        <v>3511.7966226666667</v>
      </c>
      <c r="O192" s="583">
        <f t="shared" si="60"/>
        <v>3178.0793773333326</v>
      </c>
      <c r="P192" s="612"/>
      <c r="Q192" s="619">
        <f t="shared" si="63"/>
        <v>33220.671122666659</v>
      </c>
    </row>
    <row r="193" spans="1:17" ht="20.100000000000001" customHeight="1">
      <c r="A193" s="224"/>
      <c r="B193" s="210" t="s">
        <v>15</v>
      </c>
      <c r="C193" s="226" t="s">
        <v>710</v>
      </c>
      <c r="D193" s="358"/>
      <c r="E193" s="78">
        <f>SUM(E134:E192)</f>
        <v>14898686.416666664</v>
      </c>
      <c r="F193" s="78">
        <f t="shared" ref="F193:O193" si="65">SUM(F134:F192)</f>
        <v>0</v>
      </c>
      <c r="G193" s="78">
        <f t="shared" si="65"/>
        <v>0</v>
      </c>
      <c r="H193" s="78">
        <f t="shared" si="65"/>
        <v>2490000</v>
      </c>
      <c r="I193" s="78">
        <f t="shared" si="65"/>
        <v>228000</v>
      </c>
      <c r="J193" s="78">
        <f t="shared" si="65"/>
        <v>17616686.416666664</v>
      </c>
      <c r="K193" s="78">
        <v>11413301.213525007</v>
      </c>
      <c r="L193" s="78">
        <f t="shared" si="65"/>
        <v>6203385.2031416669</v>
      </c>
      <c r="M193" s="78">
        <f t="shared" si="65"/>
        <v>2121047.8747613332</v>
      </c>
      <c r="N193" s="587">
        <v>1265795.4594602012</v>
      </c>
      <c r="O193" s="587">
        <f t="shared" si="65"/>
        <v>855252.41530113295</v>
      </c>
      <c r="P193" s="608"/>
      <c r="Q193" s="598">
        <f>SUM(Q134:Q192)</f>
        <v>5348132.7878405293</v>
      </c>
    </row>
    <row r="194" spans="1:17" ht="30.75" customHeight="1">
      <c r="A194" s="357"/>
      <c r="B194" s="227" t="s">
        <v>8</v>
      </c>
      <c r="C194" s="228">
        <f>C34+C40+C54+C59+C72+C82+C95+C102+C112+C131+C193</f>
        <v>153</v>
      </c>
      <c r="D194" s="229"/>
      <c r="E194" s="230">
        <f>E193+E131+E118+E112+E102+E95+E82+E72+E59+E54+E40+E34</f>
        <v>64242790.416999996</v>
      </c>
      <c r="F194" s="230">
        <f t="shared" ref="F194:Q194" si="66">F193+F131+F118+F112+F102+F95+F82+F72+F59+F54+F40+F34</f>
        <v>0</v>
      </c>
      <c r="G194" s="230">
        <f t="shared" si="66"/>
        <v>7760000</v>
      </c>
      <c r="H194" s="230">
        <f t="shared" si="66"/>
        <v>5090000</v>
      </c>
      <c r="I194" s="230">
        <f t="shared" si="66"/>
        <v>2039337.4691050001</v>
      </c>
      <c r="J194" s="230">
        <f t="shared" si="66"/>
        <v>79132127.886105001</v>
      </c>
      <c r="K194" s="230">
        <f t="shared" si="66"/>
        <v>52358223.956575014</v>
      </c>
      <c r="L194" s="230">
        <f t="shared" si="66"/>
        <v>26773903.929529995</v>
      </c>
      <c r="M194" s="230">
        <f t="shared" si="66"/>
        <v>11287301.13186948</v>
      </c>
      <c r="N194" s="230">
        <f t="shared" si="66"/>
        <v>7214215.7686455874</v>
      </c>
      <c r="O194" s="230">
        <f t="shared" si="66"/>
        <v>4073085.3632238926</v>
      </c>
      <c r="P194" s="230">
        <f t="shared" si="66"/>
        <v>0</v>
      </c>
      <c r="Q194" s="536">
        <f t="shared" si="66"/>
        <v>22700818.566306099</v>
      </c>
    </row>
    <row r="195" spans="1:17" ht="20.100000000000001" customHeight="1">
      <c r="A195" s="202"/>
      <c r="B195" s="231"/>
      <c r="C195" s="202"/>
      <c r="D195" s="232"/>
      <c r="E195" s="232"/>
      <c r="F195" s="232"/>
      <c r="G195" s="233"/>
      <c r="H195" s="233"/>
      <c r="I195" s="233"/>
      <c r="J195" s="233"/>
      <c r="K195" s="233" t="s">
        <v>817</v>
      </c>
      <c r="L195" s="233"/>
      <c r="M195" s="233"/>
      <c r="N195" s="233"/>
      <c r="O195" s="233"/>
      <c r="P195" s="233"/>
      <c r="Q195" s="433"/>
    </row>
    <row r="196" spans="1:17" ht="36.75" customHeight="1">
      <c r="A196" s="202"/>
      <c r="B196" s="231"/>
      <c r="C196" s="232"/>
      <c r="D196" s="232"/>
      <c r="E196" s="232"/>
      <c r="F196" s="232"/>
      <c r="G196" s="233"/>
      <c r="H196" s="233"/>
      <c r="J196" s="433"/>
      <c r="L196" s="433"/>
      <c r="M196" s="233"/>
      <c r="N196" s="233"/>
      <c r="O196" s="233"/>
      <c r="P196" s="233"/>
    </row>
    <row r="197" spans="1:17">
      <c r="J197" s="433"/>
      <c r="K197" s="433"/>
      <c r="M197" s="433"/>
    </row>
    <row r="198" spans="1:17" ht="20.100000000000001" customHeight="1">
      <c r="J198" s="433"/>
    </row>
  </sheetData>
  <mergeCells count="1">
    <mergeCell ref="A1:F1"/>
  </mergeCells>
  <pageMargins left="0.70866141732283472" right="0.70866141732283472" top="0.74803149606299213" bottom="0.74803149606299213" header="0.31496062992125984" footer="0.31496062992125984"/>
  <pageSetup paperSize="9" scale="35" orientation="landscape" verticalDpi="0" r:id="rId1"/>
  <rowBreaks count="2" manualBreakCount="2">
    <brk id="124" max="16" man="1"/>
    <brk id="19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6"/>
  <sheetViews>
    <sheetView topLeftCell="Q13" workbookViewId="0">
      <selection activeCell="V24" sqref="V24"/>
    </sheetView>
  </sheetViews>
  <sheetFormatPr defaultRowHeight="12.75"/>
  <cols>
    <col min="1" max="1" width="6.85546875" customWidth="1"/>
    <col min="2" max="2" width="39.140625" customWidth="1"/>
    <col min="3" max="3" width="16.85546875" customWidth="1"/>
    <col min="4" max="4" width="6.7109375" customWidth="1"/>
    <col min="5" max="5" width="13.140625" customWidth="1"/>
    <col min="6" max="6" width="10.28515625" customWidth="1"/>
    <col min="7" max="7" width="9.28515625" customWidth="1"/>
    <col min="8" max="8" width="5.85546875" customWidth="1"/>
    <col min="9" max="9" width="12.85546875" customWidth="1"/>
    <col min="10" max="10" width="11.5703125" customWidth="1"/>
    <col min="11" max="11" width="6.85546875" customWidth="1"/>
    <col min="12" max="12" width="10.85546875" customWidth="1"/>
    <col min="13" max="13" width="12.5703125" customWidth="1"/>
    <col min="14" max="14" width="11" customWidth="1"/>
    <col min="15" max="15" width="12.140625" customWidth="1"/>
    <col min="16" max="16" width="15.42578125" customWidth="1"/>
    <col min="17" max="17" width="16.5703125" customWidth="1"/>
    <col min="18" max="18" width="9.85546875" customWidth="1"/>
    <col min="19" max="19" width="10.5703125" customWidth="1"/>
    <col min="20" max="20" width="11.5703125" customWidth="1"/>
    <col min="21" max="21" width="12.42578125" customWidth="1"/>
    <col min="22" max="22" width="11.5703125" customWidth="1"/>
    <col min="23" max="23" width="9.5703125" customWidth="1"/>
    <col min="24" max="24" width="10.85546875" customWidth="1"/>
    <col min="25" max="25" width="9" customWidth="1"/>
    <col min="26" max="26" width="14.140625" customWidth="1"/>
    <col min="27" max="27" width="16.28515625" customWidth="1"/>
    <col min="28" max="28" width="14.7109375" customWidth="1"/>
    <col min="29" max="29" width="27.42578125" customWidth="1"/>
  </cols>
  <sheetData>
    <row r="1" spans="1:31" ht="13.5" hidden="1" thickBot="1">
      <c r="A1" s="720" t="s">
        <v>234</v>
      </c>
      <c r="B1" s="720"/>
      <c r="C1" s="720"/>
      <c r="D1" s="720"/>
      <c r="E1" s="720"/>
      <c r="F1" s="720"/>
      <c r="G1" s="720"/>
      <c r="H1" s="720"/>
      <c r="I1" s="720"/>
      <c r="J1" s="720"/>
      <c r="K1" s="720"/>
      <c r="L1" s="720"/>
      <c r="M1" s="720"/>
      <c r="N1" s="720"/>
      <c r="O1" s="720"/>
      <c r="P1" s="720"/>
      <c r="Q1" s="720"/>
      <c r="R1" s="720"/>
      <c r="S1" s="720"/>
      <c r="T1" s="720"/>
      <c r="U1" s="720"/>
      <c r="V1" s="720"/>
      <c r="W1" s="720"/>
      <c r="X1" s="720"/>
      <c r="Y1" s="720"/>
      <c r="Z1" s="468"/>
    </row>
    <row r="2" spans="1:31" ht="13.5" hidden="1" thickBot="1">
      <c r="A2" s="721" t="s">
        <v>509</v>
      </c>
      <c r="B2" s="721"/>
      <c r="C2" s="721"/>
      <c r="D2" s="721"/>
      <c r="E2" s="721"/>
      <c r="F2" s="721"/>
      <c r="G2" s="721"/>
      <c r="H2" s="721"/>
      <c r="I2" s="721"/>
      <c r="J2" s="721"/>
      <c r="K2" s="721"/>
      <c r="L2" s="721"/>
      <c r="M2" s="721"/>
      <c r="N2" s="721"/>
      <c r="O2" s="721"/>
      <c r="P2" s="721"/>
      <c r="Q2" s="721"/>
      <c r="R2" s="721"/>
      <c r="S2" s="721"/>
      <c r="T2" s="721"/>
      <c r="U2" s="721"/>
      <c r="V2" s="721"/>
      <c r="W2" s="721"/>
      <c r="X2" s="721"/>
      <c r="Y2" s="721"/>
      <c r="Z2" s="468"/>
    </row>
    <row r="3" spans="1:31" ht="13.5" hidden="1" thickBot="1">
      <c r="A3" s="722" t="s">
        <v>759</v>
      </c>
      <c r="B3" s="720"/>
      <c r="C3" s="720"/>
      <c r="D3" s="720"/>
      <c r="E3" s="720"/>
      <c r="F3" s="720"/>
      <c r="G3" s="720"/>
      <c r="H3" s="720"/>
      <c r="I3" s="720"/>
      <c r="J3" s="720"/>
      <c r="K3" s="720"/>
      <c r="L3" s="720"/>
      <c r="M3" s="720"/>
      <c r="N3" s="720"/>
      <c r="O3" s="720"/>
      <c r="P3" s="720"/>
      <c r="Q3" s="720"/>
      <c r="R3" s="720"/>
      <c r="S3" s="720"/>
      <c r="T3" s="720"/>
      <c r="U3" s="720"/>
      <c r="V3" s="720"/>
      <c r="W3" s="720"/>
      <c r="X3" s="720"/>
      <c r="Y3" s="720"/>
      <c r="Z3" s="468"/>
    </row>
    <row r="4" spans="1:31" ht="83.25" customHeight="1">
      <c r="A4" s="469" t="s">
        <v>122</v>
      </c>
      <c r="B4" s="470" t="s">
        <v>487</v>
      </c>
      <c r="C4" s="471" t="s">
        <v>510</v>
      </c>
      <c r="D4" s="470" t="s">
        <v>511</v>
      </c>
      <c r="E4" s="471" t="s">
        <v>512</v>
      </c>
      <c r="F4" s="471" t="s">
        <v>513</v>
      </c>
      <c r="G4" s="471" t="s">
        <v>514</v>
      </c>
      <c r="H4" s="471" t="s">
        <v>515</v>
      </c>
      <c r="I4" s="471" t="s">
        <v>516</v>
      </c>
      <c r="J4" s="471"/>
      <c r="K4" s="471"/>
      <c r="L4" s="471"/>
      <c r="M4" s="471" t="s">
        <v>517</v>
      </c>
      <c r="N4" s="471" t="s">
        <v>518</v>
      </c>
      <c r="O4" s="471" t="s">
        <v>519</v>
      </c>
      <c r="P4" s="471" t="s">
        <v>520</v>
      </c>
      <c r="Q4" s="471" t="s">
        <v>521</v>
      </c>
      <c r="R4" s="471" t="s">
        <v>522</v>
      </c>
      <c r="S4" s="471" t="s">
        <v>523</v>
      </c>
      <c r="T4" s="471" t="s">
        <v>524</v>
      </c>
      <c r="U4" s="471" t="s">
        <v>525</v>
      </c>
      <c r="V4" s="471" t="s">
        <v>526</v>
      </c>
      <c r="W4" s="471"/>
      <c r="X4" s="471" t="s">
        <v>527</v>
      </c>
      <c r="Y4" s="471" t="s">
        <v>528</v>
      </c>
      <c r="Z4" s="471" t="s">
        <v>529</v>
      </c>
      <c r="AA4" s="472"/>
      <c r="AB4" s="472" t="s">
        <v>531</v>
      </c>
    </row>
    <row r="5" spans="1:31" ht="18.75">
      <c r="A5" s="473">
        <v>1</v>
      </c>
      <c r="B5" s="210" t="s">
        <v>433</v>
      </c>
      <c r="C5" s="474"/>
      <c r="D5" s="475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  <c r="P5" s="476"/>
      <c r="Q5" s="476"/>
      <c r="R5" s="476"/>
      <c r="S5" s="476"/>
      <c r="T5" s="476"/>
      <c r="U5" s="476"/>
      <c r="V5" s="476"/>
      <c r="W5" s="477"/>
      <c r="X5" s="476"/>
      <c r="Y5" s="476"/>
      <c r="Z5" s="476"/>
      <c r="AA5" s="36"/>
      <c r="AB5" s="36"/>
      <c r="AC5" s="36"/>
      <c r="AD5" s="36"/>
      <c r="AE5" s="36"/>
    </row>
    <row r="6" spans="1:31" ht="37.5">
      <c r="A6" s="473">
        <v>3</v>
      </c>
      <c r="B6" s="432" t="s">
        <v>224</v>
      </c>
      <c r="C6" s="491">
        <v>1158849.8399999999</v>
      </c>
      <c r="D6" s="485">
        <v>12</v>
      </c>
      <c r="E6" s="484">
        <f>C6*D6</f>
        <v>13906198.079999998</v>
      </c>
      <c r="F6" s="484"/>
      <c r="G6" s="484"/>
      <c r="H6" s="484"/>
      <c r="I6" s="484">
        <f t="shared" ref="I6:I75" si="0">E6-F6-G6-H6</f>
        <v>13906198.079999998</v>
      </c>
      <c r="J6" s="484">
        <v>200000</v>
      </c>
      <c r="K6" s="484">
        <v>0.2</v>
      </c>
      <c r="L6" s="484">
        <f t="shared" ref="L6:L75" si="1">I6*K6</f>
        <v>2781239.6159999999</v>
      </c>
      <c r="M6" s="484">
        <f t="shared" ref="M6:M75" si="2">J6+L6</f>
        <v>2981239.6159999999</v>
      </c>
      <c r="N6" s="484">
        <f t="shared" ref="N6:N75" si="3">F6+G6+H6+M6</f>
        <v>2981239.6159999999</v>
      </c>
      <c r="O6" s="484">
        <f t="shared" ref="O6:O75" si="4">E6-N6</f>
        <v>10924958.463999998</v>
      </c>
      <c r="P6" s="484">
        <f t="shared" ref="P6:P75" si="5">IF(O6&lt;300000,0.07*O6,21000)</f>
        <v>21000</v>
      </c>
      <c r="Q6" s="484">
        <f t="shared" ref="Q6:Q75" si="6">IF((O6-300000)&lt;0,0,IF((O6-300000)&lt;300000,0.11*(O6-300000),33000))</f>
        <v>33000</v>
      </c>
      <c r="R6" s="484">
        <f t="shared" ref="R6:R75" si="7">IF((O6-600000)&lt;0,0,IF((O6-600000)&lt;500000,0.15*(O6-600000),75000))</f>
        <v>75000</v>
      </c>
      <c r="S6" s="484">
        <f t="shared" ref="S6:S75" si="8">IF((O6-1100000)&lt;0,0,IF((O6-1100000)&lt;500000,0.19*(O6-1100000),95000))</f>
        <v>95000</v>
      </c>
      <c r="T6" s="484">
        <f t="shared" ref="T6:T75" si="9">IF((O6-1600000)&lt;0,0,IF((O6-1600000)&lt;1600000,0.21*(O6-1600000),336000))</f>
        <v>336000</v>
      </c>
      <c r="U6" s="484">
        <f t="shared" ref="U6:U73" si="10">24%*(O6-3200000)</f>
        <v>1853990.0313599994</v>
      </c>
      <c r="V6" s="484">
        <f t="shared" ref="V6:V75" si="11">P6+Q6+R6+S6+T6+U6</f>
        <v>2413990.0313599994</v>
      </c>
      <c r="W6" s="488">
        <v>12</v>
      </c>
      <c r="X6" s="484">
        <f t="shared" ref="X6:X75" si="12">V6/W6</f>
        <v>201165.83594666663</v>
      </c>
      <c r="Y6" s="484"/>
      <c r="Z6" s="484">
        <f t="shared" ref="Z6:Z75" si="13">X6</f>
        <v>201165.83594666663</v>
      </c>
      <c r="AA6" s="36">
        <v>201165.83594666663</v>
      </c>
      <c r="AB6" s="36">
        <f>Z6-AA6</f>
        <v>0</v>
      </c>
      <c r="AC6" s="36"/>
      <c r="AD6" s="36"/>
      <c r="AE6" s="36"/>
    </row>
    <row r="7" spans="1:31" ht="18.75">
      <c r="A7" s="473">
        <v>4</v>
      </c>
      <c r="B7" s="432" t="s">
        <v>315</v>
      </c>
      <c r="C7" s="491">
        <v>541465.02474999998</v>
      </c>
      <c r="D7" s="485">
        <v>12</v>
      </c>
      <c r="E7" s="484">
        <f t="shared" ref="E7:E32" si="14">C7*D7</f>
        <v>6497580.2970000003</v>
      </c>
      <c r="F7" s="484"/>
      <c r="G7" s="484"/>
      <c r="H7" s="484"/>
      <c r="I7" s="484">
        <f t="shared" si="0"/>
        <v>6497580.2970000003</v>
      </c>
      <c r="J7" s="484">
        <v>200000</v>
      </c>
      <c r="K7" s="484">
        <v>0.2</v>
      </c>
      <c r="L7" s="484">
        <f t="shared" si="1"/>
        <v>1299516.0594000001</v>
      </c>
      <c r="M7" s="484">
        <f t="shared" si="2"/>
        <v>1499516.0594000001</v>
      </c>
      <c r="N7" s="484">
        <f t="shared" si="3"/>
        <v>1499516.0594000001</v>
      </c>
      <c r="O7" s="484">
        <f t="shared" si="4"/>
        <v>4998064.2376000006</v>
      </c>
      <c r="P7" s="484">
        <f t="shared" si="5"/>
        <v>21000</v>
      </c>
      <c r="Q7" s="484">
        <f t="shared" si="6"/>
        <v>33000</v>
      </c>
      <c r="R7" s="484">
        <f t="shared" si="7"/>
        <v>75000</v>
      </c>
      <c r="S7" s="484">
        <f t="shared" si="8"/>
        <v>95000</v>
      </c>
      <c r="T7" s="484">
        <f t="shared" si="9"/>
        <v>336000</v>
      </c>
      <c r="U7" s="484">
        <f t="shared" si="10"/>
        <v>431535.41702400014</v>
      </c>
      <c r="V7" s="484">
        <f t="shared" si="11"/>
        <v>991535.41702400008</v>
      </c>
      <c r="W7" s="488">
        <v>12</v>
      </c>
      <c r="X7" s="484">
        <f t="shared" si="12"/>
        <v>82627.951418666678</v>
      </c>
      <c r="Y7" s="484"/>
      <c r="Z7" s="484">
        <f t="shared" si="13"/>
        <v>82627.951418666678</v>
      </c>
      <c r="AA7" s="36">
        <v>82627.951418666678</v>
      </c>
      <c r="AB7" s="36">
        <f t="shared" ref="AB7:AB32" si="15">Z7-AA7</f>
        <v>0</v>
      </c>
      <c r="AC7" s="36"/>
      <c r="AD7" s="36"/>
      <c r="AE7" s="36"/>
    </row>
    <row r="8" spans="1:31" ht="18.75">
      <c r="A8" s="473">
        <v>5</v>
      </c>
      <c r="B8" s="365" t="s">
        <v>317</v>
      </c>
      <c r="C8" s="491">
        <v>741465.0247500001</v>
      </c>
      <c r="D8" s="485">
        <v>12</v>
      </c>
      <c r="E8" s="484">
        <f t="shared" si="14"/>
        <v>8897580.2970000021</v>
      </c>
      <c r="F8" s="484"/>
      <c r="G8" s="484"/>
      <c r="H8" s="484"/>
      <c r="I8" s="484">
        <f t="shared" si="0"/>
        <v>8897580.2970000021</v>
      </c>
      <c r="J8" s="484">
        <v>200000</v>
      </c>
      <c r="K8" s="484">
        <v>0.2</v>
      </c>
      <c r="L8" s="484">
        <f t="shared" si="1"/>
        <v>1779516.0594000006</v>
      </c>
      <c r="M8" s="484">
        <f t="shared" si="2"/>
        <v>1979516.0594000006</v>
      </c>
      <c r="N8" s="484">
        <f t="shared" si="3"/>
        <v>1979516.0594000006</v>
      </c>
      <c r="O8" s="484">
        <f t="shared" si="4"/>
        <v>6918064.2376000015</v>
      </c>
      <c r="P8" s="484">
        <f t="shared" si="5"/>
        <v>21000</v>
      </c>
      <c r="Q8" s="484">
        <f t="shared" si="6"/>
        <v>33000</v>
      </c>
      <c r="R8" s="484">
        <f t="shared" si="7"/>
        <v>75000</v>
      </c>
      <c r="S8" s="484">
        <f t="shared" si="8"/>
        <v>95000</v>
      </c>
      <c r="T8" s="484">
        <f t="shared" si="9"/>
        <v>336000</v>
      </c>
      <c r="U8" s="484">
        <f t="shared" si="10"/>
        <v>892335.41702400031</v>
      </c>
      <c r="V8" s="484">
        <f t="shared" si="11"/>
        <v>1452335.4170240003</v>
      </c>
      <c r="W8" s="488">
        <v>12</v>
      </c>
      <c r="X8" s="484">
        <f t="shared" si="12"/>
        <v>121027.95141866669</v>
      </c>
      <c r="Y8" s="484"/>
      <c r="Z8" s="484">
        <f t="shared" si="13"/>
        <v>121027.95141866669</v>
      </c>
      <c r="AA8" s="36">
        <v>121027.95141866669</v>
      </c>
      <c r="AB8" s="36">
        <f t="shared" si="15"/>
        <v>0</v>
      </c>
      <c r="AC8" s="36"/>
      <c r="AD8" s="36"/>
      <c r="AE8" s="36"/>
    </row>
    <row r="9" spans="1:31" ht="18.75">
      <c r="A9" s="473">
        <v>6</v>
      </c>
      <c r="B9" s="432" t="s">
        <v>187</v>
      </c>
      <c r="C9" s="491">
        <v>631465.0247500001</v>
      </c>
      <c r="D9" s="485">
        <v>12</v>
      </c>
      <c r="E9" s="484">
        <f t="shared" si="14"/>
        <v>7577580.2970000012</v>
      </c>
      <c r="F9" s="484">
        <f>'[4]JANUARY 2024'!$V$10*12</f>
        <v>12795.951000000001</v>
      </c>
      <c r="G9" s="484"/>
      <c r="H9" s="484"/>
      <c r="I9" s="484">
        <f>E9-F9-G9-H9</f>
        <v>7564784.3460000008</v>
      </c>
      <c r="J9" s="484">
        <v>200000</v>
      </c>
      <c r="K9" s="484">
        <v>0.2</v>
      </c>
      <c r="L9" s="484">
        <f>I9*K9</f>
        <v>1512956.8692000003</v>
      </c>
      <c r="M9" s="484">
        <f>J9+L9</f>
        <v>1712956.8692000003</v>
      </c>
      <c r="N9" s="484">
        <f>F9+G9+H9+M9</f>
        <v>1725752.8202000004</v>
      </c>
      <c r="O9" s="484">
        <f>E9-N9</f>
        <v>5851827.4768000003</v>
      </c>
      <c r="P9" s="484">
        <f>IF(O9&lt;300000,0.07*O9,21000)</f>
        <v>21000</v>
      </c>
      <c r="Q9" s="484">
        <f>IF((O9-300000)&lt;0,0,IF((O9-300000)&lt;300000,0.11*(O9-300000),33000))</f>
        <v>33000</v>
      </c>
      <c r="R9" s="484">
        <f>IF((O9-600000)&lt;0,0,IF((O9-600000)&lt;500000,0.15*(O9-600000),75000))</f>
        <v>75000</v>
      </c>
      <c r="S9" s="484">
        <f>IF((O9-1100000)&lt;0,0,IF((O9-1100000)&lt;500000,0.19*(O9-1100000),95000))</f>
        <v>95000</v>
      </c>
      <c r="T9" s="484">
        <f>IF((O9-1600000)&lt;0,0,IF((O9-1600000)&lt;1600000,0.21*(O9-1600000),336000))</f>
        <v>336000</v>
      </c>
      <c r="U9" s="484">
        <f>24%*(O9-3200000)</f>
        <v>636438.59443200007</v>
      </c>
      <c r="V9" s="484">
        <f>P9+Q9+R9+S9+T9+U9</f>
        <v>1196438.5944320001</v>
      </c>
      <c r="W9" s="488">
        <v>12</v>
      </c>
      <c r="X9" s="484">
        <f>V9/W9</f>
        <v>99703.216202666677</v>
      </c>
      <c r="Y9" s="484"/>
      <c r="Z9" s="484">
        <f>X9</f>
        <v>99703.216202666677</v>
      </c>
      <c r="AA9" s="36">
        <v>99703.216202666677</v>
      </c>
      <c r="AB9" s="36">
        <f t="shared" si="15"/>
        <v>0</v>
      </c>
      <c r="AC9" s="36"/>
      <c r="AD9" s="36"/>
      <c r="AE9" s="36"/>
    </row>
    <row r="10" spans="1:31" ht="18.75">
      <c r="A10" s="473">
        <v>7</v>
      </c>
      <c r="B10" s="365" t="s">
        <v>203</v>
      </c>
      <c r="C10" s="491">
        <v>691465.0247500001</v>
      </c>
      <c r="D10" s="485">
        <v>12</v>
      </c>
      <c r="E10" s="484">
        <f t="shared" si="14"/>
        <v>8297580.2970000012</v>
      </c>
      <c r="F10" s="484">
        <f>'[4]JANUARY 2024'!$V$10*12</f>
        <v>12795.951000000001</v>
      </c>
      <c r="G10" s="484"/>
      <c r="H10" s="484"/>
      <c r="I10" s="484">
        <f t="shared" si="0"/>
        <v>8284784.3460000008</v>
      </c>
      <c r="J10" s="484">
        <v>200000</v>
      </c>
      <c r="K10" s="484">
        <v>0.2</v>
      </c>
      <c r="L10" s="484">
        <f t="shared" si="1"/>
        <v>1656956.8692000003</v>
      </c>
      <c r="M10" s="484">
        <f t="shared" si="2"/>
        <v>1856956.8692000003</v>
      </c>
      <c r="N10" s="484">
        <f t="shared" si="3"/>
        <v>1869752.8202000004</v>
      </c>
      <c r="O10" s="484">
        <f t="shared" si="4"/>
        <v>6427827.4768000003</v>
      </c>
      <c r="P10" s="484">
        <f t="shared" si="5"/>
        <v>21000</v>
      </c>
      <c r="Q10" s="484">
        <f t="shared" si="6"/>
        <v>33000</v>
      </c>
      <c r="R10" s="484">
        <f t="shared" si="7"/>
        <v>75000</v>
      </c>
      <c r="S10" s="484">
        <f t="shared" si="8"/>
        <v>95000</v>
      </c>
      <c r="T10" s="484">
        <f t="shared" si="9"/>
        <v>336000</v>
      </c>
      <c r="U10" s="484">
        <f t="shared" si="10"/>
        <v>774678.59443200007</v>
      </c>
      <c r="V10" s="484">
        <f t="shared" si="11"/>
        <v>1334678.5944320001</v>
      </c>
      <c r="W10" s="488">
        <v>12</v>
      </c>
      <c r="X10" s="484">
        <f t="shared" si="12"/>
        <v>111223.21620266668</v>
      </c>
      <c r="Y10" s="484"/>
      <c r="Z10" s="484">
        <f t="shared" si="13"/>
        <v>111223.21620266668</v>
      </c>
      <c r="AA10" s="36">
        <v>111223.21620266668</v>
      </c>
      <c r="AB10" s="36">
        <f t="shared" si="15"/>
        <v>0</v>
      </c>
      <c r="AC10" s="36"/>
      <c r="AD10" s="36"/>
      <c r="AE10" s="36"/>
    </row>
    <row r="11" spans="1:31" ht="18.75">
      <c r="A11" s="473">
        <v>8</v>
      </c>
      <c r="B11" s="364" t="s">
        <v>364</v>
      </c>
      <c r="C11" s="491">
        <v>641465.02474999998</v>
      </c>
      <c r="D11" s="485">
        <v>12</v>
      </c>
      <c r="E11" s="484">
        <f t="shared" si="14"/>
        <v>7697580.2970000003</v>
      </c>
      <c r="F11" s="484"/>
      <c r="G11" s="484"/>
      <c r="H11" s="484"/>
      <c r="I11" s="484">
        <f t="shared" si="0"/>
        <v>7697580.2970000003</v>
      </c>
      <c r="J11" s="484">
        <v>200000</v>
      </c>
      <c r="K11" s="484">
        <v>0.2</v>
      </c>
      <c r="L11" s="484">
        <f t="shared" si="1"/>
        <v>1539516.0594000001</v>
      </c>
      <c r="M11" s="484">
        <f t="shared" si="2"/>
        <v>1739516.0594000001</v>
      </c>
      <c r="N11" s="484">
        <f t="shared" si="3"/>
        <v>1739516.0594000001</v>
      </c>
      <c r="O11" s="484">
        <f t="shared" si="4"/>
        <v>5958064.2376000006</v>
      </c>
      <c r="P11" s="484">
        <f t="shared" si="5"/>
        <v>21000</v>
      </c>
      <c r="Q11" s="484">
        <f t="shared" si="6"/>
        <v>33000</v>
      </c>
      <c r="R11" s="484">
        <f t="shared" si="7"/>
        <v>75000</v>
      </c>
      <c r="S11" s="484">
        <f t="shared" si="8"/>
        <v>95000</v>
      </c>
      <c r="T11" s="484">
        <f t="shared" si="9"/>
        <v>336000</v>
      </c>
      <c r="U11" s="484">
        <f t="shared" si="10"/>
        <v>661935.41702400008</v>
      </c>
      <c r="V11" s="484">
        <f t="shared" si="11"/>
        <v>1221935.4170240001</v>
      </c>
      <c r="W11" s="488">
        <v>12</v>
      </c>
      <c r="X11" s="484">
        <f t="shared" si="12"/>
        <v>101827.95141866668</v>
      </c>
      <c r="Y11" s="484"/>
      <c r="Z11" s="484">
        <f t="shared" si="13"/>
        <v>101827.95141866668</v>
      </c>
      <c r="AA11" s="36">
        <v>101827.95141866668</v>
      </c>
      <c r="AB11" s="36">
        <f t="shared" si="15"/>
        <v>0</v>
      </c>
      <c r="AC11" s="36"/>
      <c r="AD11" s="36"/>
      <c r="AE11" s="36"/>
    </row>
    <row r="12" spans="1:31" ht="18.75">
      <c r="A12" s="473">
        <v>9</v>
      </c>
      <c r="B12" s="432" t="s">
        <v>111</v>
      </c>
      <c r="C12" s="491">
        <v>497553.5025</v>
      </c>
      <c r="D12" s="485">
        <v>12</v>
      </c>
      <c r="E12" s="484">
        <f t="shared" si="14"/>
        <v>5970642.0300000003</v>
      </c>
      <c r="F12" s="484">
        <f>'[4]JANUARY 2024'!$V$13*12</f>
        <v>10052.25</v>
      </c>
      <c r="G12" s="484"/>
      <c r="H12" s="484"/>
      <c r="I12" s="484">
        <f t="shared" si="0"/>
        <v>5960589.7800000003</v>
      </c>
      <c r="J12" s="484">
        <v>200000</v>
      </c>
      <c r="K12" s="484">
        <v>0.2</v>
      </c>
      <c r="L12" s="484">
        <f t="shared" si="1"/>
        <v>1192117.956</v>
      </c>
      <c r="M12" s="484">
        <f t="shared" si="2"/>
        <v>1392117.956</v>
      </c>
      <c r="N12" s="484">
        <f t="shared" si="3"/>
        <v>1402170.206</v>
      </c>
      <c r="O12" s="484">
        <f t="shared" si="4"/>
        <v>4568471.824</v>
      </c>
      <c r="P12" s="484">
        <f t="shared" si="5"/>
        <v>21000</v>
      </c>
      <c r="Q12" s="484">
        <f t="shared" si="6"/>
        <v>33000</v>
      </c>
      <c r="R12" s="484">
        <f t="shared" si="7"/>
        <v>75000</v>
      </c>
      <c r="S12" s="484">
        <f t="shared" si="8"/>
        <v>95000</v>
      </c>
      <c r="T12" s="484">
        <f t="shared" si="9"/>
        <v>336000</v>
      </c>
      <c r="U12" s="484">
        <f t="shared" si="10"/>
        <v>328433.23775999999</v>
      </c>
      <c r="V12" s="484">
        <f t="shared" si="11"/>
        <v>888433.23775999993</v>
      </c>
      <c r="W12" s="488">
        <v>12</v>
      </c>
      <c r="X12" s="484">
        <f t="shared" si="12"/>
        <v>74036.103146666661</v>
      </c>
      <c r="Y12" s="484"/>
      <c r="Z12" s="484">
        <f t="shared" si="13"/>
        <v>74036.103146666661</v>
      </c>
      <c r="AA12" s="36">
        <v>74036.103146666661</v>
      </c>
      <c r="AB12" s="36">
        <f t="shared" si="15"/>
        <v>0</v>
      </c>
      <c r="AC12" s="36"/>
      <c r="AD12" s="36"/>
      <c r="AE12" s="36"/>
    </row>
    <row r="13" spans="1:31" ht="18.75">
      <c r="A13" s="473">
        <v>10</v>
      </c>
      <c r="B13" s="432" t="s">
        <v>185</v>
      </c>
      <c r="C13" s="491">
        <v>604729.22200000007</v>
      </c>
      <c r="D13" s="485">
        <v>12</v>
      </c>
      <c r="E13" s="484">
        <f t="shared" si="14"/>
        <v>7256750.6640000008</v>
      </c>
      <c r="F13" s="484">
        <f>'[4]JANUARY 2024'!$V$14*12</f>
        <v>9305.9520000000011</v>
      </c>
      <c r="G13" s="484"/>
      <c r="H13" s="484"/>
      <c r="I13" s="484">
        <f t="shared" si="0"/>
        <v>7247444.7120000012</v>
      </c>
      <c r="J13" s="484">
        <v>200000</v>
      </c>
      <c r="K13" s="484">
        <v>0.2</v>
      </c>
      <c r="L13" s="484">
        <f t="shared" si="1"/>
        <v>1449488.9424000003</v>
      </c>
      <c r="M13" s="484">
        <f t="shared" si="2"/>
        <v>1649488.9424000003</v>
      </c>
      <c r="N13" s="484">
        <f t="shared" si="3"/>
        <v>1658794.8944000003</v>
      </c>
      <c r="O13" s="484">
        <f t="shared" si="4"/>
        <v>5597955.7696000002</v>
      </c>
      <c r="P13" s="484">
        <f t="shared" si="5"/>
        <v>21000</v>
      </c>
      <c r="Q13" s="484">
        <f t="shared" si="6"/>
        <v>33000</v>
      </c>
      <c r="R13" s="484">
        <f t="shared" si="7"/>
        <v>75000</v>
      </c>
      <c r="S13" s="484">
        <f t="shared" si="8"/>
        <v>95000</v>
      </c>
      <c r="T13" s="484">
        <f t="shared" si="9"/>
        <v>336000</v>
      </c>
      <c r="U13" s="484">
        <f t="shared" si="10"/>
        <v>575509.38470400008</v>
      </c>
      <c r="V13" s="484">
        <f t="shared" si="11"/>
        <v>1135509.3847040001</v>
      </c>
      <c r="W13" s="488">
        <v>12</v>
      </c>
      <c r="X13" s="484">
        <f t="shared" si="12"/>
        <v>94625.782058666678</v>
      </c>
      <c r="Y13" s="484"/>
      <c r="Z13" s="484">
        <f t="shared" si="13"/>
        <v>94625.782058666678</v>
      </c>
      <c r="AA13" s="36">
        <v>94625.782058666678</v>
      </c>
      <c r="AB13" s="36">
        <f t="shared" si="15"/>
        <v>0</v>
      </c>
      <c r="AC13" s="36"/>
      <c r="AD13" s="36"/>
      <c r="AE13" s="36"/>
    </row>
    <row r="14" spans="1:31" ht="18.75">
      <c r="A14" s="473">
        <v>11</v>
      </c>
      <c r="B14" s="432" t="s">
        <v>18</v>
      </c>
      <c r="C14" s="491">
        <v>343333.03524999996</v>
      </c>
      <c r="D14" s="485">
        <v>12</v>
      </c>
      <c r="E14" s="484">
        <f t="shared" si="14"/>
        <v>4119996.4229999995</v>
      </c>
      <c r="F14" s="484"/>
      <c r="G14" s="484"/>
      <c r="H14" s="484"/>
      <c r="I14" s="484">
        <f t="shared" si="0"/>
        <v>4119996.4229999995</v>
      </c>
      <c r="J14" s="484">
        <v>200000</v>
      </c>
      <c r="K14" s="484">
        <v>0.2</v>
      </c>
      <c r="L14" s="484">
        <f t="shared" si="1"/>
        <v>823999.2845999999</v>
      </c>
      <c r="M14" s="484">
        <f t="shared" si="2"/>
        <v>1023999.2845999999</v>
      </c>
      <c r="N14" s="484">
        <f t="shared" si="3"/>
        <v>1023999.2845999999</v>
      </c>
      <c r="O14" s="484">
        <f t="shared" si="4"/>
        <v>3095997.1383999996</v>
      </c>
      <c r="P14" s="484">
        <f t="shared" si="5"/>
        <v>21000</v>
      </c>
      <c r="Q14" s="484">
        <f t="shared" si="6"/>
        <v>33000</v>
      </c>
      <c r="R14" s="484">
        <f t="shared" si="7"/>
        <v>75000</v>
      </c>
      <c r="S14" s="484">
        <f t="shared" si="8"/>
        <v>95000</v>
      </c>
      <c r="T14" s="484">
        <f t="shared" si="9"/>
        <v>314159.39906399988</v>
      </c>
      <c r="U14" s="484"/>
      <c r="V14" s="484">
        <f t="shared" si="11"/>
        <v>538159.39906399988</v>
      </c>
      <c r="W14" s="488">
        <v>12</v>
      </c>
      <c r="X14" s="484">
        <f t="shared" si="12"/>
        <v>44846.616588666657</v>
      </c>
      <c r="Y14" s="484"/>
      <c r="Z14" s="484">
        <f t="shared" si="13"/>
        <v>44846.616588666657</v>
      </c>
      <c r="AA14" s="36">
        <v>44846.616588666657</v>
      </c>
      <c r="AB14" s="36">
        <f t="shared" si="15"/>
        <v>0</v>
      </c>
      <c r="AC14" s="36"/>
      <c r="AD14" s="36"/>
      <c r="AE14" s="36"/>
    </row>
    <row r="15" spans="1:31" ht="18.75">
      <c r="A15" s="473">
        <v>12</v>
      </c>
      <c r="B15" s="365" t="s">
        <v>534</v>
      </c>
      <c r="C15" s="491">
        <v>463333.03525000007</v>
      </c>
      <c r="D15" s="485">
        <v>12</v>
      </c>
      <c r="E15" s="484">
        <f t="shared" si="14"/>
        <v>5559996.4230000004</v>
      </c>
      <c r="F15" s="484"/>
      <c r="G15" s="484"/>
      <c r="H15" s="484"/>
      <c r="I15" s="484">
        <f t="shared" si="0"/>
        <v>5559996.4230000004</v>
      </c>
      <c r="J15" s="484">
        <v>200000</v>
      </c>
      <c r="K15" s="484">
        <v>0.2</v>
      </c>
      <c r="L15" s="484">
        <f t="shared" si="1"/>
        <v>1111999.2846000001</v>
      </c>
      <c r="M15" s="484">
        <f t="shared" si="2"/>
        <v>1311999.2846000001</v>
      </c>
      <c r="N15" s="484">
        <f t="shared" si="3"/>
        <v>1311999.2846000001</v>
      </c>
      <c r="O15" s="484">
        <f t="shared" si="4"/>
        <v>4247997.1384000005</v>
      </c>
      <c r="P15" s="484">
        <f t="shared" si="5"/>
        <v>21000</v>
      </c>
      <c r="Q15" s="484">
        <f t="shared" si="6"/>
        <v>33000</v>
      </c>
      <c r="R15" s="484">
        <f t="shared" si="7"/>
        <v>75000</v>
      </c>
      <c r="S15" s="484">
        <f t="shared" si="8"/>
        <v>95000</v>
      </c>
      <c r="T15" s="484">
        <f t="shared" si="9"/>
        <v>336000</v>
      </c>
      <c r="U15" s="484">
        <f t="shared" si="10"/>
        <v>251519.31321600013</v>
      </c>
      <c r="V15" s="484">
        <f t="shared" si="11"/>
        <v>811519.3132160001</v>
      </c>
      <c r="W15" s="488">
        <v>12</v>
      </c>
      <c r="X15" s="484">
        <f t="shared" si="12"/>
        <v>67626.60943466668</v>
      </c>
      <c r="Y15" s="484"/>
      <c r="Z15" s="505">
        <f t="shared" si="13"/>
        <v>67626.60943466668</v>
      </c>
      <c r="AA15" s="506">
        <v>46666.666666666664</v>
      </c>
      <c r="AB15" s="506">
        <f t="shared" si="15"/>
        <v>20959.942768000015</v>
      </c>
      <c r="AC15" s="36"/>
      <c r="AD15" s="36"/>
      <c r="AE15" s="36"/>
    </row>
    <row r="16" spans="1:31" ht="18.75">
      <c r="A16" s="473">
        <v>13</v>
      </c>
      <c r="B16" s="432" t="s">
        <v>184</v>
      </c>
      <c r="C16" s="491">
        <v>547211.36749999993</v>
      </c>
      <c r="D16" s="485">
        <v>12</v>
      </c>
      <c r="E16" s="484">
        <f t="shared" si="14"/>
        <v>6566536.4099999992</v>
      </c>
      <c r="F16" s="484"/>
      <c r="G16" s="484"/>
      <c r="H16" s="484"/>
      <c r="I16" s="484">
        <f t="shared" si="0"/>
        <v>6566536.4099999992</v>
      </c>
      <c r="J16" s="484">
        <v>200000</v>
      </c>
      <c r="K16" s="484">
        <v>0.2</v>
      </c>
      <c r="L16" s="484">
        <f t="shared" si="1"/>
        <v>1313307.2819999999</v>
      </c>
      <c r="M16" s="484">
        <f t="shared" si="2"/>
        <v>1513307.2819999999</v>
      </c>
      <c r="N16" s="484">
        <f t="shared" si="3"/>
        <v>1513307.2819999999</v>
      </c>
      <c r="O16" s="484">
        <f t="shared" si="4"/>
        <v>5053229.1279999996</v>
      </c>
      <c r="P16" s="484">
        <f t="shared" si="5"/>
        <v>21000</v>
      </c>
      <c r="Q16" s="484">
        <f t="shared" si="6"/>
        <v>33000</v>
      </c>
      <c r="R16" s="484">
        <f t="shared" si="7"/>
        <v>75000</v>
      </c>
      <c r="S16" s="484">
        <f t="shared" si="8"/>
        <v>95000</v>
      </c>
      <c r="T16" s="484">
        <f t="shared" si="9"/>
        <v>336000</v>
      </c>
      <c r="U16" s="484">
        <f t="shared" si="10"/>
        <v>444774.99071999989</v>
      </c>
      <c r="V16" s="484">
        <f t="shared" si="11"/>
        <v>1004774.9907199999</v>
      </c>
      <c r="W16" s="488">
        <v>12</v>
      </c>
      <c r="X16" s="484">
        <f t="shared" si="12"/>
        <v>83731.249226666652</v>
      </c>
      <c r="Y16" s="484"/>
      <c r="Z16" s="505">
        <f t="shared" si="13"/>
        <v>83731.249226666652</v>
      </c>
      <c r="AA16" s="506">
        <v>46666.666666666664</v>
      </c>
      <c r="AB16" s="506">
        <f t="shared" si="15"/>
        <v>37064.582559999988</v>
      </c>
      <c r="AC16" s="36"/>
      <c r="AD16" s="36"/>
      <c r="AE16" s="36"/>
    </row>
    <row r="17" spans="1:31" ht="18.75">
      <c r="A17" s="473">
        <v>14</v>
      </c>
      <c r="B17" s="432" t="s">
        <v>724</v>
      </c>
      <c r="C17" s="491">
        <v>326663.07749999996</v>
      </c>
      <c r="D17" s="485">
        <v>12</v>
      </c>
      <c r="E17" s="484">
        <f t="shared" si="14"/>
        <v>3919956.9299999997</v>
      </c>
      <c r="F17" s="484"/>
      <c r="G17" s="484"/>
      <c r="H17" s="484"/>
      <c r="I17" s="484">
        <f t="shared" si="0"/>
        <v>3919956.9299999997</v>
      </c>
      <c r="J17" s="484">
        <v>200000</v>
      </c>
      <c r="K17" s="484">
        <v>0.2</v>
      </c>
      <c r="L17" s="484">
        <f t="shared" si="1"/>
        <v>783991.38599999994</v>
      </c>
      <c r="M17" s="484">
        <f t="shared" si="2"/>
        <v>983991.38599999994</v>
      </c>
      <c r="N17" s="484">
        <f t="shared" si="3"/>
        <v>983991.38599999994</v>
      </c>
      <c r="O17" s="484">
        <f t="shared" si="4"/>
        <v>2935965.5439999998</v>
      </c>
      <c r="P17" s="484">
        <f t="shared" si="5"/>
        <v>21000</v>
      </c>
      <c r="Q17" s="484">
        <f t="shared" si="6"/>
        <v>33000</v>
      </c>
      <c r="R17" s="484">
        <f t="shared" si="7"/>
        <v>75000</v>
      </c>
      <c r="S17" s="484">
        <f t="shared" si="8"/>
        <v>95000</v>
      </c>
      <c r="T17" s="484">
        <f t="shared" si="9"/>
        <v>280552.76423999993</v>
      </c>
      <c r="U17" s="484"/>
      <c r="V17" s="484">
        <f t="shared" si="11"/>
        <v>504552.76423999993</v>
      </c>
      <c r="W17" s="488">
        <v>12</v>
      </c>
      <c r="X17" s="484">
        <f t="shared" si="12"/>
        <v>42046.063686666661</v>
      </c>
      <c r="Y17" s="484"/>
      <c r="Z17" s="484">
        <f t="shared" si="13"/>
        <v>42046.063686666661</v>
      </c>
      <c r="AA17" s="36">
        <v>42046.063686666661</v>
      </c>
      <c r="AB17" s="36">
        <f t="shared" si="15"/>
        <v>0</v>
      </c>
      <c r="AC17" s="36"/>
      <c r="AD17" s="36"/>
      <c r="AE17" s="36"/>
    </row>
    <row r="18" spans="1:31" ht="18.75">
      <c r="A18" s="473">
        <v>15</v>
      </c>
      <c r="B18" s="432" t="s">
        <v>334</v>
      </c>
      <c r="C18" s="491">
        <v>369177.65375</v>
      </c>
      <c r="D18" s="485">
        <v>12</v>
      </c>
      <c r="E18" s="484">
        <f t="shared" si="14"/>
        <v>4430131.8449999997</v>
      </c>
      <c r="F18" s="484"/>
      <c r="G18" s="484"/>
      <c r="H18" s="484"/>
      <c r="I18" s="484">
        <f t="shared" si="0"/>
        <v>4430131.8449999997</v>
      </c>
      <c r="J18" s="484">
        <v>200000</v>
      </c>
      <c r="K18" s="484">
        <v>0.2</v>
      </c>
      <c r="L18" s="484">
        <f t="shared" si="1"/>
        <v>886026.36899999995</v>
      </c>
      <c r="M18" s="484">
        <f t="shared" si="2"/>
        <v>1086026.3689999999</v>
      </c>
      <c r="N18" s="484">
        <f t="shared" si="3"/>
        <v>1086026.3689999999</v>
      </c>
      <c r="O18" s="484">
        <f t="shared" si="4"/>
        <v>3344105.4759999998</v>
      </c>
      <c r="P18" s="484">
        <f t="shared" si="5"/>
        <v>21000</v>
      </c>
      <c r="Q18" s="484">
        <f t="shared" si="6"/>
        <v>33000</v>
      </c>
      <c r="R18" s="484">
        <f t="shared" si="7"/>
        <v>75000</v>
      </c>
      <c r="S18" s="484">
        <f t="shared" si="8"/>
        <v>95000</v>
      </c>
      <c r="T18" s="484">
        <f t="shared" si="9"/>
        <v>336000</v>
      </c>
      <c r="U18" s="484">
        <f t="shared" si="10"/>
        <v>34585.314239999949</v>
      </c>
      <c r="V18" s="484">
        <f t="shared" si="11"/>
        <v>594585.31423999998</v>
      </c>
      <c r="W18" s="488">
        <v>12</v>
      </c>
      <c r="X18" s="484">
        <f t="shared" si="12"/>
        <v>49548.776186666662</v>
      </c>
      <c r="Y18" s="484"/>
      <c r="Z18" s="505">
        <f t="shared" si="13"/>
        <v>49548.776186666662</v>
      </c>
      <c r="AA18" s="506">
        <v>46666.666666666664</v>
      </c>
      <c r="AB18" s="506">
        <f t="shared" si="15"/>
        <v>2882.1095199999982</v>
      </c>
      <c r="AC18" s="36"/>
      <c r="AD18" s="36"/>
      <c r="AE18" s="36"/>
    </row>
    <row r="19" spans="1:31" ht="18.75">
      <c r="A19" s="473">
        <v>16</v>
      </c>
      <c r="B19" s="364" t="s">
        <v>291</v>
      </c>
      <c r="C19" s="491">
        <v>462001.06050000002</v>
      </c>
      <c r="D19" s="485">
        <v>12</v>
      </c>
      <c r="E19" s="484">
        <f t="shared" si="14"/>
        <v>5544012.7259999998</v>
      </c>
      <c r="F19" s="484"/>
      <c r="G19" s="484"/>
      <c r="H19" s="484"/>
      <c r="I19" s="484">
        <f>E19-F19-G19-H19</f>
        <v>5544012.7259999998</v>
      </c>
      <c r="J19" s="484">
        <v>200000</v>
      </c>
      <c r="K19" s="484">
        <v>0.2</v>
      </c>
      <c r="L19" s="484">
        <f>I19*K19</f>
        <v>1108802.5452000001</v>
      </c>
      <c r="M19" s="484">
        <f>J19+L19</f>
        <v>1308802.5452000001</v>
      </c>
      <c r="N19" s="484">
        <f>F19+G19+H19+M19</f>
        <v>1308802.5452000001</v>
      </c>
      <c r="O19" s="484">
        <f>E19-N19</f>
        <v>4235210.1808000002</v>
      </c>
      <c r="P19" s="484">
        <f>IF(O19&lt;300000,0.07*O19,21000)</f>
        <v>21000</v>
      </c>
      <c r="Q19" s="484">
        <f>IF((O19-300000)&lt;0,0,IF((O19-300000)&lt;300000,0.11*(O19-300000),33000))</f>
        <v>33000</v>
      </c>
      <c r="R19" s="484">
        <f>IF((O19-600000)&lt;0,0,IF((O19-600000)&lt;500000,0.15*(O19-600000),75000))</f>
        <v>75000</v>
      </c>
      <c r="S19" s="484">
        <f>IF((O19-1100000)&lt;0,0,IF((O19-1100000)&lt;500000,0.19*(O19-1100000),95000))</f>
        <v>95000</v>
      </c>
      <c r="T19" s="484">
        <f>IF((O19-1600000)&lt;0,0,IF((O19-1600000)&lt;1600000,0.21*(O19-1600000),336000))</f>
        <v>336000</v>
      </c>
      <c r="U19" s="484">
        <f t="shared" si="10"/>
        <v>248450.44339200004</v>
      </c>
      <c r="V19" s="484">
        <f>P19+Q19+R19+S19+T19+U19</f>
        <v>808450.44339200004</v>
      </c>
      <c r="W19" s="488">
        <v>12</v>
      </c>
      <c r="X19" s="484">
        <f>V19/W19</f>
        <v>67370.87028266667</v>
      </c>
      <c r="Y19" s="484"/>
      <c r="Z19" s="505">
        <f>X19</f>
        <v>67370.87028266667</v>
      </c>
      <c r="AA19" s="506">
        <v>46666.666666666664</v>
      </c>
      <c r="AB19" s="506">
        <f t="shared" si="15"/>
        <v>20704.203616000006</v>
      </c>
      <c r="AC19" s="36"/>
      <c r="AD19" s="36"/>
      <c r="AE19" s="36"/>
    </row>
    <row r="20" spans="1:31" ht="18.75">
      <c r="A20" s="473">
        <v>17</v>
      </c>
      <c r="B20" s="432" t="s">
        <v>253</v>
      </c>
      <c r="C20" s="491">
        <v>384536.99849999993</v>
      </c>
      <c r="D20" s="485">
        <v>12</v>
      </c>
      <c r="E20" s="484">
        <f t="shared" si="14"/>
        <v>4614443.9819999989</v>
      </c>
      <c r="F20" s="484"/>
      <c r="G20" s="484"/>
      <c r="H20" s="484"/>
      <c r="I20" s="484">
        <f t="shared" si="0"/>
        <v>4614443.9819999989</v>
      </c>
      <c r="J20" s="484">
        <v>200000</v>
      </c>
      <c r="K20" s="484">
        <v>0.2</v>
      </c>
      <c r="L20" s="484">
        <f t="shared" si="1"/>
        <v>922888.79639999988</v>
      </c>
      <c r="M20" s="484">
        <f t="shared" si="2"/>
        <v>1122888.7963999999</v>
      </c>
      <c r="N20" s="484">
        <f t="shared" si="3"/>
        <v>1122888.7963999999</v>
      </c>
      <c r="O20" s="484">
        <f t="shared" si="4"/>
        <v>3491555.185599999</v>
      </c>
      <c r="P20" s="484">
        <f t="shared" si="5"/>
        <v>21000</v>
      </c>
      <c r="Q20" s="484">
        <f t="shared" si="6"/>
        <v>33000</v>
      </c>
      <c r="R20" s="484">
        <f t="shared" si="7"/>
        <v>75000</v>
      </c>
      <c r="S20" s="484">
        <f t="shared" si="8"/>
        <v>95000</v>
      </c>
      <c r="T20" s="484">
        <f t="shared" si="9"/>
        <v>336000</v>
      </c>
      <c r="U20" s="484">
        <f t="shared" si="10"/>
        <v>69973.244543999768</v>
      </c>
      <c r="V20" s="484">
        <f t="shared" si="11"/>
        <v>629973.24454399978</v>
      </c>
      <c r="W20" s="488">
        <v>12</v>
      </c>
      <c r="X20" s="484">
        <f t="shared" si="12"/>
        <v>52497.770378666646</v>
      </c>
      <c r="Y20" s="484"/>
      <c r="Z20" s="484">
        <f t="shared" si="13"/>
        <v>52497.770378666646</v>
      </c>
      <c r="AA20" s="36">
        <v>52497.770378666646</v>
      </c>
      <c r="AB20" s="36">
        <f t="shared" si="15"/>
        <v>0</v>
      </c>
      <c r="AC20" s="36"/>
      <c r="AD20" s="36"/>
      <c r="AE20" s="36"/>
    </row>
    <row r="21" spans="1:31" ht="18.75">
      <c r="A21" s="473">
        <v>18</v>
      </c>
      <c r="B21" s="365" t="s">
        <v>321</v>
      </c>
      <c r="C21" s="491">
        <v>400372.07500000001</v>
      </c>
      <c r="D21" s="485">
        <v>12</v>
      </c>
      <c r="E21" s="484">
        <f t="shared" si="14"/>
        <v>4804464.9000000004</v>
      </c>
      <c r="F21" s="484"/>
      <c r="G21" s="484"/>
      <c r="H21" s="484"/>
      <c r="I21" s="484">
        <f>E21-F21-G21-H21</f>
        <v>4804464.9000000004</v>
      </c>
      <c r="J21" s="484">
        <v>200000</v>
      </c>
      <c r="K21" s="484">
        <v>0.2</v>
      </c>
      <c r="L21" s="484">
        <f>I21*K21</f>
        <v>960892.9800000001</v>
      </c>
      <c r="M21" s="484">
        <f>J21+L21</f>
        <v>1160892.98</v>
      </c>
      <c r="N21" s="484">
        <f>F21+G21+H21+M21</f>
        <v>1160892.98</v>
      </c>
      <c r="O21" s="484">
        <f>E21-N21</f>
        <v>3643571.9200000004</v>
      </c>
      <c r="P21" s="484">
        <f>IF(O21&lt;300000,0.07*O21,21000)</f>
        <v>21000</v>
      </c>
      <c r="Q21" s="484">
        <f>IF((O21-300000)&lt;0,0,IF((O21-300000)&lt;300000,0.11*(O21-300000),33000))</f>
        <v>33000</v>
      </c>
      <c r="R21" s="484">
        <f>IF((O21-600000)&lt;0,0,IF((O21-600000)&lt;500000,0.15*(O21-600000),75000))</f>
        <v>75000</v>
      </c>
      <c r="S21" s="484">
        <f>IF((O21-1100000)&lt;0,0,IF((O21-1100000)&lt;500000,0.19*(O21-1100000),95000))</f>
        <v>95000</v>
      </c>
      <c r="T21" s="484">
        <f>IF((O21-1600000)&lt;0,0,IF((O21-1600000)&lt;1600000,0.21*(O21-1600000),336000))</f>
        <v>336000</v>
      </c>
      <c r="U21" s="484">
        <f t="shared" si="10"/>
        <v>106457.26080000009</v>
      </c>
      <c r="V21" s="484">
        <f>P21+Q21+R21+S21+T21+U21</f>
        <v>666457.26080000005</v>
      </c>
      <c r="W21" s="488">
        <v>12</v>
      </c>
      <c r="X21" s="484">
        <f>V21/W21</f>
        <v>55538.105066666671</v>
      </c>
      <c r="Y21" s="484"/>
      <c r="Z21" s="505">
        <f>X21</f>
        <v>55538.105066666671</v>
      </c>
      <c r="AA21" s="506">
        <v>46666.666666666664</v>
      </c>
      <c r="AB21" s="506">
        <f t="shared" si="15"/>
        <v>8871.4384000000064</v>
      </c>
      <c r="AC21" s="36"/>
      <c r="AD21" s="36"/>
      <c r="AE21" s="36"/>
    </row>
    <row r="22" spans="1:31" ht="18.75">
      <c r="A22" s="473">
        <v>19</v>
      </c>
      <c r="B22" s="432" t="s">
        <v>756</v>
      </c>
      <c r="C22" s="491">
        <f>1015372.075-700000</f>
        <v>315372.07499999995</v>
      </c>
      <c r="D22" s="485">
        <v>12</v>
      </c>
      <c r="E22" s="484">
        <f t="shared" si="14"/>
        <v>3784464.8999999994</v>
      </c>
      <c r="F22" s="484"/>
      <c r="G22" s="484"/>
      <c r="H22" s="484"/>
      <c r="I22" s="484">
        <f>E22-F22-G22-H22</f>
        <v>3784464.8999999994</v>
      </c>
      <c r="J22" s="484">
        <v>200000</v>
      </c>
      <c r="K22" s="484">
        <v>0.2</v>
      </c>
      <c r="L22" s="484">
        <f>I22*K22</f>
        <v>756892.98</v>
      </c>
      <c r="M22" s="484">
        <f>J22+L22</f>
        <v>956892.98</v>
      </c>
      <c r="N22" s="484">
        <f>F22+G22+H22+M22</f>
        <v>956892.98</v>
      </c>
      <c r="O22" s="484">
        <f>E22-N22</f>
        <v>2827571.9199999995</v>
      </c>
      <c r="P22" s="484">
        <f>IF(O22&lt;300000,0.07*O22,21000)</f>
        <v>21000</v>
      </c>
      <c r="Q22" s="484">
        <f>IF((O22-300000)&lt;0,0,IF((O22-300000)&lt;300000,0.11*(O22-300000),33000))</f>
        <v>33000</v>
      </c>
      <c r="R22" s="484">
        <f>IF((O22-600000)&lt;0,0,IF((O22-600000)&lt;500000,0.15*(O22-600000),75000))</f>
        <v>75000</v>
      </c>
      <c r="S22" s="484">
        <f>IF((O22-1100000)&lt;0,0,IF((O22-1100000)&lt;500000,0.19*(O22-1100000),95000))</f>
        <v>95000</v>
      </c>
      <c r="T22" s="484">
        <f>IF((O22-1600000)&lt;0,0,IF((O22-1600000)&lt;1600000,0.21*(O22-1600000),336000))</f>
        <v>257790.10319999987</v>
      </c>
      <c r="U22" s="484"/>
      <c r="V22" s="484">
        <f>P22+Q22+R22+S22+T22+U22</f>
        <v>481790.1031999999</v>
      </c>
      <c r="W22" s="488">
        <v>12</v>
      </c>
      <c r="X22" s="484">
        <f>V22/W22</f>
        <v>40149.175266666658</v>
      </c>
      <c r="Y22" s="484"/>
      <c r="Z22" s="537">
        <f>X22</f>
        <v>40149.175266666658</v>
      </c>
      <c r="AA22" s="482">
        <v>46666.666666666664</v>
      </c>
      <c r="AB22" s="482">
        <f t="shared" si="15"/>
        <v>-6517.4914000000063</v>
      </c>
      <c r="AC22" s="539" t="s">
        <v>795</v>
      </c>
      <c r="AD22" s="36"/>
      <c r="AE22" s="36"/>
    </row>
    <row r="23" spans="1:31" ht="18.75">
      <c r="A23" s="473">
        <v>20</v>
      </c>
      <c r="B23" s="365" t="s">
        <v>741</v>
      </c>
      <c r="C23" s="491">
        <v>328602.07775000005</v>
      </c>
      <c r="D23" s="485">
        <v>12</v>
      </c>
      <c r="E23" s="484">
        <f t="shared" si="14"/>
        <v>3943224.9330000007</v>
      </c>
      <c r="F23" s="484"/>
      <c r="G23" s="484"/>
      <c r="H23" s="484"/>
      <c r="I23" s="484">
        <f t="shared" si="0"/>
        <v>3943224.9330000007</v>
      </c>
      <c r="J23" s="484">
        <v>200000</v>
      </c>
      <c r="K23" s="484">
        <v>0.2</v>
      </c>
      <c r="L23" s="484">
        <f t="shared" si="1"/>
        <v>788644.98660000018</v>
      </c>
      <c r="M23" s="484">
        <f t="shared" si="2"/>
        <v>988644.98660000018</v>
      </c>
      <c r="N23" s="484">
        <f t="shared" si="3"/>
        <v>988644.98660000018</v>
      </c>
      <c r="O23" s="484">
        <f t="shared" si="4"/>
        <v>2954579.9464000007</v>
      </c>
      <c r="P23" s="484">
        <f t="shared" si="5"/>
        <v>21000</v>
      </c>
      <c r="Q23" s="484">
        <f t="shared" si="6"/>
        <v>33000</v>
      </c>
      <c r="R23" s="484">
        <f t="shared" si="7"/>
        <v>75000</v>
      </c>
      <c r="S23" s="484">
        <f t="shared" si="8"/>
        <v>95000</v>
      </c>
      <c r="T23" s="484">
        <f t="shared" si="9"/>
        <v>284461.78874400014</v>
      </c>
      <c r="U23" s="484"/>
      <c r="V23" s="484">
        <f t="shared" si="11"/>
        <v>508461.78874400014</v>
      </c>
      <c r="W23" s="488">
        <v>12</v>
      </c>
      <c r="X23" s="484">
        <f t="shared" si="12"/>
        <v>42371.815728666676</v>
      </c>
      <c r="Y23" s="484"/>
      <c r="Z23" s="484">
        <f t="shared" si="13"/>
        <v>42371.815728666676</v>
      </c>
      <c r="AA23" s="36">
        <v>42371.815728666676</v>
      </c>
      <c r="AB23" s="36">
        <f t="shared" si="15"/>
        <v>0</v>
      </c>
      <c r="AC23" s="36"/>
      <c r="AD23" s="36"/>
      <c r="AE23" s="36"/>
    </row>
    <row r="24" spans="1:31" s="481" customFormat="1" ht="18.75">
      <c r="A24" s="478">
        <v>21</v>
      </c>
      <c r="B24" s="357" t="s">
        <v>434</v>
      </c>
      <c r="C24" s="491">
        <v>213508.01</v>
      </c>
      <c r="D24" s="485">
        <v>12</v>
      </c>
      <c r="E24" s="484">
        <f t="shared" si="14"/>
        <v>2562096.12</v>
      </c>
      <c r="F24" s="484"/>
      <c r="G24" s="484"/>
      <c r="H24" s="484"/>
      <c r="I24" s="484">
        <f>E24-F24-G24-H24</f>
        <v>2562096.12</v>
      </c>
      <c r="J24" s="484">
        <v>200000</v>
      </c>
      <c r="K24" s="484">
        <v>0.2</v>
      </c>
      <c r="L24" s="484">
        <f>I24*K24</f>
        <v>512419.22400000005</v>
      </c>
      <c r="M24" s="484">
        <f>J24+L24</f>
        <v>712419.22400000005</v>
      </c>
      <c r="N24" s="484">
        <f>F24+G24+H24+M24</f>
        <v>712419.22400000005</v>
      </c>
      <c r="O24" s="484">
        <f>E24-N24</f>
        <v>1849676.8960000002</v>
      </c>
      <c r="P24" s="484">
        <f>IF(O24&lt;300000,0.07*O24,21000)</f>
        <v>21000</v>
      </c>
      <c r="Q24" s="484">
        <f>IF((O24-300000)&lt;0,0,IF((O24-300000)&lt;300000,0.11*(O24-300000),33000))</f>
        <v>33000</v>
      </c>
      <c r="R24" s="484">
        <f>IF((O24-600000)&lt;0,0,IF((O24-600000)&lt;500000,0.15*(O24-600000),75000))</f>
        <v>75000</v>
      </c>
      <c r="S24" s="484">
        <f>IF((O24-1100000)&lt;0,0,IF((O24-1100000)&lt;500000,0.19*(O24-1100000),95000))</f>
        <v>95000</v>
      </c>
      <c r="T24" s="484">
        <f>IF((O24-1600000)&lt;0,0,IF((O24-1600000)&lt;1600000,0.21*(O24-1600000),336000))</f>
        <v>52432.148160000033</v>
      </c>
      <c r="U24" s="484"/>
      <c r="V24" s="484">
        <f>P24+Q24+R24+S24+T24+U24</f>
        <v>276432.14816000004</v>
      </c>
      <c r="W24" s="488">
        <v>12</v>
      </c>
      <c r="X24" s="484">
        <f>V24/W24</f>
        <v>23036.01234666667</v>
      </c>
      <c r="Y24" s="484"/>
      <c r="Z24" s="484">
        <f>X24</f>
        <v>23036.01234666667</v>
      </c>
      <c r="AA24" s="480">
        <v>23036.01234666667</v>
      </c>
      <c r="AB24" s="36">
        <f t="shared" si="15"/>
        <v>0</v>
      </c>
      <c r="AC24" s="480"/>
      <c r="AD24" s="480"/>
      <c r="AE24" s="480"/>
    </row>
    <row r="25" spans="1:31" ht="18.75">
      <c r="A25" s="473">
        <v>22</v>
      </c>
      <c r="B25" s="364" t="s">
        <v>254</v>
      </c>
      <c r="C25" s="491">
        <v>213508.01</v>
      </c>
      <c r="D25" s="485">
        <v>12</v>
      </c>
      <c r="E25" s="484">
        <f t="shared" si="14"/>
        <v>2562096.12</v>
      </c>
      <c r="F25" s="484"/>
      <c r="G25" s="484"/>
      <c r="H25" s="484"/>
      <c r="I25" s="484">
        <f>E25-F25-G25-H25</f>
        <v>2562096.12</v>
      </c>
      <c r="J25" s="484">
        <v>200000</v>
      </c>
      <c r="K25" s="484">
        <v>0.2</v>
      </c>
      <c r="L25" s="484">
        <f>I25*K25</f>
        <v>512419.22400000005</v>
      </c>
      <c r="M25" s="484">
        <f>J25+L25</f>
        <v>712419.22400000005</v>
      </c>
      <c r="N25" s="484">
        <f>F25+G25+H25+M25</f>
        <v>712419.22400000005</v>
      </c>
      <c r="O25" s="484">
        <f>E25-N25</f>
        <v>1849676.8960000002</v>
      </c>
      <c r="P25" s="484">
        <f>IF(O25&lt;300000,0.07*O25,21000)</f>
        <v>21000</v>
      </c>
      <c r="Q25" s="484">
        <f>IF((O25-300000)&lt;0,0,IF((O25-300000)&lt;300000,0.11*(O25-300000),33000))</f>
        <v>33000</v>
      </c>
      <c r="R25" s="484">
        <f>IF((O25-600000)&lt;0,0,IF((O25-600000)&lt;500000,0.15*(O25-600000),75000))</f>
        <v>75000</v>
      </c>
      <c r="S25" s="484">
        <f>IF((O25-1100000)&lt;0,0,IF((O25-1100000)&lt;500000,0.19*(O25-1100000),95000))</f>
        <v>95000</v>
      </c>
      <c r="T25" s="484">
        <f>IF((O25-1600000)&lt;0,0,IF((O25-1600000)&lt;1600000,0.21*(O25-1600000),336000))</f>
        <v>52432.148160000033</v>
      </c>
      <c r="U25" s="484"/>
      <c r="V25" s="484">
        <f>P25+Q25+R25+S25+T25+U25</f>
        <v>276432.14816000004</v>
      </c>
      <c r="W25" s="488">
        <v>12</v>
      </c>
      <c r="X25" s="484">
        <f>V25/W25</f>
        <v>23036.01234666667</v>
      </c>
      <c r="Y25" s="484"/>
      <c r="Z25" s="484">
        <f>X25</f>
        <v>23036.01234666667</v>
      </c>
      <c r="AA25" s="36">
        <v>23036.01234666667</v>
      </c>
      <c r="AB25" s="36">
        <f t="shared" si="15"/>
        <v>0</v>
      </c>
      <c r="AC25" s="36"/>
      <c r="AD25" s="36"/>
      <c r="AE25" s="36"/>
    </row>
    <row r="26" spans="1:31" ht="18.75">
      <c r="A26" s="473">
        <v>23</v>
      </c>
      <c r="B26" s="432" t="s">
        <v>320</v>
      </c>
      <c r="C26" s="491">
        <v>253508.01</v>
      </c>
      <c r="D26" s="485">
        <v>12</v>
      </c>
      <c r="E26" s="484">
        <f t="shared" si="14"/>
        <v>3042096.12</v>
      </c>
      <c r="F26" s="484"/>
      <c r="G26" s="484"/>
      <c r="H26" s="484"/>
      <c r="I26" s="484">
        <f>E26-F26-G26-H26</f>
        <v>3042096.12</v>
      </c>
      <c r="J26" s="484">
        <v>200000</v>
      </c>
      <c r="K26" s="484">
        <v>0.2</v>
      </c>
      <c r="L26" s="484">
        <f>I26*K26</f>
        <v>608419.22400000005</v>
      </c>
      <c r="M26" s="484">
        <f>J26+L26</f>
        <v>808419.22400000005</v>
      </c>
      <c r="N26" s="484">
        <f>F26+G26+H26+M26</f>
        <v>808419.22400000005</v>
      </c>
      <c r="O26" s="484">
        <f>E26-N26</f>
        <v>2233676.8960000002</v>
      </c>
      <c r="P26" s="484">
        <f>IF(O26&lt;300000,0.07*O26,21000)</f>
        <v>21000</v>
      </c>
      <c r="Q26" s="484">
        <f>IF((O26-300000)&lt;0,0,IF((O26-300000)&lt;300000,0.11*(O26-300000),33000))</f>
        <v>33000</v>
      </c>
      <c r="R26" s="484">
        <f>IF((O26-600000)&lt;0,0,IF((O26-600000)&lt;500000,0.15*(O26-600000),75000))</f>
        <v>75000</v>
      </c>
      <c r="S26" s="484">
        <f>IF((O26-1100000)&lt;0,0,IF((O26-1100000)&lt;500000,0.19*(O26-1100000),95000))</f>
        <v>95000</v>
      </c>
      <c r="T26" s="484">
        <f>IF((O26-1600000)&lt;0,0,IF((O26-1600000)&lt;1600000,0.21*(O26-1600000),336000))</f>
        <v>133072.14816000004</v>
      </c>
      <c r="U26" s="484"/>
      <c r="V26" s="484">
        <f>P26+Q26+R26+S26+T26+U26</f>
        <v>357072.14816000004</v>
      </c>
      <c r="W26" s="488">
        <v>12</v>
      </c>
      <c r="X26" s="484">
        <f>V26/W26</f>
        <v>29756.01234666667</v>
      </c>
      <c r="Y26" s="484"/>
      <c r="Z26" s="484">
        <f>X26</f>
        <v>29756.01234666667</v>
      </c>
      <c r="AA26" s="36">
        <v>29756.01234666667</v>
      </c>
      <c r="AB26" s="36">
        <f t="shared" si="15"/>
        <v>0</v>
      </c>
      <c r="AC26" s="36"/>
      <c r="AD26" s="36"/>
      <c r="AE26" s="36"/>
    </row>
    <row r="27" spans="1:31" ht="37.5">
      <c r="A27" s="473">
        <v>24</v>
      </c>
      <c r="B27" s="364" t="s">
        <v>288</v>
      </c>
      <c r="C27" s="491">
        <v>209356.04725</v>
      </c>
      <c r="D27" s="485">
        <v>12</v>
      </c>
      <c r="E27" s="484">
        <f t="shared" si="14"/>
        <v>2512272.5669999998</v>
      </c>
      <c r="F27" s="484"/>
      <c r="G27" s="484"/>
      <c r="H27" s="484"/>
      <c r="I27" s="484">
        <f t="shared" ref="I27" si="16">E27-F27-G27-H27</f>
        <v>2512272.5669999998</v>
      </c>
      <c r="J27" s="484">
        <v>200000</v>
      </c>
      <c r="K27" s="484">
        <v>0.2</v>
      </c>
      <c r="L27" s="484">
        <f t="shared" ref="L27" si="17">I27*K27</f>
        <v>502454.5134</v>
      </c>
      <c r="M27" s="484">
        <f t="shared" ref="M27" si="18">J27+L27</f>
        <v>702454.51340000005</v>
      </c>
      <c r="N27" s="484">
        <f t="shared" ref="N27" si="19">F27+G27+H27+M27</f>
        <v>702454.51340000005</v>
      </c>
      <c r="O27" s="484">
        <f t="shared" ref="O27" si="20">E27-N27</f>
        <v>1809818.0535999998</v>
      </c>
      <c r="P27" s="484">
        <f t="shared" ref="P27" si="21">IF(O27&lt;300000,0.07*O27,21000)</f>
        <v>21000</v>
      </c>
      <c r="Q27" s="484">
        <f t="shared" ref="Q27" si="22">IF((O27-300000)&lt;0,0,IF((O27-300000)&lt;300000,0.11*(O27-300000),33000))</f>
        <v>33000</v>
      </c>
      <c r="R27" s="484">
        <f t="shared" ref="R27" si="23">IF((O27-600000)&lt;0,0,IF((O27-600000)&lt;500000,0.15*(O27-600000),75000))</f>
        <v>75000</v>
      </c>
      <c r="S27" s="484">
        <f t="shared" ref="S27" si="24">IF((O27-1100000)&lt;0,0,IF((O27-1100000)&lt;500000,0.19*(O27-1100000),95000))</f>
        <v>95000</v>
      </c>
      <c r="T27" s="484">
        <f t="shared" ref="T27" si="25">IF((O27-1600000)&lt;0,0,IF((O27-1600000)&lt;1600000,0.21*(O27-1600000),336000))</f>
        <v>44061.791255999946</v>
      </c>
      <c r="U27" s="484"/>
      <c r="V27" s="484">
        <f t="shared" ref="V27" si="26">P27+Q27+R27+S27+T27+U27</f>
        <v>268061.79125599994</v>
      </c>
      <c r="W27" s="488">
        <v>12</v>
      </c>
      <c r="X27" s="484">
        <f t="shared" ref="X27" si="27">V27/W27</f>
        <v>22338.48260466666</v>
      </c>
      <c r="Y27" s="484"/>
      <c r="Z27" s="484">
        <f t="shared" ref="Z27" si="28">X27</f>
        <v>22338.48260466666</v>
      </c>
      <c r="AA27" s="36">
        <v>22338.48260466666</v>
      </c>
      <c r="AB27" s="36">
        <f t="shared" si="15"/>
        <v>0</v>
      </c>
      <c r="AC27" s="36"/>
      <c r="AD27" s="36"/>
      <c r="AE27" s="36"/>
    </row>
    <row r="28" spans="1:31" ht="18.75">
      <c r="A28" s="473">
        <v>25</v>
      </c>
      <c r="B28" s="364" t="s">
        <v>328</v>
      </c>
      <c r="C28" s="491">
        <v>205204.0845</v>
      </c>
      <c r="D28" s="485">
        <v>12</v>
      </c>
      <c r="E28" s="484">
        <f t="shared" si="14"/>
        <v>2462449.014</v>
      </c>
      <c r="F28" s="484"/>
      <c r="G28" s="484"/>
      <c r="H28" s="484"/>
      <c r="I28" s="484">
        <f t="shared" si="0"/>
        <v>2462449.014</v>
      </c>
      <c r="J28" s="484">
        <v>200000</v>
      </c>
      <c r="K28" s="484">
        <v>0.2</v>
      </c>
      <c r="L28" s="484">
        <f t="shared" si="1"/>
        <v>492489.8028</v>
      </c>
      <c r="M28" s="484">
        <f t="shared" si="2"/>
        <v>692489.80279999995</v>
      </c>
      <c r="N28" s="484">
        <f t="shared" si="3"/>
        <v>692489.80279999995</v>
      </c>
      <c r="O28" s="484">
        <f t="shared" si="4"/>
        <v>1769959.2112</v>
      </c>
      <c r="P28" s="484">
        <f t="shared" si="5"/>
        <v>21000</v>
      </c>
      <c r="Q28" s="484">
        <f t="shared" si="6"/>
        <v>33000</v>
      </c>
      <c r="R28" s="484">
        <f t="shared" si="7"/>
        <v>75000</v>
      </c>
      <c r="S28" s="484">
        <f t="shared" si="8"/>
        <v>95000</v>
      </c>
      <c r="T28" s="484">
        <f t="shared" si="9"/>
        <v>35691.434352000004</v>
      </c>
      <c r="U28" s="484"/>
      <c r="V28" s="484">
        <f t="shared" si="11"/>
        <v>259691.43435200001</v>
      </c>
      <c r="W28" s="488">
        <v>12</v>
      </c>
      <c r="X28" s="484">
        <f t="shared" si="12"/>
        <v>21640.952862666669</v>
      </c>
      <c r="Y28" s="484"/>
      <c r="Z28" s="484">
        <f t="shared" si="13"/>
        <v>21640.952862666669</v>
      </c>
      <c r="AA28" s="36">
        <v>21640.952862666669</v>
      </c>
      <c r="AB28" s="36">
        <f t="shared" si="15"/>
        <v>0</v>
      </c>
      <c r="AC28" s="36"/>
      <c r="AD28" s="36"/>
      <c r="AE28" s="36"/>
    </row>
    <row r="29" spans="1:31" s="481" customFormat="1" ht="37.5">
      <c r="A29" s="478">
        <v>26</v>
      </c>
      <c r="B29" s="364" t="s">
        <v>757</v>
      </c>
      <c r="C29" s="491">
        <v>205204.0845</v>
      </c>
      <c r="D29" s="485">
        <v>12</v>
      </c>
      <c r="E29" s="484">
        <f t="shared" si="14"/>
        <v>2462449.014</v>
      </c>
      <c r="F29" s="484"/>
      <c r="G29" s="484"/>
      <c r="H29" s="484"/>
      <c r="I29" s="484">
        <f t="shared" si="0"/>
        <v>2462449.014</v>
      </c>
      <c r="J29" s="484">
        <v>200000</v>
      </c>
      <c r="K29" s="484">
        <v>0.2</v>
      </c>
      <c r="L29" s="484">
        <f t="shared" si="1"/>
        <v>492489.8028</v>
      </c>
      <c r="M29" s="484">
        <f t="shared" si="2"/>
        <v>692489.80279999995</v>
      </c>
      <c r="N29" s="484">
        <f t="shared" si="3"/>
        <v>692489.80279999995</v>
      </c>
      <c r="O29" s="484">
        <f t="shared" si="4"/>
        <v>1769959.2112</v>
      </c>
      <c r="P29" s="484">
        <f t="shared" si="5"/>
        <v>21000</v>
      </c>
      <c r="Q29" s="484">
        <f t="shared" si="6"/>
        <v>33000</v>
      </c>
      <c r="R29" s="484">
        <f t="shared" si="7"/>
        <v>75000</v>
      </c>
      <c r="S29" s="484">
        <f t="shared" si="8"/>
        <v>95000</v>
      </c>
      <c r="T29" s="484">
        <f t="shared" si="9"/>
        <v>35691.434352000004</v>
      </c>
      <c r="U29" s="484"/>
      <c r="V29" s="484">
        <f t="shared" si="11"/>
        <v>259691.43435200001</v>
      </c>
      <c r="W29" s="488">
        <v>12</v>
      </c>
      <c r="X29" s="484">
        <f t="shared" si="12"/>
        <v>21640.952862666669</v>
      </c>
      <c r="Y29" s="484"/>
      <c r="Z29" s="484">
        <f t="shared" si="13"/>
        <v>21640.952862666669</v>
      </c>
      <c r="AA29" s="480">
        <v>21640.952862666669</v>
      </c>
      <c r="AB29" s="36">
        <f t="shared" si="15"/>
        <v>0</v>
      </c>
      <c r="AC29" s="480"/>
      <c r="AD29" s="480"/>
      <c r="AE29" s="480"/>
    </row>
    <row r="30" spans="1:31" s="481" customFormat="1" ht="18.75">
      <c r="A30" s="478">
        <v>27</v>
      </c>
      <c r="B30" s="364" t="s">
        <v>360</v>
      </c>
      <c r="C30" s="491">
        <v>209356.04725</v>
      </c>
      <c r="D30" s="485">
        <v>12</v>
      </c>
      <c r="E30" s="484">
        <f t="shared" si="14"/>
        <v>2512272.5669999998</v>
      </c>
      <c r="F30" s="484"/>
      <c r="G30" s="484"/>
      <c r="H30" s="484"/>
      <c r="I30" s="484">
        <f t="shared" si="0"/>
        <v>2512272.5669999998</v>
      </c>
      <c r="J30" s="484">
        <v>200000</v>
      </c>
      <c r="K30" s="484">
        <v>0.2</v>
      </c>
      <c r="L30" s="484">
        <f t="shared" si="1"/>
        <v>502454.5134</v>
      </c>
      <c r="M30" s="484">
        <f t="shared" si="2"/>
        <v>702454.51340000005</v>
      </c>
      <c r="N30" s="484">
        <f t="shared" si="3"/>
        <v>702454.51340000005</v>
      </c>
      <c r="O30" s="484">
        <f t="shared" si="4"/>
        <v>1809818.0535999998</v>
      </c>
      <c r="P30" s="484">
        <f t="shared" si="5"/>
        <v>21000</v>
      </c>
      <c r="Q30" s="484">
        <f t="shared" si="6"/>
        <v>33000</v>
      </c>
      <c r="R30" s="484">
        <f t="shared" si="7"/>
        <v>75000</v>
      </c>
      <c r="S30" s="484">
        <f t="shared" si="8"/>
        <v>95000</v>
      </c>
      <c r="T30" s="484">
        <f t="shared" si="9"/>
        <v>44061.791255999946</v>
      </c>
      <c r="U30" s="484"/>
      <c r="V30" s="484">
        <f t="shared" si="11"/>
        <v>268061.79125599994</v>
      </c>
      <c r="W30" s="488">
        <v>12</v>
      </c>
      <c r="X30" s="484">
        <f t="shared" si="12"/>
        <v>22338.48260466666</v>
      </c>
      <c r="Y30" s="484"/>
      <c r="Z30" s="484">
        <f t="shared" si="13"/>
        <v>22338.48260466666</v>
      </c>
      <c r="AA30" s="480">
        <v>22338.48260466666</v>
      </c>
      <c r="AB30" s="36">
        <f t="shared" si="15"/>
        <v>0</v>
      </c>
      <c r="AC30" s="480"/>
      <c r="AD30" s="480"/>
      <c r="AE30" s="480"/>
    </row>
    <row r="31" spans="1:31" ht="18.75">
      <c r="A31" s="473">
        <v>28</v>
      </c>
      <c r="B31" s="364" t="s">
        <v>330</v>
      </c>
      <c r="C31" s="491">
        <v>180304.068</v>
      </c>
      <c r="D31" s="485">
        <v>12</v>
      </c>
      <c r="E31" s="484">
        <f t="shared" si="14"/>
        <v>2163648.8160000001</v>
      </c>
      <c r="F31" s="484"/>
      <c r="G31" s="484"/>
      <c r="H31" s="484"/>
      <c r="I31" s="484">
        <f t="shared" si="0"/>
        <v>2163648.8160000001</v>
      </c>
      <c r="J31" s="484">
        <v>200000</v>
      </c>
      <c r="K31" s="484">
        <v>0.2</v>
      </c>
      <c r="L31" s="484">
        <f t="shared" si="1"/>
        <v>432729.76320000004</v>
      </c>
      <c r="M31" s="484">
        <f t="shared" si="2"/>
        <v>632729.76320000004</v>
      </c>
      <c r="N31" s="484">
        <f t="shared" si="3"/>
        <v>632729.76320000004</v>
      </c>
      <c r="O31" s="484">
        <f t="shared" si="4"/>
        <v>1530919.0528000002</v>
      </c>
      <c r="P31" s="484">
        <f t="shared" si="5"/>
        <v>21000</v>
      </c>
      <c r="Q31" s="484">
        <f t="shared" si="6"/>
        <v>33000</v>
      </c>
      <c r="R31" s="484">
        <f t="shared" si="7"/>
        <v>75000</v>
      </c>
      <c r="S31" s="484">
        <f t="shared" si="8"/>
        <v>81874.620032000035</v>
      </c>
      <c r="T31" s="484">
        <f t="shared" si="9"/>
        <v>0</v>
      </c>
      <c r="U31" s="484"/>
      <c r="V31" s="484">
        <f t="shared" si="11"/>
        <v>210874.62003200004</v>
      </c>
      <c r="W31" s="488">
        <v>12</v>
      </c>
      <c r="X31" s="484">
        <f t="shared" si="12"/>
        <v>17572.88500266667</v>
      </c>
      <c r="Y31" s="484"/>
      <c r="Z31" s="484">
        <f t="shared" si="13"/>
        <v>17572.88500266667</v>
      </c>
      <c r="AA31" s="36">
        <v>17572.88500266667</v>
      </c>
      <c r="AB31" s="36">
        <f t="shared" si="15"/>
        <v>0</v>
      </c>
      <c r="AC31" s="36"/>
      <c r="AD31" s="36"/>
      <c r="AE31" s="36"/>
    </row>
    <row r="32" spans="1:31" ht="18.75">
      <c r="A32" s="473">
        <v>29</v>
      </c>
      <c r="B32" s="364" t="s">
        <v>555</v>
      </c>
      <c r="C32" s="491">
        <v>173329.04949999999</v>
      </c>
      <c r="D32" s="485">
        <v>12</v>
      </c>
      <c r="E32" s="484">
        <f t="shared" si="14"/>
        <v>2079948.594</v>
      </c>
      <c r="F32" s="484"/>
      <c r="G32" s="484"/>
      <c r="H32" s="484"/>
      <c r="I32" s="484">
        <f t="shared" si="0"/>
        <v>2079948.594</v>
      </c>
      <c r="J32" s="484">
        <v>200000</v>
      </c>
      <c r="K32" s="484">
        <v>0.2</v>
      </c>
      <c r="L32" s="484">
        <f t="shared" si="1"/>
        <v>415989.71880000003</v>
      </c>
      <c r="M32" s="484">
        <f t="shared" si="2"/>
        <v>615989.71880000003</v>
      </c>
      <c r="N32" s="484">
        <f t="shared" si="3"/>
        <v>615989.71880000003</v>
      </c>
      <c r="O32" s="484">
        <f t="shared" si="4"/>
        <v>1463958.8752000001</v>
      </c>
      <c r="P32" s="484">
        <f t="shared" si="5"/>
        <v>21000</v>
      </c>
      <c r="Q32" s="484">
        <f t="shared" si="6"/>
        <v>33000</v>
      </c>
      <c r="R32" s="484">
        <f t="shared" si="7"/>
        <v>75000</v>
      </c>
      <c r="S32" s="484">
        <f t="shared" si="8"/>
        <v>69152.186288000026</v>
      </c>
      <c r="T32" s="484">
        <f t="shared" si="9"/>
        <v>0</v>
      </c>
      <c r="U32" s="484"/>
      <c r="V32" s="484">
        <f t="shared" si="11"/>
        <v>198152.18628800003</v>
      </c>
      <c r="W32" s="488">
        <v>12</v>
      </c>
      <c r="X32" s="484">
        <f t="shared" si="12"/>
        <v>16512.68219066667</v>
      </c>
      <c r="Y32" s="484"/>
      <c r="Z32" s="484">
        <f t="shared" si="13"/>
        <v>16512.68219066667</v>
      </c>
      <c r="AA32" s="36">
        <v>16512.68219066667</v>
      </c>
      <c r="AB32" s="36">
        <f t="shared" si="15"/>
        <v>0</v>
      </c>
      <c r="AC32" s="36"/>
      <c r="AD32" s="36"/>
      <c r="AE32" s="36"/>
    </row>
    <row r="33" spans="1:31" ht="18.75">
      <c r="A33" s="473">
        <v>31</v>
      </c>
      <c r="B33" s="362"/>
      <c r="C33" s="484"/>
      <c r="D33" s="485"/>
      <c r="E33" s="484"/>
      <c r="F33" s="486"/>
      <c r="G33" s="486"/>
      <c r="H33" s="486"/>
      <c r="I33" s="484"/>
      <c r="J33" s="484"/>
      <c r="K33" s="484"/>
      <c r="L33" s="484"/>
      <c r="M33" s="484"/>
      <c r="N33" s="484"/>
      <c r="O33" s="484"/>
      <c r="P33" s="484"/>
      <c r="Q33" s="484"/>
      <c r="R33" s="484"/>
      <c r="S33" s="484"/>
      <c r="T33" s="484"/>
      <c r="U33" s="484"/>
      <c r="V33" s="484"/>
      <c r="W33" s="488"/>
      <c r="X33" s="484"/>
      <c r="Y33" s="486"/>
      <c r="Z33" s="484"/>
      <c r="AA33" s="36"/>
      <c r="AB33" s="36">
        <f>SUM(AB6:AB32)</f>
        <v>83964.785464000015</v>
      </c>
      <c r="AC33" s="36"/>
      <c r="AD33" s="36"/>
      <c r="AE33" s="36"/>
    </row>
    <row r="34" spans="1:31" ht="18.75">
      <c r="A34" s="473">
        <v>32</v>
      </c>
      <c r="B34" s="366" t="s">
        <v>284</v>
      </c>
      <c r="C34" s="484"/>
      <c r="D34" s="485"/>
      <c r="E34" s="484"/>
      <c r="F34" s="486"/>
      <c r="G34" s="486"/>
      <c r="H34" s="486"/>
      <c r="I34" s="484"/>
      <c r="J34" s="484"/>
      <c r="K34" s="484"/>
      <c r="L34" s="484"/>
      <c r="M34" s="484"/>
      <c r="N34" s="484"/>
      <c r="O34" s="484"/>
      <c r="P34" s="484"/>
      <c r="Q34" s="484"/>
      <c r="R34" s="484"/>
      <c r="S34" s="484"/>
      <c r="T34" s="484"/>
      <c r="U34" s="484"/>
      <c r="V34" s="484"/>
      <c r="W34" s="488"/>
      <c r="X34" s="484"/>
      <c r="Y34" s="486"/>
      <c r="Z34" s="484"/>
      <c r="AA34" s="36"/>
      <c r="AB34" s="36"/>
      <c r="AC34" s="36"/>
      <c r="AD34" s="36"/>
      <c r="AE34" s="36"/>
    </row>
    <row r="35" spans="1:31" ht="18.75">
      <c r="A35" s="473"/>
      <c r="B35" s="364" t="s">
        <v>361</v>
      </c>
      <c r="C35" s="492">
        <v>950209.06350000005</v>
      </c>
      <c r="D35" s="484">
        <v>12</v>
      </c>
      <c r="E35" s="484">
        <f>C35*D35</f>
        <v>11402508.762</v>
      </c>
      <c r="F35" s="484"/>
      <c r="G35" s="484">
        <f>SUM(G5:G34)</f>
        <v>0</v>
      </c>
      <c r="H35" s="484"/>
      <c r="I35" s="484">
        <f>E35-F35-G35-H35</f>
        <v>11402508.762</v>
      </c>
      <c r="J35" s="484">
        <v>200000</v>
      </c>
      <c r="K35" s="484">
        <v>0.2</v>
      </c>
      <c r="L35" s="484">
        <f>I35*K35</f>
        <v>2280501.7524000001</v>
      </c>
      <c r="M35" s="484">
        <f>J35+L35</f>
        <v>2480501.7524000001</v>
      </c>
      <c r="N35" s="484">
        <f>F35+G35+H35+M35</f>
        <v>2480501.7524000001</v>
      </c>
      <c r="O35" s="484">
        <f>E35-N35</f>
        <v>8922007.0096000005</v>
      </c>
      <c r="P35" s="484">
        <f t="shared" si="5"/>
        <v>21000</v>
      </c>
      <c r="Q35" s="484">
        <f t="shared" ref="Q35:Q37" si="29">IF((O35-300000)&lt;0,0,IF((O35-300000)&lt;300000,0.11*(O35-300000),33000))</f>
        <v>33000</v>
      </c>
      <c r="R35" s="484">
        <f t="shared" ref="R35:R37" si="30">IF((O35-600000)&lt;0,0,IF((O35-600000)&lt;500000,0.15*(O35-600000),75000))</f>
        <v>75000</v>
      </c>
      <c r="S35" s="484">
        <f t="shared" ref="S35:S37" si="31">IF((O35-1100000)&lt;0,0,IF((O35-1100000)&lt;500000,0.19*(O35-1100000),95000))</f>
        <v>95000</v>
      </c>
      <c r="T35" s="484">
        <f t="shared" ref="T35:T37" si="32">IF((O35-1600000)&lt;0,0,IF((O35-1600000)&lt;1600000,0.21*(O35-1600000),336000))</f>
        <v>336000</v>
      </c>
      <c r="U35" s="484">
        <f t="shared" si="10"/>
        <v>1373281.682304</v>
      </c>
      <c r="V35" s="484">
        <f>P35+Q35+R35+S35+T35+U35</f>
        <v>1933281.682304</v>
      </c>
      <c r="W35" s="484">
        <v>12</v>
      </c>
      <c r="X35" s="484">
        <f>V35/W35</f>
        <v>161106.80685866668</v>
      </c>
      <c r="Y35" s="484"/>
      <c r="Z35" s="484">
        <f>X35</f>
        <v>161106.80685866668</v>
      </c>
      <c r="AA35" s="476">
        <v>161106.80685866668</v>
      </c>
      <c r="AB35" s="476">
        <f>Z35-AA35</f>
        <v>0</v>
      </c>
      <c r="AC35" s="36"/>
      <c r="AD35" s="36"/>
      <c r="AE35" s="36"/>
    </row>
    <row r="36" spans="1:31" ht="18.75">
      <c r="A36" s="473"/>
      <c r="B36" s="364" t="s">
        <v>419</v>
      </c>
      <c r="C36" s="484">
        <v>176816.09999999998</v>
      </c>
      <c r="D36" s="485">
        <v>12</v>
      </c>
      <c r="E36" s="484">
        <f t="shared" ref="E36:E37" si="33">C36*D36</f>
        <v>2121793.1999999997</v>
      </c>
      <c r="F36" s="484"/>
      <c r="G36" s="484">
        <f>SUM(G6:G35)</f>
        <v>0</v>
      </c>
      <c r="H36" s="484"/>
      <c r="I36" s="484">
        <f>E36-F36-G36-H36</f>
        <v>2121793.1999999997</v>
      </c>
      <c r="J36" s="484">
        <v>200000</v>
      </c>
      <c r="K36" s="484">
        <v>0.2</v>
      </c>
      <c r="L36" s="484">
        <f>I36*K36</f>
        <v>424358.63999999996</v>
      </c>
      <c r="M36" s="484">
        <f>J36+L36</f>
        <v>624358.6399999999</v>
      </c>
      <c r="N36" s="484">
        <f>F36+G36+H36+M36</f>
        <v>624358.6399999999</v>
      </c>
      <c r="O36" s="484">
        <f>E36-N36</f>
        <v>1497434.5599999998</v>
      </c>
      <c r="P36" s="484">
        <f t="shared" si="5"/>
        <v>21000</v>
      </c>
      <c r="Q36" s="484">
        <f t="shared" si="29"/>
        <v>33000</v>
      </c>
      <c r="R36" s="484">
        <f t="shared" si="30"/>
        <v>75000</v>
      </c>
      <c r="S36" s="484">
        <f t="shared" si="31"/>
        <v>75512.566399999967</v>
      </c>
      <c r="T36" s="484">
        <f t="shared" si="32"/>
        <v>0</v>
      </c>
      <c r="U36" s="484"/>
      <c r="V36" s="484">
        <f>P36+Q36+R36+S36+T36+U36</f>
        <v>204512.56639999995</v>
      </c>
      <c r="W36" s="484">
        <v>12</v>
      </c>
      <c r="X36" s="484">
        <f>V36/W36</f>
        <v>17042.713866666661</v>
      </c>
      <c r="Y36" s="484"/>
      <c r="Z36" s="484">
        <f>X36</f>
        <v>17042.713866666661</v>
      </c>
      <c r="AA36" s="36">
        <v>17042.713866666661</v>
      </c>
      <c r="AB36" s="476">
        <f t="shared" ref="AB36:AB37" si="34">Z36-AA36</f>
        <v>0</v>
      </c>
      <c r="AC36" s="36"/>
      <c r="AD36" s="36"/>
      <c r="AE36" s="36"/>
    </row>
    <row r="37" spans="1:31" ht="18.75">
      <c r="A37" s="473">
        <v>33</v>
      </c>
      <c r="B37" s="432" t="s">
        <v>720</v>
      </c>
      <c r="C37" s="491">
        <v>233169.11749999999</v>
      </c>
      <c r="D37" s="485">
        <v>12</v>
      </c>
      <c r="E37" s="484">
        <f t="shared" si="33"/>
        <v>2798029.41</v>
      </c>
      <c r="F37" s="484"/>
      <c r="G37" s="484">
        <f>SUM(G7:G36)</f>
        <v>0</v>
      </c>
      <c r="H37" s="484"/>
      <c r="I37" s="484">
        <f>E37-F37-G37-H37</f>
        <v>2798029.41</v>
      </c>
      <c r="J37" s="484">
        <v>200000</v>
      </c>
      <c r="K37" s="484">
        <v>0.2</v>
      </c>
      <c r="L37" s="484">
        <f>I37*K37</f>
        <v>559605.8820000001</v>
      </c>
      <c r="M37" s="484">
        <f>J37+L37</f>
        <v>759605.8820000001</v>
      </c>
      <c r="N37" s="484">
        <f>F37+G37+H37+M37</f>
        <v>759605.8820000001</v>
      </c>
      <c r="O37" s="484">
        <f>E37-N37</f>
        <v>2038423.5279999999</v>
      </c>
      <c r="P37" s="484">
        <f t="shared" si="5"/>
        <v>21000</v>
      </c>
      <c r="Q37" s="484">
        <f t="shared" si="29"/>
        <v>33000</v>
      </c>
      <c r="R37" s="484">
        <f t="shared" si="30"/>
        <v>75000</v>
      </c>
      <c r="S37" s="484">
        <f t="shared" si="31"/>
        <v>95000</v>
      </c>
      <c r="T37" s="484">
        <f t="shared" si="32"/>
        <v>92068.94087999998</v>
      </c>
      <c r="U37" s="484"/>
      <c r="V37" s="484">
        <f>P37+Q37+R37+S37+T37+U37</f>
        <v>316068.94088000001</v>
      </c>
      <c r="W37" s="484">
        <v>12</v>
      </c>
      <c r="X37" s="484">
        <f>V37/W37</f>
        <v>26339.078406666667</v>
      </c>
      <c r="Y37" s="484"/>
      <c r="Z37" s="484">
        <f>X37</f>
        <v>26339.078406666667</v>
      </c>
      <c r="AA37" s="36">
        <v>26339.078406666667</v>
      </c>
      <c r="AB37" s="476">
        <f t="shared" si="34"/>
        <v>0</v>
      </c>
      <c r="AC37" s="36"/>
      <c r="AD37" s="36"/>
      <c r="AE37" s="36"/>
    </row>
    <row r="38" spans="1:31" ht="18.75">
      <c r="A38" s="473"/>
      <c r="B38" s="365"/>
      <c r="C38" s="484"/>
      <c r="D38" s="485"/>
      <c r="E38" s="484"/>
      <c r="F38" s="486"/>
      <c r="G38" s="486"/>
      <c r="H38" s="486"/>
      <c r="I38" s="484"/>
      <c r="J38" s="484"/>
      <c r="K38" s="484"/>
      <c r="L38" s="484"/>
      <c r="M38" s="484"/>
      <c r="N38" s="484"/>
      <c r="O38" s="484"/>
      <c r="P38" s="484"/>
      <c r="Q38" s="484"/>
      <c r="R38" s="484"/>
      <c r="S38" s="484"/>
      <c r="T38" s="484"/>
      <c r="U38" s="484"/>
      <c r="V38" s="484"/>
      <c r="W38" s="488"/>
      <c r="X38" s="484"/>
      <c r="Y38" s="486"/>
      <c r="Z38" s="484"/>
      <c r="AA38" s="36"/>
      <c r="AB38" s="36"/>
      <c r="AC38" s="36"/>
      <c r="AD38" s="36"/>
      <c r="AE38" s="36"/>
    </row>
    <row r="39" spans="1:31" ht="18.75">
      <c r="A39" s="473"/>
      <c r="B39" s="218" t="s">
        <v>56</v>
      </c>
      <c r="C39" s="484"/>
      <c r="D39" s="485"/>
      <c r="E39" s="484"/>
      <c r="F39" s="486"/>
      <c r="G39" s="486"/>
      <c r="H39" s="486"/>
      <c r="I39" s="484"/>
      <c r="J39" s="484"/>
      <c r="K39" s="484"/>
      <c r="L39" s="484"/>
      <c r="M39" s="484"/>
      <c r="N39" s="484"/>
      <c r="O39" s="484"/>
      <c r="P39" s="484"/>
      <c r="Q39" s="484"/>
      <c r="R39" s="484"/>
      <c r="S39" s="484"/>
      <c r="T39" s="484"/>
      <c r="U39" s="484"/>
      <c r="V39" s="484"/>
      <c r="W39" s="488"/>
      <c r="X39" s="484"/>
      <c r="Y39" s="486"/>
      <c r="Z39" s="484"/>
      <c r="AA39" s="36"/>
      <c r="AB39" s="36"/>
      <c r="AC39" s="36"/>
      <c r="AD39" s="36"/>
      <c r="AE39" s="36"/>
    </row>
    <row r="40" spans="1:31" ht="37.5">
      <c r="A40" s="473">
        <v>35</v>
      </c>
      <c r="B40" s="432" t="s">
        <v>255</v>
      </c>
      <c r="C40" s="491">
        <v>1050209.0635000002</v>
      </c>
      <c r="D40" s="485">
        <v>12</v>
      </c>
      <c r="E40" s="484">
        <f>C40*D40</f>
        <v>12602508.762000002</v>
      </c>
      <c r="F40" s="484"/>
      <c r="G40" s="484"/>
      <c r="H40" s="484"/>
      <c r="I40" s="484">
        <f>E40-F40-G40-H40</f>
        <v>12602508.762000002</v>
      </c>
      <c r="J40" s="484">
        <v>200000</v>
      </c>
      <c r="K40" s="484">
        <v>0.2</v>
      </c>
      <c r="L40" s="484">
        <f>I40*K40</f>
        <v>2520501.7524000006</v>
      </c>
      <c r="M40" s="484">
        <f>J40+L40</f>
        <v>2720501.7524000006</v>
      </c>
      <c r="N40" s="484">
        <f>F40+G40+H40+M40</f>
        <v>2720501.7524000006</v>
      </c>
      <c r="O40" s="484">
        <f>E40-N40</f>
        <v>9882007.0096000023</v>
      </c>
      <c r="P40" s="484">
        <f>IF(O40&lt;300000,0.07*O40,21000)</f>
        <v>21000</v>
      </c>
      <c r="Q40" s="484">
        <f>IF((O40-300000)&lt;0,0,IF((O40-300000)&lt;300000,0.11*(O40-300000),33000))</f>
        <v>33000</v>
      </c>
      <c r="R40" s="484">
        <f>IF((O40-600000)&lt;0,0,IF((O40-600000)&lt;500000,0.15*(O40-600000),75000))</f>
        <v>75000</v>
      </c>
      <c r="S40" s="484">
        <f>IF((O40-1100000)&lt;0,0,IF((O40-1100000)&lt;500000,0.19*(O40-1100000),95000))</f>
        <v>95000</v>
      </c>
      <c r="T40" s="484">
        <f>IF((O40-1600000)&lt;0,0,IF((O40-1600000)&lt;1600000,0.21*(O40-1600000),336000))</f>
        <v>336000</v>
      </c>
      <c r="U40" s="484">
        <f>0.24*(O40-3200000)</f>
        <v>1603681.6823040005</v>
      </c>
      <c r="V40" s="484">
        <f>P40+Q40+R40+S40+T40+U40</f>
        <v>2163681.6823040005</v>
      </c>
      <c r="W40" s="488">
        <v>12</v>
      </c>
      <c r="X40" s="484">
        <f>V40/W40</f>
        <v>180306.80685866671</v>
      </c>
      <c r="Y40" s="484"/>
      <c r="Z40" s="484">
        <f>X40</f>
        <v>180306.80685866671</v>
      </c>
      <c r="AA40" s="36">
        <v>180306.80685866671</v>
      </c>
      <c r="AB40" s="36">
        <f>Z40-AA40</f>
        <v>0</v>
      </c>
      <c r="AC40" s="36"/>
      <c r="AD40" s="36"/>
      <c r="AE40" s="36"/>
    </row>
    <row r="41" spans="1:31" ht="18.75">
      <c r="A41" s="473">
        <v>36</v>
      </c>
      <c r="B41" s="432" t="s">
        <v>158</v>
      </c>
      <c r="C41" s="484">
        <v>527553.50249999994</v>
      </c>
      <c r="D41" s="485">
        <v>12</v>
      </c>
      <c r="E41" s="484">
        <f t="shared" ref="E41:E50" si="35">C41*D41</f>
        <v>6330642.0299999993</v>
      </c>
      <c r="F41" s="486"/>
      <c r="G41" s="486"/>
      <c r="H41" s="486"/>
      <c r="I41" s="484">
        <f t="shared" si="0"/>
        <v>6330642.0299999993</v>
      </c>
      <c r="J41" s="484">
        <v>200000</v>
      </c>
      <c r="K41" s="484">
        <v>0.2</v>
      </c>
      <c r="L41" s="484">
        <f t="shared" si="1"/>
        <v>1266128.406</v>
      </c>
      <c r="M41" s="484">
        <f t="shared" si="2"/>
        <v>1466128.406</v>
      </c>
      <c r="N41" s="484">
        <f t="shared" si="3"/>
        <v>1466128.406</v>
      </c>
      <c r="O41" s="484">
        <f t="shared" si="4"/>
        <v>4864513.6239999998</v>
      </c>
      <c r="P41" s="484">
        <f t="shared" si="5"/>
        <v>21000</v>
      </c>
      <c r="Q41" s="484">
        <f t="shared" si="6"/>
        <v>33000</v>
      </c>
      <c r="R41" s="484">
        <f t="shared" si="7"/>
        <v>75000</v>
      </c>
      <c r="S41" s="484">
        <f t="shared" si="8"/>
        <v>95000</v>
      </c>
      <c r="T41" s="484">
        <f t="shared" si="9"/>
        <v>336000</v>
      </c>
      <c r="U41" s="484">
        <f t="shared" si="10"/>
        <v>399483.26975999994</v>
      </c>
      <c r="V41" s="484">
        <f t="shared" si="11"/>
        <v>959483.26975999994</v>
      </c>
      <c r="W41" s="488">
        <v>12</v>
      </c>
      <c r="X41" s="484">
        <f t="shared" si="12"/>
        <v>79956.939146666657</v>
      </c>
      <c r="Y41" s="486"/>
      <c r="Z41" s="484">
        <f t="shared" si="13"/>
        <v>79956.939146666657</v>
      </c>
      <c r="AA41" s="36">
        <v>79956.939146666657</v>
      </c>
      <c r="AB41" s="36">
        <f t="shared" ref="AB41:AB50" si="36">Z41-AA41</f>
        <v>0</v>
      </c>
      <c r="AC41" s="36"/>
      <c r="AD41" s="36"/>
      <c r="AE41" s="36"/>
    </row>
    <row r="42" spans="1:31" ht="18.75">
      <c r="A42" s="473">
        <v>37</v>
      </c>
      <c r="B42" s="432" t="s">
        <v>165</v>
      </c>
      <c r="C42" s="484">
        <v>617743.99575</v>
      </c>
      <c r="D42" s="485">
        <v>12</v>
      </c>
      <c r="E42" s="484">
        <f t="shared" si="35"/>
        <v>7412927.949</v>
      </c>
      <c r="F42" s="486"/>
      <c r="G42" s="486"/>
      <c r="H42" s="486"/>
      <c r="I42" s="484">
        <f t="shared" si="0"/>
        <v>7412927.949</v>
      </c>
      <c r="J42" s="484">
        <v>200000</v>
      </c>
      <c r="K42" s="484">
        <v>0.2</v>
      </c>
      <c r="L42" s="484">
        <f t="shared" si="1"/>
        <v>1482585.5898000002</v>
      </c>
      <c r="M42" s="484">
        <f t="shared" si="2"/>
        <v>1682585.5898000002</v>
      </c>
      <c r="N42" s="484">
        <f t="shared" si="3"/>
        <v>1682585.5898000002</v>
      </c>
      <c r="O42" s="484">
        <f t="shared" si="4"/>
        <v>5730342.3591999998</v>
      </c>
      <c r="P42" s="484">
        <f t="shared" si="5"/>
        <v>21000</v>
      </c>
      <c r="Q42" s="484">
        <f t="shared" si="6"/>
        <v>33000</v>
      </c>
      <c r="R42" s="484">
        <f t="shared" si="7"/>
        <v>75000</v>
      </c>
      <c r="S42" s="484">
        <f t="shared" si="8"/>
        <v>95000</v>
      </c>
      <c r="T42" s="484">
        <f t="shared" si="9"/>
        <v>336000</v>
      </c>
      <c r="U42" s="484">
        <f t="shared" si="10"/>
        <v>607282.16620799992</v>
      </c>
      <c r="V42" s="484">
        <f t="shared" si="11"/>
        <v>1167282.1662079999</v>
      </c>
      <c r="W42" s="488">
        <v>12</v>
      </c>
      <c r="X42" s="484">
        <f t="shared" si="12"/>
        <v>97273.513850666655</v>
      </c>
      <c r="Y42" s="486"/>
      <c r="Z42" s="484">
        <f t="shared" si="13"/>
        <v>97273.513850666655</v>
      </c>
      <c r="AA42" s="36">
        <v>97273.513850666655</v>
      </c>
      <c r="AB42" s="36">
        <f t="shared" si="36"/>
        <v>0</v>
      </c>
      <c r="AC42" s="36"/>
      <c r="AD42" s="36"/>
      <c r="AE42" s="36"/>
    </row>
    <row r="43" spans="1:31" ht="18.75">
      <c r="A43" s="473">
        <v>38</v>
      </c>
      <c r="B43" s="432" t="s">
        <v>159</v>
      </c>
      <c r="C43" s="484">
        <v>527553.50249999994</v>
      </c>
      <c r="D43" s="485">
        <v>12</v>
      </c>
      <c r="E43" s="484">
        <f t="shared" si="35"/>
        <v>6330642.0299999993</v>
      </c>
      <c r="F43" s="486"/>
      <c r="G43" s="486"/>
      <c r="H43" s="486"/>
      <c r="I43" s="484">
        <f t="shared" si="0"/>
        <v>6330642.0299999993</v>
      </c>
      <c r="J43" s="484">
        <v>200000</v>
      </c>
      <c r="K43" s="484">
        <v>0.2</v>
      </c>
      <c r="L43" s="484">
        <f t="shared" si="1"/>
        <v>1266128.406</v>
      </c>
      <c r="M43" s="484">
        <f t="shared" si="2"/>
        <v>1466128.406</v>
      </c>
      <c r="N43" s="484">
        <f t="shared" si="3"/>
        <v>1466128.406</v>
      </c>
      <c r="O43" s="484">
        <f t="shared" si="4"/>
        <v>4864513.6239999998</v>
      </c>
      <c r="P43" s="484">
        <f t="shared" si="5"/>
        <v>21000</v>
      </c>
      <c r="Q43" s="484">
        <f t="shared" si="6"/>
        <v>33000</v>
      </c>
      <c r="R43" s="484">
        <f t="shared" si="7"/>
        <v>75000</v>
      </c>
      <c r="S43" s="484">
        <f t="shared" si="8"/>
        <v>95000</v>
      </c>
      <c r="T43" s="484">
        <f t="shared" si="9"/>
        <v>336000</v>
      </c>
      <c r="U43" s="484">
        <f t="shared" si="10"/>
        <v>399483.26975999994</v>
      </c>
      <c r="V43" s="484">
        <f t="shared" si="11"/>
        <v>959483.26975999994</v>
      </c>
      <c r="W43" s="488">
        <v>12</v>
      </c>
      <c r="X43" s="484">
        <f t="shared" si="12"/>
        <v>79956.939146666657</v>
      </c>
      <c r="Y43" s="486"/>
      <c r="Z43" s="484">
        <f t="shared" si="13"/>
        <v>79956.939146666657</v>
      </c>
      <c r="AA43" s="36">
        <v>79956.939146666657</v>
      </c>
      <c r="AB43" s="36">
        <f t="shared" si="36"/>
        <v>0</v>
      </c>
      <c r="AC43" s="36"/>
      <c r="AD43" s="36"/>
      <c r="AE43" s="36"/>
    </row>
    <row r="44" spans="1:31" ht="18.75">
      <c r="A44" s="473">
        <v>39</v>
      </c>
      <c r="B44" s="432" t="s">
        <v>118</v>
      </c>
      <c r="C44" s="484">
        <v>527553.50249999994</v>
      </c>
      <c r="D44" s="485">
        <v>12</v>
      </c>
      <c r="E44" s="484">
        <f t="shared" si="35"/>
        <v>6330642.0299999993</v>
      </c>
      <c r="F44" s="486">
        <f>'[4]JANUARY 2024'!$V$47*12</f>
        <v>10052.25</v>
      </c>
      <c r="G44" s="486"/>
      <c r="H44" s="486"/>
      <c r="I44" s="484">
        <f t="shared" si="0"/>
        <v>6320589.7799999993</v>
      </c>
      <c r="J44" s="484">
        <v>200000</v>
      </c>
      <c r="K44" s="484">
        <v>0.2</v>
      </c>
      <c r="L44" s="484">
        <f t="shared" si="1"/>
        <v>1264117.956</v>
      </c>
      <c r="M44" s="484">
        <f t="shared" si="2"/>
        <v>1464117.956</v>
      </c>
      <c r="N44" s="484">
        <f t="shared" si="3"/>
        <v>1474170.206</v>
      </c>
      <c r="O44" s="484">
        <f t="shared" si="4"/>
        <v>4856471.8239999991</v>
      </c>
      <c r="P44" s="484">
        <f t="shared" si="5"/>
        <v>21000</v>
      </c>
      <c r="Q44" s="484">
        <f t="shared" si="6"/>
        <v>33000</v>
      </c>
      <c r="R44" s="484">
        <f t="shared" si="7"/>
        <v>75000</v>
      </c>
      <c r="S44" s="484">
        <f t="shared" si="8"/>
        <v>95000</v>
      </c>
      <c r="T44" s="484">
        <f t="shared" si="9"/>
        <v>336000</v>
      </c>
      <c r="U44" s="484">
        <f t="shared" si="10"/>
        <v>397553.23775999976</v>
      </c>
      <c r="V44" s="484">
        <f t="shared" si="11"/>
        <v>957553.2377599997</v>
      </c>
      <c r="W44" s="488">
        <v>12</v>
      </c>
      <c r="X44" s="484">
        <f t="shared" si="12"/>
        <v>79796.103146666646</v>
      </c>
      <c r="Y44" s="486"/>
      <c r="Z44" s="484">
        <f t="shared" si="13"/>
        <v>79796.103146666646</v>
      </c>
      <c r="AA44" s="36">
        <v>79796.103146666646</v>
      </c>
      <c r="AB44" s="36">
        <f t="shared" si="36"/>
        <v>0</v>
      </c>
      <c r="AC44" s="36"/>
      <c r="AD44" s="36"/>
      <c r="AE44" s="36"/>
    </row>
    <row r="45" spans="1:31" ht="18.75">
      <c r="A45" s="473">
        <v>40</v>
      </c>
      <c r="B45" s="432" t="s">
        <v>205</v>
      </c>
      <c r="C45" s="484">
        <v>504720.04700000002</v>
      </c>
      <c r="D45" s="485">
        <v>12</v>
      </c>
      <c r="E45" s="484">
        <f t="shared" si="35"/>
        <v>6056640.5640000002</v>
      </c>
      <c r="F45" s="484"/>
      <c r="G45" s="486"/>
      <c r="H45" s="486"/>
      <c r="I45" s="484">
        <f t="shared" si="0"/>
        <v>6056640.5640000002</v>
      </c>
      <c r="J45" s="484">
        <v>200000</v>
      </c>
      <c r="K45" s="484">
        <v>0.2</v>
      </c>
      <c r="L45" s="484">
        <f t="shared" si="1"/>
        <v>1211328.1128</v>
      </c>
      <c r="M45" s="484">
        <f t="shared" si="2"/>
        <v>1411328.1128</v>
      </c>
      <c r="N45" s="484">
        <f t="shared" si="3"/>
        <v>1411328.1128</v>
      </c>
      <c r="O45" s="484">
        <f t="shared" si="4"/>
        <v>4645312.4512</v>
      </c>
      <c r="P45" s="484">
        <f t="shared" si="5"/>
        <v>21000</v>
      </c>
      <c r="Q45" s="484">
        <f t="shared" si="6"/>
        <v>33000</v>
      </c>
      <c r="R45" s="484">
        <f t="shared" si="7"/>
        <v>75000</v>
      </c>
      <c r="S45" s="484">
        <f t="shared" si="8"/>
        <v>95000</v>
      </c>
      <c r="T45" s="484">
        <f t="shared" si="9"/>
        <v>336000</v>
      </c>
      <c r="U45" s="484">
        <f t="shared" si="10"/>
        <v>346874.98828799999</v>
      </c>
      <c r="V45" s="484">
        <f t="shared" si="11"/>
        <v>906874.98828799999</v>
      </c>
      <c r="W45" s="488">
        <v>12</v>
      </c>
      <c r="X45" s="484">
        <f t="shared" si="12"/>
        <v>75572.915690666661</v>
      </c>
      <c r="Y45" s="486"/>
      <c r="Z45" s="484">
        <f t="shared" si="13"/>
        <v>75572.915690666661</v>
      </c>
      <c r="AA45" s="36">
        <v>75572.915690666661</v>
      </c>
      <c r="AB45" s="36">
        <f t="shared" si="36"/>
        <v>0</v>
      </c>
      <c r="AC45" s="36"/>
      <c r="AD45" s="36"/>
      <c r="AE45" s="36"/>
    </row>
    <row r="46" spans="1:31" ht="18.75">
      <c r="A46" s="473">
        <v>41</v>
      </c>
      <c r="B46" s="365" t="s">
        <v>173</v>
      </c>
      <c r="C46" s="484">
        <v>413333.03525000007</v>
      </c>
      <c r="D46" s="485">
        <v>12</v>
      </c>
      <c r="E46" s="484">
        <f t="shared" si="35"/>
        <v>4959996.4230000004</v>
      </c>
      <c r="F46" s="484"/>
      <c r="G46" s="486"/>
      <c r="H46" s="486"/>
      <c r="I46" s="484">
        <f t="shared" si="0"/>
        <v>4959996.4230000004</v>
      </c>
      <c r="J46" s="484">
        <v>200000</v>
      </c>
      <c r="K46" s="484">
        <v>0.2</v>
      </c>
      <c r="L46" s="484">
        <f t="shared" si="1"/>
        <v>991999.28460000013</v>
      </c>
      <c r="M46" s="484">
        <f t="shared" si="2"/>
        <v>1191999.2846000001</v>
      </c>
      <c r="N46" s="484">
        <f t="shared" si="3"/>
        <v>1191999.2846000001</v>
      </c>
      <c r="O46" s="484">
        <f t="shared" si="4"/>
        <v>3767997.1384000005</v>
      </c>
      <c r="P46" s="484">
        <f t="shared" si="5"/>
        <v>21000</v>
      </c>
      <c r="Q46" s="484">
        <f t="shared" si="6"/>
        <v>33000</v>
      </c>
      <c r="R46" s="484">
        <f t="shared" si="7"/>
        <v>75000</v>
      </c>
      <c r="S46" s="484">
        <f t="shared" si="8"/>
        <v>95000</v>
      </c>
      <c r="T46" s="484">
        <f t="shared" si="9"/>
        <v>336000</v>
      </c>
      <c r="U46" s="484">
        <f t="shared" si="10"/>
        <v>136319.31321600013</v>
      </c>
      <c r="V46" s="484">
        <f t="shared" si="11"/>
        <v>696319.3132160001</v>
      </c>
      <c r="W46" s="488">
        <v>12</v>
      </c>
      <c r="X46" s="484">
        <f t="shared" si="12"/>
        <v>58026.609434666672</v>
      </c>
      <c r="Y46" s="486"/>
      <c r="Z46" s="484">
        <f t="shared" si="13"/>
        <v>58026.609434666672</v>
      </c>
      <c r="AA46" s="36">
        <v>58026.609434666672</v>
      </c>
      <c r="AB46" s="36">
        <f t="shared" si="36"/>
        <v>0</v>
      </c>
      <c r="AC46" s="36"/>
      <c r="AD46" s="36"/>
      <c r="AE46" s="36"/>
    </row>
    <row r="47" spans="1:31" ht="18.75">
      <c r="A47" s="473">
        <v>42</v>
      </c>
      <c r="B47" s="432" t="s">
        <v>551</v>
      </c>
      <c r="C47" s="484">
        <v>273169.11749999999</v>
      </c>
      <c r="D47" s="485">
        <v>12</v>
      </c>
      <c r="E47" s="484">
        <f t="shared" si="35"/>
        <v>3278029.41</v>
      </c>
      <c r="F47" s="484"/>
      <c r="G47" s="486"/>
      <c r="H47" s="486"/>
      <c r="I47" s="484">
        <f t="shared" si="0"/>
        <v>3278029.41</v>
      </c>
      <c r="J47" s="484">
        <v>200000</v>
      </c>
      <c r="K47" s="484">
        <v>0.2</v>
      </c>
      <c r="L47" s="484">
        <f t="shared" si="1"/>
        <v>655605.8820000001</v>
      </c>
      <c r="M47" s="484">
        <f t="shared" si="2"/>
        <v>855605.8820000001</v>
      </c>
      <c r="N47" s="484">
        <f t="shared" si="3"/>
        <v>855605.8820000001</v>
      </c>
      <c r="O47" s="484">
        <f t="shared" si="4"/>
        <v>2422423.5279999999</v>
      </c>
      <c r="P47" s="484">
        <f t="shared" si="5"/>
        <v>21000</v>
      </c>
      <c r="Q47" s="484">
        <f t="shared" si="6"/>
        <v>33000</v>
      </c>
      <c r="R47" s="484">
        <f t="shared" si="7"/>
        <v>75000</v>
      </c>
      <c r="S47" s="484">
        <f t="shared" si="8"/>
        <v>95000</v>
      </c>
      <c r="T47" s="484">
        <f t="shared" si="9"/>
        <v>172708.94087999998</v>
      </c>
      <c r="U47" s="484"/>
      <c r="V47" s="484">
        <f t="shared" si="11"/>
        <v>396708.94088000001</v>
      </c>
      <c r="W47" s="488">
        <v>12</v>
      </c>
      <c r="X47" s="484">
        <f t="shared" si="12"/>
        <v>33059.078406666667</v>
      </c>
      <c r="Y47" s="486"/>
      <c r="Z47" s="484">
        <f t="shared" si="13"/>
        <v>33059.078406666667</v>
      </c>
      <c r="AA47" s="36">
        <v>33059.078406666667</v>
      </c>
      <c r="AB47" s="36">
        <f t="shared" si="36"/>
        <v>0</v>
      </c>
      <c r="AC47" s="36"/>
      <c r="AD47" s="36"/>
      <c r="AE47" s="36"/>
    </row>
    <row r="48" spans="1:31" s="481" customFormat="1" ht="18.75">
      <c r="A48" s="478">
        <v>43</v>
      </c>
      <c r="B48" s="432" t="s">
        <v>420</v>
      </c>
      <c r="C48" s="484">
        <v>249356.04725</v>
      </c>
      <c r="D48" s="485">
        <v>12</v>
      </c>
      <c r="E48" s="484">
        <f t="shared" si="35"/>
        <v>2992272.5669999998</v>
      </c>
      <c r="F48" s="484"/>
      <c r="G48" s="486"/>
      <c r="H48" s="486"/>
      <c r="I48" s="484">
        <f t="shared" si="0"/>
        <v>2992272.5669999998</v>
      </c>
      <c r="J48" s="484">
        <v>200000</v>
      </c>
      <c r="K48" s="484">
        <v>0.2</v>
      </c>
      <c r="L48" s="484">
        <f t="shared" si="1"/>
        <v>598454.51339999994</v>
      </c>
      <c r="M48" s="484">
        <f t="shared" si="2"/>
        <v>798454.51339999994</v>
      </c>
      <c r="N48" s="484">
        <f t="shared" si="3"/>
        <v>798454.51339999994</v>
      </c>
      <c r="O48" s="484">
        <f t="shared" si="4"/>
        <v>2193818.0535999998</v>
      </c>
      <c r="P48" s="484">
        <f t="shared" si="5"/>
        <v>21000</v>
      </c>
      <c r="Q48" s="484">
        <f t="shared" si="6"/>
        <v>33000</v>
      </c>
      <c r="R48" s="484">
        <f t="shared" si="7"/>
        <v>75000</v>
      </c>
      <c r="S48" s="484">
        <f t="shared" si="8"/>
        <v>95000</v>
      </c>
      <c r="T48" s="484">
        <f t="shared" si="9"/>
        <v>124701.79125599994</v>
      </c>
      <c r="U48" s="484"/>
      <c r="V48" s="484">
        <f t="shared" si="11"/>
        <v>348701.79125599994</v>
      </c>
      <c r="W48" s="488">
        <v>12</v>
      </c>
      <c r="X48" s="484">
        <f>V48/W48</f>
        <v>29058.48260466666</v>
      </c>
      <c r="Y48" s="486"/>
      <c r="Z48" s="484">
        <f t="shared" si="13"/>
        <v>29058.48260466666</v>
      </c>
      <c r="AA48" s="480">
        <v>29058.48260466666</v>
      </c>
      <c r="AB48" s="36">
        <f t="shared" si="36"/>
        <v>0</v>
      </c>
      <c r="AC48" s="480"/>
      <c r="AD48" s="480"/>
      <c r="AE48" s="480"/>
    </row>
    <row r="49" spans="1:31" ht="18.75">
      <c r="A49" s="473">
        <v>44</v>
      </c>
      <c r="B49" s="432" t="s">
        <v>435</v>
      </c>
      <c r="C49" s="484">
        <v>249356.04725</v>
      </c>
      <c r="D49" s="485">
        <v>12</v>
      </c>
      <c r="E49" s="484">
        <f t="shared" si="35"/>
        <v>2992272.5669999998</v>
      </c>
      <c r="F49" s="484"/>
      <c r="G49" s="486"/>
      <c r="H49" s="486"/>
      <c r="I49" s="484">
        <f t="shared" si="0"/>
        <v>2992272.5669999998</v>
      </c>
      <c r="J49" s="484">
        <v>200000</v>
      </c>
      <c r="K49" s="484">
        <v>0.2</v>
      </c>
      <c r="L49" s="484">
        <f t="shared" si="1"/>
        <v>598454.51339999994</v>
      </c>
      <c r="M49" s="484">
        <f t="shared" si="2"/>
        <v>798454.51339999994</v>
      </c>
      <c r="N49" s="484">
        <f t="shared" si="3"/>
        <v>798454.51339999994</v>
      </c>
      <c r="O49" s="484">
        <f t="shared" si="4"/>
        <v>2193818.0535999998</v>
      </c>
      <c r="P49" s="484">
        <f t="shared" si="5"/>
        <v>21000</v>
      </c>
      <c r="Q49" s="484">
        <f t="shared" si="6"/>
        <v>33000</v>
      </c>
      <c r="R49" s="484">
        <f t="shared" si="7"/>
        <v>75000</v>
      </c>
      <c r="S49" s="484">
        <f t="shared" si="8"/>
        <v>95000</v>
      </c>
      <c r="T49" s="484">
        <f t="shared" si="9"/>
        <v>124701.79125599994</v>
      </c>
      <c r="U49" s="484"/>
      <c r="V49" s="484">
        <f t="shared" si="11"/>
        <v>348701.79125599994</v>
      </c>
      <c r="W49" s="488">
        <v>12</v>
      </c>
      <c r="X49" s="484">
        <v>28360.952862666662</v>
      </c>
      <c r="Y49" s="486"/>
      <c r="Z49" s="484">
        <f t="shared" si="13"/>
        <v>28360.952862666662</v>
      </c>
      <c r="AA49" s="36">
        <v>28360.952862666662</v>
      </c>
      <c r="AB49" s="36">
        <f t="shared" si="36"/>
        <v>0</v>
      </c>
      <c r="AC49" s="36"/>
      <c r="AD49" s="36"/>
      <c r="AE49" s="36"/>
    </row>
    <row r="50" spans="1:31" ht="18.75">
      <c r="A50" s="473">
        <v>45</v>
      </c>
      <c r="B50" s="432" t="s">
        <v>452</v>
      </c>
      <c r="C50" s="484">
        <v>249356.04725</v>
      </c>
      <c r="D50" s="485">
        <v>12</v>
      </c>
      <c r="E50" s="484">
        <f t="shared" si="35"/>
        <v>2992272.5669999998</v>
      </c>
      <c r="F50" s="484"/>
      <c r="G50" s="486"/>
      <c r="H50" s="486"/>
      <c r="I50" s="484">
        <f t="shared" si="0"/>
        <v>2992272.5669999998</v>
      </c>
      <c r="J50" s="484">
        <v>200000</v>
      </c>
      <c r="K50" s="484">
        <v>0.2</v>
      </c>
      <c r="L50" s="484">
        <f t="shared" si="1"/>
        <v>598454.51339999994</v>
      </c>
      <c r="M50" s="484">
        <f t="shared" si="2"/>
        <v>798454.51339999994</v>
      </c>
      <c r="N50" s="484">
        <f t="shared" si="3"/>
        <v>798454.51339999994</v>
      </c>
      <c r="O50" s="484">
        <f t="shared" si="4"/>
        <v>2193818.0535999998</v>
      </c>
      <c r="P50" s="484">
        <f t="shared" si="5"/>
        <v>21000</v>
      </c>
      <c r="Q50" s="484">
        <f t="shared" si="6"/>
        <v>33000</v>
      </c>
      <c r="R50" s="484">
        <f t="shared" si="7"/>
        <v>75000</v>
      </c>
      <c r="S50" s="484">
        <f t="shared" si="8"/>
        <v>95000</v>
      </c>
      <c r="T50" s="484">
        <f t="shared" si="9"/>
        <v>124701.79125599994</v>
      </c>
      <c r="U50" s="484"/>
      <c r="V50" s="484">
        <f t="shared" si="11"/>
        <v>348701.79125599994</v>
      </c>
      <c r="W50" s="488">
        <v>12</v>
      </c>
      <c r="X50" s="484">
        <f t="shared" si="12"/>
        <v>29058.48260466666</v>
      </c>
      <c r="Y50" s="486"/>
      <c r="Z50" s="484">
        <f t="shared" si="13"/>
        <v>29058.48260466666</v>
      </c>
      <c r="AA50" s="36">
        <v>29058.48260466666</v>
      </c>
      <c r="AB50" s="36">
        <f t="shared" si="36"/>
        <v>0</v>
      </c>
      <c r="AC50" s="36"/>
      <c r="AD50" s="36"/>
      <c r="AE50" s="36"/>
    </row>
    <row r="51" spans="1:31" ht="18.75">
      <c r="A51" s="473"/>
      <c r="B51" s="362"/>
      <c r="C51" s="484"/>
      <c r="D51" s="485"/>
      <c r="E51" s="484"/>
      <c r="F51" s="484"/>
      <c r="G51" s="486"/>
      <c r="H51" s="486"/>
      <c r="I51" s="484"/>
      <c r="J51" s="484"/>
      <c r="K51" s="484"/>
      <c r="L51" s="484"/>
      <c r="M51" s="484"/>
      <c r="N51" s="484"/>
      <c r="O51" s="484"/>
      <c r="P51" s="484"/>
      <c r="Q51" s="484"/>
      <c r="R51" s="484"/>
      <c r="S51" s="484"/>
      <c r="T51" s="484"/>
      <c r="U51" s="484"/>
      <c r="V51" s="484"/>
      <c r="W51" s="488"/>
      <c r="X51" s="484"/>
      <c r="Y51" s="486"/>
      <c r="Z51" s="484"/>
      <c r="AA51" s="36"/>
      <c r="AB51" s="36"/>
      <c r="AC51" s="36"/>
      <c r="AD51" s="36"/>
      <c r="AE51" s="36"/>
    </row>
    <row r="52" spans="1:31" ht="18.75">
      <c r="A52" s="473"/>
      <c r="B52" s="366" t="s">
        <v>195</v>
      </c>
      <c r="C52" s="484"/>
      <c r="D52" s="485"/>
      <c r="E52" s="484"/>
      <c r="F52" s="484"/>
      <c r="G52" s="486"/>
      <c r="H52" s="486"/>
      <c r="I52" s="484"/>
      <c r="J52" s="484"/>
      <c r="K52" s="484"/>
      <c r="L52" s="484"/>
      <c r="M52" s="484"/>
      <c r="N52" s="484"/>
      <c r="O52" s="484"/>
      <c r="P52" s="484"/>
      <c r="Q52" s="484"/>
      <c r="R52" s="484"/>
      <c r="S52" s="484"/>
      <c r="T52" s="484"/>
      <c r="U52" s="484"/>
      <c r="V52" s="484"/>
      <c r="W52" s="488"/>
      <c r="X52" s="484"/>
      <c r="Y52" s="486"/>
      <c r="Z52" s="484"/>
      <c r="AA52" s="36"/>
      <c r="AB52" s="36"/>
      <c r="AC52" s="36"/>
      <c r="AD52" s="36"/>
      <c r="AE52" s="36"/>
    </row>
    <row r="53" spans="1:31" ht="18.75">
      <c r="A53" s="473">
        <v>47</v>
      </c>
      <c r="B53" s="432" t="s">
        <v>11</v>
      </c>
      <c r="C53" s="484">
        <v>1050209.0635000002</v>
      </c>
      <c r="D53" s="485">
        <v>12</v>
      </c>
      <c r="E53" s="484">
        <f>C53*D53</f>
        <v>12602508.762000002</v>
      </c>
      <c r="F53" s="484"/>
      <c r="G53" s="486"/>
      <c r="H53" s="486"/>
      <c r="I53" s="484">
        <f t="shared" si="0"/>
        <v>12602508.762000002</v>
      </c>
      <c r="J53" s="484">
        <v>200000</v>
      </c>
      <c r="K53" s="484">
        <v>0.2</v>
      </c>
      <c r="L53" s="484">
        <f t="shared" si="1"/>
        <v>2520501.7524000006</v>
      </c>
      <c r="M53" s="484">
        <f t="shared" si="2"/>
        <v>2720501.7524000006</v>
      </c>
      <c r="N53" s="484">
        <f t="shared" si="3"/>
        <v>2720501.7524000006</v>
      </c>
      <c r="O53" s="484">
        <f t="shared" si="4"/>
        <v>9882007.0096000023</v>
      </c>
      <c r="P53" s="484">
        <f t="shared" si="5"/>
        <v>21000</v>
      </c>
      <c r="Q53" s="484">
        <f t="shared" si="6"/>
        <v>33000</v>
      </c>
      <c r="R53" s="484">
        <f t="shared" si="7"/>
        <v>75000</v>
      </c>
      <c r="S53" s="484">
        <f t="shared" si="8"/>
        <v>95000</v>
      </c>
      <c r="T53" s="484">
        <f t="shared" si="9"/>
        <v>336000</v>
      </c>
      <c r="U53" s="484">
        <f t="shared" si="10"/>
        <v>1603681.6823040005</v>
      </c>
      <c r="V53" s="484">
        <f t="shared" si="11"/>
        <v>2163681.6823040005</v>
      </c>
      <c r="W53" s="488">
        <v>12</v>
      </c>
      <c r="X53" s="484">
        <f t="shared" si="12"/>
        <v>180306.80685866671</v>
      </c>
      <c r="Y53" s="486"/>
      <c r="Z53" s="484">
        <f t="shared" si="13"/>
        <v>180306.80685866671</v>
      </c>
      <c r="AA53" s="36">
        <v>180306.80685866671</v>
      </c>
      <c r="AB53" s="36">
        <f>Z53-AA53</f>
        <v>0</v>
      </c>
      <c r="AC53" s="36"/>
      <c r="AD53" s="36"/>
      <c r="AE53" s="36"/>
    </row>
    <row r="54" spans="1:31" ht="18.75">
      <c r="A54" s="473">
        <v>48</v>
      </c>
      <c r="B54" s="432" t="s">
        <v>276</v>
      </c>
      <c r="C54" s="484">
        <v>447553.5025</v>
      </c>
      <c r="D54" s="485">
        <v>12</v>
      </c>
      <c r="E54" s="484">
        <f>C54*D54</f>
        <v>5370642.0300000003</v>
      </c>
      <c r="F54" s="484"/>
      <c r="G54" s="486"/>
      <c r="H54" s="486"/>
      <c r="I54" s="484">
        <f t="shared" si="0"/>
        <v>5370642.0300000003</v>
      </c>
      <c r="J54" s="484">
        <v>200000</v>
      </c>
      <c r="K54" s="484">
        <v>0.2</v>
      </c>
      <c r="L54" s="484">
        <f t="shared" si="1"/>
        <v>1074128.4060000002</v>
      </c>
      <c r="M54" s="484">
        <f t="shared" si="2"/>
        <v>1274128.4060000002</v>
      </c>
      <c r="N54" s="484">
        <f t="shared" si="3"/>
        <v>1274128.4060000002</v>
      </c>
      <c r="O54" s="484">
        <f t="shared" si="4"/>
        <v>4096513.6239999998</v>
      </c>
      <c r="P54" s="484">
        <f t="shared" si="5"/>
        <v>21000</v>
      </c>
      <c r="Q54" s="484">
        <f t="shared" si="6"/>
        <v>33000</v>
      </c>
      <c r="R54" s="484">
        <f t="shared" si="7"/>
        <v>75000</v>
      </c>
      <c r="S54" s="484">
        <f t="shared" si="8"/>
        <v>95000</v>
      </c>
      <c r="T54" s="484">
        <f t="shared" si="9"/>
        <v>336000</v>
      </c>
      <c r="U54" s="484">
        <f t="shared" si="10"/>
        <v>215163.26975999997</v>
      </c>
      <c r="V54" s="484">
        <f t="shared" si="11"/>
        <v>775163.26975999994</v>
      </c>
      <c r="W54" s="488">
        <v>12</v>
      </c>
      <c r="X54" s="484">
        <f t="shared" si="12"/>
        <v>64596.939146666664</v>
      </c>
      <c r="Y54" s="486"/>
      <c r="Z54" s="484">
        <f t="shared" si="13"/>
        <v>64596.939146666664</v>
      </c>
      <c r="AA54" s="36">
        <v>64596.939146666664</v>
      </c>
      <c r="AB54" s="36">
        <f>Z54-AA54</f>
        <v>0</v>
      </c>
      <c r="AC54" s="36"/>
      <c r="AD54" s="36"/>
      <c r="AE54" s="36"/>
    </row>
    <row r="55" spans="1:31" ht="18.75">
      <c r="A55" s="473"/>
      <c r="B55" s="366"/>
      <c r="C55" s="484"/>
      <c r="D55" s="485"/>
      <c r="E55" s="484"/>
      <c r="F55" s="484"/>
      <c r="G55" s="486"/>
      <c r="H55" s="486"/>
      <c r="I55" s="484"/>
      <c r="J55" s="484"/>
      <c r="K55" s="484"/>
      <c r="L55" s="484"/>
      <c r="M55" s="484"/>
      <c r="N55" s="484"/>
      <c r="O55" s="484"/>
      <c r="P55" s="484"/>
      <c r="Q55" s="484"/>
      <c r="R55" s="484"/>
      <c r="S55" s="484"/>
      <c r="T55" s="484"/>
      <c r="U55" s="484"/>
      <c r="V55" s="484"/>
      <c r="W55" s="488"/>
      <c r="X55" s="484"/>
      <c r="Y55" s="486"/>
      <c r="Z55" s="484"/>
      <c r="AA55" s="36"/>
      <c r="AB55" s="36"/>
      <c r="AC55" s="36"/>
      <c r="AD55" s="36"/>
      <c r="AE55" s="36"/>
    </row>
    <row r="56" spans="1:31" ht="37.5">
      <c r="A56" s="473">
        <v>49</v>
      </c>
      <c r="B56" s="366" t="s">
        <v>461</v>
      </c>
      <c r="C56" s="484"/>
      <c r="D56" s="485"/>
      <c r="E56" s="484"/>
      <c r="F56" s="484"/>
      <c r="G56" s="486"/>
      <c r="H56" s="486"/>
      <c r="I56" s="484"/>
      <c r="J56" s="484"/>
      <c r="K56" s="484"/>
      <c r="L56" s="484"/>
      <c r="M56" s="484"/>
      <c r="N56" s="484"/>
      <c r="O56" s="484"/>
      <c r="P56" s="484"/>
      <c r="Q56" s="484"/>
      <c r="R56" s="484"/>
      <c r="S56" s="484"/>
      <c r="T56" s="484"/>
      <c r="U56" s="484"/>
      <c r="V56" s="484"/>
      <c r="W56" s="488"/>
      <c r="X56" s="484"/>
      <c r="Y56" s="486"/>
      <c r="Z56" s="484"/>
      <c r="AA56" s="36"/>
      <c r="AB56" s="36"/>
      <c r="AC56" s="36"/>
      <c r="AD56" s="36"/>
      <c r="AE56" s="36"/>
    </row>
    <row r="57" spans="1:31" ht="18.75">
      <c r="A57" s="473">
        <v>50</v>
      </c>
      <c r="B57" s="432" t="s">
        <v>277</v>
      </c>
      <c r="C57" s="484">
        <v>1050209.0635000002</v>
      </c>
      <c r="D57" s="485">
        <v>12</v>
      </c>
      <c r="E57" s="484">
        <f>C57*D57</f>
        <v>12602508.762000002</v>
      </c>
      <c r="F57" s="484"/>
      <c r="G57" s="486"/>
      <c r="H57" s="486"/>
      <c r="I57" s="484">
        <f t="shared" si="0"/>
        <v>12602508.762000002</v>
      </c>
      <c r="J57" s="484">
        <v>200000</v>
      </c>
      <c r="K57" s="484">
        <v>0.2</v>
      </c>
      <c r="L57" s="484">
        <f t="shared" si="1"/>
        <v>2520501.7524000006</v>
      </c>
      <c r="M57" s="484">
        <f t="shared" si="2"/>
        <v>2720501.7524000006</v>
      </c>
      <c r="N57" s="484">
        <f t="shared" si="3"/>
        <v>2720501.7524000006</v>
      </c>
      <c r="O57" s="484">
        <f t="shared" si="4"/>
        <v>9882007.0096000023</v>
      </c>
      <c r="P57" s="484">
        <f t="shared" si="5"/>
        <v>21000</v>
      </c>
      <c r="Q57" s="484">
        <f t="shared" si="6"/>
        <v>33000</v>
      </c>
      <c r="R57" s="484">
        <f t="shared" si="7"/>
        <v>75000</v>
      </c>
      <c r="S57" s="484">
        <f t="shared" si="8"/>
        <v>95000</v>
      </c>
      <c r="T57" s="484">
        <f t="shared" si="9"/>
        <v>336000</v>
      </c>
      <c r="U57" s="484">
        <f t="shared" si="10"/>
        <v>1603681.6823040005</v>
      </c>
      <c r="V57" s="484">
        <f t="shared" si="11"/>
        <v>2163681.6823040005</v>
      </c>
      <c r="W57" s="488">
        <v>12</v>
      </c>
      <c r="X57" s="484">
        <f t="shared" si="12"/>
        <v>180306.80685866671</v>
      </c>
      <c r="Y57" s="486"/>
      <c r="Z57" s="484">
        <f t="shared" si="13"/>
        <v>180306.80685866671</v>
      </c>
      <c r="AA57" s="36">
        <v>180306.80685866671</v>
      </c>
      <c r="AB57" s="36">
        <f>Z57-AA57</f>
        <v>0</v>
      </c>
      <c r="AC57" s="36"/>
      <c r="AD57" s="36"/>
      <c r="AE57" s="36"/>
    </row>
    <row r="58" spans="1:31" s="481" customFormat="1" ht="31.5">
      <c r="A58" s="478">
        <v>51</v>
      </c>
      <c r="B58" s="330" t="s">
        <v>332</v>
      </c>
      <c r="C58" s="484">
        <v>516137.05000000005</v>
      </c>
      <c r="D58" s="485">
        <v>12</v>
      </c>
      <c r="E58" s="484">
        <f t="shared" ref="E58:E66" si="37">C58*D58</f>
        <v>6193644.6000000006</v>
      </c>
      <c r="F58" s="484"/>
      <c r="G58" s="486"/>
      <c r="H58" s="486"/>
      <c r="I58" s="484">
        <f t="shared" si="0"/>
        <v>6193644.6000000006</v>
      </c>
      <c r="J58" s="484">
        <v>200000</v>
      </c>
      <c r="K58" s="484">
        <v>0.2</v>
      </c>
      <c r="L58" s="484">
        <f t="shared" si="1"/>
        <v>1238728.9200000002</v>
      </c>
      <c r="M58" s="484">
        <f t="shared" si="2"/>
        <v>1438728.9200000002</v>
      </c>
      <c r="N58" s="484">
        <f t="shared" si="3"/>
        <v>1438728.9200000002</v>
      </c>
      <c r="O58" s="484">
        <f t="shared" si="4"/>
        <v>4754915.6800000006</v>
      </c>
      <c r="P58" s="484">
        <f t="shared" si="5"/>
        <v>21000</v>
      </c>
      <c r="Q58" s="484">
        <f t="shared" si="6"/>
        <v>33000</v>
      </c>
      <c r="R58" s="484">
        <f t="shared" si="7"/>
        <v>75000</v>
      </c>
      <c r="S58" s="484">
        <f t="shared" si="8"/>
        <v>95000</v>
      </c>
      <c r="T58" s="484">
        <f t="shared" si="9"/>
        <v>336000</v>
      </c>
      <c r="U58" s="484">
        <f t="shared" si="10"/>
        <v>373179.76320000016</v>
      </c>
      <c r="V58" s="484">
        <f t="shared" si="11"/>
        <v>933179.76320000016</v>
      </c>
      <c r="W58" s="488">
        <v>12</v>
      </c>
      <c r="X58" s="484">
        <f t="shared" si="12"/>
        <v>77764.98026666668</v>
      </c>
      <c r="Y58" s="486"/>
      <c r="Z58" s="484">
        <f t="shared" si="13"/>
        <v>77764.98026666668</v>
      </c>
      <c r="AA58" s="480">
        <v>77764.98026666668</v>
      </c>
      <c r="AB58" s="36">
        <f t="shared" ref="AB58:AB66" si="38">Z58-AA58</f>
        <v>0</v>
      </c>
      <c r="AC58" s="480"/>
      <c r="AD58" s="480"/>
      <c r="AE58" s="480"/>
    </row>
    <row r="59" spans="1:31" ht="18.75">
      <c r="A59" s="473">
        <v>52</v>
      </c>
      <c r="B59" s="432" t="s">
        <v>189</v>
      </c>
      <c r="C59" s="484">
        <v>397211.36749999999</v>
      </c>
      <c r="D59" s="485">
        <v>12</v>
      </c>
      <c r="E59" s="484">
        <f t="shared" si="37"/>
        <v>4766536.41</v>
      </c>
      <c r="F59" s="484"/>
      <c r="G59" s="486"/>
      <c r="H59" s="486"/>
      <c r="I59" s="484">
        <f t="shared" si="0"/>
        <v>4766536.41</v>
      </c>
      <c r="J59" s="484">
        <v>200000</v>
      </c>
      <c r="K59" s="484">
        <v>0.2</v>
      </c>
      <c r="L59" s="484">
        <f t="shared" si="1"/>
        <v>953307.28200000012</v>
      </c>
      <c r="M59" s="484">
        <f t="shared" si="2"/>
        <v>1153307.2820000001</v>
      </c>
      <c r="N59" s="484">
        <f t="shared" si="3"/>
        <v>1153307.2820000001</v>
      </c>
      <c r="O59" s="484">
        <f t="shared" si="4"/>
        <v>3613229.128</v>
      </c>
      <c r="P59" s="484">
        <f t="shared" si="5"/>
        <v>21000</v>
      </c>
      <c r="Q59" s="484">
        <f t="shared" si="6"/>
        <v>33000</v>
      </c>
      <c r="R59" s="484">
        <f t="shared" si="7"/>
        <v>75000</v>
      </c>
      <c r="S59" s="484">
        <f t="shared" si="8"/>
        <v>95000</v>
      </c>
      <c r="T59" s="484">
        <f t="shared" si="9"/>
        <v>336000</v>
      </c>
      <c r="U59" s="484">
        <f t="shared" si="10"/>
        <v>99174.990720000002</v>
      </c>
      <c r="V59" s="484">
        <f t="shared" si="11"/>
        <v>659174.99072</v>
      </c>
      <c r="W59" s="488">
        <v>12</v>
      </c>
      <c r="X59" s="484">
        <f t="shared" si="12"/>
        <v>54931.249226666667</v>
      </c>
      <c r="Y59" s="486"/>
      <c r="Z59" s="484">
        <f t="shared" si="13"/>
        <v>54931.249226666667</v>
      </c>
      <c r="AA59" s="36">
        <v>54931.249226666667</v>
      </c>
      <c r="AB59" s="36">
        <f t="shared" si="38"/>
        <v>0</v>
      </c>
      <c r="AC59" s="36"/>
      <c r="AD59" s="36"/>
      <c r="AE59" s="36"/>
    </row>
    <row r="60" spans="1:31" ht="18.75">
      <c r="A60" s="473">
        <v>53</v>
      </c>
      <c r="B60" s="364" t="s">
        <v>448</v>
      </c>
      <c r="C60" s="484">
        <v>369177.65375</v>
      </c>
      <c r="D60" s="485">
        <v>12</v>
      </c>
      <c r="E60" s="484">
        <f t="shared" si="37"/>
        <v>4430131.8449999997</v>
      </c>
      <c r="F60" s="484"/>
      <c r="G60" s="486"/>
      <c r="H60" s="486"/>
      <c r="I60" s="484">
        <f t="shared" si="0"/>
        <v>4430131.8449999997</v>
      </c>
      <c r="J60" s="484">
        <v>200000</v>
      </c>
      <c r="K60" s="484">
        <v>0.2</v>
      </c>
      <c r="L60" s="484">
        <f t="shared" si="1"/>
        <v>886026.36899999995</v>
      </c>
      <c r="M60" s="484">
        <f t="shared" si="2"/>
        <v>1086026.3689999999</v>
      </c>
      <c r="N60" s="484">
        <f t="shared" si="3"/>
        <v>1086026.3689999999</v>
      </c>
      <c r="O60" s="484">
        <f t="shared" si="4"/>
        <v>3344105.4759999998</v>
      </c>
      <c r="P60" s="484">
        <f t="shared" si="5"/>
        <v>21000</v>
      </c>
      <c r="Q60" s="484">
        <f t="shared" si="6"/>
        <v>33000</v>
      </c>
      <c r="R60" s="484">
        <f t="shared" si="7"/>
        <v>75000</v>
      </c>
      <c r="S60" s="484">
        <f t="shared" si="8"/>
        <v>95000</v>
      </c>
      <c r="T60" s="484">
        <f t="shared" si="9"/>
        <v>336000</v>
      </c>
      <c r="U60" s="484">
        <f t="shared" si="10"/>
        <v>34585.314239999949</v>
      </c>
      <c r="V60" s="484">
        <f t="shared" si="11"/>
        <v>594585.31423999998</v>
      </c>
      <c r="W60" s="488">
        <v>12</v>
      </c>
      <c r="X60" s="484">
        <f t="shared" si="12"/>
        <v>49548.776186666662</v>
      </c>
      <c r="Y60" s="486"/>
      <c r="Z60" s="484">
        <f t="shared" si="13"/>
        <v>49548.776186666662</v>
      </c>
      <c r="AA60" s="36">
        <v>49548.776186666662</v>
      </c>
      <c r="AB60" s="36">
        <f t="shared" si="38"/>
        <v>0</v>
      </c>
      <c r="AC60" s="36"/>
      <c r="AD60" s="36"/>
      <c r="AE60" s="36"/>
    </row>
    <row r="61" spans="1:31" ht="18.75">
      <c r="A61" s="473">
        <v>54</v>
      </c>
      <c r="B61" s="365" t="s">
        <v>229</v>
      </c>
      <c r="C61" s="484">
        <v>421394.00675000006</v>
      </c>
      <c r="D61" s="485">
        <v>12</v>
      </c>
      <c r="E61" s="484">
        <f t="shared" si="37"/>
        <v>5056728.0810000002</v>
      </c>
      <c r="F61" s="484"/>
      <c r="G61" s="486"/>
      <c r="H61" s="486"/>
      <c r="I61" s="484">
        <f t="shared" si="0"/>
        <v>5056728.0810000002</v>
      </c>
      <c r="J61" s="484">
        <v>200000</v>
      </c>
      <c r="K61" s="484">
        <v>0.2</v>
      </c>
      <c r="L61" s="484">
        <f t="shared" si="1"/>
        <v>1011345.6162</v>
      </c>
      <c r="M61" s="484">
        <f t="shared" si="2"/>
        <v>1211345.6162</v>
      </c>
      <c r="N61" s="484">
        <f t="shared" si="3"/>
        <v>1211345.6162</v>
      </c>
      <c r="O61" s="484">
        <f t="shared" si="4"/>
        <v>3845382.4648000002</v>
      </c>
      <c r="P61" s="484">
        <f t="shared" si="5"/>
        <v>21000</v>
      </c>
      <c r="Q61" s="484">
        <f t="shared" si="6"/>
        <v>33000</v>
      </c>
      <c r="R61" s="484">
        <f t="shared" si="7"/>
        <v>75000</v>
      </c>
      <c r="S61" s="484">
        <f t="shared" si="8"/>
        <v>95000</v>
      </c>
      <c r="T61" s="484">
        <f t="shared" si="9"/>
        <v>336000</v>
      </c>
      <c r="U61" s="484">
        <f t="shared" si="10"/>
        <v>154891.79155200004</v>
      </c>
      <c r="V61" s="484">
        <f t="shared" si="11"/>
        <v>714891.79155199998</v>
      </c>
      <c r="W61" s="488">
        <v>12</v>
      </c>
      <c r="X61" s="484">
        <f t="shared" si="12"/>
        <v>59574.315962666667</v>
      </c>
      <c r="Y61" s="486"/>
      <c r="Z61" s="540">
        <f t="shared" si="13"/>
        <v>59574.315962666667</v>
      </c>
      <c r="AA61" s="504">
        <v>46666.666666666664</v>
      </c>
      <c r="AB61" s="504">
        <f t="shared" si="38"/>
        <v>12907.649296000003</v>
      </c>
      <c r="AC61" s="36"/>
      <c r="AD61" s="36"/>
      <c r="AE61" s="36"/>
    </row>
    <row r="62" spans="1:31" ht="37.5">
      <c r="A62" s="473">
        <v>55</v>
      </c>
      <c r="B62" s="432" t="s">
        <v>117</v>
      </c>
      <c r="C62" s="484">
        <v>322454.07400000002</v>
      </c>
      <c r="D62" s="485">
        <v>12</v>
      </c>
      <c r="E62" s="484">
        <f t="shared" si="37"/>
        <v>3869448.8880000003</v>
      </c>
      <c r="F62" s="484"/>
      <c r="G62" s="486"/>
      <c r="H62" s="486"/>
      <c r="I62" s="484">
        <f t="shared" si="0"/>
        <v>3869448.8880000003</v>
      </c>
      <c r="J62" s="484">
        <v>200000</v>
      </c>
      <c r="K62" s="484">
        <v>0.2</v>
      </c>
      <c r="L62" s="484">
        <f t="shared" si="1"/>
        <v>773889.77760000015</v>
      </c>
      <c r="M62" s="484">
        <f t="shared" si="2"/>
        <v>973889.77760000015</v>
      </c>
      <c r="N62" s="484">
        <f t="shared" si="3"/>
        <v>973889.77760000015</v>
      </c>
      <c r="O62" s="484">
        <f t="shared" si="4"/>
        <v>2895559.1104000001</v>
      </c>
      <c r="P62" s="484">
        <f t="shared" si="5"/>
        <v>21000</v>
      </c>
      <c r="Q62" s="484">
        <f t="shared" si="6"/>
        <v>33000</v>
      </c>
      <c r="R62" s="484">
        <f t="shared" si="7"/>
        <v>75000</v>
      </c>
      <c r="S62" s="484">
        <f t="shared" si="8"/>
        <v>95000</v>
      </c>
      <c r="T62" s="484">
        <f t="shared" si="9"/>
        <v>272067.413184</v>
      </c>
      <c r="U62" s="484"/>
      <c r="V62" s="484">
        <f t="shared" si="11"/>
        <v>496067.413184</v>
      </c>
      <c r="W62" s="488">
        <v>12</v>
      </c>
      <c r="X62" s="484">
        <f t="shared" si="12"/>
        <v>41338.951098666665</v>
      </c>
      <c r="Y62" s="486"/>
      <c r="Z62" s="484">
        <f t="shared" si="13"/>
        <v>41338.951098666665</v>
      </c>
      <c r="AA62" s="36">
        <v>41338.951098666665</v>
      </c>
      <c r="AB62" s="36">
        <f t="shared" si="38"/>
        <v>0</v>
      </c>
      <c r="AC62" s="36"/>
      <c r="AD62" s="36"/>
      <c r="AE62" s="36"/>
    </row>
    <row r="63" spans="1:31" ht="18.75">
      <c r="A63" s="473">
        <v>56</v>
      </c>
      <c r="B63" s="432" t="s">
        <v>424</v>
      </c>
      <c r="C63" s="484">
        <v>322454.07400000002</v>
      </c>
      <c r="D63" s="485">
        <v>12</v>
      </c>
      <c r="E63" s="484">
        <f t="shared" si="37"/>
        <v>3869448.8880000003</v>
      </c>
      <c r="F63" s="484"/>
      <c r="G63" s="486"/>
      <c r="H63" s="486"/>
      <c r="I63" s="484">
        <f t="shared" si="0"/>
        <v>3869448.8880000003</v>
      </c>
      <c r="J63" s="484">
        <v>200000</v>
      </c>
      <c r="K63" s="484">
        <v>0.2</v>
      </c>
      <c r="L63" s="484">
        <f t="shared" si="1"/>
        <v>773889.77760000015</v>
      </c>
      <c r="M63" s="484">
        <f t="shared" si="2"/>
        <v>973889.77760000015</v>
      </c>
      <c r="N63" s="484">
        <f t="shared" si="3"/>
        <v>973889.77760000015</v>
      </c>
      <c r="O63" s="484">
        <f t="shared" si="4"/>
        <v>2895559.1104000001</v>
      </c>
      <c r="P63" s="484">
        <f t="shared" si="5"/>
        <v>21000</v>
      </c>
      <c r="Q63" s="484">
        <f t="shared" si="6"/>
        <v>33000</v>
      </c>
      <c r="R63" s="484">
        <f t="shared" si="7"/>
        <v>75000</v>
      </c>
      <c r="S63" s="484">
        <f t="shared" si="8"/>
        <v>95000</v>
      </c>
      <c r="T63" s="484">
        <f t="shared" si="9"/>
        <v>272067.413184</v>
      </c>
      <c r="U63" s="484"/>
      <c r="V63" s="484">
        <f t="shared" si="11"/>
        <v>496067.413184</v>
      </c>
      <c r="W63" s="488">
        <v>12</v>
      </c>
      <c r="X63" s="484">
        <f t="shared" si="12"/>
        <v>41338.951098666665</v>
      </c>
      <c r="Y63" s="486"/>
      <c r="Z63" s="484">
        <f t="shared" si="13"/>
        <v>41338.951098666665</v>
      </c>
      <c r="AA63" s="36">
        <v>41338.951098666665</v>
      </c>
      <c r="AB63" s="36">
        <f t="shared" si="38"/>
        <v>0</v>
      </c>
      <c r="AC63" s="36"/>
      <c r="AD63" s="36"/>
      <c r="AE63" s="36"/>
    </row>
    <row r="64" spans="1:31" ht="18.75">
      <c r="A64" s="473">
        <v>57</v>
      </c>
      <c r="B64" s="432" t="s">
        <v>423</v>
      </c>
      <c r="C64" s="484">
        <v>322454.07400000002</v>
      </c>
      <c r="D64" s="485">
        <v>12</v>
      </c>
      <c r="E64" s="484">
        <f t="shared" si="37"/>
        <v>3869448.8880000003</v>
      </c>
      <c r="F64" s="484"/>
      <c r="G64" s="486"/>
      <c r="H64" s="486"/>
      <c r="I64" s="484">
        <f t="shared" si="0"/>
        <v>3869448.8880000003</v>
      </c>
      <c r="J64" s="484">
        <v>200000</v>
      </c>
      <c r="K64" s="484">
        <v>0.2</v>
      </c>
      <c r="L64" s="484">
        <f t="shared" si="1"/>
        <v>773889.77760000015</v>
      </c>
      <c r="M64" s="484">
        <f t="shared" si="2"/>
        <v>973889.77760000015</v>
      </c>
      <c r="N64" s="484">
        <f t="shared" si="3"/>
        <v>973889.77760000015</v>
      </c>
      <c r="O64" s="484">
        <f t="shared" si="4"/>
        <v>2895559.1104000001</v>
      </c>
      <c r="P64" s="484">
        <f t="shared" si="5"/>
        <v>21000</v>
      </c>
      <c r="Q64" s="484">
        <f t="shared" si="6"/>
        <v>33000</v>
      </c>
      <c r="R64" s="484">
        <f t="shared" si="7"/>
        <v>75000</v>
      </c>
      <c r="S64" s="484">
        <f t="shared" si="8"/>
        <v>95000</v>
      </c>
      <c r="T64" s="484">
        <f t="shared" si="9"/>
        <v>272067.413184</v>
      </c>
      <c r="U64" s="484"/>
      <c r="V64" s="484">
        <f t="shared" si="11"/>
        <v>496067.413184</v>
      </c>
      <c r="W64" s="488">
        <v>12</v>
      </c>
      <c r="X64" s="484">
        <f t="shared" si="12"/>
        <v>41338.951098666665</v>
      </c>
      <c r="Y64" s="486"/>
      <c r="Z64" s="484">
        <f t="shared" si="13"/>
        <v>41338.951098666665</v>
      </c>
      <c r="AA64" s="36">
        <v>41338.951098666665</v>
      </c>
      <c r="AB64" s="36">
        <f t="shared" si="38"/>
        <v>0</v>
      </c>
      <c r="AC64" s="36"/>
      <c r="AD64" s="36"/>
      <c r="AE64" s="36"/>
    </row>
    <row r="65" spans="1:31" ht="18.75">
      <c r="A65" s="473">
        <v>58</v>
      </c>
      <c r="B65" s="432" t="s">
        <v>242</v>
      </c>
      <c r="C65" s="484">
        <v>334536.99849999999</v>
      </c>
      <c r="D65" s="485">
        <v>12</v>
      </c>
      <c r="E65" s="484">
        <f t="shared" si="37"/>
        <v>4014443.9819999998</v>
      </c>
      <c r="F65" s="484"/>
      <c r="G65" s="486"/>
      <c r="H65" s="486"/>
      <c r="I65" s="484">
        <f t="shared" si="0"/>
        <v>4014443.9819999998</v>
      </c>
      <c r="J65" s="484">
        <v>200000</v>
      </c>
      <c r="K65" s="484">
        <v>0.2</v>
      </c>
      <c r="L65" s="484">
        <f t="shared" si="1"/>
        <v>802888.79639999999</v>
      </c>
      <c r="M65" s="484">
        <f t="shared" si="2"/>
        <v>1002888.7964</v>
      </c>
      <c r="N65" s="484">
        <f t="shared" si="3"/>
        <v>1002888.7964</v>
      </c>
      <c r="O65" s="484">
        <f t="shared" si="4"/>
        <v>3011555.1856</v>
      </c>
      <c r="P65" s="484">
        <f t="shared" si="5"/>
        <v>21000</v>
      </c>
      <c r="Q65" s="484">
        <f t="shared" si="6"/>
        <v>33000</v>
      </c>
      <c r="R65" s="484">
        <f t="shared" si="7"/>
        <v>75000</v>
      </c>
      <c r="S65" s="484">
        <f t="shared" si="8"/>
        <v>95000</v>
      </c>
      <c r="T65" s="484">
        <f t="shared" si="9"/>
        <v>296426.58897599997</v>
      </c>
      <c r="U65" s="484"/>
      <c r="V65" s="484">
        <f t="shared" si="11"/>
        <v>520426.58897599997</v>
      </c>
      <c r="W65" s="488">
        <v>12</v>
      </c>
      <c r="X65" s="484">
        <f t="shared" si="12"/>
        <v>43368.882414666667</v>
      </c>
      <c r="Y65" s="486"/>
      <c r="Z65" s="484">
        <f t="shared" si="13"/>
        <v>43368.882414666667</v>
      </c>
      <c r="AA65" s="36">
        <v>43368.882414666667</v>
      </c>
      <c r="AB65" s="36">
        <f t="shared" si="38"/>
        <v>0</v>
      </c>
      <c r="AC65" s="36"/>
      <c r="AD65" s="36"/>
      <c r="AE65" s="36"/>
    </row>
    <row r="66" spans="1:31" ht="18.75">
      <c r="A66" s="473">
        <v>59</v>
      </c>
      <c r="B66" s="432" t="s">
        <v>726</v>
      </c>
      <c r="C66" s="484">
        <v>277734.04699999996</v>
      </c>
      <c r="D66" s="485">
        <v>12</v>
      </c>
      <c r="E66" s="484">
        <f t="shared" si="37"/>
        <v>3332808.5639999993</v>
      </c>
      <c r="F66" s="484"/>
      <c r="G66" s="486"/>
      <c r="H66" s="486"/>
      <c r="I66" s="484">
        <f t="shared" si="0"/>
        <v>3332808.5639999993</v>
      </c>
      <c r="J66" s="484">
        <v>200000</v>
      </c>
      <c r="K66" s="484">
        <v>0.2</v>
      </c>
      <c r="L66" s="484">
        <f t="shared" si="1"/>
        <v>666561.71279999986</v>
      </c>
      <c r="M66" s="484">
        <f t="shared" si="2"/>
        <v>866561.71279999986</v>
      </c>
      <c r="N66" s="484">
        <f t="shared" si="3"/>
        <v>866561.71279999986</v>
      </c>
      <c r="O66" s="484">
        <f t="shared" si="4"/>
        <v>2466246.8511999995</v>
      </c>
      <c r="P66" s="484">
        <f t="shared" si="5"/>
        <v>21000</v>
      </c>
      <c r="Q66" s="484">
        <f t="shared" si="6"/>
        <v>33000</v>
      </c>
      <c r="R66" s="484">
        <f t="shared" si="7"/>
        <v>75000</v>
      </c>
      <c r="S66" s="484">
        <f t="shared" si="8"/>
        <v>95000</v>
      </c>
      <c r="T66" s="484">
        <f t="shared" si="9"/>
        <v>181911.83875199987</v>
      </c>
      <c r="U66" s="484"/>
      <c r="V66" s="484">
        <f t="shared" si="11"/>
        <v>405911.83875199989</v>
      </c>
      <c r="W66" s="488">
        <v>12</v>
      </c>
      <c r="X66" s="484">
        <f t="shared" si="12"/>
        <v>33825.986562666658</v>
      </c>
      <c r="Y66" s="486"/>
      <c r="Z66" s="484">
        <f t="shared" si="13"/>
        <v>33825.986562666658</v>
      </c>
      <c r="AA66" s="36">
        <v>33825.986562666658</v>
      </c>
      <c r="AB66" s="36">
        <f t="shared" si="38"/>
        <v>0</v>
      </c>
      <c r="AC66" s="36"/>
      <c r="AD66" s="36"/>
      <c r="AE66" s="36"/>
    </row>
    <row r="67" spans="1:31" ht="18.75">
      <c r="A67" s="473">
        <v>60</v>
      </c>
      <c r="B67" s="366"/>
      <c r="C67" s="484"/>
      <c r="D67" s="485"/>
      <c r="E67" s="484"/>
      <c r="F67" s="484"/>
      <c r="G67" s="486"/>
      <c r="H67" s="486"/>
      <c r="I67" s="484"/>
      <c r="J67" s="484"/>
      <c r="K67" s="484"/>
      <c r="L67" s="484"/>
      <c r="M67" s="484"/>
      <c r="N67" s="484"/>
      <c r="O67" s="484"/>
      <c r="P67" s="484"/>
      <c r="Q67" s="484"/>
      <c r="R67" s="484"/>
      <c r="S67" s="484"/>
      <c r="T67" s="484"/>
      <c r="U67" s="484"/>
      <c r="V67" s="484"/>
      <c r="W67" s="488"/>
      <c r="X67" s="484"/>
      <c r="Y67" s="486"/>
      <c r="Z67" s="484"/>
      <c r="AA67" s="36"/>
      <c r="AB67" s="36"/>
      <c r="AC67" s="36"/>
      <c r="AD67" s="36"/>
      <c r="AE67" s="36"/>
    </row>
    <row r="68" spans="1:31" ht="18.75">
      <c r="A68" s="473">
        <v>61</v>
      </c>
      <c r="B68" s="362"/>
      <c r="C68" s="484"/>
      <c r="D68" s="485"/>
      <c r="E68" s="484"/>
      <c r="F68" s="484"/>
      <c r="G68" s="486"/>
      <c r="H68" s="486"/>
      <c r="I68" s="484"/>
      <c r="J68" s="484"/>
      <c r="K68" s="484"/>
      <c r="L68" s="484"/>
      <c r="M68" s="484"/>
      <c r="N68" s="484"/>
      <c r="O68" s="484"/>
      <c r="P68" s="484"/>
      <c r="Q68" s="484"/>
      <c r="R68" s="484"/>
      <c r="S68" s="484"/>
      <c r="T68" s="484"/>
      <c r="U68" s="484"/>
      <c r="V68" s="484"/>
      <c r="W68" s="488"/>
      <c r="X68" s="484"/>
      <c r="Y68" s="486"/>
      <c r="Z68" s="484"/>
      <c r="AA68" s="36"/>
      <c r="AB68" s="36"/>
      <c r="AC68" s="36"/>
      <c r="AD68" s="36"/>
      <c r="AE68" s="36"/>
    </row>
    <row r="69" spans="1:31" ht="18.75">
      <c r="A69" s="473"/>
      <c r="B69" s="366" t="s">
        <v>462</v>
      </c>
      <c r="C69" s="484"/>
      <c r="D69" s="485"/>
      <c r="E69" s="484"/>
      <c r="F69" s="484"/>
      <c r="G69" s="486"/>
      <c r="H69" s="486"/>
      <c r="I69" s="484"/>
      <c r="J69" s="484"/>
      <c r="K69" s="484"/>
      <c r="L69" s="484"/>
      <c r="M69" s="484"/>
      <c r="N69" s="484"/>
      <c r="O69" s="484"/>
      <c r="P69" s="484"/>
      <c r="Q69" s="484"/>
      <c r="R69" s="484"/>
      <c r="S69" s="484"/>
      <c r="T69" s="484"/>
      <c r="U69" s="484"/>
      <c r="V69" s="484"/>
      <c r="W69" s="488"/>
      <c r="X69" s="484"/>
      <c r="Y69" s="486"/>
      <c r="Z69" s="484"/>
      <c r="AA69" s="36"/>
      <c r="AB69" s="36"/>
      <c r="AC69" s="36"/>
      <c r="AD69" s="36"/>
      <c r="AE69" s="36"/>
    </row>
    <row r="70" spans="1:31" ht="18.75">
      <c r="A70" s="473"/>
      <c r="B70" s="432" t="s">
        <v>19</v>
      </c>
      <c r="C70" s="484">
        <v>1050209.0635000002</v>
      </c>
      <c r="D70" s="485">
        <v>12</v>
      </c>
      <c r="E70" s="484">
        <f>C70*D70</f>
        <v>12602508.762000002</v>
      </c>
      <c r="F70" s="484"/>
      <c r="G70" s="486"/>
      <c r="H70" s="486"/>
      <c r="I70" s="484">
        <f t="shared" ref="I70" si="39">E70-F70-G70-H70</f>
        <v>12602508.762000002</v>
      </c>
      <c r="J70" s="484">
        <v>200000</v>
      </c>
      <c r="K70" s="484">
        <v>0.2</v>
      </c>
      <c r="L70" s="484">
        <f t="shared" ref="L70" si="40">I70*K70</f>
        <v>2520501.7524000006</v>
      </c>
      <c r="M70" s="484">
        <f t="shared" ref="M70" si="41">J70+L70</f>
        <v>2720501.7524000006</v>
      </c>
      <c r="N70" s="484">
        <f t="shared" ref="N70" si="42">F70+G70+H70+M70</f>
        <v>2720501.7524000006</v>
      </c>
      <c r="O70" s="484">
        <f t="shared" ref="O70" si="43">E70-N70</f>
        <v>9882007.0096000023</v>
      </c>
      <c r="P70" s="484">
        <f t="shared" ref="P70" si="44">IF(O70&lt;300000,0.07*O70,21000)</f>
        <v>21000</v>
      </c>
      <c r="Q70" s="484">
        <f t="shared" ref="Q70" si="45">IF((O70-300000)&lt;0,0,IF((O70-300000)&lt;300000,0.11*(O70-300000),33000))</f>
        <v>33000</v>
      </c>
      <c r="R70" s="484">
        <f t="shared" ref="R70" si="46">IF((O70-600000)&lt;0,0,IF((O70-600000)&lt;500000,0.15*(O70-600000),75000))</f>
        <v>75000</v>
      </c>
      <c r="S70" s="484">
        <f t="shared" ref="S70" si="47">IF((O70-1100000)&lt;0,0,IF((O70-1100000)&lt;500000,0.19*(O70-1100000),95000))</f>
        <v>95000</v>
      </c>
      <c r="T70" s="484">
        <f t="shared" ref="T70" si="48">IF((O70-1600000)&lt;0,0,IF((O70-1600000)&lt;1600000,0.21*(O70-1600000),336000))</f>
        <v>336000</v>
      </c>
      <c r="U70" s="484">
        <f t="shared" ref="U70" si="49">24%*(O70-3200000)</f>
        <v>1603681.6823040005</v>
      </c>
      <c r="V70" s="484">
        <f t="shared" ref="V70" si="50">P70+Q70+R70+S70+T70+U70</f>
        <v>2163681.6823040005</v>
      </c>
      <c r="W70" s="488">
        <v>12</v>
      </c>
      <c r="X70" s="484">
        <f t="shared" ref="X70" si="51">V70/W70</f>
        <v>180306.80685866671</v>
      </c>
      <c r="Y70" s="486"/>
      <c r="Z70" s="484">
        <f t="shared" ref="Z70" si="52">X70</f>
        <v>180306.80685866671</v>
      </c>
      <c r="AA70" s="36">
        <v>180306.80685866671</v>
      </c>
      <c r="AB70" s="36">
        <f>Z70-AA70</f>
        <v>0</v>
      </c>
      <c r="AC70" s="36"/>
      <c r="AD70" s="36"/>
      <c r="AE70" s="36"/>
    </row>
    <row r="71" spans="1:31" ht="18.75">
      <c r="A71" s="473">
        <v>62</v>
      </c>
      <c r="B71" s="365" t="s">
        <v>325</v>
      </c>
      <c r="C71" s="484">
        <v>516137.05000000005</v>
      </c>
      <c r="D71" s="485">
        <v>12</v>
      </c>
      <c r="E71" s="484">
        <f t="shared" ref="E71:E76" si="53">C71*D71</f>
        <v>6193644.6000000006</v>
      </c>
      <c r="F71" s="484"/>
      <c r="G71" s="486"/>
      <c r="H71" s="486"/>
      <c r="I71" s="484">
        <f t="shared" si="0"/>
        <v>6193644.6000000006</v>
      </c>
      <c r="J71" s="484">
        <v>200000</v>
      </c>
      <c r="K71" s="484">
        <v>0.2</v>
      </c>
      <c r="L71" s="484">
        <f t="shared" si="1"/>
        <v>1238728.9200000002</v>
      </c>
      <c r="M71" s="484">
        <f t="shared" si="2"/>
        <v>1438728.9200000002</v>
      </c>
      <c r="N71" s="484">
        <f t="shared" si="3"/>
        <v>1438728.9200000002</v>
      </c>
      <c r="O71" s="484">
        <f t="shared" si="4"/>
        <v>4754915.6800000006</v>
      </c>
      <c r="P71" s="484">
        <f t="shared" si="5"/>
        <v>21000</v>
      </c>
      <c r="Q71" s="484">
        <f t="shared" si="6"/>
        <v>33000</v>
      </c>
      <c r="R71" s="484">
        <f t="shared" si="7"/>
        <v>75000</v>
      </c>
      <c r="S71" s="484">
        <f t="shared" si="8"/>
        <v>95000</v>
      </c>
      <c r="T71" s="484">
        <f t="shared" si="9"/>
        <v>336000</v>
      </c>
      <c r="U71" s="484">
        <f t="shared" si="10"/>
        <v>373179.76320000016</v>
      </c>
      <c r="V71" s="484">
        <f t="shared" si="11"/>
        <v>933179.76320000016</v>
      </c>
      <c r="W71" s="488">
        <v>12</v>
      </c>
      <c r="X71" s="484">
        <f t="shared" si="12"/>
        <v>77764.98026666668</v>
      </c>
      <c r="Y71" s="486"/>
      <c r="Z71" s="484">
        <f t="shared" si="13"/>
        <v>77764.98026666668</v>
      </c>
      <c r="AA71" s="36">
        <v>77764.98026666668</v>
      </c>
      <c r="AB71" s="36">
        <f t="shared" ref="AB71:AB76" si="54">Z71-AA71</f>
        <v>0</v>
      </c>
      <c r="AC71" s="36"/>
      <c r="AD71" s="36"/>
      <c r="AE71" s="36"/>
    </row>
    <row r="72" spans="1:31" ht="37.5">
      <c r="A72" s="473">
        <v>63</v>
      </c>
      <c r="B72" s="364" t="s">
        <v>333</v>
      </c>
      <c r="C72" s="484">
        <v>447553.5025</v>
      </c>
      <c r="D72" s="485">
        <v>12</v>
      </c>
      <c r="E72" s="484">
        <f t="shared" si="53"/>
        <v>5370642.0300000003</v>
      </c>
      <c r="F72" s="484"/>
      <c r="G72" s="486"/>
      <c r="H72" s="486"/>
      <c r="I72" s="484">
        <f t="shared" si="0"/>
        <v>5370642.0300000003</v>
      </c>
      <c r="J72" s="484">
        <v>200000</v>
      </c>
      <c r="K72" s="484">
        <v>0.2</v>
      </c>
      <c r="L72" s="484">
        <f t="shared" si="1"/>
        <v>1074128.4060000002</v>
      </c>
      <c r="M72" s="484">
        <f t="shared" si="2"/>
        <v>1274128.4060000002</v>
      </c>
      <c r="N72" s="484">
        <f t="shared" si="3"/>
        <v>1274128.4060000002</v>
      </c>
      <c r="O72" s="484">
        <f t="shared" si="4"/>
        <v>4096513.6239999998</v>
      </c>
      <c r="P72" s="484">
        <f t="shared" si="5"/>
        <v>21000</v>
      </c>
      <c r="Q72" s="484">
        <f t="shared" si="6"/>
        <v>33000</v>
      </c>
      <c r="R72" s="484">
        <f t="shared" si="7"/>
        <v>75000</v>
      </c>
      <c r="S72" s="484">
        <f t="shared" si="8"/>
        <v>95000</v>
      </c>
      <c r="T72" s="484">
        <f t="shared" si="9"/>
        <v>336000</v>
      </c>
      <c r="U72" s="484">
        <f t="shared" si="10"/>
        <v>215163.26975999997</v>
      </c>
      <c r="V72" s="484">
        <f t="shared" si="11"/>
        <v>775163.26975999994</v>
      </c>
      <c r="W72" s="488">
        <v>12</v>
      </c>
      <c r="X72" s="484">
        <f t="shared" si="12"/>
        <v>64596.939146666664</v>
      </c>
      <c r="Y72" s="486"/>
      <c r="Z72" s="484">
        <f t="shared" si="13"/>
        <v>64596.939146666664</v>
      </c>
      <c r="AA72" s="36">
        <v>64596.939146666664</v>
      </c>
      <c r="AB72" s="36">
        <f t="shared" si="54"/>
        <v>0</v>
      </c>
      <c r="AC72" s="36"/>
      <c r="AD72" s="36"/>
      <c r="AE72" s="36"/>
    </row>
    <row r="73" spans="1:31" ht="18.75">
      <c r="A73" s="473">
        <v>64</v>
      </c>
      <c r="B73" s="432" t="s">
        <v>26</v>
      </c>
      <c r="C73" s="484">
        <v>405272.06374999997</v>
      </c>
      <c r="D73" s="485">
        <v>12</v>
      </c>
      <c r="E73" s="484">
        <f t="shared" si="53"/>
        <v>4863264.7649999997</v>
      </c>
      <c r="F73" s="484">
        <f>'[4]JANUARY 2024'!$V$78*12</f>
        <v>8019.795000000001</v>
      </c>
      <c r="G73" s="486"/>
      <c r="H73" s="486"/>
      <c r="I73" s="484">
        <f t="shared" si="0"/>
        <v>4855244.97</v>
      </c>
      <c r="J73" s="484">
        <v>200000</v>
      </c>
      <c r="K73" s="484">
        <v>0.2</v>
      </c>
      <c r="L73" s="484">
        <f t="shared" si="1"/>
        <v>971048.99399999995</v>
      </c>
      <c r="M73" s="484">
        <f t="shared" si="2"/>
        <v>1171048.9939999999</v>
      </c>
      <c r="N73" s="484">
        <f t="shared" si="3"/>
        <v>1179068.7889999999</v>
      </c>
      <c r="O73" s="484">
        <f t="shared" si="4"/>
        <v>3684195.9759999998</v>
      </c>
      <c r="P73" s="484">
        <f t="shared" si="5"/>
        <v>21000</v>
      </c>
      <c r="Q73" s="484">
        <f t="shared" si="6"/>
        <v>33000</v>
      </c>
      <c r="R73" s="484">
        <f t="shared" si="7"/>
        <v>75000</v>
      </c>
      <c r="S73" s="484">
        <f t="shared" si="8"/>
        <v>95000</v>
      </c>
      <c r="T73" s="484">
        <f t="shared" si="9"/>
        <v>336000</v>
      </c>
      <c r="U73" s="484">
        <f t="shared" si="10"/>
        <v>116207.03423999995</v>
      </c>
      <c r="V73" s="484">
        <f t="shared" si="11"/>
        <v>676207.03423999995</v>
      </c>
      <c r="W73" s="488">
        <v>12</v>
      </c>
      <c r="X73" s="484">
        <f t="shared" si="12"/>
        <v>56350.58618666666</v>
      </c>
      <c r="Y73" s="486"/>
      <c r="Z73" s="484">
        <f t="shared" si="13"/>
        <v>56350.58618666666</v>
      </c>
      <c r="AA73" s="36">
        <v>56350.58618666666</v>
      </c>
      <c r="AB73" s="36">
        <f t="shared" si="54"/>
        <v>0</v>
      </c>
      <c r="AC73" s="36"/>
      <c r="AD73" s="36"/>
      <c r="AE73" s="36"/>
    </row>
    <row r="74" spans="1:31" s="481" customFormat="1" ht="18.75">
      <c r="A74" s="478">
        <v>65</v>
      </c>
      <c r="B74" s="432" t="s">
        <v>324</v>
      </c>
      <c r="C74" s="484">
        <v>273169.11749999999</v>
      </c>
      <c r="D74" s="485">
        <v>12</v>
      </c>
      <c r="E74" s="484">
        <f t="shared" si="53"/>
        <v>3278029.41</v>
      </c>
      <c r="F74" s="484"/>
      <c r="G74" s="486"/>
      <c r="H74" s="486"/>
      <c r="I74" s="484">
        <f t="shared" si="0"/>
        <v>3278029.41</v>
      </c>
      <c r="J74" s="484">
        <v>200000</v>
      </c>
      <c r="K74" s="484">
        <v>0.2</v>
      </c>
      <c r="L74" s="484">
        <f t="shared" si="1"/>
        <v>655605.8820000001</v>
      </c>
      <c r="M74" s="484">
        <f t="shared" si="2"/>
        <v>855605.8820000001</v>
      </c>
      <c r="N74" s="484">
        <f t="shared" si="3"/>
        <v>855605.8820000001</v>
      </c>
      <c r="O74" s="484">
        <f t="shared" si="4"/>
        <v>2422423.5279999999</v>
      </c>
      <c r="P74" s="484">
        <f t="shared" si="5"/>
        <v>21000</v>
      </c>
      <c r="Q74" s="484">
        <f t="shared" si="6"/>
        <v>33000</v>
      </c>
      <c r="R74" s="484">
        <f t="shared" si="7"/>
        <v>75000</v>
      </c>
      <c r="S74" s="484">
        <f t="shared" si="8"/>
        <v>95000</v>
      </c>
      <c r="T74" s="484">
        <f t="shared" si="9"/>
        <v>172708.94087999998</v>
      </c>
      <c r="U74" s="484"/>
      <c r="V74" s="484">
        <f t="shared" si="11"/>
        <v>396708.94088000001</v>
      </c>
      <c r="W74" s="488">
        <v>12</v>
      </c>
      <c r="X74" s="484">
        <f t="shared" si="12"/>
        <v>33059.078406666667</v>
      </c>
      <c r="Y74" s="486"/>
      <c r="Z74" s="505">
        <f t="shared" si="13"/>
        <v>33059.078406666667</v>
      </c>
      <c r="AA74" s="504">
        <v>17507.548966666665</v>
      </c>
      <c r="AB74" s="504">
        <f t="shared" si="54"/>
        <v>15551.529440000002</v>
      </c>
      <c r="AC74" s="480"/>
      <c r="AD74" s="480"/>
      <c r="AE74" s="480"/>
    </row>
    <row r="75" spans="1:31" ht="37.5">
      <c r="A75" s="473"/>
      <c r="B75" s="432" t="s">
        <v>554</v>
      </c>
      <c r="C75" s="484">
        <v>249356.04725</v>
      </c>
      <c r="D75" s="485">
        <v>12</v>
      </c>
      <c r="E75" s="484">
        <f t="shared" si="53"/>
        <v>2992272.5669999998</v>
      </c>
      <c r="F75" s="484"/>
      <c r="G75" s="486"/>
      <c r="H75" s="486"/>
      <c r="I75" s="484">
        <f t="shared" si="0"/>
        <v>2992272.5669999998</v>
      </c>
      <c r="J75" s="484">
        <v>200000</v>
      </c>
      <c r="K75" s="484">
        <v>0.2</v>
      </c>
      <c r="L75" s="484">
        <f t="shared" si="1"/>
        <v>598454.51339999994</v>
      </c>
      <c r="M75" s="484">
        <f t="shared" si="2"/>
        <v>798454.51339999994</v>
      </c>
      <c r="N75" s="484">
        <f t="shared" si="3"/>
        <v>798454.51339999994</v>
      </c>
      <c r="O75" s="484">
        <f t="shared" si="4"/>
        <v>2193818.0535999998</v>
      </c>
      <c r="P75" s="484">
        <f t="shared" si="5"/>
        <v>21000</v>
      </c>
      <c r="Q75" s="484">
        <f t="shared" si="6"/>
        <v>33000</v>
      </c>
      <c r="R75" s="484">
        <f t="shared" si="7"/>
        <v>75000</v>
      </c>
      <c r="S75" s="484">
        <f t="shared" si="8"/>
        <v>95000</v>
      </c>
      <c r="T75" s="484">
        <f t="shared" si="9"/>
        <v>124701.79125599994</v>
      </c>
      <c r="U75" s="484"/>
      <c r="V75" s="484">
        <f t="shared" si="11"/>
        <v>348701.79125599994</v>
      </c>
      <c r="W75" s="488">
        <v>12</v>
      </c>
      <c r="X75" s="484">
        <f t="shared" si="12"/>
        <v>29058.48260466666</v>
      </c>
      <c r="Y75" s="486"/>
      <c r="Z75" s="484">
        <f t="shared" si="13"/>
        <v>29058.48260466666</v>
      </c>
      <c r="AA75" s="36">
        <v>29058.48260466666</v>
      </c>
      <c r="AB75" s="36">
        <f t="shared" si="54"/>
        <v>0</v>
      </c>
      <c r="AC75" s="36"/>
      <c r="AD75" s="36"/>
      <c r="AE75" s="36"/>
    </row>
    <row r="76" spans="1:31" ht="18.75">
      <c r="A76" s="473"/>
      <c r="B76" s="432" t="s">
        <v>552</v>
      </c>
      <c r="C76" s="484">
        <v>223717.28450000001</v>
      </c>
      <c r="D76" s="485">
        <v>12</v>
      </c>
      <c r="E76" s="484">
        <f t="shared" si="53"/>
        <v>2684607.4139999999</v>
      </c>
      <c r="F76" s="484"/>
      <c r="G76" s="486"/>
      <c r="H76" s="486"/>
      <c r="I76" s="484">
        <f t="shared" ref="I76" si="55">E76-F76-G76-H76</f>
        <v>2684607.4139999999</v>
      </c>
      <c r="J76" s="484">
        <v>200000</v>
      </c>
      <c r="K76" s="484">
        <v>0.2</v>
      </c>
      <c r="L76" s="484">
        <f t="shared" ref="L76" si="56">I76*K76</f>
        <v>536921.4828</v>
      </c>
      <c r="M76" s="484">
        <f t="shared" ref="M76" si="57">J76+L76</f>
        <v>736921.4828</v>
      </c>
      <c r="N76" s="484">
        <f t="shared" ref="N76" si="58">F76+G76+H76+M76</f>
        <v>736921.4828</v>
      </c>
      <c r="O76" s="484">
        <f t="shared" ref="O76" si="59">E76-N76</f>
        <v>1947685.9312</v>
      </c>
      <c r="P76" s="484">
        <f t="shared" ref="P76" si="60">IF(O76&lt;300000,0.07*O76,21000)</f>
        <v>21000</v>
      </c>
      <c r="Q76" s="484">
        <f t="shared" ref="Q76" si="61">IF((O76-300000)&lt;0,0,IF((O76-300000)&lt;300000,0.11*(O76-300000),33000))</f>
        <v>33000</v>
      </c>
      <c r="R76" s="484">
        <f t="shared" ref="R76" si="62">IF((O76-600000)&lt;0,0,IF((O76-600000)&lt;500000,0.15*(O76-600000),75000))</f>
        <v>75000</v>
      </c>
      <c r="S76" s="484">
        <f t="shared" ref="S76" si="63">IF((O76-1100000)&lt;0,0,IF((O76-1100000)&lt;500000,0.19*(O76-1100000),95000))</f>
        <v>95000</v>
      </c>
      <c r="T76" s="484">
        <f t="shared" ref="T76" si="64">IF((O76-1600000)&lt;0,0,IF((O76-1600000)&lt;1600000,0.21*(O76-1600000),336000))</f>
        <v>73014.045551999996</v>
      </c>
      <c r="U76" s="484">
        <v>0</v>
      </c>
      <c r="V76" s="484">
        <f t="shared" ref="V76" si="65">P76+Q76+R76+S76+T76+U76</f>
        <v>297014.045552</v>
      </c>
      <c r="W76" s="488">
        <v>12</v>
      </c>
      <c r="X76" s="484">
        <f t="shared" ref="X76" si="66">V76/W76</f>
        <v>24751.170462666665</v>
      </c>
      <c r="Y76" s="486"/>
      <c r="Z76" s="484">
        <f t="shared" ref="Z76" si="67">X76</f>
        <v>24751.170462666665</v>
      </c>
      <c r="AA76" s="36">
        <v>24751.170462666665</v>
      </c>
      <c r="AB76" s="36">
        <f t="shared" si="54"/>
        <v>0</v>
      </c>
      <c r="AC76" s="36"/>
      <c r="AD76" s="36"/>
      <c r="AE76" s="36"/>
    </row>
    <row r="77" spans="1:31" ht="18.75">
      <c r="A77" s="473"/>
      <c r="B77" s="366" t="s">
        <v>15</v>
      </c>
      <c r="C77" s="484"/>
      <c r="D77" s="485"/>
      <c r="E77" s="484"/>
      <c r="F77" s="484"/>
      <c r="G77" s="486"/>
      <c r="H77" s="486"/>
      <c r="I77" s="484"/>
      <c r="J77" s="484"/>
      <c r="K77" s="484"/>
      <c r="L77" s="484"/>
      <c r="M77" s="484"/>
      <c r="N77" s="484"/>
      <c r="O77" s="484"/>
      <c r="P77" s="484"/>
      <c r="Q77" s="484"/>
      <c r="R77" s="484"/>
      <c r="S77" s="484"/>
      <c r="T77" s="484"/>
      <c r="U77" s="484"/>
      <c r="V77" s="484"/>
      <c r="W77" s="488"/>
      <c r="X77" s="484"/>
      <c r="Y77" s="486"/>
      <c r="Z77" s="484"/>
      <c r="AA77" s="36"/>
      <c r="AB77" s="483">
        <f>SUM(AB70:AB76)</f>
        <v>15551.529440000002</v>
      </c>
      <c r="AC77" s="36"/>
      <c r="AD77" s="36"/>
      <c r="AE77" s="36"/>
    </row>
    <row r="78" spans="1:31" ht="18.75">
      <c r="A78" s="473">
        <v>66</v>
      </c>
      <c r="B78" s="366"/>
      <c r="C78" s="484"/>
      <c r="D78" s="485"/>
      <c r="E78" s="484"/>
      <c r="F78" s="484"/>
      <c r="G78" s="486"/>
      <c r="H78" s="486"/>
      <c r="I78" s="484"/>
      <c r="J78" s="484"/>
      <c r="K78" s="484"/>
      <c r="L78" s="484"/>
      <c r="M78" s="484"/>
      <c r="N78" s="484"/>
      <c r="O78" s="484"/>
      <c r="P78" s="484"/>
      <c r="Q78" s="484"/>
      <c r="R78" s="484"/>
      <c r="S78" s="484"/>
      <c r="T78" s="484"/>
      <c r="U78" s="484"/>
      <c r="V78" s="484"/>
      <c r="W78" s="488"/>
      <c r="X78" s="484"/>
      <c r="Y78" s="486"/>
      <c r="Z78" s="484"/>
      <c r="AA78" s="36"/>
      <c r="AB78" s="36"/>
      <c r="AC78" s="36"/>
      <c r="AD78" s="36"/>
      <c r="AE78" s="36"/>
    </row>
    <row r="79" spans="1:31" ht="37.5">
      <c r="A79" s="473">
        <v>67</v>
      </c>
      <c r="B79" s="366" t="s">
        <v>463</v>
      </c>
      <c r="C79" s="484"/>
      <c r="D79" s="396"/>
      <c r="E79" s="396"/>
      <c r="F79" s="396"/>
      <c r="G79" s="396"/>
      <c r="H79" s="396"/>
      <c r="I79" s="396"/>
      <c r="J79" s="396"/>
      <c r="K79" s="396"/>
      <c r="L79" s="396"/>
      <c r="M79" s="396"/>
      <c r="N79" s="396"/>
      <c r="O79" s="396"/>
      <c r="P79" s="396"/>
      <c r="Q79" s="396"/>
      <c r="R79" s="396"/>
      <c r="S79" s="396"/>
      <c r="T79" s="396"/>
      <c r="U79" s="396"/>
      <c r="V79" s="396"/>
      <c r="W79" s="396"/>
      <c r="X79" s="396"/>
      <c r="Y79" s="396"/>
      <c r="Z79" s="396"/>
      <c r="AB79" t="s">
        <v>760</v>
      </c>
      <c r="AC79" s="36"/>
      <c r="AD79" s="36"/>
      <c r="AE79" s="36"/>
    </row>
    <row r="80" spans="1:31" ht="18.75">
      <c r="A80" s="473">
        <v>68</v>
      </c>
      <c r="B80" s="432" t="s">
        <v>169</v>
      </c>
      <c r="C80" s="484">
        <v>627553.50249999994</v>
      </c>
      <c r="D80" s="485">
        <v>12</v>
      </c>
      <c r="E80" s="484">
        <f>C80*D80</f>
        <v>7530642.0299999993</v>
      </c>
      <c r="F80" s="484"/>
      <c r="G80" s="486"/>
      <c r="H80" s="486"/>
      <c r="I80" s="484">
        <f t="shared" ref="I80:I89" si="68">E80-F80-G80-H80</f>
        <v>7530642.0299999993</v>
      </c>
      <c r="J80" s="484">
        <v>200000</v>
      </c>
      <c r="K80" s="484">
        <v>0.2</v>
      </c>
      <c r="L80" s="484">
        <f t="shared" ref="L80:L89" si="69">I80*K80</f>
        <v>1506128.406</v>
      </c>
      <c r="M80" s="484">
        <f t="shared" ref="M80:M89" si="70">J80+L80</f>
        <v>1706128.406</v>
      </c>
      <c r="N80" s="484">
        <f t="shared" ref="N80:N89" si="71">F80+G80+H80+M80</f>
        <v>1706128.406</v>
      </c>
      <c r="O80" s="484">
        <f t="shared" ref="O80:O89" si="72">E80-N80</f>
        <v>5824513.6239999998</v>
      </c>
      <c r="P80" s="484">
        <f t="shared" ref="P80:P89" si="73">IF(O80&lt;300000,0.07*O80,21000)</f>
        <v>21000</v>
      </c>
      <c r="Q80" s="484">
        <f t="shared" ref="Q80:Q89" si="74">IF((O80-300000)&lt;0,0,IF((O80-300000)&lt;300000,0.11*(O80-300000),33000))</f>
        <v>33000</v>
      </c>
      <c r="R80" s="484">
        <f t="shared" ref="R80:R89" si="75">IF((O80-600000)&lt;0,0,IF((O80-600000)&lt;500000,0.15*(O80-600000),75000))</f>
        <v>75000</v>
      </c>
      <c r="S80" s="484">
        <f t="shared" ref="S80:S89" si="76">IF((O80-1100000)&lt;0,0,IF((O80-1100000)&lt;500000,0.19*(O80-1100000),95000))</f>
        <v>95000</v>
      </c>
      <c r="T80" s="484">
        <f t="shared" ref="T80:T89" si="77">IF((O80-1600000)&lt;0,0,IF((O80-1600000)&lt;1600000,0.21*(O80-1600000),336000))</f>
        <v>336000</v>
      </c>
      <c r="U80" s="484">
        <f t="shared" ref="U80:U85" si="78">24%*(O80-3200000)</f>
        <v>629883.26975999994</v>
      </c>
      <c r="V80" s="484">
        <f t="shared" ref="V80:V89" si="79">P80+Q80+R80+S80+T80+U80</f>
        <v>1189883.2697600001</v>
      </c>
      <c r="W80" s="488">
        <v>12</v>
      </c>
      <c r="X80" s="484">
        <f t="shared" ref="X80:X89" si="80">V80/W80</f>
        <v>99156.939146666671</v>
      </c>
      <c r="Y80" s="486"/>
      <c r="Z80" s="484">
        <f t="shared" ref="Z80:Z89" si="81">X80</f>
        <v>99156.939146666671</v>
      </c>
      <c r="AA80" s="476">
        <v>99156.939146666671</v>
      </c>
      <c r="AB80" s="482">
        <f>Z80-AA80</f>
        <v>0</v>
      </c>
      <c r="AC80" s="36" t="s">
        <v>169</v>
      </c>
      <c r="AD80" s="36"/>
      <c r="AE80" s="36"/>
    </row>
    <row r="81" spans="1:31" s="481" customFormat="1" ht="18.75">
      <c r="A81" s="478">
        <v>69</v>
      </c>
      <c r="B81" s="432" t="s">
        <v>192</v>
      </c>
      <c r="C81" s="484">
        <v>527553.50249999994</v>
      </c>
      <c r="D81" s="485">
        <v>12</v>
      </c>
      <c r="E81" s="484">
        <f t="shared" ref="E81:E86" si="82">C81*D81</f>
        <v>6330642.0299999993</v>
      </c>
      <c r="F81" s="484">
        <f>'[4]JANUARY 2024'!$V$86*12</f>
        <v>10052.25</v>
      </c>
      <c r="G81" s="486"/>
      <c r="H81" s="486"/>
      <c r="I81" s="484">
        <f t="shared" si="68"/>
        <v>6320589.7799999993</v>
      </c>
      <c r="J81" s="484">
        <v>200000</v>
      </c>
      <c r="K81" s="484">
        <v>0.2</v>
      </c>
      <c r="L81" s="484">
        <f t="shared" si="69"/>
        <v>1264117.956</v>
      </c>
      <c r="M81" s="484">
        <f t="shared" si="70"/>
        <v>1464117.956</v>
      </c>
      <c r="N81" s="484">
        <f t="shared" si="71"/>
        <v>1474170.206</v>
      </c>
      <c r="O81" s="484">
        <f t="shared" si="72"/>
        <v>4856471.8239999991</v>
      </c>
      <c r="P81" s="484">
        <f t="shared" si="73"/>
        <v>21000</v>
      </c>
      <c r="Q81" s="484">
        <f t="shared" si="74"/>
        <v>33000</v>
      </c>
      <c r="R81" s="484">
        <f t="shared" si="75"/>
        <v>75000</v>
      </c>
      <c r="S81" s="484">
        <f t="shared" si="76"/>
        <v>95000</v>
      </c>
      <c r="T81" s="484">
        <f t="shared" si="77"/>
        <v>336000</v>
      </c>
      <c r="U81" s="484">
        <f t="shared" si="78"/>
        <v>397553.23775999976</v>
      </c>
      <c r="V81" s="484">
        <f t="shared" si="79"/>
        <v>957553.2377599997</v>
      </c>
      <c r="W81" s="488">
        <v>12</v>
      </c>
      <c r="X81" s="484">
        <f t="shared" si="80"/>
        <v>79796.103146666646</v>
      </c>
      <c r="Y81" s="486"/>
      <c r="Z81" s="484">
        <f t="shared" si="81"/>
        <v>79796.103146666646</v>
      </c>
      <c r="AA81" s="476">
        <v>98996.103146666661</v>
      </c>
      <c r="AB81" s="482">
        <f t="shared" ref="AB81:AB86" si="83">Z81-AA81</f>
        <v>-19200.000000000015</v>
      </c>
      <c r="AC81" s="480" t="s">
        <v>192</v>
      </c>
      <c r="AD81" s="480"/>
      <c r="AE81" s="480"/>
    </row>
    <row r="82" spans="1:31" s="481" customFormat="1" ht="37.5">
      <c r="A82" s="478">
        <v>70</v>
      </c>
      <c r="B82" s="432" t="s">
        <v>202</v>
      </c>
      <c r="C82" s="484">
        <v>504729.22200000007</v>
      </c>
      <c r="D82" s="485">
        <v>12</v>
      </c>
      <c r="E82" s="484">
        <f t="shared" si="82"/>
        <v>6056750.6640000008</v>
      </c>
      <c r="F82" s="484"/>
      <c r="G82" s="486"/>
      <c r="H82" s="486"/>
      <c r="I82" s="484">
        <f t="shared" si="68"/>
        <v>6056750.6640000008</v>
      </c>
      <c r="J82" s="484">
        <v>200000</v>
      </c>
      <c r="K82" s="484">
        <v>0.2</v>
      </c>
      <c r="L82" s="484">
        <f t="shared" si="69"/>
        <v>1211350.1328000003</v>
      </c>
      <c r="M82" s="484">
        <f t="shared" si="70"/>
        <v>1411350.1328000003</v>
      </c>
      <c r="N82" s="484">
        <f t="shared" si="71"/>
        <v>1411350.1328000003</v>
      </c>
      <c r="O82" s="484">
        <f t="shared" si="72"/>
        <v>4645400.531200001</v>
      </c>
      <c r="P82" s="484">
        <f t="shared" si="73"/>
        <v>21000</v>
      </c>
      <c r="Q82" s="484">
        <f t="shared" si="74"/>
        <v>33000</v>
      </c>
      <c r="R82" s="484">
        <f t="shared" si="75"/>
        <v>75000</v>
      </c>
      <c r="S82" s="484">
        <f t="shared" si="76"/>
        <v>95000</v>
      </c>
      <c r="T82" s="484">
        <f t="shared" si="77"/>
        <v>336000</v>
      </c>
      <c r="U82" s="484">
        <f t="shared" si="78"/>
        <v>346896.1274880002</v>
      </c>
      <c r="V82" s="484">
        <f t="shared" si="79"/>
        <v>906896.1274880002</v>
      </c>
      <c r="W82" s="488">
        <v>12</v>
      </c>
      <c r="X82" s="484">
        <f t="shared" si="80"/>
        <v>75574.677290666688</v>
      </c>
      <c r="Y82" s="486"/>
      <c r="Z82" s="484">
        <f t="shared" si="81"/>
        <v>75574.677290666688</v>
      </c>
      <c r="AA82" s="479">
        <v>79956.939146666657</v>
      </c>
      <c r="AB82" s="482">
        <f t="shared" si="83"/>
        <v>-4382.2618559999682</v>
      </c>
      <c r="AC82" s="480" t="s">
        <v>202</v>
      </c>
      <c r="AD82" s="480"/>
      <c r="AE82" s="480"/>
    </row>
    <row r="83" spans="1:31" ht="18.75">
      <c r="A83" s="473">
        <v>71</v>
      </c>
      <c r="B83" s="432" t="s">
        <v>101</v>
      </c>
      <c r="C83" s="484">
        <v>376663.07749999996</v>
      </c>
      <c r="D83" s="485">
        <v>12</v>
      </c>
      <c r="E83" s="484">
        <f t="shared" si="82"/>
        <v>4519956.93</v>
      </c>
      <c r="F83" s="484"/>
      <c r="G83" s="486"/>
      <c r="H83" s="486"/>
      <c r="I83" s="484">
        <f t="shared" si="68"/>
        <v>4519956.93</v>
      </c>
      <c r="J83" s="484">
        <v>200000</v>
      </c>
      <c r="K83" s="484">
        <v>0.2</v>
      </c>
      <c r="L83" s="484">
        <f t="shared" si="69"/>
        <v>903991.38599999994</v>
      </c>
      <c r="M83" s="484">
        <f t="shared" si="70"/>
        <v>1103991.3859999999</v>
      </c>
      <c r="N83" s="484">
        <f t="shared" si="71"/>
        <v>1103991.3859999999</v>
      </c>
      <c r="O83" s="484">
        <f t="shared" si="72"/>
        <v>3415965.5439999998</v>
      </c>
      <c r="P83" s="484">
        <f t="shared" si="73"/>
        <v>21000</v>
      </c>
      <c r="Q83" s="484">
        <f t="shared" si="74"/>
        <v>33000</v>
      </c>
      <c r="R83" s="484">
        <f t="shared" si="75"/>
        <v>75000</v>
      </c>
      <c r="S83" s="484">
        <f t="shared" si="76"/>
        <v>95000</v>
      </c>
      <c r="T83" s="484">
        <f t="shared" si="77"/>
        <v>336000</v>
      </c>
      <c r="U83" s="484">
        <f t="shared" si="78"/>
        <v>51831.730559999938</v>
      </c>
      <c r="V83" s="484">
        <f t="shared" si="79"/>
        <v>611831.73055999994</v>
      </c>
      <c r="W83" s="488">
        <v>12</v>
      </c>
      <c r="X83" s="484">
        <f t="shared" si="80"/>
        <v>50985.977546666662</v>
      </c>
      <c r="Y83" s="486"/>
      <c r="Z83" s="484">
        <f t="shared" si="81"/>
        <v>50985.977546666662</v>
      </c>
      <c r="AA83" s="479">
        <v>75574.677290666688</v>
      </c>
      <c r="AB83" s="482">
        <f t="shared" si="83"/>
        <v>-24588.699744000027</v>
      </c>
      <c r="AC83" s="36" t="s">
        <v>101</v>
      </c>
      <c r="AD83" s="36"/>
      <c r="AE83" s="36"/>
    </row>
    <row r="84" spans="1:31" ht="18.75">
      <c r="A84" s="473">
        <v>72</v>
      </c>
      <c r="B84" s="432" t="s">
        <v>336</v>
      </c>
      <c r="C84" s="484">
        <v>369177.65375</v>
      </c>
      <c r="D84" s="485">
        <v>12</v>
      </c>
      <c r="E84" s="484">
        <f t="shared" si="82"/>
        <v>4430131.8449999997</v>
      </c>
      <c r="F84" s="484"/>
      <c r="G84" s="486"/>
      <c r="H84" s="486"/>
      <c r="I84" s="484">
        <f t="shared" si="68"/>
        <v>4430131.8449999997</v>
      </c>
      <c r="J84" s="484">
        <v>200000</v>
      </c>
      <c r="K84" s="484">
        <v>0.2</v>
      </c>
      <c r="L84" s="484">
        <f t="shared" si="69"/>
        <v>886026.36899999995</v>
      </c>
      <c r="M84" s="484">
        <f t="shared" si="70"/>
        <v>1086026.3689999999</v>
      </c>
      <c r="N84" s="484">
        <f t="shared" si="71"/>
        <v>1086026.3689999999</v>
      </c>
      <c r="O84" s="484">
        <f t="shared" si="72"/>
        <v>3344105.4759999998</v>
      </c>
      <c r="P84" s="484">
        <f t="shared" si="73"/>
        <v>21000</v>
      </c>
      <c r="Q84" s="484">
        <f t="shared" si="74"/>
        <v>33000</v>
      </c>
      <c r="R84" s="484">
        <f t="shared" si="75"/>
        <v>75000</v>
      </c>
      <c r="S84" s="484">
        <f t="shared" si="76"/>
        <v>95000</v>
      </c>
      <c r="T84" s="484">
        <f t="shared" si="77"/>
        <v>336000</v>
      </c>
      <c r="U84" s="484">
        <f t="shared" si="78"/>
        <v>34585.314239999949</v>
      </c>
      <c r="V84" s="484">
        <f t="shared" si="79"/>
        <v>594585.31423999998</v>
      </c>
      <c r="W84" s="488">
        <v>12</v>
      </c>
      <c r="X84" s="484">
        <f t="shared" si="80"/>
        <v>49548.776186666662</v>
      </c>
      <c r="Y84" s="486"/>
      <c r="Z84" s="484">
        <f t="shared" si="81"/>
        <v>49548.776186666662</v>
      </c>
      <c r="AA84" s="476">
        <v>50985.977546666662</v>
      </c>
      <c r="AB84" s="482">
        <f t="shared" si="83"/>
        <v>-1437.2013599999991</v>
      </c>
      <c r="AC84" s="36" t="s">
        <v>336</v>
      </c>
      <c r="AD84" s="36"/>
      <c r="AE84" s="36"/>
    </row>
    <row r="85" spans="1:31" s="481" customFormat="1" ht="37.5">
      <c r="A85" s="478">
        <v>73</v>
      </c>
      <c r="B85" s="432" t="s">
        <v>337</v>
      </c>
      <c r="C85" s="484">
        <v>389153.05674999999</v>
      </c>
      <c r="D85" s="485">
        <v>12</v>
      </c>
      <c r="E85" s="484">
        <f t="shared" si="82"/>
        <v>4669836.6809999999</v>
      </c>
      <c r="F85" s="484"/>
      <c r="G85" s="486"/>
      <c r="H85" s="486"/>
      <c r="I85" s="484">
        <f t="shared" si="68"/>
        <v>4669836.6809999999</v>
      </c>
      <c r="J85" s="484">
        <v>200000</v>
      </c>
      <c r="K85" s="484">
        <v>0.2</v>
      </c>
      <c r="L85" s="484">
        <f t="shared" si="69"/>
        <v>933967.33620000002</v>
      </c>
      <c r="M85" s="484">
        <f t="shared" si="70"/>
        <v>1133967.3362</v>
      </c>
      <c r="N85" s="484">
        <f t="shared" si="71"/>
        <v>1133967.3362</v>
      </c>
      <c r="O85" s="484">
        <f t="shared" si="72"/>
        <v>3535869.3448000001</v>
      </c>
      <c r="P85" s="484">
        <f t="shared" si="73"/>
        <v>21000</v>
      </c>
      <c r="Q85" s="484">
        <f t="shared" si="74"/>
        <v>33000</v>
      </c>
      <c r="R85" s="484">
        <f t="shared" si="75"/>
        <v>75000</v>
      </c>
      <c r="S85" s="484">
        <f t="shared" si="76"/>
        <v>95000</v>
      </c>
      <c r="T85" s="484">
        <f t="shared" si="77"/>
        <v>336000</v>
      </c>
      <c r="U85" s="484">
        <f t="shared" si="78"/>
        <v>80608.642752000014</v>
      </c>
      <c r="V85" s="484">
        <f t="shared" si="79"/>
        <v>640608.64275200001</v>
      </c>
      <c r="W85" s="488">
        <v>12</v>
      </c>
      <c r="X85" s="484">
        <f t="shared" si="80"/>
        <v>53384.053562666668</v>
      </c>
      <c r="Y85" s="486"/>
      <c r="Z85" s="505">
        <f t="shared" si="81"/>
        <v>53384.053562666668</v>
      </c>
      <c r="AA85" s="505">
        <v>49548.776186666662</v>
      </c>
      <c r="AB85" s="506">
        <f t="shared" si="83"/>
        <v>3835.2773760000055</v>
      </c>
      <c r="AC85" s="480" t="s">
        <v>337</v>
      </c>
      <c r="AD85" s="480"/>
      <c r="AE85" s="480"/>
    </row>
    <row r="86" spans="1:31" ht="18.75">
      <c r="A86" s="473">
        <v>74</v>
      </c>
      <c r="B86" s="432" t="s">
        <v>421</v>
      </c>
      <c r="C86" s="484">
        <v>322454.07400000002</v>
      </c>
      <c r="D86" s="485">
        <v>12</v>
      </c>
      <c r="E86" s="484">
        <f t="shared" si="82"/>
        <v>3869448.8880000003</v>
      </c>
      <c r="F86" s="484"/>
      <c r="G86" s="486"/>
      <c r="H86" s="486"/>
      <c r="I86" s="484">
        <f t="shared" si="68"/>
        <v>3869448.8880000003</v>
      </c>
      <c r="J86" s="484">
        <v>200000</v>
      </c>
      <c r="K86" s="484">
        <v>0.2</v>
      </c>
      <c r="L86" s="484">
        <f t="shared" si="69"/>
        <v>773889.77760000015</v>
      </c>
      <c r="M86" s="484">
        <f t="shared" si="70"/>
        <v>973889.77760000015</v>
      </c>
      <c r="N86" s="484">
        <f t="shared" si="71"/>
        <v>973889.77760000015</v>
      </c>
      <c r="O86" s="484">
        <f t="shared" si="72"/>
        <v>2895559.1104000001</v>
      </c>
      <c r="P86" s="484">
        <f t="shared" si="73"/>
        <v>21000</v>
      </c>
      <c r="Q86" s="484">
        <f t="shared" si="74"/>
        <v>33000</v>
      </c>
      <c r="R86" s="484">
        <f t="shared" si="75"/>
        <v>75000</v>
      </c>
      <c r="S86" s="484">
        <f t="shared" si="76"/>
        <v>95000</v>
      </c>
      <c r="T86" s="484">
        <f t="shared" si="77"/>
        <v>272067.413184</v>
      </c>
      <c r="U86" s="484"/>
      <c r="V86" s="484">
        <f t="shared" si="79"/>
        <v>496067.413184</v>
      </c>
      <c r="W86" s="488">
        <v>12</v>
      </c>
      <c r="X86" s="484">
        <f t="shared" si="80"/>
        <v>41338.951098666665</v>
      </c>
      <c r="Y86" s="486"/>
      <c r="Z86" s="484">
        <f t="shared" si="81"/>
        <v>41338.951098666665</v>
      </c>
      <c r="AA86" s="479">
        <v>53384.053562666668</v>
      </c>
      <c r="AB86" s="482">
        <f t="shared" si="83"/>
        <v>-12045.102464000003</v>
      </c>
      <c r="AC86" s="36" t="s">
        <v>421</v>
      </c>
      <c r="AD86" s="36"/>
      <c r="AE86" s="36"/>
    </row>
    <row r="87" spans="1:31" ht="24" customHeight="1">
      <c r="A87" s="473">
        <v>75</v>
      </c>
      <c r="B87" s="432" t="s">
        <v>556</v>
      </c>
      <c r="C87" s="484">
        <v>346713.03325000004</v>
      </c>
      <c r="D87" s="485">
        <v>12</v>
      </c>
      <c r="E87" s="484">
        <f>C87*D87</f>
        <v>4160556.3990000002</v>
      </c>
      <c r="F87" s="484">
        <f>'[4]JANUARY 2024'!$V$92*12</f>
        <v>6922.4970000000012</v>
      </c>
      <c r="G87" s="486"/>
      <c r="H87" s="486"/>
      <c r="I87" s="484">
        <f t="shared" si="68"/>
        <v>4153633.9020000002</v>
      </c>
      <c r="J87" s="484">
        <v>200000</v>
      </c>
      <c r="K87" s="484">
        <v>0.2</v>
      </c>
      <c r="L87" s="484">
        <f t="shared" si="69"/>
        <v>830726.78040000005</v>
      </c>
      <c r="M87" s="484">
        <f t="shared" si="70"/>
        <v>1030726.7804</v>
      </c>
      <c r="N87" s="484">
        <f t="shared" si="71"/>
        <v>1037649.2774</v>
      </c>
      <c r="O87" s="484">
        <f t="shared" si="72"/>
        <v>3122907.1216000002</v>
      </c>
      <c r="P87" s="484">
        <f t="shared" si="73"/>
        <v>21000</v>
      </c>
      <c r="Q87" s="484">
        <f t="shared" si="74"/>
        <v>33000</v>
      </c>
      <c r="R87" s="484">
        <f t="shared" si="75"/>
        <v>75000</v>
      </c>
      <c r="S87" s="484">
        <f t="shared" si="76"/>
        <v>95000</v>
      </c>
      <c r="T87" s="484">
        <f t="shared" si="77"/>
        <v>319810.495536</v>
      </c>
      <c r="U87" s="484"/>
      <c r="V87" s="484">
        <f t="shared" si="79"/>
        <v>543810.495536</v>
      </c>
      <c r="W87" s="488">
        <v>12</v>
      </c>
      <c r="X87" s="484">
        <f t="shared" si="80"/>
        <v>45317.541294666669</v>
      </c>
      <c r="Y87" s="486"/>
      <c r="Z87" s="505">
        <f t="shared" si="81"/>
        <v>45317.541294666669</v>
      </c>
      <c r="AA87" s="505">
        <v>41242.036140666671</v>
      </c>
      <c r="AB87" s="506">
        <f>Z87-AA87</f>
        <v>4075.5051539999986</v>
      </c>
      <c r="AC87" s="36" t="s">
        <v>556</v>
      </c>
      <c r="AD87" s="36"/>
      <c r="AE87" s="36"/>
    </row>
    <row r="88" spans="1:31" ht="18.75">
      <c r="A88" s="473">
        <v>76</v>
      </c>
      <c r="B88" s="432" t="s">
        <v>436</v>
      </c>
      <c r="C88" s="484">
        <v>277734.04699999996</v>
      </c>
      <c r="D88" s="485">
        <v>12</v>
      </c>
      <c r="E88" s="484">
        <f t="shared" ref="E88:E89" si="84">C88*D88</f>
        <v>3332808.5639999993</v>
      </c>
      <c r="F88" s="484"/>
      <c r="G88" s="486"/>
      <c r="H88" s="486"/>
      <c r="I88" s="484">
        <f t="shared" si="68"/>
        <v>3332808.5639999993</v>
      </c>
      <c r="J88" s="484">
        <v>200000</v>
      </c>
      <c r="K88" s="484">
        <v>0.2</v>
      </c>
      <c r="L88" s="484">
        <f t="shared" si="69"/>
        <v>666561.71279999986</v>
      </c>
      <c r="M88" s="484">
        <f t="shared" si="70"/>
        <v>866561.71279999986</v>
      </c>
      <c r="N88" s="484">
        <f t="shared" si="71"/>
        <v>866561.71279999986</v>
      </c>
      <c r="O88" s="484">
        <f t="shared" si="72"/>
        <v>2466246.8511999995</v>
      </c>
      <c r="P88" s="484">
        <f t="shared" si="73"/>
        <v>21000</v>
      </c>
      <c r="Q88" s="484">
        <f t="shared" si="74"/>
        <v>33000</v>
      </c>
      <c r="R88" s="484">
        <f t="shared" si="75"/>
        <v>75000</v>
      </c>
      <c r="S88" s="484">
        <f t="shared" si="76"/>
        <v>95000</v>
      </c>
      <c r="T88" s="484">
        <f t="shared" si="77"/>
        <v>181911.83875199987</v>
      </c>
      <c r="U88" s="484"/>
      <c r="V88" s="484">
        <f t="shared" si="79"/>
        <v>405911.83875199989</v>
      </c>
      <c r="W88" s="488">
        <v>12</v>
      </c>
      <c r="X88" s="484">
        <f t="shared" si="80"/>
        <v>33825.986562666658</v>
      </c>
      <c r="Y88" s="486"/>
      <c r="Z88" s="484">
        <f t="shared" si="81"/>
        <v>33825.986562666658</v>
      </c>
      <c r="AA88" s="476">
        <v>45414.456252666663</v>
      </c>
      <c r="AB88" s="482">
        <f t="shared" ref="AB88:AB89" si="85">Z88-AA88</f>
        <v>-11588.469690000005</v>
      </c>
      <c r="AC88" s="36" t="s">
        <v>436</v>
      </c>
      <c r="AD88" s="36"/>
      <c r="AE88" s="36"/>
    </row>
    <row r="89" spans="1:31" ht="18.75">
      <c r="A89" s="473"/>
      <c r="B89" s="432" t="s">
        <v>406</v>
      </c>
      <c r="C89" s="484">
        <v>254870.26344499999</v>
      </c>
      <c r="D89" s="485">
        <v>12</v>
      </c>
      <c r="E89" s="484">
        <f t="shared" si="84"/>
        <v>3058443.1613400001</v>
      </c>
      <c r="F89" s="484"/>
      <c r="G89" s="486"/>
      <c r="H89" s="486"/>
      <c r="I89" s="484">
        <f t="shared" si="68"/>
        <v>3058443.1613400001</v>
      </c>
      <c r="J89" s="484">
        <v>200000</v>
      </c>
      <c r="K89" s="484">
        <v>0.2</v>
      </c>
      <c r="L89" s="484">
        <f t="shared" si="69"/>
        <v>611688.63226800004</v>
      </c>
      <c r="M89" s="484">
        <f t="shared" si="70"/>
        <v>811688.63226800004</v>
      </c>
      <c r="N89" s="484">
        <f t="shared" si="71"/>
        <v>811688.63226800004</v>
      </c>
      <c r="O89" s="484">
        <f t="shared" si="72"/>
        <v>2246754.5290720002</v>
      </c>
      <c r="P89" s="484">
        <f t="shared" si="73"/>
        <v>21000</v>
      </c>
      <c r="Q89" s="484">
        <f t="shared" si="74"/>
        <v>33000</v>
      </c>
      <c r="R89" s="484">
        <f t="shared" si="75"/>
        <v>75000</v>
      </c>
      <c r="S89" s="484">
        <f t="shared" si="76"/>
        <v>95000</v>
      </c>
      <c r="T89" s="484">
        <f t="shared" si="77"/>
        <v>135818.45110512004</v>
      </c>
      <c r="U89" s="484"/>
      <c r="V89" s="484">
        <f t="shared" si="79"/>
        <v>359818.45110512001</v>
      </c>
      <c r="W89" s="488">
        <v>12</v>
      </c>
      <c r="X89" s="484">
        <f t="shared" si="80"/>
        <v>29984.870925426669</v>
      </c>
      <c r="Y89" s="486"/>
      <c r="Z89" s="484">
        <f t="shared" si="81"/>
        <v>29984.870925426669</v>
      </c>
      <c r="AA89" s="476">
        <v>33825.986562666658</v>
      </c>
      <c r="AB89" s="482">
        <f t="shared" si="85"/>
        <v>-3841.1156372399892</v>
      </c>
      <c r="AC89" s="36" t="s">
        <v>406</v>
      </c>
      <c r="AD89" s="36"/>
      <c r="AE89" s="36"/>
    </row>
    <row r="90" spans="1:31" ht="18.75">
      <c r="A90" s="473"/>
      <c r="B90" s="366"/>
      <c r="C90" s="484"/>
      <c r="D90" s="485"/>
      <c r="E90" s="484"/>
      <c r="F90" s="484"/>
      <c r="G90" s="486"/>
      <c r="H90" s="486"/>
      <c r="I90" s="484"/>
      <c r="J90" s="484"/>
      <c r="K90" s="484"/>
      <c r="L90" s="484"/>
      <c r="M90" s="484"/>
      <c r="N90" s="484"/>
      <c r="O90" s="484"/>
      <c r="P90" s="484"/>
      <c r="Q90" s="484"/>
      <c r="R90" s="484"/>
      <c r="S90" s="484"/>
      <c r="T90" s="484"/>
      <c r="U90" s="484"/>
      <c r="V90" s="484"/>
      <c r="W90" s="488"/>
      <c r="X90" s="484"/>
      <c r="Y90" s="486"/>
      <c r="Z90" s="484"/>
      <c r="AA90" s="36"/>
      <c r="AB90" s="483">
        <f>SUM(AB80:AB89)</f>
        <v>-69172.068221239999</v>
      </c>
      <c r="AC90" s="36"/>
      <c r="AD90" s="36"/>
      <c r="AE90" s="36"/>
    </row>
    <row r="91" spans="1:31" ht="18.75">
      <c r="A91" s="473"/>
      <c r="B91" s="362"/>
      <c r="C91" s="484"/>
      <c r="D91" s="485"/>
      <c r="E91" s="484"/>
      <c r="F91" s="484"/>
      <c r="G91" s="486"/>
      <c r="H91" s="486"/>
      <c r="I91" s="484"/>
      <c r="J91" s="484"/>
      <c r="K91" s="484"/>
      <c r="L91" s="484"/>
      <c r="M91" s="484"/>
      <c r="N91" s="484"/>
      <c r="O91" s="484"/>
      <c r="P91" s="484"/>
      <c r="Q91" s="484"/>
      <c r="R91" s="484"/>
      <c r="S91" s="484"/>
      <c r="T91" s="484"/>
      <c r="U91" s="484"/>
      <c r="V91" s="484"/>
      <c r="W91" s="488"/>
      <c r="X91" s="484"/>
      <c r="Y91" s="486"/>
      <c r="Z91" s="484"/>
      <c r="AA91" s="36"/>
      <c r="AB91" s="36"/>
      <c r="AC91" s="36"/>
      <c r="AD91" s="36"/>
      <c r="AE91" s="36"/>
    </row>
    <row r="92" spans="1:31" ht="18.75">
      <c r="A92" s="473">
        <v>78</v>
      </c>
      <c r="B92" s="366" t="s">
        <v>464</v>
      </c>
      <c r="C92" s="484"/>
      <c r="D92" s="396"/>
      <c r="E92" s="396"/>
      <c r="F92" s="396"/>
      <c r="G92" s="396"/>
      <c r="H92" s="396"/>
      <c r="I92" s="396"/>
      <c r="J92" s="396"/>
      <c r="K92" s="396"/>
      <c r="L92" s="396"/>
      <c r="M92" s="396"/>
      <c r="N92" s="396"/>
      <c r="O92" s="396"/>
      <c r="P92" s="396"/>
      <c r="Q92" s="396"/>
      <c r="R92" s="396"/>
      <c r="S92" s="396"/>
      <c r="T92" s="396"/>
      <c r="U92" s="396"/>
      <c r="V92" s="396"/>
      <c r="W92" s="396"/>
      <c r="X92" s="396"/>
      <c r="Y92" s="396"/>
      <c r="Z92" s="396"/>
      <c r="AC92" s="36"/>
      <c r="AD92" s="36"/>
      <c r="AE92" s="36"/>
    </row>
    <row r="93" spans="1:31" s="481" customFormat="1" ht="37.5">
      <c r="A93" s="478">
        <v>79</v>
      </c>
      <c r="B93" s="365" t="s">
        <v>112</v>
      </c>
      <c r="C93" s="484">
        <v>541465.02474999998</v>
      </c>
      <c r="D93" s="485">
        <v>12</v>
      </c>
      <c r="E93" s="484">
        <f>C93*D93</f>
        <v>6497580.2970000003</v>
      </c>
      <c r="F93" s="484">
        <f>'[4]JANUARY 2024'!$V$98*12</f>
        <v>12795.951000000001</v>
      </c>
      <c r="G93" s="486"/>
      <c r="H93" s="486"/>
      <c r="I93" s="484">
        <f>E93-F93-G93-H93</f>
        <v>6484784.3459999999</v>
      </c>
      <c r="J93" s="484">
        <v>200000</v>
      </c>
      <c r="K93" s="484">
        <v>0.2</v>
      </c>
      <c r="L93" s="484">
        <f>I93*K93</f>
        <v>1296956.8692000001</v>
      </c>
      <c r="M93" s="484">
        <f>J93+L93</f>
        <v>1496956.8692000001</v>
      </c>
      <c r="N93" s="484">
        <f>F93+G93+H93+M93</f>
        <v>1509752.8202</v>
      </c>
      <c r="O93" s="484">
        <f>E93-N93</f>
        <v>4987827.4768000003</v>
      </c>
      <c r="P93" s="484">
        <f>IF(O93&lt;300000,0.07*O93,21000)</f>
        <v>21000</v>
      </c>
      <c r="Q93" s="484">
        <f>IF((O93-300000)&lt;0,0,IF((O93-300000)&lt;300000,0.11*(O93-300000),33000))</f>
        <v>33000</v>
      </c>
      <c r="R93" s="484">
        <f>IF((O93-600000)&lt;0,0,IF((O93-600000)&lt;500000,0.15*(O93-600000),75000))</f>
        <v>75000</v>
      </c>
      <c r="S93" s="484">
        <f>IF((O93-1100000)&lt;0,0,IF((O93-1100000)&lt;500000,0.19*(O93-1100000),95000))</f>
        <v>95000</v>
      </c>
      <c r="T93" s="484">
        <f>IF((O93-1600000)&lt;0,0,IF((O93-1600000)&lt;1600000,0.21*(O93-1600000),336000))</f>
        <v>336000</v>
      </c>
      <c r="U93" s="484">
        <f>24%*(O93-3200000)</f>
        <v>429078.59443200007</v>
      </c>
      <c r="V93" s="484">
        <f>P93+Q93+R93+S93+T93+U93</f>
        <v>989078.59443200007</v>
      </c>
      <c r="W93" s="488">
        <v>12</v>
      </c>
      <c r="X93" s="484">
        <f>V93/W93</f>
        <v>82423.216202666677</v>
      </c>
      <c r="Y93" s="486"/>
      <c r="Z93" s="484">
        <f>X93</f>
        <v>82423.216202666677</v>
      </c>
      <c r="AA93" s="36">
        <v>82423.216202666677</v>
      </c>
      <c r="AB93" s="482">
        <f>Z93-AA93</f>
        <v>0</v>
      </c>
      <c r="AC93" s="480" t="s">
        <v>112</v>
      </c>
      <c r="AD93" s="480"/>
      <c r="AE93" s="480"/>
    </row>
    <row r="94" spans="1:31" ht="18.75">
      <c r="A94" s="473">
        <v>80</v>
      </c>
      <c r="B94" s="432" t="s">
        <v>124</v>
      </c>
      <c r="C94" s="484">
        <v>335272.06374999997</v>
      </c>
      <c r="D94" s="485">
        <v>12</v>
      </c>
      <c r="E94" s="484">
        <f t="shared" ref="E94:E96" si="86">C94*D94</f>
        <v>4023264.7649999997</v>
      </c>
      <c r="F94" s="484"/>
      <c r="G94" s="486"/>
      <c r="H94" s="486"/>
      <c r="I94" s="484">
        <f>E94-F94-G94-H94</f>
        <v>4023264.7649999997</v>
      </c>
      <c r="J94" s="484">
        <v>200000</v>
      </c>
      <c r="K94" s="484">
        <v>0.2</v>
      </c>
      <c r="L94" s="484">
        <f>I94*K94</f>
        <v>804652.95299999998</v>
      </c>
      <c r="M94" s="484">
        <f>J94+L94</f>
        <v>1004652.953</v>
      </c>
      <c r="N94" s="484">
        <f>F94+G94+H94+M94</f>
        <v>1004652.953</v>
      </c>
      <c r="O94" s="484">
        <f>E94-N94</f>
        <v>3018611.8119999999</v>
      </c>
      <c r="P94" s="484">
        <f>IF(O94&lt;300000,0.07*O94,21000)</f>
        <v>21000</v>
      </c>
      <c r="Q94" s="484">
        <f>IF((O94-300000)&lt;0,0,IF((O94-300000)&lt;300000,0.11*(O94-300000),33000))</f>
        <v>33000</v>
      </c>
      <c r="R94" s="484">
        <f>IF((O94-600000)&lt;0,0,IF((O94-600000)&lt;500000,0.15*(O94-600000),75000))</f>
        <v>75000</v>
      </c>
      <c r="S94" s="484">
        <f>IF((O94-1100000)&lt;0,0,IF((O94-1100000)&lt;500000,0.19*(O94-1100000),95000))</f>
        <v>95000</v>
      </c>
      <c r="T94" s="484">
        <f>IF((O94-1600000)&lt;0,0,IF((O94-1600000)&lt;1600000,0.21*(O94-1600000),336000))</f>
        <v>297908.48051999998</v>
      </c>
      <c r="U94" s="484"/>
      <c r="V94" s="484">
        <f>P94+Q94+R94+S94+T94+U94</f>
        <v>521908.48051999998</v>
      </c>
      <c r="W94" s="488">
        <v>12</v>
      </c>
      <c r="X94" s="484">
        <f>V94/W94</f>
        <v>43492.373376666663</v>
      </c>
      <c r="Y94" s="486"/>
      <c r="Z94" s="484">
        <f>X94</f>
        <v>43492.373376666663</v>
      </c>
      <c r="AA94" s="480">
        <v>82627.951418666678</v>
      </c>
      <c r="AB94" s="482">
        <f t="shared" ref="AB94:AB96" si="87">Z94-AA94</f>
        <v>-39135.578042000016</v>
      </c>
      <c r="AC94" s="36" t="s">
        <v>124</v>
      </c>
      <c r="AD94" s="36"/>
      <c r="AE94" s="36"/>
    </row>
    <row r="95" spans="1:31" ht="37.5">
      <c r="A95" s="473">
        <v>81</v>
      </c>
      <c r="B95" s="432" t="s">
        <v>237</v>
      </c>
      <c r="C95" s="484">
        <v>284536.99849999999</v>
      </c>
      <c r="D95" s="485">
        <v>12</v>
      </c>
      <c r="E95" s="484">
        <f t="shared" si="86"/>
        <v>3414443.9819999998</v>
      </c>
      <c r="F95" s="484"/>
      <c r="G95" s="486"/>
      <c r="H95" s="486"/>
      <c r="I95" s="484">
        <f>E95-F95-G95-H95</f>
        <v>3414443.9819999998</v>
      </c>
      <c r="J95" s="484">
        <v>200000</v>
      </c>
      <c r="K95" s="484">
        <v>0.2</v>
      </c>
      <c r="L95" s="484">
        <f>I95*K95</f>
        <v>682888.79639999999</v>
      </c>
      <c r="M95" s="484">
        <f>J95+L95</f>
        <v>882888.79639999999</v>
      </c>
      <c r="N95" s="484">
        <f>F95+G95+H95+M95</f>
        <v>882888.79639999999</v>
      </c>
      <c r="O95" s="484">
        <f>E95-N95</f>
        <v>2531555.1856</v>
      </c>
      <c r="P95" s="484">
        <f>IF(O95&lt;300000,0.07*O95,21000)</f>
        <v>21000</v>
      </c>
      <c r="Q95" s="484">
        <f>IF((O95-300000)&lt;0,0,IF((O95-300000)&lt;300000,0.11*(O95-300000),33000))</f>
        <v>33000</v>
      </c>
      <c r="R95" s="484">
        <f>IF((O95-600000)&lt;0,0,IF((O95-600000)&lt;500000,0.15*(O95-600000),75000))</f>
        <v>75000</v>
      </c>
      <c r="S95" s="484">
        <f>IF((O95-1100000)&lt;0,0,IF((O95-1100000)&lt;500000,0.19*(O95-1100000),95000))</f>
        <v>95000</v>
      </c>
      <c r="T95" s="484">
        <f>IF((O95-1600000)&lt;0,0,IF((O95-1600000)&lt;1600000,0.21*(O95-1600000),336000))</f>
        <v>195626.588976</v>
      </c>
      <c r="U95" s="484"/>
      <c r="V95" s="484">
        <f>P95+Q95+R95+S95+T95+U95</f>
        <v>419626.58897599997</v>
      </c>
      <c r="W95" s="488">
        <v>12</v>
      </c>
      <c r="X95" s="484">
        <f>V95/W95</f>
        <v>34968.882414666667</v>
      </c>
      <c r="Y95" s="486"/>
      <c r="Z95" s="484">
        <f>X95</f>
        <v>34968.882414666667</v>
      </c>
      <c r="AA95" s="36">
        <v>43492.373376666663</v>
      </c>
      <c r="AB95" s="482">
        <f t="shared" si="87"/>
        <v>-8523.4909619999962</v>
      </c>
      <c r="AC95" s="36" t="s">
        <v>237</v>
      </c>
      <c r="AD95" s="36"/>
      <c r="AE95" s="36"/>
    </row>
    <row r="96" spans="1:31" ht="18.75">
      <c r="A96" s="473"/>
      <c r="B96" s="432" t="s">
        <v>345</v>
      </c>
      <c r="C96" s="484">
        <v>237734.04699999996</v>
      </c>
      <c r="D96" s="485">
        <v>12</v>
      </c>
      <c r="E96" s="484">
        <f t="shared" si="86"/>
        <v>2852808.5639999993</v>
      </c>
      <c r="F96" s="484"/>
      <c r="G96" s="486"/>
      <c r="H96" s="486"/>
      <c r="I96" s="484">
        <f>E96-F96-G96-H96</f>
        <v>2852808.5639999993</v>
      </c>
      <c r="J96" s="484">
        <v>200000</v>
      </c>
      <c r="K96" s="484">
        <v>0.2</v>
      </c>
      <c r="L96" s="484">
        <f>I96*K96</f>
        <v>570561.71279999986</v>
      </c>
      <c r="M96" s="484">
        <f>J96+L96</f>
        <v>770561.71279999986</v>
      </c>
      <c r="N96" s="484">
        <f>F96+G96+H96+M96</f>
        <v>770561.71279999986</v>
      </c>
      <c r="O96" s="484">
        <f>E96-N96</f>
        <v>2082246.8511999995</v>
      </c>
      <c r="P96" s="484">
        <f>IF(O96&lt;300000,0.07*O96,21000)</f>
        <v>21000</v>
      </c>
      <c r="Q96" s="484">
        <f>IF((O96-300000)&lt;0,0,IF((O96-300000)&lt;300000,0.11*(O96-300000),33000))</f>
        <v>33000</v>
      </c>
      <c r="R96" s="484">
        <f>IF((O96-600000)&lt;0,0,IF((O96-600000)&lt;500000,0.15*(O96-600000),75000))</f>
        <v>75000</v>
      </c>
      <c r="S96" s="484">
        <f>IF((O96-1100000)&lt;0,0,IF((O96-1100000)&lt;500000,0.19*(O96-1100000),95000))</f>
        <v>95000</v>
      </c>
      <c r="T96" s="484">
        <f>IF((O96-1600000)&lt;0,0,IF((O96-1600000)&lt;1600000,0.21*(O96-1600000),336000))</f>
        <v>101271.83875199988</v>
      </c>
      <c r="U96" s="484"/>
      <c r="V96" s="484">
        <f>P96+Q96+R96+S96+T96+U96</f>
        <v>325271.83875199989</v>
      </c>
      <c r="W96" s="488">
        <v>12</v>
      </c>
      <c r="X96" s="484">
        <f>V96/W96</f>
        <v>27105.986562666658</v>
      </c>
      <c r="Y96" s="486"/>
      <c r="Z96" s="484">
        <f>X96</f>
        <v>27105.986562666658</v>
      </c>
      <c r="AA96" s="36">
        <v>34968.882414666667</v>
      </c>
      <c r="AB96" s="482">
        <f t="shared" si="87"/>
        <v>-7862.8958520000087</v>
      </c>
      <c r="AC96" s="36" t="s">
        <v>345</v>
      </c>
      <c r="AD96" s="36"/>
      <c r="AE96" s="36"/>
    </row>
    <row r="97" spans="1:31" ht="18.75">
      <c r="A97" s="473"/>
      <c r="B97" s="366" t="s">
        <v>15</v>
      </c>
      <c r="C97" s="484"/>
      <c r="D97" s="485"/>
      <c r="E97" s="484"/>
      <c r="F97" s="484"/>
      <c r="G97" s="486"/>
      <c r="H97" s="486"/>
      <c r="I97" s="484"/>
      <c r="J97" s="484"/>
      <c r="K97" s="484"/>
      <c r="L97" s="484"/>
      <c r="M97" s="484"/>
      <c r="N97" s="484"/>
      <c r="O97" s="484"/>
      <c r="P97" s="484"/>
      <c r="Q97" s="484"/>
      <c r="R97" s="484"/>
      <c r="S97" s="484"/>
      <c r="T97" s="484"/>
      <c r="U97" s="484"/>
      <c r="V97" s="484"/>
      <c r="W97" s="488"/>
      <c r="X97" s="484"/>
      <c r="Y97" s="486"/>
      <c r="Z97" s="484"/>
      <c r="AA97" s="36"/>
      <c r="AB97" s="483">
        <f>SUM(AB93:AB96)</f>
        <v>-55521.964856000021</v>
      </c>
      <c r="AC97" s="36"/>
      <c r="AD97" s="36"/>
      <c r="AE97" s="36"/>
    </row>
    <row r="98" spans="1:31" ht="18.75">
      <c r="A98" s="473">
        <v>83</v>
      </c>
      <c r="B98" s="362"/>
      <c r="C98" s="484"/>
      <c r="D98" s="396"/>
      <c r="E98" s="396"/>
      <c r="F98" s="396"/>
      <c r="G98" s="396"/>
      <c r="H98" s="396"/>
      <c r="I98" s="396"/>
      <c r="J98" s="396"/>
      <c r="K98" s="396"/>
      <c r="L98" s="396"/>
      <c r="M98" s="396"/>
      <c r="N98" s="396"/>
      <c r="O98" s="396"/>
      <c r="P98" s="396"/>
      <c r="Q98" s="396"/>
      <c r="R98" s="396"/>
      <c r="S98" s="396"/>
      <c r="T98" s="396"/>
      <c r="U98" s="396"/>
      <c r="V98" s="396"/>
      <c r="W98" s="396"/>
      <c r="X98" s="396"/>
      <c r="Y98" s="396"/>
      <c r="Z98" s="396"/>
      <c r="AC98" s="36"/>
      <c r="AD98" s="36"/>
      <c r="AE98" s="36"/>
    </row>
    <row r="99" spans="1:31" ht="37.5">
      <c r="A99" s="473">
        <v>84</v>
      </c>
      <c r="B99" s="366" t="s">
        <v>465</v>
      </c>
      <c r="C99" s="484"/>
      <c r="D99" s="396"/>
      <c r="E99" s="396"/>
      <c r="F99" s="396"/>
      <c r="G99" s="396"/>
      <c r="H99" s="396"/>
      <c r="I99" s="396"/>
      <c r="J99" s="396"/>
      <c r="K99" s="396"/>
      <c r="L99" s="396"/>
      <c r="M99" s="396"/>
      <c r="N99" s="396"/>
      <c r="O99" s="396"/>
      <c r="P99" s="396"/>
      <c r="Q99" s="396"/>
      <c r="R99" s="396"/>
      <c r="S99" s="396"/>
      <c r="T99" s="396"/>
      <c r="U99" s="396"/>
      <c r="V99" s="396"/>
      <c r="W99" s="396"/>
      <c r="X99" s="396"/>
      <c r="Y99" s="396"/>
      <c r="Z99" s="396"/>
      <c r="AB99" t="s">
        <v>531</v>
      </c>
      <c r="AC99" s="36"/>
      <c r="AD99" s="36"/>
      <c r="AE99" s="36"/>
    </row>
    <row r="100" spans="1:31" ht="18.75">
      <c r="A100" s="473">
        <v>85</v>
      </c>
      <c r="B100" s="432" t="s">
        <v>216</v>
      </c>
      <c r="C100" s="484">
        <v>1050209.0635000002</v>
      </c>
      <c r="D100" s="485">
        <v>12</v>
      </c>
      <c r="E100" s="484">
        <f>C100*D100</f>
        <v>12602508.762000002</v>
      </c>
      <c r="F100" s="484"/>
      <c r="G100" s="486"/>
      <c r="H100" s="486"/>
      <c r="I100" s="484">
        <f t="shared" ref="I100:I105" si="88">E100-F100-G100-H100</f>
        <v>12602508.762000002</v>
      </c>
      <c r="J100" s="484">
        <v>200000</v>
      </c>
      <c r="K100" s="484">
        <v>0.2</v>
      </c>
      <c r="L100" s="484">
        <f t="shared" ref="L100:L106" si="89">I100*K100</f>
        <v>2520501.7524000006</v>
      </c>
      <c r="M100" s="484">
        <f t="shared" ref="M100:M106" si="90">J100+L100</f>
        <v>2720501.7524000006</v>
      </c>
      <c r="N100" s="484">
        <f t="shared" ref="N100:N105" si="91">F100+G100+H100+M100</f>
        <v>2720501.7524000006</v>
      </c>
      <c r="O100" s="484">
        <f t="shared" ref="O100:O106" si="92">E100-N100</f>
        <v>9882007.0096000023</v>
      </c>
      <c r="P100" s="484">
        <f t="shared" ref="P100:P106" si="93">IF(O100&lt;300000,0.07*O100,21000)</f>
        <v>21000</v>
      </c>
      <c r="Q100" s="484">
        <f t="shared" ref="Q100:Q106" si="94">IF((O100-300000)&lt;0,0,IF((O100-300000)&lt;300000,0.11*(O100-300000),33000))</f>
        <v>33000</v>
      </c>
      <c r="R100" s="484">
        <f t="shared" ref="R100:R106" si="95">IF((O100-600000)&lt;0,0,IF((O100-600000)&lt;500000,0.15*(O100-600000),75000))</f>
        <v>75000</v>
      </c>
      <c r="S100" s="484">
        <f t="shared" ref="S100:S106" si="96">IF((O100-1100000)&lt;0,0,IF((O100-1100000)&lt;500000,0.19*(O100-1100000),95000))</f>
        <v>95000</v>
      </c>
      <c r="T100" s="484">
        <f t="shared" ref="T100:T106" si="97">IF((O100-1600000)&lt;0,0,IF((O100-1600000)&lt;1600000,0.21*(O100-1600000),336000))</f>
        <v>336000</v>
      </c>
      <c r="U100" s="484">
        <f>24%*(O100-3200000)</f>
        <v>1603681.6823040005</v>
      </c>
      <c r="V100" s="484">
        <f t="shared" ref="V100:V106" si="98">P100+Q100+R100+S100+T100+U100</f>
        <v>2163681.6823040005</v>
      </c>
      <c r="W100" s="488">
        <v>12</v>
      </c>
      <c r="X100" s="484">
        <f t="shared" ref="X100:X106" si="99">V100/W100</f>
        <v>180306.80685866671</v>
      </c>
      <c r="Y100" s="486"/>
      <c r="Z100" s="484">
        <f t="shared" ref="Z100:Z106" si="100">X100</f>
        <v>180306.80685866671</v>
      </c>
      <c r="AA100" s="36">
        <v>180306.80685866671</v>
      </c>
      <c r="AB100" s="482">
        <f>Z100-AA100</f>
        <v>0</v>
      </c>
      <c r="AC100" s="36" t="s">
        <v>216</v>
      </c>
      <c r="AD100" s="36"/>
      <c r="AE100" s="36"/>
    </row>
    <row r="101" spans="1:31" ht="18.75">
      <c r="A101" s="473">
        <v>86</v>
      </c>
      <c r="B101" s="432" t="s">
        <v>110</v>
      </c>
      <c r="C101" s="484">
        <v>631465.0247500001</v>
      </c>
      <c r="D101" s="485">
        <v>12</v>
      </c>
      <c r="E101" s="484">
        <f t="shared" ref="E101:E106" si="101">C101*D101</f>
        <v>7577580.2970000012</v>
      </c>
      <c r="F101" s="484">
        <f>'[4]JANUARY 2024'!$V$106*12</f>
        <v>12795.951000000001</v>
      </c>
      <c r="G101" s="486"/>
      <c r="H101" s="486"/>
      <c r="I101" s="484">
        <f t="shared" si="88"/>
        <v>7564784.3460000008</v>
      </c>
      <c r="J101" s="484">
        <v>200000</v>
      </c>
      <c r="K101" s="484">
        <v>0.2</v>
      </c>
      <c r="L101" s="484">
        <f t="shared" si="89"/>
        <v>1512956.8692000003</v>
      </c>
      <c r="M101" s="484">
        <f t="shared" si="90"/>
        <v>1712956.8692000003</v>
      </c>
      <c r="N101" s="484">
        <f t="shared" si="91"/>
        <v>1725752.8202000004</v>
      </c>
      <c r="O101" s="484">
        <f t="shared" si="92"/>
        <v>5851827.4768000003</v>
      </c>
      <c r="P101" s="484">
        <f t="shared" si="93"/>
        <v>21000</v>
      </c>
      <c r="Q101" s="484">
        <f t="shared" si="94"/>
        <v>33000</v>
      </c>
      <c r="R101" s="484">
        <f t="shared" si="95"/>
        <v>75000</v>
      </c>
      <c r="S101" s="484">
        <f t="shared" si="96"/>
        <v>95000</v>
      </c>
      <c r="T101" s="484">
        <f t="shared" si="97"/>
        <v>336000</v>
      </c>
      <c r="U101" s="484">
        <f>24%*(O101-3200000)</f>
        <v>636438.59443200007</v>
      </c>
      <c r="V101" s="484">
        <f t="shared" si="98"/>
        <v>1196438.5944320001</v>
      </c>
      <c r="W101" s="488">
        <v>12</v>
      </c>
      <c r="X101" s="484">
        <f t="shared" si="99"/>
        <v>99703.216202666677</v>
      </c>
      <c r="Y101" s="486"/>
      <c r="Z101" s="484">
        <f t="shared" si="100"/>
        <v>99703.216202666677</v>
      </c>
      <c r="AA101" s="36">
        <v>99703.216202666677</v>
      </c>
      <c r="AB101" s="482">
        <f t="shared" ref="AB101:AB106" si="102">Z101-AA101</f>
        <v>0</v>
      </c>
      <c r="AC101" s="36" t="s">
        <v>110</v>
      </c>
      <c r="AD101" s="36"/>
      <c r="AE101" s="36"/>
    </row>
    <row r="102" spans="1:31" ht="18.75">
      <c r="A102" s="473">
        <v>87</v>
      </c>
      <c r="B102" s="432" t="s">
        <v>109</v>
      </c>
      <c r="C102" s="484">
        <v>418096.01602499996</v>
      </c>
      <c r="D102" s="485">
        <v>12</v>
      </c>
      <c r="E102" s="484">
        <f t="shared" si="101"/>
        <v>5017152.1922999993</v>
      </c>
      <c r="F102" s="484">
        <f>'[4]JANUARY 2024'!$V$107*12</f>
        <v>7901.7900000000009</v>
      </c>
      <c r="G102" s="486"/>
      <c r="H102" s="486"/>
      <c r="I102" s="484">
        <f t="shared" si="88"/>
        <v>5009250.4022999993</v>
      </c>
      <c r="J102" s="484">
        <v>200000</v>
      </c>
      <c r="K102" s="484">
        <v>0.2</v>
      </c>
      <c r="L102" s="484">
        <f t="shared" si="89"/>
        <v>1001850.0804599999</v>
      </c>
      <c r="M102" s="484">
        <f t="shared" si="90"/>
        <v>1201850.0804599999</v>
      </c>
      <c r="N102" s="484">
        <f t="shared" si="91"/>
        <v>1209751.8704599999</v>
      </c>
      <c r="O102" s="484">
        <f t="shared" si="92"/>
        <v>3807400.3218399994</v>
      </c>
      <c r="P102" s="484">
        <f t="shared" si="93"/>
        <v>21000</v>
      </c>
      <c r="Q102" s="484">
        <f t="shared" si="94"/>
        <v>33000</v>
      </c>
      <c r="R102" s="484">
        <f t="shared" si="95"/>
        <v>75000</v>
      </c>
      <c r="S102" s="484">
        <f t="shared" si="96"/>
        <v>95000</v>
      </c>
      <c r="T102" s="484">
        <f t="shared" si="97"/>
        <v>336000</v>
      </c>
      <c r="U102" s="484">
        <f>24%*(O102-3200000)</f>
        <v>145776.07724159985</v>
      </c>
      <c r="V102" s="484">
        <f t="shared" si="98"/>
        <v>705776.07724159979</v>
      </c>
      <c r="W102" s="488">
        <v>12</v>
      </c>
      <c r="X102" s="484">
        <f t="shared" si="99"/>
        <v>58814.673103466652</v>
      </c>
      <c r="Y102" s="486"/>
      <c r="Z102" s="484">
        <f t="shared" si="100"/>
        <v>58814.673103466652</v>
      </c>
      <c r="AA102" s="36">
        <v>180180.378218667</v>
      </c>
      <c r="AB102" s="482">
        <f t="shared" si="102"/>
        <v>-121365.70511520034</v>
      </c>
      <c r="AC102" s="36" t="s">
        <v>109</v>
      </c>
      <c r="AD102" s="36"/>
      <c r="AE102" s="36"/>
    </row>
    <row r="103" spans="1:31" ht="18.75">
      <c r="A103" s="473">
        <v>88</v>
      </c>
      <c r="B103" s="432" t="s">
        <v>135</v>
      </c>
      <c r="C103" s="484">
        <v>416483.19415499998</v>
      </c>
      <c r="D103" s="485">
        <v>12</v>
      </c>
      <c r="E103" s="484">
        <f t="shared" si="101"/>
        <v>4997798.3298599999</v>
      </c>
      <c r="F103" s="484"/>
      <c r="G103" s="486"/>
      <c r="H103" s="486"/>
      <c r="I103" s="484">
        <f t="shared" si="88"/>
        <v>4997798.3298599999</v>
      </c>
      <c r="J103" s="484">
        <v>200000</v>
      </c>
      <c r="K103" s="484">
        <v>0.2</v>
      </c>
      <c r="L103" s="484">
        <f t="shared" si="89"/>
        <v>999559.66597199999</v>
      </c>
      <c r="M103" s="484">
        <f t="shared" si="90"/>
        <v>1199559.665972</v>
      </c>
      <c r="N103" s="484">
        <f t="shared" si="91"/>
        <v>1199559.665972</v>
      </c>
      <c r="O103" s="484">
        <f t="shared" si="92"/>
        <v>3798238.663888</v>
      </c>
      <c r="P103" s="484">
        <f t="shared" si="93"/>
        <v>21000</v>
      </c>
      <c r="Q103" s="484">
        <f t="shared" si="94"/>
        <v>33000</v>
      </c>
      <c r="R103" s="484">
        <f t="shared" si="95"/>
        <v>75000</v>
      </c>
      <c r="S103" s="484">
        <f t="shared" si="96"/>
        <v>95000</v>
      </c>
      <c r="T103" s="484">
        <f t="shared" si="97"/>
        <v>336000</v>
      </c>
      <c r="U103" s="484">
        <f>0.24*(O103-3200000)</f>
        <v>143577.27933311998</v>
      </c>
      <c r="V103" s="484">
        <f t="shared" si="98"/>
        <v>703577.27933311998</v>
      </c>
      <c r="W103" s="488">
        <v>12</v>
      </c>
      <c r="X103" s="484">
        <f t="shared" si="99"/>
        <v>58631.439944426667</v>
      </c>
      <c r="Y103" s="486"/>
      <c r="Z103" s="484">
        <f t="shared" si="100"/>
        <v>58631.439944426667</v>
      </c>
      <c r="AA103" s="36">
        <v>99907.951418666678</v>
      </c>
      <c r="AB103" s="482">
        <f t="shared" si="102"/>
        <v>-41276.511474240011</v>
      </c>
      <c r="AC103" s="36" t="s">
        <v>135</v>
      </c>
      <c r="AD103" s="36"/>
      <c r="AE103" s="36"/>
    </row>
    <row r="104" spans="1:31" ht="18.75">
      <c r="A104" s="473">
        <v>89</v>
      </c>
      <c r="B104" s="432" t="s">
        <v>240</v>
      </c>
      <c r="C104" s="484">
        <v>266099.21747999999</v>
      </c>
      <c r="D104" s="485">
        <v>12</v>
      </c>
      <c r="E104" s="484">
        <f t="shared" si="101"/>
        <v>3193190.6097599999</v>
      </c>
      <c r="F104" s="484"/>
      <c r="G104" s="486"/>
      <c r="H104" s="486"/>
      <c r="I104" s="484">
        <f t="shared" si="88"/>
        <v>3193190.6097599999</v>
      </c>
      <c r="J104" s="484">
        <v>200000</v>
      </c>
      <c r="K104" s="484">
        <v>0.2</v>
      </c>
      <c r="L104" s="484">
        <f t="shared" si="89"/>
        <v>638638.12195200007</v>
      </c>
      <c r="M104" s="484">
        <f t="shared" si="90"/>
        <v>838638.12195200007</v>
      </c>
      <c r="N104" s="484">
        <f t="shared" si="91"/>
        <v>838638.12195200007</v>
      </c>
      <c r="O104" s="484">
        <f t="shared" si="92"/>
        <v>2354552.4878079998</v>
      </c>
      <c r="P104" s="484">
        <f t="shared" si="93"/>
        <v>21000</v>
      </c>
      <c r="Q104" s="484">
        <f t="shared" si="94"/>
        <v>33000</v>
      </c>
      <c r="R104" s="484">
        <f t="shared" si="95"/>
        <v>75000</v>
      </c>
      <c r="S104" s="484">
        <f t="shared" si="96"/>
        <v>95000</v>
      </c>
      <c r="T104" s="484">
        <f t="shared" si="97"/>
        <v>158456.02243967995</v>
      </c>
      <c r="U104" s="484"/>
      <c r="V104" s="484">
        <f t="shared" si="98"/>
        <v>382456.02243967995</v>
      </c>
      <c r="W104" s="488">
        <v>12</v>
      </c>
      <c r="X104" s="484">
        <f t="shared" si="99"/>
        <v>31871.335203306662</v>
      </c>
      <c r="Y104" s="486"/>
      <c r="Z104" s="484">
        <f t="shared" si="100"/>
        <v>31871.335203306662</v>
      </c>
      <c r="AA104" s="36">
        <v>58941.101743466657</v>
      </c>
      <c r="AB104" s="482">
        <f t="shared" si="102"/>
        <v>-27069.766540159995</v>
      </c>
      <c r="AC104" s="36" t="s">
        <v>240</v>
      </c>
      <c r="AD104" s="36"/>
      <c r="AE104" s="36"/>
    </row>
    <row r="105" spans="1:31" ht="37.5">
      <c r="A105" s="473"/>
      <c r="B105" s="364" t="s">
        <v>341</v>
      </c>
      <c r="C105" s="484">
        <v>262229.04099999997</v>
      </c>
      <c r="D105" s="485">
        <v>12</v>
      </c>
      <c r="E105" s="484">
        <f t="shared" si="101"/>
        <v>3146748.4919999996</v>
      </c>
      <c r="F105" s="484"/>
      <c r="G105" s="486"/>
      <c r="H105" s="486"/>
      <c r="I105" s="484">
        <f t="shared" si="88"/>
        <v>3146748.4919999996</v>
      </c>
      <c r="J105" s="484">
        <v>200000</v>
      </c>
      <c r="K105" s="484">
        <v>0.2</v>
      </c>
      <c r="L105" s="484">
        <f t="shared" si="89"/>
        <v>629349.69839999999</v>
      </c>
      <c r="M105" s="484">
        <f t="shared" si="90"/>
        <v>829349.69839999999</v>
      </c>
      <c r="N105" s="484">
        <f t="shared" si="91"/>
        <v>829349.69839999999</v>
      </c>
      <c r="O105" s="484">
        <f t="shared" si="92"/>
        <v>2317398.7935999995</v>
      </c>
      <c r="P105" s="484">
        <f t="shared" si="93"/>
        <v>21000</v>
      </c>
      <c r="Q105" s="484">
        <f t="shared" si="94"/>
        <v>33000</v>
      </c>
      <c r="R105" s="484">
        <f t="shared" si="95"/>
        <v>75000</v>
      </c>
      <c r="S105" s="484">
        <f t="shared" si="96"/>
        <v>95000</v>
      </c>
      <c r="T105" s="484">
        <f t="shared" si="97"/>
        <v>150653.74665599989</v>
      </c>
      <c r="U105" s="484"/>
      <c r="V105" s="484">
        <f t="shared" si="98"/>
        <v>374653.74665599992</v>
      </c>
      <c r="W105" s="488">
        <v>12</v>
      </c>
      <c r="X105" s="484">
        <f t="shared" si="99"/>
        <v>31221.145554666658</v>
      </c>
      <c r="Y105" s="486"/>
      <c r="Z105" s="484">
        <f t="shared" si="100"/>
        <v>31221.145554666658</v>
      </c>
      <c r="AA105" s="36">
        <v>58631.439944426667</v>
      </c>
      <c r="AB105" s="482">
        <f t="shared" si="102"/>
        <v>-27410.294389760009</v>
      </c>
      <c r="AC105" s="36" t="s">
        <v>341</v>
      </c>
      <c r="AD105" s="36"/>
      <c r="AE105" s="36"/>
    </row>
    <row r="106" spans="1:31" ht="18.75">
      <c r="A106" s="473"/>
      <c r="B106" s="364" t="s">
        <v>374</v>
      </c>
      <c r="C106" s="484">
        <v>254870.26344499999</v>
      </c>
      <c r="D106" s="485">
        <v>12</v>
      </c>
      <c r="E106" s="484">
        <f t="shared" si="101"/>
        <v>3058443.1613400001</v>
      </c>
      <c r="F106" s="396"/>
      <c r="G106" s="486"/>
      <c r="H106" s="486"/>
      <c r="I106" s="484">
        <f>E106-F107-G106-H106</f>
        <v>3058443.1613400001</v>
      </c>
      <c r="J106" s="484">
        <v>200000</v>
      </c>
      <c r="K106" s="484">
        <v>0.2</v>
      </c>
      <c r="L106" s="484">
        <f t="shared" si="89"/>
        <v>611688.63226800004</v>
      </c>
      <c r="M106" s="484">
        <f t="shared" si="90"/>
        <v>811688.63226800004</v>
      </c>
      <c r="N106" s="484">
        <f>F107+G106+H106+M106</f>
        <v>811688.63226800004</v>
      </c>
      <c r="O106" s="484">
        <f t="shared" si="92"/>
        <v>2246754.5290720002</v>
      </c>
      <c r="P106" s="484">
        <f t="shared" si="93"/>
        <v>21000</v>
      </c>
      <c r="Q106" s="484">
        <f t="shared" si="94"/>
        <v>33000</v>
      </c>
      <c r="R106" s="484">
        <f t="shared" si="95"/>
        <v>75000</v>
      </c>
      <c r="S106" s="484">
        <f t="shared" si="96"/>
        <v>95000</v>
      </c>
      <c r="T106" s="484">
        <f t="shared" si="97"/>
        <v>135818.45110512004</v>
      </c>
      <c r="U106" s="484"/>
      <c r="V106" s="484">
        <f t="shared" si="98"/>
        <v>359818.45110512001</v>
      </c>
      <c r="W106" s="488">
        <v>12</v>
      </c>
      <c r="X106" s="484">
        <f t="shared" si="99"/>
        <v>29984.870925426669</v>
      </c>
      <c r="Y106" s="486"/>
      <c r="Z106" s="484">
        <f t="shared" si="100"/>
        <v>29984.870925426669</v>
      </c>
      <c r="AA106" s="36">
        <v>31871.335203306662</v>
      </c>
      <c r="AB106" s="482">
        <f t="shared" si="102"/>
        <v>-1886.4642778799935</v>
      </c>
      <c r="AC106" s="36" t="s">
        <v>374</v>
      </c>
      <c r="AD106" s="36"/>
      <c r="AE106" s="36"/>
    </row>
    <row r="107" spans="1:31" ht="18.75">
      <c r="A107" s="473"/>
      <c r="B107" s="366" t="s">
        <v>15</v>
      </c>
      <c r="C107" s="484"/>
      <c r="D107" s="485"/>
      <c r="E107" s="484"/>
      <c r="F107" s="484"/>
      <c r="G107" s="486"/>
      <c r="H107" s="486"/>
      <c r="I107" s="484"/>
      <c r="J107" s="484"/>
      <c r="K107" s="484"/>
      <c r="L107" s="484"/>
      <c r="M107" s="484"/>
      <c r="N107" s="484"/>
      <c r="O107" s="484"/>
      <c r="P107" s="484"/>
      <c r="Q107" s="484"/>
      <c r="R107" s="484"/>
      <c r="S107" s="484"/>
      <c r="T107" s="484"/>
      <c r="U107" s="484"/>
      <c r="V107" s="484"/>
      <c r="W107" s="488"/>
      <c r="X107" s="484"/>
      <c r="Y107" s="486"/>
      <c r="Z107" s="484"/>
      <c r="AA107" s="36"/>
      <c r="AB107" s="483">
        <f>SUM(AB100:AB106)</f>
        <v>-219008.74179724036</v>
      </c>
      <c r="AC107" s="36"/>
      <c r="AD107" s="36"/>
      <c r="AE107" s="36"/>
    </row>
    <row r="108" spans="1:31" ht="18.75">
      <c r="A108" s="473">
        <v>90</v>
      </c>
      <c r="B108" s="366"/>
      <c r="C108" s="484"/>
      <c r="D108" s="396"/>
      <c r="E108" s="396"/>
      <c r="F108" s="396"/>
      <c r="G108" s="396"/>
      <c r="H108" s="396"/>
      <c r="I108" s="396"/>
      <c r="J108" s="396"/>
      <c r="K108" s="396"/>
      <c r="L108" s="396"/>
      <c r="M108" s="396"/>
      <c r="N108" s="396"/>
      <c r="O108" s="396"/>
      <c r="P108" s="396"/>
      <c r="Q108" s="396"/>
      <c r="R108" s="396"/>
      <c r="S108" s="396"/>
      <c r="T108" s="396"/>
      <c r="U108" s="484"/>
      <c r="V108" s="396"/>
      <c r="W108" s="396"/>
      <c r="X108" s="396"/>
      <c r="Y108" s="396"/>
      <c r="Z108" s="396"/>
      <c r="AC108" s="36"/>
      <c r="AD108" s="36"/>
      <c r="AE108" s="36"/>
    </row>
    <row r="109" spans="1:31" ht="37.5">
      <c r="A109" s="473">
        <v>91</v>
      </c>
      <c r="B109" s="366" t="s">
        <v>542</v>
      </c>
      <c r="C109" s="484"/>
      <c r="D109" s="396"/>
      <c r="E109" s="396"/>
      <c r="F109" s="396"/>
      <c r="G109" s="396"/>
      <c r="H109" s="396"/>
      <c r="I109" s="396"/>
      <c r="J109" s="396"/>
      <c r="K109" s="396"/>
      <c r="L109" s="396"/>
      <c r="M109" s="396"/>
      <c r="N109" s="396"/>
      <c r="O109" s="396"/>
      <c r="P109" s="396"/>
      <c r="Q109" s="396"/>
      <c r="R109" s="396"/>
      <c r="S109" s="396"/>
      <c r="T109" s="396"/>
      <c r="U109" s="484"/>
      <c r="V109" s="396"/>
      <c r="W109" s="396"/>
      <c r="X109" s="396"/>
      <c r="Y109" s="396"/>
      <c r="Z109" s="396"/>
      <c r="AC109" s="36"/>
      <c r="AD109" s="36"/>
      <c r="AE109" s="36"/>
    </row>
    <row r="110" spans="1:31" ht="37.5">
      <c r="A110" s="473">
        <v>92</v>
      </c>
      <c r="B110" s="365" t="s">
        <v>138</v>
      </c>
      <c r="C110" s="484">
        <v>516137.05000000005</v>
      </c>
      <c r="D110" s="485">
        <v>12</v>
      </c>
      <c r="E110" s="484">
        <f>C110*D110</f>
        <v>6193644.6000000006</v>
      </c>
      <c r="F110" s="484">
        <f>'[4]JANUARY 2024'!$V$115*12</f>
        <v>9678.9600000000009</v>
      </c>
      <c r="G110" s="486"/>
      <c r="H110" s="486"/>
      <c r="I110" s="484">
        <f>E110-F110-G110-H110</f>
        <v>6183965.6400000006</v>
      </c>
      <c r="J110" s="484">
        <v>200000</v>
      </c>
      <c r="K110" s="484">
        <v>0.2</v>
      </c>
      <c r="L110" s="484">
        <f>I110*K110</f>
        <v>1236793.1280000003</v>
      </c>
      <c r="M110" s="484">
        <f>J110+L110</f>
        <v>1436793.1280000003</v>
      </c>
      <c r="N110" s="484">
        <f>F110+G110+H110+M110</f>
        <v>1446472.0880000002</v>
      </c>
      <c r="O110" s="484">
        <f>E110-N110</f>
        <v>4747172.5120000001</v>
      </c>
      <c r="P110" s="484">
        <f>IF(O110&lt;300000,0.07*O110,21000)</f>
        <v>21000</v>
      </c>
      <c r="Q110" s="484">
        <f>IF((O110-300000)&lt;0,0,IF((O110-300000)&lt;300000,0.11*(O110-300000),33000))</f>
        <v>33000</v>
      </c>
      <c r="R110" s="484">
        <f>IF((O110-600000)&lt;0,0,IF((O110-600000)&lt;500000,0.15*(O110-600000),75000))</f>
        <v>75000</v>
      </c>
      <c r="S110" s="484">
        <f>IF((O110-1100000)&lt;0,0,IF((O110-1100000)&lt;500000,0.19*(O110-1100000),95000))</f>
        <v>95000</v>
      </c>
      <c r="T110" s="484">
        <f>IF((O110-1600000)&lt;0,0,IF((O110-1600000)&lt;1600000,0.21*(O110-1600000),336000))</f>
        <v>336000</v>
      </c>
      <c r="U110" s="484">
        <f t="shared" ref="U110:U131" si="103">0.24*(O110-3200000)</f>
        <v>371321.40288000001</v>
      </c>
      <c r="V110" s="484">
        <f>P110+Q110+R110+S110+T110+U110</f>
        <v>931321.40287999995</v>
      </c>
      <c r="W110" s="488">
        <v>12</v>
      </c>
      <c r="X110" s="484">
        <f>V110/W110</f>
        <v>77610.116906666663</v>
      </c>
      <c r="Y110" s="486"/>
      <c r="Z110" s="484">
        <f>X110</f>
        <v>77610.116906666663</v>
      </c>
      <c r="AA110" s="36">
        <v>77610.116906666663</v>
      </c>
      <c r="AB110" s="36">
        <f>Z110-AA110</f>
        <v>0</v>
      </c>
      <c r="AC110" s="36"/>
      <c r="AD110" s="36"/>
      <c r="AE110" s="36"/>
    </row>
    <row r="111" spans="1:31" ht="18.75">
      <c r="A111" s="473">
        <v>93</v>
      </c>
      <c r="B111" s="432" t="s">
        <v>247</v>
      </c>
      <c r="C111" s="484">
        <v>334536.99850000005</v>
      </c>
      <c r="D111" s="485">
        <v>12</v>
      </c>
      <c r="E111" s="484">
        <f t="shared" ref="E111:E112" si="104">C111*D111</f>
        <v>4014443.9820000008</v>
      </c>
      <c r="F111" s="484"/>
      <c r="G111" s="486"/>
      <c r="H111" s="486"/>
      <c r="I111" s="484">
        <f>E111-F111-G111-H111</f>
        <v>4014443.9820000008</v>
      </c>
      <c r="J111" s="484">
        <v>200000</v>
      </c>
      <c r="K111" s="484">
        <v>0.2</v>
      </c>
      <c r="L111" s="484">
        <f>I111*K111</f>
        <v>802888.79640000022</v>
      </c>
      <c r="M111" s="484">
        <f>J111+L111</f>
        <v>1002888.7964000002</v>
      </c>
      <c r="N111" s="484">
        <f>F111+G111+H111+M111</f>
        <v>1002888.7964000002</v>
      </c>
      <c r="O111" s="484">
        <f>E111-N111</f>
        <v>3011555.1856000004</v>
      </c>
      <c r="P111" s="484">
        <f>IF(O111&lt;300000,0.07*O111,21000)</f>
        <v>21000</v>
      </c>
      <c r="Q111" s="484">
        <f>IF((O111-300000)&lt;0,0,IF((O111-300000)&lt;300000,0.11*(O111-300000),33000))</f>
        <v>33000</v>
      </c>
      <c r="R111" s="484">
        <f>IF((O111-600000)&lt;0,0,IF((O111-600000)&lt;500000,0.15*(O111-600000),75000))</f>
        <v>75000</v>
      </c>
      <c r="S111" s="484">
        <f>IF((O111-1100000)&lt;0,0,IF((O111-1100000)&lt;500000,0.19*(O111-1100000),95000))</f>
        <v>95000</v>
      </c>
      <c r="T111" s="484">
        <f>IF((O111-1600000)&lt;0,0,IF((O111-1600000)&lt;1600000,0.21*(O111-1600000),336000))</f>
        <v>296426.58897600009</v>
      </c>
      <c r="U111" s="484"/>
      <c r="V111" s="484">
        <f>P111+Q111+R111+S111+T111+U111</f>
        <v>520426.58897600009</v>
      </c>
      <c r="W111" s="488">
        <v>12</v>
      </c>
      <c r="X111" s="484">
        <f>V111/W111</f>
        <v>43368.882414666674</v>
      </c>
      <c r="Y111" s="486"/>
      <c r="Z111" s="484">
        <f>X111</f>
        <v>43368.882414666674</v>
      </c>
      <c r="AA111" s="36">
        <v>43368.882414666674</v>
      </c>
      <c r="AB111" s="36">
        <f t="shared" ref="AB111:AB112" si="105">Z111-AA111</f>
        <v>0</v>
      </c>
      <c r="AC111" s="36"/>
      <c r="AD111" s="36"/>
      <c r="AE111" s="36"/>
    </row>
    <row r="112" spans="1:31" ht="37.5">
      <c r="A112" s="473">
        <v>94</v>
      </c>
      <c r="B112" s="432" t="s">
        <v>141</v>
      </c>
      <c r="C112" s="487">
        <v>286619.99874999991</v>
      </c>
      <c r="D112" s="485">
        <v>12</v>
      </c>
      <c r="E112" s="484">
        <f t="shared" si="104"/>
        <v>3439439.9849999989</v>
      </c>
      <c r="F112" s="484">
        <f>'[4]JANUARY 2024'!$V$117*12</f>
        <v>6919.4549999999999</v>
      </c>
      <c r="G112" s="486"/>
      <c r="H112" s="486"/>
      <c r="I112" s="484">
        <f>E112-F112-G112-H112</f>
        <v>3432520.5299999989</v>
      </c>
      <c r="J112" s="484">
        <v>200000</v>
      </c>
      <c r="K112" s="484">
        <v>0.2</v>
      </c>
      <c r="L112" s="484">
        <f>I112*K112</f>
        <v>686504.1059999998</v>
      </c>
      <c r="M112" s="484">
        <f>J112+L112</f>
        <v>886504.1059999998</v>
      </c>
      <c r="N112" s="484">
        <f>F112+G112+H112+M112</f>
        <v>893423.56099999975</v>
      </c>
      <c r="O112" s="484">
        <f>E112-N112</f>
        <v>2546016.4239999992</v>
      </c>
      <c r="P112" s="484">
        <f>IF(O112&lt;300000,0.07*O112,21000)</f>
        <v>21000</v>
      </c>
      <c r="Q112" s="484">
        <f>IF((O112-300000)&lt;0,0,IF((O112-300000)&lt;300000,0.11*(O112-300000),33000))</f>
        <v>33000</v>
      </c>
      <c r="R112" s="484">
        <f>IF((O112-600000)&lt;0,0,IF((O112-600000)&lt;500000,0.15*(O112-600000),75000))</f>
        <v>75000</v>
      </c>
      <c r="S112" s="484">
        <f>IF((O112-1100000)&lt;0,0,IF((O112-1100000)&lt;500000,0.19*(O112-1100000),95000))</f>
        <v>95000</v>
      </c>
      <c r="T112" s="484">
        <f>IF((O112-1600000)&lt;0,0,IF((O112-1600000)&lt;1600000,0.21*(O112-1600000),336000))</f>
        <v>198663.44903999983</v>
      </c>
      <c r="U112" s="484"/>
      <c r="V112" s="484">
        <f>P112+Q112+R112+S112+T112+U112</f>
        <v>422663.44903999986</v>
      </c>
      <c r="W112" s="488">
        <v>12</v>
      </c>
      <c r="X112" s="484">
        <f>V112/W112</f>
        <v>35221.954086666658</v>
      </c>
      <c r="Y112" s="486"/>
      <c r="Z112" s="484">
        <f>X112</f>
        <v>35221.954086666658</v>
      </c>
      <c r="AA112" s="36">
        <v>35221.954086666658</v>
      </c>
      <c r="AB112" s="36">
        <f t="shared" si="105"/>
        <v>0</v>
      </c>
      <c r="AC112" s="36"/>
      <c r="AD112" s="36"/>
      <c r="AE112" s="36"/>
    </row>
    <row r="113" spans="1:31" s="481" customFormat="1" ht="18.75">
      <c r="A113" s="478">
        <v>95</v>
      </c>
      <c r="B113" s="366"/>
      <c r="C113" s="484"/>
      <c r="D113" s="485"/>
      <c r="E113" s="484"/>
      <c r="F113" s="484"/>
      <c r="G113" s="486"/>
      <c r="H113" s="486"/>
      <c r="I113" s="484"/>
      <c r="J113" s="484"/>
      <c r="K113" s="484"/>
      <c r="L113" s="484"/>
      <c r="M113" s="484"/>
      <c r="N113" s="484"/>
      <c r="O113" s="484"/>
      <c r="P113" s="484"/>
      <c r="Q113" s="484"/>
      <c r="R113" s="484"/>
      <c r="S113" s="484"/>
      <c r="T113" s="484"/>
      <c r="U113" s="484"/>
      <c r="V113" s="484"/>
      <c r="W113" s="488"/>
      <c r="X113" s="484"/>
      <c r="Y113" s="486"/>
      <c r="Z113" s="484"/>
      <c r="AA113" s="489"/>
      <c r="AB113" s="36"/>
      <c r="AC113" s="480"/>
      <c r="AD113" s="480"/>
      <c r="AE113" s="480"/>
    </row>
    <row r="114" spans="1:31" s="481" customFormat="1" ht="18.75">
      <c r="A114" s="478">
        <v>96</v>
      </c>
      <c r="B114" s="362"/>
      <c r="C114" s="484"/>
      <c r="D114" s="396"/>
      <c r="E114" s="396"/>
      <c r="F114" s="396"/>
      <c r="G114" s="396"/>
      <c r="H114" s="396"/>
      <c r="I114" s="396"/>
      <c r="J114" s="396"/>
      <c r="K114" s="396"/>
      <c r="L114" s="396"/>
      <c r="M114" s="396"/>
      <c r="N114" s="396"/>
      <c r="O114" s="396"/>
      <c r="P114" s="396"/>
      <c r="Q114" s="396"/>
      <c r="R114" s="396"/>
      <c r="S114" s="396"/>
      <c r="T114" s="396"/>
      <c r="U114" s="484"/>
      <c r="V114" s="396"/>
      <c r="W114" s="396"/>
      <c r="X114" s="396"/>
      <c r="Y114" s="396"/>
      <c r="Z114" s="396"/>
      <c r="AA114" s="396"/>
      <c r="AC114" s="480"/>
      <c r="AD114" s="480"/>
      <c r="AE114" s="480"/>
    </row>
    <row r="115" spans="1:31" ht="18.75">
      <c r="A115" s="473">
        <v>97</v>
      </c>
      <c r="B115" s="366" t="s">
        <v>466</v>
      </c>
      <c r="C115" s="484"/>
      <c r="D115" s="396"/>
      <c r="E115" s="396"/>
      <c r="F115" s="396"/>
      <c r="G115" s="396"/>
      <c r="H115" s="396"/>
      <c r="I115" s="396"/>
      <c r="J115" s="396"/>
      <c r="K115" s="396"/>
      <c r="L115" s="396"/>
      <c r="M115" s="396"/>
      <c r="N115" s="396"/>
      <c r="O115" s="396"/>
      <c r="P115" s="396"/>
      <c r="Q115" s="396"/>
      <c r="R115" s="396"/>
      <c r="S115" s="396"/>
      <c r="T115" s="396"/>
      <c r="U115" s="484"/>
      <c r="V115" s="396"/>
      <c r="W115" s="396"/>
      <c r="X115" s="396"/>
      <c r="Y115" s="396"/>
      <c r="Z115" s="396"/>
      <c r="AA115" s="396"/>
      <c r="AC115" s="36"/>
      <c r="AD115" s="36"/>
      <c r="AE115" s="36"/>
    </row>
    <row r="116" spans="1:31" ht="18.75">
      <c r="A116" s="473">
        <v>98</v>
      </c>
      <c r="B116" s="432" t="s">
        <v>20</v>
      </c>
      <c r="C116" s="484">
        <v>1050209.0635000002</v>
      </c>
      <c r="D116" s="485">
        <v>12</v>
      </c>
      <c r="E116" s="484">
        <f>C116*D116</f>
        <v>12602508.762000002</v>
      </c>
      <c r="F116" s="484">
        <f>2043.5005*12</f>
        <v>24522.006000000001</v>
      </c>
      <c r="G116" s="486"/>
      <c r="H116" s="486"/>
      <c r="I116" s="484">
        <f>E116-F116-G116-H116</f>
        <v>12577986.756000003</v>
      </c>
      <c r="J116" s="484">
        <v>200000</v>
      </c>
      <c r="K116" s="484">
        <v>0.2</v>
      </c>
      <c r="L116" s="484">
        <f>I116*K116</f>
        <v>2515597.3512000008</v>
      </c>
      <c r="M116" s="484">
        <f>J116+L116</f>
        <v>2715597.3512000008</v>
      </c>
      <c r="N116" s="484">
        <f>F116+G116+H116+M116</f>
        <v>2740119.3572000009</v>
      </c>
      <c r="O116" s="484">
        <f>E116-N116</f>
        <v>9862389.4048000015</v>
      </c>
      <c r="P116" s="484">
        <f>IF(O116&lt;300000,0.07*O116,21000)</f>
        <v>21000</v>
      </c>
      <c r="Q116" s="484">
        <f>IF((O116-300000)&lt;0,0,IF((O116-300000)&lt;300000,0.11*(O116-300000),33000))</f>
        <v>33000</v>
      </c>
      <c r="R116" s="484">
        <f>IF((O116-600000)&lt;0,0,IF((O116-600000)&lt;500000,0.15*(O116-600000),75000))</f>
        <v>75000</v>
      </c>
      <c r="S116" s="484">
        <f>IF((O116-1100000)&lt;0,0,IF((O116-1100000)&lt;500000,0.19*(O116-1100000),95000))</f>
        <v>95000</v>
      </c>
      <c r="T116" s="484">
        <f>IF((O116-1600000)&lt;0,0,IF((O116-1600000)&lt;1600000,0.21*(O116-1600000),336000))</f>
        <v>336000</v>
      </c>
      <c r="U116" s="484">
        <f t="shared" si="103"/>
        <v>1598973.4571520004</v>
      </c>
      <c r="V116" s="484">
        <f>P116+Q116+R116+S116+T116+U116</f>
        <v>2158973.4571520006</v>
      </c>
      <c r="W116" s="488">
        <v>12</v>
      </c>
      <c r="X116" s="484">
        <f>V116/W116</f>
        <v>179914.45476266672</v>
      </c>
      <c r="Y116" s="486"/>
      <c r="Z116" s="484">
        <f>X116</f>
        <v>179914.45476266672</v>
      </c>
      <c r="AA116" s="489">
        <v>179914.45476266672</v>
      </c>
      <c r="AB116" s="480">
        <f>Z116-AA116</f>
        <v>0</v>
      </c>
      <c r="AC116" s="36"/>
      <c r="AD116" s="36"/>
      <c r="AE116" s="36"/>
    </row>
    <row r="117" spans="1:31" ht="18.75">
      <c r="A117" s="473">
        <v>99</v>
      </c>
      <c r="B117" s="432" t="s">
        <v>153</v>
      </c>
      <c r="C117" s="484">
        <v>627743.99575</v>
      </c>
      <c r="D117" s="485">
        <v>12</v>
      </c>
      <c r="E117" s="484">
        <f t="shared" ref="E117:E125" si="106">C117*D117</f>
        <v>7532927.949</v>
      </c>
      <c r="F117" s="484">
        <f>1028.94225*12</f>
        <v>12347.307000000001</v>
      </c>
      <c r="G117" s="486"/>
      <c r="H117" s="486"/>
      <c r="I117" s="484">
        <f>E117-F117-G117-H117</f>
        <v>7520580.642</v>
      </c>
      <c r="J117" s="484">
        <v>200000</v>
      </c>
      <c r="K117" s="484">
        <v>0.2</v>
      </c>
      <c r="L117" s="484">
        <f>I117*K117</f>
        <v>1504116.1284</v>
      </c>
      <c r="M117" s="484">
        <f>J117+L117</f>
        <v>1704116.1284</v>
      </c>
      <c r="N117" s="484">
        <f>F117+G117+H117+M117</f>
        <v>1716463.4354000001</v>
      </c>
      <c r="O117" s="484">
        <f>E117-N117</f>
        <v>5816464.5136000002</v>
      </c>
      <c r="P117" s="484">
        <f>IF(O117&lt;300000,0.07*O117,21000)</f>
        <v>21000</v>
      </c>
      <c r="Q117" s="484">
        <f>IF((O117-300000)&lt;0,0,IF((O117-300000)&lt;300000,0.11*(O117-300000),33000))</f>
        <v>33000</v>
      </c>
      <c r="R117" s="484">
        <f>IF((O117-600000)&lt;0,0,IF((O117-600000)&lt;500000,0.15*(O117-600000),75000))</f>
        <v>75000</v>
      </c>
      <c r="S117" s="484">
        <f>IF((O117-1100000)&lt;0,0,IF((O117-1100000)&lt;500000,0.19*(O117-1100000),95000))</f>
        <v>95000</v>
      </c>
      <c r="T117" s="484">
        <f>IF((O117-1600000)&lt;0,0,IF((O117-1600000)&lt;1600000,0.21*(O117-1600000),336000))</f>
        <v>336000</v>
      </c>
      <c r="U117" s="484">
        <f t="shared" si="103"/>
        <v>627951.48326400004</v>
      </c>
      <c r="V117" s="484">
        <f>P117+Q117+R117+S117+T117+U117</f>
        <v>1187951.4832640002</v>
      </c>
      <c r="W117" s="488">
        <v>12</v>
      </c>
      <c r="X117" s="484">
        <f>V117/W117</f>
        <v>98995.956938666684</v>
      </c>
      <c r="Y117" s="486"/>
      <c r="Z117" s="484">
        <f>X117</f>
        <v>98995.956938666684</v>
      </c>
      <c r="AA117" s="489">
        <v>98995.956938666684</v>
      </c>
      <c r="AB117" s="480">
        <f t="shared" ref="AB117:AB125" si="107">Z117-AA117</f>
        <v>0</v>
      </c>
      <c r="AC117" s="36"/>
      <c r="AD117" s="36"/>
      <c r="AE117" s="36"/>
    </row>
    <row r="118" spans="1:31" ht="18.75">
      <c r="A118" s="473"/>
      <c r="B118" s="365" t="s">
        <v>142</v>
      </c>
      <c r="C118" s="484">
        <v>577553.50249999994</v>
      </c>
      <c r="D118" s="485">
        <v>12</v>
      </c>
      <c r="E118" s="484">
        <f t="shared" si="106"/>
        <v>6930642.0299999993</v>
      </c>
      <c r="F118" s="484">
        <f>837.6875*12</f>
        <v>10052.25</v>
      </c>
      <c r="G118" s="486"/>
      <c r="H118" s="486"/>
      <c r="I118" s="484">
        <f>E118-F118-G118-H118</f>
        <v>6920589.7799999993</v>
      </c>
      <c r="J118" s="484">
        <v>200000</v>
      </c>
      <c r="K118" s="484">
        <v>0.2</v>
      </c>
      <c r="L118" s="484">
        <f>I118*K118</f>
        <v>1384117.956</v>
      </c>
      <c r="M118" s="484">
        <f>J118+L118</f>
        <v>1584117.956</v>
      </c>
      <c r="N118" s="484">
        <f>F118+G118+H118+M118</f>
        <v>1594170.206</v>
      </c>
      <c r="O118" s="484">
        <f>E118-N118</f>
        <v>5336471.8239999991</v>
      </c>
      <c r="P118" s="484">
        <f>IF(O118&lt;300000,0.07*O118,21000)</f>
        <v>21000</v>
      </c>
      <c r="Q118" s="484">
        <f>IF((O118-300000)&lt;0,0,IF((O118-300000)&lt;300000,0.11*(O118-300000),33000))</f>
        <v>33000</v>
      </c>
      <c r="R118" s="484">
        <f>IF((O118-600000)&lt;0,0,IF((O118-600000)&lt;500000,0.15*(O118-600000),75000))</f>
        <v>75000</v>
      </c>
      <c r="S118" s="484">
        <f>IF((O118-1100000)&lt;0,0,IF((O118-1100000)&lt;500000,0.19*(O118-1100000),95000))</f>
        <v>95000</v>
      </c>
      <c r="T118" s="484">
        <f>IF((O118-1600000)&lt;0,0,IF((O118-1600000)&lt;1600000,0.21*(O118-1600000),336000))</f>
        <v>336000</v>
      </c>
      <c r="U118" s="484">
        <f t="shared" si="103"/>
        <v>512753.23775999976</v>
      </c>
      <c r="V118" s="484">
        <f>P118+Q118+R118+S118+T118+U118</f>
        <v>1072753.2377599997</v>
      </c>
      <c r="W118" s="488">
        <v>12</v>
      </c>
      <c r="X118" s="484">
        <f>V118/W118</f>
        <v>89396.103146666646</v>
      </c>
      <c r="Y118" s="486"/>
      <c r="Z118" s="484">
        <f>X118</f>
        <v>89396.103146666646</v>
      </c>
      <c r="AA118" s="489">
        <v>89396.103146666646</v>
      </c>
      <c r="AB118" s="480">
        <f t="shared" si="107"/>
        <v>0</v>
      </c>
      <c r="AC118" s="36"/>
      <c r="AD118" s="36"/>
      <c r="AE118" s="36"/>
    </row>
    <row r="119" spans="1:31" ht="18.75">
      <c r="A119" s="473"/>
      <c r="B119" s="365" t="s">
        <v>363</v>
      </c>
      <c r="C119" s="484">
        <v>424729.22200000007</v>
      </c>
      <c r="D119" s="485">
        <v>12</v>
      </c>
      <c r="E119" s="484">
        <f t="shared" si="106"/>
        <v>5096750.6640000008</v>
      </c>
      <c r="F119" s="484"/>
      <c r="G119" s="486"/>
      <c r="H119" s="486"/>
      <c r="I119" s="484">
        <f>E119-F119-G119-H119</f>
        <v>5096750.6640000008</v>
      </c>
      <c r="J119" s="484">
        <v>200000</v>
      </c>
      <c r="K119" s="484">
        <v>0.2</v>
      </c>
      <c r="L119" s="484">
        <f>I119*K119</f>
        <v>1019350.1328000003</v>
      </c>
      <c r="M119" s="484">
        <f>J119+L119</f>
        <v>1219350.1328000003</v>
      </c>
      <c r="N119" s="484">
        <f>F119+G119+H119+M119</f>
        <v>1219350.1328000003</v>
      </c>
      <c r="O119" s="484">
        <f>E119-N119</f>
        <v>3877400.5312000006</v>
      </c>
      <c r="P119" s="484">
        <f>IF(O119&lt;300000,0.07*O119,21000)</f>
        <v>21000</v>
      </c>
      <c r="Q119" s="484">
        <f>IF((O119-300000)&lt;0,0,IF((O119-300000)&lt;300000,0.11*(O119-300000),33000))</f>
        <v>33000</v>
      </c>
      <c r="R119" s="484">
        <f>IF((O119-600000)&lt;0,0,IF((O119-600000)&lt;500000,0.15*(O119-600000),75000))</f>
        <v>75000</v>
      </c>
      <c r="S119" s="484">
        <f>IF((O119-1100000)&lt;0,0,IF((O119-1100000)&lt;500000,0.19*(O119-1100000),95000))</f>
        <v>95000</v>
      </c>
      <c r="T119" s="484">
        <f>IF((O119-1600000)&lt;0,0,IF((O119-1600000)&lt;1600000,0.21*(O119-1600000),336000))</f>
        <v>336000</v>
      </c>
      <c r="U119" s="484">
        <f t="shared" si="103"/>
        <v>162576.12748800011</v>
      </c>
      <c r="V119" s="484">
        <f>P119+Q119+R119+S119+T119+U119</f>
        <v>722576.12748800009</v>
      </c>
      <c r="W119" s="488">
        <v>12</v>
      </c>
      <c r="X119" s="484">
        <f>V119/W119</f>
        <v>60214.677290666674</v>
      </c>
      <c r="Y119" s="486"/>
      <c r="Z119" s="484">
        <f>X119</f>
        <v>60214.677290666674</v>
      </c>
      <c r="AA119" s="489">
        <v>60214.677290666674</v>
      </c>
      <c r="AB119" s="480">
        <f t="shared" si="107"/>
        <v>0</v>
      </c>
      <c r="AC119" s="36"/>
      <c r="AD119" s="36"/>
      <c r="AE119" s="36"/>
    </row>
    <row r="120" spans="1:31" ht="18.75">
      <c r="A120" s="473">
        <v>101</v>
      </c>
      <c r="B120" s="432" t="s">
        <v>108</v>
      </c>
      <c r="C120" s="484">
        <v>343333.03525000007</v>
      </c>
      <c r="D120" s="485">
        <v>12</v>
      </c>
      <c r="E120" s="484">
        <f t="shared" si="106"/>
        <v>4119996.4230000009</v>
      </c>
      <c r="F120" s="484"/>
      <c r="G120" s="486"/>
      <c r="H120" s="486"/>
      <c r="I120" s="484">
        <f t="shared" ref="I120:I125" si="108">E120-F120-G120-H120</f>
        <v>4119996.4230000009</v>
      </c>
      <c r="J120" s="484">
        <v>200000</v>
      </c>
      <c r="K120" s="484">
        <v>0.2</v>
      </c>
      <c r="L120" s="484">
        <f t="shared" ref="L120:L125" si="109">I120*K120</f>
        <v>823999.28460000025</v>
      </c>
      <c r="M120" s="484">
        <f t="shared" ref="M120:M125" si="110">J120+L120</f>
        <v>1023999.2846000002</v>
      </c>
      <c r="N120" s="484">
        <f t="shared" ref="N120:N125" si="111">F120+G120+H120+M120</f>
        <v>1023999.2846000002</v>
      </c>
      <c r="O120" s="484">
        <f t="shared" ref="O120:O125" si="112">E120-N120</f>
        <v>3095997.1384000005</v>
      </c>
      <c r="P120" s="484">
        <f t="shared" ref="P120:P125" si="113">IF(O120&lt;300000,0.07*O120,21000)</f>
        <v>21000</v>
      </c>
      <c r="Q120" s="484">
        <f t="shared" ref="Q120:Q125" si="114">IF((O120-300000)&lt;0,0,IF((O120-300000)&lt;300000,0.11*(O120-300000),33000))</f>
        <v>33000</v>
      </c>
      <c r="R120" s="484">
        <f t="shared" ref="R120:R125" si="115">IF((O120-600000)&lt;0,0,IF((O120-600000)&lt;500000,0.15*(O120-600000),75000))</f>
        <v>75000</v>
      </c>
      <c r="S120" s="484">
        <f t="shared" ref="S120:S125" si="116">IF((O120-1100000)&lt;0,0,IF((O120-1100000)&lt;500000,0.19*(O120-1100000),95000))</f>
        <v>95000</v>
      </c>
      <c r="T120" s="484">
        <f t="shared" ref="T120:T125" si="117">IF((O120-1600000)&lt;0,0,IF((O120-1600000)&lt;1600000,0.21*(O120-1600000),336000))</f>
        <v>314159.39906400011</v>
      </c>
      <c r="U120" s="484"/>
      <c r="V120" s="484">
        <f t="shared" ref="V120:V125" si="118">P120+Q120+R120+S120+T120+U120</f>
        <v>538159.39906400011</v>
      </c>
      <c r="W120" s="488">
        <v>12</v>
      </c>
      <c r="X120" s="484">
        <f t="shared" ref="X120:X125" si="119">V120/W120</f>
        <v>44846.616588666679</v>
      </c>
      <c r="Y120" s="486"/>
      <c r="Z120" s="484">
        <f t="shared" ref="Z120:Z125" si="120">X120</f>
        <v>44846.616588666679</v>
      </c>
      <c r="AA120" s="489">
        <v>44846.616588666679</v>
      </c>
      <c r="AB120" s="480">
        <f t="shared" si="107"/>
        <v>0</v>
      </c>
      <c r="AC120" s="36"/>
      <c r="AD120" s="36"/>
      <c r="AE120" s="36"/>
    </row>
    <row r="121" spans="1:31" ht="18.75">
      <c r="A121" s="473">
        <v>103</v>
      </c>
      <c r="B121" s="432" t="s">
        <v>178</v>
      </c>
      <c r="C121" s="484">
        <v>327211.36749999999</v>
      </c>
      <c r="D121" s="485">
        <v>12</v>
      </c>
      <c r="E121" s="484">
        <f t="shared" si="106"/>
        <v>3926536.41</v>
      </c>
      <c r="F121" s="487">
        <f>646.3525*12</f>
        <v>7756.23</v>
      </c>
      <c r="G121" s="486"/>
      <c r="H121" s="486"/>
      <c r="I121" s="484">
        <f t="shared" si="108"/>
        <v>3918780.18</v>
      </c>
      <c r="J121" s="484">
        <v>200000</v>
      </c>
      <c r="K121" s="484">
        <v>0.2</v>
      </c>
      <c r="L121" s="484">
        <f t="shared" si="109"/>
        <v>783756.03600000008</v>
      </c>
      <c r="M121" s="484">
        <f t="shared" si="110"/>
        <v>983756.03600000008</v>
      </c>
      <c r="N121" s="484">
        <f t="shared" si="111"/>
        <v>991512.26600000006</v>
      </c>
      <c r="O121" s="484">
        <f t="shared" si="112"/>
        <v>2935024.1440000003</v>
      </c>
      <c r="P121" s="484">
        <f t="shared" si="113"/>
        <v>21000</v>
      </c>
      <c r="Q121" s="484">
        <f t="shared" si="114"/>
        <v>33000</v>
      </c>
      <c r="R121" s="484">
        <f t="shared" si="115"/>
        <v>75000</v>
      </c>
      <c r="S121" s="484">
        <f t="shared" si="116"/>
        <v>95000</v>
      </c>
      <c r="T121" s="484">
        <f t="shared" si="117"/>
        <v>280355.07024000003</v>
      </c>
      <c r="U121" s="484"/>
      <c r="V121" s="484">
        <f t="shared" si="118"/>
        <v>504355.07024000003</v>
      </c>
      <c r="W121" s="488">
        <v>12</v>
      </c>
      <c r="X121" s="484">
        <f t="shared" si="119"/>
        <v>42029.589186666672</v>
      </c>
      <c r="Y121" s="486"/>
      <c r="Z121" s="484">
        <f t="shared" si="120"/>
        <v>42029.589186666672</v>
      </c>
      <c r="AA121" s="489">
        <v>42029.589186666672</v>
      </c>
      <c r="AB121" s="480">
        <f t="shared" si="107"/>
        <v>0</v>
      </c>
      <c r="AC121" s="36"/>
      <c r="AD121" s="36"/>
      <c r="AE121" s="36"/>
    </row>
    <row r="122" spans="1:31" ht="18.75">
      <c r="A122" s="473">
        <v>105</v>
      </c>
      <c r="B122" s="432" t="s">
        <v>134</v>
      </c>
      <c r="C122" s="484">
        <v>335272.06374999997</v>
      </c>
      <c r="D122" s="485">
        <v>12</v>
      </c>
      <c r="E122" s="484">
        <f t="shared" si="106"/>
        <v>4023264.7649999997</v>
      </c>
      <c r="F122" s="487">
        <f>668.31625*12</f>
        <v>8019.7950000000001</v>
      </c>
      <c r="G122" s="486"/>
      <c r="H122" s="486"/>
      <c r="I122" s="484">
        <f t="shared" si="108"/>
        <v>4015244.9699999997</v>
      </c>
      <c r="J122" s="484">
        <v>200000</v>
      </c>
      <c r="K122" s="484">
        <v>0.2</v>
      </c>
      <c r="L122" s="484">
        <f t="shared" si="109"/>
        <v>803048.99399999995</v>
      </c>
      <c r="M122" s="484">
        <f t="shared" si="110"/>
        <v>1003048.9939999999</v>
      </c>
      <c r="N122" s="484">
        <f t="shared" si="111"/>
        <v>1011068.789</v>
      </c>
      <c r="O122" s="484">
        <f t="shared" si="112"/>
        <v>3012195.9759999998</v>
      </c>
      <c r="P122" s="484">
        <f t="shared" si="113"/>
        <v>21000</v>
      </c>
      <c r="Q122" s="484">
        <f t="shared" si="114"/>
        <v>33000</v>
      </c>
      <c r="R122" s="484">
        <f t="shared" si="115"/>
        <v>75000</v>
      </c>
      <c r="S122" s="484">
        <f t="shared" si="116"/>
        <v>95000</v>
      </c>
      <c r="T122" s="484">
        <f t="shared" si="117"/>
        <v>296561.15495999996</v>
      </c>
      <c r="U122" s="484"/>
      <c r="V122" s="484">
        <f t="shared" si="118"/>
        <v>520561.15495999996</v>
      </c>
      <c r="W122" s="488">
        <v>12</v>
      </c>
      <c r="X122" s="484">
        <f t="shared" si="119"/>
        <v>43380.096246666661</v>
      </c>
      <c r="Y122" s="486"/>
      <c r="Z122" s="484">
        <f t="shared" si="120"/>
        <v>43380.096246666661</v>
      </c>
      <c r="AA122" s="489">
        <v>43380.096246666661</v>
      </c>
      <c r="AB122" s="480">
        <f t="shared" si="107"/>
        <v>0</v>
      </c>
      <c r="AC122" s="36"/>
      <c r="AD122" s="36"/>
      <c r="AE122" s="36"/>
    </row>
    <row r="123" spans="1:31" ht="18.75">
      <c r="A123" s="473">
        <v>106</v>
      </c>
      <c r="B123" s="432" t="s">
        <v>443</v>
      </c>
      <c r="C123" s="484">
        <v>213508.01</v>
      </c>
      <c r="D123" s="485">
        <v>12</v>
      </c>
      <c r="E123" s="484">
        <f t="shared" si="106"/>
        <v>2562096.12</v>
      </c>
      <c r="F123" s="484"/>
      <c r="G123" s="486"/>
      <c r="H123" s="486"/>
      <c r="I123" s="484">
        <f t="shared" si="108"/>
        <v>2562096.12</v>
      </c>
      <c r="J123" s="484">
        <v>200000</v>
      </c>
      <c r="K123" s="484">
        <v>0.2</v>
      </c>
      <c r="L123" s="484">
        <f t="shared" si="109"/>
        <v>512419.22400000005</v>
      </c>
      <c r="M123" s="484">
        <f t="shared" si="110"/>
        <v>712419.22400000005</v>
      </c>
      <c r="N123" s="484">
        <f t="shared" si="111"/>
        <v>712419.22400000005</v>
      </c>
      <c r="O123" s="484">
        <f t="shared" si="112"/>
        <v>1849676.8960000002</v>
      </c>
      <c r="P123" s="484">
        <f t="shared" si="113"/>
        <v>21000</v>
      </c>
      <c r="Q123" s="484">
        <f t="shared" si="114"/>
        <v>33000</v>
      </c>
      <c r="R123" s="484">
        <f t="shared" si="115"/>
        <v>75000</v>
      </c>
      <c r="S123" s="484">
        <f t="shared" si="116"/>
        <v>95000</v>
      </c>
      <c r="T123" s="484">
        <f t="shared" si="117"/>
        <v>52432.148160000033</v>
      </c>
      <c r="U123" s="484"/>
      <c r="V123" s="484">
        <f t="shared" si="118"/>
        <v>276432.14816000004</v>
      </c>
      <c r="W123" s="488">
        <v>12</v>
      </c>
      <c r="X123" s="484">
        <f t="shared" si="119"/>
        <v>23036.01234666667</v>
      </c>
      <c r="Y123" s="486"/>
      <c r="Z123" s="484">
        <f t="shared" si="120"/>
        <v>23036.01234666667</v>
      </c>
      <c r="AA123" s="489">
        <v>23036.01234666667</v>
      </c>
      <c r="AB123" s="480">
        <f t="shared" si="107"/>
        <v>0</v>
      </c>
      <c r="AC123" s="36"/>
      <c r="AD123" s="36"/>
      <c r="AE123" s="36"/>
    </row>
    <row r="124" spans="1:31" ht="18.75">
      <c r="A124" s="473">
        <v>107</v>
      </c>
      <c r="B124" s="364" t="s">
        <v>439</v>
      </c>
      <c r="C124" s="484">
        <v>176816.09999999998</v>
      </c>
      <c r="D124" s="485">
        <v>12</v>
      </c>
      <c r="E124" s="484">
        <f t="shared" si="106"/>
        <v>2121793.1999999997</v>
      </c>
      <c r="F124" s="484"/>
      <c r="G124" s="486"/>
      <c r="H124" s="486"/>
      <c r="I124" s="484">
        <f t="shared" si="108"/>
        <v>2121793.1999999997</v>
      </c>
      <c r="J124" s="484">
        <v>200000</v>
      </c>
      <c r="K124" s="484">
        <v>0.2</v>
      </c>
      <c r="L124" s="484">
        <f t="shared" si="109"/>
        <v>424358.63999999996</v>
      </c>
      <c r="M124" s="484">
        <f t="shared" si="110"/>
        <v>624358.6399999999</v>
      </c>
      <c r="N124" s="484">
        <f t="shared" si="111"/>
        <v>624358.6399999999</v>
      </c>
      <c r="O124" s="484">
        <f t="shared" si="112"/>
        <v>1497434.5599999998</v>
      </c>
      <c r="P124" s="484">
        <f t="shared" si="113"/>
        <v>21000</v>
      </c>
      <c r="Q124" s="484">
        <f t="shared" si="114"/>
        <v>33000</v>
      </c>
      <c r="R124" s="484">
        <f t="shared" si="115"/>
        <v>75000</v>
      </c>
      <c r="S124" s="484">
        <f t="shared" si="116"/>
        <v>75512.566399999967</v>
      </c>
      <c r="T124" s="484">
        <f t="shared" si="117"/>
        <v>0</v>
      </c>
      <c r="U124" s="484"/>
      <c r="V124" s="484">
        <f t="shared" si="118"/>
        <v>204512.56639999995</v>
      </c>
      <c r="W124" s="488">
        <v>12</v>
      </c>
      <c r="X124" s="484">
        <f t="shared" si="119"/>
        <v>17042.713866666661</v>
      </c>
      <c r="Y124" s="486"/>
      <c r="Z124" s="484">
        <f t="shared" si="120"/>
        <v>17042.713866666661</v>
      </c>
      <c r="AA124" s="489">
        <v>17042.713866666661</v>
      </c>
      <c r="AB124" s="480">
        <f t="shared" si="107"/>
        <v>0</v>
      </c>
      <c r="AC124" s="36"/>
      <c r="AD124" s="36"/>
      <c r="AE124" s="36"/>
    </row>
    <row r="125" spans="1:31" s="481" customFormat="1" ht="18.75">
      <c r="A125" s="478">
        <v>108</v>
      </c>
      <c r="B125" s="364" t="s">
        <v>535</v>
      </c>
      <c r="C125" s="484">
        <v>176816.09999999998</v>
      </c>
      <c r="D125" s="485">
        <v>12</v>
      </c>
      <c r="E125" s="484">
        <f t="shared" si="106"/>
        <v>2121793.1999999997</v>
      </c>
      <c r="F125" s="484"/>
      <c r="G125" s="486"/>
      <c r="H125" s="486"/>
      <c r="I125" s="484">
        <f t="shared" si="108"/>
        <v>2121793.1999999997</v>
      </c>
      <c r="J125" s="484">
        <v>200000</v>
      </c>
      <c r="K125" s="484">
        <v>0.2</v>
      </c>
      <c r="L125" s="484">
        <f t="shared" si="109"/>
        <v>424358.63999999996</v>
      </c>
      <c r="M125" s="484">
        <f t="shared" si="110"/>
        <v>624358.6399999999</v>
      </c>
      <c r="N125" s="484">
        <f t="shared" si="111"/>
        <v>624358.6399999999</v>
      </c>
      <c r="O125" s="484">
        <f t="shared" si="112"/>
        <v>1497434.5599999998</v>
      </c>
      <c r="P125" s="484">
        <f t="shared" si="113"/>
        <v>21000</v>
      </c>
      <c r="Q125" s="484">
        <f t="shared" si="114"/>
        <v>33000</v>
      </c>
      <c r="R125" s="484">
        <f t="shared" si="115"/>
        <v>75000</v>
      </c>
      <c r="S125" s="484">
        <f t="shared" si="116"/>
        <v>75512.566399999967</v>
      </c>
      <c r="T125" s="484">
        <f t="shared" si="117"/>
        <v>0</v>
      </c>
      <c r="U125" s="484"/>
      <c r="V125" s="484">
        <f t="shared" si="118"/>
        <v>204512.56639999995</v>
      </c>
      <c r="W125" s="488">
        <v>12</v>
      </c>
      <c r="X125" s="484">
        <f t="shared" si="119"/>
        <v>17042.713866666661</v>
      </c>
      <c r="Y125" s="486"/>
      <c r="Z125" s="484">
        <f t="shared" si="120"/>
        <v>17042.713866666661</v>
      </c>
      <c r="AA125" s="480">
        <v>17042.713866666661</v>
      </c>
      <c r="AB125" s="480">
        <f t="shared" si="107"/>
        <v>0</v>
      </c>
      <c r="AC125" s="480"/>
      <c r="AD125" s="480"/>
      <c r="AE125" s="480"/>
    </row>
    <row r="126" spans="1:31" ht="18.75">
      <c r="A126" s="473">
        <v>109</v>
      </c>
      <c r="B126" s="366" t="s">
        <v>15</v>
      </c>
      <c r="C126" s="484"/>
      <c r="D126" s="485"/>
      <c r="E126" s="484"/>
      <c r="F126" s="484"/>
      <c r="G126" s="486"/>
      <c r="H126" s="486"/>
      <c r="I126" s="484"/>
      <c r="J126" s="484"/>
      <c r="K126" s="484"/>
      <c r="L126" s="484"/>
      <c r="M126" s="484"/>
      <c r="N126" s="484"/>
      <c r="O126" s="484"/>
      <c r="P126" s="484"/>
      <c r="Q126" s="484"/>
      <c r="R126" s="484"/>
      <c r="S126" s="484"/>
      <c r="T126" s="484"/>
      <c r="U126" s="484"/>
      <c r="V126" s="484"/>
      <c r="W126" s="488"/>
      <c r="X126" s="484"/>
      <c r="Y126" s="486"/>
      <c r="Z126" s="484"/>
      <c r="AA126" s="36"/>
      <c r="AB126" s="36"/>
      <c r="AC126" s="36"/>
      <c r="AD126" s="36"/>
      <c r="AE126" s="36"/>
    </row>
    <row r="127" spans="1:31" ht="18.75">
      <c r="A127" s="473">
        <v>110</v>
      </c>
      <c r="B127" s="362"/>
      <c r="C127" s="484"/>
      <c r="D127" s="396"/>
      <c r="E127" s="396"/>
      <c r="F127" s="396"/>
      <c r="G127" s="396"/>
      <c r="H127" s="396"/>
      <c r="I127" s="396"/>
      <c r="J127" s="396"/>
      <c r="K127" s="396"/>
      <c r="L127" s="396"/>
      <c r="M127" s="396"/>
      <c r="N127" s="396"/>
      <c r="O127" s="396"/>
      <c r="P127" s="396"/>
      <c r="Q127" s="396"/>
      <c r="R127" s="396"/>
      <c r="S127" s="396"/>
      <c r="T127" s="396"/>
      <c r="U127" s="484"/>
      <c r="V127" s="396"/>
      <c r="W127" s="396"/>
      <c r="X127" s="396"/>
      <c r="Y127" s="396"/>
      <c r="Z127" s="396"/>
      <c r="AC127" s="36"/>
      <c r="AD127" s="36"/>
      <c r="AE127" s="36"/>
    </row>
    <row r="128" spans="1:31" ht="37.5">
      <c r="A128" s="473">
        <v>111</v>
      </c>
      <c r="B128" s="366" t="s">
        <v>467</v>
      </c>
      <c r="C128" s="484"/>
      <c r="D128" s="396"/>
      <c r="E128" s="396"/>
      <c r="F128" s="396"/>
      <c r="G128" s="396"/>
      <c r="H128" s="396"/>
      <c r="I128" s="396"/>
      <c r="J128" s="396"/>
      <c r="K128" s="396"/>
      <c r="L128" s="396"/>
      <c r="M128" s="396"/>
      <c r="N128" s="396"/>
      <c r="O128" s="396"/>
      <c r="P128" s="396"/>
      <c r="Q128" s="396"/>
      <c r="R128" s="396"/>
      <c r="S128" s="396"/>
      <c r="T128" s="396"/>
      <c r="U128" s="484"/>
      <c r="V128" s="396"/>
      <c r="W128" s="396"/>
      <c r="X128" s="396"/>
      <c r="Y128" s="396"/>
      <c r="Z128" s="396"/>
      <c r="AC128" s="36"/>
      <c r="AD128" s="36"/>
      <c r="AE128" s="36"/>
    </row>
    <row r="129" spans="1:31" ht="18.75">
      <c r="A129" s="473">
        <v>112</v>
      </c>
      <c r="B129" s="432" t="s">
        <v>21</v>
      </c>
      <c r="C129" s="484">
        <v>950209.06350000005</v>
      </c>
      <c r="D129" s="485">
        <v>12</v>
      </c>
      <c r="E129" s="484">
        <f>C129*D129</f>
        <v>11402508.762</v>
      </c>
      <c r="F129" s="484"/>
      <c r="G129" s="486"/>
      <c r="H129" s="486"/>
      <c r="I129" s="484">
        <f>E129-F129-G129-H129</f>
        <v>11402508.762</v>
      </c>
      <c r="J129" s="484">
        <v>200000</v>
      </c>
      <c r="K129" s="484">
        <v>0.2</v>
      </c>
      <c r="L129" s="484">
        <f t="shared" ref="L129:L187" si="121">I129*K129</f>
        <v>2280501.7524000001</v>
      </c>
      <c r="M129" s="484">
        <f t="shared" ref="M129:M187" si="122">J129+L129</f>
        <v>2480501.7524000001</v>
      </c>
      <c r="N129" s="484">
        <f t="shared" ref="N129:N187" si="123">F129+G129+H129+M129</f>
        <v>2480501.7524000001</v>
      </c>
      <c r="O129" s="484">
        <f t="shared" ref="O129:O187" si="124">E129-N129</f>
        <v>8922007.0096000005</v>
      </c>
      <c r="P129" s="484">
        <f t="shared" ref="P129:P187" si="125">IF(O129&lt;300000,0.07*O129,21000)</f>
        <v>21000</v>
      </c>
      <c r="Q129" s="484">
        <f t="shared" ref="Q129:Q187" si="126">IF((O129-300000)&lt;0,0,IF((O129-300000)&lt;300000,0.11*(O129-300000),33000))</f>
        <v>33000</v>
      </c>
      <c r="R129" s="484">
        <f t="shared" ref="R129:R187" si="127">IF((O129-600000)&lt;0,0,IF((O129-600000)&lt;500000,0.15*(O129-600000),75000))</f>
        <v>75000</v>
      </c>
      <c r="S129" s="484">
        <f t="shared" ref="S129:S187" si="128">IF((O129-1100000)&lt;0,0,IF((O129-1100000)&lt;500000,0.19*(O129-1100000),95000))</f>
        <v>95000</v>
      </c>
      <c r="T129" s="484">
        <f t="shared" ref="T129:T187" si="129">IF((O129-1600000)&lt;0,0,IF((O129-1600000)&lt;1600000,0.21*(O129-1600000),336000))</f>
        <v>336000</v>
      </c>
      <c r="U129" s="484">
        <f t="shared" si="103"/>
        <v>1373281.682304</v>
      </c>
      <c r="V129" s="484">
        <f>P129+Q129+R129+S129+T129+U129</f>
        <v>1933281.682304</v>
      </c>
      <c r="W129" s="488">
        <v>12</v>
      </c>
      <c r="X129" s="484">
        <f t="shared" ref="X129:X187" si="130">V129/W129</f>
        <v>161106.80685866668</v>
      </c>
      <c r="Y129" s="486"/>
      <c r="Z129" s="484">
        <f t="shared" ref="Z129:Z187" si="131">X129</f>
        <v>161106.80685866668</v>
      </c>
      <c r="AA129" s="36">
        <v>161106.80685866668</v>
      </c>
      <c r="AB129" s="36">
        <f>Z129-AA129</f>
        <v>0</v>
      </c>
      <c r="AC129" s="36"/>
      <c r="AD129" s="36"/>
      <c r="AE129" s="36"/>
    </row>
    <row r="130" spans="1:31" s="481" customFormat="1" ht="18.75">
      <c r="A130" s="478">
        <v>113</v>
      </c>
      <c r="B130" s="432" t="s">
        <v>107</v>
      </c>
      <c r="C130" s="484">
        <v>541465.02474999998</v>
      </c>
      <c r="D130" s="485">
        <v>12</v>
      </c>
      <c r="E130" s="484">
        <f t="shared" ref="E130:E187" si="132">C130*D130</f>
        <v>6497580.2970000003</v>
      </c>
      <c r="F130" s="484"/>
      <c r="G130" s="486"/>
      <c r="H130" s="486"/>
      <c r="I130" s="484">
        <f t="shared" ref="I130:I187" si="133">E130-F130-G130-H130</f>
        <v>6497580.2970000003</v>
      </c>
      <c r="J130" s="484">
        <v>200000</v>
      </c>
      <c r="K130" s="484">
        <v>0.2</v>
      </c>
      <c r="L130" s="484">
        <f t="shared" si="121"/>
        <v>1299516.0594000001</v>
      </c>
      <c r="M130" s="484">
        <f t="shared" si="122"/>
        <v>1499516.0594000001</v>
      </c>
      <c r="N130" s="484">
        <f t="shared" si="123"/>
        <v>1499516.0594000001</v>
      </c>
      <c r="O130" s="484">
        <f t="shared" si="124"/>
        <v>4998064.2376000006</v>
      </c>
      <c r="P130" s="484">
        <f t="shared" si="125"/>
        <v>21000</v>
      </c>
      <c r="Q130" s="484">
        <f t="shared" si="126"/>
        <v>33000</v>
      </c>
      <c r="R130" s="484">
        <f t="shared" si="127"/>
        <v>75000</v>
      </c>
      <c r="S130" s="484">
        <f t="shared" si="128"/>
        <v>95000</v>
      </c>
      <c r="T130" s="484">
        <f t="shared" si="129"/>
        <v>336000</v>
      </c>
      <c r="U130" s="484">
        <f t="shared" si="103"/>
        <v>431535.41702400014</v>
      </c>
      <c r="V130" s="484">
        <f>P130+Q130+R130+S130+T130+U130</f>
        <v>991535.41702400008</v>
      </c>
      <c r="W130" s="488">
        <v>12</v>
      </c>
      <c r="X130" s="484">
        <f t="shared" si="130"/>
        <v>82627.951418666678</v>
      </c>
      <c r="Y130" s="486"/>
      <c r="Z130" s="484">
        <f t="shared" si="131"/>
        <v>82627.951418666678</v>
      </c>
      <c r="AA130" s="36">
        <v>82627.951418666678</v>
      </c>
      <c r="AB130" s="36">
        <f t="shared" ref="AB130:AB187" si="134">Z130-AA130</f>
        <v>0</v>
      </c>
      <c r="AC130" s="480"/>
      <c r="AD130" s="480"/>
      <c r="AE130" s="480"/>
    </row>
    <row r="131" spans="1:31" ht="18.75">
      <c r="A131" s="473">
        <v>114</v>
      </c>
      <c r="B131" s="365" t="s">
        <v>183</v>
      </c>
      <c r="C131" s="484">
        <v>591465.02474999998</v>
      </c>
      <c r="D131" s="485">
        <v>12</v>
      </c>
      <c r="E131" s="484">
        <f t="shared" si="132"/>
        <v>7097580.2970000003</v>
      </c>
      <c r="F131" s="484">
        <f>1066.32925*12</f>
        <v>12795.951000000001</v>
      </c>
      <c r="G131" s="486"/>
      <c r="H131" s="486"/>
      <c r="I131" s="484">
        <f t="shared" si="133"/>
        <v>7084784.3459999999</v>
      </c>
      <c r="J131" s="484">
        <v>200000</v>
      </c>
      <c r="K131" s="484">
        <v>0.2</v>
      </c>
      <c r="L131" s="484">
        <f t="shared" si="121"/>
        <v>1416956.8692000001</v>
      </c>
      <c r="M131" s="484">
        <f t="shared" si="122"/>
        <v>1616956.8692000001</v>
      </c>
      <c r="N131" s="484">
        <f t="shared" si="123"/>
        <v>1629752.8202</v>
      </c>
      <c r="O131" s="484">
        <f t="shared" si="124"/>
        <v>5467827.4768000003</v>
      </c>
      <c r="P131" s="484">
        <f t="shared" si="125"/>
        <v>21000</v>
      </c>
      <c r="Q131" s="484">
        <f t="shared" si="126"/>
        <v>33000</v>
      </c>
      <c r="R131" s="484">
        <f t="shared" si="127"/>
        <v>75000</v>
      </c>
      <c r="S131" s="484">
        <f t="shared" si="128"/>
        <v>95000</v>
      </c>
      <c r="T131" s="484">
        <f t="shared" si="129"/>
        <v>336000</v>
      </c>
      <c r="U131" s="484">
        <f t="shared" si="103"/>
        <v>544278.59443200007</v>
      </c>
      <c r="V131" s="484">
        <f>P131+Q131+R131+S131+T131+U131</f>
        <v>1104278.5944320001</v>
      </c>
      <c r="W131" s="488">
        <v>12</v>
      </c>
      <c r="X131" s="484">
        <f t="shared" si="130"/>
        <v>92023.216202666677</v>
      </c>
      <c r="Y131" s="486"/>
      <c r="Z131" s="484">
        <f t="shared" si="131"/>
        <v>92023.216202666677</v>
      </c>
      <c r="AA131" s="36">
        <v>92023.216202666677</v>
      </c>
      <c r="AB131" s="36">
        <f t="shared" si="134"/>
        <v>0</v>
      </c>
      <c r="AC131" s="36"/>
      <c r="AD131" s="36"/>
      <c r="AE131" s="36"/>
    </row>
    <row r="132" spans="1:31" ht="18.75">
      <c r="A132" s="473">
        <v>115</v>
      </c>
      <c r="B132" s="432" t="s">
        <v>106</v>
      </c>
      <c r="C132" s="484">
        <v>351394.00675000006</v>
      </c>
      <c r="D132" s="485">
        <v>12</v>
      </c>
      <c r="E132" s="484">
        <f t="shared" si="132"/>
        <v>4216728.0810000002</v>
      </c>
      <c r="F132" s="484">
        <f>712.24525*12</f>
        <v>8546.9430000000011</v>
      </c>
      <c r="G132" s="486"/>
      <c r="H132" s="486"/>
      <c r="I132" s="484">
        <f t="shared" si="133"/>
        <v>4208181.1380000003</v>
      </c>
      <c r="J132" s="484">
        <v>200000</v>
      </c>
      <c r="K132" s="484">
        <v>0.2</v>
      </c>
      <c r="L132" s="484">
        <f t="shared" si="121"/>
        <v>841636.2276000001</v>
      </c>
      <c r="M132" s="484">
        <f t="shared" si="122"/>
        <v>1041636.2276000001</v>
      </c>
      <c r="N132" s="484">
        <f t="shared" si="123"/>
        <v>1050183.1706000001</v>
      </c>
      <c r="O132" s="484">
        <f t="shared" si="124"/>
        <v>3166544.9104000004</v>
      </c>
      <c r="P132" s="484">
        <f t="shared" si="125"/>
        <v>21000</v>
      </c>
      <c r="Q132" s="484">
        <f t="shared" si="126"/>
        <v>33000</v>
      </c>
      <c r="R132" s="484">
        <f t="shared" si="127"/>
        <v>75000</v>
      </c>
      <c r="S132" s="484">
        <f t="shared" si="128"/>
        <v>95000</v>
      </c>
      <c r="T132" s="484">
        <f t="shared" si="129"/>
        <v>328974.43118400004</v>
      </c>
      <c r="U132" s="484"/>
      <c r="V132" s="484">
        <f t="shared" ref="V132:V187" si="135">P132+Q132+R132+S132+T132+U132</f>
        <v>552974.4311840001</v>
      </c>
      <c r="W132" s="488">
        <v>12</v>
      </c>
      <c r="X132" s="484">
        <f t="shared" si="130"/>
        <v>46081.202598666678</v>
      </c>
      <c r="Y132" s="486"/>
      <c r="Z132" s="484">
        <f t="shared" si="131"/>
        <v>46081.202598666678</v>
      </c>
      <c r="AA132" s="480">
        <v>46081.202598666678</v>
      </c>
      <c r="AB132" s="36">
        <f t="shared" si="134"/>
        <v>0</v>
      </c>
      <c r="AC132" s="36"/>
      <c r="AD132" s="36"/>
      <c r="AE132" s="36"/>
    </row>
    <row r="133" spans="1:31" ht="18.75">
      <c r="A133" s="473">
        <v>116</v>
      </c>
      <c r="B133" s="432" t="s">
        <v>7</v>
      </c>
      <c r="C133" s="484">
        <v>351394.00675000006</v>
      </c>
      <c r="D133" s="485">
        <v>12</v>
      </c>
      <c r="E133" s="484">
        <f t="shared" si="132"/>
        <v>4216728.0810000002</v>
      </c>
      <c r="F133" s="484">
        <f>712.24525*12</f>
        <v>8546.9430000000011</v>
      </c>
      <c r="G133" s="486"/>
      <c r="H133" s="486"/>
      <c r="I133" s="484">
        <f t="shared" si="133"/>
        <v>4208181.1380000003</v>
      </c>
      <c r="J133" s="484">
        <v>200000</v>
      </c>
      <c r="K133" s="484">
        <v>0.2</v>
      </c>
      <c r="L133" s="484">
        <f t="shared" si="121"/>
        <v>841636.2276000001</v>
      </c>
      <c r="M133" s="484">
        <f t="shared" si="122"/>
        <v>1041636.2276000001</v>
      </c>
      <c r="N133" s="484">
        <f t="shared" si="123"/>
        <v>1050183.1706000001</v>
      </c>
      <c r="O133" s="484">
        <f t="shared" si="124"/>
        <v>3166544.9104000004</v>
      </c>
      <c r="P133" s="484">
        <f t="shared" si="125"/>
        <v>21000</v>
      </c>
      <c r="Q133" s="484">
        <f t="shared" si="126"/>
        <v>33000</v>
      </c>
      <c r="R133" s="484">
        <f t="shared" si="127"/>
        <v>75000</v>
      </c>
      <c r="S133" s="484">
        <f t="shared" si="128"/>
        <v>95000</v>
      </c>
      <c r="T133" s="484">
        <f t="shared" si="129"/>
        <v>328974.43118400004</v>
      </c>
      <c r="U133" s="484"/>
      <c r="V133" s="484">
        <f t="shared" si="135"/>
        <v>552974.4311840001</v>
      </c>
      <c r="W133" s="488">
        <v>12</v>
      </c>
      <c r="X133" s="484">
        <f t="shared" si="130"/>
        <v>46081.202598666678</v>
      </c>
      <c r="Y133" s="486"/>
      <c r="Z133" s="484">
        <f t="shared" si="131"/>
        <v>46081.202598666678</v>
      </c>
      <c r="AA133" s="36">
        <v>46081.202598666678</v>
      </c>
      <c r="AB133" s="36">
        <f t="shared" si="134"/>
        <v>0</v>
      </c>
      <c r="AC133" s="36"/>
      <c r="AD133" s="36"/>
      <c r="AE133" s="36"/>
    </row>
    <row r="134" spans="1:31" ht="18.75">
      <c r="A134" s="473">
        <v>117</v>
      </c>
      <c r="B134" s="432" t="s">
        <v>6</v>
      </c>
      <c r="C134" s="484">
        <v>351394.00675000006</v>
      </c>
      <c r="D134" s="485">
        <v>12</v>
      </c>
      <c r="E134" s="484">
        <f t="shared" si="132"/>
        <v>4216728.0810000002</v>
      </c>
      <c r="F134" s="484">
        <f>712.24525*12</f>
        <v>8546.9430000000011</v>
      </c>
      <c r="G134" s="486"/>
      <c r="H134" s="486"/>
      <c r="I134" s="484">
        <f t="shared" si="133"/>
        <v>4208181.1380000003</v>
      </c>
      <c r="J134" s="484">
        <v>200000</v>
      </c>
      <c r="K134" s="484">
        <v>0.2</v>
      </c>
      <c r="L134" s="484">
        <f t="shared" si="121"/>
        <v>841636.2276000001</v>
      </c>
      <c r="M134" s="484">
        <f t="shared" si="122"/>
        <v>1041636.2276000001</v>
      </c>
      <c r="N134" s="484">
        <f t="shared" si="123"/>
        <v>1050183.1706000001</v>
      </c>
      <c r="O134" s="484">
        <f t="shared" si="124"/>
        <v>3166544.9104000004</v>
      </c>
      <c r="P134" s="484">
        <f t="shared" si="125"/>
        <v>21000</v>
      </c>
      <c r="Q134" s="484">
        <f t="shared" si="126"/>
        <v>33000</v>
      </c>
      <c r="R134" s="484">
        <f t="shared" si="127"/>
        <v>75000</v>
      </c>
      <c r="S134" s="484">
        <f t="shared" si="128"/>
        <v>95000</v>
      </c>
      <c r="T134" s="484">
        <f t="shared" si="129"/>
        <v>328974.43118400004</v>
      </c>
      <c r="U134" s="484"/>
      <c r="V134" s="484">
        <f t="shared" si="135"/>
        <v>552974.4311840001</v>
      </c>
      <c r="W134" s="488">
        <v>12</v>
      </c>
      <c r="X134" s="484">
        <f t="shared" si="130"/>
        <v>46081.202598666678</v>
      </c>
      <c r="Y134" s="486"/>
      <c r="Z134" s="484">
        <f t="shared" si="131"/>
        <v>46081.202598666678</v>
      </c>
      <c r="AA134" s="36">
        <v>46081.202598666678</v>
      </c>
      <c r="AB134" s="36">
        <f t="shared" si="134"/>
        <v>0</v>
      </c>
      <c r="AC134" s="36"/>
      <c r="AD134" s="36"/>
      <c r="AE134" s="36"/>
    </row>
    <row r="135" spans="1:31" ht="18.75">
      <c r="A135" s="473">
        <v>118</v>
      </c>
      <c r="B135" s="432" t="s">
        <v>102</v>
      </c>
      <c r="C135" s="484">
        <v>286619.99875000003</v>
      </c>
      <c r="D135" s="485">
        <v>12</v>
      </c>
      <c r="E135" s="484">
        <f t="shared" si="132"/>
        <v>3439439.9850000003</v>
      </c>
      <c r="F135" s="484">
        <f>576.62125*12</f>
        <v>6919.4549999999999</v>
      </c>
      <c r="G135" s="486"/>
      <c r="H135" s="486"/>
      <c r="I135" s="484">
        <f t="shared" si="133"/>
        <v>3432520.5300000003</v>
      </c>
      <c r="J135" s="484">
        <v>200000</v>
      </c>
      <c r="K135" s="484">
        <v>0.2</v>
      </c>
      <c r="L135" s="484">
        <f t="shared" si="121"/>
        <v>686504.10600000015</v>
      </c>
      <c r="M135" s="484">
        <f t="shared" si="122"/>
        <v>886504.10600000015</v>
      </c>
      <c r="N135" s="484">
        <f t="shared" si="123"/>
        <v>893423.5610000001</v>
      </c>
      <c r="O135" s="484">
        <f t="shared" si="124"/>
        <v>2546016.4240000001</v>
      </c>
      <c r="P135" s="484">
        <f t="shared" si="125"/>
        <v>21000</v>
      </c>
      <c r="Q135" s="484">
        <f t="shared" si="126"/>
        <v>33000</v>
      </c>
      <c r="R135" s="484">
        <f t="shared" si="127"/>
        <v>75000</v>
      </c>
      <c r="S135" s="484">
        <f t="shared" si="128"/>
        <v>95000</v>
      </c>
      <c r="T135" s="484">
        <f t="shared" si="129"/>
        <v>198663.44904000001</v>
      </c>
      <c r="U135" s="484"/>
      <c r="V135" s="484">
        <f t="shared" si="135"/>
        <v>422663.44903999998</v>
      </c>
      <c r="W135" s="488">
        <v>12</v>
      </c>
      <c r="X135" s="484">
        <f t="shared" si="130"/>
        <v>35221.954086666665</v>
      </c>
      <c r="Y135" s="486"/>
      <c r="Z135" s="484">
        <f t="shared" si="131"/>
        <v>35221.954086666665</v>
      </c>
      <c r="AA135" s="36">
        <v>35221.954086666665</v>
      </c>
      <c r="AB135" s="36">
        <f t="shared" si="134"/>
        <v>0</v>
      </c>
      <c r="AC135" s="36"/>
      <c r="AD135" s="36"/>
      <c r="AE135" s="36"/>
    </row>
    <row r="136" spans="1:31" ht="18.75">
      <c r="A136" s="473">
        <v>119</v>
      </c>
      <c r="B136" s="432" t="s">
        <v>103</v>
      </c>
      <c r="C136" s="484">
        <v>286619.99875000003</v>
      </c>
      <c r="D136" s="485">
        <v>12</v>
      </c>
      <c r="E136" s="484">
        <f t="shared" si="132"/>
        <v>3439439.9850000003</v>
      </c>
      <c r="F136" s="484"/>
      <c r="G136" s="486"/>
      <c r="H136" s="486"/>
      <c r="I136" s="484">
        <f t="shared" si="133"/>
        <v>3439439.9850000003</v>
      </c>
      <c r="J136" s="484">
        <v>200000</v>
      </c>
      <c r="K136" s="484">
        <v>0.2</v>
      </c>
      <c r="L136" s="484">
        <f t="shared" si="121"/>
        <v>687887.99700000009</v>
      </c>
      <c r="M136" s="484">
        <f t="shared" si="122"/>
        <v>887887.99700000009</v>
      </c>
      <c r="N136" s="484">
        <f t="shared" si="123"/>
        <v>887887.99700000009</v>
      </c>
      <c r="O136" s="484">
        <f t="shared" si="124"/>
        <v>2551551.9880000004</v>
      </c>
      <c r="P136" s="484">
        <f t="shared" si="125"/>
        <v>21000</v>
      </c>
      <c r="Q136" s="484">
        <f t="shared" si="126"/>
        <v>33000</v>
      </c>
      <c r="R136" s="484">
        <f t="shared" si="127"/>
        <v>75000</v>
      </c>
      <c r="S136" s="484">
        <f t="shared" si="128"/>
        <v>95000</v>
      </c>
      <c r="T136" s="484">
        <f t="shared" si="129"/>
        <v>199825.91748000006</v>
      </c>
      <c r="U136" s="484"/>
      <c r="V136" s="484">
        <f t="shared" si="135"/>
        <v>423825.91748000006</v>
      </c>
      <c r="W136" s="488">
        <v>12</v>
      </c>
      <c r="X136" s="484">
        <f t="shared" si="130"/>
        <v>35318.826456666669</v>
      </c>
      <c r="Y136" s="486"/>
      <c r="Z136" s="484">
        <f t="shared" si="131"/>
        <v>35318.826456666669</v>
      </c>
      <c r="AA136" s="36">
        <v>35318.826456666669</v>
      </c>
      <c r="AB136" s="36">
        <f t="shared" si="134"/>
        <v>0</v>
      </c>
      <c r="AC136" s="36"/>
      <c r="AD136" s="36"/>
      <c r="AE136" s="36"/>
    </row>
    <row r="137" spans="1:31" ht="18.75">
      <c r="A137" s="473">
        <v>120</v>
      </c>
      <c r="B137" s="432" t="s">
        <v>151</v>
      </c>
      <c r="C137" s="484">
        <v>286619.99875000003</v>
      </c>
      <c r="D137" s="485">
        <v>12</v>
      </c>
      <c r="E137" s="484">
        <f t="shared" si="132"/>
        <v>3439439.9850000003</v>
      </c>
      <c r="F137" s="484"/>
      <c r="G137" s="486"/>
      <c r="H137" s="486"/>
      <c r="I137" s="484">
        <f t="shared" si="133"/>
        <v>3439439.9850000003</v>
      </c>
      <c r="J137" s="484">
        <v>200000</v>
      </c>
      <c r="K137" s="484">
        <v>0.2</v>
      </c>
      <c r="L137" s="484">
        <f t="shared" si="121"/>
        <v>687887.99700000009</v>
      </c>
      <c r="M137" s="484">
        <f t="shared" si="122"/>
        <v>887887.99700000009</v>
      </c>
      <c r="N137" s="484">
        <f t="shared" si="123"/>
        <v>887887.99700000009</v>
      </c>
      <c r="O137" s="484">
        <f t="shared" si="124"/>
        <v>2551551.9880000004</v>
      </c>
      <c r="P137" s="484">
        <f t="shared" si="125"/>
        <v>21000</v>
      </c>
      <c r="Q137" s="484">
        <f t="shared" si="126"/>
        <v>33000</v>
      </c>
      <c r="R137" s="484">
        <f t="shared" si="127"/>
        <v>75000</v>
      </c>
      <c r="S137" s="484">
        <f t="shared" si="128"/>
        <v>95000</v>
      </c>
      <c r="T137" s="484">
        <f t="shared" si="129"/>
        <v>199825.91748000006</v>
      </c>
      <c r="U137" s="484"/>
      <c r="V137" s="484">
        <f t="shared" si="135"/>
        <v>423825.91748000006</v>
      </c>
      <c r="W137" s="488">
        <v>12</v>
      </c>
      <c r="X137" s="484">
        <f t="shared" si="130"/>
        <v>35318.826456666669</v>
      </c>
      <c r="Y137" s="486"/>
      <c r="Z137" s="484">
        <f t="shared" si="131"/>
        <v>35318.826456666669</v>
      </c>
      <c r="AA137" s="36">
        <v>35318.826456666669</v>
      </c>
      <c r="AB137" s="36">
        <f t="shared" si="134"/>
        <v>0</v>
      </c>
      <c r="AC137" s="36"/>
      <c r="AD137" s="36"/>
      <c r="AE137" s="36"/>
    </row>
    <row r="138" spans="1:31" ht="37.5">
      <c r="A138" s="473">
        <v>121</v>
      </c>
      <c r="B138" s="432" t="s">
        <v>238</v>
      </c>
      <c r="C138" s="484">
        <v>284536.99849999999</v>
      </c>
      <c r="D138" s="485">
        <v>12</v>
      </c>
      <c r="E138" s="484">
        <f t="shared" si="132"/>
        <v>3414443.9819999998</v>
      </c>
      <c r="F138" s="484"/>
      <c r="G138" s="486"/>
      <c r="H138" s="486"/>
      <c r="I138" s="484">
        <f t="shared" si="133"/>
        <v>3414443.9819999998</v>
      </c>
      <c r="J138" s="484">
        <v>200000</v>
      </c>
      <c r="K138" s="484">
        <v>0.2</v>
      </c>
      <c r="L138" s="484">
        <f t="shared" si="121"/>
        <v>682888.79639999999</v>
      </c>
      <c r="M138" s="484">
        <f t="shared" si="122"/>
        <v>882888.79639999999</v>
      </c>
      <c r="N138" s="484">
        <f t="shared" si="123"/>
        <v>882888.79639999999</v>
      </c>
      <c r="O138" s="484">
        <f t="shared" si="124"/>
        <v>2531555.1856</v>
      </c>
      <c r="P138" s="484">
        <f t="shared" si="125"/>
        <v>21000</v>
      </c>
      <c r="Q138" s="484">
        <f t="shared" si="126"/>
        <v>33000</v>
      </c>
      <c r="R138" s="484">
        <f t="shared" si="127"/>
        <v>75000</v>
      </c>
      <c r="S138" s="484">
        <f t="shared" si="128"/>
        <v>95000</v>
      </c>
      <c r="T138" s="484">
        <f t="shared" si="129"/>
        <v>195626.588976</v>
      </c>
      <c r="U138" s="484"/>
      <c r="V138" s="484">
        <f t="shared" si="135"/>
        <v>419626.58897599997</v>
      </c>
      <c r="W138" s="488">
        <v>12</v>
      </c>
      <c r="X138" s="484">
        <f t="shared" si="130"/>
        <v>34968.882414666667</v>
      </c>
      <c r="Y138" s="486"/>
      <c r="Z138" s="484">
        <f t="shared" si="131"/>
        <v>34968.882414666667</v>
      </c>
      <c r="AA138" s="36">
        <v>34968.882414666667</v>
      </c>
      <c r="AB138" s="36">
        <f t="shared" si="134"/>
        <v>0</v>
      </c>
      <c r="AC138" s="36"/>
      <c r="AD138" s="36"/>
      <c r="AE138" s="36"/>
    </row>
    <row r="139" spans="1:31" ht="18.75">
      <c r="A139" s="473">
        <v>122</v>
      </c>
      <c r="B139" s="432" t="s">
        <v>53</v>
      </c>
      <c r="C139" s="484">
        <v>272454.07400000002</v>
      </c>
      <c r="D139" s="485">
        <v>12</v>
      </c>
      <c r="E139" s="484">
        <f t="shared" si="132"/>
        <v>3269448.8880000003</v>
      </c>
      <c r="F139" s="484">
        <f>538.022*12</f>
        <v>6456.264000000001</v>
      </c>
      <c r="G139" s="486"/>
      <c r="H139" s="486"/>
      <c r="I139" s="484">
        <f t="shared" si="133"/>
        <v>3262992.6240000003</v>
      </c>
      <c r="J139" s="484">
        <v>200000</v>
      </c>
      <c r="K139" s="484">
        <v>0.2</v>
      </c>
      <c r="L139" s="484">
        <f t="shared" si="121"/>
        <v>652598.52480000013</v>
      </c>
      <c r="M139" s="484">
        <f t="shared" si="122"/>
        <v>852598.52480000013</v>
      </c>
      <c r="N139" s="484">
        <f t="shared" si="123"/>
        <v>859054.7888000001</v>
      </c>
      <c r="O139" s="484">
        <f t="shared" si="124"/>
        <v>2410394.0992000001</v>
      </c>
      <c r="P139" s="484">
        <f t="shared" si="125"/>
        <v>21000</v>
      </c>
      <c r="Q139" s="484">
        <f t="shared" si="126"/>
        <v>33000</v>
      </c>
      <c r="R139" s="484">
        <f t="shared" si="127"/>
        <v>75000</v>
      </c>
      <c r="S139" s="484">
        <f t="shared" si="128"/>
        <v>95000</v>
      </c>
      <c r="T139" s="484">
        <f t="shared" si="129"/>
        <v>170182.760832</v>
      </c>
      <c r="U139" s="484"/>
      <c r="V139" s="484">
        <f t="shared" si="135"/>
        <v>394182.760832</v>
      </c>
      <c r="W139" s="488">
        <v>12</v>
      </c>
      <c r="X139" s="484">
        <f t="shared" si="130"/>
        <v>32848.563402666667</v>
      </c>
      <c r="Y139" s="486"/>
      <c r="Z139" s="484">
        <f t="shared" si="131"/>
        <v>32848.563402666667</v>
      </c>
      <c r="AA139" s="36">
        <v>32848.563402666667</v>
      </c>
      <c r="AB139" s="36">
        <f t="shared" si="134"/>
        <v>0</v>
      </c>
      <c r="AC139" s="36"/>
      <c r="AD139" s="36"/>
      <c r="AE139" s="36"/>
    </row>
    <row r="140" spans="1:31" ht="37.5">
      <c r="A140" s="473">
        <v>123</v>
      </c>
      <c r="B140" s="432" t="s">
        <v>179</v>
      </c>
      <c r="C140" s="484">
        <v>286619.99875000003</v>
      </c>
      <c r="D140" s="485">
        <v>12</v>
      </c>
      <c r="E140" s="484">
        <f t="shared" si="132"/>
        <v>3439439.9850000003</v>
      </c>
      <c r="F140" s="484">
        <f>576.62125*12</f>
        <v>6919.4549999999999</v>
      </c>
      <c r="G140" s="486"/>
      <c r="H140" s="486"/>
      <c r="I140" s="484">
        <f t="shared" si="133"/>
        <v>3432520.5300000003</v>
      </c>
      <c r="J140" s="484">
        <v>200000</v>
      </c>
      <c r="K140" s="484">
        <v>0.2</v>
      </c>
      <c r="L140" s="484">
        <f t="shared" si="121"/>
        <v>686504.10600000015</v>
      </c>
      <c r="M140" s="484">
        <f t="shared" si="122"/>
        <v>886504.10600000015</v>
      </c>
      <c r="N140" s="484">
        <f t="shared" si="123"/>
        <v>893423.5610000001</v>
      </c>
      <c r="O140" s="484">
        <f t="shared" si="124"/>
        <v>2546016.4240000001</v>
      </c>
      <c r="P140" s="484">
        <f t="shared" si="125"/>
        <v>21000</v>
      </c>
      <c r="Q140" s="484">
        <f t="shared" si="126"/>
        <v>33000</v>
      </c>
      <c r="R140" s="484">
        <f t="shared" si="127"/>
        <v>75000</v>
      </c>
      <c r="S140" s="484">
        <f t="shared" si="128"/>
        <v>95000</v>
      </c>
      <c r="T140" s="484">
        <f t="shared" si="129"/>
        <v>198663.44904000001</v>
      </c>
      <c r="U140" s="484"/>
      <c r="V140" s="484">
        <f t="shared" si="135"/>
        <v>422663.44903999998</v>
      </c>
      <c r="W140" s="488">
        <v>12</v>
      </c>
      <c r="X140" s="484">
        <f t="shared" si="130"/>
        <v>35221.954086666665</v>
      </c>
      <c r="Y140" s="486"/>
      <c r="Z140" s="484">
        <f t="shared" si="131"/>
        <v>35221.954086666665</v>
      </c>
      <c r="AA140" s="36">
        <v>35221.954086666665</v>
      </c>
      <c r="AB140" s="36">
        <f t="shared" si="134"/>
        <v>0</v>
      </c>
      <c r="AC140" s="36"/>
      <c r="AD140" s="36"/>
      <c r="AE140" s="36"/>
    </row>
    <row r="141" spans="1:31" s="481" customFormat="1" ht="18.75">
      <c r="A141" s="478">
        <v>124</v>
      </c>
      <c r="B141" s="364" t="s">
        <v>293</v>
      </c>
      <c r="C141" s="484">
        <v>265372.07499999995</v>
      </c>
      <c r="D141" s="485">
        <v>12</v>
      </c>
      <c r="E141" s="484">
        <f t="shared" si="132"/>
        <v>3184464.8999999994</v>
      </c>
      <c r="F141" s="484">
        <v>0</v>
      </c>
      <c r="G141" s="486"/>
      <c r="H141" s="486"/>
      <c r="I141" s="484">
        <f t="shared" si="133"/>
        <v>3184464.8999999994</v>
      </c>
      <c r="J141" s="484">
        <v>200000</v>
      </c>
      <c r="K141" s="484">
        <v>0.2</v>
      </c>
      <c r="L141" s="484">
        <f t="shared" si="121"/>
        <v>636892.98</v>
      </c>
      <c r="M141" s="484">
        <f t="shared" si="122"/>
        <v>836892.98</v>
      </c>
      <c r="N141" s="484">
        <f t="shared" si="123"/>
        <v>836892.98</v>
      </c>
      <c r="O141" s="484">
        <f t="shared" si="124"/>
        <v>2347571.9199999995</v>
      </c>
      <c r="P141" s="484">
        <f t="shared" si="125"/>
        <v>21000</v>
      </c>
      <c r="Q141" s="484">
        <f t="shared" si="126"/>
        <v>33000</v>
      </c>
      <c r="R141" s="484">
        <f t="shared" si="127"/>
        <v>75000</v>
      </c>
      <c r="S141" s="484">
        <f t="shared" si="128"/>
        <v>95000</v>
      </c>
      <c r="T141" s="484">
        <f t="shared" si="129"/>
        <v>156990.10319999987</v>
      </c>
      <c r="U141" s="484"/>
      <c r="V141" s="484">
        <f t="shared" si="135"/>
        <v>380990.1031999999</v>
      </c>
      <c r="W141" s="488">
        <v>12</v>
      </c>
      <c r="X141" s="484">
        <f t="shared" si="130"/>
        <v>31749.175266666658</v>
      </c>
      <c r="Y141" s="486"/>
      <c r="Z141" s="484">
        <f t="shared" si="131"/>
        <v>31749.175266666658</v>
      </c>
      <c r="AA141" s="36">
        <v>31749.175266666658</v>
      </c>
      <c r="AB141" s="36">
        <f t="shared" si="134"/>
        <v>0</v>
      </c>
      <c r="AC141" s="480"/>
      <c r="AD141" s="480"/>
      <c r="AE141" s="480"/>
    </row>
    <row r="142" spans="1:31" ht="18.75">
      <c r="A142" s="473">
        <v>125</v>
      </c>
      <c r="B142" s="432" t="s">
        <v>488</v>
      </c>
      <c r="C142" s="484">
        <v>237734.04699999996</v>
      </c>
      <c r="D142" s="485">
        <v>12</v>
      </c>
      <c r="E142" s="484">
        <f t="shared" si="132"/>
        <v>2852808.5639999993</v>
      </c>
      <c r="F142" s="484"/>
      <c r="G142" s="486"/>
      <c r="H142" s="486"/>
      <c r="I142" s="484">
        <f t="shared" si="133"/>
        <v>2852808.5639999993</v>
      </c>
      <c r="J142" s="484">
        <v>200000</v>
      </c>
      <c r="K142" s="484">
        <v>0.2</v>
      </c>
      <c r="L142" s="484">
        <f t="shared" si="121"/>
        <v>570561.71279999986</v>
      </c>
      <c r="M142" s="484">
        <f t="shared" si="122"/>
        <v>770561.71279999986</v>
      </c>
      <c r="N142" s="484">
        <f t="shared" si="123"/>
        <v>770561.71279999986</v>
      </c>
      <c r="O142" s="484">
        <f t="shared" si="124"/>
        <v>2082246.8511999995</v>
      </c>
      <c r="P142" s="484">
        <f t="shared" si="125"/>
        <v>21000</v>
      </c>
      <c r="Q142" s="484">
        <f t="shared" si="126"/>
        <v>33000</v>
      </c>
      <c r="R142" s="484">
        <f t="shared" si="127"/>
        <v>75000</v>
      </c>
      <c r="S142" s="484">
        <f t="shared" si="128"/>
        <v>95000</v>
      </c>
      <c r="T142" s="484">
        <f t="shared" si="129"/>
        <v>101271.83875199988</v>
      </c>
      <c r="U142" s="484"/>
      <c r="V142" s="484">
        <f t="shared" si="135"/>
        <v>325271.83875199989</v>
      </c>
      <c r="W142" s="488">
        <v>12</v>
      </c>
      <c r="X142" s="484">
        <f t="shared" si="130"/>
        <v>27105.986562666658</v>
      </c>
      <c r="Y142" s="486"/>
      <c r="Z142" s="484">
        <f t="shared" si="131"/>
        <v>27105.986562666658</v>
      </c>
      <c r="AA142" s="36">
        <v>27105.986562666658</v>
      </c>
      <c r="AB142" s="36">
        <f t="shared" si="134"/>
        <v>0</v>
      </c>
      <c r="AC142" s="36"/>
      <c r="AD142" s="36"/>
      <c r="AE142" s="36"/>
    </row>
    <row r="143" spans="1:31" ht="18.75">
      <c r="A143" s="473">
        <v>126</v>
      </c>
      <c r="B143" s="432" t="s">
        <v>489</v>
      </c>
      <c r="C143" s="484">
        <v>242300.07749999996</v>
      </c>
      <c r="D143" s="485">
        <v>12</v>
      </c>
      <c r="E143" s="484">
        <f t="shared" si="132"/>
        <v>2907600.9299999997</v>
      </c>
      <c r="F143" s="484">
        <f>469.4825*12</f>
        <v>5633.79</v>
      </c>
      <c r="G143" s="486"/>
      <c r="H143" s="486"/>
      <c r="I143" s="484">
        <f t="shared" si="133"/>
        <v>2901967.1399999997</v>
      </c>
      <c r="J143" s="484">
        <v>200000</v>
      </c>
      <c r="K143" s="484">
        <v>0.2</v>
      </c>
      <c r="L143" s="484">
        <f t="shared" si="121"/>
        <v>580393.42799999996</v>
      </c>
      <c r="M143" s="484">
        <f t="shared" si="122"/>
        <v>780393.42799999996</v>
      </c>
      <c r="N143" s="484">
        <f t="shared" si="123"/>
        <v>786027.21799999999</v>
      </c>
      <c r="O143" s="484">
        <f t="shared" si="124"/>
        <v>2121573.7119999998</v>
      </c>
      <c r="P143" s="484">
        <f t="shared" si="125"/>
        <v>21000</v>
      </c>
      <c r="Q143" s="484">
        <f t="shared" si="126"/>
        <v>33000</v>
      </c>
      <c r="R143" s="484">
        <f t="shared" si="127"/>
        <v>75000</v>
      </c>
      <c r="S143" s="484">
        <f t="shared" si="128"/>
        <v>95000</v>
      </c>
      <c r="T143" s="484">
        <f t="shared" si="129"/>
        <v>109530.47951999996</v>
      </c>
      <c r="U143" s="484"/>
      <c r="V143" s="484">
        <f t="shared" si="135"/>
        <v>333530.47951999994</v>
      </c>
      <c r="W143" s="488">
        <v>12</v>
      </c>
      <c r="X143" s="484">
        <f t="shared" si="130"/>
        <v>27794.206626666662</v>
      </c>
      <c r="Y143" s="486"/>
      <c r="Z143" s="484">
        <f t="shared" si="131"/>
        <v>27794.206626666662</v>
      </c>
      <c r="AA143" s="480">
        <v>27794.206626666662</v>
      </c>
      <c r="AB143" s="36">
        <f t="shared" si="134"/>
        <v>0</v>
      </c>
      <c r="AC143" s="36"/>
      <c r="AD143" s="36"/>
      <c r="AE143" s="36"/>
    </row>
    <row r="144" spans="1:31" ht="18.75">
      <c r="A144" s="473">
        <v>127</v>
      </c>
      <c r="B144" s="432" t="s">
        <v>212</v>
      </c>
      <c r="C144" s="484">
        <v>242300.07749999996</v>
      </c>
      <c r="D144" s="485">
        <v>12</v>
      </c>
      <c r="E144" s="484">
        <f t="shared" si="132"/>
        <v>2907600.9299999997</v>
      </c>
      <c r="F144" s="484"/>
      <c r="G144" s="486"/>
      <c r="H144" s="486"/>
      <c r="I144" s="484">
        <f t="shared" si="133"/>
        <v>2907600.9299999997</v>
      </c>
      <c r="J144" s="484">
        <v>200000</v>
      </c>
      <c r="K144" s="484">
        <v>0.2</v>
      </c>
      <c r="L144" s="484">
        <f t="shared" si="121"/>
        <v>581520.18599999999</v>
      </c>
      <c r="M144" s="484">
        <f t="shared" si="122"/>
        <v>781520.18599999999</v>
      </c>
      <c r="N144" s="484">
        <f t="shared" si="123"/>
        <v>781520.18599999999</v>
      </c>
      <c r="O144" s="484">
        <f t="shared" si="124"/>
        <v>2126080.7439999999</v>
      </c>
      <c r="P144" s="484">
        <f t="shared" si="125"/>
        <v>21000</v>
      </c>
      <c r="Q144" s="484">
        <f t="shared" si="126"/>
        <v>33000</v>
      </c>
      <c r="R144" s="484">
        <f t="shared" si="127"/>
        <v>75000</v>
      </c>
      <c r="S144" s="484">
        <f t="shared" si="128"/>
        <v>95000</v>
      </c>
      <c r="T144" s="484">
        <f t="shared" si="129"/>
        <v>110476.95623999998</v>
      </c>
      <c r="U144" s="484"/>
      <c r="V144" s="484">
        <f t="shared" si="135"/>
        <v>334476.95623999997</v>
      </c>
      <c r="W144" s="488">
        <v>12</v>
      </c>
      <c r="X144" s="484">
        <f t="shared" si="130"/>
        <v>27873.079686666664</v>
      </c>
      <c r="Y144" s="486"/>
      <c r="Z144" s="484">
        <f t="shared" si="131"/>
        <v>27873.079686666664</v>
      </c>
      <c r="AA144" s="36">
        <v>27873.079686666664</v>
      </c>
      <c r="AB144" s="36">
        <f t="shared" si="134"/>
        <v>0</v>
      </c>
      <c r="AC144" s="36"/>
      <c r="AD144" s="36"/>
      <c r="AE144" s="36"/>
    </row>
    <row r="145" spans="1:31" ht="18.75">
      <c r="A145" s="473">
        <v>128</v>
      </c>
      <c r="B145" s="432" t="s">
        <v>425</v>
      </c>
      <c r="C145" s="484">
        <v>237734.04699999996</v>
      </c>
      <c r="D145" s="485">
        <v>12</v>
      </c>
      <c r="E145" s="484">
        <f t="shared" si="132"/>
        <v>2852808.5639999993</v>
      </c>
      <c r="F145" s="484"/>
      <c r="G145" s="486"/>
      <c r="H145" s="486"/>
      <c r="I145" s="484">
        <f t="shared" si="133"/>
        <v>2852808.5639999993</v>
      </c>
      <c r="J145" s="484">
        <v>200000</v>
      </c>
      <c r="K145" s="484">
        <v>0.2</v>
      </c>
      <c r="L145" s="484">
        <f t="shared" si="121"/>
        <v>570561.71279999986</v>
      </c>
      <c r="M145" s="484">
        <f t="shared" si="122"/>
        <v>770561.71279999986</v>
      </c>
      <c r="N145" s="484">
        <f t="shared" si="123"/>
        <v>770561.71279999986</v>
      </c>
      <c r="O145" s="484">
        <f t="shared" si="124"/>
        <v>2082246.8511999995</v>
      </c>
      <c r="P145" s="484">
        <f t="shared" si="125"/>
        <v>21000</v>
      </c>
      <c r="Q145" s="484">
        <f t="shared" si="126"/>
        <v>33000</v>
      </c>
      <c r="R145" s="484">
        <f t="shared" si="127"/>
        <v>75000</v>
      </c>
      <c r="S145" s="484">
        <f t="shared" si="128"/>
        <v>95000</v>
      </c>
      <c r="T145" s="484">
        <f t="shared" si="129"/>
        <v>101271.83875199988</v>
      </c>
      <c r="U145" s="484"/>
      <c r="V145" s="484">
        <f t="shared" si="135"/>
        <v>325271.83875199989</v>
      </c>
      <c r="W145" s="488">
        <v>12</v>
      </c>
      <c r="X145" s="484">
        <f t="shared" si="130"/>
        <v>27105.986562666658</v>
      </c>
      <c r="Y145" s="486"/>
      <c r="Z145" s="484">
        <f t="shared" si="131"/>
        <v>27105.986562666658</v>
      </c>
      <c r="AA145" s="36">
        <v>27105.986562666658</v>
      </c>
      <c r="AB145" s="36">
        <f t="shared" si="134"/>
        <v>0</v>
      </c>
      <c r="AC145" s="36"/>
      <c r="AD145" s="36"/>
      <c r="AE145" s="36"/>
    </row>
    <row r="146" spans="1:31" ht="37.5">
      <c r="A146" s="473">
        <v>129</v>
      </c>
      <c r="B146" s="432" t="s">
        <v>750</v>
      </c>
      <c r="C146" s="484">
        <v>209356.04725</v>
      </c>
      <c r="D146" s="485">
        <v>12</v>
      </c>
      <c r="E146" s="484">
        <f t="shared" si="132"/>
        <v>2512272.5669999998</v>
      </c>
      <c r="F146" s="484"/>
      <c r="G146" s="486"/>
      <c r="H146" s="486"/>
      <c r="I146" s="484">
        <f t="shared" si="133"/>
        <v>2512272.5669999998</v>
      </c>
      <c r="J146" s="484">
        <v>200000</v>
      </c>
      <c r="K146" s="484">
        <v>0.2</v>
      </c>
      <c r="L146" s="484">
        <f t="shared" si="121"/>
        <v>502454.5134</v>
      </c>
      <c r="M146" s="484">
        <f t="shared" si="122"/>
        <v>702454.51340000005</v>
      </c>
      <c r="N146" s="484">
        <f t="shared" si="123"/>
        <v>702454.51340000005</v>
      </c>
      <c r="O146" s="484">
        <f t="shared" si="124"/>
        <v>1809818.0535999998</v>
      </c>
      <c r="P146" s="484">
        <f t="shared" si="125"/>
        <v>21000</v>
      </c>
      <c r="Q146" s="484">
        <f t="shared" si="126"/>
        <v>33000</v>
      </c>
      <c r="R146" s="484">
        <f t="shared" si="127"/>
        <v>75000</v>
      </c>
      <c r="S146" s="484">
        <f t="shared" si="128"/>
        <v>95000</v>
      </c>
      <c r="T146" s="484">
        <f t="shared" si="129"/>
        <v>44061.791255999946</v>
      </c>
      <c r="U146" s="484"/>
      <c r="V146" s="484">
        <f t="shared" si="135"/>
        <v>268061.79125599994</v>
      </c>
      <c r="W146" s="488">
        <v>12</v>
      </c>
      <c r="X146" s="484">
        <f t="shared" si="130"/>
        <v>22338.48260466666</v>
      </c>
      <c r="Y146" s="486"/>
      <c r="Z146" s="484">
        <f t="shared" si="131"/>
        <v>22338.48260466666</v>
      </c>
      <c r="AA146" s="36">
        <v>22338.48260466666</v>
      </c>
      <c r="AB146" s="36">
        <f t="shared" si="134"/>
        <v>0</v>
      </c>
      <c r="AC146" s="36"/>
      <c r="AD146" s="36"/>
      <c r="AE146" s="36"/>
    </row>
    <row r="147" spans="1:31" ht="18.75">
      <c r="A147" s="473">
        <v>130</v>
      </c>
      <c r="B147" s="432" t="s">
        <v>230</v>
      </c>
      <c r="C147" s="484">
        <v>237734.04699999996</v>
      </c>
      <c r="D147" s="485">
        <v>12</v>
      </c>
      <c r="E147" s="484">
        <f t="shared" si="132"/>
        <v>2852808.5639999993</v>
      </c>
      <c r="F147" s="484"/>
      <c r="G147" s="486"/>
      <c r="H147" s="486"/>
      <c r="I147" s="484">
        <f t="shared" si="133"/>
        <v>2852808.5639999993</v>
      </c>
      <c r="J147" s="484">
        <v>200000</v>
      </c>
      <c r="K147" s="484">
        <v>0.2</v>
      </c>
      <c r="L147" s="484">
        <f t="shared" si="121"/>
        <v>570561.71279999986</v>
      </c>
      <c r="M147" s="484">
        <f t="shared" si="122"/>
        <v>770561.71279999986</v>
      </c>
      <c r="N147" s="484">
        <f t="shared" si="123"/>
        <v>770561.71279999986</v>
      </c>
      <c r="O147" s="484">
        <f t="shared" si="124"/>
        <v>2082246.8511999995</v>
      </c>
      <c r="P147" s="484">
        <f t="shared" si="125"/>
        <v>21000</v>
      </c>
      <c r="Q147" s="484">
        <f t="shared" si="126"/>
        <v>33000</v>
      </c>
      <c r="R147" s="484">
        <f t="shared" si="127"/>
        <v>75000</v>
      </c>
      <c r="S147" s="484">
        <f t="shared" si="128"/>
        <v>95000</v>
      </c>
      <c r="T147" s="484">
        <f t="shared" si="129"/>
        <v>101271.83875199988</v>
      </c>
      <c r="U147" s="484"/>
      <c r="V147" s="484">
        <f t="shared" si="135"/>
        <v>325271.83875199989</v>
      </c>
      <c r="W147" s="488">
        <v>12</v>
      </c>
      <c r="X147" s="484">
        <f t="shared" si="130"/>
        <v>27105.986562666658</v>
      </c>
      <c r="Y147" s="486"/>
      <c r="Z147" s="484">
        <f t="shared" si="131"/>
        <v>27105.986562666658</v>
      </c>
      <c r="AA147" s="36">
        <v>27105.986562666658</v>
      </c>
      <c r="AB147" s="36">
        <f t="shared" si="134"/>
        <v>0</v>
      </c>
      <c r="AC147" s="36"/>
      <c r="AD147" s="36"/>
      <c r="AE147" s="36"/>
    </row>
    <row r="148" spans="1:31" ht="18.75">
      <c r="A148" s="473">
        <v>131</v>
      </c>
      <c r="B148" s="432" t="s">
        <v>57</v>
      </c>
      <c r="C148" s="484">
        <v>213508.01</v>
      </c>
      <c r="D148" s="485">
        <v>12</v>
      </c>
      <c r="E148" s="484">
        <f t="shared" si="132"/>
        <v>2562096.12</v>
      </c>
      <c r="F148" s="484"/>
      <c r="G148" s="486"/>
      <c r="H148" s="486"/>
      <c r="I148" s="484">
        <f t="shared" si="133"/>
        <v>2562096.12</v>
      </c>
      <c r="J148" s="484">
        <v>200000</v>
      </c>
      <c r="K148" s="484">
        <v>0.2</v>
      </c>
      <c r="L148" s="484">
        <f t="shared" si="121"/>
        <v>512419.22400000005</v>
      </c>
      <c r="M148" s="484">
        <f t="shared" si="122"/>
        <v>712419.22400000005</v>
      </c>
      <c r="N148" s="484">
        <f t="shared" si="123"/>
        <v>712419.22400000005</v>
      </c>
      <c r="O148" s="484">
        <f t="shared" si="124"/>
        <v>1849676.8960000002</v>
      </c>
      <c r="P148" s="484">
        <f t="shared" si="125"/>
        <v>21000</v>
      </c>
      <c r="Q148" s="484">
        <f t="shared" si="126"/>
        <v>33000</v>
      </c>
      <c r="R148" s="484">
        <f t="shared" si="127"/>
        <v>75000</v>
      </c>
      <c r="S148" s="484">
        <f t="shared" si="128"/>
        <v>95000</v>
      </c>
      <c r="T148" s="484">
        <f t="shared" si="129"/>
        <v>52432.148160000033</v>
      </c>
      <c r="U148" s="484"/>
      <c r="V148" s="484">
        <f t="shared" si="135"/>
        <v>276432.14816000004</v>
      </c>
      <c r="W148" s="488">
        <v>12</v>
      </c>
      <c r="X148" s="484">
        <f t="shared" si="130"/>
        <v>23036.01234666667</v>
      </c>
      <c r="Y148" s="486"/>
      <c r="Z148" s="484">
        <f t="shared" si="131"/>
        <v>23036.01234666667</v>
      </c>
      <c r="AA148" s="36">
        <v>23036.01234666667</v>
      </c>
      <c r="AB148" s="36">
        <f t="shared" si="134"/>
        <v>0</v>
      </c>
      <c r="AC148" s="36"/>
      <c r="AD148" s="36"/>
      <c r="AE148" s="36"/>
    </row>
    <row r="149" spans="1:31" ht="18.75">
      <c r="A149" s="473">
        <v>132</v>
      </c>
      <c r="B149" s="432" t="s">
        <v>251</v>
      </c>
      <c r="C149" s="484">
        <v>237734.04699999996</v>
      </c>
      <c r="D149" s="485">
        <v>12</v>
      </c>
      <c r="E149" s="484">
        <f t="shared" si="132"/>
        <v>2852808.5639999993</v>
      </c>
      <c r="F149" s="484">
        <f>457.041*12</f>
        <v>5484.4920000000002</v>
      </c>
      <c r="G149" s="486"/>
      <c r="H149" s="486"/>
      <c r="I149" s="484">
        <f t="shared" si="133"/>
        <v>2847324.0719999992</v>
      </c>
      <c r="J149" s="484">
        <v>200000</v>
      </c>
      <c r="K149" s="484">
        <v>0.2</v>
      </c>
      <c r="L149" s="484">
        <f t="shared" si="121"/>
        <v>569464.81439999992</v>
      </c>
      <c r="M149" s="484">
        <f t="shared" si="122"/>
        <v>769464.81439999992</v>
      </c>
      <c r="N149" s="484">
        <f t="shared" si="123"/>
        <v>774949.30639999988</v>
      </c>
      <c r="O149" s="484">
        <f t="shared" si="124"/>
        <v>2077859.2575999994</v>
      </c>
      <c r="P149" s="484">
        <f t="shared" si="125"/>
        <v>21000</v>
      </c>
      <c r="Q149" s="484">
        <f t="shared" si="126"/>
        <v>33000</v>
      </c>
      <c r="R149" s="484">
        <f t="shared" si="127"/>
        <v>75000</v>
      </c>
      <c r="S149" s="484">
        <f t="shared" si="128"/>
        <v>95000</v>
      </c>
      <c r="T149" s="484">
        <f t="shared" si="129"/>
        <v>100350.44409599988</v>
      </c>
      <c r="U149" s="484"/>
      <c r="V149" s="484">
        <f t="shared" si="135"/>
        <v>324350.44409599988</v>
      </c>
      <c r="W149" s="488">
        <v>12</v>
      </c>
      <c r="X149" s="484">
        <f t="shared" si="130"/>
        <v>27029.203674666656</v>
      </c>
      <c r="Y149" s="486"/>
      <c r="Z149" s="484">
        <f t="shared" si="131"/>
        <v>27029.203674666656</v>
      </c>
      <c r="AA149" s="36">
        <v>27029.203674666656</v>
      </c>
      <c r="AB149" s="36">
        <f t="shared" si="134"/>
        <v>0</v>
      </c>
      <c r="AC149" s="36"/>
      <c r="AD149" s="36"/>
      <c r="AE149" s="36"/>
    </row>
    <row r="150" spans="1:31" ht="18.75">
      <c r="A150" s="473">
        <v>133</v>
      </c>
      <c r="B150" s="432" t="s">
        <v>241</v>
      </c>
      <c r="C150" s="484">
        <v>209356.04725</v>
      </c>
      <c r="D150" s="485">
        <v>12</v>
      </c>
      <c r="E150" s="484">
        <f t="shared" si="132"/>
        <v>2512272.5669999998</v>
      </c>
      <c r="F150" s="484"/>
      <c r="G150" s="486"/>
      <c r="H150" s="486"/>
      <c r="I150" s="484">
        <f t="shared" si="133"/>
        <v>2512272.5669999998</v>
      </c>
      <c r="J150" s="484">
        <v>200000</v>
      </c>
      <c r="K150" s="484">
        <v>0.2</v>
      </c>
      <c r="L150" s="484">
        <f t="shared" si="121"/>
        <v>502454.5134</v>
      </c>
      <c r="M150" s="484">
        <f t="shared" si="122"/>
        <v>702454.51340000005</v>
      </c>
      <c r="N150" s="484">
        <f t="shared" si="123"/>
        <v>702454.51340000005</v>
      </c>
      <c r="O150" s="484">
        <f t="shared" si="124"/>
        <v>1809818.0535999998</v>
      </c>
      <c r="P150" s="484">
        <f t="shared" si="125"/>
        <v>21000</v>
      </c>
      <c r="Q150" s="484">
        <f t="shared" si="126"/>
        <v>33000</v>
      </c>
      <c r="R150" s="484">
        <f t="shared" si="127"/>
        <v>75000</v>
      </c>
      <c r="S150" s="484">
        <f t="shared" si="128"/>
        <v>95000</v>
      </c>
      <c r="T150" s="484">
        <f t="shared" si="129"/>
        <v>44061.791255999946</v>
      </c>
      <c r="U150" s="484"/>
      <c r="V150" s="484">
        <f t="shared" si="135"/>
        <v>268061.79125599994</v>
      </c>
      <c r="W150" s="488">
        <v>12</v>
      </c>
      <c r="X150" s="484">
        <f t="shared" si="130"/>
        <v>22338.48260466666</v>
      </c>
      <c r="Y150" s="486"/>
      <c r="Z150" s="484">
        <f t="shared" si="131"/>
        <v>22338.48260466666</v>
      </c>
      <c r="AA150" s="36">
        <v>22338.48260466666</v>
      </c>
      <c r="AB150" s="36">
        <f t="shared" si="134"/>
        <v>0</v>
      </c>
      <c r="AC150" s="36"/>
      <c r="AD150" s="36"/>
      <c r="AE150" s="36"/>
    </row>
    <row r="151" spans="1:31" ht="18.75">
      <c r="A151" s="473">
        <v>134</v>
      </c>
      <c r="B151" s="364" t="s">
        <v>289</v>
      </c>
      <c r="C151" s="484">
        <v>205204.0845</v>
      </c>
      <c r="D151" s="485">
        <v>12</v>
      </c>
      <c r="E151" s="484">
        <f t="shared" si="132"/>
        <v>2462449.014</v>
      </c>
      <c r="F151" s="484"/>
      <c r="G151" s="486"/>
      <c r="H151" s="486"/>
      <c r="I151" s="484">
        <f t="shared" si="133"/>
        <v>2462449.014</v>
      </c>
      <c r="J151" s="484">
        <v>200000</v>
      </c>
      <c r="K151" s="484">
        <v>0.2</v>
      </c>
      <c r="L151" s="484">
        <f t="shared" si="121"/>
        <v>492489.8028</v>
      </c>
      <c r="M151" s="484">
        <f t="shared" si="122"/>
        <v>692489.80279999995</v>
      </c>
      <c r="N151" s="484">
        <f t="shared" si="123"/>
        <v>692489.80279999995</v>
      </c>
      <c r="O151" s="484">
        <f t="shared" si="124"/>
        <v>1769959.2112</v>
      </c>
      <c r="P151" s="484">
        <f t="shared" si="125"/>
        <v>21000</v>
      </c>
      <c r="Q151" s="484">
        <f t="shared" si="126"/>
        <v>33000</v>
      </c>
      <c r="R151" s="484">
        <f t="shared" si="127"/>
        <v>75000</v>
      </c>
      <c r="S151" s="484">
        <f t="shared" si="128"/>
        <v>95000</v>
      </c>
      <c r="T151" s="484">
        <f t="shared" si="129"/>
        <v>35691.434352000004</v>
      </c>
      <c r="U151" s="484"/>
      <c r="V151" s="484">
        <f t="shared" si="135"/>
        <v>259691.43435200001</v>
      </c>
      <c r="W151" s="488">
        <v>12</v>
      </c>
      <c r="X151" s="484">
        <f t="shared" si="130"/>
        <v>21640.952862666669</v>
      </c>
      <c r="Y151" s="486"/>
      <c r="Z151" s="484">
        <f t="shared" si="131"/>
        <v>21640.952862666669</v>
      </c>
      <c r="AA151" s="36">
        <v>21640.952862666669</v>
      </c>
      <c r="AB151" s="36">
        <f t="shared" si="134"/>
        <v>0</v>
      </c>
      <c r="AC151" s="36"/>
      <c r="AD151" s="36"/>
      <c r="AE151" s="36"/>
    </row>
    <row r="152" spans="1:31" ht="18.75">
      <c r="A152" s="473">
        <v>135</v>
      </c>
      <c r="B152" s="364" t="s">
        <v>407</v>
      </c>
      <c r="C152" s="484">
        <v>176816.09999999998</v>
      </c>
      <c r="D152" s="485">
        <v>12</v>
      </c>
      <c r="E152" s="484">
        <f t="shared" si="132"/>
        <v>2121793.1999999997</v>
      </c>
      <c r="F152" s="484">
        <v>0</v>
      </c>
      <c r="G152" s="486"/>
      <c r="H152" s="486"/>
      <c r="I152" s="484">
        <f t="shared" si="133"/>
        <v>2121793.1999999997</v>
      </c>
      <c r="J152" s="484">
        <v>200000</v>
      </c>
      <c r="K152" s="484">
        <v>0.2</v>
      </c>
      <c r="L152" s="484">
        <f t="shared" si="121"/>
        <v>424358.63999999996</v>
      </c>
      <c r="M152" s="484">
        <f t="shared" si="122"/>
        <v>624358.6399999999</v>
      </c>
      <c r="N152" s="484">
        <f t="shared" si="123"/>
        <v>624358.6399999999</v>
      </c>
      <c r="O152" s="484">
        <f t="shared" si="124"/>
        <v>1497434.5599999998</v>
      </c>
      <c r="P152" s="484">
        <f t="shared" si="125"/>
        <v>21000</v>
      </c>
      <c r="Q152" s="484">
        <f t="shared" si="126"/>
        <v>33000</v>
      </c>
      <c r="R152" s="484">
        <f t="shared" si="127"/>
        <v>75000</v>
      </c>
      <c r="S152" s="484">
        <f t="shared" si="128"/>
        <v>75512.566399999967</v>
      </c>
      <c r="T152" s="484">
        <f t="shared" si="129"/>
        <v>0</v>
      </c>
      <c r="U152" s="484"/>
      <c r="V152" s="484">
        <f t="shared" si="135"/>
        <v>204512.56639999995</v>
      </c>
      <c r="W152" s="488">
        <v>12</v>
      </c>
      <c r="X152" s="484">
        <f t="shared" si="130"/>
        <v>17042.713866666661</v>
      </c>
      <c r="Y152" s="486"/>
      <c r="Z152" s="484">
        <f t="shared" si="131"/>
        <v>17042.713866666661</v>
      </c>
      <c r="AA152" s="36">
        <v>17042.713866666661</v>
      </c>
      <c r="AB152" s="36">
        <f t="shared" si="134"/>
        <v>0</v>
      </c>
      <c r="AC152" s="36"/>
      <c r="AD152" s="36"/>
      <c r="AE152" s="36"/>
    </row>
    <row r="153" spans="1:31" ht="18.75">
      <c r="A153" s="473">
        <v>136</v>
      </c>
      <c r="B153" s="364" t="s">
        <v>426</v>
      </c>
      <c r="C153" s="484">
        <v>176816.09999999998</v>
      </c>
      <c r="D153" s="485">
        <v>12</v>
      </c>
      <c r="E153" s="484">
        <f t="shared" si="132"/>
        <v>2121793.1999999997</v>
      </c>
      <c r="F153" s="484">
        <v>0</v>
      </c>
      <c r="G153" s="486"/>
      <c r="H153" s="486"/>
      <c r="I153" s="484">
        <f t="shared" si="133"/>
        <v>2121793.1999999997</v>
      </c>
      <c r="J153" s="484">
        <v>200000</v>
      </c>
      <c r="K153" s="484">
        <v>0.2</v>
      </c>
      <c r="L153" s="484">
        <f t="shared" si="121"/>
        <v>424358.63999999996</v>
      </c>
      <c r="M153" s="484">
        <f t="shared" si="122"/>
        <v>624358.6399999999</v>
      </c>
      <c r="N153" s="484">
        <f t="shared" si="123"/>
        <v>624358.6399999999</v>
      </c>
      <c r="O153" s="484">
        <f t="shared" si="124"/>
        <v>1497434.5599999998</v>
      </c>
      <c r="P153" s="484">
        <f t="shared" si="125"/>
        <v>21000</v>
      </c>
      <c r="Q153" s="484">
        <f t="shared" si="126"/>
        <v>33000</v>
      </c>
      <c r="R153" s="484">
        <f t="shared" si="127"/>
        <v>75000</v>
      </c>
      <c r="S153" s="484">
        <f t="shared" si="128"/>
        <v>75512.566399999967</v>
      </c>
      <c r="T153" s="484">
        <f t="shared" si="129"/>
        <v>0</v>
      </c>
      <c r="U153" s="484"/>
      <c r="V153" s="484">
        <f t="shared" si="135"/>
        <v>204512.56639999995</v>
      </c>
      <c r="W153" s="488">
        <v>12</v>
      </c>
      <c r="X153" s="484">
        <f t="shared" si="130"/>
        <v>17042.713866666661</v>
      </c>
      <c r="Y153" s="486"/>
      <c r="Z153" s="484">
        <f t="shared" si="131"/>
        <v>17042.713866666661</v>
      </c>
      <c r="AA153" s="36">
        <v>17042.713866666661</v>
      </c>
      <c r="AB153" s="36">
        <f t="shared" si="134"/>
        <v>0</v>
      </c>
      <c r="AC153" s="36"/>
      <c r="AD153" s="36"/>
      <c r="AE153" s="36"/>
    </row>
    <row r="154" spans="1:31" ht="37.5">
      <c r="A154" s="473">
        <v>137</v>
      </c>
      <c r="B154" s="364" t="s">
        <v>441</v>
      </c>
      <c r="C154" s="484">
        <v>176816.09999999998</v>
      </c>
      <c r="D154" s="485">
        <v>12</v>
      </c>
      <c r="E154" s="484">
        <f t="shared" si="132"/>
        <v>2121793.1999999997</v>
      </c>
      <c r="F154" s="484">
        <v>0</v>
      </c>
      <c r="G154" s="486"/>
      <c r="H154" s="486"/>
      <c r="I154" s="484">
        <f t="shared" si="133"/>
        <v>2121793.1999999997</v>
      </c>
      <c r="J154" s="484">
        <v>200000</v>
      </c>
      <c r="K154" s="484">
        <v>0.2</v>
      </c>
      <c r="L154" s="484">
        <f t="shared" si="121"/>
        <v>424358.63999999996</v>
      </c>
      <c r="M154" s="484">
        <f t="shared" si="122"/>
        <v>624358.6399999999</v>
      </c>
      <c r="N154" s="484">
        <f t="shared" si="123"/>
        <v>624358.6399999999</v>
      </c>
      <c r="O154" s="484">
        <f t="shared" si="124"/>
        <v>1497434.5599999998</v>
      </c>
      <c r="P154" s="484">
        <f t="shared" si="125"/>
        <v>21000</v>
      </c>
      <c r="Q154" s="484">
        <f t="shared" si="126"/>
        <v>33000</v>
      </c>
      <c r="R154" s="484">
        <f t="shared" si="127"/>
        <v>75000</v>
      </c>
      <c r="S154" s="484">
        <f t="shared" si="128"/>
        <v>75512.566399999967</v>
      </c>
      <c r="T154" s="484">
        <f t="shared" si="129"/>
        <v>0</v>
      </c>
      <c r="U154" s="484"/>
      <c r="V154" s="484">
        <f t="shared" si="135"/>
        <v>204512.56639999995</v>
      </c>
      <c r="W154" s="488">
        <v>12</v>
      </c>
      <c r="X154" s="484">
        <f t="shared" si="130"/>
        <v>17042.713866666661</v>
      </c>
      <c r="Y154" s="486"/>
      <c r="Z154" s="484">
        <f t="shared" si="131"/>
        <v>17042.713866666661</v>
      </c>
      <c r="AA154" s="36">
        <v>17042.713866666661</v>
      </c>
      <c r="AB154" s="36">
        <f t="shared" si="134"/>
        <v>0</v>
      </c>
      <c r="AC154" s="36"/>
      <c r="AD154" s="36"/>
      <c r="AE154" s="36"/>
    </row>
    <row r="155" spans="1:31" ht="18.75">
      <c r="A155" s="473">
        <v>138</v>
      </c>
      <c r="B155" s="364" t="s">
        <v>445</v>
      </c>
      <c r="C155" s="484">
        <v>180304.068</v>
      </c>
      <c r="D155" s="485">
        <v>12</v>
      </c>
      <c r="E155" s="484">
        <f t="shared" si="132"/>
        <v>2163648.8160000001</v>
      </c>
      <c r="F155" s="484">
        <v>0</v>
      </c>
      <c r="G155" s="486"/>
      <c r="H155" s="486"/>
      <c r="I155" s="484">
        <f t="shared" si="133"/>
        <v>2163648.8160000001</v>
      </c>
      <c r="J155" s="484">
        <v>200000</v>
      </c>
      <c r="K155" s="484">
        <v>0.2</v>
      </c>
      <c r="L155" s="484">
        <f t="shared" si="121"/>
        <v>432729.76320000004</v>
      </c>
      <c r="M155" s="484">
        <f t="shared" si="122"/>
        <v>632729.76320000004</v>
      </c>
      <c r="N155" s="484">
        <f t="shared" si="123"/>
        <v>632729.76320000004</v>
      </c>
      <c r="O155" s="484">
        <f t="shared" si="124"/>
        <v>1530919.0528000002</v>
      </c>
      <c r="P155" s="484">
        <f t="shared" si="125"/>
        <v>21000</v>
      </c>
      <c r="Q155" s="484">
        <f t="shared" si="126"/>
        <v>33000</v>
      </c>
      <c r="R155" s="484">
        <f t="shared" si="127"/>
        <v>75000</v>
      </c>
      <c r="S155" s="484">
        <f t="shared" si="128"/>
        <v>81874.620032000035</v>
      </c>
      <c r="T155" s="484">
        <f t="shared" si="129"/>
        <v>0</v>
      </c>
      <c r="U155" s="484"/>
      <c r="V155" s="484">
        <f t="shared" si="135"/>
        <v>210874.62003200004</v>
      </c>
      <c r="W155" s="488">
        <v>12</v>
      </c>
      <c r="X155" s="484">
        <f t="shared" si="130"/>
        <v>17572.88500266667</v>
      </c>
      <c r="Y155" s="486"/>
      <c r="Z155" s="484">
        <f t="shared" si="131"/>
        <v>17572.88500266667</v>
      </c>
      <c r="AA155" s="36">
        <v>17572.88500266667</v>
      </c>
      <c r="AB155" s="36">
        <f t="shared" si="134"/>
        <v>0</v>
      </c>
      <c r="AC155" s="36"/>
      <c r="AD155" s="36"/>
      <c r="AE155" s="36"/>
    </row>
    <row r="156" spans="1:31" ht="18.75">
      <c r="A156" s="473">
        <v>139</v>
      </c>
      <c r="B156" s="364" t="s">
        <v>550</v>
      </c>
      <c r="C156" s="484">
        <v>176816.09999999998</v>
      </c>
      <c r="D156" s="485">
        <v>12</v>
      </c>
      <c r="E156" s="484">
        <f t="shared" si="132"/>
        <v>2121793.1999999997</v>
      </c>
      <c r="F156" s="484">
        <v>0</v>
      </c>
      <c r="G156" s="486"/>
      <c r="H156" s="486"/>
      <c r="I156" s="484">
        <f t="shared" si="133"/>
        <v>2121793.1999999997</v>
      </c>
      <c r="J156" s="484">
        <v>200000</v>
      </c>
      <c r="K156" s="484">
        <v>0.2</v>
      </c>
      <c r="L156" s="484">
        <f t="shared" si="121"/>
        <v>424358.63999999996</v>
      </c>
      <c r="M156" s="484">
        <f t="shared" si="122"/>
        <v>624358.6399999999</v>
      </c>
      <c r="N156" s="484">
        <f t="shared" si="123"/>
        <v>624358.6399999999</v>
      </c>
      <c r="O156" s="484">
        <f t="shared" si="124"/>
        <v>1497434.5599999998</v>
      </c>
      <c r="P156" s="484">
        <f t="shared" si="125"/>
        <v>21000</v>
      </c>
      <c r="Q156" s="484">
        <f t="shared" si="126"/>
        <v>33000</v>
      </c>
      <c r="R156" s="484">
        <f t="shared" si="127"/>
        <v>75000</v>
      </c>
      <c r="S156" s="484">
        <f t="shared" si="128"/>
        <v>75512.566399999967</v>
      </c>
      <c r="T156" s="484">
        <f t="shared" si="129"/>
        <v>0</v>
      </c>
      <c r="U156" s="484"/>
      <c r="V156" s="484">
        <f t="shared" si="135"/>
        <v>204512.56639999995</v>
      </c>
      <c r="W156" s="488">
        <v>12</v>
      </c>
      <c r="X156" s="484">
        <f t="shared" si="130"/>
        <v>17042.713866666661</v>
      </c>
      <c r="Y156" s="486"/>
      <c r="Z156" s="484">
        <f t="shared" si="131"/>
        <v>17042.713866666661</v>
      </c>
      <c r="AA156" s="36">
        <v>17042.713866666661</v>
      </c>
      <c r="AB156" s="36">
        <f t="shared" si="134"/>
        <v>0</v>
      </c>
      <c r="AC156" s="36"/>
      <c r="AD156" s="36"/>
      <c r="AE156" s="36"/>
    </row>
    <row r="157" spans="1:31" ht="18.75">
      <c r="A157" s="473">
        <v>140</v>
      </c>
      <c r="B157" s="432" t="s">
        <v>22</v>
      </c>
      <c r="C157" s="484">
        <v>135590.72999999998</v>
      </c>
      <c r="D157" s="485">
        <v>12</v>
      </c>
      <c r="E157" s="484">
        <f t="shared" si="132"/>
        <v>1627088.7599999998</v>
      </c>
      <c r="F157" s="484">
        <f>263.19*12</f>
        <v>3158.2799999999997</v>
      </c>
      <c r="G157" s="486"/>
      <c r="H157" s="486"/>
      <c r="I157" s="484">
        <f t="shared" si="133"/>
        <v>1623930.4799999997</v>
      </c>
      <c r="J157" s="484">
        <v>200000</v>
      </c>
      <c r="K157" s="484">
        <v>0.2</v>
      </c>
      <c r="L157" s="484">
        <f t="shared" si="121"/>
        <v>324786.09599999996</v>
      </c>
      <c r="M157" s="484">
        <f t="shared" si="122"/>
        <v>524786.0959999999</v>
      </c>
      <c r="N157" s="484">
        <f t="shared" si="123"/>
        <v>527944.37599999993</v>
      </c>
      <c r="O157" s="484">
        <f t="shared" si="124"/>
        <v>1099144.3839999998</v>
      </c>
      <c r="P157" s="484">
        <f t="shared" si="125"/>
        <v>21000</v>
      </c>
      <c r="Q157" s="484">
        <f t="shared" si="126"/>
        <v>33000</v>
      </c>
      <c r="R157" s="484">
        <f t="shared" si="127"/>
        <v>74871.657599999977</v>
      </c>
      <c r="S157" s="484">
        <f t="shared" si="128"/>
        <v>0</v>
      </c>
      <c r="T157" s="484">
        <f t="shared" si="129"/>
        <v>0</v>
      </c>
      <c r="U157" s="484"/>
      <c r="V157" s="484">
        <f t="shared" si="135"/>
        <v>128871.65759999998</v>
      </c>
      <c r="W157" s="488">
        <v>12</v>
      </c>
      <c r="X157" s="484">
        <f t="shared" si="130"/>
        <v>10739.304799999998</v>
      </c>
      <c r="Y157" s="486"/>
      <c r="Z157" s="484">
        <f t="shared" si="131"/>
        <v>10739.304799999998</v>
      </c>
      <c r="AA157" s="36">
        <v>10739.304799999998</v>
      </c>
      <c r="AB157" s="36">
        <f t="shared" si="134"/>
        <v>0</v>
      </c>
      <c r="AC157" s="36"/>
      <c r="AD157" s="36"/>
      <c r="AE157" s="36"/>
    </row>
    <row r="158" spans="1:31" ht="18.75">
      <c r="A158" s="473">
        <v>141</v>
      </c>
      <c r="B158" s="432" t="s">
        <v>14</v>
      </c>
      <c r="C158" s="484">
        <v>138590.72999999998</v>
      </c>
      <c r="D158" s="485">
        <v>12</v>
      </c>
      <c r="E158" s="484">
        <f t="shared" si="132"/>
        <v>1663088.7599999998</v>
      </c>
      <c r="F158" s="484"/>
      <c r="G158" s="486"/>
      <c r="H158" s="486"/>
      <c r="I158" s="484">
        <f t="shared" si="133"/>
        <v>1663088.7599999998</v>
      </c>
      <c r="J158" s="484">
        <v>200000</v>
      </c>
      <c r="K158" s="484">
        <v>0.2</v>
      </c>
      <c r="L158" s="484">
        <f t="shared" si="121"/>
        <v>332617.75199999998</v>
      </c>
      <c r="M158" s="484">
        <f t="shared" si="122"/>
        <v>532617.75199999998</v>
      </c>
      <c r="N158" s="484">
        <f t="shared" si="123"/>
        <v>532617.75199999998</v>
      </c>
      <c r="O158" s="484">
        <f t="shared" si="124"/>
        <v>1130471.0079999999</v>
      </c>
      <c r="P158" s="484">
        <f t="shared" si="125"/>
        <v>21000</v>
      </c>
      <c r="Q158" s="484">
        <f t="shared" si="126"/>
        <v>33000</v>
      </c>
      <c r="R158" s="484">
        <f t="shared" si="127"/>
        <v>75000</v>
      </c>
      <c r="S158" s="484">
        <f t="shared" si="128"/>
        <v>5789.4915199999841</v>
      </c>
      <c r="T158" s="484">
        <f t="shared" si="129"/>
        <v>0</v>
      </c>
      <c r="U158" s="484"/>
      <c r="V158" s="484">
        <f t="shared" si="135"/>
        <v>134789.49151999998</v>
      </c>
      <c r="W158" s="488">
        <v>12</v>
      </c>
      <c r="X158" s="484">
        <f t="shared" si="130"/>
        <v>11232.457626666665</v>
      </c>
      <c r="Y158" s="486"/>
      <c r="Z158" s="484">
        <f t="shared" si="131"/>
        <v>11232.457626666665</v>
      </c>
      <c r="AA158" s="36">
        <v>11232.457626666665</v>
      </c>
      <c r="AB158" s="36">
        <f t="shared" si="134"/>
        <v>0</v>
      </c>
      <c r="AC158" s="36"/>
      <c r="AD158" s="36"/>
      <c r="AE158" s="36"/>
    </row>
    <row r="159" spans="1:31" ht="15.75" customHeight="1">
      <c r="A159" s="473">
        <v>142</v>
      </c>
      <c r="B159" s="432" t="s">
        <v>23</v>
      </c>
      <c r="C159" s="484">
        <v>135590.72999999998</v>
      </c>
      <c r="D159" s="485">
        <v>12</v>
      </c>
      <c r="E159" s="484">
        <f t="shared" si="132"/>
        <v>1627088.7599999998</v>
      </c>
      <c r="F159" s="484"/>
      <c r="G159" s="486"/>
      <c r="H159" s="486"/>
      <c r="I159" s="484">
        <f t="shared" si="133"/>
        <v>1627088.7599999998</v>
      </c>
      <c r="J159" s="484">
        <v>200000</v>
      </c>
      <c r="K159" s="484">
        <v>0.2</v>
      </c>
      <c r="L159" s="484">
        <f t="shared" si="121"/>
        <v>325417.75199999998</v>
      </c>
      <c r="M159" s="484">
        <f t="shared" si="122"/>
        <v>525417.75199999998</v>
      </c>
      <c r="N159" s="484">
        <f t="shared" si="123"/>
        <v>525417.75199999998</v>
      </c>
      <c r="O159" s="484">
        <f t="shared" si="124"/>
        <v>1101671.0079999999</v>
      </c>
      <c r="P159" s="484">
        <f t="shared" si="125"/>
        <v>21000</v>
      </c>
      <c r="Q159" s="484">
        <f t="shared" si="126"/>
        <v>33000</v>
      </c>
      <c r="R159" s="484">
        <f t="shared" si="127"/>
        <v>75000</v>
      </c>
      <c r="S159" s="484">
        <f t="shared" si="128"/>
        <v>317.49151999998372</v>
      </c>
      <c r="T159" s="484">
        <f t="shared" si="129"/>
        <v>0</v>
      </c>
      <c r="U159" s="484"/>
      <c r="V159" s="484">
        <f t="shared" si="135"/>
        <v>129317.49151999998</v>
      </c>
      <c r="W159" s="488">
        <v>12</v>
      </c>
      <c r="X159" s="484">
        <f t="shared" si="130"/>
        <v>10776.457626666665</v>
      </c>
      <c r="Y159" s="486"/>
      <c r="Z159" s="484">
        <f t="shared" si="131"/>
        <v>10776.457626666665</v>
      </c>
      <c r="AA159" s="36">
        <v>10776.457626666665</v>
      </c>
      <c r="AB159" s="36">
        <f t="shared" si="134"/>
        <v>0</v>
      </c>
      <c r="AC159" s="36"/>
      <c r="AD159" s="36"/>
      <c r="AE159" s="36"/>
    </row>
    <row r="160" spans="1:31" s="481" customFormat="1" ht="18.75">
      <c r="A160" s="478">
        <v>143</v>
      </c>
      <c r="B160" s="432" t="s">
        <v>39</v>
      </c>
      <c r="C160" s="484">
        <v>135590.72999999998</v>
      </c>
      <c r="D160" s="485">
        <v>12</v>
      </c>
      <c r="E160" s="484">
        <f t="shared" si="132"/>
        <v>1627088.7599999998</v>
      </c>
      <c r="F160" s="484">
        <f>263.19*12</f>
        <v>3158.2799999999997</v>
      </c>
      <c r="G160" s="486"/>
      <c r="H160" s="486"/>
      <c r="I160" s="484">
        <f t="shared" si="133"/>
        <v>1623930.4799999997</v>
      </c>
      <c r="J160" s="484">
        <v>200000</v>
      </c>
      <c r="K160" s="484">
        <v>0.2</v>
      </c>
      <c r="L160" s="484">
        <f t="shared" si="121"/>
        <v>324786.09599999996</v>
      </c>
      <c r="M160" s="484">
        <f t="shared" si="122"/>
        <v>524786.0959999999</v>
      </c>
      <c r="N160" s="484">
        <f t="shared" si="123"/>
        <v>527944.37599999993</v>
      </c>
      <c r="O160" s="484">
        <f t="shared" si="124"/>
        <v>1099144.3839999998</v>
      </c>
      <c r="P160" s="484">
        <f t="shared" si="125"/>
        <v>21000</v>
      </c>
      <c r="Q160" s="484">
        <f t="shared" si="126"/>
        <v>33000</v>
      </c>
      <c r="R160" s="484">
        <f t="shared" si="127"/>
        <v>74871.657599999977</v>
      </c>
      <c r="S160" s="484">
        <f t="shared" si="128"/>
        <v>0</v>
      </c>
      <c r="T160" s="484">
        <f t="shared" si="129"/>
        <v>0</v>
      </c>
      <c r="U160" s="484"/>
      <c r="V160" s="484">
        <f t="shared" si="135"/>
        <v>128871.65759999998</v>
      </c>
      <c r="W160" s="488">
        <v>12</v>
      </c>
      <c r="X160" s="484">
        <f t="shared" si="130"/>
        <v>10739.304799999998</v>
      </c>
      <c r="Y160" s="486"/>
      <c r="Z160" s="484">
        <f t="shared" si="131"/>
        <v>10739.304799999998</v>
      </c>
      <c r="AA160" s="36">
        <v>10739.304799999998</v>
      </c>
      <c r="AB160" s="36">
        <f t="shared" si="134"/>
        <v>0</v>
      </c>
      <c r="AC160" s="480"/>
      <c r="AD160" s="480"/>
      <c r="AE160" s="480"/>
    </row>
    <row r="161" spans="1:31" s="481" customFormat="1" ht="18.75">
      <c r="A161" s="478">
        <v>144</v>
      </c>
      <c r="B161" s="432" t="s">
        <v>40</v>
      </c>
      <c r="C161" s="484">
        <v>135590.72999999998</v>
      </c>
      <c r="D161" s="485">
        <v>12</v>
      </c>
      <c r="E161" s="484">
        <f t="shared" si="132"/>
        <v>1627088.7599999998</v>
      </c>
      <c r="F161" s="484"/>
      <c r="G161" s="486"/>
      <c r="H161" s="486"/>
      <c r="I161" s="484">
        <f t="shared" si="133"/>
        <v>1627088.7599999998</v>
      </c>
      <c r="J161" s="484">
        <v>200000</v>
      </c>
      <c r="K161" s="484">
        <v>0.2</v>
      </c>
      <c r="L161" s="484">
        <f t="shared" si="121"/>
        <v>325417.75199999998</v>
      </c>
      <c r="M161" s="484">
        <f t="shared" si="122"/>
        <v>525417.75199999998</v>
      </c>
      <c r="N161" s="484">
        <f t="shared" si="123"/>
        <v>525417.75199999998</v>
      </c>
      <c r="O161" s="484">
        <f t="shared" si="124"/>
        <v>1101671.0079999999</v>
      </c>
      <c r="P161" s="484">
        <f t="shared" si="125"/>
        <v>21000</v>
      </c>
      <c r="Q161" s="484">
        <f t="shared" si="126"/>
        <v>33000</v>
      </c>
      <c r="R161" s="484">
        <f t="shared" si="127"/>
        <v>75000</v>
      </c>
      <c r="S161" s="484">
        <f t="shared" si="128"/>
        <v>317.49151999998372</v>
      </c>
      <c r="T161" s="484">
        <f t="shared" si="129"/>
        <v>0</v>
      </c>
      <c r="U161" s="484"/>
      <c r="V161" s="484">
        <f t="shared" si="135"/>
        <v>129317.49151999998</v>
      </c>
      <c r="W161" s="488">
        <v>12</v>
      </c>
      <c r="X161" s="484">
        <f t="shared" si="130"/>
        <v>10776.457626666665</v>
      </c>
      <c r="Y161" s="486"/>
      <c r="Z161" s="484">
        <f t="shared" si="131"/>
        <v>10776.457626666665</v>
      </c>
      <c r="AA161" s="36">
        <v>10776.457626666665</v>
      </c>
      <c r="AB161" s="36">
        <f t="shared" si="134"/>
        <v>0</v>
      </c>
      <c r="AC161" s="480"/>
      <c r="AD161" s="480"/>
      <c r="AE161" s="480"/>
    </row>
    <row r="162" spans="1:31" s="481" customFormat="1" ht="18.75">
      <c r="A162" s="478">
        <v>145</v>
      </c>
      <c r="B162" s="432" t="s">
        <v>127</v>
      </c>
      <c r="C162" s="484">
        <v>138590.72999999998</v>
      </c>
      <c r="D162" s="485">
        <v>12</v>
      </c>
      <c r="E162" s="484">
        <f t="shared" si="132"/>
        <v>1663088.7599999998</v>
      </c>
      <c r="F162" s="484"/>
      <c r="G162" s="486"/>
      <c r="H162" s="486"/>
      <c r="I162" s="484">
        <f t="shared" si="133"/>
        <v>1663088.7599999998</v>
      </c>
      <c r="J162" s="484">
        <v>200000</v>
      </c>
      <c r="K162" s="484">
        <v>0.2</v>
      </c>
      <c r="L162" s="484">
        <f t="shared" si="121"/>
        <v>332617.75199999998</v>
      </c>
      <c r="M162" s="484">
        <f t="shared" si="122"/>
        <v>532617.75199999998</v>
      </c>
      <c r="N162" s="484">
        <f t="shared" si="123"/>
        <v>532617.75199999998</v>
      </c>
      <c r="O162" s="484">
        <f t="shared" si="124"/>
        <v>1130471.0079999999</v>
      </c>
      <c r="P162" s="484">
        <f t="shared" si="125"/>
        <v>21000</v>
      </c>
      <c r="Q162" s="484">
        <f t="shared" si="126"/>
        <v>33000</v>
      </c>
      <c r="R162" s="484">
        <f t="shared" si="127"/>
        <v>75000</v>
      </c>
      <c r="S162" s="484">
        <f t="shared" si="128"/>
        <v>5789.4915199999841</v>
      </c>
      <c r="T162" s="484">
        <f t="shared" si="129"/>
        <v>0</v>
      </c>
      <c r="U162" s="484"/>
      <c r="V162" s="484">
        <f t="shared" si="135"/>
        <v>134789.49151999998</v>
      </c>
      <c r="W162" s="488">
        <v>12</v>
      </c>
      <c r="X162" s="484">
        <f t="shared" si="130"/>
        <v>11232.457626666665</v>
      </c>
      <c r="Y162" s="486"/>
      <c r="Z162" s="484">
        <f t="shared" si="131"/>
        <v>11232.457626666665</v>
      </c>
      <c r="AA162" s="480">
        <v>11232.457626666665</v>
      </c>
      <c r="AB162" s="36">
        <f t="shared" si="134"/>
        <v>0</v>
      </c>
      <c r="AC162" s="480"/>
      <c r="AD162" s="480"/>
      <c r="AE162" s="480"/>
    </row>
    <row r="163" spans="1:31" ht="18.75">
      <c r="A163" s="473">
        <v>146</v>
      </c>
      <c r="B163" s="432" t="s">
        <v>128</v>
      </c>
      <c r="C163" s="484">
        <v>135590.72999999998</v>
      </c>
      <c r="D163" s="485">
        <v>12</v>
      </c>
      <c r="E163" s="484">
        <f t="shared" si="132"/>
        <v>1627088.7599999998</v>
      </c>
      <c r="F163" s="484"/>
      <c r="G163" s="486"/>
      <c r="H163" s="486"/>
      <c r="I163" s="484">
        <f t="shared" si="133"/>
        <v>1627088.7599999998</v>
      </c>
      <c r="J163" s="484">
        <v>200000</v>
      </c>
      <c r="K163" s="484">
        <v>0.2</v>
      </c>
      <c r="L163" s="484">
        <f t="shared" si="121"/>
        <v>325417.75199999998</v>
      </c>
      <c r="M163" s="484">
        <f t="shared" si="122"/>
        <v>525417.75199999998</v>
      </c>
      <c r="N163" s="484">
        <f t="shared" si="123"/>
        <v>525417.75199999998</v>
      </c>
      <c r="O163" s="484">
        <f t="shared" si="124"/>
        <v>1101671.0079999999</v>
      </c>
      <c r="P163" s="484">
        <f t="shared" si="125"/>
        <v>21000</v>
      </c>
      <c r="Q163" s="484">
        <f t="shared" si="126"/>
        <v>33000</v>
      </c>
      <c r="R163" s="484">
        <f t="shared" si="127"/>
        <v>75000</v>
      </c>
      <c r="S163" s="484">
        <f t="shared" si="128"/>
        <v>317.49151999998372</v>
      </c>
      <c r="T163" s="484">
        <f t="shared" si="129"/>
        <v>0</v>
      </c>
      <c r="U163" s="484"/>
      <c r="V163" s="484">
        <f t="shared" si="135"/>
        <v>129317.49151999998</v>
      </c>
      <c r="W163" s="488">
        <v>12</v>
      </c>
      <c r="X163" s="484">
        <f t="shared" si="130"/>
        <v>10776.457626666665</v>
      </c>
      <c r="Y163" s="486"/>
      <c r="Z163" s="484">
        <f t="shared" si="131"/>
        <v>10776.457626666665</v>
      </c>
      <c r="AA163" s="480">
        <v>10776.457626666665</v>
      </c>
      <c r="AB163" s="36">
        <f t="shared" si="134"/>
        <v>0</v>
      </c>
      <c r="AC163" s="36"/>
      <c r="AD163" s="36"/>
      <c r="AE163" s="36"/>
    </row>
    <row r="164" spans="1:31" ht="18.75">
      <c r="A164" s="473">
        <v>147</v>
      </c>
      <c r="B164" s="365" t="s">
        <v>136</v>
      </c>
      <c r="C164" s="484">
        <v>138590.72999999998</v>
      </c>
      <c r="D164" s="485">
        <v>12</v>
      </c>
      <c r="E164" s="484">
        <f t="shared" si="132"/>
        <v>1663088.7599999998</v>
      </c>
      <c r="F164" s="484"/>
      <c r="G164" s="486"/>
      <c r="H164" s="486"/>
      <c r="I164" s="484">
        <f t="shared" si="133"/>
        <v>1663088.7599999998</v>
      </c>
      <c r="J164" s="484">
        <v>200000</v>
      </c>
      <c r="K164" s="484">
        <v>0.2</v>
      </c>
      <c r="L164" s="484">
        <f t="shared" si="121"/>
        <v>332617.75199999998</v>
      </c>
      <c r="M164" s="484">
        <f t="shared" si="122"/>
        <v>532617.75199999998</v>
      </c>
      <c r="N164" s="484">
        <f t="shared" si="123"/>
        <v>532617.75199999998</v>
      </c>
      <c r="O164" s="484">
        <f t="shared" si="124"/>
        <v>1130471.0079999999</v>
      </c>
      <c r="P164" s="484">
        <f t="shared" si="125"/>
        <v>21000</v>
      </c>
      <c r="Q164" s="484">
        <f t="shared" si="126"/>
        <v>33000</v>
      </c>
      <c r="R164" s="484">
        <f t="shared" si="127"/>
        <v>75000</v>
      </c>
      <c r="S164" s="484">
        <f t="shared" si="128"/>
        <v>5789.4915199999841</v>
      </c>
      <c r="T164" s="484">
        <f t="shared" si="129"/>
        <v>0</v>
      </c>
      <c r="U164" s="484"/>
      <c r="V164" s="484">
        <f t="shared" si="135"/>
        <v>134789.49151999998</v>
      </c>
      <c r="W164" s="488">
        <v>12</v>
      </c>
      <c r="X164" s="484">
        <f t="shared" si="130"/>
        <v>11232.457626666665</v>
      </c>
      <c r="Y164" s="486"/>
      <c r="Z164" s="484">
        <f t="shared" si="131"/>
        <v>11232.457626666665</v>
      </c>
      <c r="AA164" s="480">
        <v>11232.457626666665</v>
      </c>
      <c r="AB164" s="36">
        <f t="shared" si="134"/>
        <v>0</v>
      </c>
      <c r="AC164" s="36"/>
      <c r="AD164" s="36"/>
      <c r="AE164" s="36"/>
    </row>
    <row r="165" spans="1:31" ht="18.75">
      <c r="A165" s="473">
        <v>148</v>
      </c>
      <c r="B165" s="432" t="s">
        <v>140</v>
      </c>
      <c r="C165" s="484">
        <v>135590.72999999998</v>
      </c>
      <c r="D165" s="485">
        <v>12</v>
      </c>
      <c r="E165" s="484">
        <f t="shared" si="132"/>
        <v>1627088.7599999998</v>
      </c>
      <c r="F165" s="484"/>
      <c r="G165" s="486"/>
      <c r="H165" s="486"/>
      <c r="I165" s="484">
        <f t="shared" si="133"/>
        <v>1627088.7599999998</v>
      </c>
      <c r="J165" s="484">
        <v>200000</v>
      </c>
      <c r="K165" s="484">
        <v>0.2</v>
      </c>
      <c r="L165" s="484">
        <f t="shared" si="121"/>
        <v>325417.75199999998</v>
      </c>
      <c r="M165" s="484">
        <f t="shared" si="122"/>
        <v>525417.75199999998</v>
      </c>
      <c r="N165" s="484">
        <f t="shared" si="123"/>
        <v>525417.75199999998</v>
      </c>
      <c r="O165" s="484">
        <f t="shared" si="124"/>
        <v>1101671.0079999999</v>
      </c>
      <c r="P165" s="484">
        <f t="shared" si="125"/>
        <v>21000</v>
      </c>
      <c r="Q165" s="484">
        <f t="shared" si="126"/>
        <v>33000</v>
      </c>
      <c r="R165" s="484">
        <f t="shared" si="127"/>
        <v>75000</v>
      </c>
      <c r="S165" s="484">
        <f t="shared" si="128"/>
        <v>317.49151999998372</v>
      </c>
      <c r="T165" s="484">
        <f t="shared" si="129"/>
        <v>0</v>
      </c>
      <c r="U165" s="484"/>
      <c r="V165" s="484">
        <f t="shared" si="135"/>
        <v>129317.49151999998</v>
      </c>
      <c r="W165" s="488">
        <v>12</v>
      </c>
      <c r="X165" s="484">
        <f t="shared" si="130"/>
        <v>10776.457626666665</v>
      </c>
      <c r="Y165" s="486"/>
      <c r="Z165" s="484">
        <f t="shared" si="131"/>
        <v>10776.457626666665</v>
      </c>
      <c r="AA165" s="36">
        <v>10776.457626666665</v>
      </c>
      <c r="AB165" s="36">
        <f t="shared" si="134"/>
        <v>0</v>
      </c>
      <c r="AC165" s="36"/>
      <c r="AD165" s="36"/>
      <c r="AE165" s="36"/>
    </row>
    <row r="166" spans="1:31" ht="18.75">
      <c r="A166" s="473">
        <v>149</v>
      </c>
      <c r="B166" s="364" t="s">
        <v>152</v>
      </c>
      <c r="C166" s="484">
        <v>135590.72999999998</v>
      </c>
      <c r="D166" s="485">
        <v>12</v>
      </c>
      <c r="E166" s="484">
        <f t="shared" si="132"/>
        <v>1627088.7599999998</v>
      </c>
      <c r="F166" s="484"/>
      <c r="G166" s="486"/>
      <c r="H166" s="486"/>
      <c r="I166" s="484">
        <f t="shared" si="133"/>
        <v>1627088.7599999998</v>
      </c>
      <c r="J166" s="484">
        <v>200000</v>
      </c>
      <c r="K166" s="484">
        <v>0.2</v>
      </c>
      <c r="L166" s="484">
        <f t="shared" si="121"/>
        <v>325417.75199999998</v>
      </c>
      <c r="M166" s="484">
        <f t="shared" si="122"/>
        <v>525417.75199999998</v>
      </c>
      <c r="N166" s="484">
        <f t="shared" si="123"/>
        <v>525417.75199999998</v>
      </c>
      <c r="O166" s="484">
        <f t="shared" si="124"/>
        <v>1101671.0079999999</v>
      </c>
      <c r="P166" s="484">
        <f t="shared" si="125"/>
        <v>21000</v>
      </c>
      <c r="Q166" s="484">
        <f t="shared" si="126"/>
        <v>33000</v>
      </c>
      <c r="R166" s="484">
        <f t="shared" si="127"/>
        <v>75000</v>
      </c>
      <c r="S166" s="484">
        <f t="shared" si="128"/>
        <v>317.49151999998372</v>
      </c>
      <c r="T166" s="484">
        <f t="shared" si="129"/>
        <v>0</v>
      </c>
      <c r="U166" s="484"/>
      <c r="V166" s="484">
        <f t="shared" si="135"/>
        <v>129317.49151999998</v>
      </c>
      <c r="W166" s="488">
        <v>12</v>
      </c>
      <c r="X166" s="484">
        <f t="shared" si="130"/>
        <v>10776.457626666665</v>
      </c>
      <c r="Y166" s="486"/>
      <c r="Z166" s="484">
        <f t="shared" si="131"/>
        <v>10776.457626666665</v>
      </c>
      <c r="AA166" s="36">
        <v>10776.457626666665</v>
      </c>
      <c r="AB166" s="36">
        <f t="shared" si="134"/>
        <v>0</v>
      </c>
      <c r="AC166" s="36"/>
      <c r="AD166" s="36"/>
      <c r="AE166" s="36"/>
    </row>
    <row r="167" spans="1:31" ht="18.75">
      <c r="A167" s="473">
        <v>150</v>
      </c>
      <c r="B167" s="364" t="s">
        <v>132</v>
      </c>
      <c r="C167" s="484">
        <v>138590.72999999998</v>
      </c>
      <c r="D167" s="485">
        <v>12</v>
      </c>
      <c r="E167" s="484">
        <f t="shared" si="132"/>
        <v>1663088.7599999998</v>
      </c>
      <c r="F167" s="484"/>
      <c r="G167" s="486"/>
      <c r="H167" s="486"/>
      <c r="I167" s="484">
        <f t="shared" si="133"/>
        <v>1663088.7599999998</v>
      </c>
      <c r="J167" s="484">
        <v>200000</v>
      </c>
      <c r="K167" s="484">
        <v>0.2</v>
      </c>
      <c r="L167" s="484">
        <f t="shared" si="121"/>
        <v>332617.75199999998</v>
      </c>
      <c r="M167" s="484">
        <f t="shared" si="122"/>
        <v>532617.75199999998</v>
      </c>
      <c r="N167" s="484">
        <f t="shared" si="123"/>
        <v>532617.75199999998</v>
      </c>
      <c r="O167" s="484">
        <f t="shared" si="124"/>
        <v>1130471.0079999999</v>
      </c>
      <c r="P167" s="484">
        <f t="shared" si="125"/>
        <v>21000</v>
      </c>
      <c r="Q167" s="484">
        <f t="shared" si="126"/>
        <v>33000</v>
      </c>
      <c r="R167" s="484">
        <f t="shared" si="127"/>
        <v>75000</v>
      </c>
      <c r="S167" s="484">
        <f t="shared" si="128"/>
        <v>5789.4915199999841</v>
      </c>
      <c r="T167" s="484">
        <f t="shared" si="129"/>
        <v>0</v>
      </c>
      <c r="U167" s="484"/>
      <c r="V167" s="484">
        <f t="shared" si="135"/>
        <v>134789.49151999998</v>
      </c>
      <c r="W167" s="488">
        <v>12</v>
      </c>
      <c r="X167" s="484">
        <f t="shared" si="130"/>
        <v>11232.457626666665</v>
      </c>
      <c r="Y167" s="486"/>
      <c r="Z167" s="484">
        <f t="shared" si="131"/>
        <v>11232.457626666665</v>
      </c>
      <c r="AA167" s="36">
        <v>11232.457626666665</v>
      </c>
      <c r="AB167" s="36">
        <f t="shared" si="134"/>
        <v>0</v>
      </c>
      <c r="AC167" s="36"/>
      <c r="AD167" s="36"/>
      <c r="AE167" s="36"/>
    </row>
    <row r="168" spans="1:31" ht="37.5">
      <c r="A168" s="473">
        <v>151</v>
      </c>
      <c r="B168" s="432" t="s">
        <v>231</v>
      </c>
      <c r="C168" s="484">
        <v>122104.99825</v>
      </c>
      <c r="D168" s="485">
        <v>12</v>
      </c>
      <c r="E168" s="484">
        <f t="shared" si="132"/>
        <v>1465259.9790000001</v>
      </c>
      <c r="F168" s="484"/>
      <c r="G168" s="486"/>
      <c r="H168" s="486"/>
      <c r="I168" s="484">
        <f t="shared" si="133"/>
        <v>1465259.9790000001</v>
      </c>
      <c r="J168" s="484">
        <v>200000</v>
      </c>
      <c r="K168" s="484">
        <v>0.2</v>
      </c>
      <c r="L168" s="484">
        <f t="shared" si="121"/>
        <v>293051.99580000003</v>
      </c>
      <c r="M168" s="484">
        <f t="shared" si="122"/>
        <v>493051.99580000003</v>
      </c>
      <c r="N168" s="484">
        <f t="shared" si="123"/>
        <v>493051.99580000003</v>
      </c>
      <c r="O168" s="484">
        <f t="shared" si="124"/>
        <v>972207.98320000002</v>
      </c>
      <c r="P168" s="484">
        <f t="shared" si="125"/>
        <v>21000</v>
      </c>
      <c r="Q168" s="484">
        <f t="shared" si="126"/>
        <v>33000</v>
      </c>
      <c r="R168" s="484">
        <f t="shared" si="127"/>
        <v>55831.197480000003</v>
      </c>
      <c r="S168" s="484">
        <f t="shared" si="128"/>
        <v>0</v>
      </c>
      <c r="T168" s="484">
        <f t="shared" si="129"/>
        <v>0</v>
      </c>
      <c r="U168" s="484"/>
      <c r="V168" s="484">
        <f t="shared" si="135"/>
        <v>109831.19748</v>
      </c>
      <c r="W168" s="488">
        <v>12</v>
      </c>
      <c r="X168" s="484">
        <f t="shared" si="130"/>
        <v>9152.5997900000002</v>
      </c>
      <c r="Y168" s="486"/>
      <c r="Z168" s="484">
        <f t="shared" si="131"/>
        <v>9152.5997900000002</v>
      </c>
      <c r="AA168" s="36">
        <v>9152.5997900000002</v>
      </c>
      <c r="AB168" s="36">
        <f t="shared" si="134"/>
        <v>0</v>
      </c>
      <c r="AC168" s="36"/>
      <c r="AD168" s="36"/>
      <c r="AE168" s="36"/>
    </row>
    <row r="169" spans="1:31" ht="18.75">
      <c r="A169" s="473">
        <v>152</v>
      </c>
      <c r="B169" s="432" t="s">
        <v>246</v>
      </c>
      <c r="C169" s="484">
        <v>122104.99825</v>
      </c>
      <c r="D169" s="485">
        <v>12</v>
      </c>
      <c r="E169" s="484">
        <f t="shared" si="132"/>
        <v>1465259.9790000001</v>
      </c>
      <c r="F169" s="484"/>
      <c r="G169" s="486"/>
      <c r="H169" s="486"/>
      <c r="I169" s="484">
        <f t="shared" si="133"/>
        <v>1465259.9790000001</v>
      </c>
      <c r="J169" s="484">
        <v>200000</v>
      </c>
      <c r="K169" s="484">
        <v>0.2</v>
      </c>
      <c r="L169" s="484">
        <f t="shared" si="121"/>
        <v>293051.99580000003</v>
      </c>
      <c r="M169" s="484">
        <f t="shared" si="122"/>
        <v>493051.99580000003</v>
      </c>
      <c r="N169" s="484">
        <f t="shared" si="123"/>
        <v>493051.99580000003</v>
      </c>
      <c r="O169" s="484">
        <f t="shared" si="124"/>
        <v>972207.98320000002</v>
      </c>
      <c r="P169" s="484">
        <f t="shared" si="125"/>
        <v>21000</v>
      </c>
      <c r="Q169" s="484">
        <f t="shared" si="126"/>
        <v>33000</v>
      </c>
      <c r="R169" s="484">
        <f t="shared" si="127"/>
        <v>55831.197480000003</v>
      </c>
      <c r="S169" s="484">
        <f t="shared" si="128"/>
        <v>0</v>
      </c>
      <c r="T169" s="484">
        <f t="shared" si="129"/>
        <v>0</v>
      </c>
      <c r="U169" s="484"/>
      <c r="V169" s="484">
        <f t="shared" si="135"/>
        <v>109831.19748</v>
      </c>
      <c r="W169" s="488">
        <v>12</v>
      </c>
      <c r="X169" s="484">
        <f t="shared" si="130"/>
        <v>9152.5997900000002</v>
      </c>
      <c r="Y169" s="486"/>
      <c r="Z169" s="484">
        <f t="shared" si="131"/>
        <v>9152.5997900000002</v>
      </c>
      <c r="AA169" s="36">
        <v>9152.5997900000002</v>
      </c>
      <c r="AB169" s="36">
        <f t="shared" si="134"/>
        <v>0</v>
      </c>
      <c r="AC169" s="36"/>
      <c r="AD169" s="36"/>
      <c r="AE169" s="36"/>
    </row>
    <row r="170" spans="1:31" ht="18.75">
      <c r="A170" s="473">
        <v>153</v>
      </c>
      <c r="B170" s="364" t="s">
        <v>166</v>
      </c>
      <c r="C170" s="484">
        <v>125035.03449999999</v>
      </c>
      <c r="D170" s="485">
        <v>12</v>
      </c>
      <c r="E170" s="484">
        <f t="shared" si="132"/>
        <v>1500420.4139999999</v>
      </c>
      <c r="F170" s="484"/>
      <c r="G170" s="486"/>
      <c r="H170" s="486"/>
      <c r="I170" s="484">
        <f t="shared" si="133"/>
        <v>1500420.4139999999</v>
      </c>
      <c r="J170" s="484">
        <v>200000</v>
      </c>
      <c r="K170" s="484">
        <v>0.2</v>
      </c>
      <c r="L170" s="484">
        <f t="shared" si="121"/>
        <v>300084.08279999997</v>
      </c>
      <c r="M170" s="484">
        <f t="shared" si="122"/>
        <v>500084.08279999997</v>
      </c>
      <c r="N170" s="484">
        <f t="shared" si="123"/>
        <v>500084.08279999997</v>
      </c>
      <c r="O170" s="484">
        <f t="shared" si="124"/>
        <v>1000336.3311999999</v>
      </c>
      <c r="P170" s="484">
        <f t="shared" si="125"/>
        <v>21000</v>
      </c>
      <c r="Q170" s="484">
        <f t="shared" si="126"/>
        <v>33000</v>
      </c>
      <c r="R170" s="484">
        <f t="shared" si="127"/>
        <v>60050.449679999983</v>
      </c>
      <c r="S170" s="484">
        <f t="shared" si="128"/>
        <v>0</v>
      </c>
      <c r="T170" s="484">
        <f t="shared" si="129"/>
        <v>0</v>
      </c>
      <c r="U170" s="484"/>
      <c r="V170" s="484">
        <f t="shared" si="135"/>
        <v>114050.44967999999</v>
      </c>
      <c r="W170" s="488">
        <v>12</v>
      </c>
      <c r="X170" s="484">
        <f t="shared" si="130"/>
        <v>9504.2041399999998</v>
      </c>
      <c r="Y170" s="486"/>
      <c r="Z170" s="484">
        <f t="shared" si="131"/>
        <v>9504.2041399999998</v>
      </c>
      <c r="AA170" s="36">
        <v>9504.2041399999998</v>
      </c>
      <c r="AB170" s="36">
        <f t="shared" si="134"/>
        <v>0</v>
      </c>
      <c r="AC170" s="36"/>
      <c r="AD170" s="36"/>
      <c r="AE170" s="36"/>
    </row>
    <row r="171" spans="1:31" ht="29.25" customHeight="1">
      <c r="A171" s="473">
        <v>154</v>
      </c>
      <c r="B171" s="432" t="s">
        <v>204</v>
      </c>
      <c r="C171" s="484">
        <v>81803.001000000018</v>
      </c>
      <c r="D171" s="485">
        <v>12</v>
      </c>
      <c r="E171" s="484">
        <f t="shared" si="132"/>
        <v>981636.01200000022</v>
      </c>
      <c r="F171" s="484"/>
      <c r="G171" s="486"/>
      <c r="H171" s="486"/>
      <c r="I171" s="484">
        <f t="shared" si="133"/>
        <v>981636.01200000022</v>
      </c>
      <c r="J171" s="484">
        <v>200000</v>
      </c>
      <c r="K171" s="484">
        <v>0.2</v>
      </c>
      <c r="L171" s="484">
        <f>I171*K171</f>
        <v>196327.20240000007</v>
      </c>
      <c r="M171" s="484">
        <f>J171+L171</f>
        <v>396327.20240000007</v>
      </c>
      <c r="N171" s="484">
        <f>F171+G171+H171+M171</f>
        <v>396327.20240000007</v>
      </c>
      <c r="O171" s="484">
        <f>E171-N171</f>
        <v>585308.80960000015</v>
      </c>
      <c r="P171" s="484">
        <f>IF(O171&lt;300000,0.07*O171,21000)</f>
        <v>21000</v>
      </c>
      <c r="Q171" s="484">
        <f>IF((O171-300000)&lt;0,0,IF((O171-300000)&lt;300000,0.11*(O171-300000),33000))</f>
        <v>31383.969056000016</v>
      </c>
      <c r="R171" s="484">
        <f t="shared" si="127"/>
        <v>0</v>
      </c>
      <c r="S171" s="484">
        <f>IF((O171-1100000)&lt;0,0,IF((O171-1100000)&lt;500000,0.19*(O171-1100000),95000))</f>
        <v>0</v>
      </c>
      <c r="T171" s="484">
        <f>IF((O171-1600000)&lt;0,0,IF((O171-1600000)&lt;1600000,0.21*(O171-1600000),336000))</f>
        <v>0</v>
      </c>
      <c r="U171" s="484"/>
      <c r="V171" s="484">
        <f t="shared" si="135"/>
        <v>52383.969056000016</v>
      </c>
      <c r="W171" s="488">
        <v>12</v>
      </c>
      <c r="X171" s="484">
        <f>V171/W171</f>
        <v>4365.3307546666683</v>
      </c>
      <c r="Y171" s="486"/>
      <c r="Z171" s="484">
        <f>X171</f>
        <v>4365.3307546666683</v>
      </c>
      <c r="AA171" s="36">
        <v>4365.3307546666683</v>
      </c>
      <c r="AB171" s="36">
        <f t="shared" si="134"/>
        <v>0</v>
      </c>
      <c r="AC171" s="36"/>
      <c r="AD171" s="36"/>
      <c r="AE171" s="36"/>
    </row>
    <row r="172" spans="1:31" ht="18.75">
      <c r="A172" s="473">
        <v>155</v>
      </c>
      <c r="B172" s="432" t="s">
        <v>209</v>
      </c>
      <c r="C172" s="484">
        <v>80237.012000000002</v>
      </c>
      <c r="D172" s="485">
        <v>12</v>
      </c>
      <c r="E172" s="484">
        <f t="shared" si="132"/>
        <v>962844.14400000009</v>
      </c>
      <c r="F172" s="484"/>
      <c r="G172" s="486"/>
      <c r="H172" s="486"/>
      <c r="I172" s="484">
        <f t="shared" si="133"/>
        <v>962844.14400000009</v>
      </c>
      <c r="J172" s="484">
        <v>200000</v>
      </c>
      <c r="K172" s="484">
        <v>0.2</v>
      </c>
      <c r="L172" s="484">
        <f>I172*K172</f>
        <v>192568.82880000002</v>
      </c>
      <c r="M172" s="484">
        <f>J172+L172</f>
        <v>392568.82880000002</v>
      </c>
      <c r="N172" s="484">
        <f>F172+G172+H172+M172</f>
        <v>392568.82880000002</v>
      </c>
      <c r="O172" s="484">
        <f>E172-N172</f>
        <v>570275.31520000007</v>
      </c>
      <c r="P172" s="484">
        <f>IF(O172&lt;300000,0.07*O172,21000)</f>
        <v>21000</v>
      </c>
      <c r="Q172" s="484">
        <f>IF((O172-300000)&lt;0,0,IF((O172-300000)&lt;300000,0.11*(O172-300000),33000))</f>
        <v>29730.284672000009</v>
      </c>
      <c r="R172" s="484">
        <f t="shared" si="127"/>
        <v>0</v>
      </c>
      <c r="S172" s="484">
        <f>IF((O172-1100000)&lt;0,0,IF((O172-1100000)&lt;500000,0.19*(O172-1100000),95000))</f>
        <v>0</v>
      </c>
      <c r="T172" s="484">
        <f>IF((O172-1600000)&lt;0,0,IF((O172-1600000)&lt;1600000,0.21*(O172-1600000),336000))</f>
        <v>0</v>
      </c>
      <c r="U172" s="484"/>
      <c r="V172" s="484">
        <f t="shared" si="135"/>
        <v>50730.284672000009</v>
      </c>
      <c r="W172" s="488">
        <v>12</v>
      </c>
      <c r="X172" s="484">
        <f>V172/W172</f>
        <v>4227.5237226666677</v>
      </c>
      <c r="Y172" s="486"/>
      <c r="Z172" s="484">
        <f>X172</f>
        <v>4227.5237226666677</v>
      </c>
      <c r="AA172" s="36">
        <v>4227.5237226666677</v>
      </c>
      <c r="AB172" s="36">
        <f t="shared" si="134"/>
        <v>0</v>
      </c>
      <c r="AC172" s="36"/>
      <c r="AD172" s="36"/>
      <c r="AE172" s="36"/>
    </row>
    <row r="173" spans="1:31" s="481" customFormat="1" ht="18.75">
      <c r="A173" s="478">
        <v>156</v>
      </c>
      <c r="B173" s="432" t="s">
        <v>218</v>
      </c>
      <c r="C173" s="484">
        <v>77237.012000000002</v>
      </c>
      <c r="D173" s="485">
        <v>12</v>
      </c>
      <c r="E173" s="484">
        <f t="shared" si="132"/>
        <v>926844.14400000009</v>
      </c>
      <c r="F173" s="484"/>
      <c r="G173" s="486"/>
      <c r="H173" s="486"/>
      <c r="I173" s="484">
        <f t="shared" si="133"/>
        <v>926844.14400000009</v>
      </c>
      <c r="J173" s="484">
        <v>200000</v>
      </c>
      <c r="K173" s="484">
        <v>0.2</v>
      </c>
      <c r="L173" s="484">
        <f t="shared" si="121"/>
        <v>185368.82880000002</v>
      </c>
      <c r="M173" s="484">
        <f t="shared" si="122"/>
        <v>385368.82880000002</v>
      </c>
      <c r="N173" s="484">
        <f t="shared" si="123"/>
        <v>385368.82880000002</v>
      </c>
      <c r="O173" s="484">
        <f t="shared" si="124"/>
        <v>541475.31520000007</v>
      </c>
      <c r="P173" s="484">
        <f t="shared" si="125"/>
        <v>21000</v>
      </c>
      <c r="Q173" s="484">
        <f t="shared" si="126"/>
        <v>26562.284672000009</v>
      </c>
      <c r="R173" s="484">
        <f t="shared" si="127"/>
        <v>0</v>
      </c>
      <c r="S173" s="484">
        <f t="shared" si="128"/>
        <v>0</v>
      </c>
      <c r="T173" s="484">
        <f t="shared" si="129"/>
        <v>0</v>
      </c>
      <c r="U173" s="484"/>
      <c r="V173" s="484">
        <f t="shared" si="135"/>
        <v>47562.284672000009</v>
      </c>
      <c r="W173" s="488">
        <v>12</v>
      </c>
      <c r="X173" s="484">
        <f t="shared" si="130"/>
        <v>3963.5237226666673</v>
      </c>
      <c r="Y173" s="486"/>
      <c r="Z173" s="484">
        <f t="shared" si="131"/>
        <v>3963.5237226666673</v>
      </c>
      <c r="AA173" s="36">
        <v>3963.5237226666673</v>
      </c>
      <c r="AB173" s="36">
        <f t="shared" si="134"/>
        <v>0</v>
      </c>
      <c r="AC173" s="480"/>
      <c r="AD173" s="480"/>
      <c r="AE173" s="480"/>
    </row>
    <row r="174" spans="1:31" ht="18.75">
      <c r="A174" s="473">
        <v>157</v>
      </c>
      <c r="B174" s="432" t="s">
        <v>219</v>
      </c>
      <c r="C174" s="484">
        <v>80237.012000000002</v>
      </c>
      <c r="D174" s="485">
        <v>12</v>
      </c>
      <c r="E174" s="484">
        <f t="shared" si="132"/>
        <v>962844.14400000009</v>
      </c>
      <c r="F174" s="484"/>
      <c r="G174" s="486"/>
      <c r="H174" s="486"/>
      <c r="I174" s="484">
        <f t="shared" si="133"/>
        <v>962844.14400000009</v>
      </c>
      <c r="J174" s="484">
        <v>200000</v>
      </c>
      <c r="K174" s="484">
        <v>0.2</v>
      </c>
      <c r="L174" s="484">
        <f t="shared" si="121"/>
        <v>192568.82880000002</v>
      </c>
      <c r="M174" s="484">
        <f t="shared" si="122"/>
        <v>392568.82880000002</v>
      </c>
      <c r="N174" s="484">
        <f t="shared" si="123"/>
        <v>392568.82880000002</v>
      </c>
      <c r="O174" s="484">
        <f t="shared" si="124"/>
        <v>570275.31520000007</v>
      </c>
      <c r="P174" s="484">
        <f t="shared" si="125"/>
        <v>21000</v>
      </c>
      <c r="Q174" s="484">
        <f t="shared" si="126"/>
        <v>29730.284672000009</v>
      </c>
      <c r="R174" s="484">
        <f t="shared" si="127"/>
        <v>0</v>
      </c>
      <c r="S174" s="484">
        <f t="shared" si="128"/>
        <v>0</v>
      </c>
      <c r="T174" s="484">
        <f t="shared" si="129"/>
        <v>0</v>
      </c>
      <c r="U174" s="484"/>
      <c r="V174" s="484">
        <f t="shared" si="135"/>
        <v>50730.284672000009</v>
      </c>
      <c r="W174" s="488">
        <v>12</v>
      </c>
      <c r="X174" s="484">
        <f t="shared" si="130"/>
        <v>4227.5237226666677</v>
      </c>
      <c r="Y174" s="486"/>
      <c r="Z174" s="484">
        <f t="shared" si="131"/>
        <v>4227.5237226666677</v>
      </c>
      <c r="AA174" s="36">
        <v>4227.5237226666677</v>
      </c>
      <c r="AB174" s="36">
        <f t="shared" si="134"/>
        <v>0</v>
      </c>
      <c r="AC174" s="36"/>
      <c r="AD174" s="36"/>
      <c r="AE174" s="36"/>
    </row>
    <row r="175" spans="1:31" ht="18.75">
      <c r="A175" s="468"/>
      <c r="B175" s="432" t="s">
        <v>211</v>
      </c>
      <c r="C175" s="493">
        <v>77237.012000000002</v>
      </c>
      <c r="D175" s="485">
        <v>12</v>
      </c>
      <c r="E175" s="484">
        <f t="shared" si="132"/>
        <v>926844.14400000009</v>
      </c>
      <c r="F175" s="484"/>
      <c r="G175" s="486"/>
      <c r="H175" s="486"/>
      <c r="I175" s="484">
        <f t="shared" si="133"/>
        <v>926844.14400000009</v>
      </c>
      <c r="J175" s="484">
        <v>200000</v>
      </c>
      <c r="K175" s="484">
        <v>0.2</v>
      </c>
      <c r="L175" s="484">
        <f t="shared" si="121"/>
        <v>185368.82880000002</v>
      </c>
      <c r="M175" s="484">
        <f t="shared" si="122"/>
        <v>385368.82880000002</v>
      </c>
      <c r="N175" s="484">
        <f t="shared" si="123"/>
        <v>385368.82880000002</v>
      </c>
      <c r="O175" s="484">
        <f t="shared" si="124"/>
        <v>541475.31520000007</v>
      </c>
      <c r="P175" s="484">
        <f t="shared" si="125"/>
        <v>21000</v>
      </c>
      <c r="Q175" s="484">
        <f t="shared" si="126"/>
        <v>26562.284672000009</v>
      </c>
      <c r="R175" s="484">
        <f t="shared" si="127"/>
        <v>0</v>
      </c>
      <c r="S175" s="484">
        <f t="shared" si="128"/>
        <v>0</v>
      </c>
      <c r="T175" s="484">
        <f t="shared" si="129"/>
        <v>0</v>
      </c>
      <c r="U175" s="484"/>
      <c r="V175" s="484">
        <f t="shared" si="135"/>
        <v>47562.284672000009</v>
      </c>
      <c r="W175" s="488">
        <v>12</v>
      </c>
      <c r="X175" s="484">
        <f t="shared" si="130"/>
        <v>3963.5237226666673</v>
      </c>
      <c r="Y175" s="486"/>
      <c r="Z175" s="484">
        <f t="shared" si="131"/>
        <v>3963.5237226666673</v>
      </c>
      <c r="AA175" s="480">
        <v>3963.5237226666673</v>
      </c>
      <c r="AB175" s="36">
        <f t="shared" si="134"/>
        <v>0</v>
      </c>
      <c r="AC175" s="36"/>
      <c r="AD175" s="36"/>
      <c r="AE175" s="36"/>
    </row>
    <row r="176" spans="1:31" ht="18.75">
      <c r="A176" s="468"/>
      <c r="B176" s="432" t="s">
        <v>213</v>
      </c>
      <c r="C176" s="493">
        <v>80237.012000000002</v>
      </c>
      <c r="D176" s="485">
        <v>12</v>
      </c>
      <c r="E176" s="484">
        <f t="shared" si="132"/>
        <v>962844.14400000009</v>
      </c>
      <c r="F176" s="484"/>
      <c r="G176" s="486"/>
      <c r="H176" s="486"/>
      <c r="I176" s="484">
        <f t="shared" si="133"/>
        <v>962844.14400000009</v>
      </c>
      <c r="J176" s="484">
        <v>200000</v>
      </c>
      <c r="K176" s="484">
        <v>0.2</v>
      </c>
      <c r="L176" s="484">
        <f t="shared" si="121"/>
        <v>192568.82880000002</v>
      </c>
      <c r="M176" s="484">
        <f t="shared" si="122"/>
        <v>392568.82880000002</v>
      </c>
      <c r="N176" s="484">
        <f t="shared" si="123"/>
        <v>392568.82880000002</v>
      </c>
      <c r="O176" s="484">
        <f t="shared" si="124"/>
        <v>570275.31520000007</v>
      </c>
      <c r="P176" s="484">
        <f t="shared" si="125"/>
        <v>21000</v>
      </c>
      <c r="Q176" s="484">
        <f t="shared" si="126"/>
        <v>29730.284672000009</v>
      </c>
      <c r="R176" s="484">
        <f t="shared" si="127"/>
        <v>0</v>
      </c>
      <c r="S176" s="484">
        <f t="shared" si="128"/>
        <v>0</v>
      </c>
      <c r="T176" s="484">
        <f t="shared" si="129"/>
        <v>0</v>
      </c>
      <c r="U176" s="484"/>
      <c r="V176" s="484">
        <f t="shared" si="135"/>
        <v>50730.284672000009</v>
      </c>
      <c r="W176" s="488">
        <v>12</v>
      </c>
      <c r="X176" s="484">
        <f t="shared" si="130"/>
        <v>4227.5237226666677</v>
      </c>
      <c r="Y176" s="486"/>
      <c r="Z176" s="484">
        <f t="shared" si="131"/>
        <v>4227.5237226666677</v>
      </c>
      <c r="AA176" s="36">
        <v>4227.5237226666677</v>
      </c>
      <c r="AB176" s="36">
        <f t="shared" si="134"/>
        <v>0</v>
      </c>
    </row>
    <row r="177" spans="2:28" ht="18.75">
      <c r="B177" s="364" t="s">
        <v>342</v>
      </c>
      <c r="C177" s="489">
        <v>77237.012000000002</v>
      </c>
      <c r="D177" s="485">
        <v>12</v>
      </c>
      <c r="E177" s="484">
        <f t="shared" si="132"/>
        <v>926844.14400000009</v>
      </c>
      <c r="F177" s="396"/>
      <c r="G177" s="396"/>
      <c r="H177" s="396"/>
      <c r="I177" s="484">
        <f t="shared" si="133"/>
        <v>926844.14400000009</v>
      </c>
      <c r="J177" s="484">
        <v>200000</v>
      </c>
      <c r="K177" s="484">
        <v>0.2</v>
      </c>
      <c r="L177" s="484">
        <f t="shared" si="121"/>
        <v>185368.82880000002</v>
      </c>
      <c r="M177" s="484">
        <f t="shared" si="122"/>
        <v>385368.82880000002</v>
      </c>
      <c r="N177" s="484">
        <f t="shared" si="123"/>
        <v>385368.82880000002</v>
      </c>
      <c r="O177" s="484">
        <f t="shared" si="124"/>
        <v>541475.31520000007</v>
      </c>
      <c r="P177" s="484">
        <f t="shared" si="125"/>
        <v>21000</v>
      </c>
      <c r="Q177" s="484">
        <f t="shared" si="126"/>
        <v>26562.284672000009</v>
      </c>
      <c r="R177" s="484">
        <f t="shared" si="127"/>
        <v>0</v>
      </c>
      <c r="S177" s="484">
        <f t="shared" si="128"/>
        <v>0</v>
      </c>
      <c r="T177" s="484">
        <f t="shared" si="129"/>
        <v>0</v>
      </c>
      <c r="U177" s="484"/>
      <c r="V177" s="484">
        <f t="shared" si="135"/>
        <v>47562.284672000009</v>
      </c>
      <c r="W177" s="488">
        <v>12</v>
      </c>
      <c r="X177" s="484">
        <f t="shared" si="130"/>
        <v>3963.5237226666673</v>
      </c>
      <c r="Y177" s="396"/>
      <c r="Z177" s="484">
        <f t="shared" si="131"/>
        <v>3963.5237226666673</v>
      </c>
      <c r="AA177" s="36">
        <v>3963.5237226666673</v>
      </c>
      <c r="AB177" s="36">
        <f t="shared" si="134"/>
        <v>0</v>
      </c>
    </row>
    <row r="178" spans="2:28" ht="18.75">
      <c r="B178" s="364" t="s">
        <v>405</v>
      </c>
      <c r="C178" s="489">
        <v>80237.012000000002</v>
      </c>
      <c r="D178" s="485">
        <v>12</v>
      </c>
      <c r="E178" s="484">
        <f t="shared" si="132"/>
        <v>962844.14400000009</v>
      </c>
      <c r="F178" s="396"/>
      <c r="G178" s="396"/>
      <c r="H178" s="396"/>
      <c r="I178" s="484">
        <f t="shared" si="133"/>
        <v>962844.14400000009</v>
      </c>
      <c r="J178" s="484">
        <v>200000</v>
      </c>
      <c r="K178" s="484">
        <v>0.2</v>
      </c>
      <c r="L178" s="484">
        <f t="shared" si="121"/>
        <v>192568.82880000002</v>
      </c>
      <c r="M178" s="484">
        <f t="shared" si="122"/>
        <v>392568.82880000002</v>
      </c>
      <c r="N178" s="484">
        <f t="shared" si="123"/>
        <v>392568.82880000002</v>
      </c>
      <c r="O178" s="484">
        <f t="shared" si="124"/>
        <v>570275.31520000007</v>
      </c>
      <c r="P178" s="484">
        <f t="shared" si="125"/>
        <v>21000</v>
      </c>
      <c r="Q178" s="484">
        <f t="shared" si="126"/>
        <v>29730.284672000009</v>
      </c>
      <c r="R178" s="484">
        <f t="shared" si="127"/>
        <v>0</v>
      </c>
      <c r="S178" s="484">
        <f t="shared" si="128"/>
        <v>0</v>
      </c>
      <c r="T178" s="484">
        <f t="shared" si="129"/>
        <v>0</v>
      </c>
      <c r="U178" s="396"/>
      <c r="V178" s="484">
        <f t="shared" si="135"/>
        <v>50730.284672000009</v>
      </c>
      <c r="W178" s="488">
        <v>12</v>
      </c>
      <c r="X178" s="484">
        <f t="shared" si="130"/>
        <v>4227.5237226666677</v>
      </c>
      <c r="Y178" s="396"/>
      <c r="Z178" s="484">
        <f t="shared" si="131"/>
        <v>4227.5237226666677</v>
      </c>
      <c r="AA178" s="36">
        <v>4227.5237226666677</v>
      </c>
      <c r="AB178" s="36">
        <f t="shared" si="134"/>
        <v>0</v>
      </c>
    </row>
    <row r="179" spans="2:28" ht="18.75">
      <c r="B179" s="432" t="s">
        <v>232</v>
      </c>
      <c r="C179" s="489">
        <v>78671.023000000001</v>
      </c>
      <c r="D179" s="485">
        <v>12</v>
      </c>
      <c r="E179" s="484">
        <f t="shared" si="132"/>
        <v>944052.27600000007</v>
      </c>
      <c r="F179" s="396"/>
      <c r="G179" s="396"/>
      <c r="H179" s="396"/>
      <c r="I179" s="484">
        <f t="shared" si="133"/>
        <v>944052.27600000007</v>
      </c>
      <c r="J179" s="484">
        <v>200000</v>
      </c>
      <c r="K179" s="484">
        <v>0.2</v>
      </c>
      <c r="L179" s="484">
        <f t="shared" si="121"/>
        <v>188810.45520000003</v>
      </c>
      <c r="M179" s="484">
        <f t="shared" si="122"/>
        <v>388810.45520000003</v>
      </c>
      <c r="N179" s="484">
        <f t="shared" si="123"/>
        <v>388810.45520000003</v>
      </c>
      <c r="O179" s="484">
        <f t="shared" si="124"/>
        <v>555241.8208000001</v>
      </c>
      <c r="P179" s="484">
        <f t="shared" si="125"/>
        <v>21000</v>
      </c>
      <c r="Q179" s="484">
        <f t="shared" si="126"/>
        <v>28076.600288000012</v>
      </c>
      <c r="R179" s="484">
        <f t="shared" si="127"/>
        <v>0</v>
      </c>
      <c r="S179" s="484">
        <f t="shared" si="128"/>
        <v>0</v>
      </c>
      <c r="T179" s="484">
        <f t="shared" si="129"/>
        <v>0</v>
      </c>
      <c r="U179" s="396"/>
      <c r="V179" s="484">
        <f t="shared" si="135"/>
        <v>49076.600288000016</v>
      </c>
      <c r="W179" s="488">
        <v>12</v>
      </c>
      <c r="X179" s="484">
        <f t="shared" si="130"/>
        <v>4089.716690666668</v>
      </c>
      <c r="Y179" s="396"/>
      <c r="Z179" s="484">
        <f t="shared" si="131"/>
        <v>4089.716690666668</v>
      </c>
      <c r="AA179" s="36">
        <v>4089.716690666668</v>
      </c>
      <c r="AB179" s="36">
        <f t="shared" si="134"/>
        <v>0</v>
      </c>
    </row>
    <row r="180" spans="2:28" ht="18.75">
      <c r="B180" s="432" t="s">
        <v>233</v>
      </c>
      <c r="C180" s="489">
        <v>80237.012000000002</v>
      </c>
      <c r="D180" s="485">
        <v>12</v>
      </c>
      <c r="E180" s="484">
        <f t="shared" si="132"/>
        <v>962844.14400000009</v>
      </c>
      <c r="F180" s="396"/>
      <c r="G180" s="396"/>
      <c r="H180" s="396"/>
      <c r="I180" s="484">
        <f t="shared" si="133"/>
        <v>962844.14400000009</v>
      </c>
      <c r="J180" s="484">
        <v>200000</v>
      </c>
      <c r="K180" s="484">
        <v>0.2</v>
      </c>
      <c r="L180" s="484">
        <f t="shared" si="121"/>
        <v>192568.82880000002</v>
      </c>
      <c r="M180" s="484">
        <f t="shared" si="122"/>
        <v>392568.82880000002</v>
      </c>
      <c r="N180" s="484">
        <f t="shared" si="123"/>
        <v>392568.82880000002</v>
      </c>
      <c r="O180" s="484">
        <f t="shared" si="124"/>
        <v>570275.31520000007</v>
      </c>
      <c r="P180" s="484">
        <f t="shared" si="125"/>
        <v>21000</v>
      </c>
      <c r="Q180" s="484">
        <f t="shared" si="126"/>
        <v>29730.284672000009</v>
      </c>
      <c r="R180" s="484">
        <f t="shared" si="127"/>
        <v>0</v>
      </c>
      <c r="S180" s="484">
        <f t="shared" si="128"/>
        <v>0</v>
      </c>
      <c r="T180" s="484">
        <f t="shared" si="129"/>
        <v>0</v>
      </c>
      <c r="U180" s="396"/>
      <c r="V180" s="484">
        <f t="shared" si="135"/>
        <v>50730.284672000009</v>
      </c>
      <c r="W180" s="488">
        <v>12</v>
      </c>
      <c r="X180" s="484">
        <f t="shared" si="130"/>
        <v>4227.5237226666677</v>
      </c>
      <c r="Y180" s="396"/>
      <c r="Z180" s="484">
        <f t="shared" si="131"/>
        <v>4227.5237226666677</v>
      </c>
      <c r="AA180" s="36">
        <v>4227.5237226666677</v>
      </c>
      <c r="AB180" s="36">
        <f t="shared" si="134"/>
        <v>0</v>
      </c>
    </row>
    <row r="181" spans="2:28" ht="18.75">
      <c r="B181" s="364" t="s">
        <v>279</v>
      </c>
      <c r="C181" s="489">
        <v>78671.023000000016</v>
      </c>
      <c r="D181" s="485">
        <v>12</v>
      </c>
      <c r="E181" s="484">
        <f t="shared" si="132"/>
        <v>944052.27600000019</v>
      </c>
      <c r="F181" s="396"/>
      <c r="G181" s="396"/>
      <c r="H181" s="396"/>
      <c r="I181" s="484">
        <f t="shared" si="133"/>
        <v>944052.27600000019</v>
      </c>
      <c r="J181" s="484">
        <v>200000</v>
      </c>
      <c r="K181" s="484">
        <v>0.2</v>
      </c>
      <c r="L181" s="484">
        <f t="shared" si="121"/>
        <v>188810.45520000005</v>
      </c>
      <c r="M181" s="484">
        <f t="shared" si="122"/>
        <v>388810.45520000008</v>
      </c>
      <c r="N181" s="484">
        <f t="shared" si="123"/>
        <v>388810.45520000008</v>
      </c>
      <c r="O181" s="484">
        <f t="shared" si="124"/>
        <v>555241.8208000001</v>
      </c>
      <c r="P181" s="484">
        <f t="shared" si="125"/>
        <v>21000</v>
      </c>
      <c r="Q181" s="484">
        <f t="shared" si="126"/>
        <v>28076.600288000012</v>
      </c>
      <c r="R181" s="484">
        <f t="shared" si="127"/>
        <v>0</v>
      </c>
      <c r="S181" s="484">
        <f t="shared" si="128"/>
        <v>0</v>
      </c>
      <c r="T181" s="484">
        <f t="shared" si="129"/>
        <v>0</v>
      </c>
      <c r="U181" s="396"/>
      <c r="V181" s="484">
        <f t="shared" si="135"/>
        <v>49076.600288000016</v>
      </c>
      <c r="W181" s="488">
        <v>12</v>
      </c>
      <c r="X181" s="484">
        <f t="shared" si="130"/>
        <v>4089.716690666668</v>
      </c>
      <c r="Y181" s="396"/>
      <c r="Z181" s="484">
        <f t="shared" si="131"/>
        <v>4089.716690666668</v>
      </c>
      <c r="AA181" s="36">
        <v>4089.716690666668</v>
      </c>
      <c r="AB181" s="36">
        <f t="shared" si="134"/>
        <v>0</v>
      </c>
    </row>
    <row r="182" spans="2:28" ht="18.75">
      <c r="B182" s="364" t="s">
        <v>403</v>
      </c>
      <c r="C182" s="489">
        <v>68675.99702499999</v>
      </c>
      <c r="D182" s="485">
        <v>12</v>
      </c>
      <c r="E182" s="484">
        <f t="shared" si="132"/>
        <v>824111.96429999988</v>
      </c>
      <c r="F182" s="396"/>
      <c r="G182" s="396"/>
      <c r="H182" s="396"/>
      <c r="I182" s="484">
        <f t="shared" si="133"/>
        <v>824111.96429999988</v>
      </c>
      <c r="J182" s="484">
        <v>200000</v>
      </c>
      <c r="K182" s="484">
        <v>0.2</v>
      </c>
      <c r="L182" s="484">
        <f t="shared" si="121"/>
        <v>164822.39285999999</v>
      </c>
      <c r="M182" s="484">
        <f t="shared" si="122"/>
        <v>364822.39286000002</v>
      </c>
      <c r="N182" s="484">
        <f t="shared" si="123"/>
        <v>364822.39286000002</v>
      </c>
      <c r="O182" s="484">
        <f t="shared" si="124"/>
        <v>459289.57143999985</v>
      </c>
      <c r="P182" s="484">
        <f t="shared" si="125"/>
        <v>21000</v>
      </c>
      <c r="Q182" s="484">
        <f t="shared" si="126"/>
        <v>17521.852858399983</v>
      </c>
      <c r="R182" s="484">
        <f t="shared" si="127"/>
        <v>0</v>
      </c>
      <c r="S182" s="484">
        <f t="shared" si="128"/>
        <v>0</v>
      </c>
      <c r="T182" s="484">
        <f t="shared" si="129"/>
        <v>0</v>
      </c>
      <c r="U182" s="396"/>
      <c r="V182" s="484">
        <f t="shared" si="135"/>
        <v>38521.852858399987</v>
      </c>
      <c r="W182" s="488">
        <v>12</v>
      </c>
      <c r="X182" s="484">
        <f t="shared" si="130"/>
        <v>3210.1544048666656</v>
      </c>
      <c r="Y182" s="396"/>
      <c r="Z182" s="484">
        <f t="shared" si="131"/>
        <v>3210.1544048666656</v>
      </c>
      <c r="AA182" s="36">
        <v>3210.1544048666656</v>
      </c>
      <c r="AB182" s="36">
        <f t="shared" si="134"/>
        <v>0</v>
      </c>
    </row>
    <row r="183" spans="2:28" ht="18.75">
      <c r="B183" s="364" t="s">
        <v>557</v>
      </c>
      <c r="C183" s="489">
        <v>62980.07925000001</v>
      </c>
      <c r="D183" s="485">
        <v>12</v>
      </c>
      <c r="E183" s="484">
        <f t="shared" si="132"/>
        <v>755760.95100000012</v>
      </c>
      <c r="F183" s="396"/>
      <c r="G183" s="396"/>
      <c r="H183" s="396"/>
      <c r="I183" s="484">
        <f t="shared" si="133"/>
        <v>755760.95100000012</v>
      </c>
      <c r="J183" s="484">
        <v>200000</v>
      </c>
      <c r="K183" s="484">
        <v>0.2</v>
      </c>
      <c r="L183" s="484">
        <f t="shared" si="121"/>
        <v>151152.19020000004</v>
      </c>
      <c r="M183" s="484">
        <f t="shared" si="122"/>
        <v>351152.19020000007</v>
      </c>
      <c r="N183" s="484">
        <f t="shared" si="123"/>
        <v>351152.19020000007</v>
      </c>
      <c r="O183" s="484">
        <f t="shared" si="124"/>
        <v>404608.76080000005</v>
      </c>
      <c r="P183" s="484">
        <f t="shared" si="125"/>
        <v>21000</v>
      </c>
      <c r="Q183" s="484">
        <f t="shared" si="126"/>
        <v>11506.963688000005</v>
      </c>
      <c r="R183" s="484">
        <f t="shared" si="127"/>
        <v>0</v>
      </c>
      <c r="S183" s="484">
        <f t="shared" si="128"/>
        <v>0</v>
      </c>
      <c r="T183" s="484">
        <f t="shared" si="129"/>
        <v>0</v>
      </c>
      <c r="U183" s="396"/>
      <c r="V183" s="484">
        <f t="shared" si="135"/>
        <v>32506.963688000003</v>
      </c>
      <c r="W183" s="488">
        <v>12</v>
      </c>
      <c r="X183" s="484">
        <f t="shared" si="130"/>
        <v>2708.9136406666671</v>
      </c>
      <c r="Y183" s="396"/>
      <c r="Z183" s="484">
        <f t="shared" si="131"/>
        <v>2708.9136406666671</v>
      </c>
      <c r="AA183" s="36">
        <v>2708.9136406666671</v>
      </c>
      <c r="AB183" s="36">
        <f t="shared" si="134"/>
        <v>0</v>
      </c>
    </row>
    <row r="184" spans="2:28" ht="18.75">
      <c r="B184" s="364" t="s">
        <v>560</v>
      </c>
      <c r="C184" s="489">
        <v>62980.07925000001</v>
      </c>
      <c r="D184" s="485">
        <v>12</v>
      </c>
      <c r="E184" s="484">
        <f t="shared" si="132"/>
        <v>755760.95100000012</v>
      </c>
      <c r="F184" s="396"/>
      <c r="G184" s="396"/>
      <c r="H184" s="396"/>
      <c r="I184" s="484">
        <f t="shared" si="133"/>
        <v>755760.95100000012</v>
      </c>
      <c r="J184" s="484">
        <v>200000</v>
      </c>
      <c r="K184" s="484">
        <v>0.2</v>
      </c>
      <c r="L184" s="484">
        <f t="shared" si="121"/>
        <v>151152.19020000004</v>
      </c>
      <c r="M184" s="484">
        <f t="shared" si="122"/>
        <v>351152.19020000007</v>
      </c>
      <c r="N184" s="484">
        <f t="shared" si="123"/>
        <v>351152.19020000007</v>
      </c>
      <c r="O184" s="484">
        <f t="shared" si="124"/>
        <v>404608.76080000005</v>
      </c>
      <c r="P184" s="484">
        <f t="shared" si="125"/>
        <v>21000</v>
      </c>
      <c r="Q184" s="484">
        <f t="shared" si="126"/>
        <v>11506.963688000005</v>
      </c>
      <c r="R184" s="484">
        <f t="shared" si="127"/>
        <v>0</v>
      </c>
      <c r="S184" s="484">
        <f t="shared" si="128"/>
        <v>0</v>
      </c>
      <c r="T184" s="484">
        <f t="shared" si="129"/>
        <v>0</v>
      </c>
      <c r="U184" s="396"/>
      <c r="V184" s="484">
        <f t="shared" si="135"/>
        <v>32506.963688000003</v>
      </c>
      <c r="W184" s="488">
        <v>12</v>
      </c>
      <c r="X184" s="484">
        <f t="shared" si="130"/>
        <v>2708.9136406666671</v>
      </c>
      <c r="Y184" s="396"/>
      <c r="Z184" s="484">
        <f t="shared" si="131"/>
        <v>2708.9136406666671</v>
      </c>
      <c r="AA184" s="36">
        <v>2708.9136406666671</v>
      </c>
      <c r="AB184" s="36">
        <f t="shared" si="134"/>
        <v>0</v>
      </c>
    </row>
    <row r="185" spans="2:28" ht="18.75">
      <c r="B185" s="364" t="s">
        <v>561</v>
      </c>
      <c r="C185" s="489">
        <v>62980.07925000001</v>
      </c>
      <c r="D185" s="485">
        <v>12</v>
      </c>
      <c r="E185" s="484">
        <f t="shared" si="132"/>
        <v>755760.95100000012</v>
      </c>
      <c r="F185" s="396"/>
      <c r="G185" s="396"/>
      <c r="H185" s="396"/>
      <c r="I185" s="484">
        <f t="shared" si="133"/>
        <v>755760.95100000012</v>
      </c>
      <c r="J185" s="484">
        <v>200000</v>
      </c>
      <c r="K185" s="484">
        <v>0.2</v>
      </c>
      <c r="L185" s="484">
        <f t="shared" si="121"/>
        <v>151152.19020000004</v>
      </c>
      <c r="M185" s="484">
        <f t="shared" si="122"/>
        <v>351152.19020000007</v>
      </c>
      <c r="N185" s="484">
        <f t="shared" si="123"/>
        <v>351152.19020000007</v>
      </c>
      <c r="O185" s="484">
        <f t="shared" si="124"/>
        <v>404608.76080000005</v>
      </c>
      <c r="P185" s="484">
        <f t="shared" si="125"/>
        <v>21000</v>
      </c>
      <c r="Q185" s="484">
        <f t="shared" si="126"/>
        <v>11506.963688000005</v>
      </c>
      <c r="R185" s="484">
        <f t="shared" si="127"/>
        <v>0</v>
      </c>
      <c r="S185" s="484">
        <f t="shared" si="128"/>
        <v>0</v>
      </c>
      <c r="T185" s="484">
        <f t="shared" si="129"/>
        <v>0</v>
      </c>
      <c r="U185" s="396"/>
      <c r="V185" s="484">
        <f t="shared" si="135"/>
        <v>32506.963688000003</v>
      </c>
      <c r="W185" s="488">
        <v>12</v>
      </c>
      <c r="X185" s="484">
        <f t="shared" si="130"/>
        <v>2708.9136406666671</v>
      </c>
      <c r="Y185" s="396"/>
      <c r="Z185" s="484">
        <f t="shared" si="131"/>
        <v>2708.9136406666671</v>
      </c>
      <c r="AA185" s="36">
        <v>2708.9136406666671</v>
      </c>
      <c r="AB185" s="36">
        <f t="shared" si="134"/>
        <v>0</v>
      </c>
    </row>
    <row r="186" spans="2:28" ht="18.75">
      <c r="B186" s="364" t="s">
        <v>562</v>
      </c>
      <c r="C186" s="489">
        <v>72103.749500000005</v>
      </c>
      <c r="D186" s="485">
        <v>12</v>
      </c>
      <c r="E186" s="484">
        <f t="shared" si="132"/>
        <v>865244.99400000006</v>
      </c>
      <c r="F186" s="396"/>
      <c r="G186" s="396"/>
      <c r="H186" s="396"/>
      <c r="I186" s="484">
        <f t="shared" si="133"/>
        <v>865244.99400000006</v>
      </c>
      <c r="J186" s="484">
        <v>200000</v>
      </c>
      <c r="K186" s="484">
        <v>0.2</v>
      </c>
      <c r="L186" s="484">
        <f t="shared" si="121"/>
        <v>173048.99880000003</v>
      </c>
      <c r="M186" s="484">
        <f t="shared" si="122"/>
        <v>373048.99880000006</v>
      </c>
      <c r="N186" s="484">
        <f t="shared" si="123"/>
        <v>373048.99880000006</v>
      </c>
      <c r="O186" s="484">
        <f t="shared" si="124"/>
        <v>492195.9952</v>
      </c>
      <c r="P186" s="484">
        <f t="shared" si="125"/>
        <v>21000</v>
      </c>
      <c r="Q186" s="484">
        <f t="shared" si="126"/>
        <v>21141.559472000001</v>
      </c>
      <c r="R186" s="484">
        <f t="shared" si="127"/>
        <v>0</v>
      </c>
      <c r="S186" s="484">
        <f t="shared" si="128"/>
        <v>0</v>
      </c>
      <c r="T186" s="484">
        <f t="shared" si="129"/>
        <v>0</v>
      </c>
      <c r="U186" s="396"/>
      <c r="V186" s="484">
        <f t="shared" si="135"/>
        <v>42141.559472000001</v>
      </c>
      <c r="W186" s="488">
        <v>12</v>
      </c>
      <c r="X186" s="484">
        <f t="shared" si="130"/>
        <v>3511.7966226666667</v>
      </c>
      <c r="Y186" s="396"/>
      <c r="Z186" s="484">
        <f t="shared" si="131"/>
        <v>3511.7966226666667</v>
      </c>
      <c r="AA186" s="36">
        <v>3511.7966226666667</v>
      </c>
      <c r="AB186" s="36">
        <f t="shared" si="134"/>
        <v>0</v>
      </c>
    </row>
    <row r="187" spans="2:28" ht="18.75">
      <c r="B187" s="364" t="s">
        <v>565</v>
      </c>
      <c r="C187" s="489">
        <v>72103.749500000005</v>
      </c>
      <c r="D187" s="485">
        <v>12</v>
      </c>
      <c r="E187" s="484">
        <f t="shared" si="132"/>
        <v>865244.99400000006</v>
      </c>
      <c r="F187" s="396"/>
      <c r="G187" s="396"/>
      <c r="H187" s="396"/>
      <c r="I187" s="484">
        <f t="shared" si="133"/>
        <v>865244.99400000006</v>
      </c>
      <c r="J187" s="484">
        <v>200000</v>
      </c>
      <c r="K187" s="484">
        <v>0.2</v>
      </c>
      <c r="L187" s="484">
        <f t="shared" si="121"/>
        <v>173048.99880000003</v>
      </c>
      <c r="M187" s="484">
        <f t="shared" si="122"/>
        <v>373048.99880000006</v>
      </c>
      <c r="N187" s="484">
        <f t="shared" si="123"/>
        <v>373048.99880000006</v>
      </c>
      <c r="O187" s="484">
        <f t="shared" si="124"/>
        <v>492195.9952</v>
      </c>
      <c r="P187" s="484">
        <f t="shared" si="125"/>
        <v>21000</v>
      </c>
      <c r="Q187" s="484">
        <f t="shared" si="126"/>
        <v>21141.559472000001</v>
      </c>
      <c r="R187" s="484">
        <f t="shared" si="127"/>
        <v>0</v>
      </c>
      <c r="S187" s="484">
        <f t="shared" si="128"/>
        <v>0</v>
      </c>
      <c r="T187" s="484">
        <f t="shared" si="129"/>
        <v>0</v>
      </c>
      <c r="U187" s="396"/>
      <c r="V187" s="484">
        <f t="shared" si="135"/>
        <v>42141.559472000001</v>
      </c>
      <c r="W187" s="488">
        <v>12</v>
      </c>
      <c r="X187" s="484">
        <f t="shared" si="130"/>
        <v>3511.7966226666667</v>
      </c>
      <c r="Y187" s="396"/>
      <c r="Z187" s="484">
        <f t="shared" si="131"/>
        <v>3511.7966226666667</v>
      </c>
      <c r="AA187" s="36">
        <v>3511.7966226666667</v>
      </c>
      <c r="AB187" s="36">
        <f t="shared" si="134"/>
        <v>0</v>
      </c>
    </row>
    <row r="188" spans="2:28" ht="30.75" customHeight="1">
      <c r="B188" s="210"/>
      <c r="C188" s="36"/>
      <c r="E188" s="476"/>
      <c r="W188" s="397" t="s">
        <v>761</v>
      </c>
      <c r="Z188" s="545">
        <f>SUM(Z6:Z187)</f>
        <v>7214215.7686455874</v>
      </c>
      <c r="AA188" s="490">
        <f>SUM(AA6:AA187)</f>
        <v>7445494.5793200685</v>
      </c>
      <c r="AB188" s="542">
        <f>AB77+AB90+AB97+AB107+AB61+AB33</f>
        <v>-231278.81067448034</v>
      </c>
    </row>
    <row r="189" spans="2:28" ht="18.75">
      <c r="B189" s="227"/>
      <c r="C189" s="36"/>
    </row>
    <row r="190" spans="2:28" ht="18.75">
      <c r="B190" s="231"/>
      <c r="X190" s="397" t="s">
        <v>797</v>
      </c>
      <c r="AB190" s="509">
        <f>AB81+AB82+AB83+AB84+AB86+AB88+AB89+AB94+AB95+AB96+AB102+AB103+AB104+AB105+AB106</f>
        <v>-351613.55740448035</v>
      </c>
    </row>
    <row r="191" spans="2:28" ht="15">
      <c r="X191" s="397" t="s">
        <v>765</v>
      </c>
      <c r="AB191" s="508">
        <f>AB87+AB85+AB74+AB61+AB21+AB19+AB18+AB16+AB15</f>
        <v>126852.23813000001</v>
      </c>
    </row>
    <row r="192" spans="2:28" ht="15">
      <c r="X192" s="541" t="s">
        <v>766</v>
      </c>
      <c r="AB192" s="543">
        <f>SUM(AB190:AB191)</f>
        <v>-224761.31927448034</v>
      </c>
    </row>
    <row r="193" spans="24:28" ht="15">
      <c r="X193" s="397" t="s">
        <v>798</v>
      </c>
      <c r="AB193" s="544">
        <f>-6517.49</f>
        <v>-6517.49</v>
      </c>
    </row>
    <row r="194" spans="24:28" ht="24.75" customHeight="1">
      <c r="X194" s="397" t="s">
        <v>799</v>
      </c>
      <c r="AA194" s="36"/>
      <c r="AB194" s="546">
        <f>AB192+AB193</f>
        <v>-231278.80927448033</v>
      </c>
    </row>
    <row r="196" spans="24:28">
      <c r="AA196" s="75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opLeftCell="A3" workbookViewId="0">
      <selection activeCell="D20" sqref="D20"/>
    </sheetView>
  </sheetViews>
  <sheetFormatPr defaultRowHeight="12.75"/>
  <cols>
    <col min="1" max="1" width="5.85546875" customWidth="1"/>
    <col min="2" max="2" width="42.7109375" customWidth="1"/>
    <col min="3" max="3" width="18.140625" customWidth="1"/>
    <col min="4" max="4" width="19.5703125" customWidth="1"/>
    <col min="5" max="5" width="14.85546875" customWidth="1"/>
    <col min="6" max="6" width="34.7109375" customWidth="1"/>
  </cols>
  <sheetData>
    <row r="1" spans="1:6" ht="15">
      <c r="A1" s="494"/>
      <c r="B1" s="494"/>
      <c r="C1" s="494"/>
      <c r="D1" s="494"/>
      <c r="E1" s="494"/>
    </row>
    <row r="2" spans="1:6" ht="56.25">
      <c r="A2" s="495" t="s">
        <v>143</v>
      </c>
      <c r="B2" s="495" t="s">
        <v>487</v>
      </c>
      <c r="C2" s="496" t="s">
        <v>762</v>
      </c>
      <c r="D2" s="496" t="s">
        <v>763</v>
      </c>
      <c r="E2" s="496" t="s">
        <v>764</v>
      </c>
      <c r="F2" s="497"/>
    </row>
    <row r="3" spans="1:6" ht="18.75">
      <c r="A3" s="495"/>
      <c r="B3" s="495"/>
      <c r="C3" s="496" t="s">
        <v>5</v>
      </c>
      <c r="D3" s="496" t="s">
        <v>5</v>
      </c>
      <c r="E3" s="496" t="s">
        <v>5</v>
      </c>
      <c r="F3" s="497"/>
    </row>
    <row r="4" spans="1:6" ht="18.75">
      <c r="A4" s="498">
        <v>1</v>
      </c>
      <c r="B4" s="499" t="s">
        <v>192</v>
      </c>
      <c r="C4" s="500">
        <v>98996.103146666661</v>
      </c>
      <c r="D4" s="500">
        <v>79796.103146666646</v>
      </c>
      <c r="E4" s="500">
        <f>C4-D4</f>
        <v>19200.000000000015</v>
      </c>
      <c r="F4" s="497"/>
    </row>
    <row r="5" spans="1:6" ht="18.75">
      <c r="A5" s="498">
        <v>2</v>
      </c>
      <c r="B5" s="499" t="s">
        <v>202</v>
      </c>
      <c r="C5" s="500">
        <v>79956.939146666657</v>
      </c>
      <c r="D5" s="500">
        <v>75574.677290666688</v>
      </c>
      <c r="E5" s="500">
        <f t="shared" ref="E5:E10" si="0">C5-D5</f>
        <v>4382.2618559999682</v>
      </c>
      <c r="F5" s="497"/>
    </row>
    <row r="6" spans="1:6" ht="18.75">
      <c r="A6" s="498">
        <v>3</v>
      </c>
      <c r="B6" s="499" t="s">
        <v>101</v>
      </c>
      <c r="C6" s="500">
        <v>75574.677290666688</v>
      </c>
      <c r="D6" s="500">
        <v>50985.977546666662</v>
      </c>
      <c r="E6" s="500">
        <f t="shared" si="0"/>
        <v>24588.699744000027</v>
      </c>
      <c r="F6" s="497"/>
    </row>
    <row r="7" spans="1:6" ht="18.75">
      <c r="A7" s="498">
        <v>4</v>
      </c>
      <c r="B7" s="499" t="s">
        <v>336</v>
      </c>
      <c r="C7" s="500">
        <v>50985.977546666662</v>
      </c>
      <c r="D7" s="500">
        <v>49548.776186666662</v>
      </c>
      <c r="E7" s="500">
        <f t="shared" si="0"/>
        <v>1437.2013599999991</v>
      </c>
      <c r="F7" s="497"/>
    </row>
    <row r="8" spans="1:6" ht="18.75">
      <c r="A8" s="498">
        <v>5</v>
      </c>
      <c r="B8" s="499" t="s">
        <v>421</v>
      </c>
      <c r="C8" s="500">
        <v>53384.053562666668</v>
      </c>
      <c r="D8" s="500">
        <v>41338.951098666665</v>
      </c>
      <c r="E8" s="500">
        <f t="shared" si="0"/>
        <v>12045.102464000003</v>
      </c>
      <c r="F8" s="497"/>
    </row>
    <row r="9" spans="1:6" ht="18.75">
      <c r="A9" s="498">
        <v>6</v>
      </c>
      <c r="B9" s="499" t="s">
        <v>436</v>
      </c>
      <c r="C9" s="500">
        <v>45414.456252666663</v>
      </c>
      <c r="D9" s="500">
        <v>33825.986562666658</v>
      </c>
      <c r="E9" s="500">
        <f t="shared" si="0"/>
        <v>11588.469690000005</v>
      </c>
      <c r="F9" s="497"/>
    </row>
    <row r="10" spans="1:6" ht="18.75">
      <c r="A10" s="498">
        <v>7</v>
      </c>
      <c r="B10" s="499" t="s">
        <v>406</v>
      </c>
      <c r="C10" s="500">
        <v>33825.986562666658</v>
      </c>
      <c r="D10" s="500">
        <v>29984.870925426669</v>
      </c>
      <c r="E10" s="500">
        <f t="shared" si="0"/>
        <v>3841.1156372399892</v>
      </c>
      <c r="F10" s="497"/>
    </row>
    <row r="11" spans="1:6" ht="18.75">
      <c r="A11" s="498">
        <v>8</v>
      </c>
      <c r="B11" s="499" t="s">
        <v>124</v>
      </c>
      <c r="C11" s="501">
        <v>82627.951418666678</v>
      </c>
      <c r="D11" s="500">
        <v>43492.373376666663</v>
      </c>
      <c r="E11" s="500">
        <f>C11-D11</f>
        <v>39135.578042000016</v>
      </c>
      <c r="F11" s="497"/>
    </row>
    <row r="12" spans="1:6" ht="18.75">
      <c r="A12" s="498">
        <v>9</v>
      </c>
      <c r="B12" s="499" t="s">
        <v>237</v>
      </c>
      <c r="C12" s="500">
        <v>43492.373376666663</v>
      </c>
      <c r="D12" s="500">
        <v>34968.882414666667</v>
      </c>
      <c r="E12" s="500">
        <f t="shared" ref="E12:E13" si="1">C12-D12</f>
        <v>8523.4909619999962</v>
      </c>
      <c r="F12" s="497"/>
    </row>
    <row r="13" spans="1:6" ht="18.75">
      <c r="A13" s="498">
        <v>10</v>
      </c>
      <c r="B13" s="499" t="s">
        <v>345</v>
      </c>
      <c r="C13" s="500">
        <v>34968.882414666667</v>
      </c>
      <c r="D13" s="500">
        <v>27105.986562666658</v>
      </c>
      <c r="E13" s="500">
        <f t="shared" si="1"/>
        <v>7862.8958520000087</v>
      </c>
      <c r="F13" s="497"/>
    </row>
    <row r="14" spans="1:6" ht="18.75">
      <c r="A14" s="498">
        <v>11</v>
      </c>
      <c r="B14" s="499" t="s">
        <v>109</v>
      </c>
      <c r="C14" s="500">
        <v>180180.378218667</v>
      </c>
      <c r="D14" s="500">
        <v>58814.673103466652</v>
      </c>
      <c r="E14" s="500">
        <f>C14-D14</f>
        <v>121365.70511520034</v>
      </c>
      <c r="F14" s="497"/>
    </row>
    <row r="15" spans="1:6" ht="18.75">
      <c r="A15" s="498">
        <v>12</v>
      </c>
      <c r="B15" s="499" t="s">
        <v>135</v>
      </c>
      <c r="C15" s="500">
        <v>99907.951418666678</v>
      </c>
      <c r="D15" s="500">
        <v>58631.439944426667</v>
      </c>
      <c r="E15" s="500">
        <f t="shared" ref="E15:E18" si="2">C15-D15</f>
        <v>41276.511474240011</v>
      </c>
      <c r="F15" s="497"/>
    </row>
    <row r="16" spans="1:6" ht="18.75">
      <c r="A16" s="498">
        <v>13</v>
      </c>
      <c r="B16" s="499" t="s">
        <v>240</v>
      </c>
      <c r="C16" s="500">
        <v>58941.101743466657</v>
      </c>
      <c r="D16" s="500">
        <v>31871.335203306662</v>
      </c>
      <c r="E16" s="500">
        <f t="shared" si="2"/>
        <v>27069.766540159995</v>
      </c>
      <c r="F16" s="497"/>
    </row>
    <row r="17" spans="1:6" ht="18.75">
      <c r="A17" s="498">
        <v>14</v>
      </c>
      <c r="B17" s="499" t="s">
        <v>341</v>
      </c>
      <c r="C17" s="500">
        <v>58631.439944426667</v>
      </c>
      <c r="D17" s="500">
        <v>31221.145554666658</v>
      </c>
      <c r="E17" s="500">
        <f t="shared" si="2"/>
        <v>27410.294389760009</v>
      </c>
      <c r="F17" s="497"/>
    </row>
    <row r="18" spans="1:6" ht="18.75">
      <c r="A18" s="498">
        <v>15</v>
      </c>
      <c r="B18" s="499" t="s">
        <v>374</v>
      </c>
      <c r="C18" s="500">
        <v>31871.335203306662</v>
      </c>
      <c r="D18" s="500">
        <v>29984.870925426669</v>
      </c>
      <c r="E18" s="500">
        <f t="shared" si="2"/>
        <v>1886.4642778799935</v>
      </c>
      <c r="F18" s="497"/>
    </row>
    <row r="19" spans="1:6" ht="18.75">
      <c r="A19" s="499"/>
      <c r="B19" s="502" t="s">
        <v>15</v>
      </c>
      <c r="C19" s="502">
        <f>SUM(C4:C18)</f>
        <v>1028759.6072472003</v>
      </c>
      <c r="D19" s="502">
        <f t="shared" ref="D19:E19" si="3">SUM(D4:D18)</f>
        <v>677146.04984271992</v>
      </c>
      <c r="E19" s="502">
        <f t="shared" si="3"/>
        <v>351613.55740448035</v>
      </c>
      <c r="F19" s="497"/>
    </row>
    <row r="20" spans="1:6" ht="24.75" customHeight="1">
      <c r="A20" s="503"/>
      <c r="B20" s="503"/>
      <c r="C20" s="503"/>
      <c r="D20" s="503"/>
      <c r="E20" s="503"/>
      <c r="F20" s="49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8"/>
  <sheetViews>
    <sheetView topLeftCell="H1" workbookViewId="0">
      <selection activeCell="O196" sqref="O196"/>
    </sheetView>
  </sheetViews>
  <sheetFormatPr defaultColWidth="9.140625" defaultRowHeight="18.75"/>
  <cols>
    <col min="1" max="1" width="5.42578125" style="196" customWidth="1"/>
    <col min="2" max="2" width="43.85546875" style="196" customWidth="1"/>
    <col min="3" max="3" width="40.42578125" style="196" customWidth="1"/>
    <col min="4" max="4" width="12.7109375" style="196" customWidth="1"/>
    <col min="5" max="5" width="20.28515625" style="196" customWidth="1"/>
    <col min="6" max="6" width="18" style="196" customWidth="1"/>
    <col min="7" max="7" width="18.28515625" style="196" customWidth="1"/>
    <col min="8" max="8" width="18.140625" style="196" customWidth="1"/>
    <col min="9" max="9" width="17.85546875" style="196" customWidth="1"/>
    <col min="10" max="12" width="20" style="196" customWidth="1"/>
    <col min="13" max="15" width="19.7109375" style="196" customWidth="1"/>
    <col min="16" max="16" width="21.7109375" style="196" customWidth="1"/>
    <col min="17" max="16384" width="9.140625" style="196"/>
  </cols>
  <sheetData>
    <row r="1" spans="1:16" ht="27" customHeight="1">
      <c r="A1" s="719" t="s">
        <v>234</v>
      </c>
      <c r="B1" s="719"/>
      <c r="C1" s="719"/>
      <c r="D1" s="719"/>
      <c r="E1" s="719"/>
      <c r="F1" s="719"/>
      <c r="G1" s="195"/>
      <c r="H1" s="195"/>
      <c r="I1" s="195"/>
      <c r="J1" s="195"/>
      <c r="K1" s="195"/>
      <c r="L1" s="195"/>
    </row>
    <row r="2" spans="1:16" ht="33.75" customHeight="1">
      <c r="A2" s="510" t="s">
        <v>779</v>
      </c>
      <c r="B2" s="511"/>
      <c r="C2" s="510"/>
      <c r="D2" s="510"/>
      <c r="E2" s="512"/>
      <c r="F2" s="512"/>
      <c r="G2" s="200"/>
      <c r="H2" s="200"/>
      <c r="I2" s="200"/>
      <c r="J2" s="200"/>
      <c r="K2" s="200"/>
      <c r="L2" s="200"/>
      <c r="M2" s="201"/>
      <c r="N2" s="201"/>
      <c r="O2" s="201"/>
    </row>
    <row r="3" spans="1:16" ht="9.75" customHeight="1">
      <c r="A3" s="202"/>
      <c r="B3" s="202"/>
      <c r="C3" s="202"/>
      <c r="D3" s="202"/>
      <c r="E3" s="195" t="e">
        <f>'[1]FEB 08'!E11/'[1]FEB 08'!M11</f>
        <v>#REF!</v>
      </c>
      <c r="F3" s="195"/>
      <c r="G3" s="195"/>
      <c r="H3" s="195"/>
      <c r="I3" s="195"/>
      <c r="J3" s="195"/>
      <c r="K3" s="195"/>
      <c r="L3" s="195"/>
    </row>
    <row r="4" spans="1:16" ht="52.5" customHeight="1">
      <c r="A4" s="357"/>
      <c r="B4" s="203" t="s">
        <v>0</v>
      </c>
      <c r="C4" s="204" t="s">
        <v>12</v>
      </c>
      <c r="D4" s="205" t="s">
        <v>309</v>
      </c>
      <c r="E4" s="206" t="s">
        <v>36</v>
      </c>
      <c r="F4" s="206" t="s">
        <v>780</v>
      </c>
      <c r="G4" s="206" t="s">
        <v>781</v>
      </c>
      <c r="H4" s="206" t="s">
        <v>782</v>
      </c>
      <c r="I4" s="206" t="s">
        <v>49</v>
      </c>
      <c r="J4" s="513" t="s">
        <v>662</v>
      </c>
      <c r="K4" s="513" t="s">
        <v>783</v>
      </c>
      <c r="L4" s="513" t="s">
        <v>784</v>
      </c>
      <c r="M4" s="514" t="s">
        <v>785</v>
      </c>
      <c r="N4" s="514" t="s">
        <v>786</v>
      </c>
      <c r="O4" s="514" t="s">
        <v>787</v>
      </c>
    </row>
    <row r="5" spans="1:16" ht="17.25" customHeight="1">
      <c r="C5" s="210"/>
      <c r="D5" s="210"/>
      <c r="E5" s="211" t="s">
        <v>5</v>
      </c>
      <c r="F5" s="211" t="s">
        <v>5</v>
      </c>
      <c r="G5" s="211" t="s">
        <v>5</v>
      </c>
      <c r="H5" s="211" t="s">
        <v>5</v>
      </c>
      <c r="I5" s="211" t="s">
        <v>5</v>
      </c>
      <c r="J5" s="515"/>
      <c r="K5" s="515"/>
      <c r="L5" s="515"/>
      <c r="M5" s="516" t="s">
        <v>5</v>
      </c>
      <c r="N5" s="516"/>
      <c r="O5" s="516"/>
    </row>
    <row r="6" spans="1:16" ht="20.100000000000001" customHeight="1">
      <c r="A6" s="209" t="s">
        <v>143</v>
      </c>
      <c r="B6" s="210" t="s">
        <v>433</v>
      </c>
      <c r="C6" s="210"/>
      <c r="D6" s="210"/>
      <c r="E6" s="211"/>
      <c r="F6" s="360"/>
      <c r="G6" s="211"/>
      <c r="H6" s="211"/>
      <c r="I6" s="211"/>
      <c r="J6" s="515"/>
      <c r="K6" s="515"/>
      <c r="L6" s="515"/>
      <c r="M6" s="516"/>
      <c r="N6" s="516"/>
      <c r="O6" s="516"/>
    </row>
    <row r="7" spans="1:16" ht="20.100000000000001" customHeight="1">
      <c r="A7" s="430">
        <v>1</v>
      </c>
      <c r="B7" s="432" t="s">
        <v>224</v>
      </c>
      <c r="C7" s="367" t="s">
        <v>119</v>
      </c>
      <c r="D7" s="367" t="s">
        <v>34</v>
      </c>
      <c r="E7" s="24">
        <v>1659751.1669999999</v>
      </c>
      <c r="F7" s="24"/>
      <c r="G7" s="212">
        <f>250000</f>
        <v>250000</v>
      </c>
      <c r="H7" s="212"/>
      <c r="I7" s="24">
        <v>25235</v>
      </c>
      <c r="J7" s="517">
        <f>E7+F7+G7+H7+I7</f>
        <v>1934986.1669999999</v>
      </c>
      <c r="K7" s="517">
        <v>1158849.8399999999</v>
      </c>
      <c r="L7" s="517">
        <f>J7-K7</f>
        <v>776136.32700000005</v>
      </c>
      <c r="M7" s="518">
        <v>350184.01073066675</v>
      </c>
      <c r="N7" s="518">
        <v>201165.83594666663</v>
      </c>
      <c r="O7" s="519">
        <f>M7-N7</f>
        <v>149018.17478400012</v>
      </c>
      <c r="P7" s="213"/>
    </row>
    <row r="8" spans="1:16" ht="20.100000000000001" customHeight="1">
      <c r="A8" s="430">
        <v>2</v>
      </c>
      <c r="B8" s="432" t="s">
        <v>315</v>
      </c>
      <c r="C8" s="367" t="s">
        <v>316</v>
      </c>
      <c r="D8" s="430" t="s">
        <v>496</v>
      </c>
      <c r="E8" s="24">
        <v>762373.16666666663</v>
      </c>
      <c r="F8" s="26"/>
      <c r="G8" s="212"/>
      <c r="H8" s="212">
        <f>90000</f>
        <v>90000</v>
      </c>
      <c r="I8" s="24">
        <v>0</v>
      </c>
      <c r="J8" s="517">
        <f t="shared" ref="J8:J33" si="0">E8+F8+G8+H8+I8</f>
        <v>852373.16666666663</v>
      </c>
      <c r="K8" s="517">
        <v>541465.02474999998</v>
      </c>
      <c r="L8" s="517">
        <f t="shared" ref="L8:L33" si="1">J8-K8</f>
        <v>310908.14191666665</v>
      </c>
      <c r="M8" s="518">
        <v>130612.26282666666</v>
      </c>
      <c r="N8" s="518">
        <v>82627.951418666678</v>
      </c>
      <c r="O8" s="519">
        <f t="shared" ref="O8:O33" si="2">M8-N8</f>
        <v>47984.31140799998</v>
      </c>
      <c r="P8" s="213"/>
    </row>
    <row r="9" spans="1:16" ht="20.100000000000001" customHeight="1">
      <c r="A9" s="430">
        <v>3</v>
      </c>
      <c r="B9" s="365" t="s">
        <v>317</v>
      </c>
      <c r="C9" s="357" t="s">
        <v>418</v>
      </c>
      <c r="D9" s="430" t="s">
        <v>496</v>
      </c>
      <c r="E9" s="24">
        <v>762373.16666666663</v>
      </c>
      <c r="F9" s="26"/>
      <c r="G9" s="212"/>
      <c r="H9" s="212">
        <f>90000</f>
        <v>90000</v>
      </c>
      <c r="I9" s="26">
        <f>100000+100000</f>
        <v>200000</v>
      </c>
      <c r="J9" s="517">
        <f t="shared" si="0"/>
        <v>1052373.1666666665</v>
      </c>
      <c r="K9" s="517">
        <v>741465.0247500001</v>
      </c>
      <c r="L9" s="517">
        <f t="shared" si="1"/>
        <v>310908.14191666641</v>
      </c>
      <c r="M9" s="520">
        <v>180722.31466666664</v>
      </c>
      <c r="N9" s="520">
        <v>121027.95141866669</v>
      </c>
      <c r="O9" s="519">
        <f t="shared" si="2"/>
        <v>59694.363247999951</v>
      </c>
      <c r="P9" s="213"/>
    </row>
    <row r="10" spans="1:16" ht="20.100000000000001" customHeight="1">
      <c r="A10" s="430">
        <v>4</v>
      </c>
      <c r="B10" s="432" t="s">
        <v>187</v>
      </c>
      <c r="C10" s="431" t="s">
        <v>474</v>
      </c>
      <c r="D10" s="430" t="s">
        <v>496</v>
      </c>
      <c r="E10" s="24">
        <v>762373.16666666663</v>
      </c>
      <c r="F10" s="26"/>
      <c r="G10" s="212">
        <v>180000</v>
      </c>
      <c r="H10" s="212"/>
      <c r="I10" s="26">
        <v>0</v>
      </c>
      <c r="J10" s="517">
        <f t="shared" si="0"/>
        <v>942373.16666666663</v>
      </c>
      <c r="K10" s="517">
        <v>631465.0247500001</v>
      </c>
      <c r="L10" s="517">
        <f t="shared" si="1"/>
        <v>310908.14191666653</v>
      </c>
      <c r="M10" s="520">
        <v>147687.52761066667</v>
      </c>
      <c r="N10" s="520">
        <v>99703.216202666677</v>
      </c>
      <c r="O10" s="519">
        <f t="shared" si="2"/>
        <v>47984.311407999994</v>
      </c>
      <c r="P10" s="213"/>
    </row>
    <row r="11" spans="1:16" ht="20.100000000000001" customHeight="1">
      <c r="A11" s="430">
        <v>5</v>
      </c>
      <c r="B11" s="365" t="s">
        <v>203</v>
      </c>
      <c r="C11" s="357" t="s">
        <v>788</v>
      </c>
      <c r="D11" s="430" t="s">
        <v>496</v>
      </c>
      <c r="E11" s="24">
        <v>762373.16666666663</v>
      </c>
      <c r="F11" s="26"/>
      <c r="G11" s="212"/>
      <c r="H11" s="212">
        <f>80000+10000</f>
        <v>90000</v>
      </c>
      <c r="I11" s="24">
        <v>150000</v>
      </c>
      <c r="J11" s="517">
        <f t="shared" si="0"/>
        <v>1002373.1666666666</v>
      </c>
      <c r="K11" s="517">
        <v>691465.0247500001</v>
      </c>
      <c r="L11" s="517">
        <f t="shared" si="1"/>
        <v>310908.14191666653</v>
      </c>
      <c r="M11" s="518">
        <v>159207.52761066667</v>
      </c>
      <c r="N11" s="518">
        <v>111223.21620266668</v>
      </c>
      <c r="O11" s="519">
        <f t="shared" si="2"/>
        <v>47984.311407999994</v>
      </c>
      <c r="P11" s="213"/>
    </row>
    <row r="12" spans="1:16" ht="20.100000000000001" customHeight="1">
      <c r="A12" s="430">
        <v>6</v>
      </c>
      <c r="B12" s="364" t="s">
        <v>364</v>
      </c>
      <c r="C12" s="430" t="s">
        <v>343</v>
      </c>
      <c r="D12" s="430" t="s">
        <v>496</v>
      </c>
      <c r="E12" s="24">
        <v>762373.16666666663</v>
      </c>
      <c r="F12" s="26"/>
      <c r="G12" s="212"/>
      <c r="H12" s="212">
        <f>90000</f>
        <v>90000</v>
      </c>
      <c r="I12" s="26">
        <v>100000</v>
      </c>
      <c r="J12" s="517">
        <f t="shared" si="0"/>
        <v>952373.16666666663</v>
      </c>
      <c r="K12" s="517">
        <v>641465.02474999998</v>
      </c>
      <c r="L12" s="517">
        <f t="shared" si="1"/>
        <v>310908.14191666665</v>
      </c>
      <c r="M12" s="520">
        <v>161522.31466666667</v>
      </c>
      <c r="N12" s="520">
        <v>101827.95141866668</v>
      </c>
      <c r="O12" s="519">
        <f t="shared" si="2"/>
        <v>59694.363247999994</v>
      </c>
      <c r="P12" s="213"/>
    </row>
    <row r="13" spans="1:16" ht="20.100000000000001" customHeight="1">
      <c r="A13" s="430">
        <v>7</v>
      </c>
      <c r="B13" s="432" t="s">
        <v>111</v>
      </c>
      <c r="C13" s="367" t="s">
        <v>468</v>
      </c>
      <c r="D13" s="434" t="s">
        <v>75</v>
      </c>
      <c r="E13" s="26">
        <v>620675.58333333337</v>
      </c>
      <c r="F13" s="26"/>
      <c r="G13" s="212"/>
      <c r="H13" s="212">
        <f t="shared" ref="H13:H123" si="3">80000</f>
        <v>80000</v>
      </c>
      <c r="I13" s="26">
        <v>50000</v>
      </c>
      <c r="J13" s="517">
        <f t="shared" si="0"/>
        <v>750675.58333333337</v>
      </c>
      <c r="K13" s="517">
        <v>497553.5025</v>
      </c>
      <c r="L13" s="517">
        <f t="shared" si="1"/>
        <v>253122.08083333337</v>
      </c>
      <c r="M13" s="520">
        <v>113101.96570666666</v>
      </c>
      <c r="N13" s="520">
        <v>74036.103146666661</v>
      </c>
      <c r="O13" s="519">
        <f t="shared" si="2"/>
        <v>39065.862559999994</v>
      </c>
      <c r="P13" s="213"/>
    </row>
    <row r="14" spans="1:16" ht="20.100000000000001" customHeight="1">
      <c r="A14" s="430">
        <v>8</v>
      </c>
      <c r="B14" s="432" t="s">
        <v>185</v>
      </c>
      <c r="C14" s="357" t="s">
        <v>708</v>
      </c>
      <c r="D14" s="430" t="s">
        <v>30</v>
      </c>
      <c r="E14" s="26">
        <v>582118.08333333337</v>
      </c>
      <c r="F14" s="26"/>
      <c r="G14" s="212">
        <v>160000</v>
      </c>
      <c r="H14" s="212"/>
      <c r="I14" s="26">
        <f>100000</f>
        <v>100000</v>
      </c>
      <c r="J14" s="517">
        <f t="shared" si="0"/>
        <v>842118.08333333337</v>
      </c>
      <c r="K14" s="517">
        <v>604729.22200000007</v>
      </c>
      <c r="L14" s="517">
        <f t="shared" si="1"/>
        <v>237388.86133333331</v>
      </c>
      <c r="M14" s="518">
        <v>131263.10967466666</v>
      </c>
      <c r="N14" s="518">
        <v>94625.782058666678</v>
      </c>
      <c r="O14" s="519">
        <f t="shared" si="2"/>
        <v>36637.32761599998</v>
      </c>
      <c r="P14" s="213"/>
    </row>
    <row r="15" spans="1:16" ht="20.100000000000001" customHeight="1">
      <c r="A15" s="430">
        <v>9</v>
      </c>
      <c r="B15" s="432" t="s">
        <v>18</v>
      </c>
      <c r="C15" s="357" t="s">
        <v>389</v>
      </c>
      <c r="D15" s="434" t="s">
        <v>174</v>
      </c>
      <c r="E15" s="26">
        <v>484373.75</v>
      </c>
      <c r="F15" s="26"/>
      <c r="G15" s="212"/>
      <c r="H15" s="212">
        <f t="shared" ref="H15" si="4">70000</f>
        <v>70000</v>
      </c>
      <c r="I15" s="26">
        <f>0</f>
        <v>0</v>
      </c>
      <c r="J15" s="517">
        <f t="shared" si="0"/>
        <v>554373.75</v>
      </c>
      <c r="K15" s="517">
        <v>343333.03524999996</v>
      </c>
      <c r="L15" s="517">
        <f t="shared" si="1"/>
        <v>211040.71475000004</v>
      </c>
      <c r="M15" s="520">
        <v>77666.445866666661</v>
      </c>
      <c r="N15" s="520">
        <v>44846.616588666657</v>
      </c>
      <c r="O15" s="519">
        <f t="shared" si="2"/>
        <v>32819.829278000005</v>
      </c>
      <c r="P15" s="213"/>
    </row>
    <row r="16" spans="1:16" ht="20.100000000000001" customHeight="1">
      <c r="A16" s="430">
        <v>10</v>
      </c>
      <c r="B16" s="365" t="s">
        <v>534</v>
      </c>
      <c r="C16" s="431" t="s">
        <v>297</v>
      </c>
      <c r="D16" s="434" t="s">
        <v>181</v>
      </c>
      <c r="E16" s="26">
        <v>470498</v>
      </c>
      <c r="F16" s="26"/>
      <c r="G16" s="212">
        <v>140000</v>
      </c>
      <c r="H16" s="212"/>
      <c r="I16" s="26">
        <v>50000</v>
      </c>
      <c r="J16" s="517">
        <f t="shared" si="0"/>
        <v>660498</v>
      </c>
      <c r="K16" s="517">
        <v>463333.03525000007</v>
      </c>
      <c r="L16" s="517">
        <f t="shared" si="1"/>
        <v>197164.96474999993</v>
      </c>
      <c r="M16" s="521">
        <v>98255.433386666657</v>
      </c>
      <c r="N16" s="518">
        <v>67626.60943466668</v>
      </c>
      <c r="O16" s="519">
        <f t="shared" si="2"/>
        <v>30628.823951999977</v>
      </c>
      <c r="P16" s="213"/>
    </row>
    <row r="17" spans="1:16" ht="20.100000000000001" customHeight="1">
      <c r="A17" s="430">
        <v>11</v>
      </c>
      <c r="B17" s="432" t="s">
        <v>184</v>
      </c>
      <c r="C17" s="357" t="s">
        <v>78</v>
      </c>
      <c r="D17" s="430" t="s">
        <v>222</v>
      </c>
      <c r="E17" s="26">
        <v>442746.5</v>
      </c>
      <c r="F17" s="26"/>
      <c r="G17" s="212">
        <f>140000</f>
        <v>140000</v>
      </c>
      <c r="H17" s="212"/>
      <c r="I17" s="26">
        <v>150000</v>
      </c>
      <c r="J17" s="517">
        <f t="shared" si="0"/>
        <v>732746.5</v>
      </c>
      <c r="K17" s="517">
        <v>547211.36749999993</v>
      </c>
      <c r="L17" s="517">
        <f t="shared" si="1"/>
        <v>185535.13250000007</v>
      </c>
      <c r="M17" s="520">
        <v>112553.40842666665</v>
      </c>
      <c r="N17" s="520">
        <v>83731.249226666652</v>
      </c>
      <c r="O17" s="519">
        <f t="shared" si="2"/>
        <v>28822.159199999995</v>
      </c>
      <c r="P17" s="213"/>
    </row>
    <row r="18" spans="1:16" ht="20.100000000000001" customHeight="1">
      <c r="A18" s="430">
        <v>12</v>
      </c>
      <c r="B18" s="432" t="s">
        <v>724</v>
      </c>
      <c r="C18" s="357" t="s">
        <v>725</v>
      </c>
      <c r="D18" s="430" t="s">
        <v>175</v>
      </c>
      <c r="E18" s="26">
        <v>441804.91666666669</v>
      </c>
      <c r="F18" s="26"/>
      <c r="G18" s="212"/>
      <c r="H18" s="212">
        <v>70000</v>
      </c>
      <c r="I18" s="26"/>
      <c r="J18" s="517">
        <f t="shared" si="0"/>
        <v>511804.91666666669</v>
      </c>
      <c r="K18" s="517">
        <v>326663.07749999996</v>
      </c>
      <c r="L18" s="517">
        <f t="shared" si="1"/>
        <v>185141.83916666673</v>
      </c>
      <c r="M18" s="518">
        <v>70147.087146666672</v>
      </c>
      <c r="N18" s="518">
        <v>42046.063686666661</v>
      </c>
      <c r="O18" s="519">
        <f t="shared" si="2"/>
        <v>28101.023460000011</v>
      </c>
    </row>
    <row r="19" spans="1:16" ht="20.100000000000001" customHeight="1">
      <c r="A19" s="430">
        <v>13</v>
      </c>
      <c r="B19" s="432" t="s">
        <v>334</v>
      </c>
      <c r="C19" s="367" t="s">
        <v>351</v>
      </c>
      <c r="D19" s="434" t="s">
        <v>170</v>
      </c>
      <c r="E19" s="26">
        <v>428915.91666666669</v>
      </c>
      <c r="F19" s="26"/>
      <c r="G19" s="212">
        <f>120000</f>
        <v>120000</v>
      </c>
      <c r="H19" s="212"/>
      <c r="I19" s="26">
        <v>0</v>
      </c>
      <c r="J19" s="517">
        <f t="shared" si="0"/>
        <v>548915.91666666674</v>
      </c>
      <c r="K19" s="517">
        <v>369177.65375</v>
      </c>
      <c r="L19" s="517">
        <f t="shared" si="1"/>
        <v>179738.26291666675</v>
      </c>
      <c r="M19" s="520">
        <v>77470.374186666668</v>
      </c>
      <c r="N19" s="520">
        <v>49548.776186666662</v>
      </c>
      <c r="O19" s="519">
        <f t="shared" si="2"/>
        <v>27921.598000000005</v>
      </c>
      <c r="P19" s="213"/>
    </row>
    <row r="20" spans="1:16" ht="20.100000000000001" customHeight="1">
      <c r="A20" s="430">
        <v>14</v>
      </c>
      <c r="B20" s="364" t="s">
        <v>291</v>
      </c>
      <c r="C20" s="357" t="s">
        <v>789</v>
      </c>
      <c r="D20" s="434" t="s">
        <v>500</v>
      </c>
      <c r="E20" s="26">
        <v>416026.91666666669</v>
      </c>
      <c r="F20" s="26"/>
      <c r="G20" s="212">
        <f>120000</f>
        <v>120000</v>
      </c>
      <c r="H20" s="212"/>
      <c r="I20" s="26">
        <f>100000</f>
        <v>100000</v>
      </c>
      <c r="J20" s="517">
        <f t="shared" si="0"/>
        <v>636026.91666666674</v>
      </c>
      <c r="K20" s="517">
        <v>462001.06050000002</v>
      </c>
      <c r="L20" s="517">
        <f t="shared" si="1"/>
        <v>174025.85616666672</v>
      </c>
      <c r="M20" s="520">
        <v>94274.903466666685</v>
      </c>
      <c r="N20" s="520">
        <v>67370.87028266667</v>
      </c>
      <c r="O20" s="519">
        <f t="shared" si="2"/>
        <v>26904.033184000014</v>
      </c>
      <c r="P20" s="213"/>
    </row>
    <row r="21" spans="1:16" ht="18.75" customHeight="1">
      <c r="A21" s="430">
        <v>15</v>
      </c>
      <c r="B21" s="432" t="s">
        <v>253</v>
      </c>
      <c r="C21" s="367" t="s">
        <v>478</v>
      </c>
      <c r="D21" s="434" t="s">
        <v>497</v>
      </c>
      <c r="E21" s="26">
        <v>377895.16666666669</v>
      </c>
      <c r="F21" s="26"/>
      <c r="G21" s="212"/>
      <c r="H21" s="212">
        <f>60000</f>
        <v>60000</v>
      </c>
      <c r="I21" s="26">
        <v>100000</v>
      </c>
      <c r="J21" s="517">
        <f t="shared" si="0"/>
        <v>537895.16666666674</v>
      </c>
      <c r="K21" s="517">
        <v>384536.99849999993</v>
      </c>
      <c r="L21" s="517">
        <f t="shared" si="1"/>
        <v>153358.16816666682</v>
      </c>
      <c r="M21" s="520">
        <v>76138.068906666667</v>
      </c>
      <c r="N21" s="520">
        <v>52497.770378666646</v>
      </c>
      <c r="O21" s="519">
        <f t="shared" si="2"/>
        <v>23640.298528000021</v>
      </c>
      <c r="P21" s="213"/>
    </row>
    <row r="22" spans="1:16" ht="20.100000000000001" customHeight="1">
      <c r="A22" s="430">
        <v>16</v>
      </c>
      <c r="B22" s="365" t="s">
        <v>321</v>
      </c>
      <c r="C22" s="431" t="s">
        <v>790</v>
      </c>
      <c r="D22" s="430" t="s">
        <v>369</v>
      </c>
      <c r="E22" s="26">
        <v>353512.5</v>
      </c>
      <c r="F22" s="26"/>
      <c r="G22" s="212">
        <f t="shared" ref="G22" si="5">100000</f>
        <v>100000</v>
      </c>
      <c r="H22" s="212"/>
      <c r="I22" s="26">
        <v>100000</v>
      </c>
      <c r="J22" s="517">
        <f t="shared" si="0"/>
        <v>553512.5</v>
      </c>
      <c r="K22" s="517">
        <v>400372.07500000001</v>
      </c>
      <c r="L22" s="517">
        <f t="shared" si="1"/>
        <v>153140.42499999999</v>
      </c>
      <c r="M22" s="520">
        <v>79511.114666666675</v>
      </c>
      <c r="N22" s="520">
        <v>55538.105066666671</v>
      </c>
      <c r="O22" s="519">
        <f t="shared" si="2"/>
        <v>23973.009600000005</v>
      </c>
      <c r="P22" s="213"/>
    </row>
    <row r="23" spans="1:16" ht="21.6" customHeight="1">
      <c r="A23" s="430">
        <v>17</v>
      </c>
      <c r="B23" s="432" t="s">
        <v>756</v>
      </c>
      <c r="C23" s="431" t="s">
        <v>422</v>
      </c>
      <c r="D23" s="434" t="s">
        <v>369</v>
      </c>
      <c r="E23" s="26">
        <v>353512.5</v>
      </c>
      <c r="F23" s="26"/>
      <c r="G23" s="212">
        <v>110000</v>
      </c>
      <c r="H23" s="212"/>
      <c r="I23" s="26">
        <v>0</v>
      </c>
      <c r="J23" s="517">
        <f t="shared" si="0"/>
        <v>463512.5</v>
      </c>
      <c r="K23" s="517">
        <v>1015372.0750000001</v>
      </c>
      <c r="L23" s="517">
        <f t="shared" si="1"/>
        <v>-551859.57500000007</v>
      </c>
      <c r="M23" s="520">
        <v>62231.114666666661</v>
      </c>
      <c r="N23" s="520">
        <v>40149.175266666658</v>
      </c>
      <c r="O23" s="519">
        <f t="shared" si="2"/>
        <v>22081.939400000003</v>
      </c>
      <c r="P23" s="213"/>
    </row>
    <row r="24" spans="1:16" ht="20.100000000000001" customHeight="1">
      <c r="A24" s="430">
        <v>18</v>
      </c>
      <c r="B24" s="365" t="s">
        <v>741</v>
      </c>
      <c r="C24" s="431" t="s">
        <v>742</v>
      </c>
      <c r="D24" s="430" t="s">
        <v>104</v>
      </c>
      <c r="E24" s="26">
        <v>293029.66666666669</v>
      </c>
      <c r="F24" s="26"/>
      <c r="G24" s="212"/>
      <c r="H24" s="212">
        <f>50000+10000</f>
        <v>60000</v>
      </c>
      <c r="I24" s="26">
        <v>100000</v>
      </c>
      <c r="J24" s="517">
        <f t="shared" si="0"/>
        <v>453029.66666666669</v>
      </c>
      <c r="K24" s="517">
        <v>328602.07775000005</v>
      </c>
      <c r="L24" s="517">
        <f t="shared" si="1"/>
        <v>124427.58891666663</v>
      </c>
      <c r="M24" s="520">
        <v>61147.426986666665</v>
      </c>
      <c r="N24" s="520">
        <v>42371.815728666676</v>
      </c>
      <c r="O24" s="519">
        <f t="shared" si="2"/>
        <v>18775.61125799999</v>
      </c>
      <c r="P24" s="213"/>
    </row>
    <row r="25" spans="1:16" ht="18.75" customHeight="1">
      <c r="A25" s="430">
        <v>19</v>
      </c>
      <c r="B25" s="357" t="s">
        <v>434</v>
      </c>
      <c r="C25" s="357" t="s">
        <v>17</v>
      </c>
      <c r="D25" s="430" t="s">
        <v>746</v>
      </c>
      <c r="E25" s="26">
        <v>270481.66666666669</v>
      </c>
      <c r="F25" s="26"/>
      <c r="G25" s="212"/>
      <c r="H25" s="212">
        <f>50000+10000</f>
        <v>60000</v>
      </c>
      <c r="I25" s="26"/>
      <c r="J25" s="517">
        <f t="shared" si="0"/>
        <v>330481.66666666669</v>
      </c>
      <c r="K25" s="517">
        <v>213508.01</v>
      </c>
      <c r="L25" s="517">
        <f t="shared" si="1"/>
        <v>116973.65666666668</v>
      </c>
      <c r="M25" s="521">
        <v>39052.313066666662</v>
      </c>
      <c r="N25" s="520">
        <v>23036.01234666667</v>
      </c>
      <c r="O25" s="519">
        <f t="shared" si="2"/>
        <v>16016.300719999992</v>
      </c>
      <c r="P25" s="213"/>
    </row>
    <row r="26" spans="1:16" ht="18.75" customHeight="1">
      <c r="A26" s="430">
        <v>20</v>
      </c>
      <c r="B26" s="364" t="s">
        <v>254</v>
      </c>
      <c r="C26" s="367" t="s">
        <v>17</v>
      </c>
      <c r="D26" s="434" t="s">
        <v>746</v>
      </c>
      <c r="E26" s="26">
        <v>270481.66666666669</v>
      </c>
      <c r="F26" s="26"/>
      <c r="G26" s="212"/>
      <c r="H26" s="212">
        <f>50000+10000</f>
        <v>60000</v>
      </c>
      <c r="I26" s="26"/>
      <c r="J26" s="517">
        <f t="shared" si="0"/>
        <v>330481.66666666669</v>
      </c>
      <c r="K26" s="517">
        <v>213508.01</v>
      </c>
      <c r="L26" s="517">
        <f t="shared" si="1"/>
        <v>116973.65666666668</v>
      </c>
      <c r="M26" s="520">
        <v>39052.313066666662</v>
      </c>
      <c r="N26" s="520">
        <v>23036.01234666667</v>
      </c>
      <c r="O26" s="519">
        <f t="shared" si="2"/>
        <v>16016.300719999992</v>
      </c>
      <c r="P26" s="213"/>
    </row>
    <row r="27" spans="1:16" ht="20.100000000000001" customHeight="1">
      <c r="A27" s="430">
        <v>21</v>
      </c>
      <c r="B27" s="432" t="s">
        <v>320</v>
      </c>
      <c r="C27" s="431" t="s">
        <v>115</v>
      </c>
      <c r="D27" s="430" t="s">
        <v>746</v>
      </c>
      <c r="E27" s="26">
        <v>270481.66666666669</v>
      </c>
      <c r="F27" s="26"/>
      <c r="G27" s="212">
        <f t="shared" ref="G27" si="6">100000</f>
        <v>100000</v>
      </c>
      <c r="H27" s="212"/>
      <c r="I27" s="26"/>
      <c r="J27" s="517">
        <f t="shared" si="0"/>
        <v>370481.66666666669</v>
      </c>
      <c r="K27" s="517">
        <v>253508.01</v>
      </c>
      <c r="L27" s="517">
        <f t="shared" si="1"/>
        <v>116973.65666666668</v>
      </c>
      <c r="M27" s="520">
        <v>45772.313066666677</v>
      </c>
      <c r="N27" s="520">
        <v>29756.01234666667</v>
      </c>
      <c r="O27" s="519">
        <f t="shared" si="2"/>
        <v>16016.300720000007</v>
      </c>
      <c r="P27" s="213"/>
    </row>
    <row r="28" spans="1:16" ht="18.75" customHeight="1">
      <c r="A28" s="430">
        <v>22</v>
      </c>
      <c r="B28" s="364" t="s">
        <v>288</v>
      </c>
      <c r="C28" s="367" t="s">
        <v>706</v>
      </c>
      <c r="D28" s="434" t="s">
        <v>498</v>
      </c>
      <c r="E28" s="26">
        <v>263165.33333333331</v>
      </c>
      <c r="F28" s="26"/>
      <c r="G28" s="212"/>
      <c r="H28" s="212">
        <f>60000</f>
        <v>60000</v>
      </c>
      <c r="I28" s="357"/>
      <c r="J28" s="517">
        <f t="shared" si="0"/>
        <v>323165.33333333331</v>
      </c>
      <c r="K28" s="517">
        <v>209356.04725</v>
      </c>
      <c r="L28" s="517">
        <f t="shared" si="1"/>
        <v>113809.28608333331</v>
      </c>
      <c r="M28" s="520">
        <v>37921.500586666662</v>
      </c>
      <c r="N28" s="520">
        <v>22338.48260466666</v>
      </c>
      <c r="O28" s="519">
        <f t="shared" si="2"/>
        <v>15583.017982000001</v>
      </c>
      <c r="P28" s="213"/>
    </row>
    <row r="29" spans="1:16" ht="18.75" customHeight="1">
      <c r="A29" s="430">
        <v>23</v>
      </c>
      <c r="B29" s="364" t="s">
        <v>328</v>
      </c>
      <c r="C29" s="357" t="s">
        <v>737</v>
      </c>
      <c r="D29" s="430" t="s">
        <v>428</v>
      </c>
      <c r="E29" s="26">
        <v>255849</v>
      </c>
      <c r="F29" s="26"/>
      <c r="G29" s="212"/>
      <c r="H29" s="212">
        <f>60000</f>
        <v>60000</v>
      </c>
      <c r="I29" s="26"/>
      <c r="J29" s="517">
        <f t="shared" si="0"/>
        <v>315849</v>
      </c>
      <c r="K29" s="517">
        <v>205204.0845</v>
      </c>
      <c r="L29" s="517">
        <f t="shared" si="1"/>
        <v>110644.9155</v>
      </c>
      <c r="M29" s="520">
        <v>36790.688106666661</v>
      </c>
      <c r="N29" s="520">
        <v>21640.952862666669</v>
      </c>
      <c r="O29" s="519">
        <f t="shared" si="2"/>
        <v>15149.735243999992</v>
      </c>
      <c r="P29" s="213"/>
    </row>
    <row r="30" spans="1:16" ht="18.75" customHeight="1">
      <c r="A30" s="430">
        <v>24</v>
      </c>
      <c r="B30" s="364" t="s">
        <v>757</v>
      </c>
      <c r="C30" s="357" t="s">
        <v>737</v>
      </c>
      <c r="D30" s="430" t="s">
        <v>428</v>
      </c>
      <c r="E30" s="26">
        <v>255849</v>
      </c>
      <c r="F30" s="26"/>
      <c r="G30" s="212"/>
      <c r="H30" s="212">
        <f>60000</f>
        <v>60000</v>
      </c>
      <c r="I30" s="26"/>
      <c r="J30" s="517">
        <f t="shared" si="0"/>
        <v>315849</v>
      </c>
      <c r="K30" s="517">
        <v>205204.0845</v>
      </c>
      <c r="L30" s="517">
        <f t="shared" si="1"/>
        <v>110644.9155</v>
      </c>
      <c r="M30" s="520">
        <v>36790.688106666661</v>
      </c>
      <c r="N30" s="520">
        <v>21640.952862666669</v>
      </c>
      <c r="O30" s="519">
        <f t="shared" si="2"/>
        <v>15149.735243999992</v>
      </c>
      <c r="P30" s="213"/>
    </row>
    <row r="31" spans="1:16" ht="18.75" customHeight="1">
      <c r="A31" s="430">
        <v>25</v>
      </c>
      <c r="B31" s="364" t="s">
        <v>360</v>
      </c>
      <c r="C31" s="431" t="s">
        <v>372</v>
      </c>
      <c r="D31" s="434" t="s">
        <v>746</v>
      </c>
      <c r="E31" s="26">
        <v>270481.66666666669</v>
      </c>
      <c r="F31" s="26"/>
      <c r="G31" s="212"/>
      <c r="H31" s="212">
        <f>60000</f>
        <v>60000</v>
      </c>
      <c r="I31" s="26"/>
      <c r="J31" s="517">
        <f t="shared" si="0"/>
        <v>330481.66666666669</v>
      </c>
      <c r="K31" s="517">
        <v>209356.04725</v>
      </c>
      <c r="L31" s="517">
        <f t="shared" si="1"/>
        <v>121125.61941666668</v>
      </c>
      <c r="M31" s="522">
        <v>39052.313066666662</v>
      </c>
      <c r="N31" s="522">
        <v>22338.48260466666</v>
      </c>
      <c r="O31" s="519">
        <f t="shared" si="2"/>
        <v>16713.830462000002</v>
      </c>
      <c r="P31" s="213"/>
    </row>
    <row r="32" spans="1:16" ht="18.75" customHeight="1">
      <c r="A32" s="430">
        <v>26</v>
      </c>
      <c r="B32" s="364" t="s">
        <v>330</v>
      </c>
      <c r="C32" s="357" t="s">
        <v>533</v>
      </c>
      <c r="D32" s="430" t="s">
        <v>51</v>
      </c>
      <c r="E32" s="26">
        <v>230631.91666666666</v>
      </c>
      <c r="F32" s="26"/>
      <c r="G32" s="212"/>
      <c r="H32" s="212">
        <f>50000</f>
        <v>50000</v>
      </c>
      <c r="I32" s="26"/>
      <c r="J32" s="517">
        <f t="shared" si="0"/>
        <v>280631.91666666663</v>
      </c>
      <c r="K32" s="517">
        <v>180304.068</v>
      </c>
      <c r="L32" s="517">
        <f t="shared" si="1"/>
        <v>100327.84866666663</v>
      </c>
      <c r="M32" s="520">
        <v>31213.135706666657</v>
      </c>
      <c r="N32" s="520">
        <v>17572.88500266667</v>
      </c>
      <c r="O32" s="519">
        <f t="shared" si="2"/>
        <v>13640.250703999987</v>
      </c>
      <c r="P32" s="213"/>
    </row>
    <row r="33" spans="1:16" ht="18.75" customHeight="1">
      <c r="A33" s="430">
        <v>27</v>
      </c>
      <c r="B33" s="364" t="s">
        <v>555</v>
      </c>
      <c r="C33" s="367" t="s">
        <v>314</v>
      </c>
      <c r="D33" s="434" t="s">
        <v>176</v>
      </c>
      <c r="E33" s="26">
        <v>224459.75</v>
      </c>
      <c r="F33" s="26"/>
      <c r="G33" s="212"/>
      <c r="H33" s="212">
        <v>50000</v>
      </c>
      <c r="I33" s="26"/>
      <c r="J33" s="517">
        <f t="shared" si="0"/>
        <v>274459.75</v>
      </c>
      <c r="K33" s="517">
        <v>173329.04949999999</v>
      </c>
      <c r="L33" s="517">
        <f t="shared" si="1"/>
        <v>101130.70050000001</v>
      </c>
      <c r="M33" s="520">
        <v>30259.165626666669</v>
      </c>
      <c r="N33" s="520">
        <v>16512.68219066667</v>
      </c>
      <c r="O33" s="519">
        <f t="shared" si="2"/>
        <v>13746.483435999999</v>
      </c>
      <c r="P33" s="213"/>
    </row>
    <row r="34" spans="1:16" ht="26.25" customHeight="1">
      <c r="A34" s="430"/>
      <c r="B34" s="366" t="s">
        <v>15</v>
      </c>
      <c r="C34" s="360">
        <v>27</v>
      </c>
      <c r="D34" s="434"/>
      <c r="E34" s="216">
        <f>SUM(E7:E33)</f>
        <v>13048608.166999994</v>
      </c>
      <c r="F34" s="216">
        <f t="shared" ref="F34:O34" si="7">SUM(F7:F33)</f>
        <v>0</v>
      </c>
      <c r="G34" s="216">
        <f t="shared" si="7"/>
        <v>1420000</v>
      </c>
      <c r="H34" s="216">
        <f t="shared" si="7"/>
        <v>1160000</v>
      </c>
      <c r="I34" s="216">
        <f t="shared" si="7"/>
        <v>1225235</v>
      </c>
      <c r="J34" s="216">
        <f t="shared" si="7"/>
        <v>16853843.166999996</v>
      </c>
      <c r="K34" s="216">
        <v>12012337.555249996</v>
      </c>
      <c r="L34" s="216">
        <f t="shared" si="7"/>
        <v>4841505.611750002</v>
      </c>
      <c r="M34" s="216">
        <f t="shared" si="7"/>
        <v>2519600.8415999999</v>
      </c>
      <c r="N34" s="216">
        <v>1629837.5348280005</v>
      </c>
      <c r="O34" s="216">
        <f t="shared" si="7"/>
        <v>889763.30677199992</v>
      </c>
      <c r="P34" s="213"/>
    </row>
    <row r="35" spans="1:16" ht="18.75" customHeight="1">
      <c r="A35" s="430"/>
      <c r="B35" s="362"/>
      <c r="C35" s="357"/>
      <c r="D35" s="434"/>
      <c r="E35" s="216"/>
      <c r="F35" s="216"/>
      <c r="G35" s="212"/>
      <c r="H35" s="212"/>
      <c r="I35" s="216"/>
      <c r="J35" s="523"/>
      <c r="K35" s="523"/>
      <c r="L35" s="523"/>
      <c r="M35" s="524"/>
      <c r="N35" s="524"/>
      <c r="O35" s="524"/>
      <c r="P35" s="213"/>
    </row>
    <row r="36" spans="1:16" ht="18.75" customHeight="1">
      <c r="A36" s="430"/>
      <c r="B36" s="366" t="s">
        <v>284</v>
      </c>
      <c r="C36" s="357"/>
      <c r="D36" s="434"/>
      <c r="E36" s="26"/>
      <c r="F36" s="26"/>
      <c r="G36" s="212"/>
      <c r="H36" s="212"/>
      <c r="I36" s="26"/>
      <c r="J36" s="525"/>
      <c r="K36" s="525"/>
      <c r="L36" s="525"/>
      <c r="M36" s="518"/>
      <c r="N36" s="520"/>
      <c r="O36" s="518"/>
      <c r="P36" s="213"/>
    </row>
    <row r="37" spans="1:16" ht="18.75" customHeight="1">
      <c r="A37" s="430">
        <v>1</v>
      </c>
      <c r="B37" s="364" t="s">
        <v>361</v>
      </c>
      <c r="C37" s="357" t="s">
        <v>362</v>
      </c>
      <c r="D37" s="430" t="s">
        <v>161</v>
      </c>
      <c r="E37" s="26">
        <v>1435720</v>
      </c>
      <c r="F37" s="26"/>
      <c r="G37" s="212"/>
      <c r="H37" s="212">
        <f>100000</f>
        <v>100000</v>
      </c>
      <c r="I37" s="26"/>
      <c r="J37" s="525">
        <f>E37+F37+G37+H37+I37</f>
        <v>1535720</v>
      </c>
      <c r="K37" s="525">
        <v>950209.06350000005</v>
      </c>
      <c r="L37" s="525">
        <f>J37-K37</f>
        <v>585510.93649999995</v>
      </c>
      <c r="M37" s="519">
        <v>251472.24746666662</v>
      </c>
      <c r="N37" s="520">
        <v>161106.80685866668</v>
      </c>
      <c r="O37" s="519">
        <f>M37-N37</f>
        <v>90365.440607999946</v>
      </c>
      <c r="P37" s="213"/>
    </row>
    <row r="38" spans="1:16" ht="18.75" customHeight="1">
      <c r="A38" s="430">
        <v>2</v>
      </c>
      <c r="B38" s="364" t="s">
        <v>419</v>
      </c>
      <c r="C38" s="357" t="s">
        <v>791</v>
      </c>
      <c r="D38" s="430" t="s">
        <v>104</v>
      </c>
      <c r="E38" s="26">
        <v>293029.66666666669</v>
      </c>
      <c r="F38" s="26"/>
      <c r="G38" s="212"/>
      <c r="H38" s="212">
        <f>60000</f>
        <v>60000</v>
      </c>
      <c r="I38" s="26"/>
      <c r="J38" s="525">
        <f t="shared" ref="J38:J39" si="8">E38+F38+G38+H38+I38</f>
        <v>353029.66666666669</v>
      </c>
      <c r="K38" s="525">
        <v>176816.09999999998</v>
      </c>
      <c r="L38" s="525">
        <f t="shared" ref="L38:L39" si="9">J38-K38</f>
        <v>176213.56666666671</v>
      </c>
      <c r="M38" s="519">
        <v>42537.331946666665</v>
      </c>
      <c r="N38" s="520">
        <v>17042.713866666661</v>
      </c>
      <c r="O38" s="519">
        <f>M38-N38</f>
        <v>25494.618080000004</v>
      </c>
      <c r="P38" s="213"/>
    </row>
    <row r="39" spans="1:16" ht="18.75" customHeight="1">
      <c r="A39" s="430">
        <v>3</v>
      </c>
      <c r="B39" s="432" t="s">
        <v>720</v>
      </c>
      <c r="C39" s="367" t="s">
        <v>721</v>
      </c>
      <c r="D39" s="434" t="s">
        <v>207</v>
      </c>
      <c r="E39" s="26">
        <v>300965.58333333331</v>
      </c>
      <c r="F39" s="26"/>
      <c r="G39" s="212"/>
      <c r="H39" s="212">
        <f>50000+10000</f>
        <v>60000</v>
      </c>
      <c r="I39" s="26"/>
      <c r="J39" s="525">
        <f t="shared" si="8"/>
        <v>360965.58333333331</v>
      </c>
      <c r="K39" s="525">
        <v>233169.11749999999</v>
      </c>
      <c r="L39" s="525">
        <f t="shared" si="9"/>
        <v>127796.46583333332</v>
      </c>
      <c r="M39" s="519">
        <v>43763.90722666667</v>
      </c>
      <c r="N39" s="520">
        <v>26339.078406666667</v>
      </c>
      <c r="O39" s="519">
        <f>M39-N39</f>
        <v>17424.828820000002</v>
      </c>
      <c r="P39" s="213"/>
    </row>
    <row r="40" spans="1:16" ht="19.5" customHeight="1">
      <c r="A40" s="430"/>
      <c r="B40" s="365"/>
      <c r="C40" s="360">
        <v>3</v>
      </c>
      <c r="D40" s="430"/>
      <c r="E40" s="216">
        <f>SUM(E37:E39)</f>
        <v>2029715.25</v>
      </c>
      <c r="F40" s="216">
        <f t="shared" ref="F40:O40" si="10">SUM(F37:F39)</f>
        <v>0</v>
      </c>
      <c r="G40" s="216">
        <f t="shared" si="10"/>
        <v>0</v>
      </c>
      <c r="H40" s="216">
        <f t="shared" si="10"/>
        <v>220000</v>
      </c>
      <c r="I40" s="216">
        <f t="shared" si="10"/>
        <v>0</v>
      </c>
      <c r="J40" s="216">
        <f t="shared" si="10"/>
        <v>2249715.25</v>
      </c>
      <c r="K40" s="216">
        <v>1360194.281</v>
      </c>
      <c r="L40" s="216">
        <f t="shared" si="10"/>
        <v>889520.96900000004</v>
      </c>
      <c r="M40" s="216">
        <f t="shared" si="10"/>
        <v>337773.48663999996</v>
      </c>
      <c r="N40" s="216">
        <v>204488.599132</v>
      </c>
      <c r="O40" s="216">
        <f t="shared" si="10"/>
        <v>133284.88750799996</v>
      </c>
      <c r="P40" s="213"/>
    </row>
    <row r="41" spans="1:16" ht="20.100000000000001" customHeight="1">
      <c r="A41" s="430"/>
      <c r="B41" s="365"/>
      <c r="C41" s="357"/>
      <c r="D41" s="430"/>
      <c r="E41" s="216"/>
      <c r="F41" s="216"/>
      <c r="G41" s="212"/>
      <c r="H41" s="212"/>
      <c r="I41" s="216"/>
      <c r="J41" s="523"/>
      <c r="K41" s="523"/>
      <c r="L41" s="523"/>
      <c r="M41" s="524"/>
      <c r="N41" s="524"/>
      <c r="O41" s="524"/>
      <c r="P41" s="213"/>
    </row>
    <row r="42" spans="1:16" ht="20.100000000000001" customHeight="1">
      <c r="A42" s="430"/>
      <c r="B42" s="218" t="s">
        <v>56</v>
      </c>
      <c r="C42" s="203"/>
      <c r="D42" s="207"/>
      <c r="E42" s="216"/>
      <c r="F42" s="216"/>
      <c r="G42" s="212"/>
      <c r="H42" s="212"/>
      <c r="I42" s="24"/>
      <c r="J42" s="517"/>
      <c r="K42" s="517"/>
      <c r="L42" s="517"/>
      <c r="M42" s="518"/>
      <c r="N42" s="518"/>
      <c r="O42" s="518"/>
      <c r="P42" s="213"/>
    </row>
    <row r="43" spans="1:16" ht="20.100000000000001" customHeight="1">
      <c r="A43" s="430">
        <v>1</v>
      </c>
      <c r="B43" s="432" t="s">
        <v>255</v>
      </c>
      <c r="C43" s="357" t="s">
        <v>256</v>
      </c>
      <c r="D43" s="430" t="s">
        <v>161</v>
      </c>
      <c r="E43" s="26">
        <v>1435720</v>
      </c>
      <c r="F43" s="26"/>
      <c r="G43" s="212">
        <f>200000</f>
        <v>200000</v>
      </c>
      <c r="H43" s="212"/>
      <c r="I43" s="26"/>
      <c r="J43" s="525">
        <f>E43+F43+G43+H43+I43</f>
        <v>1635720</v>
      </c>
      <c r="K43" s="525">
        <v>1050209.0635000002</v>
      </c>
      <c r="L43" s="525">
        <f>J43-K43</f>
        <v>585510.93649999984</v>
      </c>
      <c r="M43" s="519">
        <v>270672.24746666662</v>
      </c>
      <c r="N43" s="520">
        <v>180306.80685866671</v>
      </c>
      <c r="O43" s="519">
        <f t="shared" ref="O43:O53" si="11">M43-N43</f>
        <v>90365.440607999917</v>
      </c>
      <c r="P43" s="213"/>
    </row>
    <row r="44" spans="1:16" ht="20.100000000000001" customHeight="1">
      <c r="A44" s="430">
        <v>2</v>
      </c>
      <c r="B44" s="432" t="s">
        <v>158</v>
      </c>
      <c r="C44" s="357" t="s">
        <v>199</v>
      </c>
      <c r="D44" s="430" t="s">
        <v>75</v>
      </c>
      <c r="E44" s="26">
        <v>620675.58333333337</v>
      </c>
      <c r="F44" s="26"/>
      <c r="G44" s="212">
        <f>160000</f>
        <v>160000</v>
      </c>
      <c r="H44" s="212"/>
      <c r="I44" s="26">
        <v>0</v>
      </c>
      <c r="J44" s="525">
        <f t="shared" ref="J44:J53" si="12">E44+F44+G44+H44+I44</f>
        <v>780675.58333333337</v>
      </c>
      <c r="K44" s="525">
        <v>527553.50249999994</v>
      </c>
      <c r="L44" s="525">
        <f t="shared" ref="L44:L53" si="13">J44-K44</f>
        <v>253122.08083333343</v>
      </c>
      <c r="M44" s="519">
        <v>119022.80170666667</v>
      </c>
      <c r="N44" s="520">
        <v>79956.939146666657</v>
      </c>
      <c r="O44" s="519">
        <f t="shared" si="11"/>
        <v>39065.862560000009</v>
      </c>
      <c r="P44" s="213"/>
    </row>
    <row r="45" spans="1:16" ht="20.100000000000001" customHeight="1">
      <c r="A45" s="430">
        <v>3</v>
      </c>
      <c r="B45" s="432" t="s">
        <v>165</v>
      </c>
      <c r="C45" s="357" t="s">
        <v>738</v>
      </c>
      <c r="D45" s="430" t="s">
        <v>221</v>
      </c>
      <c r="E45" s="26">
        <v>739203.58333333337</v>
      </c>
      <c r="F45" s="26"/>
      <c r="G45" s="212">
        <f>180000</f>
        <v>180000</v>
      </c>
      <c r="H45" s="212"/>
      <c r="I45" s="26"/>
      <c r="J45" s="525">
        <f t="shared" si="12"/>
        <v>919203.58333333337</v>
      </c>
      <c r="K45" s="525">
        <v>617743.99575</v>
      </c>
      <c r="L45" s="525">
        <f t="shared" si="13"/>
        <v>301459.58758333337</v>
      </c>
      <c r="M45" s="519">
        <v>143799.58762666667</v>
      </c>
      <c r="N45" s="520">
        <v>97273.513850666655</v>
      </c>
      <c r="O45" s="519">
        <f t="shared" si="11"/>
        <v>46526.073776000019</v>
      </c>
      <c r="P45" s="213"/>
    </row>
    <row r="46" spans="1:16" ht="20.100000000000001" customHeight="1">
      <c r="A46" s="430">
        <v>4</v>
      </c>
      <c r="B46" s="432" t="s">
        <v>159</v>
      </c>
      <c r="C46" s="357" t="s">
        <v>258</v>
      </c>
      <c r="D46" s="430" t="s">
        <v>75</v>
      </c>
      <c r="E46" s="26">
        <v>620675.58333333337</v>
      </c>
      <c r="F46" s="26"/>
      <c r="G46" s="212">
        <f>160000</f>
        <v>160000</v>
      </c>
      <c r="H46" s="212"/>
      <c r="I46" s="26"/>
      <c r="J46" s="525">
        <f t="shared" si="12"/>
        <v>780675.58333333337</v>
      </c>
      <c r="K46" s="525">
        <v>527553.50249999994</v>
      </c>
      <c r="L46" s="525">
        <f t="shared" si="13"/>
        <v>253122.08083333343</v>
      </c>
      <c r="M46" s="519">
        <v>119022.80170666667</v>
      </c>
      <c r="N46" s="520">
        <v>79956.939146666657</v>
      </c>
      <c r="O46" s="519">
        <f t="shared" si="11"/>
        <v>39065.862560000009</v>
      </c>
      <c r="P46" s="213"/>
    </row>
    <row r="47" spans="1:16" ht="20.100000000000001" customHeight="1">
      <c r="A47" s="430">
        <v>5</v>
      </c>
      <c r="B47" s="432" t="s">
        <v>118</v>
      </c>
      <c r="C47" s="357" t="s">
        <v>258</v>
      </c>
      <c r="D47" s="430" t="s">
        <v>75</v>
      </c>
      <c r="E47" s="26">
        <v>620675.58333333337</v>
      </c>
      <c r="F47" s="26"/>
      <c r="G47" s="212">
        <f>140000+20000</f>
        <v>160000</v>
      </c>
      <c r="H47" s="212"/>
      <c r="I47" s="26">
        <v>0</v>
      </c>
      <c r="J47" s="525">
        <f t="shared" si="12"/>
        <v>780675.58333333337</v>
      </c>
      <c r="K47" s="525">
        <v>527553.50249999994</v>
      </c>
      <c r="L47" s="525">
        <f t="shared" si="13"/>
        <v>253122.08083333343</v>
      </c>
      <c r="M47" s="519">
        <v>118861.96570666666</v>
      </c>
      <c r="N47" s="520">
        <v>79796.103146666646</v>
      </c>
      <c r="O47" s="519">
        <f t="shared" si="11"/>
        <v>39065.862560000009</v>
      </c>
      <c r="P47" s="213"/>
    </row>
    <row r="48" spans="1:16" ht="20.100000000000001" customHeight="1">
      <c r="A48" s="430">
        <v>6</v>
      </c>
      <c r="B48" s="432" t="s">
        <v>205</v>
      </c>
      <c r="C48" s="357" t="s">
        <v>258</v>
      </c>
      <c r="D48" s="430" t="s">
        <v>30</v>
      </c>
      <c r="E48" s="26">
        <v>582118.08333333337</v>
      </c>
      <c r="F48" s="26"/>
      <c r="G48" s="212">
        <f>140000+20000</f>
        <v>160000</v>
      </c>
      <c r="H48" s="212"/>
      <c r="I48" s="26"/>
      <c r="J48" s="525">
        <f t="shared" si="12"/>
        <v>742118.08333333337</v>
      </c>
      <c r="K48" s="525">
        <v>504720.04700000002</v>
      </c>
      <c r="L48" s="525">
        <f t="shared" si="13"/>
        <v>237398.03633333335</v>
      </c>
      <c r="M48" s="519">
        <v>112212.00490666665</v>
      </c>
      <c r="N48" s="520">
        <v>75572.915690666661</v>
      </c>
      <c r="O48" s="519">
        <f t="shared" si="11"/>
        <v>36639.089215999993</v>
      </c>
      <c r="P48" s="213"/>
    </row>
    <row r="49" spans="1:16" ht="20.100000000000001" customHeight="1">
      <c r="A49" s="430">
        <v>7</v>
      </c>
      <c r="B49" s="365" t="s">
        <v>173</v>
      </c>
      <c r="C49" s="357" t="s">
        <v>297</v>
      </c>
      <c r="D49" s="25" t="s">
        <v>181</v>
      </c>
      <c r="E49" s="26">
        <v>470498</v>
      </c>
      <c r="F49" s="26"/>
      <c r="G49" s="212">
        <f>140000</f>
        <v>140000</v>
      </c>
      <c r="H49" s="212"/>
      <c r="I49" s="26"/>
      <c r="J49" s="525">
        <f t="shared" si="12"/>
        <v>610498</v>
      </c>
      <c r="K49" s="525">
        <v>413333.03525000007</v>
      </c>
      <c r="L49" s="525">
        <f t="shared" si="13"/>
        <v>197164.96474999993</v>
      </c>
      <c r="M49" s="519">
        <v>88655.433386666657</v>
      </c>
      <c r="N49" s="518">
        <v>58026.609434666672</v>
      </c>
      <c r="O49" s="519">
        <f t="shared" si="11"/>
        <v>30628.823951999984</v>
      </c>
      <c r="P49" s="213"/>
    </row>
    <row r="50" spans="1:16" ht="20.100000000000001" customHeight="1">
      <c r="A50" s="430">
        <v>8</v>
      </c>
      <c r="B50" s="432" t="s">
        <v>551</v>
      </c>
      <c r="C50" s="357" t="s">
        <v>84</v>
      </c>
      <c r="D50" s="430" t="s">
        <v>207</v>
      </c>
      <c r="E50" s="26">
        <v>300965.58333333331</v>
      </c>
      <c r="F50" s="26"/>
      <c r="G50" s="212">
        <v>100000</v>
      </c>
      <c r="H50" s="212"/>
      <c r="I50" s="26"/>
      <c r="J50" s="525">
        <f t="shared" si="12"/>
        <v>400965.58333333331</v>
      </c>
      <c r="K50" s="525">
        <v>273169.11749999999</v>
      </c>
      <c r="L50" s="525">
        <f t="shared" si="13"/>
        <v>127796.46583333332</v>
      </c>
      <c r="M50" s="519">
        <v>51029.227306666668</v>
      </c>
      <c r="N50" s="520">
        <v>33059.078406666667</v>
      </c>
      <c r="O50" s="519">
        <f t="shared" si="11"/>
        <v>17970.1489</v>
      </c>
      <c r="P50" s="213"/>
    </row>
    <row r="51" spans="1:16" ht="20.100000000000001" customHeight="1">
      <c r="A51" s="430">
        <v>9</v>
      </c>
      <c r="B51" s="432" t="s">
        <v>420</v>
      </c>
      <c r="C51" s="357" t="s">
        <v>84</v>
      </c>
      <c r="D51" s="430" t="s">
        <v>498</v>
      </c>
      <c r="E51" s="26">
        <v>263165.33333333331</v>
      </c>
      <c r="F51" s="26"/>
      <c r="G51" s="212">
        <f>100000</f>
        <v>100000</v>
      </c>
      <c r="H51" s="212"/>
      <c r="I51" s="26"/>
      <c r="J51" s="525">
        <f t="shared" si="12"/>
        <v>363165.33333333331</v>
      </c>
      <c r="K51" s="525">
        <v>249356.04725</v>
      </c>
      <c r="L51" s="525">
        <f t="shared" si="13"/>
        <v>113809.28608333331</v>
      </c>
      <c r="M51" s="519">
        <v>44641.500586666669</v>
      </c>
      <c r="N51" s="520">
        <v>29058.48260466666</v>
      </c>
      <c r="O51" s="519">
        <f t="shared" si="11"/>
        <v>15583.017982000008</v>
      </c>
      <c r="P51" s="213"/>
    </row>
    <row r="52" spans="1:16" ht="20.100000000000001" customHeight="1">
      <c r="A52" s="430">
        <v>10</v>
      </c>
      <c r="B52" s="432" t="s">
        <v>435</v>
      </c>
      <c r="C52" s="357" t="s">
        <v>84</v>
      </c>
      <c r="D52" s="430" t="s">
        <v>498</v>
      </c>
      <c r="E52" s="26">
        <v>263165.33333333331</v>
      </c>
      <c r="F52" s="26"/>
      <c r="G52" s="212">
        <f>100000</f>
        <v>100000</v>
      </c>
      <c r="H52" s="212"/>
      <c r="I52" s="26"/>
      <c r="J52" s="525">
        <f t="shared" si="12"/>
        <v>363165.33333333331</v>
      </c>
      <c r="K52" s="525">
        <v>249356.04725</v>
      </c>
      <c r="L52" s="525">
        <f t="shared" si="13"/>
        <v>113809.28608333331</v>
      </c>
      <c r="M52" s="519">
        <v>44641.500586666669</v>
      </c>
      <c r="N52" s="520">
        <v>28360.952862666662</v>
      </c>
      <c r="O52" s="519">
        <f t="shared" si="11"/>
        <v>16280.547724000007</v>
      </c>
      <c r="P52" s="213"/>
    </row>
    <row r="53" spans="1:16" ht="20.100000000000001" customHeight="1">
      <c r="A53" s="430">
        <v>11</v>
      </c>
      <c r="B53" s="432" t="s">
        <v>452</v>
      </c>
      <c r="C53" s="357" t="s">
        <v>84</v>
      </c>
      <c r="D53" s="430" t="s">
        <v>498</v>
      </c>
      <c r="E53" s="26">
        <v>263165.33333333331</v>
      </c>
      <c r="F53" s="26"/>
      <c r="G53" s="212">
        <f>100000</f>
        <v>100000</v>
      </c>
      <c r="H53" s="212"/>
      <c r="I53" s="26"/>
      <c r="J53" s="525">
        <f t="shared" si="12"/>
        <v>363165.33333333331</v>
      </c>
      <c r="K53" s="525">
        <v>249356.04725</v>
      </c>
      <c r="L53" s="525">
        <f t="shared" si="13"/>
        <v>113809.28608333331</v>
      </c>
      <c r="M53" s="519">
        <v>44641.500586666669</v>
      </c>
      <c r="N53" s="520">
        <v>29058.48260466666</v>
      </c>
      <c r="O53" s="519">
        <f t="shared" si="11"/>
        <v>15583.017982000008</v>
      </c>
      <c r="P53" s="213"/>
    </row>
    <row r="54" spans="1:16" ht="25.5" customHeight="1">
      <c r="A54" s="430"/>
      <c r="B54" s="366" t="s">
        <v>15</v>
      </c>
      <c r="C54" s="360">
        <v>11</v>
      </c>
      <c r="D54" s="360"/>
      <c r="E54" s="78">
        <f>SUM(E43:E53)</f>
        <v>6180027.9999999991</v>
      </c>
      <c r="F54" s="78">
        <f t="shared" ref="F54:O54" si="14">SUM(F43:F53)</f>
        <v>0</v>
      </c>
      <c r="G54" s="78">
        <f t="shared" si="14"/>
        <v>1560000</v>
      </c>
      <c r="H54" s="78">
        <f t="shared" si="14"/>
        <v>0</v>
      </c>
      <c r="I54" s="78">
        <f t="shared" si="14"/>
        <v>0</v>
      </c>
      <c r="J54" s="78">
        <f t="shared" si="14"/>
        <v>7740027.9999999991</v>
      </c>
      <c r="K54" s="78">
        <v>5189903.9082500003</v>
      </c>
      <c r="L54" s="78">
        <f t="shared" si="14"/>
        <v>2550124.0917499997</v>
      </c>
      <c r="M54" s="78">
        <f t="shared" si="14"/>
        <v>1157200.5715733333</v>
      </c>
      <c r="N54" s="78">
        <v>770426.8237533333</v>
      </c>
      <c r="O54" s="78">
        <f t="shared" si="14"/>
        <v>386773.74781999999</v>
      </c>
      <c r="P54" s="213"/>
    </row>
    <row r="55" spans="1:16" ht="20.100000000000001" customHeight="1">
      <c r="A55" s="430"/>
      <c r="B55" s="362"/>
      <c r="C55" s="360"/>
      <c r="D55" s="360"/>
      <c r="E55" s="31"/>
      <c r="F55" s="31"/>
      <c r="G55" s="212"/>
      <c r="H55" s="212"/>
      <c r="I55" s="31"/>
      <c r="J55" s="526"/>
      <c r="K55" s="526"/>
      <c r="L55" s="526"/>
      <c r="M55" s="527"/>
      <c r="N55" s="527"/>
      <c r="O55" s="527"/>
      <c r="P55" s="213"/>
    </row>
    <row r="56" spans="1:16" ht="20.100000000000001" customHeight="1">
      <c r="A56" s="430"/>
      <c r="B56" s="366" t="s">
        <v>195</v>
      </c>
      <c r="C56" s="360"/>
      <c r="D56" s="360"/>
      <c r="E56" s="31"/>
      <c r="F56" s="31"/>
      <c r="G56" s="212"/>
      <c r="H56" s="212"/>
      <c r="I56" s="31"/>
      <c r="J56" s="526"/>
      <c r="K56" s="526"/>
      <c r="L56" s="526"/>
      <c r="M56" s="527"/>
      <c r="N56" s="527"/>
      <c r="O56" s="527"/>
      <c r="P56" s="213"/>
    </row>
    <row r="57" spans="1:16" ht="20.100000000000001" customHeight="1">
      <c r="A57" s="430">
        <v>1</v>
      </c>
      <c r="B57" s="432" t="s">
        <v>11</v>
      </c>
      <c r="C57" s="367" t="s">
        <v>200</v>
      </c>
      <c r="D57" s="434" t="s">
        <v>161</v>
      </c>
      <c r="E57" s="26">
        <v>1435720</v>
      </c>
      <c r="F57" s="26"/>
      <c r="G57" s="212">
        <f>200000</f>
        <v>200000</v>
      </c>
      <c r="H57" s="212"/>
      <c r="I57" s="26">
        <v>0</v>
      </c>
      <c r="J57" s="525">
        <f>E57+F57+G57+H57+I57</f>
        <v>1635720</v>
      </c>
      <c r="K57" s="525">
        <v>1050209.0635000002</v>
      </c>
      <c r="L57" s="525">
        <f>J57-K57</f>
        <v>585510.93649999984</v>
      </c>
      <c r="M57" s="519">
        <v>270672.24746666662</v>
      </c>
      <c r="N57" s="521">
        <v>180306.80685866671</v>
      </c>
      <c r="O57" s="519">
        <f>M57-N57</f>
        <v>90365.440607999917</v>
      </c>
      <c r="P57" s="213"/>
    </row>
    <row r="58" spans="1:16" ht="20.100000000000001" customHeight="1">
      <c r="A58" s="430">
        <v>2</v>
      </c>
      <c r="B58" s="432" t="s">
        <v>276</v>
      </c>
      <c r="C58" s="367" t="s">
        <v>340</v>
      </c>
      <c r="D58" s="434" t="s">
        <v>747</v>
      </c>
      <c r="E58" s="26">
        <v>620675.58333333337</v>
      </c>
      <c r="F58" s="26"/>
      <c r="G58" s="212"/>
      <c r="H58" s="212">
        <v>80000</v>
      </c>
      <c r="I58" s="26"/>
      <c r="J58" s="525">
        <f>E58+F58+G58+H58+I58</f>
        <v>700675.58333333337</v>
      </c>
      <c r="K58" s="525">
        <v>447553.5025</v>
      </c>
      <c r="L58" s="525">
        <f>J58-K58</f>
        <v>253122.08083333337</v>
      </c>
      <c r="M58" s="519">
        <v>103662.80170666667</v>
      </c>
      <c r="N58" s="521">
        <v>64596.939146666664</v>
      </c>
      <c r="O58" s="519">
        <f>M58-N58</f>
        <v>39065.862560000001</v>
      </c>
      <c r="P58" s="213"/>
    </row>
    <row r="59" spans="1:16" ht="20.100000000000001" customHeight="1">
      <c r="A59" s="430"/>
      <c r="B59" s="366" t="s">
        <v>15</v>
      </c>
      <c r="C59" s="360">
        <v>2</v>
      </c>
      <c r="D59" s="360"/>
      <c r="E59" s="78">
        <f>SUM(E57:E58)</f>
        <v>2056395.5833333335</v>
      </c>
      <c r="F59" s="78">
        <f t="shared" ref="F59:O59" si="15">SUM(F57:F58)</f>
        <v>0</v>
      </c>
      <c r="G59" s="78">
        <f t="shared" si="15"/>
        <v>200000</v>
      </c>
      <c r="H59" s="78">
        <f t="shared" si="15"/>
        <v>80000</v>
      </c>
      <c r="I59" s="78">
        <f t="shared" si="15"/>
        <v>0</v>
      </c>
      <c r="J59" s="78">
        <f t="shared" si="15"/>
        <v>2336395.5833333335</v>
      </c>
      <c r="K59" s="78">
        <v>1497762.5660000001</v>
      </c>
      <c r="L59" s="78">
        <f t="shared" si="15"/>
        <v>838633.01733333315</v>
      </c>
      <c r="M59" s="78">
        <f t="shared" si="15"/>
        <v>374335.04917333327</v>
      </c>
      <c r="N59" s="78">
        <v>244903.74600533338</v>
      </c>
      <c r="O59" s="78">
        <f t="shared" si="15"/>
        <v>129431.30316799993</v>
      </c>
      <c r="P59" s="213"/>
    </row>
    <row r="60" spans="1:16" ht="20.100000000000001" customHeight="1">
      <c r="A60" s="430"/>
      <c r="B60" s="366"/>
      <c r="C60" s="360"/>
      <c r="D60" s="360"/>
      <c r="E60" s="31"/>
      <c r="F60" s="31"/>
      <c r="G60" s="212"/>
      <c r="H60" s="212"/>
      <c r="I60" s="31"/>
      <c r="J60" s="526"/>
      <c r="K60" s="526"/>
      <c r="L60" s="526"/>
      <c r="M60" s="527"/>
      <c r="N60" s="527"/>
      <c r="O60" s="527"/>
      <c r="P60" s="213"/>
    </row>
    <row r="61" spans="1:16" ht="20.100000000000001" customHeight="1">
      <c r="A61" s="430"/>
      <c r="B61" s="366" t="s">
        <v>461</v>
      </c>
      <c r="C61" s="360"/>
      <c r="D61" s="360"/>
      <c r="E61" s="31"/>
      <c r="F61" s="31"/>
      <c r="G61" s="212"/>
      <c r="H61" s="212"/>
      <c r="I61" s="31"/>
      <c r="J61" s="526"/>
      <c r="K61" s="526"/>
      <c r="L61" s="526"/>
      <c r="M61" s="527"/>
      <c r="N61" s="527"/>
      <c r="O61" s="527"/>
      <c r="P61" s="213"/>
    </row>
    <row r="62" spans="1:16" ht="20.100000000000001" customHeight="1">
      <c r="A62" s="430">
        <v>1</v>
      </c>
      <c r="B62" s="432" t="s">
        <v>277</v>
      </c>
      <c r="C62" s="431" t="s">
        <v>278</v>
      </c>
      <c r="D62" s="430" t="s">
        <v>161</v>
      </c>
      <c r="E62" s="26">
        <v>1435720</v>
      </c>
      <c r="F62" s="26"/>
      <c r="G62" s="212">
        <f>200000</f>
        <v>200000</v>
      </c>
      <c r="H62" s="212"/>
      <c r="I62" s="26">
        <v>0</v>
      </c>
      <c r="J62" s="525">
        <f>E62+F62+G62+H62+I62</f>
        <v>1635720</v>
      </c>
      <c r="K62" s="525">
        <v>1050209.0635000002</v>
      </c>
      <c r="L62" s="525">
        <f>J62-K62</f>
        <v>585510.93649999984</v>
      </c>
      <c r="M62" s="519">
        <v>292724.90666666668</v>
      </c>
      <c r="N62" s="520">
        <v>180306.80685866671</v>
      </c>
      <c r="O62" s="519">
        <f t="shared" ref="O62:O71" si="16">M62-N62</f>
        <v>112418.09980799997</v>
      </c>
      <c r="P62" s="213"/>
    </row>
    <row r="63" spans="1:16" ht="20.100000000000001" customHeight="1">
      <c r="A63" s="430">
        <v>2</v>
      </c>
      <c r="B63" s="330" t="s">
        <v>332</v>
      </c>
      <c r="C63" s="431" t="s">
        <v>188</v>
      </c>
      <c r="D63" s="434" t="s">
        <v>148</v>
      </c>
      <c r="E63" s="26">
        <v>601396.83333333337</v>
      </c>
      <c r="F63" s="26"/>
      <c r="G63" s="212">
        <f>160000</f>
        <v>160000</v>
      </c>
      <c r="H63" s="212"/>
      <c r="I63" s="215">
        <v>0</v>
      </c>
      <c r="J63" s="525">
        <f t="shared" ref="J63:J71" si="17">E63+F63+G63+H63+I63</f>
        <v>761396.83333333337</v>
      </c>
      <c r="K63" s="525">
        <v>516137.05000000005</v>
      </c>
      <c r="L63" s="525">
        <f t="shared" ref="L63:L71" si="18">J63-K63</f>
        <v>245259.78333333333</v>
      </c>
      <c r="M63" s="519">
        <v>115617.40330666665</v>
      </c>
      <c r="N63" s="520">
        <v>77764.98026666668</v>
      </c>
      <c r="O63" s="519">
        <f t="shared" si="16"/>
        <v>37852.423039999965</v>
      </c>
      <c r="P63" s="213"/>
    </row>
    <row r="64" spans="1:16" ht="20.100000000000001" customHeight="1">
      <c r="A64" s="430">
        <v>3</v>
      </c>
      <c r="B64" s="432" t="s">
        <v>189</v>
      </c>
      <c r="C64" s="357" t="s">
        <v>297</v>
      </c>
      <c r="D64" s="430" t="s">
        <v>222</v>
      </c>
      <c r="E64" s="26">
        <v>442746.5</v>
      </c>
      <c r="F64" s="26"/>
      <c r="G64" s="212">
        <v>140000</v>
      </c>
      <c r="H64" s="212"/>
      <c r="I64" s="26"/>
      <c r="J64" s="525">
        <f t="shared" si="17"/>
        <v>582746.5</v>
      </c>
      <c r="K64" s="525">
        <v>397211.36749999999</v>
      </c>
      <c r="L64" s="525">
        <f t="shared" si="18"/>
        <v>185535.13250000001</v>
      </c>
      <c r="M64" s="519">
        <v>83753.408426666647</v>
      </c>
      <c r="N64" s="520">
        <v>54931.249226666667</v>
      </c>
      <c r="O64" s="519">
        <f t="shared" si="16"/>
        <v>28822.15919999998</v>
      </c>
      <c r="P64" s="213"/>
    </row>
    <row r="65" spans="1:16" ht="20.100000000000001" customHeight="1">
      <c r="A65" s="430">
        <v>4</v>
      </c>
      <c r="B65" s="364" t="s">
        <v>448</v>
      </c>
      <c r="C65" s="431" t="s">
        <v>257</v>
      </c>
      <c r="D65" s="434" t="s">
        <v>170</v>
      </c>
      <c r="E65" s="26">
        <v>428915.91666666669</v>
      </c>
      <c r="F65" s="26"/>
      <c r="G65" s="212">
        <f t="shared" ref="G65" si="19">120000</f>
        <v>120000</v>
      </c>
      <c r="H65" s="212"/>
      <c r="I65" s="26">
        <v>0</v>
      </c>
      <c r="J65" s="525">
        <f t="shared" si="17"/>
        <v>548915.91666666674</v>
      </c>
      <c r="K65" s="525">
        <v>369177.65375</v>
      </c>
      <c r="L65" s="525">
        <f t="shared" si="18"/>
        <v>179738.26291666675</v>
      </c>
      <c r="M65" s="519">
        <v>77470.374186666668</v>
      </c>
      <c r="N65" s="520">
        <v>49548.776186666662</v>
      </c>
      <c r="O65" s="519">
        <f t="shared" si="16"/>
        <v>27921.598000000005</v>
      </c>
      <c r="P65" s="213"/>
    </row>
    <row r="66" spans="1:16" ht="20.100000000000001" customHeight="1">
      <c r="A66" s="430">
        <v>5</v>
      </c>
      <c r="B66" s="365" t="s">
        <v>229</v>
      </c>
      <c r="C66" s="431" t="s">
        <v>297</v>
      </c>
      <c r="D66" s="434" t="s">
        <v>174</v>
      </c>
      <c r="E66" s="26">
        <v>484373.75</v>
      </c>
      <c r="F66" s="26"/>
      <c r="G66" s="212">
        <f>140000</f>
        <v>140000</v>
      </c>
      <c r="H66" s="212"/>
      <c r="I66" s="26"/>
      <c r="J66" s="525">
        <f t="shared" si="17"/>
        <v>624373.75</v>
      </c>
      <c r="K66" s="525">
        <v>421394.00675000006</v>
      </c>
      <c r="L66" s="525">
        <f t="shared" si="18"/>
        <v>202979.74324999994</v>
      </c>
      <c r="M66" s="519">
        <v>91106.445866666661</v>
      </c>
      <c r="N66" s="518">
        <v>59574.315962666667</v>
      </c>
      <c r="O66" s="519">
        <f t="shared" si="16"/>
        <v>31532.129903999994</v>
      </c>
      <c r="P66" s="213"/>
    </row>
    <row r="67" spans="1:16" ht="20.100000000000001" customHeight="1">
      <c r="A67" s="430">
        <v>7</v>
      </c>
      <c r="B67" s="432" t="s">
        <v>117</v>
      </c>
      <c r="C67" s="357" t="s">
        <v>84</v>
      </c>
      <c r="D67" s="430" t="s">
        <v>415</v>
      </c>
      <c r="E67" s="26">
        <v>365703.83333333331</v>
      </c>
      <c r="F67" s="26"/>
      <c r="G67" s="212">
        <f>110000</f>
        <v>110000</v>
      </c>
      <c r="H67" s="212"/>
      <c r="I67" s="26">
        <v>0</v>
      </c>
      <c r="J67" s="525">
        <f t="shared" si="17"/>
        <v>475703.83333333331</v>
      </c>
      <c r="K67" s="525">
        <v>322454.07400000002</v>
      </c>
      <c r="L67" s="525">
        <f t="shared" si="18"/>
        <v>153249.75933333329</v>
      </c>
      <c r="M67" s="519">
        <v>64384.591786666664</v>
      </c>
      <c r="N67" s="520">
        <v>41338.951098666665</v>
      </c>
      <c r="O67" s="519">
        <f t="shared" si="16"/>
        <v>23045.640687999999</v>
      </c>
      <c r="P67" s="213"/>
    </row>
    <row r="68" spans="1:16" ht="20.100000000000001" customHeight="1">
      <c r="A68" s="430">
        <v>8</v>
      </c>
      <c r="B68" s="432" t="s">
        <v>424</v>
      </c>
      <c r="C68" s="431" t="s">
        <v>422</v>
      </c>
      <c r="D68" s="430" t="s">
        <v>415</v>
      </c>
      <c r="E68" s="26">
        <v>365703.83333333331</v>
      </c>
      <c r="F68" s="26"/>
      <c r="G68" s="212">
        <f t="shared" ref="G68:G69" si="20">110000</f>
        <v>110000</v>
      </c>
      <c r="H68" s="212"/>
      <c r="I68" s="26">
        <v>0</v>
      </c>
      <c r="J68" s="525">
        <f t="shared" si="17"/>
        <v>475703.83333333331</v>
      </c>
      <c r="K68" s="525">
        <v>322454.07400000002</v>
      </c>
      <c r="L68" s="525">
        <f t="shared" si="18"/>
        <v>153249.75933333329</v>
      </c>
      <c r="M68" s="519">
        <v>64384.591786666664</v>
      </c>
      <c r="N68" s="520">
        <v>41338.951098666665</v>
      </c>
      <c r="O68" s="519">
        <f t="shared" si="16"/>
        <v>23045.640687999999</v>
      </c>
      <c r="P68" s="213"/>
    </row>
    <row r="69" spans="1:16" ht="20.100000000000001" customHeight="1">
      <c r="A69" s="430">
        <v>9</v>
      </c>
      <c r="B69" s="432" t="s">
        <v>423</v>
      </c>
      <c r="C69" s="431" t="s">
        <v>422</v>
      </c>
      <c r="D69" s="430" t="s">
        <v>415</v>
      </c>
      <c r="E69" s="26">
        <v>365703.83333333331</v>
      </c>
      <c r="F69" s="26"/>
      <c r="G69" s="212">
        <f t="shared" si="20"/>
        <v>110000</v>
      </c>
      <c r="H69" s="212"/>
      <c r="I69" s="26">
        <v>0</v>
      </c>
      <c r="J69" s="525">
        <f t="shared" si="17"/>
        <v>475703.83333333331</v>
      </c>
      <c r="K69" s="525">
        <v>322454.07400000002</v>
      </c>
      <c r="L69" s="525">
        <f t="shared" si="18"/>
        <v>153249.75933333329</v>
      </c>
      <c r="M69" s="519">
        <v>64384.591786666664</v>
      </c>
      <c r="N69" s="520">
        <v>41338.951098666665</v>
      </c>
      <c r="O69" s="519">
        <f t="shared" si="16"/>
        <v>23045.640687999999</v>
      </c>
      <c r="P69" s="213"/>
    </row>
    <row r="70" spans="1:16" ht="20.100000000000001" customHeight="1">
      <c r="A70" s="430">
        <v>10</v>
      </c>
      <c r="B70" s="432" t="s">
        <v>242</v>
      </c>
      <c r="C70" s="357" t="s">
        <v>484</v>
      </c>
      <c r="D70" s="430" t="s">
        <v>497</v>
      </c>
      <c r="E70" s="465">
        <v>377895.16666666669</v>
      </c>
      <c r="F70" s="26"/>
      <c r="G70" s="212">
        <f>110000</f>
        <v>110000</v>
      </c>
      <c r="H70" s="212"/>
      <c r="I70" s="26"/>
      <c r="J70" s="525">
        <f t="shared" si="17"/>
        <v>487895.16666666669</v>
      </c>
      <c r="K70" s="525">
        <v>334536.99849999999</v>
      </c>
      <c r="L70" s="525">
        <f t="shared" si="18"/>
        <v>153358.1681666667</v>
      </c>
      <c r="M70" s="519">
        <v>66538.068906666667</v>
      </c>
      <c r="N70" s="520">
        <v>43368.882414666667</v>
      </c>
      <c r="O70" s="519">
        <f t="shared" si="16"/>
        <v>23169.186492000001</v>
      </c>
      <c r="P70" s="213"/>
    </row>
    <row r="71" spans="1:16" ht="21.6" customHeight="1">
      <c r="A71" s="430">
        <v>11</v>
      </c>
      <c r="B71" s="432" t="s">
        <v>726</v>
      </c>
      <c r="C71" s="357" t="s">
        <v>84</v>
      </c>
      <c r="D71" s="430" t="s">
        <v>207</v>
      </c>
      <c r="E71" s="212">
        <v>300965.58333333331</v>
      </c>
      <c r="F71" s="26"/>
      <c r="G71" s="212">
        <v>100000</v>
      </c>
      <c r="H71" s="212"/>
      <c r="I71" s="26"/>
      <c r="J71" s="525">
        <f t="shared" si="17"/>
        <v>400965.58333333331</v>
      </c>
      <c r="K71" s="525">
        <v>277734.04699999996</v>
      </c>
      <c r="L71" s="525">
        <f t="shared" si="18"/>
        <v>123231.53633333335</v>
      </c>
      <c r="M71" s="519">
        <v>51029.227306666668</v>
      </c>
      <c r="N71" s="520">
        <v>33825.986562666658</v>
      </c>
      <c r="O71" s="519">
        <f t="shared" si="16"/>
        <v>17203.24074400001</v>
      </c>
    </row>
    <row r="72" spans="1:16" ht="27" customHeight="1">
      <c r="A72" s="430"/>
      <c r="B72" s="366" t="s">
        <v>15</v>
      </c>
      <c r="C72" s="360">
        <v>12</v>
      </c>
      <c r="D72" s="360"/>
      <c r="E72" s="78">
        <f>SUM(E62:E71)</f>
        <v>5169125.25</v>
      </c>
      <c r="F72" s="78">
        <f t="shared" ref="F72:O72" si="21">SUM(F62:F71)</f>
        <v>0</v>
      </c>
      <c r="G72" s="78">
        <f t="shared" si="21"/>
        <v>1300000</v>
      </c>
      <c r="H72" s="78">
        <f t="shared" si="21"/>
        <v>0</v>
      </c>
      <c r="I72" s="78">
        <f t="shared" si="21"/>
        <v>0</v>
      </c>
      <c r="J72" s="78">
        <f t="shared" si="21"/>
        <v>6469125.2499999991</v>
      </c>
      <c r="K72" s="78">
        <v>4333762.4090000009</v>
      </c>
      <c r="L72" s="78">
        <f t="shared" si="21"/>
        <v>2135362.8409999995</v>
      </c>
      <c r="M72" s="78">
        <f t="shared" si="21"/>
        <v>971393.61002666655</v>
      </c>
      <c r="N72" s="78">
        <v>623337.85077466676</v>
      </c>
      <c r="O72" s="78">
        <f t="shared" si="21"/>
        <v>348055.75925199996</v>
      </c>
      <c r="P72" s="213"/>
    </row>
    <row r="73" spans="1:16" ht="20.100000000000001" customHeight="1">
      <c r="A73" s="430"/>
      <c r="B73" s="362"/>
      <c r="C73" s="360"/>
      <c r="D73" s="360"/>
      <c r="E73" s="31"/>
      <c r="F73" s="31"/>
      <c r="G73" s="212"/>
      <c r="H73" s="212"/>
      <c r="I73" s="31"/>
      <c r="J73" s="526"/>
      <c r="K73" s="526"/>
      <c r="L73" s="526"/>
      <c r="M73" s="527"/>
      <c r="N73" s="527"/>
      <c r="O73" s="527"/>
      <c r="P73" s="213"/>
    </row>
    <row r="74" spans="1:16" ht="20.100000000000001" customHeight="1">
      <c r="A74" s="430"/>
      <c r="B74" s="366" t="s">
        <v>462</v>
      </c>
      <c r="C74" s="360"/>
      <c r="D74" s="360"/>
      <c r="E74" s="31"/>
      <c r="F74" s="31"/>
      <c r="G74" s="212"/>
      <c r="H74" s="212"/>
      <c r="I74" s="31"/>
      <c r="J74" s="526"/>
      <c r="K74" s="526"/>
      <c r="L74" s="526"/>
      <c r="M74" s="527"/>
      <c r="N74" s="527"/>
      <c r="O74" s="527"/>
      <c r="P74" s="213"/>
    </row>
    <row r="75" spans="1:16" ht="20.100000000000001" customHeight="1">
      <c r="A75" s="430">
        <v>1</v>
      </c>
      <c r="B75" s="432" t="s">
        <v>19</v>
      </c>
      <c r="C75" s="357" t="s">
        <v>201</v>
      </c>
      <c r="D75" s="430" t="s">
        <v>161</v>
      </c>
      <c r="E75" s="26">
        <v>1435720</v>
      </c>
      <c r="F75" s="26"/>
      <c r="G75" s="212">
        <f>200000</f>
        <v>200000</v>
      </c>
      <c r="H75" s="212"/>
      <c r="I75" s="26">
        <v>0</v>
      </c>
      <c r="J75" s="525">
        <f>E75+F75+G75+H75+I75</f>
        <v>1635720</v>
      </c>
      <c r="K75" s="525">
        <v>1050209.0635000002</v>
      </c>
      <c r="L75" s="525">
        <f>J75-K75</f>
        <v>585510.93649999984</v>
      </c>
      <c r="M75" s="519">
        <v>270672.24746666662</v>
      </c>
      <c r="N75" s="520">
        <v>180306.80685866671</v>
      </c>
      <c r="O75" s="519">
        <f t="shared" ref="O75:O81" si="22">M75-N75</f>
        <v>90365.440607999917</v>
      </c>
      <c r="P75" s="213"/>
    </row>
    <row r="76" spans="1:16" ht="20.100000000000001" customHeight="1">
      <c r="A76" s="430">
        <v>2</v>
      </c>
      <c r="B76" s="365" t="s">
        <v>325</v>
      </c>
      <c r="C76" s="357" t="s">
        <v>245</v>
      </c>
      <c r="D76" s="434" t="s">
        <v>412</v>
      </c>
      <c r="E76" s="24">
        <v>601396.83333333337</v>
      </c>
      <c r="F76" s="26"/>
      <c r="G76" s="212">
        <f>160000</f>
        <v>160000</v>
      </c>
      <c r="H76" s="212"/>
      <c r="I76" s="215">
        <v>0</v>
      </c>
      <c r="J76" s="525">
        <f t="shared" ref="J76:J81" si="23">E76+F76+G76+H76+I76</f>
        <v>761396.83333333337</v>
      </c>
      <c r="K76" s="525">
        <v>516137.05000000005</v>
      </c>
      <c r="L76" s="525">
        <f t="shared" ref="L76:L81" si="24">J76-K76</f>
        <v>245259.78333333333</v>
      </c>
      <c r="M76" s="519">
        <v>124854.85866666667</v>
      </c>
      <c r="N76" s="520">
        <v>77764.98026666668</v>
      </c>
      <c r="O76" s="519">
        <f t="shared" si="22"/>
        <v>47089.878399999987</v>
      </c>
      <c r="P76" s="213"/>
    </row>
    <row r="77" spans="1:16" ht="20.100000000000001" customHeight="1">
      <c r="A77" s="430">
        <v>3</v>
      </c>
      <c r="B77" s="364" t="s">
        <v>333</v>
      </c>
      <c r="C77" s="367" t="s">
        <v>387</v>
      </c>
      <c r="D77" s="430" t="s">
        <v>747</v>
      </c>
      <c r="E77" s="26">
        <v>620675.58333333337</v>
      </c>
      <c r="F77" s="26"/>
      <c r="G77" s="212">
        <v>0</v>
      </c>
      <c r="H77" s="212">
        <v>80000</v>
      </c>
      <c r="I77" s="215">
        <v>0</v>
      </c>
      <c r="J77" s="525">
        <f t="shared" si="23"/>
        <v>700675.58333333337</v>
      </c>
      <c r="K77" s="525">
        <v>447553.5025</v>
      </c>
      <c r="L77" s="525">
        <f t="shared" si="24"/>
        <v>253122.08083333337</v>
      </c>
      <c r="M77" s="519">
        <v>113196.37866666664</v>
      </c>
      <c r="N77" s="518">
        <v>64596.939146666664</v>
      </c>
      <c r="O77" s="519">
        <f t="shared" si="22"/>
        <v>48599.439519999978</v>
      </c>
      <c r="P77" s="213"/>
    </row>
    <row r="78" spans="1:16" ht="20.100000000000001" customHeight="1">
      <c r="A78" s="430">
        <v>4</v>
      </c>
      <c r="B78" s="432" t="s">
        <v>26</v>
      </c>
      <c r="C78" s="357" t="s">
        <v>707</v>
      </c>
      <c r="D78" s="434" t="s">
        <v>162</v>
      </c>
      <c r="E78" s="26">
        <v>456622.25</v>
      </c>
      <c r="F78" s="26"/>
      <c r="G78" s="212">
        <f>140000</f>
        <v>140000</v>
      </c>
      <c r="H78" s="212"/>
      <c r="I78" s="26">
        <v>0</v>
      </c>
      <c r="J78" s="525">
        <f t="shared" si="23"/>
        <v>596622.25</v>
      </c>
      <c r="K78" s="525">
        <v>405272.06374999997</v>
      </c>
      <c r="L78" s="525">
        <f t="shared" si="24"/>
        <v>191350.18625000003</v>
      </c>
      <c r="M78" s="519">
        <v>86076.104186666664</v>
      </c>
      <c r="N78" s="520">
        <v>56350.58618666666</v>
      </c>
      <c r="O78" s="519">
        <f t="shared" si="22"/>
        <v>29725.518000000004</v>
      </c>
      <c r="P78" s="213"/>
    </row>
    <row r="79" spans="1:16" ht="20.100000000000001" customHeight="1">
      <c r="A79" s="430">
        <v>5</v>
      </c>
      <c r="B79" s="432" t="s">
        <v>324</v>
      </c>
      <c r="C79" s="357" t="s">
        <v>243</v>
      </c>
      <c r="D79" s="430" t="s">
        <v>164</v>
      </c>
      <c r="E79" s="26">
        <v>308901.5</v>
      </c>
      <c r="F79" s="26"/>
      <c r="G79" s="212">
        <f>100000</f>
        <v>100000</v>
      </c>
      <c r="H79" s="212"/>
      <c r="I79" s="26"/>
      <c r="J79" s="525">
        <f t="shared" si="23"/>
        <v>408901.5</v>
      </c>
      <c r="K79" s="525">
        <v>273169.11749999999</v>
      </c>
      <c r="L79" s="525">
        <f t="shared" si="24"/>
        <v>135732.38250000001</v>
      </c>
      <c r="M79" s="519">
        <v>52431.02762666667</v>
      </c>
      <c r="N79" s="520">
        <v>33059.078406666667</v>
      </c>
      <c r="O79" s="519">
        <f t="shared" si="22"/>
        <v>19371.949220000002</v>
      </c>
      <c r="P79" s="213"/>
    </row>
    <row r="80" spans="1:16" ht="20.100000000000001" customHeight="1">
      <c r="A80" s="430">
        <v>6</v>
      </c>
      <c r="B80" s="432" t="s">
        <v>554</v>
      </c>
      <c r="C80" s="357" t="s">
        <v>243</v>
      </c>
      <c r="D80" s="430" t="s">
        <v>498</v>
      </c>
      <c r="E80" s="26">
        <v>263165.33333333331</v>
      </c>
      <c r="F80" s="26"/>
      <c r="G80" s="212">
        <v>100000</v>
      </c>
      <c r="H80" s="212"/>
      <c r="I80" s="26"/>
      <c r="J80" s="525">
        <f t="shared" si="23"/>
        <v>363165.33333333331</v>
      </c>
      <c r="K80" s="525">
        <v>249356.04725</v>
      </c>
      <c r="L80" s="525">
        <f t="shared" si="24"/>
        <v>113809.28608333331</v>
      </c>
      <c r="M80" s="519">
        <v>44641.500586666669</v>
      </c>
      <c r="N80" s="520">
        <v>29058.48260466666</v>
      </c>
      <c r="O80" s="519">
        <f t="shared" si="22"/>
        <v>15583.017982000008</v>
      </c>
      <c r="P80" s="213"/>
    </row>
    <row r="81" spans="1:16" ht="20.100000000000001" customHeight="1">
      <c r="A81" s="430">
        <v>7</v>
      </c>
      <c r="B81" s="432" t="s">
        <v>552</v>
      </c>
      <c r="C81" s="357" t="s">
        <v>553</v>
      </c>
      <c r="D81" s="430" t="s">
        <v>176</v>
      </c>
      <c r="E81" s="26">
        <v>224459.75</v>
      </c>
      <c r="F81" s="26"/>
      <c r="G81" s="212">
        <v>100000</v>
      </c>
      <c r="H81" s="212">
        <v>0</v>
      </c>
      <c r="I81" s="26"/>
      <c r="J81" s="525">
        <f t="shared" si="23"/>
        <v>324459.75</v>
      </c>
      <c r="K81" s="525">
        <v>223717.28450000001</v>
      </c>
      <c r="L81" s="525">
        <f t="shared" si="24"/>
        <v>100742.46549999999</v>
      </c>
      <c r="M81" s="519">
        <v>38659.165626666669</v>
      </c>
      <c r="N81" s="520">
        <v>24751.170462666665</v>
      </c>
      <c r="O81" s="519">
        <f t="shared" si="22"/>
        <v>13907.995164000004</v>
      </c>
      <c r="P81" s="213"/>
    </row>
    <row r="82" spans="1:16" ht="20.100000000000001" customHeight="1">
      <c r="A82" s="430"/>
      <c r="B82" s="366" t="s">
        <v>15</v>
      </c>
      <c r="C82" s="360">
        <v>7</v>
      </c>
      <c r="D82" s="360"/>
      <c r="E82" s="78">
        <f>SUM(E75:E81)</f>
        <v>3910941.2500000005</v>
      </c>
      <c r="F82" s="78">
        <f t="shared" ref="F82:O82" si="25">SUM(F75:F81)</f>
        <v>0</v>
      </c>
      <c r="G82" s="78">
        <f t="shared" si="25"/>
        <v>800000</v>
      </c>
      <c r="H82" s="78">
        <f t="shared" si="25"/>
        <v>80000</v>
      </c>
      <c r="I82" s="78">
        <f t="shared" si="25"/>
        <v>0</v>
      </c>
      <c r="J82" s="78">
        <f t="shared" si="25"/>
        <v>4790941.25</v>
      </c>
      <c r="K82" s="78">
        <v>3165414.1290000002</v>
      </c>
      <c r="L82" s="78">
        <f t="shared" si="25"/>
        <v>1625527.1209999998</v>
      </c>
      <c r="M82" s="78">
        <f t="shared" si="25"/>
        <v>730531.2828266666</v>
      </c>
      <c r="N82" s="78">
        <v>465888.04393266671</v>
      </c>
      <c r="O82" s="78">
        <f t="shared" si="25"/>
        <v>264643.23889399995</v>
      </c>
      <c r="P82" s="213"/>
    </row>
    <row r="83" spans="1:16" ht="20.100000000000001" customHeight="1">
      <c r="A83" s="430"/>
      <c r="B83" s="366"/>
      <c r="C83" s="360"/>
      <c r="D83" s="360"/>
      <c r="E83" s="31"/>
      <c r="F83" s="31"/>
      <c r="G83" s="212"/>
      <c r="H83" s="212"/>
      <c r="I83" s="31"/>
      <c r="J83" s="526"/>
      <c r="K83" s="526"/>
      <c r="L83" s="526"/>
      <c r="M83" s="528"/>
      <c r="N83" s="527"/>
      <c r="O83" s="528"/>
      <c r="P83" s="213"/>
    </row>
    <row r="84" spans="1:16" ht="20.100000000000001" customHeight="1">
      <c r="A84" s="430"/>
      <c r="B84" s="366" t="s">
        <v>463</v>
      </c>
      <c r="C84" s="219"/>
      <c r="D84" s="360"/>
      <c r="E84" s="31"/>
      <c r="F84" s="31"/>
      <c r="G84" s="212"/>
      <c r="H84" s="212"/>
      <c r="I84" s="31"/>
      <c r="J84" s="526"/>
      <c r="K84" s="526"/>
      <c r="L84" s="526"/>
      <c r="M84" s="528"/>
      <c r="N84" s="527"/>
      <c r="O84" s="528"/>
      <c r="P84" s="213"/>
    </row>
    <row r="85" spans="1:16" ht="20.100000000000001" customHeight="1">
      <c r="A85" s="430">
        <v>1</v>
      </c>
      <c r="B85" s="432" t="s">
        <v>169</v>
      </c>
      <c r="C85" s="357" t="s">
        <v>258</v>
      </c>
      <c r="D85" s="430" t="s">
        <v>75</v>
      </c>
      <c r="E85" s="26">
        <v>620675.58333333337</v>
      </c>
      <c r="F85" s="26"/>
      <c r="G85" s="212">
        <f>160000</f>
        <v>160000</v>
      </c>
      <c r="H85" s="212"/>
      <c r="I85" s="26">
        <v>100000</v>
      </c>
      <c r="J85" s="525">
        <f>E85+F85+G85+H85+I85</f>
        <v>880675.58333333337</v>
      </c>
      <c r="K85" s="525">
        <v>627553.50249999994</v>
      </c>
      <c r="L85" s="525">
        <f>J85-K85</f>
        <v>253122.08083333343</v>
      </c>
      <c r="M85" s="519">
        <v>138222.80170666668</v>
      </c>
      <c r="N85" s="520">
        <v>99156.939146666671</v>
      </c>
      <c r="O85" s="519">
        <f t="shared" ref="O85:O94" si="26">M85-N85</f>
        <v>39065.862560000009</v>
      </c>
      <c r="P85" s="213"/>
    </row>
    <row r="86" spans="1:16" ht="20.100000000000001" customHeight="1">
      <c r="A86" s="430">
        <v>2</v>
      </c>
      <c r="B86" s="432" t="s">
        <v>192</v>
      </c>
      <c r="C86" s="357" t="s">
        <v>258</v>
      </c>
      <c r="D86" s="430" t="s">
        <v>75</v>
      </c>
      <c r="E86" s="26">
        <v>620675.58333333337</v>
      </c>
      <c r="F86" s="26"/>
      <c r="G86" s="212">
        <f>160000</f>
        <v>160000</v>
      </c>
      <c r="H86" s="212"/>
      <c r="I86" s="26"/>
      <c r="J86" s="525">
        <f t="shared" ref="J86:J94" si="27">E86+F86+G86+H86+I86</f>
        <v>780675.58333333337</v>
      </c>
      <c r="K86" s="525">
        <v>527553.50249999994</v>
      </c>
      <c r="L86" s="525">
        <f t="shared" ref="L86:L94" si="28">J86-K86</f>
        <v>253122.08083333343</v>
      </c>
      <c r="M86" s="519">
        <v>118861.96570666666</v>
      </c>
      <c r="N86" s="520">
        <v>79796.103146666646</v>
      </c>
      <c r="O86" s="519">
        <f t="shared" si="26"/>
        <v>39065.862560000009</v>
      </c>
      <c r="P86" s="213"/>
    </row>
    <row r="87" spans="1:16" ht="20.100000000000001" customHeight="1">
      <c r="A87" s="430">
        <v>3</v>
      </c>
      <c r="B87" s="432" t="s">
        <v>202</v>
      </c>
      <c r="C87" s="357" t="s">
        <v>258</v>
      </c>
      <c r="D87" s="430" t="s">
        <v>30</v>
      </c>
      <c r="E87" s="26">
        <v>582118.08333333337</v>
      </c>
      <c r="F87" s="26"/>
      <c r="G87" s="212">
        <v>160000</v>
      </c>
      <c r="H87" s="212"/>
      <c r="I87" s="26"/>
      <c r="J87" s="525">
        <f t="shared" si="27"/>
        <v>742118.08333333337</v>
      </c>
      <c r="K87" s="525">
        <v>504729.22200000007</v>
      </c>
      <c r="L87" s="525">
        <f t="shared" si="28"/>
        <v>237388.86133333331</v>
      </c>
      <c r="M87" s="519">
        <v>112212.00490666665</v>
      </c>
      <c r="N87" s="518">
        <v>75574.677290666688</v>
      </c>
      <c r="O87" s="519">
        <f t="shared" si="26"/>
        <v>36637.327615999966</v>
      </c>
      <c r="P87" s="213"/>
    </row>
    <row r="88" spans="1:16" ht="21.6" customHeight="1">
      <c r="A88" s="430">
        <v>4</v>
      </c>
      <c r="B88" s="432" t="s">
        <v>101</v>
      </c>
      <c r="C88" s="357" t="s">
        <v>80</v>
      </c>
      <c r="D88" s="434" t="s">
        <v>175</v>
      </c>
      <c r="E88" s="26">
        <v>441804.91666666669</v>
      </c>
      <c r="F88" s="26"/>
      <c r="G88" s="212">
        <f>120000</f>
        <v>120000</v>
      </c>
      <c r="H88" s="212"/>
      <c r="I88" s="26">
        <v>0</v>
      </c>
      <c r="J88" s="525">
        <f t="shared" si="27"/>
        <v>561804.91666666674</v>
      </c>
      <c r="K88" s="525">
        <v>376663.07749999996</v>
      </c>
      <c r="L88" s="525">
        <f t="shared" si="28"/>
        <v>185141.83916666679</v>
      </c>
      <c r="M88" s="519">
        <v>79747.087146666672</v>
      </c>
      <c r="N88" s="520">
        <v>50985.977546666662</v>
      </c>
      <c r="O88" s="519">
        <f t="shared" si="26"/>
        <v>28761.109600000011</v>
      </c>
      <c r="P88" s="213"/>
    </row>
    <row r="89" spans="1:16" ht="21.6" customHeight="1">
      <c r="A89" s="430">
        <v>5</v>
      </c>
      <c r="B89" s="432" t="s">
        <v>336</v>
      </c>
      <c r="C89" s="367" t="s">
        <v>257</v>
      </c>
      <c r="D89" s="434" t="s">
        <v>170</v>
      </c>
      <c r="E89" s="26">
        <v>428915.91666666669</v>
      </c>
      <c r="F89" s="26"/>
      <c r="G89" s="212">
        <f t="shared" ref="G89" si="29">120000</f>
        <v>120000</v>
      </c>
      <c r="H89" s="212"/>
      <c r="I89" s="26">
        <v>0</v>
      </c>
      <c r="J89" s="525">
        <f t="shared" si="27"/>
        <v>548915.91666666674</v>
      </c>
      <c r="K89" s="525">
        <v>369177.65375</v>
      </c>
      <c r="L89" s="525">
        <f t="shared" si="28"/>
        <v>179738.26291666675</v>
      </c>
      <c r="M89" s="519">
        <v>77470.374186666668</v>
      </c>
      <c r="N89" s="520">
        <v>49548.776186666662</v>
      </c>
      <c r="O89" s="519">
        <f t="shared" si="26"/>
        <v>27921.598000000005</v>
      </c>
      <c r="P89" s="213"/>
    </row>
    <row r="90" spans="1:16" ht="21.6" customHeight="1">
      <c r="A90" s="430">
        <v>6</v>
      </c>
      <c r="B90" s="432" t="s">
        <v>337</v>
      </c>
      <c r="C90" s="367" t="s">
        <v>297</v>
      </c>
      <c r="D90" s="434" t="s">
        <v>95</v>
      </c>
      <c r="E90" s="26">
        <v>428870.75</v>
      </c>
      <c r="F90" s="26"/>
      <c r="G90" s="212">
        <f>140000</f>
        <v>140000</v>
      </c>
      <c r="H90" s="212"/>
      <c r="I90" s="26">
        <v>0</v>
      </c>
      <c r="J90" s="525">
        <f t="shared" si="27"/>
        <v>568870.75</v>
      </c>
      <c r="K90" s="525">
        <v>389153.05674999999</v>
      </c>
      <c r="L90" s="525">
        <f t="shared" si="28"/>
        <v>179717.69325000001</v>
      </c>
      <c r="M90" s="519">
        <v>81302.395946666657</v>
      </c>
      <c r="N90" s="520">
        <v>53384.053562666668</v>
      </c>
      <c r="O90" s="519">
        <f t="shared" si="26"/>
        <v>27918.342383999989</v>
      </c>
      <c r="P90" s="213"/>
    </row>
    <row r="91" spans="1:16" ht="21.6" customHeight="1">
      <c r="A91" s="430">
        <v>7</v>
      </c>
      <c r="B91" s="432" t="s">
        <v>421</v>
      </c>
      <c r="C91" s="431" t="s">
        <v>422</v>
      </c>
      <c r="D91" s="434" t="s">
        <v>415</v>
      </c>
      <c r="E91" s="26">
        <v>365703.83333333331</v>
      </c>
      <c r="F91" s="26"/>
      <c r="G91" s="212">
        <f t="shared" ref="G91" si="30">110000</f>
        <v>110000</v>
      </c>
      <c r="H91" s="212"/>
      <c r="I91" s="26">
        <v>0</v>
      </c>
      <c r="J91" s="525">
        <f t="shared" si="27"/>
        <v>475703.83333333331</v>
      </c>
      <c r="K91" s="525">
        <v>322454.07400000002</v>
      </c>
      <c r="L91" s="525">
        <f t="shared" si="28"/>
        <v>153249.75933333329</v>
      </c>
      <c r="M91" s="519">
        <v>64384.591786666657</v>
      </c>
      <c r="N91" s="520">
        <v>41338.951098666665</v>
      </c>
      <c r="O91" s="519">
        <f t="shared" si="26"/>
        <v>23045.640687999992</v>
      </c>
      <c r="P91" s="213"/>
    </row>
    <row r="92" spans="1:16" ht="21.6" customHeight="1">
      <c r="A92" s="430">
        <v>8</v>
      </c>
      <c r="B92" s="432" t="s">
        <v>556</v>
      </c>
      <c r="C92" s="431" t="s">
        <v>257</v>
      </c>
      <c r="D92" s="434" t="s">
        <v>758</v>
      </c>
      <c r="E92" s="26">
        <v>390248.91666666669</v>
      </c>
      <c r="F92" s="26"/>
      <c r="G92" s="212">
        <v>120000</v>
      </c>
      <c r="H92" s="212"/>
      <c r="I92" s="26">
        <v>0</v>
      </c>
      <c r="J92" s="525">
        <f t="shared" si="27"/>
        <v>510248.91666666669</v>
      </c>
      <c r="K92" s="525">
        <v>346713.03325000004</v>
      </c>
      <c r="L92" s="525">
        <f t="shared" si="28"/>
        <v>163535.88341666665</v>
      </c>
      <c r="M92" s="519">
        <v>70529.475354666662</v>
      </c>
      <c r="N92" s="520">
        <v>45317.541294666669</v>
      </c>
      <c r="O92" s="519">
        <f t="shared" si="26"/>
        <v>25211.934059999992</v>
      </c>
      <c r="P92" s="213"/>
    </row>
    <row r="93" spans="1:16" ht="21.6" customHeight="1">
      <c r="A93" s="430">
        <v>9</v>
      </c>
      <c r="B93" s="432" t="s">
        <v>436</v>
      </c>
      <c r="C93" s="357" t="s">
        <v>470</v>
      </c>
      <c r="D93" s="430" t="s">
        <v>207</v>
      </c>
      <c r="E93" s="212">
        <v>300965.58333333331</v>
      </c>
      <c r="F93" s="26"/>
      <c r="G93" s="212">
        <v>100000</v>
      </c>
      <c r="H93" s="212"/>
      <c r="I93" s="26"/>
      <c r="J93" s="525">
        <f t="shared" si="27"/>
        <v>400965.58333333331</v>
      </c>
      <c r="K93" s="525">
        <v>277734.04699999996</v>
      </c>
      <c r="L93" s="525">
        <f t="shared" si="28"/>
        <v>123231.53633333335</v>
      </c>
      <c r="M93" s="519">
        <v>51029.227306666668</v>
      </c>
      <c r="N93" s="520">
        <v>33825.986562666658</v>
      </c>
      <c r="O93" s="519">
        <f t="shared" si="26"/>
        <v>17203.24074400001</v>
      </c>
      <c r="P93" s="213"/>
    </row>
    <row r="94" spans="1:16" ht="21.6" customHeight="1">
      <c r="A94" s="430">
        <v>10</v>
      </c>
      <c r="B94" s="432" t="s">
        <v>406</v>
      </c>
      <c r="C94" s="431" t="s">
        <v>432</v>
      </c>
      <c r="D94" s="434" t="s">
        <v>51</v>
      </c>
      <c r="E94" s="212">
        <v>230631.91666666666</v>
      </c>
      <c r="F94" s="26"/>
      <c r="G94" s="212">
        <f t="shared" ref="G94" si="31">100000</f>
        <v>100000</v>
      </c>
      <c r="H94" s="212"/>
      <c r="I94" s="26"/>
      <c r="J94" s="525">
        <f t="shared" si="27"/>
        <v>330631.91666666663</v>
      </c>
      <c r="K94" s="525">
        <v>254870.26344499999</v>
      </c>
      <c r="L94" s="525">
        <f t="shared" si="28"/>
        <v>75761.653221666638</v>
      </c>
      <c r="M94" s="519">
        <v>39613.135706666661</v>
      </c>
      <c r="N94" s="520">
        <v>29984.870925426669</v>
      </c>
      <c r="O94" s="519">
        <f t="shared" si="26"/>
        <v>9628.2647812399919</v>
      </c>
      <c r="P94" s="213"/>
    </row>
    <row r="95" spans="1:16" ht="20.100000000000001" customHeight="1">
      <c r="A95" s="430"/>
      <c r="B95" s="366" t="s">
        <v>15</v>
      </c>
      <c r="C95" s="360">
        <v>11</v>
      </c>
      <c r="D95" s="360"/>
      <c r="E95" s="78">
        <f>SUM(E85:E94)</f>
        <v>4410611.083333333</v>
      </c>
      <c r="F95" s="78">
        <f t="shared" ref="F95:O95" si="32">SUM(F85:F94)</f>
        <v>0</v>
      </c>
      <c r="G95" s="78">
        <f t="shared" si="32"/>
        <v>1290000</v>
      </c>
      <c r="H95" s="78">
        <f t="shared" si="32"/>
        <v>0</v>
      </c>
      <c r="I95" s="78">
        <f t="shared" si="32"/>
        <v>100000</v>
      </c>
      <c r="J95" s="78">
        <f t="shared" si="32"/>
        <v>5800611.083333334</v>
      </c>
      <c r="K95" s="78">
        <v>3996601.4326949995</v>
      </c>
      <c r="L95" s="78">
        <f t="shared" si="32"/>
        <v>1804009.6506383333</v>
      </c>
      <c r="M95" s="78">
        <f t="shared" si="32"/>
        <v>833373.05975466652</v>
      </c>
      <c r="N95" s="78">
        <v>558913.87676142668</v>
      </c>
      <c r="O95" s="78">
        <f t="shared" si="32"/>
        <v>274459.18299323996</v>
      </c>
      <c r="P95" s="213"/>
    </row>
    <row r="96" spans="1:16" ht="20.100000000000001" customHeight="1">
      <c r="A96" s="430"/>
      <c r="B96" s="362"/>
      <c r="C96" s="360"/>
      <c r="D96" s="360"/>
      <c r="E96" s="31"/>
      <c r="F96" s="31"/>
      <c r="G96" s="212"/>
      <c r="H96" s="212"/>
      <c r="I96" s="31"/>
      <c r="J96" s="526"/>
      <c r="K96" s="526"/>
      <c r="L96" s="526"/>
      <c r="M96" s="527"/>
      <c r="N96" s="527"/>
      <c r="O96" s="527"/>
      <c r="P96" s="213"/>
    </row>
    <row r="97" spans="1:16" ht="20.100000000000001" customHeight="1">
      <c r="A97" s="430"/>
      <c r="B97" s="366" t="s">
        <v>464</v>
      </c>
      <c r="C97" s="360"/>
      <c r="D97" s="360"/>
      <c r="E97" s="31"/>
      <c r="F97" s="31"/>
      <c r="G97" s="212"/>
      <c r="H97" s="212"/>
      <c r="I97" s="31"/>
      <c r="J97" s="526"/>
      <c r="K97" s="526"/>
      <c r="L97" s="526"/>
      <c r="M97" s="527"/>
      <c r="N97" s="527"/>
      <c r="O97" s="527"/>
      <c r="P97" s="213"/>
    </row>
    <row r="98" spans="1:16" ht="20.100000000000001" customHeight="1">
      <c r="A98" s="430">
        <v>1</v>
      </c>
      <c r="B98" s="365" t="s">
        <v>112</v>
      </c>
      <c r="C98" s="357" t="s">
        <v>740</v>
      </c>
      <c r="D98" s="25" t="s">
        <v>160</v>
      </c>
      <c r="E98" s="24">
        <v>762373.16666666663</v>
      </c>
      <c r="F98" s="26"/>
      <c r="G98" s="212"/>
      <c r="H98" s="212">
        <f>80000+10000</f>
        <v>90000</v>
      </c>
      <c r="I98" s="26"/>
      <c r="J98" s="525">
        <f>E98+F98+G98+H98+I98</f>
        <v>852373.16666666663</v>
      </c>
      <c r="K98" s="525">
        <v>541465.02474999998</v>
      </c>
      <c r="L98" s="525">
        <f>J98-K98</f>
        <v>310908.14191666665</v>
      </c>
      <c r="M98" s="529">
        <v>130407.52761066666</v>
      </c>
      <c r="N98" s="518">
        <v>82423.216202666677</v>
      </c>
      <c r="O98" s="529">
        <f>M98-N98</f>
        <v>47984.31140799998</v>
      </c>
      <c r="P98" s="213"/>
    </row>
    <row r="99" spans="1:16" ht="20.100000000000001" customHeight="1">
      <c r="A99" s="430">
        <v>2</v>
      </c>
      <c r="B99" s="432" t="s">
        <v>124</v>
      </c>
      <c r="C99" s="357" t="s">
        <v>373</v>
      </c>
      <c r="D99" s="434" t="s">
        <v>162</v>
      </c>
      <c r="E99" s="26">
        <v>456622.25</v>
      </c>
      <c r="F99" s="26"/>
      <c r="G99" s="212"/>
      <c r="H99" s="212">
        <v>70000</v>
      </c>
      <c r="I99" s="26">
        <v>0</v>
      </c>
      <c r="J99" s="525">
        <f t="shared" ref="J99:J101" si="33">E99+F99+G99+H99+I99</f>
        <v>526622.25</v>
      </c>
      <c r="K99" s="525">
        <v>335272.06374999997</v>
      </c>
      <c r="L99" s="525">
        <f t="shared" ref="L99:L101" si="34">J99-K99</f>
        <v>191350.18625000003</v>
      </c>
      <c r="M99" s="529">
        <v>72764.420906666652</v>
      </c>
      <c r="N99" s="520">
        <v>43492.373376666663</v>
      </c>
      <c r="O99" s="529">
        <f>M99-N99</f>
        <v>29272.047529999989</v>
      </c>
      <c r="P99" s="213"/>
    </row>
    <row r="100" spans="1:16" ht="20.100000000000001" customHeight="1">
      <c r="A100" s="430">
        <v>3</v>
      </c>
      <c r="B100" s="432" t="s">
        <v>237</v>
      </c>
      <c r="C100" s="357" t="s">
        <v>483</v>
      </c>
      <c r="D100" s="434" t="s">
        <v>497</v>
      </c>
      <c r="E100" s="26">
        <v>377895.16666666669</v>
      </c>
      <c r="F100" s="26"/>
      <c r="G100" s="212"/>
      <c r="H100" s="212">
        <f>60000</f>
        <v>60000</v>
      </c>
      <c r="I100" s="26"/>
      <c r="J100" s="525">
        <f t="shared" si="33"/>
        <v>437895.16666666669</v>
      </c>
      <c r="K100" s="525">
        <v>284536.99849999999</v>
      </c>
      <c r="L100" s="525">
        <f t="shared" si="34"/>
        <v>153358.1681666667</v>
      </c>
      <c r="M100" s="529">
        <v>56938.068906666675</v>
      </c>
      <c r="N100" s="520">
        <v>34968.882414666667</v>
      </c>
      <c r="O100" s="529">
        <f>M100-N100</f>
        <v>21969.186492000008</v>
      </c>
      <c r="P100" s="213"/>
    </row>
    <row r="101" spans="1:16" ht="20.100000000000001" customHeight="1">
      <c r="A101" s="430">
        <v>4</v>
      </c>
      <c r="B101" s="432" t="s">
        <v>345</v>
      </c>
      <c r="C101" s="357" t="s">
        <v>709</v>
      </c>
      <c r="D101" s="434" t="s">
        <v>207</v>
      </c>
      <c r="E101" s="212">
        <v>300965.58333333331</v>
      </c>
      <c r="F101" s="26"/>
      <c r="G101" s="212"/>
      <c r="H101" s="212">
        <f>60000</f>
        <v>60000</v>
      </c>
      <c r="I101" s="26"/>
      <c r="J101" s="525">
        <f t="shared" si="33"/>
        <v>360965.58333333331</v>
      </c>
      <c r="K101" s="525">
        <v>237734.04699999996</v>
      </c>
      <c r="L101" s="525">
        <f t="shared" si="34"/>
        <v>123231.53633333335</v>
      </c>
      <c r="M101" s="529">
        <v>43763.90722666667</v>
      </c>
      <c r="N101" s="520">
        <v>27105.986562666658</v>
      </c>
      <c r="O101" s="529">
        <f>M101-N101</f>
        <v>16657.920664000012</v>
      </c>
      <c r="P101" s="213"/>
    </row>
    <row r="102" spans="1:16" ht="20.100000000000001" customHeight="1">
      <c r="A102" s="357"/>
      <c r="B102" s="366" t="s">
        <v>15</v>
      </c>
      <c r="C102" s="360">
        <v>4</v>
      </c>
      <c r="D102" s="220"/>
      <c r="E102" s="78">
        <f>SUM(E98:E101)</f>
        <v>1897856.1666666665</v>
      </c>
      <c r="F102" s="78">
        <f t="shared" ref="F102:O102" si="35">SUM(F98:F101)</f>
        <v>0</v>
      </c>
      <c r="G102" s="78">
        <f t="shared" si="35"/>
        <v>0</v>
      </c>
      <c r="H102" s="78">
        <f t="shared" si="35"/>
        <v>280000</v>
      </c>
      <c r="I102" s="78">
        <f t="shared" si="35"/>
        <v>0</v>
      </c>
      <c r="J102" s="78">
        <f t="shared" si="35"/>
        <v>2177856.1666666665</v>
      </c>
      <c r="K102" s="78">
        <v>1399008.1339999998</v>
      </c>
      <c r="L102" s="78">
        <f t="shared" si="35"/>
        <v>778848.03266666678</v>
      </c>
      <c r="M102" s="78">
        <f t="shared" si="35"/>
        <v>303873.92465066665</v>
      </c>
      <c r="N102" s="78">
        <v>187990.45855666668</v>
      </c>
      <c r="O102" s="78">
        <f t="shared" si="35"/>
        <v>115883.46609399997</v>
      </c>
      <c r="P102" s="213"/>
    </row>
    <row r="103" spans="1:16" ht="20.100000000000001" customHeight="1">
      <c r="A103" s="357"/>
      <c r="B103" s="362"/>
      <c r="C103" s="360"/>
      <c r="D103" s="220"/>
      <c r="E103" s="31"/>
      <c r="F103" s="31"/>
      <c r="G103" s="212"/>
      <c r="H103" s="212"/>
      <c r="I103" s="31"/>
      <c r="J103" s="526"/>
      <c r="K103" s="526"/>
      <c r="L103" s="526"/>
      <c r="M103" s="527"/>
      <c r="N103" s="527"/>
      <c r="O103" s="527"/>
      <c r="P103" s="213"/>
    </row>
    <row r="104" spans="1:16" ht="20.100000000000001" customHeight="1">
      <c r="A104" s="357"/>
      <c r="B104" s="366" t="s">
        <v>465</v>
      </c>
      <c r="C104" s="357"/>
      <c r="D104" s="357"/>
      <c r="E104" s="357"/>
      <c r="F104" s="357"/>
      <c r="G104" s="212"/>
      <c r="H104" s="212"/>
      <c r="I104" s="357"/>
      <c r="J104" s="530"/>
      <c r="K104" s="530"/>
      <c r="L104" s="530"/>
      <c r="M104" s="531"/>
      <c r="N104" s="531"/>
      <c r="O104" s="531"/>
      <c r="P104" s="213"/>
    </row>
    <row r="105" spans="1:16" ht="20.100000000000001" customHeight="1">
      <c r="A105" s="357">
        <v>1</v>
      </c>
      <c r="B105" s="432" t="s">
        <v>216</v>
      </c>
      <c r="C105" s="367" t="s">
        <v>217</v>
      </c>
      <c r="D105" s="434" t="s">
        <v>161</v>
      </c>
      <c r="E105" s="26">
        <v>1435720</v>
      </c>
      <c r="F105" s="26"/>
      <c r="G105" s="212">
        <f>200000</f>
        <v>200000</v>
      </c>
      <c r="H105" s="212"/>
      <c r="I105" s="26">
        <v>0</v>
      </c>
      <c r="J105" s="525">
        <f>E105+F105+G105+H105+I105</f>
        <v>1635720</v>
      </c>
      <c r="K105" s="525">
        <v>1050209.0635000002</v>
      </c>
      <c r="L105" s="525">
        <f>J105-K105</f>
        <v>585510.93649999984</v>
      </c>
      <c r="M105" s="519">
        <v>270672.24746666662</v>
      </c>
      <c r="N105" s="520">
        <v>180306.80685866671</v>
      </c>
      <c r="O105" s="519">
        <f t="shared" ref="O105:O111" si="36">M105-N105</f>
        <v>90365.440607999917</v>
      </c>
      <c r="P105" s="213"/>
    </row>
    <row r="106" spans="1:16" ht="20.100000000000001" customHeight="1">
      <c r="A106" s="357">
        <v>2</v>
      </c>
      <c r="B106" s="432" t="s">
        <v>110</v>
      </c>
      <c r="C106" s="357" t="s">
        <v>259</v>
      </c>
      <c r="D106" s="25" t="s">
        <v>160</v>
      </c>
      <c r="E106" s="24">
        <v>762373.16666666663</v>
      </c>
      <c r="F106" s="26"/>
      <c r="G106" s="212">
        <f>160000+20000</f>
        <v>180000</v>
      </c>
      <c r="H106" s="212"/>
      <c r="I106" s="26">
        <v>0</v>
      </c>
      <c r="J106" s="525">
        <f t="shared" ref="J106:J111" si="37">E106+F106+G106+H106+I106</f>
        <v>942373.16666666663</v>
      </c>
      <c r="K106" s="525">
        <v>631465.0247500001</v>
      </c>
      <c r="L106" s="525">
        <f t="shared" ref="L106:L111" si="38">J106-K106</f>
        <v>310908.14191666653</v>
      </c>
      <c r="M106" s="519">
        <v>147687.52761066667</v>
      </c>
      <c r="N106" s="520">
        <v>99703.216202666677</v>
      </c>
      <c r="O106" s="519">
        <f t="shared" si="36"/>
        <v>47984.311407999994</v>
      </c>
      <c r="P106" s="213"/>
    </row>
    <row r="107" spans="1:16" ht="20.100000000000001" customHeight="1">
      <c r="A107" s="357">
        <v>3</v>
      </c>
      <c r="B107" s="432" t="s">
        <v>109</v>
      </c>
      <c r="C107" s="357" t="s">
        <v>311</v>
      </c>
      <c r="D107" s="430" t="s">
        <v>175</v>
      </c>
      <c r="E107" s="26">
        <v>441804.91666666669</v>
      </c>
      <c r="F107" s="26"/>
      <c r="G107" s="212">
        <f>120000</f>
        <v>120000</v>
      </c>
      <c r="H107" s="212"/>
      <c r="I107" s="26">
        <v>41432.938524999998</v>
      </c>
      <c r="J107" s="525">
        <f t="shared" si="37"/>
        <v>603237.85519166675</v>
      </c>
      <c r="K107" s="525">
        <v>418096.01602499996</v>
      </c>
      <c r="L107" s="525">
        <f t="shared" si="38"/>
        <v>185141.83916666679</v>
      </c>
      <c r="M107" s="519">
        <v>87575.78270346667</v>
      </c>
      <c r="N107" s="518">
        <v>58814.673103466652</v>
      </c>
      <c r="O107" s="519">
        <f t="shared" si="36"/>
        <v>28761.109600000018</v>
      </c>
      <c r="P107" s="213"/>
    </row>
    <row r="108" spans="1:16" ht="20.100000000000001" customHeight="1">
      <c r="A108" s="357">
        <v>4</v>
      </c>
      <c r="B108" s="432" t="s">
        <v>135</v>
      </c>
      <c r="C108" s="357" t="s">
        <v>311</v>
      </c>
      <c r="D108" s="430" t="s">
        <v>175</v>
      </c>
      <c r="E108" s="26">
        <v>441804.91666666669</v>
      </c>
      <c r="F108" s="26"/>
      <c r="G108" s="212">
        <f>120000</f>
        <v>120000</v>
      </c>
      <c r="H108" s="212"/>
      <c r="I108" s="26">
        <v>39820.116654999998</v>
      </c>
      <c r="J108" s="525">
        <f t="shared" si="37"/>
        <v>601625.03332166676</v>
      </c>
      <c r="K108" s="525">
        <v>416483.19415499998</v>
      </c>
      <c r="L108" s="525">
        <f t="shared" si="38"/>
        <v>185141.83916666679</v>
      </c>
      <c r="M108" s="519">
        <v>87392.549544426671</v>
      </c>
      <c r="N108" s="518">
        <v>58631.439944426667</v>
      </c>
      <c r="O108" s="519">
        <f t="shared" si="36"/>
        <v>28761.109600000003</v>
      </c>
      <c r="P108" s="213"/>
    </row>
    <row r="109" spans="1:16" ht="20.100000000000001" customHeight="1">
      <c r="A109" s="357">
        <v>5</v>
      </c>
      <c r="B109" s="432" t="s">
        <v>240</v>
      </c>
      <c r="C109" s="357" t="s">
        <v>338</v>
      </c>
      <c r="D109" s="434" t="s">
        <v>748</v>
      </c>
      <c r="E109" s="212">
        <v>249148.41666666666</v>
      </c>
      <c r="F109" s="26"/>
      <c r="G109" s="212">
        <f>100000</f>
        <v>100000</v>
      </c>
      <c r="H109" s="212"/>
      <c r="I109" s="26">
        <v>25333.447479999999</v>
      </c>
      <c r="J109" s="525">
        <f t="shared" si="37"/>
        <v>374481.8641466666</v>
      </c>
      <c r="K109" s="525">
        <v>266099.21747999999</v>
      </c>
      <c r="L109" s="525">
        <f t="shared" si="38"/>
        <v>108382.64666666661</v>
      </c>
      <c r="M109" s="519">
        <v>46740.264902826661</v>
      </c>
      <c r="N109" s="520">
        <v>31871.335203306662</v>
      </c>
      <c r="O109" s="519">
        <f t="shared" si="36"/>
        <v>14868.929699519998</v>
      </c>
      <c r="P109" s="213"/>
    </row>
    <row r="110" spans="1:16" ht="20.100000000000001" customHeight="1">
      <c r="A110" s="357">
        <v>6</v>
      </c>
      <c r="B110" s="364" t="s">
        <v>341</v>
      </c>
      <c r="C110" s="357" t="s">
        <v>338</v>
      </c>
      <c r="D110" s="430" t="s">
        <v>499</v>
      </c>
      <c r="E110" s="212">
        <v>242976.25</v>
      </c>
      <c r="F110" s="26"/>
      <c r="G110" s="212">
        <f>100000</f>
        <v>100000</v>
      </c>
      <c r="H110" s="212"/>
      <c r="I110" s="26">
        <v>24949.771000000001</v>
      </c>
      <c r="J110" s="525">
        <f t="shared" si="37"/>
        <v>367926.02100000001</v>
      </c>
      <c r="K110" s="525">
        <v>262229.04099999997</v>
      </c>
      <c r="L110" s="525">
        <f t="shared" si="38"/>
        <v>105696.98000000004</v>
      </c>
      <c r="M110" s="519">
        <v>45712.637394666672</v>
      </c>
      <c r="N110" s="520">
        <v>31221.145554666658</v>
      </c>
      <c r="O110" s="519">
        <f t="shared" si="36"/>
        <v>14491.491840000013</v>
      </c>
      <c r="P110" s="213"/>
    </row>
    <row r="111" spans="1:16" ht="20.100000000000001" customHeight="1">
      <c r="A111" s="357">
        <v>7</v>
      </c>
      <c r="B111" s="364" t="s">
        <v>374</v>
      </c>
      <c r="C111" s="357" t="s">
        <v>338</v>
      </c>
      <c r="D111" s="434" t="s">
        <v>51</v>
      </c>
      <c r="E111" s="212">
        <v>230631.91666666666</v>
      </c>
      <c r="F111" s="26"/>
      <c r="G111" s="212">
        <f t="shared" ref="G111" si="39">100000</f>
        <v>100000</v>
      </c>
      <c r="H111" s="212"/>
      <c r="I111" s="26">
        <v>24566.195445000001</v>
      </c>
      <c r="J111" s="525">
        <f t="shared" si="37"/>
        <v>355198.11211166665</v>
      </c>
      <c r="K111" s="525">
        <v>254870.26344499999</v>
      </c>
      <c r="L111" s="525">
        <f t="shared" si="38"/>
        <v>100327.84866666666</v>
      </c>
      <c r="M111" s="519">
        <v>43740.256541426665</v>
      </c>
      <c r="N111" s="520">
        <v>29984.870925426669</v>
      </c>
      <c r="O111" s="519">
        <f t="shared" si="36"/>
        <v>13755.385615999996</v>
      </c>
      <c r="P111" s="213"/>
    </row>
    <row r="112" spans="1:16" ht="25.5" customHeight="1">
      <c r="A112" s="357"/>
      <c r="B112" s="366" t="s">
        <v>15</v>
      </c>
      <c r="C112" s="360">
        <v>7</v>
      </c>
      <c r="D112" s="357"/>
      <c r="E112" s="221">
        <f>SUM(E105:E111)</f>
        <v>3804459.5833333326</v>
      </c>
      <c r="F112" s="221">
        <f t="shared" ref="F112:O112" si="40">SUM(F105:F111)</f>
        <v>0</v>
      </c>
      <c r="G112" s="221">
        <f t="shared" si="40"/>
        <v>920000</v>
      </c>
      <c r="H112" s="221">
        <f t="shared" si="40"/>
        <v>0</v>
      </c>
      <c r="I112" s="221">
        <f t="shared" si="40"/>
        <v>156102.469105</v>
      </c>
      <c r="J112" s="221">
        <f t="shared" si="40"/>
        <v>4880562.0524383327</v>
      </c>
      <c r="K112" s="221">
        <v>3299451.8203550009</v>
      </c>
      <c r="L112" s="221">
        <f t="shared" si="40"/>
        <v>1581110.2320833332</v>
      </c>
      <c r="M112" s="221">
        <f t="shared" si="40"/>
        <v>729521.2661641466</v>
      </c>
      <c r="N112" s="221">
        <v>490533.48779262666</v>
      </c>
      <c r="O112" s="221">
        <f t="shared" si="40"/>
        <v>238987.77837151993</v>
      </c>
      <c r="P112" s="213"/>
    </row>
    <row r="113" spans="1:16" ht="20.100000000000001" customHeight="1">
      <c r="A113" s="357"/>
      <c r="B113" s="366"/>
      <c r="C113" s="360"/>
      <c r="D113" s="357"/>
      <c r="E113" s="221"/>
      <c r="F113" s="221"/>
      <c r="G113" s="217"/>
      <c r="H113" s="217"/>
      <c r="I113" s="221"/>
      <c r="J113" s="532"/>
      <c r="K113" s="532"/>
      <c r="L113" s="532"/>
      <c r="M113" s="533"/>
      <c r="N113" s="533"/>
      <c r="O113" s="533"/>
      <c r="P113" s="213"/>
    </row>
    <row r="114" spans="1:16" ht="20.100000000000001" customHeight="1">
      <c r="A114" s="430"/>
      <c r="B114" s="366" t="s">
        <v>542</v>
      </c>
      <c r="C114" s="360"/>
      <c r="D114" s="360"/>
      <c r="E114" s="31"/>
      <c r="F114" s="31"/>
      <c r="G114" s="212"/>
      <c r="H114" s="212"/>
      <c r="I114" s="31"/>
      <c r="J114" s="526"/>
      <c r="K114" s="526"/>
      <c r="L114" s="526"/>
      <c r="M114" s="527"/>
      <c r="N114" s="527"/>
      <c r="O114" s="527"/>
      <c r="P114" s="213"/>
    </row>
    <row r="115" spans="1:16" ht="20.100000000000001" customHeight="1">
      <c r="A115" s="430">
        <v>1</v>
      </c>
      <c r="B115" s="365" t="s">
        <v>138</v>
      </c>
      <c r="C115" s="357" t="s">
        <v>258</v>
      </c>
      <c r="D115" s="430" t="s">
        <v>148</v>
      </c>
      <c r="E115" s="24">
        <v>601396.83333333337</v>
      </c>
      <c r="F115" s="26"/>
      <c r="G115" s="212">
        <v>160000</v>
      </c>
      <c r="H115" s="212"/>
      <c r="I115" s="26">
        <v>0</v>
      </c>
      <c r="J115" s="525">
        <f>E115+F115+G115+H115+I115</f>
        <v>761396.83333333337</v>
      </c>
      <c r="K115" s="525">
        <v>516137.05000000005</v>
      </c>
      <c r="L115" s="525">
        <f>J115-K115</f>
        <v>245259.78333333333</v>
      </c>
      <c r="M115" s="519">
        <v>115462.53994666669</v>
      </c>
      <c r="N115" s="518">
        <v>77610.116906666663</v>
      </c>
      <c r="O115" s="519">
        <f>M115-N115</f>
        <v>37852.423040000023</v>
      </c>
      <c r="P115" s="213"/>
    </row>
    <row r="116" spans="1:16" ht="18.75" customHeight="1">
      <c r="A116" s="430">
        <v>2</v>
      </c>
      <c r="B116" s="432" t="s">
        <v>247</v>
      </c>
      <c r="C116" s="357" t="s">
        <v>477</v>
      </c>
      <c r="D116" s="434" t="s">
        <v>497</v>
      </c>
      <c r="E116" s="26">
        <v>377895.16666666669</v>
      </c>
      <c r="F116" s="26"/>
      <c r="G116" s="212">
        <v>110000</v>
      </c>
      <c r="H116" s="212">
        <v>0</v>
      </c>
      <c r="I116" s="26"/>
      <c r="J116" s="525">
        <f t="shared" ref="J116:J117" si="41">E116+F116+G116+H116+I116</f>
        <v>487895.16666666669</v>
      </c>
      <c r="K116" s="525">
        <v>334536.99850000005</v>
      </c>
      <c r="L116" s="525">
        <f t="shared" ref="L116:L117" si="42">J116-K116</f>
        <v>153358.16816666664</v>
      </c>
      <c r="M116" s="519">
        <v>66538.068906666667</v>
      </c>
      <c r="N116" s="520">
        <v>43368.882414666674</v>
      </c>
      <c r="O116" s="519">
        <f>M116-N116</f>
        <v>23169.186491999993</v>
      </c>
      <c r="P116" s="213"/>
    </row>
    <row r="117" spans="1:16" ht="20.100000000000001" customHeight="1">
      <c r="A117" s="430">
        <v>3</v>
      </c>
      <c r="B117" s="432" t="s">
        <v>141</v>
      </c>
      <c r="C117" s="367" t="s">
        <v>391</v>
      </c>
      <c r="D117" s="434" t="s">
        <v>749</v>
      </c>
      <c r="E117" s="26">
        <v>390086.5</v>
      </c>
      <c r="F117" s="26"/>
      <c r="G117" s="212"/>
      <c r="H117" s="212">
        <f>60000</f>
        <v>60000</v>
      </c>
      <c r="I117" s="26"/>
      <c r="J117" s="525">
        <f t="shared" si="41"/>
        <v>450086.5</v>
      </c>
      <c r="K117" s="525">
        <v>286619.99874999991</v>
      </c>
      <c r="L117" s="525">
        <f t="shared" si="42"/>
        <v>163466.50125000009</v>
      </c>
      <c r="M117" s="519">
        <v>58980.834746666667</v>
      </c>
      <c r="N117" s="520">
        <v>35221.954086666658</v>
      </c>
      <c r="O117" s="519">
        <f>M117-N117</f>
        <v>23758.88066000001</v>
      </c>
      <c r="P117" s="213"/>
    </row>
    <row r="118" spans="1:16" ht="24.75" customHeight="1">
      <c r="A118" s="357"/>
      <c r="B118" s="366" t="s">
        <v>15</v>
      </c>
      <c r="C118" s="360">
        <v>2</v>
      </c>
      <c r="D118" s="220"/>
      <c r="E118" s="78">
        <f>SUM(E115:E117)</f>
        <v>1369378.5</v>
      </c>
      <c r="F118" s="78">
        <f t="shared" ref="F118:O118" si="43">SUM(F115:F117)</f>
        <v>0</v>
      </c>
      <c r="G118" s="78">
        <f t="shared" si="43"/>
        <v>270000</v>
      </c>
      <c r="H118" s="78">
        <f t="shared" si="43"/>
        <v>60000</v>
      </c>
      <c r="I118" s="78">
        <f t="shared" si="43"/>
        <v>0</v>
      </c>
      <c r="J118" s="78">
        <f t="shared" si="43"/>
        <v>1699378.5</v>
      </c>
      <c r="K118" s="78">
        <v>1137294.0472499998</v>
      </c>
      <c r="L118" s="78">
        <f t="shared" si="43"/>
        <v>562084.45275000005</v>
      </c>
      <c r="M118" s="78">
        <f t="shared" si="43"/>
        <v>240981.4436</v>
      </c>
      <c r="N118" s="78">
        <v>156200.953408</v>
      </c>
      <c r="O118" s="78">
        <f t="shared" si="43"/>
        <v>84780.490192000027</v>
      </c>
      <c r="P118" s="213"/>
    </row>
    <row r="119" spans="1:16" ht="20.100000000000001" customHeight="1">
      <c r="A119" s="357"/>
      <c r="B119" s="362"/>
      <c r="C119" s="430"/>
      <c r="D119" s="357"/>
      <c r="E119" s="222"/>
      <c r="F119" s="209"/>
      <c r="G119" s="212"/>
      <c r="H119" s="212"/>
      <c r="I119" s="222"/>
      <c r="J119" s="534"/>
      <c r="K119" s="534"/>
      <c r="L119" s="534"/>
      <c r="M119" s="535"/>
      <c r="N119" s="535"/>
      <c r="O119" s="535"/>
      <c r="P119" s="213"/>
    </row>
    <row r="120" spans="1:16" ht="20.100000000000001" customHeight="1">
      <c r="A120" s="357"/>
      <c r="B120" s="366" t="s">
        <v>466</v>
      </c>
      <c r="C120" s="360"/>
      <c r="D120" s="360"/>
      <c r="E120" s="31"/>
      <c r="F120" s="31"/>
      <c r="G120" s="212"/>
      <c r="H120" s="212"/>
      <c r="I120" s="31"/>
      <c r="J120" s="526"/>
      <c r="K120" s="526"/>
      <c r="L120" s="526"/>
      <c r="M120" s="528"/>
      <c r="N120" s="527"/>
      <c r="O120" s="528"/>
      <c r="P120" s="213"/>
    </row>
    <row r="121" spans="1:16" ht="20.100000000000001" customHeight="1">
      <c r="A121" s="357">
        <v>1</v>
      </c>
      <c r="B121" s="432" t="s">
        <v>20</v>
      </c>
      <c r="C121" s="367" t="s">
        <v>250</v>
      </c>
      <c r="D121" s="434" t="s">
        <v>161</v>
      </c>
      <c r="E121" s="26">
        <v>1435720</v>
      </c>
      <c r="F121" s="26"/>
      <c r="G121" s="212"/>
      <c r="H121" s="212">
        <f>100000</f>
        <v>100000</v>
      </c>
      <c r="I121" s="26">
        <v>100000</v>
      </c>
      <c r="J121" s="525">
        <f>E121+F121+G121+H121+I121</f>
        <v>1635720</v>
      </c>
      <c r="K121" s="525">
        <v>1050209.0635000002</v>
      </c>
      <c r="L121" s="525">
        <f>J121-K121</f>
        <v>585510.93649999984</v>
      </c>
      <c r="M121" s="519">
        <v>270279.89537066669</v>
      </c>
      <c r="N121" s="520">
        <v>179914.45476266672</v>
      </c>
      <c r="O121" s="519">
        <f t="shared" ref="O121:O130" si="44">M121-N121</f>
        <v>90365.440607999975</v>
      </c>
      <c r="P121" s="213"/>
    </row>
    <row r="122" spans="1:16" ht="20.100000000000001" customHeight="1">
      <c r="A122" s="357">
        <v>2</v>
      </c>
      <c r="B122" s="432" t="s">
        <v>153</v>
      </c>
      <c r="C122" s="367" t="s">
        <v>739</v>
      </c>
      <c r="D122" s="434" t="s">
        <v>221</v>
      </c>
      <c r="E122" s="26">
        <v>739203.58333333337</v>
      </c>
      <c r="F122" s="26"/>
      <c r="G122" s="212"/>
      <c r="H122" s="212">
        <f>90000</f>
        <v>90000</v>
      </c>
      <c r="I122" s="26">
        <v>100000</v>
      </c>
      <c r="J122" s="525">
        <f t="shared" ref="J122:J130" si="45">E122+F122+G122+H122+I122</f>
        <v>929203.58333333337</v>
      </c>
      <c r="K122" s="525">
        <v>627743.99575</v>
      </c>
      <c r="L122" s="525">
        <f t="shared" ref="L122:L130" si="46">J122-K122</f>
        <v>301459.58758333337</v>
      </c>
      <c r="M122" s="519">
        <v>145522.03071466667</v>
      </c>
      <c r="N122" s="520">
        <v>98995.956938666684</v>
      </c>
      <c r="O122" s="519">
        <f t="shared" si="44"/>
        <v>46526.07377599999</v>
      </c>
      <c r="P122" s="213"/>
    </row>
    <row r="123" spans="1:16" ht="20.100000000000001" customHeight="1">
      <c r="A123" s="357">
        <v>3</v>
      </c>
      <c r="B123" s="365" t="s">
        <v>142</v>
      </c>
      <c r="C123" s="367" t="s">
        <v>376</v>
      </c>
      <c r="D123" s="434" t="s">
        <v>75</v>
      </c>
      <c r="E123" s="26">
        <v>620675.58333333337</v>
      </c>
      <c r="F123" s="26"/>
      <c r="G123" s="212"/>
      <c r="H123" s="212">
        <f t="shared" si="3"/>
        <v>80000</v>
      </c>
      <c r="I123" s="26">
        <f>100000+30000</f>
        <v>130000</v>
      </c>
      <c r="J123" s="525">
        <f t="shared" si="45"/>
        <v>830675.58333333337</v>
      </c>
      <c r="K123" s="525">
        <v>577553.50249999994</v>
      </c>
      <c r="L123" s="525">
        <f t="shared" si="46"/>
        <v>253122.08083333343</v>
      </c>
      <c r="M123" s="519">
        <v>128461.96570666666</v>
      </c>
      <c r="N123" s="520">
        <v>89396.103146666646</v>
      </c>
      <c r="O123" s="519">
        <f t="shared" si="44"/>
        <v>39065.862560000009</v>
      </c>
      <c r="P123" s="213"/>
    </row>
    <row r="124" spans="1:16" ht="20.100000000000001" customHeight="1">
      <c r="A124" s="357">
        <v>4</v>
      </c>
      <c r="B124" s="365" t="s">
        <v>363</v>
      </c>
      <c r="C124" s="367" t="s">
        <v>376</v>
      </c>
      <c r="D124" s="434" t="s">
        <v>30</v>
      </c>
      <c r="E124" s="26">
        <v>582118.08333333337</v>
      </c>
      <c r="F124" s="26"/>
      <c r="G124" s="212"/>
      <c r="H124" s="212">
        <f>80000</f>
        <v>80000</v>
      </c>
      <c r="I124" s="26">
        <v>0</v>
      </c>
      <c r="J124" s="525">
        <f t="shared" si="45"/>
        <v>662118.08333333337</v>
      </c>
      <c r="K124" s="525">
        <v>424729.22200000007</v>
      </c>
      <c r="L124" s="525">
        <f t="shared" si="46"/>
        <v>237388.86133333331</v>
      </c>
      <c r="M124" s="519">
        <v>105793.33866666665</v>
      </c>
      <c r="N124" s="520">
        <v>60214.677290666674</v>
      </c>
      <c r="O124" s="519">
        <f t="shared" si="44"/>
        <v>45578.661375999975</v>
      </c>
      <c r="P124" s="213"/>
    </row>
    <row r="125" spans="1:16" ht="20.100000000000001" customHeight="1">
      <c r="A125" s="357">
        <v>5</v>
      </c>
      <c r="B125" s="432" t="s">
        <v>108</v>
      </c>
      <c r="C125" s="367" t="s">
        <v>476</v>
      </c>
      <c r="D125" s="434" t="s">
        <v>181</v>
      </c>
      <c r="E125" s="26">
        <v>470498</v>
      </c>
      <c r="F125" s="26"/>
      <c r="G125" s="212"/>
      <c r="H125" s="212">
        <f>70000</f>
        <v>70000</v>
      </c>
      <c r="I125" s="26">
        <v>0</v>
      </c>
      <c r="J125" s="525">
        <f t="shared" si="45"/>
        <v>540498</v>
      </c>
      <c r="K125" s="525">
        <v>343333.03525000007</v>
      </c>
      <c r="L125" s="525">
        <f t="shared" si="46"/>
        <v>197164.96474999993</v>
      </c>
      <c r="M125" s="519">
        <v>75215.433386666657</v>
      </c>
      <c r="N125" s="520">
        <v>44846.616588666679</v>
      </c>
      <c r="O125" s="519">
        <f t="shared" si="44"/>
        <v>30368.816797999978</v>
      </c>
      <c r="P125" s="213"/>
    </row>
    <row r="126" spans="1:16" ht="20.100000000000001" customHeight="1">
      <c r="A126" s="357">
        <v>6</v>
      </c>
      <c r="B126" s="432" t="s">
        <v>178</v>
      </c>
      <c r="C126" s="367" t="s">
        <v>382</v>
      </c>
      <c r="D126" s="434" t="s">
        <v>222</v>
      </c>
      <c r="E126" s="26">
        <v>442746.5</v>
      </c>
      <c r="F126" s="26"/>
      <c r="G126" s="212"/>
      <c r="H126" s="212">
        <f t="shared" ref="H126:H127" si="47">70000</f>
        <v>70000</v>
      </c>
      <c r="I126" s="26">
        <v>0</v>
      </c>
      <c r="J126" s="525">
        <f t="shared" si="45"/>
        <v>512746.5</v>
      </c>
      <c r="K126" s="525">
        <v>327211.36749999999</v>
      </c>
      <c r="L126" s="525">
        <f t="shared" si="46"/>
        <v>185535.13250000001</v>
      </c>
      <c r="M126" s="519">
        <v>70189.308746666662</v>
      </c>
      <c r="N126" s="520">
        <v>42029.589186666672</v>
      </c>
      <c r="O126" s="519">
        <f t="shared" si="44"/>
        <v>28159.71955999999</v>
      </c>
      <c r="P126" s="213"/>
    </row>
    <row r="127" spans="1:16" ht="20.100000000000001" customHeight="1">
      <c r="A127" s="357">
        <v>7</v>
      </c>
      <c r="B127" s="432" t="s">
        <v>134</v>
      </c>
      <c r="C127" s="367" t="s">
        <v>476</v>
      </c>
      <c r="D127" s="434" t="s">
        <v>162</v>
      </c>
      <c r="E127" s="26">
        <v>456622.25</v>
      </c>
      <c r="F127" s="26"/>
      <c r="G127" s="212"/>
      <c r="H127" s="212">
        <f t="shared" si="47"/>
        <v>70000</v>
      </c>
      <c r="I127" s="26"/>
      <c r="J127" s="525">
        <f t="shared" si="45"/>
        <v>526622.25</v>
      </c>
      <c r="K127" s="525">
        <v>335272.06374999997</v>
      </c>
      <c r="L127" s="525">
        <f t="shared" si="46"/>
        <v>191350.18625000003</v>
      </c>
      <c r="M127" s="519">
        <v>72636.104186666664</v>
      </c>
      <c r="N127" s="520">
        <v>43380.096246666661</v>
      </c>
      <c r="O127" s="519">
        <f t="shared" si="44"/>
        <v>29256.007940000003</v>
      </c>
      <c r="P127" s="213"/>
    </row>
    <row r="128" spans="1:16" ht="20.100000000000001" customHeight="1">
      <c r="A128" s="357">
        <v>8</v>
      </c>
      <c r="B128" s="432" t="s">
        <v>443</v>
      </c>
      <c r="C128" s="367" t="s">
        <v>447</v>
      </c>
      <c r="D128" s="430" t="s">
        <v>746</v>
      </c>
      <c r="E128" s="26">
        <v>270481.66666666669</v>
      </c>
      <c r="F128" s="26"/>
      <c r="G128" s="212"/>
      <c r="H128" s="212">
        <f>60000</f>
        <v>60000</v>
      </c>
      <c r="I128" s="26"/>
      <c r="J128" s="525">
        <f t="shared" si="45"/>
        <v>330481.66666666669</v>
      </c>
      <c r="K128" s="525">
        <v>213508.01</v>
      </c>
      <c r="L128" s="525">
        <f t="shared" si="46"/>
        <v>116973.65666666668</v>
      </c>
      <c r="M128" s="519">
        <v>39052.313066666662</v>
      </c>
      <c r="N128" s="520">
        <v>23036.01234666667</v>
      </c>
      <c r="O128" s="519">
        <f t="shared" si="44"/>
        <v>16016.300719999992</v>
      </c>
      <c r="P128" s="213"/>
    </row>
    <row r="129" spans="1:16" ht="20.100000000000001" customHeight="1">
      <c r="A129" s="357">
        <v>9</v>
      </c>
      <c r="B129" s="364" t="s">
        <v>439</v>
      </c>
      <c r="C129" s="367" t="s">
        <v>440</v>
      </c>
      <c r="D129" s="434" t="s">
        <v>176</v>
      </c>
      <c r="E129" s="26">
        <v>224459.75</v>
      </c>
      <c r="F129" s="26"/>
      <c r="G129" s="212"/>
      <c r="H129" s="212">
        <f>50000</f>
        <v>50000</v>
      </c>
      <c r="I129" s="26"/>
      <c r="J129" s="525">
        <f t="shared" si="45"/>
        <v>274459.75</v>
      </c>
      <c r="K129" s="525">
        <v>176816.09999999998</v>
      </c>
      <c r="L129" s="525">
        <f t="shared" si="46"/>
        <v>97643.650000000023</v>
      </c>
      <c r="M129" s="519">
        <v>30259.165626666669</v>
      </c>
      <c r="N129" s="520">
        <v>17042.713866666661</v>
      </c>
      <c r="O129" s="519">
        <f t="shared" si="44"/>
        <v>13216.451760000007</v>
      </c>
      <c r="P129" s="213"/>
    </row>
    <row r="130" spans="1:16" ht="20.100000000000001" customHeight="1">
      <c r="A130" s="357">
        <v>10</v>
      </c>
      <c r="B130" s="364" t="s">
        <v>535</v>
      </c>
      <c r="C130" s="367" t="s">
        <v>536</v>
      </c>
      <c r="D130" s="434" t="s">
        <v>176</v>
      </c>
      <c r="E130" s="26">
        <v>224459.75</v>
      </c>
      <c r="F130" s="26"/>
      <c r="G130" s="212"/>
      <c r="H130" s="212">
        <v>50000</v>
      </c>
      <c r="I130" s="26"/>
      <c r="J130" s="525">
        <f t="shared" si="45"/>
        <v>274459.75</v>
      </c>
      <c r="K130" s="525">
        <v>176816.09999999998</v>
      </c>
      <c r="L130" s="525">
        <f t="shared" si="46"/>
        <v>97643.650000000023</v>
      </c>
      <c r="M130" s="519">
        <v>30259.165626666669</v>
      </c>
      <c r="N130" s="520">
        <v>17042.713866666661</v>
      </c>
      <c r="O130" s="519">
        <f t="shared" si="44"/>
        <v>13216.451760000007</v>
      </c>
      <c r="P130" s="213"/>
    </row>
    <row r="131" spans="1:16" ht="28.5" customHeight="1">
      <c r="A131" s="357"/>
      <c r="B131" s="366" t="s">
        <v>15</v>
      </c>
      <c r="C131" s="220" t="s">
        <v>543</v>
      </c>
      <c r="D131" s="434"/>
      <c r="E131" s="31">
        <f>SUM(E121:E130)</f>
        <v>5466985.166666667</v>
      </c>
      <c r="F131" s="31">
        <f t="shared" ref="F131:O131" si="48">SUM(F121:F130)</f>
        <v>0</v>
      </c>
      <c r="G131" s="31">
        <f t="shared" si="48"/>
        <v>0</v>
      </c>
      <c r="H131" s="31">
        <f t="shared" si="48"/>
        <v>720000</v>
      </c>
      <c r="I131" s="31">
        <f t="shared" si="48"/>
        <v>330000</v>
      </c>
      <c r="J131" s="31">
        <f t="shared" si="48"/>
        <v>6516985.166666667</v>
      </c>
      <c r="K131" s="31">
        <v>4253192.4602500005</v>
      </c>
      <c r="L131" s="31">
        <f t="shared" si="48"/>
        <v>2263792.7064166665</v>
      </c>
      <c r="M131" s="31">
        <f t="shared" si="48"/>
        <v>967668.72109866666</v>
      </c>
      <c r="N131" s="31">
        <v>615898.93424066668</v>
      </c>
      <c r="O131" s="31">
        <f t="shared" si="48"/>
        <v>351769.78685799998</v>
      </c>
      <c r="P131" s="213"/>
    </row>
    <row r="132" spans="1:16" ht="20.100000000000001" customHeight="1">
      <c r="A132" s="357"/>
      <c r="B132" s="362"/>
      <c r="C132" s="220"/>
      <c r="D132" s="434"/>
      <c r="E132" s="31"/>
      <c r="F132" s="31"/>
      <c r="G132" s="212"/>
      <c r="H132" s="212"/>
      <c r="I132" s="31"/>
      <c r="J132" s="526"/>
      <c r="K132" s="526"/>
      <c r="L132" s="526"/>
      <c r="M132" s="528"/>
      <c r="N132" s="527"/>
      <c r="O132" s="528"/>
      <c r="P132" s="213"/>
    </row>
    <row r="133" spans="1:16" ht="20.100000000000001" customHeight="1">
      <c r="A133" s="357"/>
      <c r="B133" s="366" t="s">
        <v>467</v>
      </c>
      <c r="C133" s="367"/>
      <c r="D133" s="434"/>
      <c r="E133" s="26"/>
      <c r="F133" s="26"/>
      <c r="G133" s="212"/>
      <c r="H133" s="212"/>
      <c r="I133" s="26"/>
      <c r="J133" s="525"/>
      <c r="K133" s="525"/>
      <c r="L133" s="525"/>
      <c r="M133" s="518"/>
      <c r="N133" s="520"/>
      <c r="O133" s="518"/>
      <c r="P133" s="213"/>
    </row>
    <row r="134" spans="1:16" ht="20.100000000000001" customHeight="1">
      <c r="A134" s="224">
        <v>1</v>
      </c>
      <c r="B134" s="432" t="s">
        <v>21</v>
      </c>
      <c r="C134" s="367" t="s">
        <v>393</v>
      </c>
      <c r="D134" s="434" t="s">
        <v>161</v>
      </c>
      <c r="E134" s="26">
        <v>1435720</v>
      </c>
      <c r="F134" s="26"/>
      <c r="G134" s="212"/>
      <c r="H134" s="212">
        <f>100000</f>
        <v>100000</v>
      </c>
      <c r="I134" s="26">
        <v>0</v>
      </c>
      <c r="J134" s="525">
        <f>E134+F134+G134+H134+I134</f>
        <v>1535720</v>
      </c>
      <c r="K134" s="525">
        <v>950209.06350000005</v>
      </c>
      <c r="L134" s="525">
        <f>J134-K134</f>
        <v>585510.93649999995</v>
      </c>
      <c r="M134" s="519">
        <v>251472.24746666662</v>
      </c>
      <c r="N134" s="520">
        <v>161106.80685866668</v>
      </c>
      <c r="O134" s="519">
        <f t="shared" ref="O134:O192" si="49">M134-N134</f>
        <v>90365.440607999946</v>
      </c>
      <c r="P134" s="213"/>
    </row>
    <row r="135" spans="1:16" ht="20.100000000000001" customHeight="1">
      <c r="A135" s="224">
        <v>2</v>
      </c>
      <c r="B135" s="432" t="s">
        <v>107</v>
      </c>
      <c r="C135" s="367" t="s">
        <v>394</v>
      </c>
      <c r="D135" s="434" t="s">
        <v>160</v>
      </c>
      <c r="E135" s="26">
        <v>762373.16666666663</v>
      </c>
      <c r="F135" s="26"/>
      <c r="G135" s="212"/>
      <c r="H135" s="212">
        <v>90000</v>
      </c>
      <c r="I135" s="26"/>
      <c r="J135" s="525">
        <f t="shared" ref="J135:J192" si="50">E135+F135+G135+H135+I135</f>
        <v>852373.16666666663</v>
      </c>
      <c r="K135" s="525">
        <v>541465.02474999998</v>
      </c>
      <c r="L135" s="525">
        <f t="shared" ref="L135:L192" si="51">J135-K135</f>
        <v>310908.14191666665</v>
      </c>
      <c r="M135" s="519">
        <v>142322.31466666667</v>
      </c>
      <c r="N135" s="518">
        <v>82627.951418666678</v>
      </c>
      <c r="O135" s="519">
        <f t="shared" si="49"/>
        <v>59694.363247999994</v>
      </c>
      <c r="P135" s="213"/>
    </row>
    <row r="136" spans="1:16" ht="20.100000000000001" customHeight="1">
      <c r="A136" s="224">
        <v>3</v>
      </c>
      <c r="B136" s="365" t="s">
        <v>183</v>
      </c>
      <c r="C136" s="357" t="s">
        <v>486</v>
      </c>
      <c r="D136" s="25" t="s">
        <v>160</v>
      </c>
      <c r="E136" s="26">
        <v>762373.16666666663</v>
      </c>
      <c r="F136" s="26"/>
      <c r="G136" s="212"/>
      <c r="H136" s="212">
        <f>80000+10000</f>
        <v>90000</v>
      </c>
      <c r="I136" s="26">
        <v>50000</v>
      </c>
      <c r="J136" s="525">
        <f t="shared" si="50"/>
        <v>902373.16666666663</v>
      </c>
      <c r="K136" s="525">
        <v>591465.02474999998</v>
      </c>
      <c r="L136" s="525">
        <f t="shared" si="51"/>
        <v>310908.14191666665</v>
      </c>
      <c r="M136" s="519">
        <v>140007.52761066667</v>
      </c>
      <c r="N136" s="518">
        <v>92023.216202666677</v>
      </c>
      <c r="O136" s="519">
        <f t="shared" si="49"/>
        <v>47984.311407999994</v>
      </c>
      <c r="P136" s="213"/>
    </row>
    <row r="137" spans="1:16" ht="20.100000000000001" customHeight="1">
      <c r="A137" s="224">
        <v>4</v>
      </c>
      <c r="B137" s="432" t="s">
        <v>106</v>
      </c>
      <c r="C137" s="367" t="s">
        <v>381</v>
      </c>
      <c r="D137" s="434" t="s">
        <v>174</v>
      </c>
      <c r="E137" s="26">
        <v>484373.75</v>
      </c>
      <c r="F137" s="26"/>
      <c r="G137" s="212"/>
      <c r="H137" s="212">
        <v>70000</v>
      </c>
      <c r="I137" s="26"/>
      <c r="J137" s="525">
        <f t="shared" si="50"/>
        <v>554373.75</v>
      </c>
      <c r="K137" s="525">
        <v>351394.00675000006</v>
      </c>
      <c r="L137" s="525">
        <f t="shared" si="51"/>
        <v>202979.74324999994</v>
      </c>
      <c r="M137" s="519">
        <v>77529.694778666671</v>
      </c>
      <c r="N137" s="520">
        <v>46081.202598666678</v>
      </c>
      <c r="O137" s="519">
        <f t="shared" si="49"/>
        <v>31448.492179999994</v>
      </c>
      <c r="P137" s="213"/>
    </row>
    <row r="138" spans="1:16" ht="20.100000000000001" customHeight="1">
      <c r="A138" s="224">
        <v>5</v>
      </c>
      <c r="B138" s="432" t="s">
        <v>7</v>
      </c>
      <c r="C138" s="357" t="s">
        <v>385</v>
      </c>
      <c r="D138" s="434" t="s">
        <v>174</v>
      </c>
      <c r="E138" s="26">
        <v>484373.75</v>
      </c>
      <c r="F138" s="26"/>
      <c r="G138" s="212"/>
      <c r="H138" s="212">
        <v>70000</v>
      </c>
      <c r="I138" s="26">
        <v>0</v>
      </c>
      <c r="J138" s="525">
        <f t="shared" si="50"/>
        <v>554373.75</v>
      </c>
      <c r="K138" s="525">
        <v>351394.00675000006</v>
      </c>
      <c r="L138" s="525">
        <f t="shared" si="51"/>
        <v>202979.74324999994</v>
      </c>
      <c r="M138" s="519">
        <v>77529.694778666671</v>
      </c>
      <c r="N138" s="520">
        <v>46081.202598666678</v>
      </c>
      <c r="O138" s="519">
        <f t="shared" si="49"/>
        <v>31448.492179999994</v>
      </c>
      <c r="P138" s="213"/>
    </row>
    <row r="139" spans="1:16" ht="20.100000000000001" customHeight="1">
      <c r="A139" s="224">
        <v>6</v>
      </c>
      <c r="B139" s="432" t="s">
        <v>6</v>
      </c>
      <c r="C139" s="357" t="s">
        <v>385</v>
      </c>
      <c r="D139" s="434" t="s">
        <v>174</v>
      </c>
      <c r="E139" s="26">
        <v>484373.75</v>
      </c>
      <c r="F139" s="26"/>
      <c r="G139" s="212"/>
      <c r="H139" s="212">
        <v>70000</v>
      </c>
      <c r="I139" s="26">
        <v>0</v>
      </c>
      <c r="J139" s="525">
        <f t="shared" si="50"/>
        <v>554373.75</v>
      </c>
      <c r="K139" s="525">
        <v>351394.00675000006</v>
      </c>
      <c r="L139" s="525">
        <f t="shared" si="51"/>
        <v>202979.74324999994</v>
      </c>
      <c r="M139" s="519">
        <v>77529.694778666671</v>
      </c>
      <c r="N139" s="520">
        <v>46081.202598666678</v>
      </c>
      <c r="O139" s="519">
        <f t="shared" si="49"/>
        <v>31448.492179999994</v>
      </c>
      <c r="P139" s="213"/>
    </row>
    <row r="140" spans="1:16" ht="20.100000000000001" customHeight="1">
      <c r="A140" s="224">
        <v>7</v>
      </c>
      <c r="B140" s="432" t="s">
        <v>102</v>
      </c>
      <c r="C140" s="367" t="s">
        <v>395</v>
      </c>
      <c r="D140" s="434" t="s">
        <v>749</v>
      </c>
      <c r="E140" s="26">
        <v>390086.5</v>
      </c>
      <c r="F140" s="26"/>
      <c r="G140" s="212"/>
      <c r="H140" s="212">
        <f>60000</f>
        <v>60000</v>
      </c>
      <c r="I140" s="26">
        <v>0</v>
      </c>
      <c r="J140" s="525">
        <f t="shared" si="50"/>
        <v>450086.5</v>
      </c>
      <c r="K140" s="525">
        <v>286619.99875000003</v>
      </c>
      <c r="L140" s="525">
        <f t="shared" si="51"/>
        <v>163466.50124999997</v>
      </c>
      <c r="M140" s="519">
        <v>58980.834746666667</v>
      </c>
      <c r="N140" s="520">
        <v>35221.954086666665</v>
      </c>
      <c r="O140" s="519">
        <f t="shared" si="49"/>
        <v>23758.880660000003</v>
      </c>
      <c r="P140" s="213"/>
    </row>
    <row r="141" spans="1:16" ht="20.100000000000001" customHeight="1">
      <c r="A141" s="224">
        <v>8</v>
      </c>
      <c r="B141" s="432" t="s">
        <v>103</v>
      </c>
      <c r="C141" s="367" t="s">
        <v>395</v>
      </c>
      <c r="D141" s="434" t="s">
        <v>749</v>
      </c>
      <c r="E141" s="26">
        <v>390086.5</v>
      </c>
      <c r="F141" s="26"/>
      <c r="G141" s="212"/>
      <c r="H141" s="212">
        <f>60000</f>
        <v>60000</v>
      </c>
      <c r="I141" s="26">
        <v>0</v>
      </c>
      <c r="J141" s="525">
        <f t="shared" si="50"/>
        <v>450086.5</v>
      </c>
      <c r="K141" s="525">
        <v>286619.99875000003</v>
      </c>
      <c r="L141" s="525">
        <f t="shared" si="51"/>
        <v>163466.50124999997</v>
      </c>
      <c r="M141" s="519">
        <v>59091.546026666671</v>
      </c>
      <c r="N141" s="520">
        <v>35318.826456666669</v>
      </c>
      <c r="O141" s="519">
        <f t="shared" si="49"/>
        <v>23772.719570000001</v>
      </c>
      <c r="P141" s="213"/>
    </row>
    <row r="142" spans="1:16" ht="20.100000000000001" customHeight="1">
      <c r="A142" s="224">
        <v>9</v>
      </c>
      <c r="B142" s="432" t="s">
        <v>151</v>
      </c>
      <c r="C142" s="357" t="s">
        <v>235</v>
      </c>
      <c r="D142" s="434" t="s">
        <v>749</v>
      </c>
      <c r="E142" s="26">
        <v>390086.5</v>
      </c>
      <c r="F142" s="26"/>
      <c r="G142" s="212"/>
      <c r="H142" s="212">
        <f>60000</f>
        <v>60000</v>
      </c>
      <c r="I142" s="26"/>
      <c r="J142" s="525">
        <f t="shared" si="50"/>
        <v>450086.5</v>
      </c>
      <c r="K142" s="525">
        <v>286619.99875000003</v>
      </c>
      <c r="L142" s="525">
        <f t="shared" si="51"/>
        <v>163466.50124999997</v>
      </c>
      <c r="M142" s="519">
        <v>59091.546026666671</v>
      </c>
      <c r="N142" s="520">
        <v>35318.826456666669</v>
      </c>
      <c r="O142" s="519">
        <f t="shared" si="49"/>
        <v>23772.719570000001</v>
      </c>
      <c r="P142" s="213"/>
    </row>
    <row r="143" spans="1:16" ht="20.100000000000001" customHeight="1">
      <c r="A143" s="224">
        <v>10</v>
      </c>
      <c r="B143" s="432" t="s">
        <v>238</v>
      </c>
      <c r="C143" s="367" t="s">
        <v>546</v>
      </c>
      <c r="D143" s="434" t="s">
        <v>497</v>
      </c>
      <c r="E143" s="26">
        <v>377895.16666666669</v>
      </c>
      <c r="F143" s="26"/>
      <c r="G143" s="212"/>
      <c r="H143" s="212">
        <f>60000</f>
        <v>60000</v>
      </c>
      <c r="I143" s="26"/>
      <c r="J143" s="525">
        <f t="shared" si="50"/>
        <v>437895.16666666669</v>
      </c>
      <c r="K143" s="525">
        <v>284536.99849999999</v>
      </c>
      <c r="L143" s="525">
        <f t="shared" si="51"/>
        <v>153358.1681666667</v>
      </c>
      <c r="M143" s="519">
        <v>56938.068906666675</v>
      </c>
      <c r="N143" s="520">
        <v>34968.882414666667</v>
      </c>
      <c r="O143" s="519">
        <f t="shared" si="49"/>
        <v>21969.186492000008</v>
      </c>
      <c r="P143" s="213"/>
    </row>
    <row r="144" spans="1:16" ht="20.100000000000001" customHeight="1">
      <c r="A144" s="224">
        <v>11</v>
      </c>
      <c r="B144" s="432" t="s">
        <v>53</v>
      </c>
      <c r="C144" s="367" t="s">
        <v>711</v>
      </c>
      <c r="D144" s="434" t="s">
        <v>415</v>
      </c>
      <c r="E144" s="26">
        <v>365703.83333333331</v>
      </c>
      <c r="F144" s="26"/>
      <c r="G144" s="212"/>
      <c r="H144" s="212">
        <f>60000</f>
        <v>60000</v>
      </c>
      <c r="I144" s="26"/>
      <c r="J144" s="525">
        <f t="shared" si="50"/>
        <v>425703.83333333331</v>
      </c>
      <c r="K144" s="525">
        <v>272454.07400000002</v>
      </c>
      <c r="L144" s="525">
        <f t="shared" si="51"/>
        <v>153249.75933333329</v>
      </c>
      <c r="M144" s="519">
        <v>54681.291562666673</v>
      </c>
      <c r="N144" s="520">
        <v>32848.563402666667</v>
      </c>
      <c r="O144" s="519">
        <f t="shared" si="49"/>
        <v>21832.728160000006</v>
      </c>
      <c r="P144" s="213"/>
    </row>
    <row r="145" spans="1:16" ht="20.100000000000001" customHeight="1">
      <c r="A145" s="224">
        <v>12</v>
      </c>
      <c r="B145" s="432" t="s">
        <v>179</v>
      </c>
      <c r="C145" s="367" t="s">
        <v>479</v>
      </c>
      <c r="D145" s="434" t="s">
        <v>749</v>
      </c>
      <c r="E145" s="26">
        <v>390086.5</v>
      </c>
      <c r="F145" s="26"/>
      <c r="G145" s="212"/>
      <c r="H145" s="212">
        <f>60000</f>
        <v>60000</v>
      </c>
      <c r="I145" s="26"/>
      <c r="J145" s="525">
        <f t="shared" si="50"/>
        <v>450086.5</v>
      </c>
      <c r="K145" s="525">
        <v>286619.99875000003</v>
      </c>
      <c r="L145" s="525">
        <f t="shared" si="51"/>
        <v>163466.50124999997</v>
      </c>
      <c r="M145" s="519">
        <v>58980.834746666667</v>
      </c>
      <c r="N145" s="520">
        <v>35221.954086666665</v>
      </c>
      <c r="O145" s="519">
        <f t="shared" si="49"/>
        <v>23758.880660000003</v>
      </c>
      <c r="P145" s="213"/>
    </row>
    <row r="146" spans="1:16" ht="20.100000000000001" customHeight="1">
      <c r="A146" s="224">
        <v>13</v>
      </c>
      <c r="B146" s="364" t="s">
        <v>293</v>
      </c>
      <c r="C146" s="357" t="s">
        <v>712</v>
      </c>
      <c r="D146" s="434" t="s">
        <v>369</v>
      </c>
      <c r="E146" s="212">
        <v>353512.5</v>
      </c>
      <c r="F146" s="26"/>
      <c r="G146" s="212"/>
      <c r="H146" s="212">
        <v>60000</v>
      </c>
      <c r="I146" s="26"/>
      <c r="J146" s="525">
        <f t="shared" si="50"/>
        <v>413512.5</v>
      </c>
      <c r="K146" s="525">
        <v>265372.07499999995</v>
      </c>
      <c r="L146" s="525">
        <f t="shared" si="51"/>
        <v>148140.42500000005</v>
      </c>
      <c r="M146" s="519">
        <v>52631.114666666661</v>
      </c>
      <c r="N146" s="520">
        <v>31749.175266666658</v>
      </c>
      <c r="O146" s="519">
        <f t="shared" si="49"/>
        <v>20881.939400000003</v>
      </c>
      <c r="P146" s="213"/>
    </row>
    <row r="147" spans="1:16" ht="20.100000000000001" customHeight="1">
      <c r="A147" s="224">
        <v>14</v>
      </c>
      <c r="B147" s="432" t="s">
        <v>488</v>
      </c>
      <c r="C147" s="357" t="s">
        <v>239</v>
      </c>
      <c r="D147" s="434" t="s">
        <v>164</v>
      </c>
      <c r="E147" s="212">
        <v>308901.5</v>
      </c>
      <c r="F147" s="26"/>
      <c r="G147" s="212"/>
      <c r="H147" s="212">
        <f>60000</f>
        <v>60000</v>
      </c>
      <c r="I147" s="26"/>
      <c r="J147" s="525">
        <f t="shared" si="50"/>
        <v>368901.5</v>
      </c>
      <c r="K147" s="525">
        <v>237734.04699999996</v>
      </c>
      <c r="L147" s="525">
        <f t="shared" si="51"/>
        <v>131167.45300000004</v>
      </c>
      <c r="M147" s="519">
        <v>44990.48250666666</v>
      </c>
      <c r="N147" s="520">
        <v>27105.986562666658</v>
      </c>
      <c r="O147" s="519">
        <f t="shared" si="49"/>
        <v>17884.495944000002</v>
      </c>
      <c r="P147" s="213"/>
    </row>
    <row r="148" spans="1:16" ht="20.100000000000001" customHeight="1">
      <c r="A148" s="224">
        <v>15</v>
      </c>
      <c r="B148" s="432" t="s">
        <v>489</v>
      </c>
      <c r="C148" s="357" t="s">
        <v>239</v>
      </c>
      <c r="D148" s="434" t="s">
        <v>27</v>
      </c>
      <c r="E148" s="212">
        <v>316837.41666666669</v>
      </c>
      <c r="F148" s="26"/>
      <c r="G148" s="212"/>
      <c r="H148" s="212">
        <f>60000</f>
        <v>60000</v>
      </c>
      <c r="I148" s="26"/>
      <c r="J148" s="525">
        <f t="shared" si="50"/>
        <v>376837.41666666669</v>
      </c>
      <c r="K148" s="525">
        <v>242300.07749999996</v>
      </c>
      <c r="L148" s="525">
        <f t="shared" si="51"/>
        <v>134537.33916666673</v>
      </c>
      <c r="M148" s="519">
        <v>46138.184726666659</v>
      </c>
      <c r="N148" s="520">
        <v>27794.206626666662</v>
      </c>
      <c r="O148" s="519">
        <f t="shared" si="49"/>
        <v>18343.978099999997</v>
      </c>
      <c r="P148" s="213"/>
    </row>
    <row r="149" spans="1:16" ht="20.100000000000001" customHeight="1">
      <c r="A149" s="224">
        <v>16</v>
      </c>
      <c r="B149" s="432" t="s">
        <v>212</v>
      </c>
      <c r="C149" s="357" t="s">
        <v>239</v>
      </c>
      <c r="D149" s="434" t="s">
        <v>27</v>
      </c>
      <c r="E149" s="212">
        <v>316837.41666666669</v>
      </c>
      <c r="F149" s="26"/>
      <c r="G149" s="212"/>
      <c r="H149" s="212">
        <f>60000</f>
        <v>60000</v>
      </c>
      <c r="I149" s="26"/>
      <c r="J149" s="525">
        <f t="shared" si="50"/>
        <v>376837.41666666669</v>
      </c>
      <c r="K149" s="525">
        <v>242300.07749999996</v>
      </c>
      <c r="L149" s="525">
        <f t="shared" si="51"/>
        <v>134537.33916666673</v>
      </c>
      <c r="M149" s="519">
        <v>46217.057786666664</v>
      </c>
      <c r="N149" s="520">
        <v>27873.079686666664</v>
      </c>
      <c r="O149" s="519">
        <f t="shared" si="49"/>
        <v>18343.9781</v>
      </c>
      <c r="P149" s="213"/>
    </row>
    <row r="150" spans="1:16" ht="20.100000000000001" customHeight="1">
      <c r="A150" s="224">
        <v>17</v>
      </c>
      <c r="B150" s="432" t="s">
        <v>425</v>
      </c>
      <c r="C150" s="367" t="s">
        <v>430</v>
      </c>
      <c r="D150" s="434" t="s">
        <v>207</v>
      </c>
      <c r="E150" s="212">
        <v>300965.58333333331</v>
      </c>
      <c r="F150" s="26"/>
      <c r="G150" s="212"/>
      <c r="H150" s="212">
        <f>60000</f>
        <v>60000</v>
      </c>
      <c r="I150" s="26"/>
      <c r="J150" s="525">
        <f t="shared" si="50"/>
        <v>360965.58333333331</v>
      </c>
      <c r="K150" s="525">
        <v>237734.04699999996</v>
      </c>
      <c r="L150" s="525">
        <f t="shared" si="51"/>
        <v>123231.53633333335</v>
      </c>
      <c r="M150" s="519">
        <v>43763.90722666667</v>
      </c>
      <c r="N150" s="520">
        <v>27105.986562666658</v>
      </c>
      <c r="O150" s="519">
        <f t="shared" si="49"/>
        <v>16657.920664000012</v>
      </c>
      <c r="P150" s="213"/>
    </row>
    <row r="151" spans="1:16" ht="20.100000000000001" customHeight="1">
      <c r="A151" s="224">
        <v>18</v>
      </c>
      <c r="B151" s="432" t="s">
        <v>750</v>
      </c>
      <c r="C151" s="367" t="s">
        <v>438</v>
      </c>
      <c r="D151" s="430" t="s">
        <v>498</v>
      </c>
      <c r="E151" s="26">
        <v>263165.33333333331</v>
      </c>
      <c r="F151" s="26"/>
      <c r="G151" s="212"/>
      <c r="H151" s="212">
        <f>60000</f>
        <v>60000</v>
      </c>
      <c r="I151" s="26"/>
      <c r="J151" s="525">
        <f t="shared" si="50"/>
        <v>323165.33333333331</v>
      </c>
      <c r="K151" s="525">
        <v>209356.04725</v>
      </c>
      <c r="L151" s="525">
        <f t="shared" si="51"/>
        <v>113809.28608333331</v>
      </c>
      <c r="M151" s="519">
        <v>37921.500586666662</v>
      </c>
      <c r="N151" s="520">
        <v>22338.48260466666</v>
      </c>
      <c r="O151" s="519">
        <f t="shared" si="49"/>
        <v>15583.017982000001</v>
      </c>
      <c r="P151" s="213"/>
    </row>
    <row r="152" spans="1:16" ht="20.100000000000001" customHeight="1">
      <c r="A152" s="224">
        <v>19</v>
      </c>
      <c r="B152" s="432" t="s">
        <v>230</v>
      </c>
      <c r="C152" s="367" t="s">
        <v>485</v>
      </c>
      <c r="D152" s="434" t="s">
        <v>164</v>
      </c>
      <c r="E152" s="212">
        <v>308901.5</v>
      </c>
      <c r="F152" s="26"/>
      <c r="G152" s="212"/>
      <c r="H152" s="212">
        <f>50000+10000</f>
        <v>60000</v>
      </c>
      <c r="I152" s="26"/>
      <c r="J152" s="525">
        <f t="shared" si="50"/>
        <v>368901.5</v>
      </c>
      <c r="K152" s="525">
        <v>237734.04699999996</v>
      </c>
      <c r="L152" s="525">
        <f t="shared" si="51"/>
        <v>131167.45300000004</v>
      </c>
      <c r="M152" s="519">
        <v>44990.48250666666</v>
      </c>
      <c r="N152" s="520">
        <v>27105.986562666658</v>
      </c>
      <c r="O152" s="519">
        <f t="shared" si="49"/>
        <v>17884.495944000002</v>
      </c>
      <c r="P152" s="213"/>
    </row>
    <row r="153" spans="1:16" ht="20.100000000000001" customHeight="1">
      <c r="A153" s="224">
        <v>20</v>
      </c>
      <c r="B153" s="432" t="s">
        <v>57</v>
      </c>
      <c r="C153" s="367" t="s">
        <v>481</v>
      </c>
      <c r="D153" s="434" t="s">
        <v>746</v>
      </c>
      <c r="E153" s="212">
        <v>270481.66666666669</v>
      </c>
      <c r="F153" s="26"/>
      <c r="G153" s="212"/>
      <c r="H153" s="212">
        <f>50000+10000</f>
        <v>60000</v>
      </c>
      <c r="I153" s="26"/>
      <c r="J153" s="525">
        <f t="shared" si="50"/>
        <v>330481.66666666669</v>
      </c>
      <c r="K153" s="525">
        <v>213508.01</v>
      </c>
      <c r="L153" s="525">
        <f t="shared" si="51"/>
        <v>116973.65666666668</v>
      </c>
      <c r="M153" s="519">
        <v>39052.313066666662</v>
      </c>
      <c r="N153" s="520">
        <v>23036.01234666667</v>
      </c>
      <c r="O153" s="519">
        <f t="shared" si="49"/>
        <v>16016.300719999992</v>
      </c>
      <c r="P153" s="213"/>
    </row>
    <row r="154" spans="1:16" ht="20.100000000000001" customHeight="1">
      <c r="A154" s="224">
        <v>21</v>
      </c>
      <c r="B154" s="432" t="s">
        <v>251</v>
      </c>
      <c r="C154" s="367" t="s">
        <v>482</v>
      </c>
      <c r="D154" s="434" t="s">
        <v>164</v>
      </c>
      <c r="E154" s="212">
        <v>308901.5</v>
      </c>
      <c r="F154" s="26"/>
      <c r="G154" s="212"/>
      <c r="H154" s="212">
        <f>50000+10000</f>
        <v>60000</v>
      </c>
      <c r="I154" s="26"/>
      <c r="J154" s="525">
        <f t="shared" si="50"/>
        <v>368901.5</v>
      </c>
      <c r="K154" s="525">
        <v>237734.04699999996</v>
      </c>
      <c r="L154" s="525">
        <f t="shared" si="51"/>
        <v>131167.45300000004</v>
      </c>
      <c r="M154" s="519">
        <v>44913.699618666666</v>
      </c>
      <c r="N154" s="520">
        <v>27029.203674666656</v>
      </c>
      <c r="O154" s="519">
        <f t="shared" si="49"/>
        <v>17884.495944000009</v>
      </c>
      <c r="P154" s="213"/>
    </row>
    <row r="155" spans="1:16" ht="20.100000000000001" customHeight="1">
      <c r="A155" s="224">
        <v>22</v>
      </c>
      <c r="B155" s="432" t="s">
        <v>241</v>
      </c>
      <c r="C155" s="367" t="s">
        <v>348</v>
      </c>
      <c r="D155" s="434" t="s">
        <v>746</v>
      </c>
      <c r="E155" s="212">
        <v>270481.66666666669</v>
      </c>
      <c r="F155" s="26"/>
      <c r="G155" s="212"/>
      <c r="H155" s="212">
        <f>50000+10000</f>
        <v>60000</v>
      </c>
      <c r="I155" s="26"/>
      <c r="J155" s="525">
        <f t="shared" si="50"/>
        <v>330481.66666666669</v>
      </c>
      <c r="K155" s="525">
        <v>209356.04725</v>
      </c>
      <c r="L155" s="525">
        <f t="shared" si="51"/>
        <v>121125.61941666668</v>
      </c>
      <c r="M155" s="519">
        <v>39052.313066666662</v>
      </c>
      <c r="N155" s="520">
        <v>22338.48260466666</v>
      </c>
      <c r="O155" s="519">
        <f t="shared" si="49"/>
        <v>16713.830462000002</v>
      </c>
      <c r="P155" s="213"/>
    </row>
    <row r="156" spans="1:16" ht="20.100000000000001" customHeight="1">
      <c r="A156" s="224">
        <v>23</v>
      </c>
      <c r="B156" s="364" t="s">
        <v>289</v>
      </c>
      <c r="C156" s="367" t="s">
        <v>713</v>
      </c>
      <c r="D156" s="434" t="s">
        <v>428</v>
      </c>
      <c r="E156" s="212">
        <v>255849</v>
      </c>
      <c r="F156" s="26"/>
      <c r="G156" s="212"/>
      <c r="H156" s="212">
        <f>60000</f>
        <v>60000</v>
      </c>
      <c r="I156" s="357"/>
      <c r="J156" s="525">
        <f t="shared" si="50"/>
        <v>315849</v>
      </c>
      <c r="K156" s="525">
        <v>205204.0845</v>
      </c>
      <c r="L156" s="525">
        <f t="shared" si="51"/>
        <v>110644.9155</v>
      </c>
      <c r="M156" s="519">
        <v>36790.688106666661</v>
      </c>
      <c r="N156" s="520">
        <v>21640.952862666669</v>
      </c>
      <c r="O156" s="519">
        <f t="shared" si="49"/>
        <v>15149.735243999992</v>
      </c>
      <c r="P156" s="213"/>
    </row>
    <row r="157" spans="1:16" ht="20.100000000000001" customHeight="1">
      <c r="A157" s="224">
        <v>24</v>
      </c>
      <c r="B157" s="364" t="s">
        <v>407</v>
      </c>
      <c r="C157" s="367" t="s">
        <v>131</v>
      </c>
      <c r="D157" s="434" t="s">
        <v>176</v>
      </c>
      <c r="E157" s="26">
        <v>224459.75</v>
      </c>
      <c r="F157" s="26"/>
      <c r="G157" s="212"/>
      <c r="H157" s="212">
        <f>50000</f>
        <v>50000</v>
      </c>
      <c r="I157" s="26"/>
      <c r="J157" s="525">
        <f t="shared" si="50"/>
        <v>274459.75</v>
      </c>
      <c r="K157" s="525">
        <v>176816.09999999998</v>
      </c>
      <c r="L157" s="525">
        <f t="shared" si="51"/>
        <v>97643.650000000023</v>
      </c>
      <c r="M157" s="519">
        <v>30259.165626666669</v>
      </c>
      <c r="N157" s="520">
        <v>17042.713866666661</v>
      </c>
      <c r="O157" s="519">
        <f t="shared" si="49"/>
        <v>13216.451760000007</v>
      </c>
      <c r="P157" s="213"/>
    </row>
    <row r="158" spans="1:16" ht="20.100000000000001" customHeight="1">
      <c r="A158" s="224">
        <v>25</v>
      </c>
      <c r="B158" s="364" t="s">
        <v>426</v>
      </c>
      <c r="C158" s="367" t="s">
        <v>290</v>
      </c>
      <c r="D158" s="434" t="s">
        <v>176</v>
      </c>
      <c r="E158" s="26">
        <v>224459.75</v>
      </c>
      <c r="F158" s="26"/>
      <c r="G158" s="212"/>
      <c r="H158" s="212">
        <f>50000</f>
        <v>50000</v>
      </c>
      <c r="I158" s="26"/>
      <c r="J158" s="525">
        <f t="shared" si="50"/>
        <v>274459.75</v>
      </c>
      <c r="K158" s="525">
        <v>176816.09999999998</v>
      </c>
      <c r="L158" s="525">
        <f t="shared" si="51"/>
        <v>97643.650000000023</v>
      </c>
      <c r="M158" s="519">
        <v>30259.165626666669</v>
      </c>
      <c r="N158" s="520">
        <v>17042.713866666661</v>
      </c>
      <c r="O158" s="519">
        <f t="shared" si="49"/>
        <v>13216.451760000007</v>
      </c>
      <c r="P158" s="213"/>
    </row>
    <row r="159" spans="1:16" ht="20.100000000000001" customHeight="1">
      <c r="A159" s="224">
        <v>26</v>
      </c>
      <c r="B159" s="364" t="s">
        <v>441</v>
      </c>
      <c r="C159" s="367" t="s">
        <v>442</v>
      </c>
      <c r="D159" s="434" t="s">
        <v>176</v>
      </c>
      <c r="E159" s="26">
        <v>224459.75</v>
      </c>
      <c r="F159" s="26"/>
      <c r="G159" s="212"/>
      <c r="H159" s="212">
        <f>50000</f>
        <v>50000</v>
      </c>
      <c r="I159" s="26"/>
      <c r="J159" s="525">
        <f t="shared" si="50"/>
        <v>274459.75</v>
      </c>
      <c r="K159" s="525">
        <v>176816.09999999998</v>
      </c>
      <c r="L159" s="525">
        <f t="shared" si="51"/>
        <v>97643.650000000023</v>
      </c>
      <c r="M159" s="519">
        <v>30259.165626666669</v>
      </c>
      <c r="N159" s="520">
        <v>17042.713866666661</v>
      </c>
      <c r="O159" s="519">
        <f t="shared" si="49"/>
        <v>13216.451760000007</v>
      </c>
      <c r="P159" s="213"/>
    </row>
    <row r="160" spans="1:16" ht="20.100000000000001" customHeight="1">
      <c r="A160" s="224">
        <v>27</v>
      </c>
      <c r="B160" s="364" t="s">
        <v>445</v>
      </c>
      <c r="C160" s="367" t="s">
        <v>446</v>
      </c>
      <c r="D160" s="434" t="s">
        <v>51</v>
      </c>
      <c r="E160" s="26">
        <v>230631.91666666666</v>
      </c>
      <c r="F160" s="26"/>
      <c r="G160" s="212"/>
      <c r="H160" s="212">
        <f>50000</f>
        <v>50000</v>
      </c>
      <c r="I160" s="26"/>
      <c r="J160" s="525">
        <f t="shared" si="50"/>
        <v>280631.91666666663</v>
      </c>
      <c r="K160" s="525">
        <v>180304.068</v>
      </c>
      <c r="L160" s="525">
        <f t="shared" si="51"/>
        <v>100327.84866666663</v>
      </c>
      <c r="M160" s="519">
        <v>31213.135706666657</v>
      </c>
      <c r="N160" s="520">
        <v>17572.88500266667</v>
      </c>
      <c r="O160" s="519">
        <f t="shared" si="49"/>
        <v>13640.250703999987</v>
      </c>
      <c r="P160" s="213"/>
    </row>
    <row r="161" spans="1:16" ht="20.100000000000001" customHeight="1">
      <c r="A161" s="224">
        <v>28</v>
      </c>
      <c r="B161" s="364" t="s">
        <v>550</v>
      </c>
      <c r="C161" s="367" t="s">
        <v>290</v>
      </c>
      <c r="D161" s="434" t="s">
        <v>176</v>
      </c>
      <c r="E161" s="26">
        <v>224459.75</v>
      </c>
      <c r="F161" s="26"/>
      <c r="G161" s="212"/>
      <c r="H161" s="212">
        <f>50000</f>
        <v>50000</v>
      </c>
      <c r="I161" s="26"/>
      <c r="J161" s="525">
        <f t="shared" si="50"/>
        <v>274459.75</v>
      </c>
      <c r="K161" s="525">
        <v>176816.09999999998</v>
      </c>
      <c r="L161" s="525">
        <f t="shared" si="51"/>
        <v>97643.650000000023</v>
      </c>
      <c r="M161" s="519">
        <v>30259.165626666669</v>
      </c>
      <c r="N161" s="520">
        <v>17042.713866666661</v>
      </c>
      <c r="O161" s="519">
        <f t="shared" si="49"/>
        <v>13216.451760000007</v>
      </c>
      <c r="P161" s="213"/>
    </row>
    <row r="162" spans="1:16" ht="20.100000000000001" customHeight="1">
      <c r="A162" s="224">
        <v>29</v>
      </c>
      <c r="B162" s="432" t="s">
        <v>22</v>
      </c>
      <c r="C162" s="367" t="s">
        <v>302</v>
      </c>
      <c r="D162" s="434" t="s">
        <v>751</v>
      </c>
      <c r="E162" s="225">
        <v>168598.16666666666</v>
      </c>
      <c r="F162" s="212"/>
      <c r="G162" s="212"/>
      <c r="H162" s="212">
        <f>30000</f>
        <v>30000</v>
      </c>
      <c r="I162" s="26">
        <f>4000</f>
        <v>4000</v>
      </c>
      <c r="J162" s="525">
        <f t="shared" si="50"/>
        <v>202598.16666666666</v>
      </c>
      <c r="K162" s="525">
        <v>135590.72999999998</v>
      </c>
      <c r="L162" s="525">
        <f t="shared" si="51"/>
        <v>67007.436666666676</v>
      </c>
      <c r="M162" s="519">
        <v>18892.983386666663</v>
      </c>
      <c r="N162" s="518">
        <v>10739.304799999998</v>
      </c>
      <c r="O162" s="519">
        <f t="shared" si="49"/>
        <v>8153.6785866666651</v>
      </c>
      <c r="P162" s="213"/>
    </row>
    <row r="163" spans="1:16" ht="20.100000000000001" customHeight="1">
      <c r="A163" s="224">
        <v>30</v>
      </c>
      <c r="B163" s="432" t="s">
        <v>14</v>
      </c>
      <c r="C163" s="367" t="s">
        <v>302</v>
      </c>
      <c r="D163" s="434" t="s">
        <v>751</v>
      </c>
      <c r="E163" s="225">
        <v>168598.16666666666</v>
      </c>
      <c r="F163" s="212"/>
      <c r="G163" s="212"/>
      <c r="H163" s="212">
        <f>30000</f>
        <v>30000</v>
      </c>
      <c r="I163" s="26">
        <f>7000</f>
        <v>7000</v>
      </c>
      <c r="J163" s="525">
        <f t="shared" si="50"/>
        <v>205598.16666666666</v>
      </c>
      <c r="K163" s="525">
        <v>138590.72999999998</v>
      </c>
      <c r="L163" s="525">
        <f t="shared" si="51"/>
        <v>67007.436666666676</v>
      </c>
      <c r="M163" s="519">
        <v>19441.199306666666</v>
      </c>
      <c r="N163" s="518">
        <v>11232.457626666665</v>
      </c>
      <c r="O163" s="519">
        <f t="shared" si="49"/>
        <v>8208.741680000001</v>
      </c>
      <c r="P163" s="213"/>
    </row>
    <row r="164" spans="1:16" ht="20.100000000000001" customHeight="1">
      <c r="A164" s="224">
        <v>31</v>
      </c>
      <c r="B164" s="432" t="s">
        <v>23</v>
      </c>
      <c r="C164" s="367" t="s">
        <v>302</v>
      </c>
      <c r="D164" s="434" t="s">
        <v>751</v>
      </c>
      <c r="E164" s="225">
        <v>168598.16666666666</v>
      </c>
      <c r="F164" s="212"/>
      <c r="G164" s="212"/>
      <c r="H164" s="212">
        <f>30000</f>
        <v>30000</v>
      </c>
      <c r="I164" s="26">
        <f>4000</f>
        <v>4000</v>
      </c>
      <c r="J164" s="525">
        <f t="shared" si="50"/>
        <v>202598.16666666666</v>
      </c>
      <c r="K164" s="525">
        <v>135590.72999999998</v>
      </c>
      <c r="L164" s="525">
        <f t="shared" si="51"/>
        <v>67007.436666666676</v>
      </c>
      <c r="M164" s="519">
        <v>18937.199306666666</v>
      </c>
      <c r="N164" s="518">
        <v>10776.457626666665</v>
      </c>
      <c r="O164" s="519">
        <f t="shared" si="49"/>
        <v>8160.741680000001</v>
      </c>
      <c r="P164" s="213"/>
    </row>
    <row r="165" spans="1:16" ht="20.100000000000001" customHeight="1">
      <c r="A165" s="224">
        <v>32</v>
      </c>
      <c r="B165" s="432" t="s">
        <v>39</v>
      </c>
      <c r="C165" s="367" t="s">
        <v>302</v>
      </c>
      <c r="D165" s="434" t="s">
        <v>751</v>
      </c>
      <c r="E165" s="225">
        <v>168598.16666666666</v>
      </c>
      <c r="F165" s="212"/>
      <c r="G165" s="212"/>
      <c r="H165" s="212">
        <f>30000</f>
        <v>30000</v>
      </c>
      <c r="I165" s="26">
        <f>4000</f>
        <v>4000</v>
      </c>
      <c r="J165" s="525">
        <f t="shared" si="50"/>
        <v>202598.16666666666</v>
      </c>
      <c r="K165" s="525">
        <v>135590.72999999998</v>
      </c>
      <c r="L165" s="525">
        <f t="shared" si="51"/>
        <v>67007.436666666676</v>
      </c>
      <c r="M165" s="519">
        <v>18892.983386666663</v>
      </c>
      <c r="N165" s="518">
        <v>10739.304799999998</v>
      </c>
      <c r="O165" s="519">
        <f t="shared" si="49"/>
        <v>8153.6785866666651</v>
      </c>
      <c r="P165" s="213"/>
    </row>
    <row r="166" spans="1:16" ht="20.100000000000001" customHeight="1">
      <c r="A166" s="224">
        <v>33</v>
      </c>
      <c r="B166" s="432" t="s">
        <v>40</v>
      </c>
      <c r="C166" s="367" t="s">
        <v>302</v>
      </c>
      <c r="D166" s="434" t="s">
        <v>751</v>
      </c>
      <c r="E166" s="225">
        <v>168598.16666666666</v>
      </c>
      <c r="F166" s="212"/>
      <c r="G166" s="212"/>
      <c r="H166" s="212">
        <f>30000</f>
        <v>30000</v>
      </c>
      <c r="I166" s="26">
        <f>4000</f>
        <v>4000</v>
      </c>
      <c r="J166" s="525">
        <f t="shared" si="50"/>
        <v>202598.16666666666</v>
      </c>
      <c r="K166" s="525">
        <v>135590.72999999998</v>
      </c>
      <c r="L166" s="525">
        <f t="shared" si="51"/>
        <v>67007.436666666676</v>
      </c>
      <c r="M166" s="519">
        <v>18937.199306666666</v>
      </c>
      <c r="N166" s="518">
        <v>10776.457626666665</v>
      </c>
      <c r="O166" s="519">
        <f t="shared" si="49"/>
        <v>8160.741680000001</v>
      </c>
      <c r="P166" s="213"/>
    </row>
    <row r="167" spans="1:16" ht="20.100000000000001" customHeight="1">
      <c r="A167" s="224">
        <v>34</v>
      </c>
      <c r="B167" s="432" t="s">
        <v>127</v>
      </c>
      <c r="C167" s="367" t="s">
        <v>302</v>
      </c>
      <c r="D167" s="434" t="s">
        <v>501</v>
      </c>
      <c r="E167" s="225">
        <v>163336.83333333334</v>
      </c>
      <c r="F167" s="212"/>
      <c r="G167" s="212"/>
      <c r="H167" s="212">
        <f>20000+10000</f>
        <v>30000</v>
      </c>
      <c r="I167" s="26">
        <f>7000</f>
        <v>7000</v>
      </c>
      <c r="J167" s="525">
        <f t="shared" si="50"/>
        <v>200336.83333333334</v>
      </c>
      <c r="K167" s="525">
        <v>138590.72999999998</v>
      </c>
      <c r="L167" s="525">
        <f t="shared" si="51"/>
        <v>61746.103333333362</v>
      </c>
      <c r="M167" s="519">
        <v>18631.689440000002</v>
      </c>
      <c r="N167" s="518">
        <v>11232.457626666665</v>
      </c>
      <c r="O167" s="519">
        <f t="shared" si="49"/>
        <v>7399.2318133333374</v>
      </c>
      <c r="P167" s="213"/>
    </row>
    <row r="168" spans="1:16" ht="20.100000000000001" customHeight="1">
      <c r="A168" s="224">
        <v>35</v>
      </c>
      <c r="B168" s="432" t="s">
        <v>128</v>
      </c>
      <c r="C168" s="367" t="s">
        <v>302</v>
      </c>
      <c r="D168" s="434" t="s">
        <v>501</v>
      </c>
      <c r="E168" s="225">
        <v>163336.83333333334</v>
      </c>
      <c r="F168" s="212"/>
      <c r="G168" s="212"/>
      <c r="H168" s="212">
        <f t="shared" ref="H168:H172" si="52">20000+10000</f>
        <v>30000</v>
      </c>
      <c r="I168" s="26">
        <f>4000</f>
        <v>4000</v>
      </c>
      <c r="J168" s="525">
        <f t="shared" si="50"/>
        <v>197336.83333333334</v>
      </c>
      <c r="K168" s="525">
        <v>135590.72999999998</v>
      </c>
      <c r="L168" s="525">
        <f t="shared" si="51"/>
        <v>61746.103333333362</v>
      </c>
      <c r="M168" s="519">
        <v>18175.689440000002</v>
      </c>
      <c r="N168" s="518">
        <v>10776.457626666665</v>
      </c>
      <c r="O168" s="519">
        <f t="shared" si="49"/>
        <v>7399.2318133333374</v>
      </c>
      <c r="P168" s="213"/>
    </row>
    <row r="169" spans="1:16" ht="20.100000000000001" customHeight="1">
      <c r="A169" s="224">
        <v>36</v>
      </c>
      <c r="B169" s="365" t="s">
        <v>136</v>
      </c>
      <c r="C169" s="367" t="s">
        <v>302</v>
      </c>
      <c r="D169" s="434" t="s">
        <v>501</v>
      </c>
      <c r="E169" s="225">
        <v>163336.83333333334</v>
      </c>
      <c r="F169" s="212"/>
      <c r="G169" s="212"/>
      <c r="H169" s="212">
        <f t="shared" si="52"/>
        <v>30000</v>
      </c>
      <c r="I169" s="26">
        <f>7000</f>
        <v>7000</v>
      </c>
      <c r="J169" s="525">
        <f t="shared" si="50"/>
        <v>200336.83333333334</v>
      </c>
      <c r="K169" s="525">
        <v>138590.72999999998</v>
      </c>
      <c r="L169" s="525">
        <f t="shared" si="51"/>
        <v>61746.103333333362</v>
      </c>
      <c r="M169" s="519">
        <v>18631.689440000002</v>
      </c>
      <c r="N169" s="518">
        <v>11232.457626666665</v>
      </c>
      <c r="O169" s="519">
        <f t="shared" si="49"/>
        <v>7399.2318133333374</v>
      </c>
      <c r="P169" s="213"/>
    </row>
    <row r="170" spans="1:16" ht="20.100000000000001" customHeight="1">
      <c r="A170" s="224">
        <v>37</v>
      </c>
      <c r="B170" s="432" t="s">
        <v>140</v>
      </c>
      <c r="C170" s="367" t="s">
        <v>302</v>
      </c>
      <c r="D170" s="434" t="s">
        <v>501</v>
      </c>
      <c r="E170" s="225">
        <v>163336.83333333334</v>
      </c>
      <c r="F170" s="212"/>
      <c r="G170" s="212"/>
      <c r="H170" s="212">
        <f t="shared" si="52"/>
        <v>30000</v>
      </c>
      <c r="I170" s="26">
        <f>4000</f>
        <v>4000</v>
      </c>
      <c r="J170" s="525">
        <f t="shared" si="50"/>
        <v>197336.83333333334</v>
      </c>
      <c r="K170" s="525">
        <v>135590.72999999998</v>
      </c>
      <c r="L170" s="525">
        <f t="shared" si="51"/>
        <v>61746.103333333362</v>
      </c>
      <c r="M170" s="519">
        <v>18175.689440000002</v>
      </c>
      <c r="N170" s="518">
        <v>10776.457626666665</v>
      </c>
      <c r="O170" s="519">
        <f t="shared" si="49"/>
        <v>7399.2318133333374</v>
      </c>
      <c r="P170" s="213"/>
    </row>
    <row r="171" spans="1:16" ht="20.100000000000001" customHeight="1">
      <c r="A171" s="224">
        <v>38</v>
      </c>
      <c r="B171" s="364" t="s">
        <v>152</v>
      </c>
      <c r="C171" s="367" t="s">
        <v>302</v>
      </c>
      <c r="D171" s="434" t="s">
        <v>501</v>
      </c>
      <c r="E171" s="225">
        <v>163336.83333333334</v>
      </c>
      <c r="F171" s="212"/>
      <c r="G171" s="212"/>
      <c r="H171" s="212">
        <f t="shared" si="52"/>
        <v>30000</v>
      </c>
      <c r="I171" s="26">
        <f>4000</f>
        <v>4000</v>
      </c>
      <c r="J171" s="525">
        <f t="shared" si="50"/>
        <v>197336.83333333334</v>
      </c>
      <c r="K171" s="525">
        <v>135590.72999999998</v>
      </c>
      <c r="L171" s="525">
        <f t="shared" si="51"/>
        <v>61746.103333333362</v>
      </c>
      <c r="M171" s="519">
        <v>18175.689440000002</v>
      </c>
      <c r="N171" s="518">
        <v>10776.457626666665</v>
      </c>
      <c r="O171" s="519">
        <f t="shared" si="49"/>
        <v>7399.2318133333374</v>
      </c>
      <c r="P171" s="213"/>
    </row>
    <row r="172" spans="1:16" ht="20.100000000000001" customHeight="1">
      <c r="A172" s="224">
        <v>39</v>
      </c>
      <c r="B172" s="364" t="s">
        <v>132</v>
      </c>
      <c r="C172" s="367" t="s">
        <v>302</v>
      </c>
      <c r="D172" s="434" t="s">
        <v>501</v>
      </c>
      <c r="E172" s="225">
        <v>163336.83333333334</v>
      </c>
      <c r="F172" s="212"/>
      <c r="G172" s="212"/>
      <c r="H172" s="212">
        <f t="shared" si="52"/>
        <v>30000</v>
      </c>
      <c r="I172" s="26">
        <f>7000</f>
        <v>7000</v>
      </c>
      <c r="J172" s="525">
        <f t="shared" si="50"/>
        <v>200336.83333333334</v>
      </c>
      <c r="K172" s="525">
        <v>138590.72999999998</v>
      </c>
      <c r="L172" s="525">
        <f t="shared" si="51"/>
        <v>61746.103333333362</v>
      </c>
      <c r="M172" s="519">
        <v>18631.689440000002</v>
      </c>
      <c r="N172" s="518">
        <v>11232.457626666665</v>
      </c>
      <c r="O172" s="519">
        <f t="shared" si="49"/>
        <v>7399.2318133333374</v>
      </c>
      <c r="P172" s="213"/>
    </row>
    <row r="173" spans="1:16" ht="20.100000000000001" customHeight="1">
      <c r="A173" s="224">
        <v>40</v>
      </c>
      <c r="B173" s="432" t="s">
        <v>231</v>
      </c>
      <c r="C173" s="367" t="s">
        <v>714</v>
      </c>
      <c r="D173" s="434" t="s">
        <v>306</v>
      </c>
      <c r="E173" s="26">
        <v>152814.16666666666</v>
      </c>
      <c r="F173" s="212"/>
      <c r="G173" s="212"/>
      <c r="H173" s="212">
        <f>30000</f>
        <v>30000</v>
      </c>
      <c r="I173" s="26">
        <f>7000</f>
        <v>7000</v>
      </c>
      <c r="J173" s="525">
        <f t="shared" si="50"/>
        <v>189814.16666666666</v>
      </c>
      <c r="K173" s="525">
        <v>122104.99825</v>
      </c>
      <c r="L173" s="525">
        <f t="shared" si="51"/>
        <v>67709.168416666653</v>
      </c>
      <c r="M173" s="519">
        <v>17160.199733333338</v>
      </c>
      <c r="N173" s="518">
        <v>9152.5997900000002</v>
      </c>
      <c r="O173" s="519">
        <f t="shared" si="49"/>
        <v>8007.5999433333382</v>
      </c>
      <c r="P173" s="213"/>
    </row>
    <row r="174" spans="1:16" ht="20.100000000000001" customHeight="1">
      <c r="A174" s="224">
        <v>41</v>
      </c>
      <c r="B174" s="432" t="s">
        <v>246</v>
      </c>
      <c r="C174" s="367" t="s">
        <v>714</v>
      </c>
      <c r="D174" s="434" t="s">
        <v>306</v>
      </c>
      <c r="E174" s="26">
        <v>152814.16666666666</v>
      </c>
      <c r="F174" s="212"/>
      <c r="G174" s="212"/>
      <c r="H174" s="212">
        <f>30000</f>
        <v>30000</v>
      </c>
      <c r="I174" s="26">
        <f>7000</f>
        <v>7000</v>
      </c>
      <c r="J174" s="525">
        <f t="shared" si="50"/>
        <v>189814.16666666666</v>
      </c>
      <c r="K174" s="525">
        <v>122104.99825</v>
      </c>
      <c r="L174" s="525">
        <f t="shared" si="51"/>
        <v>67709.168416666653</v>
      </c>
      <c r="M174" s="519">
        <v>17160.199733333338</v>
      </c>
      <c r="N174" s="518">
        <v>9152.5997900000002</v>
      </c>
      <c r="O174" s="519">
        <f t="shared" si="49"/>
        <v>8007.5999433333382</v>
      </c>
      <c r="P174" s="213"/>
    </row>
    <row r="175" spans="1:16" ht="20.100000000000001" customHeight="1">
      <c r="A175" s="224">
        <v>42</v>
      </c>
      <c r="B175" s="364" t="s">
        <v>166</v>
      </c>
      <c r="C175" s="367" t="s">
        <v>714</v>
      </c>
      <c r="D175" s="434" t="s">
        <v>416</v>
      </c>
      <c r="E175" s="26">
        <v>158075.5</v>
      </c>
      <c r="F175" s="212"/>
      <c r="G175" s="212"/>
      <c r="H175" s="212">
        <f>30000</f>
        <v>30000</v>
      </c>
      <c r="I175" s="26">
        <f>7000</f>
        <v>7000</v>
      </c>
      <c r="J175" s="525">
        <f t="shared" si="50"/>
        <v>195075.5</v>
      </c>
      <c r="K175" s="525">
        <v>125035.03449999999</v>
      </c>
      <c r="L175" s="525">
        <f t="shared" si="51"/>
        <v>70040.465500000006</v>
      </c>
      <c r="M175" s="519">
        <v>17895.944586666668</v>
      </c>
      <c r="N175" s="518">
        <v>9504.2041399999998</v>
      </c>
      <c r="O175" s="519">
        <f t="shared" si="49"/>
        <v>8391.7404466666685</v>
      </c>
      <c r="P175" s="213"/>
    </row>
    <row r="176" spans="1:16" ht="20.100000000000001" customHeight="1">
      <c r="A176" s="224">
        <v>43</v>
      </c>
      <c r="B176" s="432" t="s">
        <v>204</v>
      </c>
      <c r="C176" s="367" t="s">
        <v>167</v>
      </c>
      <c r="D176" s="434" t="s">
        <v>263</v>
      </c>
      <c r="E176" s="26">
        <v>94145.75</v>
      </c>
      <c r="F176" s="212"/>
      <c r="G176" s="212"/>
      <c r="H176" s="212">
        <f>20000</f>
        <v>20000</v>
      </c>
      <c r="I176" s="26">
        <f>7000</f>
        <v>7000</v>
      </c>
      <c r="J176" s="525">
        <f t="shared" si="50"/>
        <v>121145.75</v>
      </c>
      <c r="K176" s="525">
        <v>81803.001000000018</v>
      </c>
      <c r="L176" s="525">
        <f t="shared" si="51"/>
        <v>39342.748999999982</v>
      </c>
      <c r="M176" s="519">
        <v>8133.6907999999994</v>
      </c>
      <c r="N176" s="518">
        <v>4365.3307546666683</v>
      </c>
      <c r="O176" s="519">
        <f t="shared" si="49"/>
        <v>3768.3600453333311</v>
      </c>
      <c r="P176" s="213"/>
    </row>
    <row r="177" spans="1:16" ht="20.100000000000001" customHeight="1">
      <c r="A177" s="224">
        <v>44</v>
      </c>
      <c r="B177" s="432" t="s">
        <v>209</v>
      </c>
      <c r="C177" s="367" t="s">
        <v>13</v>
      </c>
      <c r="D177" s="434" t="s">
        <v>752</v>
      </c>
      <c r="E177" s="26">
        <v>91598</v>
      </c>
      <c r="F177" s="212"/>
      <c r="G177" s="212"/>
      <c r="H177" s="212">
        <f>20000</f>
        <v>20000</v>
      </c>
      <c r="I177" s="26">
        <f>7000</f>
        <v>7000</v>
      </c>
      <c r="J177" s="525">
        <f t="shared" si="50"/>
        <v>118598</v>
      </c>
      <c r="K177" s="525">
        <v>80237.012000000002</v>
      </c>
      <c r="L177" s="525">
        <f t="shared" si="51"/>
        <v>38360.987999999998</v>
      </c>
      <c r="M177" s="519">
        <v>7852.4191999999994</v>
      </c>
      <c r="N177" s="518">
        <v>4227.5237226666677</v>
      </c>
      <c r="O177" s="519">
        <f t="shared" si="49"/>
        <v>3624.8954773333317</v>
      </c>
      <c r="P177" s="213"/>
    </row>
    <row r="178" spans="1:16" ht="20.100000000000001" customHeight="1">
      <c r="A178" s="224">
        <v>45</v>
      </c>
      <c r="B178" s="432" t="s">
        <v>218</v>
      </c>
      <c r="C178" s="367" t="s">
        <v>13</v>
      </c>
      <c r="D178" s="434" t="s">
        <v>752</v>
      </c>
      <c r="E178" s="26">
        <v>91598</v>
      </c>
      <c r="F178" s="212"/>
      <c r="G178" s="212"/>
      <c r="H178" s="212">
        <f>20000</f>
        <v>20000</v>
      </c>
      <c r="I178" s="26">
        <f>4000</f>
        <v>4000</v>
      </c>
      <c r="J178" s="525">
        <f t="shared" si="50"/>
        <v>115598</v>
      </c>
      <c r="K178" s="525">
        <v>77237.012000000002</v>
      </c>
      <c r="L178" s="525">
        <f t="shared" si="51"/>
        <v>38360.987999999998</v>
      </c>
      <c r="M178" s="519">
        <v>7492.4192000000012</v>
      </c>
      <c r="N178" s="518">
        <v>3963.5237226666673</v>
      </c>
      <c r="O178" s="519">
        <f t="shared" si="49"/>
        <v>3528.8954773333339</v>
      </c>
      <c r="P178" s="213"/>
    </row>
    <row r="179" spans="1:16" ht="20.100000000000001" customHeight="1">
      <c r="A179" s="224">
        <v>46</v>
      </c>
      <c r="B179" s="432" t="s">
        <v>219</v>
      </c>
      <c r="C179" s="367" t="s">
        <v>13</v>
      </c>
      <c r="D179" s="434" t="s">
        <v>752</v>
      </c>
      <c r="E179" s="26">
        <v>91598</v>
      </c>
      <c r="F179" s="212"/>
      <c r="G179" s="212"/>
      <c r="H179" s="212">
        <f>20000</f>
        <v>20000</v>
      </c>
      <c r="I179" s="26">
        <f>7000</f>
        <v>7000</v>
      </c>
      <c r="J179" s="525">
        <f t="shared" si="50"/>
        <v>118598</v>
      </c>
      <c r="K179" s="525">
        <v>80237.012000000002</v>
      </c>
      <c r="L179" s="525">
        <f t="shared" si="51"/>
        <v>38360.987999999998</v>
      </c>
      <c r="M179" s="519">
        <v>7852.4191999999994</v>
      </c>
      <c r="N179" s="518">
        <v>4227.5237226666677</v>
      </c>
      <c r="O179" s="519">
        <f t="shared" si="49"/>
        <v>3624.8954773333317</v>
      </c>
      <c r="P179" s="213"/>
    </row>
    <row r="180" spans="1:16" ht="20.100000000000001" customHeight="1">
      <c r="A180" s="224">
        <v>47</v>
      </c>
      <c r="B180" s="432" t="s">
        <v>211</v>
      </c>
      <c r="C180" s="367" t="s">
        <v>13</v>
      </c>
      <c r="D180" s="434" t="s">
        <v>752</v>
      </c>
      <c r="E180" s="26">
        <v>91598</v>
      </c>
      <c r="F180" s="212"/>
      <c r="G180" s="212"/>
      <c r="H180" s="212">
        <f>20000</f>
        <v>20000</v>
      </c>
      <c r="I180" s="26">
        <f>4000</f>
        <v>4000</v>
      </c>
      <c r="J180" s="525">
        <f t="shared" si="50"/>
        <v>115598</v>
      </c>
      <c r="K180" s="525">
        <v>77237.012000000002</v>
      </c>
      <c r="L180" s="525">
        <f t="shared" si="51"/>
        <v>38360.987999999998</v>
      </c>
      <c r="M180" s="519">
        <v>7492.4192000000012</v>
      </c>
      <c r="N180" s="518">
        <v>3963.5237226666673</v>
      </c>
      <c r="O180" s="519">
        <f t="shared" si="49"/>
        <v>3528.8954773333339</v>
      </c>
      <c r="P180" s="213"/>
    </row>
    <row r="181" spans="1:16" ht="20.100000000000001" customHeight="1">
      <c r="A181" s="224">
        <v>48</v>
      </c>
      <c r="B181" s="432" t="s">
        <v>213</v>
      </c>
      <c r="C181" s="367" t="s">
        <v>13</v>
      </c>
      <c r="D181" s="434" t="s">
        <v>752</v>
      </c>
      <c r="E181" s="26">
        <v>91598</v>
      </c>
      <c r="F181" s="212"/>
      <c r="G181" s="212"/>
      <c r="H181" s="212">
        <f>20000</f>
        <v>20000</v>
      </c>
      <c r="I181" s="26">
        <f>7000</f>
        <v>7000</v>
      </c>
      <c r="J181" s="525">
        <f t="shared" si="50"/>
        <v>118598</v>
      </c>
      <c r="K181" s="525">
        <v>80237.012000000002</v>
      </c>
      <c r="L181" s="525">
        <f t="shared" si="51"/>
        <v>38360.987999999998</v>
      </c>
      <c r="M181" s="519">
        <v>7852.4191999999994</v>
      </c>
      <c r="N181" s="518">
        <v>4227.5237226666677</v>
      </c>
      <c r="O181" s="519">
        <f t="shared" si="49"/>
        <v>3624.8954773333317</v>
      </c>
      <c r="P181" s="213"/>
    </row>
    <row r="182" spans="1:16" ht="20.100000000000001" customHeight="1">
      <c r="A182" s="224">
        <v>49</v>
      </c>
      <c r="B182" s="364" t="s">
        <v>342</v>
      </c>
      <c r="C182" s="367" t="s">
        <v>13</v>
      </c>
      <c r="D182" s="434" t="s">
        <v>752</v>
      </c>
      <c r="E182" s="26">
        <v>91598</v>
      </c>
      <c r="F182" s="212"/>
      <c r="G182" s="212"/>
      <c r="H182" s="212">
        <f>20000</f>
        <v>20000</v>
      </c>
      <c r="I182" s="26">
        <f>4000</f>
        <v>4000</v>
      </c>
      <c r="J182" s="525">
        <f t="shared" si="50"/>
        <v>115598</v>
      </c>
      <c r="K182" s="525">
        <v>77237.012000000002</v>
      </c>
      <c r="L182" s="525">
        <f t="shared" si="51"/>
        <v>38360.987999999998</v>
      </c>
      <c r="M182" s="519">
        <v>7492.4192000000012</v>
      </c>
      <c r="N182" s="518">
        <v>3963.5237226666673</v>
      </c>
      <c r="O182" s="519">
        <f t="shared" si="49"/>
        <v>3528.8954773333339</v>
      </c>
      <c r="P182" s="213"/>
    </row>
    <row r="183" spans="1:16" ht="20.100000000000001" customHeight="1">
      <c r="A183" s="224">
        <v>50</v>
      </c>
      <c r="B183" s="364" t="s">
        <v>405</v>
      </c>
      <c r="C183" s="367" t="s">
        <v>13</v>
      </c>
      <c r="D183" s="434" t="s">
        <v>752</v>
      </c>
      <c r="E183" s="26">
        <v>91598</v>
      </c>
      <c r="F183" s="212"/>
      <c r="G183" s="212"/>
      <c r="H183" s="212">
        <f>20000</f>
        <v>20000</v>
      </c>
      <c r="I183" s="26">
        <f>7000</f>
        <v>7000</v>
      </c>
      <c r="J183" s="525">
        <f t="shared" si="50"/>
        <v>118598</v>
      </c>
      <c r="K183" s="525">
        <v>80237.012000000002</v>
      </c>
      <c r="L183" s="525">
        <f t="shared" si="51"/>
        <v>38360.987999999998</v>
      </c>
      <c r="M183" s="519">
        <v>7852.4191999999994</v>
      </c>
      <c r="N183" s="518">
        <v>4227.5237226666677</v>
      </c>
      <c r="O183" s="519">
        <f t="shared" si="49"/>
        <v>3624.8954773333317</v>
      </c>
      <c r="P183" s="213"/>
    </row>
    <row r="184" spans="1:16" ht="20.100000000000001" customHeight="1">
      <c r="A184" s="224">
        <v>51</v>
      </c>
      <c r="B184" s="432" t="s">
        <v>232</v>
      </c>
      <c r="C184" s="367" t="s">
        <v>167</v>
      </c>
      <c r="D184" s="434" t="s">
        <v>752</v>
      </c>
      <c r="E184" s="26">
        <v>91598</v>
      </c>
      <c r="F184" s="212"/>
      <c r="G184" s="212"/>
      <c r="H184" s="212">
        <v>20000</v>
      </c>
      <c r="I184" s="26">
        <v>7000</v>
      </c>
      <c r="J184" s="525">
        <f t="shared" si="50"/>
        <v>118598</v>
      </c>
      <c r="K184" s="525">
        <v>78671.023000000001</v>
      </c>
      <c r="L184" s="525">
        <f t="shared" si="51"/>
        <v>39926.976999999999</v>
      </c>
      <c r="M184" s="519">
        <v>7852.4191999999994</v>
      </c>
      <c r="N184" s="518">
        <v>4089.716690666668</v>
      </c>
      <c r="O184" s="519">
        <f t="shared" si="49"/>
        <v>3762.7025093333314</v>
      </c>
      <c r="P184" s="213"/>
    </row>
    <row r="185" spans="1:16" ht="20.100000000000001" customHeight="1">
      <c r="A185" s="224">
        <v>52</v>
      </c>
      <c r="B185" s="432" t="s">
        <v>233</v>
      </c>
      <c r="C185" s="367" t="s">
        <v>167</v>
      </c>
      <c r="D185" s="434" t="s">
        <v>752</v>
      </c>
      <c r="E185" s="26">
        <v>91598</v>
      </c>
      <c r="F185" s="212"/>
      <c r="G185" s="212"/>
      <c r="H185" s="212">
        <v>20000</v>
      </c>
      <c r="I185" s="26">
        <f>7000</f>
        <v>7000</v>
      </c>
      <c r="J185" s="525">
        <f t="shared" si="50"/>
        <v>118598</v>
      </c>
      <c r="K185" s="525">
        <v>80237.012000000002</v>
      </c>
      <c r="L185" s="525">
        <f t="shared" si="51"/>
        <v>38360.987999999998</v>
      </c>
      <c r="M185" s="519">
        <v>7852.4191999999994</v>
      </c>
      <c r="N185" s="518">
        <v>4227.5237226666677</v>
      </c>
      <c r="O185" s="519">
        <f t="shared" si="49"/>
        <v>3624.8954773333317</v>
      </c>
      <c r="P185" s="213"/>
    </row>
    <row r="186" spans="1:16" ht="20.100000000000001" customHeight="1">
      <c r="A186" s="224">
        <v>53</v>
      </c>
      <c r="B186" s="364" t="s">
        <v>279</v>
      </c>
      <c r="C186" s="367" t="s">
        <v>715</v>
      </c>
      <c r="D186" s="434" t="s">
        <v>301</v>
      </c>
      <c r="E186" s="26">
        <v>89050.25</v>
      </c>
      <c r="F186" s="212"/>
      <c r="G186" s="212"/>
      <c r="H186" s="212">
        <f>20000</f>
        <v>20000</v>
      </c>
      <c r="I186" s="26">
        <f>4000+3000</f>
        <v>7000</v>
      </c>
      <c r="J186" s="525">
        <f t="shared" si="50"/>
        <v>116050.25</v>
      </c>
      <c r="K186" s="525">
        <v>78671.023000000016</v>
      </c>
      <c r="L186" s="525">
        <f t="shared" si="51"/>
        <v>37379.226999999984</v>
      </c>
      <c r="M186" s="519">
        <v>7571.1475999999993</v>
      </c>
      <c r="N186" s="518">
        <v>4089.716690666668</v>
      </c>
      <c r="O186" s="519">
        <f t="shared" si="49"/>
        <v>3481.4309093333313</v>
      </c>
      <c r="P186" s="213"/>
    </row>
    <row r="187" spans="1:16" ht="20.100000000000001" customHeight="1">
      <c r="A187" s="224">
        <v>54</v>
      </c>
      <c r="B187" s="364" t="s">
        <v>403</v>
      </c>
      <c r="C187" s="367" t="s">
        <v>13</v>
      </c>
      <c r="D187" s="434" t="s">
        <v>28</v>
      </c>
      <c r="E187" s="212">
        <v>80926.916666666672</v>
      </c>
      <c r="F187" s="212"/>
      <c r="G187" s="212"/>
      <c r="H187" s="212">
        <f>15000</f>
        <v>15000</v>
      </c>
      <c r="I187" s="26">
        <f>7000</f>
        <v>7000</v>
      </c>
      <c r="J187" s="525">
        <f t="shared" si="50"/>
        <v>102926.91666666667</v>
      </c>
      <c r="K187" s="525">
        <v>68675.99702499999</v>
      </c>
      <c r="L187" s="525">
        <f t="shared" si="51"/>
        <v>34250.919641666682</v>
      </c>
      <c r="M187" s="519">
        <v>6074.3316000000004</v>
      </c>
      <c r="N187" s="518">
        <v>3210.1544048666656</v>
      </c>
      <c r="O187" s="519">
        <f t="shared" si="49"/>
        <v>2864.1771951333349</v>
      </c>
      <c r="P187" s="213"/>
    </row>
    <row r="188" spans="1:16" ht="20.100000000000001" customHeight="1">
      <c r="A188" s="224">
        <v>55</v>
      </c>
      <c r="B188" s="364" t="s">
        <v>557</v>
      </c>
      <c r="C188" s="367" t="s">
        <v>558</v>
      </c>
      <c r="D188" s="434" t="s">
        <v>150</v>
      </c>
      <c r="E188" s="26">
        <v>76540.75</v>
      </c>
      <c r="F188" s="38"/>
      <c r="G188" s="357"/>
      <c r="H188" s="60">
        <v>15000</v>
      </c>
      <c r="I188" s="60">
        <v>4000</v>
      </c>
      <c r="J188" s="525">
        <f t="shared" si="50"/>
        <v>95540.75</v>
      </c>
      <c r="K188" s="525">
        <v>62980.07925000001</v>
      </c>
      <c r="L188" s="525">
        <f t="shared" si="51"/>
        <v>32560.67074999999</v>
      </c>
      <c r="M188" s="519">
        <v>5230.0987999999998</v>
      </c>
      <c r="N188" s="518">
        <v>2708.9136406666671</v>
      </c>
      <c r="O188" s="519">
        <f t="shared" si="49"/>
        <v>2521.1851593333326</v>
      </c>
      <c r="P188" s="213"/>
    </row>
    <row r="189" spans="1:16" ht="20.100000000000001" customHeight="1">
      <c r="A189" s="224">
        <v>56</v>
      </c>
      <c r="B189" s="364" t="s">
        <v>560</v>
      </c>
      <c r="C189" s="367" t="s">
        <v>558</v>
      </c>
      <c r="D189" s="434" t="s">
        <v>150</v>
      </c>
      <c r="E189" s="26">
        <v>76540.75</v>
      </c>
      <c r="F189" s="38"/>
      <c r="G189" s="357"/>
      <c r="H189" s="60">
        <v>15000</v>
      </c>
      <c r="I189" s="60">
        <v>4000</v>
      </c>
      <c r="J189" s="525">
        <f t="shared" si="50"/>
        <v>95540.75</v>
      </c>
      <c r="K189" s="525">
        <v>62980.07925000001</v>
      </c>
      <c r="L189" s="525">
        <f t="shared" si="51"/>
        <v>32560.67074999999</v>
      </c>
      <c r="M189" s="519">
        <v>5230.0987999999998</v>
      </c>
      <c r="N189" s="518">
        <v>2708.9136406666671</v>
      </c>
      <c r="O189" s="519">
        <f t="shared" si="49"/>
        <v>2521.1851593333326</v>
      </c>
      <c r="P189" s="213"/>
    </row>
    <row r="190" spans="1:16" ht="20.100000000000001" customHeight="1">
      <c r="A190" s="224">
        <v>57</v>
      </c>
      <c r="B190" s="364" t="s">
        <v>561</v>
      </c>
      <c r="C190" s="367" t="s">
        <v>558</v>
      </c>
      <c r="D190" s="434" t="s">
        <v>150</v>
      </c>
      <c r="E190" s="26">
        <v>76540.75</v>
      </c>
      <c r="F190" s="38"/>
      <c r="G190" s="357"/>
      <c r="H190" s="60">
        <v>15000</v>
      </c>
      <c r="I190" s="60">
        <v>4000</v>
      </c>
      <c r="J190" s="525">
        <f t="shared" si="50"/>
        <v>95540.75</v>
      </c>
      <c r="K190" s="525">
        <v>62980.07925000001</v>
      </c>
      <c r="L190" s="525">
        <f t="shared" si="51"/>
        <v>32560.67074999999</v>
      </c>
      <c r="M190" s="519">
        <v>5230.0987999999998</v>
      </c>
      <c r="N190" s="518">
        <v>2708.9136406666671</v>
      </c>
      <c r="O190" s="519">
        <f t="shared" si="49"/>
        <v>2521.1851593333326</v>
      </c>
      <c r="P190" s="213"/>
    </row>
    <row r="191" spans="1:16" ht="20.100000000000001" customHeight="1">
      <c r="A191" s="224">
        <v>58</v>
      </c>
      <c r="B191" s="364" t="s">
        <v>562</v>
      </c>
      <c r="C191" s="367" t="s">
        <v>563</v>
      </c>
      <c r="D191" s="434" t="s">
        <v>262</v>
      </c>
      <c r="E191" s="26">
        <v>86502.5</v>
      </c>
      <c r="F191" s="38"/>
      <c r="G191" s="212"/>
      <c r="H191" s="212">
        <f>15000</f>
        <v>15000</v>
      </c>
      <c r="I191" s="26">
        <v>7000</v>
      </c>
      <c r="J191" s="525">
        <f t="shared" si="50"/>
        <v>108502.5</v>
      </c>
      <c r="K191" s="525">
        <v>72103.749500000005</v>
      </c>
      <c r="L191" s="525">
        <f t="shared" si="51"/>
        <v>36398.750499999995</v>
      </c>
      <c r="M191" s="519">
        <v>6689.8759999999993</v>
      </c>
      <c r="N191" s="518">
        <v>3511.7966226666667</v>
      </c>
      <c r="O191" s="519">
        <f t="shared" si="49"/>
        <v>3178.0793773333326</v>
      </c>
      <c r="P191" s="213"/>
    </row>
    <row r="192" spans="1:16" ht="20.100000000000001" customHeight="1">
      <c r="A192" s="224">
        <v>59</v>
      </c>
      <c r="B192" s="364" t="s">
        <v>565</v>
      </c>
      <c r="C192" s="367" t="s">
        <v>563</v>
      </c>
      <c r="D192" s="434" t="s">
        <v>262</v>
      </c>
      <c r="E192" s="26">
        <v>86502.5</v>
      </c>
      <c r="F192" s="38"/>
      <c r="G192" s="212"/>
      <c r="H192" s="212">
        <f>15000</f>
        <v>15000</v>
      </c>
      <c r="I192" s="26">
        <v>7000</v>
      </c>
      <c r="J192" s="525">
        <f t="shared" si="50"/>
        <v>108502.5</v>
      </c>
      <c r="K192" s="525">
        <v>72103.749500000005</v>
      </c>
      <c r="L192" s="525">
        <f t="shared" si="51"/>
        <v>36398.750499999995</v>
      </c>
      <c r="M192" s="519">
        <v>6689.8759999999993</v>
      </c>
      <c r="N192" s="518">
        <v>3511.7966226666667</v>
      </c>
      <c r="O192" s="519">
        <f t="shared" si="49"/>
        <v>3178.0793773333326</v>
      </c>
      <c r="P192" s="213"/>
    </row>
    <row r="193" spans="1:16" ht="20.100000000000001" customHeight="1">
      <c r="A193" s="224"/>
      <c r="B193" s="210" t="s">
        <v>15</v>
      </c>
      <c r="C193" s="226" t="s">
        <v>710</v>
      </c>
      <c r="D193" s="358"/>
      <c r="E193" s="78">
        <f>SUM(E134:E192)</f>
        <v>14898686.416666664</v>
      </c>
      <c r="F193" s="78">
        <f t="shared" ref="F193:O193" si="53">SUM(F134:F192)</f>
        <v>0</v>
      </c>
      <c r="G193" s="78">
        <f t="shared" si="53"/>
        <v>0</v>
      </c>
      <c r="H193" s="78">
        <f t="shared" si="53"/>
        <v>2490000</v>
      </c>
      <c r="I193" s="78">
        <f t="shared" si="53"/>
        <v>228000</v>
      </c>
      <c r="J193" s="78">
        <f t="shared" si="53"/>
        <v>17616686.416666664</v>
      </c>
      <c r="K193" s="78">
        <v>11413301.213525007</v>
      </c>
      <c r="L193" s="78">
        <f t="shared" si="53"/>
        <v>6203385.2031416669</v>
      </c>
      <c r="M193" s="78">
        <f t="shared" si="53"/>
        <v>2121047.8747613332</v>
      </c>
      <c r="N193" s="78">
        <v>1265795.4594602012</v>
      </c>
      <c r="O193" s="78">
        <f t="shared" si="53"/>
        <v>855252.41530113295</v>
      </c>
      <c r="P193" s="213"/>
    </row>
    <row r="194" spans="1:16" ht="30.75" customHeight="1">
      <c r="A194" s="357"/>
      <c r="B194" s="227" t="s">
        <v>8</v>
      </c>
      <c r="C194" s="228">
        <f>C34+C40+C54+C59+C72+C82+C95+C102+C112+C131+C193</f>
        <v>153</v>
      </c>
      <c r="D194" s="229"/>
      <c r="E194" s="230">
        <f>E193+E131+E118+E112+E102+E95+E82+E72+E59+E54+E40+E34</f>
        <v>64242790.416999996</v>
      </c>
      <c r="F194" s="230">
        <f t="shared" ref="F194:O194" si="54">F193+F131+F118+F112+F102+F95+F82+F72+F59+F54+F40+F34</f>
        <v>0</v>
      </c>
      <c r="G194" s="230">
        <f t="shared" si="54"/>
        <v>7760000</v>
      </c>
      <c r="H194" s="230">
        <f t="shared" si="54"/>
        <v>5090000</v>
      </c>
      <c r="I194" s="230">
        <f t="shared" si="54"/>
        <v>2039337.4691050001</v>
      </c>
      <c r="J194" s="230">
        <f t="shared" si="54"/>
        <v>79132127.886105001</v>
      </c>
      <c r="K194" s="230">
        <f t="shared" si="54"/>
        <v>53058223.956575014</v>
      </c>
      <c r="L194" s="536">
        <f t="shared" si="54"/>
        <v>26073903.929529998</v>
      </c>
      <c r="M194" s="230">
        <f>M193+M131+M118+M112+M102+M95+M82+M72+M59+M54+M40+M34</f>
        <v>11287301.13186948</v>
      </c>
      <c r="N194" s="230">
        <f t="shared" si="54"/>
        <v>7214215.7686455874</v>
      </c>
      <c r="O194" s="536">
        <f t="shared" si="54"/>
        <v>4073085.3632238926</v>
      </c>
      <c r="P194" s="213"/>
    </row>
    <row r="195" spans="1:16" ht="20.100000000000001" customHeight="1">
      <c r="A195" s="202"/>
      <c r="B195" s="231"/>
      <c r="C195" s="202"/>
      <c r="D195" s="232"/>
      <c r="E195" s="232"/>
      <c r="F195" s="232"/>
      <c r="G195" s="233"/>
      <c r="H195" s="233"/>
      <c r="I195" s="233"/>
      <c r="J195" s="233"/>
      <c r="K195" s="233"/>
      <c r="L195" s="233"/>
      <c r="M195" s="233"/>
      <c r="N195" s="233"/>
      <c r="O195" s="233"/>
      <c r="P195" s="433"/>
    </row>
    <row r="196" spans="1:16" ht="36.75" customHeight="1">
      <c r="A196" s="202"/>
      <c r="B196" s="231"/>
      <c r="C196" s="232"/>
      <c r="D196" s="232"/>
      <c r="E196" s="232"/>
      <c r="F196" s="232"/>
      <c r="G196" s="233"/>
      <c r="H196" s="233"/>
      <c r="J196" s="433"/>
      <c r="L196" s="433"/>
      <c r="M196" s="233">
        <f>'Feb New PAYE '!V189</f>
        <v>11302661.131869482</v>
      </c>
      <c r="N196" s="233"/>
      <c r="O196" s="233"/>
    </row>
    <row r="197" spans="1:16">
      <c r="J197" s="433"/>
      <c r="K197" s="433"/>
      <c r="M197" s="433">
        <f>M194-M196</f>
        <v>-15360.000000001863</v>
      </c>
    </row>
    <row r="198" spans="1:16" ht="20.100000000000001" customHeight="1">
      <c r="J198" s="433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N175" workbookViewId="0">
      <selection activeCell="Z72" sqref="Z72"/>
    </sheetView>
  </sheetViews>
  <sheetFormatPr defaultRowHeight="12.75"/>
  <cols>
    <col min="1" max="1" width="6.85546875" style="396" customWidth="1"/>
    <col min="2" max="2" width="39.140625" style="396" customWidth="1"/>
    <col min="3" max="3" width="16.85546875" style="396" customWidth="1"/>
    <col min="4" max="4" width="6.7109375" style="396" customWidth="1"/>
    <col min="5" max="5" width="13.140625" style="396" customWidth="1"/>
    <col min="6" max="6" width="11.140625" style="396" customWidth="1"/>
    <col min="7" max="7" width="14.42578125" style="396" customWidth="1"/>
    <col min="8" max="8" width="5.85546875" style="396" customWidth="1"/>
    <col min="9" max="9" width="12.85546875" style="396" customWidth="1"/>
    <col min="10" max="10" width="11.5703125" style="396" customWidth="1"/>
    <col min="11" max="11" width="6.85546875" style="396" customWidth="1"/>
    <col min="12" max="12" width="10.85546875" style="396" customWidth="1"/>
    <col min="13" max="13" width="12.5703125" style="396" customWidth="1"/>
    <col min="14" max="14" width="11" style="396" customWidth="1"/>
    <col min="15" max="15" width="12.140625" style="396" customWidth="1"/>
    <col min="16" max="16" width="15.42578125" style="396" customWidth="1"/>
    <col min="17" max="17" width="16.5703125" style="396" customWidth="1"/>
    <col min="18" max="18" width="9.85546875" style="396" customWidth="1"/>
    <col min="19" max="19" width="10.5703125" style="396" customWidth="1"/>
    <col min="20" max="20" width="11.5703125" style="396" customWidth="1"/>
    <col min="21" max="21" width="12.42578125" style="396" customWidth="1"/>
    <col min="22" max="22" width="14.5703125" style="396" customWidth="1"/>
    <col min="23" max="23" width="9.5703125" style="396" customWidth="1"/>
    <col min="24" max="24" width="15.140625" style="396" customWidth="1"/>
    <col min="25" max="25" width="9" style="396" customWidth="1"/>
    <col min="26" max="26" width="14.140625" style="396" customWidth="1"/>
    <col min="27" max="27" width="16.28515625" style="396" customWidth="1"/>
    <col min="28" max="28" width="14.7109375" style="396" customWidth="1"/>
    <col min="29" max="29" width="27.42578125" style="396" customWidth="1"/>
    <col min="30" max="16384" width="9.140625" style="396"/>
  </cols>
  <sheetData>
    <row r="1" spans="1:31" ht="13.5" hidden="1" thickBot="1">
      <c r="A1" s="723" t="s">
        <v>234</v>
      </c>
      <c r="B1" s="723"/>
      <c r="C1" s="723"/>
      <c r="D1" s="723"/>
      <c r="E1" s="723"/>
      <c r="F1" s="723"/>
      <c r="G1" s="723"/>
      <c r="H1" s="723"/>
      <c r="I1" s="723"/>
      <c r="J1" s="723"/>
      <c r="K1" s="723"/>
      <c r="L1" s="723"/>
      <c r="M1" s="723"/>
      <c r="N1" s="723"/>
      <c r="O1" s="723"/>
      <c r="P1" s="723"/>
      <c r="Q1" s="723"/>
      <c r="R1" s="723"/>
      <c r="S1" s="723"/>
      <c r="T1" s="723"/>
      <c r="U1" s="723"/>
      <c r="V1" s="723"/>
      <c r="W1" s="723"/>
      <c r="X1" s="723"/>
      <c r="Y1" s="723"/>
      <c r="Z1" s="547"/>
    </row>
    <row r="2" spans="1:31" ht="13.5" hidden="1" thickBot="1">
      <c r="A2" s="724" t="s">
        <v>509</v>
      </c>
      <c r="B2" s="724"/>
      <c r="C2" s="724"/>
      <c r="D2" s="724"/>
      <c r="E2" s="724"/>
      <c r="F2" s="724"/>
      <c r="G2" s="724"/>
      <c r="H2" s="724"/>
      <c r="I2" s="724"/>
      <c r="J2" s="724"/>
      <c r="K2" s="724"/>
      <c r="L2" s="724"/>
      <c r="M2" s="724"/>
      <c r="N2" s="724"/>
      <c r="O2" s="724"/>
      <c r="P2" s="724"/>
      <c r="Q2" s="724"/>
      <c r="R2" s="724"/>
      <c r="S2" s="724"/>
      <c r="T2" s="724"/>
      <c r="U2" s="724"/>
      <c r="V2" s="724"/>
      <c r="W2" s="724"/>
      <c r="X2" s="724"/>
      <c r="Y2" s="724"/>
      <c r="Z2" s="547"/>
    </row>
    <row r="3" spans="1:31" ht="13.5" hidden="1" thickBot="1">
      <c r="A3" s="725" t="s">
        <v>759</v>
      </c>
      <c r="B3" s="723"/>
      <c r="C3" s="723"/>
      <c r="D3" s="723"/>
      <c r="E3" s="723"/>
      <c r="F3" s="723"/>
      <c r="G3" s="723"/>
      <c r="H3" s="723"/>
      <c r="I3" s="723"/>
      <c r="J3" s="723"/>
      <c r="K3" s="723"/>
      <c r="L3" s="723"/>
      <c r="M3" s="723"/>
      <c r="N3" s="723"/>
      <c r="O3" s="723"/>
      <c r="P3" s="723"/>
      <c r="Q3" s="723"/>
      <c r="R3" s="723"/>
      <c r="S3" s="723"/>
      <c r="T3" s="723"/>
      <c r="U3" s="723"/>
      <c r="V3" s="723"/>
      <c r="W3" s="723"/>
      <c r="X3" s="723"/>
      <c r="Y3" s="723"/>
      <c r="Z3" s="547"/>
    </row>
    <row r="4" spans="1:31" ht="83.25" customHeight="1">
      <c r="A4" s="548" t="s">
        <v>122</v>
      </c>
      <c r="B4" s="549" t="s">
        <v>487</v>
      </c>
      <c r="C4" s="550" t="s">
        <v>510</v>
      </c>
      <c r="D4" s="549" t="s">
        <v>511</v>
      </c>
      <c r="E4" s="550" t="s">
        <v>512</v>
      </c>
      <c r="F4" s="550" t="s">
        <v>513</v>
      </c>
      <c r="G4" s="550" t="s">
        <v>514</v>
      </c>
      <c r="H4" s="550" t="s">
        <v>515</v>
      </c>
      <c r="I4" s="550" t="s">
        <v>516</v>
      </c>
      <c r="J4" s="550"/>
      <c r="K4" s="550"/>
      <c r="L4" s="550"/>
      <c r="M4" s="550" t="s">
        <v>517</v>
      </c>
      <c r="N4" s="550" t="s">
        <v>518</v>
      </c>
      <c r="O4" s="550" t="s">
        <v>519</v>
      </c>
      <c r="P4" s="550" t="s">
        <v>520</v>
      </c>
      <c r="Q4" s="550" t="s">
        <v>521</v>
      </c>
      <c r="R4" s="550" t="s">
        <v>522</v>
      </c>
      <c r="S4" s="550" t="s">
        <v>523</v>
      </c>
      <c r="T4" s="550" t="s">
        <v>524</v>
      </c>
      <c r="U4" s="550" t="s">
        <v>525</v>
      </c>
      <c r="V4" s="550" t="s">
        <v>526</v>
      </c>
      <c r="W4" s="550"/>
      <c r="X4" s="550" t="s">
        <v>527</v>
      </c>
      <c r="Y4" s="550" t="s">
        <v>528</v>
      </c>
      <c r="Z4" s="551" t="s">
        <v>529</v>
      </c>
      <c r="AA4" s="552"/>
      <c r="AB4" s="552" t="s">
        <v>531</v>
      </c>
    </row>
    <row r="5" spans="1:31" ht="18.75">
      <c r="A5" s="553">
        <v>1</v>
      </c>
      <c r="B5" s="210" t="s">
        <v>433</v>
      </c>
      <c r="C5" s="491"/>
      <c r="D5" s="485"/>
      <c r="E5" s="484"/>
      <c r="F5" s="484"/>
      <c r="G5" s="484"/>
      <c r="H5" s="484"/>
      <c r="I5" s="484"/>
      <c r="J5" s="484"/>
      <c r="K5" s="484"/>
      <c r="L5" s="484"/>
      <c r="M5" s="484"/>
      <c r="N5" s="484"/>
      <c r="O5" s="484"/>
      <c r="P5" s="484"/>
      <c r="Q5" s="484"/>
      <c r="R5" s="484"/>
      <c r="S5" s="484"/>
      <c r="T5" s="484"/>
      <c r="U5" s="484"/>
      <c r="V5" s="484"/>
      <c r="W5" s="488"/>
      <c r="X5" s="484"/>
      <c r="Y5" s="484"/>
      <c r="Z5" s="554"/>
      <c r="AA5" s="489"/>
      <c r="AB5" s="489"/>
      <c r="AC5" s="489"/>
      <c r="AD5" s="489"/>
      <c r="AE5" s="489"/>
    </row>
    <row r="6" spans="1:31" ht="37.5">
      <c r="A6" s="553">
        <v>3</v>
      </c>
      <c r="B6" s="432" t="s">
        <v>224</v>
      </c>
      <c r="C6" s="491">
        <v>1934986.1669999999</v>
      </c>
      <c r="D6" s="485">
        <v>12</v>
      </c>
      <c r="E6" s="484">
        <f>C6*D6</f>
        <v>23219834.004000001</v>
      </c>
      <c r="F6" s="484"/>
      <c r="G6" s="484"/>
      <c r="H6" s="484"/>
      <c r="I6" s="484">
        <f t="shared" ref="I6:I32" si="0">E6-F6-G6-H6</f>
        <v>23219834.004000001</v>
      </c>
      <c r="J6" s="484">
        <v>200000</v>
      </c>
      <c r="K6" s="484">
        <v>0.2</v>
      </c>
      <c r="L6" s="484">
        <f t="shared" ref="L6:L75" si="1">I6*K6</f>
        <v>4643966.8008000003</v>
      </c>
      <c r="M6" s="484">
        <f t="shared" ref="M6:M75" si="2">J6+L6</f>
        <v>4843966.8008000003</v>
      </c>
      <c r="N6" s="484">
        <f t="shared" ref="N6:N32" si="3">F6+G6+H6+M6</f>
        <v>4843966.8008000003</v>
      </c>
      <c r="O6" s="484">
        <f t="shared" ref="O6:O32" si="4">E6-N6</f>
        <v>18375867.203200001</v>
      </c>
      <c r="P6" s="484">
        <f t="shared" ref="P6:P75" si="5">IF(O6&lt;300000,0.07*O6,21000)</f>
        <v>21000</v>
      </c>
      <c r="Q6" s="484">
        <f t="shared" ref="Q6:Q75" si="6">IF((O6-300000)&lt;0,0,IF((O6-300000)&lt;300000,0.11*(O6-300000),33000))</f>
        <v>33000</v>
      </c>
      <c r="R6" s="484">
        <f t="shared" ref="R6:R75" si="7">IF((O6-600000)&lt;0,0,IF((O6-600000)&lt;500000,0.15*(O6-600000),75000))</f>
        <v>75000</v>
      </c>
      <c r="S6" s="484">
        <f t="shared" ref="S6:S75" si="8">IF((O6-1100000)&lt;0,0,IF((O6-1100000)&lt;500000,0.19*(O6-1100000),95000))</f>
        <v>95000</v>
      </c>
      <c r="T6" s="484">
        <f t="shared" ref="T6:T75" si="9">IF((O6-1600000)&lt;0,0,IF((O6-1600000)&lt;1600000,0.21*(O6-1600000),336000))</f>
        <v>336000</v>
      </c>
      <c r="U6" s="484">
        <f t="shared" ref="U6:U73" si="10">24%*(O6-3200000)</f>
        <v>3642208.1287680003</v>
      </c>
      <c r="V6" s="484">
        <f t="shared" ref="V6:V75" si="11">P6+Q6+R6+S6+T6+U6</f>
        <v>4202208.1287680008</v>
      </c>
      <c r="W6" s="488">
        <v>12</v>
      </c>
      <c r="X6" s="484">
        <f t="shared" ref="X6:X75" si="12">V6/W6</f>
        <v>350184.01073066675</v>
      </c>
      <c r="Y6" s="484"/>
      <c r="Z6" s="554">
        <f t="shared" ref="Z6:Z75" si="13">X6</f>
        <v>350184.01073066675</v>
      </c>
      <c r="AA6" s="489">
        <v>201165.83594666663</v>
      </c>
      <c r="AB6" s="489">
        <f>Z6-AA6</f>
        <v>149018.17478400012</v>
      </c>
      <c r="AC6" s="489"/>
      <c r="AD6" s="489"/>
      <c r="AE6" s="489"/>
    </row>
    <row r="7" spans="1:31" ht="18.75">
      <c r="A7" s="553">
        <v>4</v>
      </c>
      <c r="B7" s="432" t="s">
        <v>315</v>
      </c>
      <c r="C7" s="491">
        <v>852373.16666666663</v>
      </c>
      <c r="D7" s="485">
        <v>12</v>
      </c>
      <c r="E7" s="484">
        <f t="shared" ref="E7:E32" si="14">C7*D7</f>
        <v>10228478</v>
      </c>
      <c r="F7" s="484"/>
      <c r="G7" s="484">
        <v>731878.23999999964</v>
      </c>
      <c r="H7" s="484"/>
      <c r="I7" s="484">
        <f t="shared" si="0"/>
        <v>9496599.7599999998</v>
      </c>
      <c r="J7" s="484">
        <v>200000</v>
      </c>
      <c r="K7" s="484">
        <v>0.2</v>
      </c>
      <c r="L7" s="484">
        <f t="shared" si="1"/>
        <v>1899319.952</v>
      </c>
      <c r="M7" s="484">
        <f t="shared" si="2"/>
        <v>2099319.952</v>
      </c>
      <c r="N7" s="484">
        <f t="shared" si="3"/>
        <v>2831198.1919999998</v>
      </c>
      <c r="O7" s="484">
        <f t="shared" si="4"/>
        <v>7397279.8080000002</v>
      </c>
      <c r="P7" s="484">
        <f t="shared" si="5"/>
        <v>21000</v>
      </c>
      <c r="Q7" s="484">
        <f t="shared" si="6"/>
        <v>33000</v>
      </c>
      <c r="R7" s="484">
        <f t="shared" si="7"/>
        <v>75000</v>
      </c>
      <c r="S7" s="484">
        <f t="shared" si="8"/>
        <v>95000</v>
      </c>
      <c r="T7" s="484">
        <f t="shared" si="9"/>
        <v>336000</v>
      </c>
      <c r="U7" s="484">
        <f t="shared" si="10"/>
        <v>1007347.15392</v>
      </c>
      <c r="V7" s="484">
        <f t="shared" si="11"/>
        <v>1567347.15392</v>
      </c>
      <c r="W7" s="488">
        <v>12</v>
      </c>
      <c r="X7" s="484">
        <f t="shared" si="12"/>
        <v>130612.26282666666</v>
      </c>
      <c r="Y7" s="484"/>
      <c r="Z7" s="554">
        <f t="shared" si="13"/>
        <v>130612.26282666666</v>
      </c>
      <c r="AA7" s="489">
        <v>82627.951418666678</v>
      </c>
      <c r="AB7" s="489">
        <f t="shared" ref="AB7:AB32" si="15">Z7-AA7</f>
        <v>47984.31140799998</v>
      </c>
      <c r="AC7" s="489"/>
      <c r="AD7" s="489"/>
      <c r="AE7" s="489"/>
    </row>
    <row r="8" spans="1:31" ht="18.75">
      <c r="A8" s="553">
        <v>5</v>
      </c>
      <c r="B8" s="365" t="s">
        <v>317</v>
      </c>
      <c r="C8" s="491">
        <v>1052373.1666666665</v>
      </c>
      <c r="D8" s="485">
        <v>12</v>
      </c>
      <c r="E8" s="484">
        <f t="shared" si="14"/>
        <v>12628477.999999998</v>
      </c>
      <c r="F8" s="484"/>
      <c r="G8" s="484">
        <v>0</v>
      </c>
      <c r="H8" s="484"/>
      <c r="I8" s="484">
        <f t="shared" si="0"/>
        <v>12628477.999999998</v>
      </c>
      <c r="J8" s="484">
        <v>200000</v>
      </c>
      <c r="K8" s="484">
        <v>0.2</v>
      </c>
      <c r="L8" s="484">
        <f t="shared" si="1"/>
        <v>2525695.5999999996</v>
      </c>
      <c r="M8" s="484">
        <f t="shared" si="2"/>
        <v>2725695.5999999996</v>
      </c>
      <c r="N8" s="484">
        <f t="shared" si="3"/>
        <v>2725695.5999999996</v>
      </c>
      <c r="O8" s="484">
        <f t="shared" si="4"/>
        <v>9902782.3999999985</v>
      </c>
      <c r="P8" s="484">
        <f t="shared" si="5"/>
        <v>21000</v>
      </c>
      <c r="Q8" s="484">
        <f t="shared" si="6"/>
        <v>33000</v>
      </c>
      <c r="R8" s="484">
        <f t="shared" si="7"/>
        <v>75000</v>
      </c>
      <c r="S8" s="484">
        <f t="shared" si="8"/>
        <v>95000</v>
      </c>
      <c r="T8" s="484">
        <f t="shared" si="9"/>
        <v>336000</v>
      </c>
      <c r="U8" s="484">
        <f t="shared" si="10"/>
        <v>1608667.7759999996</v>
      </c>
      <c r="V8" s="484">
        <f t="shared" si="11"/>
        <v>2168667.7759999996</v>
      </c>
      <c r="W8" s="488">
        <v>12</v>
      </c>
      <c r="X8" s="484">
        <f t="shared" si="12"/>
        <v>180722.31466666664</v>
      </c>
      <c r="Y8" s="484"/>
      <c r="Z8" s="554">
        <f t="shared" si="13"/>
        <v>180722.31466666664</v>
      </c>
      <c r="AA8" s="489">
        <v>121027.95141866669</v>
      </c>
      <c r="AB8" s="489">
        <f t="shared" si="15"/>
        <v>59694.363247999951</v>
      </c>
      <c r="AC8" s="489"/>
      <c r="AD8" s="489"/>
      <c r="AE8" s="489"/>
    </row>
    <row r="9" spans="1:31" ht="18.75">
      <c r="A9" s="553">
        <v>6</v>
      </c>
      <c r="B9" s="432" t="s">
        <v>187</v>
      </c>
      <c r="C9" s="491">
        <v>942373.16666666663</v>
      </c>
      <c r="D9" s="485">
        <v>12</v>
      </c>
      <c r="E9" s="484">
        <f t="shared" si="14"/>
        <v>11308478</v>
      </c>
      <c r="F9" s="484">
        <f>'[4]JANUARY 2024'!$V$10*12</f>
        <v>12795.951000000001</v>
      </c>
      <c r="G9" s="484">
        <v>731878.24</v>
      </c>
      <c r="H9" s="484"/>
      <c r="I9" s="484">
        <f t="shared" si="0"/>
        <v>10563803.809</v>
      </c>
      <c r="J9" s="484">
        <v>200000</v>
      </c>
      <c r="K9" s="484">
        <v>0.2</v>
      </c>
      <c r="L9" s="484">
        <f>I9*K9</f>
        <v>2112760.7618</v>
      </c>
      <c r="M9" s="484">
        <f>J9+L9</f>
        <v>2312760.7618</v>
      </c>
      <c r="N9" s="484">
        <f t="shared" si="3"/>
        <v>3057434.9528000001</v>
      </c>
      <c r="O9" s="484">
        <f t="shared" si="4"/>
        <v>8251043.0471999999</v>
      </c>
      <c r="P9" s="484">
        <f>IF(O9&lt;300000,0.07*O9,21000)</f>
        <v>21000</v>
      </c>
      <c r="Q9" s="484">
        <f>IF((O9-300000)&lt;0,0,IF((O9-300000)&lt;300000,0.11*(O9-300000),33000))</f>
        <v>33000</v>
      </c>
      <c r="R9" s="484">
        <f>IF((O9-600000)&lt;0,0,IF((O9-600000)&lt;500000,0.15*(O9-600000),75000))</f>
        <v>75000</v>
      </c>
      <c r="S9" s="484">
        <f>IF((O9-1100000)&lt;0,0,IF((O9-1100000)&lt;500000,0.19*(O9-1100000),95000))</f>
        <v>95000</v>
      </c>
      <c r="T9" s="484">
        <f>IF((O9-1600000)&lt;0,0,IF((O9-1600000)&lt;1600000,0.21*(O9-1600000),336000))</f>
        <v>336000</v>
      </c>
      <c r="U9" s="484">
        <f>24%*(O9-3200000)</f>
        <v>1212250.3313279999</v>
      </c>
      <c r="V9" s="484">
        <f>P9+Q9+R9+S9+T9+U9</f>
        <v>1772250.3313279999</v>
      </c>
      <c r="W9" s="488">
        <v>12</v>
      </c>
      <c r="X9" s="484">
        <f>V9/W9</f>
        <v>147687.52761066667</v>
      </c>
      <c r="Y9" s="484"/>
      <c r="Z9" s="554">
        <f>X9</f>
        <v>147687.52761066667</v>
      </c>
      <c r="AA9" s="489">
        <v>99703.216202666677</v>
      </c>
      <c r="AB9" s="489">
        <f t="shared" si="15"/>
        <v>47984.311407999994</v>
      </c>
      <c r="AC9" s="489"/>
      <c r="AD9" s="489"/>
      <c r="AE9" s="489"/>
    </row>
    <row r="10" spans="1:31" ht="18.75">
      <c r="A10" s="553">
        <v>7</v>
      </c>
      <c r="B10" s="365" t="s">
        <v>203</v>
      </c>
      <c r="C10" s="491">
        <v>1002373.1666666666</v>
      </c>
      <c r="D10" s="485">
        <v>12</v>
      </c>
      <c r="E10" s="484">
        <f t="shared" si="14"/>
        <v>12028478</v>
      </c>
      <c r="F10" s="484">
        <f>'[4]JANUARY 2024'!$V$10*12</f>
        <v>12795.951000000001</v>
      </c>
      <c r="G10" s="484">
        <v>731878.24</v>
      </c>
      <c r="H10" s="484"/>
      <c r="I10" s="484">
        <f t="shared" si="0"/>
        <v>11283803.809</v>
      </c>
      <c r="J10" s="484">
        <v>200000</v>
      </c>
      <c r="K10" s="484">
        <v>0.2</v>
      </c>
      <c r="L10" s="484">
        <f t="shared" si="1"/>
        <v>2256760.7618</v>
      </c>
      <c r="M10" s="484">
        <f t="shared" si="2"/>
        <v>2456760.7618</v>
      </c>
      <c r="N10" s="484">
        <f t="shared" si="3"/>
        <v>3201434.9528000001</v>
      </c>
      <c r="O10" s="484">
        <f t="shared" si="4"/>
        <v>8827043.0471999999</v>
      </c>
      <c r="P10" s="484">
        <f t="shared" si="5"/>
        <v>21000</v>
      </c>
      <c r="Q10" s="484">
        <f t="shared" si="6"/>
        <v>33000</v>
      </c>
      <c r="R10" s="484">
        <f t="shared" si="7"/>
        <v>75000</v>
      </c>
      <c r="S10" s="484">
        <f t="shared" si="8"/>
        <v>95000</v>
      </c>
      <c r="T10" s="484">
        <f t="shared" si="9"/>
        <v>336000</v>
      </c>
      <c r="U10" s="484">
        <f t="shared" si="10"/>
        <v>1350490.3313279999</v>
      </c>
      <c r="V10" s="484">
        <f t="shared" si="11"/>
        <v>1910490.3313279999</v>
      </c>
      <c r="W10" s="488">
        <v>12</v>
      </c>
      <c r="X10" s="484">
        <f t="shared" si="12"/>
        <v>159207.52761066667</v>
      </c>
      <c r="Y10" s="484"/>
      <c r="Z10" s="554">
        <f t="shared" si="13"/>
        <v>159207.52761066667</v>
      </c>
      <c r="AA10" s="489">
        <v>111223.21620266668</v>
      </c>
      <c r="AB10" s="489">
        <f t="shared" si="15"/>
        <v>47984.311407999994</v>
      </c>
      <c r="AC10" s="489"/>
      <c r="AD10" s="489"/>
      <c r="AE10" s="489"/>
    </row>
    <row r="11" spans="1:31" ht="18.75">
      <c r="A11" s="553">
        <v>8</v>
      </c>
      <c r="B11" s="364" t="s">
        <v>364</v>
      </c>
      <c r="C11" s="491">
        <v>952373.16666666663</v>
      </c>
      <c r="D11" s="485">
        <v>12</v>
      </c>
      <c r="E11" s="484">
        <f t="shared" si="14"/>
        <v>11428478</v>
      </c>
      <c r="F11" s="484"/>
      <c r="G11" s="484">
        <v>0</v>
      </c>
      <c r="H11" s="484"/>
      <c r="I11" s="484">
        <f t="shared" si="0"/>
        <v>11428478</v>
      </c>
      <c r="J11" s="484">
        <v>200000</v>
      </c>
      <c r="K11" s="484">
        <v>0.2</v>
      </c>
      <c r="L11" s="484">
        <f t="shared" si="1"/>
        <v>2285695.6</v>
      </c>
      <c r="M11" s="484">
        <f t="shared" si="2"/>
        <v>2485695.6</v>
      </c>
      <c r="N11" s="484">
        <f t="shared" si="3"/>
        <v>2485695.6</v>
      </c>
      <c r="O11" s="484">
        <f t="shared" si="4"/>
        <v>8942782.4000000004</v>
      </c>
      <c r="P11" s="484">
        <f t="shared" si="5"/>
        <v>21000</v>
      </c>
      <c r="Q11" s="484">
        <f t="shared" si="6"/>
        <v>33000</v>
      </c>
      <c r="R11" s="484">
        <f t="shared" si="7"/>
        <v>75000</v>
      </c>
      <c r="S11" s="484">
        <f t="shared" si="8"/>
        <v>95000</v>
      </c>
      <c r="T11" s="484">
        <f t="shared" si="9"/>
        <v>336000</v>
      </c>
      <c r="U11" s="484">
        <f t="shared" si="10"/>
        <v>1378267.7760000001</v>
      </c>
      <c r="V11" s="484">
        <f t="shared" si="11"/>
        <v>1938267.7760000001</v>
      </c>
      <c r="W11" s="488">
        <v>12</v>
      </c>
      <c r="X11" s="484">
        <f t="shared" si="12"/>
        <v>161522.31466666667</v>
      </c>
      <c r="Y11" s="484"/>
      <c r="Z11" s="554">
        <f t="shared" si="13"/>
        <v>161522.31466666667</v>
      </c>
      <c r="AA11" s="489">
        <v>101827.95141866668</v>
      </c>
      <c r="AB11" s="489">
        <f t="shared" si="15"/>
        <v>59694.363247999994</v>
      </c>
      <c r="AC11" s="489"/>
      <c r="AD11" s="489"/>
      <c r="AE11" s="489"/>
    </row>
    <row r="12" spans="1:31" ht="18.75">
      <c r="A12" s="553">
        <v>9</v>
      </c>
      <c r="B12" s="432" t="s">
        <v>111</v>
      </c>
      <c r="C12" s="491">
        <v>750675.58333333337</v>
      </c>
      <c r="D12" s="485">
        <v>12</v>
      </c>
      <c r="E12" s="484">
        <f t="shared" si="14"/>
        <v>9008107</v>
      </c>
      <c r="F12" s="484">
        <f>'[4]JANUARY 2024'!$V$13*12</f>
        <v>10052.25</v>
      </c>
      <c r="G12" s="484">
        <v>595848.56000000006</v>
      </c>
      <c r="H12" s="484"/>
      <c r="I12" s="484">
        <f t="shared" si="0"/>
        <v>8402206.1899999995</v>
      </c>
      <c r="J12" s="484">
        <v>200000</v>
      </c>
      <c r="K12" s="484">
        <v>0.2</v>
      </c>
      <c r="L12" s="484">
        <f t="shared" si="1"/>
        <v>1680441.2379999999</v>
      </c>
      <c r="M12" s="484">
        <f t="shared" si="2"/>
        <v>1880441.2379999999</v>
      </c>
      <c r="N12" s="484">
        <f t="shared" si="3"/>
        <v>2486342.048</v>
      </c>
      <c r="O12" s="484">
        <f t="shared" si="4"/>
        <v>6521764.9519999996</v>
      </c>
      <c r="P12" s="484">
        <f t="shared" si="5"/>
        <v>21000</v>
      </c>
      <c r="Q12" s="484">
        <f t="shared" si="6"/>
        <v>33000</v>
      </c>
      <c r="R12" s="484">
        <f t="shared" si="7"/>
        <v>75000</v>
      </c>
      <c r="S12" s="484">
        <f t="shared" si="8"/>
        <v>95000</v>
      </c>
      <c r="T12" s="484">
        <f t="shared" si="9"/>
        <v>336000</v>
      </c>
      <c r="U12" s="484">
        <f t="shared" si="10"/>
        <v>797223.58847999992</v>
      </c>
      <c r="V12" s="484">
        <f t="shared" si="11"/>
        <v>1357223.5884799999</v>
      </c>
      <c r="W12" s="488">
        <v>12</v>
      </c>
      <c r="X12" s="484">
        <f t="shared" si="12"/>
        <v>113101.96570666666</v>
      </c>
      <c r="Y12" s="484"/>
      <c r="Z12" s="554">
        <f t="shared" si="13"/>
        <v>113101.96570666666</v>
      </c>
      <c r="AA12" s="489">
        <v>74036.103146666661</v>
      </c>
      <c r="AB12" s="489">
        <f t="shared" si="15"/>
        <v>39065.862559999994</v>
      </c>
      <c r="AC12" s="489"/>
      <c r="AD12" s="489"/>
      <c r="AE12" s="489"/>
    </row>
    <row r="13" spans="1:31" ht="18.75">
      <c r="A13" s="553">
        <v>10</v>
      </c>
      <c r="B13" s="432" t="s">
        <v>185</v>
      </c>
      <c r="C13" s="491">
        <v>842118.08333333337</v>
      </c>
      <c r="D13" s="485">
        <v>12</v>
      </c>
      <c r="E13" s="484">
        <f t="shared" si="14"/>
        <v>10105417</v>
      </c>
      <c r="F13" s="484">
        <f>'[4]JANUARY 2024'!$V$14*12</f>
        <v>9305.9520000000011</v>
      </c>
      <c r="G13" s="484">
        <v>558833.3600000001</v>
      </c>
      <c r="H13" s="484"/>
      <c r="I13" s="484">
        <f t="shared" si="0"/>
        <v>9537277.688000001</v>
      </c>
      <c r="J13" s="484">
        <v>200000</v>
      </c>
      <c r="K13" s="484">
        <v>0.2</v>
      </c>
      <c r="L13" s="484">
        <f t="shared" si="1"/>
        <v>1907455.5376000004</v>
      </c>
      <c r="M13" s="484">
        <f t="shared" si="2"/>
        <v>2107455.5376000004</v>
      </c>
      <c r="N13" s="484">
        <f t="shared" si="3"/>
        <v>2675594.8496000003</v>
      </c>
      <c r="O13" s="484">
        <f t="shared" si="4"/>
        <v>7429822.1503999997</v>
      </c>
      <c r="P13" s="484">
        <f t="shared" si="5"/>
        <v>21000</v>
      </c>
      <c r="Q13" s="484">
        <f t="shared" si="6"/>
        <v>33000</v>
      </c>
      <c r="R13" s="484">
        <f t="shared" si="7"/>
        <v>75000</v>
      </c>
      <c r="S13" s="484">
        <f t="shared" si="8"/>
        <v>95000</v>
      </c>
      <c r="T13" s="484">
        <f t="shared" si="9"/>
        <v>336000</v>
      </c>
      <c r="U13" s="484">
        <f t="shared" si="10"/>
        <v>1015157.3160959999</v>
      </c>
      <c r="V13" s="484">
        <f t="shared" si="11"/>
        <v>1575157.3160959999</v>
      </c>
      <c r="W13" s="488">
        <v>12</v>
      </c>
      <c r="X13" s="484">
        <f t="shared" si="12"/>
        <v>131263.10967466666</v>
      </c>
      <c r="Y13" s="484"/>
      <c r="Z13" s="554">
        <f t="shared" si="13"/>
        <v>131263.10967466666</v>
      </c>
      <c r="AA13" s="489">
        <v>94625.782058666678</v>
      </c>
      <c r="AB13" s="489">
        <f t="shared" si="15"/>
        <v>36637.32761599998</v>
      </c>
      <c r="AC13" s="489"/>
      <c r="AD13" s="489"/>
      <c r="AE13" s="489"/>
    </row>
    <row r="14" spans="1:31" ht="18.75">
      <c r="A14" s="553">
        <v>11</v>
      </c>
      <c r="B14" s="432" t="s">
        <v>18</v>
      </c>
      <c r="C14" s="491">
        <v>554373.75</v>
      </c>
      <c r="D14" s="485">
        <v>12</v>
      </c>
      <c r="E14" s="484">
        <f t="shared" si="14"/>
        <v>6652485</v>
      </c>
      <c r="F14" s="484"/>
      <c r="G14" s="484">
        <v>464998.80000000005</v>
      </c>
      <c r="H14" s="484"/>
      <c r="I14" s="484">
        <f t="shared" si="0"/>
        <v>6187486.2000000002</v>
      </c>
      <c r="J14" s="484">
        <v>200000</v>
      </c>
      <c r="K14" s="484">
        <v>0.2</v>
      </c>
      <c r="L14" s="484">
        <f t="shared" si="1"/>
        <v>1237497.24</v>
      </c>
      <c r="M14" s="484">
        <f t="shared" si="2"/>
        <v>1437497.24</v>
      </c>
      <c r="N14" s="484">
        <f t="shared" si="3"/>
        <v>1902496.04</v>
      </c>
      <c r="O14" s="484">
        <f t="shared" si="4"/>
        <v>4749988.96</v>
      </c>
      <c r="P14" s="484">
        <f t="shared" si="5"/>
        <v>21000</v>
      </c>
      <c r="Q14" s="484">
        <f t="shared" si="6"/>
        <v>33000</v>
      </c>
      <c r="R14" s="484">
        <f t="shared" si="7"/>
        <v>75000</v>
      </c>
      <c r="S14" s="484">
        <f t="shared" si="8"/>
        <v>95000</v>
      </c>
      <c r="T14" s="484">
        <f t="shared" si="9"/>
        <v>336000</v>
      </c>
      <c r="U14" s="484">
        <f t="shared" si="10"/>
        <v>371997.3504</v>
      </c>
      <c r="V14" s="484">
        <f t="shared" si="11"/>
        <v>931997.3504</v>
      </c>
      <c r="W14" s="488">
        <v>12</v>
      </c>
      <c r="X14" s="484">
        <f t="shared" si="12"/>
        <v>77666.445866666661</v>
      </c>
      <c r="Y14" s="484"/>
      <c r="Z14" s="554">
        <f t="shared" si="13"/>
        <v>77666.445866666661</v>
      </c>
      <c r="AA14" s="489">
        <v>44846.616588666657</v>
      </c>
      <c r="AB14" s="489">
        <f t="shared" si="15"/>
        <v>32819.829278000005</v>
      </c>
      <c r="AC14" s="489"/>
      <c r="AD14" s="489"/>
      <c r="AE14" s="489"/>
    </row>
    <row r="15" spans="1:31" ht="18.75">
      <c r="A15" s="553">
        <v>12</v>
      </c>
      <c r="B15" s="365" t="s">
        <v>534</v>
      </c>
      <c r="C15" s="491">
        <v>660498</v>
      </c>
      <c r="D15" s="485">
        <v>12</v>
      </c>
      <c r="E15" s="484">
        <f t="shared" si="14"/>
        <v>7925976</v>
      </c>
      <c r="F15" s="484"/>
      <c r="G15" s="555">
        <v>451678.08000000007</v>
      </c>
      <c r="H15" s="484"/>
      <c r="I15" s="484">
        <f t="shared" si="0"/>
        <v>7474297.9199999999</v>
      </c>
      <c r="J15" s="484">
        <v>200000</v>
      </c>
      <c r="K15" s="484">
        <v>0.2</v>
      </c>
      <c r="L15" s="484">
        <f t="shared" si="1"/>
        <v>1494859.584</v>
      </c>
      <c r="M15" s="484">
        <f t="shared" si="2"/>
        <v>1694859.584</v>
      </c>
      <c r="N15" s="484">
        <f t="shared" si="3"/>
        <v>2146537.6639999999</v>
      </c>
      <c r="O15" s="484">
        <f t="shared" si="4"/>
        <v>5779438.3360000001</v>
      </c>
      <c r="P15" s="484">
        <f t="shared" si="5"/>
        <v>21000</v>
      </c>
      <c r="Q15" s="484">
        <f t="shared" si="6"/>
        <v>33000</v>
      </c>
      <c r="R15" s="484">
        <f t="shared" si="7"/>
        <v>75000</v>
      </c>
      <c r="S15" s="484">
        <f t="shared" si="8"/>
        <v>95000</v>
      </c>
      <c r="T15" s="484">
        <f t="shared" si="9"/>
        <v>336000</v>
      </c>
      <c r="U15" s="484">
        <f t="shared" si="10"/>
        <v>619065.20064000005</v>
      </c>
      <c r="V15" s="484">
        <f t="shared" si="11"/>
        <v>1179065.2006399999</v>
      </c>
      <c r="W15" s="488">
        <v>12</v>
      </c>
      <c r="X15" s="484">
        <f t="shared" si="12"/>
        <v>98255.433386666657</v>
      </c>
      <c r="Y15" s="484"/>
      <c r="Z15" s="554">
        <f t="shared" si="13"/>
        <v>98255.433386666657</v>
      </c>
      <c r="AA15" s="489">
        <v>46666.666666666664</v>
      </c>
      <c r="AB15" s="489">
        <f t="shared" si="15"/>
        <v>51588.766719999992</v>
      </c>
      <c r="AC15" s="489"/>
      <c r="AD15" s="489"/>
      <c r="AE15" s="489"/>
    </row>
    <row r="16" spans="1:31" ht="18.75">
      <c r="A16" s="553">
        <v>13</v>
      </c>
      <c r="B16" s="432" t="s">
        <v>184</v>
      </c>
      <c r="C16" s="491">
        <v>732746.5</v>
      </c>
      <c r="D16" s="485">
        <v>12</v>
      </c>
      <c r="E16" s="484">
        <f t="shared" si="14"/>
        <v>8792958</v>
      </c>
      <c r="F16" s="484"/>
      <c r="G16" s="484">
        <v>425036.64</v>
      </c>
      <c r="H16" s="484"/>
      <c r="I16" s="484">
        <f t="shared" si="0"/>
        <v>8367921.3600000003</v>
      </c>
      <c r="J16" s="484">
        <v>200000</v>
      </c>
      <c r="K16" s="484">
        <v>0.2</v>
      </c>
      <c r="L16" s="484">
        <f t="shared" si="1"/>
        <v>1673584.2720000001</v>
      </c>
      <c r="M16" s="484">
        <f t="shared" si="2"/>
        <v>1873584.2720000001</v>
      </c>
      <c r="N16" s="484">
        <f t="shared" si="3"/>
        <v>2298620.912</v>
      </c>
      <c r="O16" s="484">
        <f t="shared" si="4"/>
        <v>6494337.0879999995</v>
      </c>
      <c r="P16" s="484">
        <f t="shared" si="5"/>
        <v>21000</v>
      </c>
      <c r="Q16" s="484">
        <f t="shared" si="6"/>
        <v>33000</v>
      </c>
      <c r="R16" s="484">
        <f t="shared" si="7"/>
        <v>75000</v>
      </c>
      <c r="S16" s="484">
        <f t="shared" si="8"/>
        <v>95000</v>
      </c>
      <c r="T16" s="484">
        <f t="shared" si="9"/>
        <v>336000</v>
      </c>
      <c r="U16" s="484">
        <f t="shared" si="10"/>
        <v>790640.90111999982</v>
      </c>
      <c r="V16" s="484">
        <f t="shared" si="11"/>
        <v>1350640.9011199998</v>
      </c>
      <c r="W16" s="488">
        <v>12</v>
      </c>
      <c r="X16" s="484">
        <f t="shared" si="12"/>
        <v>112553.40842666665</v>
      </c>
      <c r="Y16" s="484"/>
      <c r="Z16" s="554">
        <f t="shared" si="13"/>
        <v>112553.40842666665</v>
      </c>
      <c r="AA16" s="489">
        <v>46666.666666666664</v>
      </c>
      <c r="AB16" s="489">
        <f t="shared" si="15"/>
        <v>65886.741759999975</v>
      </c>
      <c r="AC16" s="489"/>
      <c r="AD16" s="489"/>
      <c r="AE16" s="489"/>
    </row>
    <row r="17" spans="1:31" ht="18.75">
      <c r="A17" s="553">
        <v>14</v>
      </c>
      <c r="B17" s="432" t="s">
        <v>724</v>
      </c>
      <c r="C17" s="491">
        <v>511804.91666666669</v>
      </c>
      <c r="D17" s="485">
        <v>12</v>
      </c>
      <c r="E17" s="484">
        <f t="shared" si="14"/>
        <v>6141659</v>
      </c>
      <c r="F17" s="484"/>
      <c r="G17" s="484">
        <v>424132.72</v>
      </c>
      <c r="H17" s="484"/>
      <c r="I17" s="484">
        <f t="shared" si="0"/>
        <v>5717526.2800000003</v>
      </c>
      <c r="J17" s="484">
        <v>200000</v>
      </c>
      <c r="K17" s="484">
        <v>0.2</v>
      </c>
      <c r="L17" s="484">
        <f t="shared" si="1"/>
        <v>1143505.2560000001</v>
      </c>
      <c r="M17" s="484">
        <f t="shared" si="2"/>
        <v>1343505.2560000001</v>
      </c>
      <c r="N17" s="484">
        <f t="shared" si="3"/>
        <v>1767637.976</v>
      </c>
      <c r="O17" s="484">
        <f t="shared" si="4"/>
        <v>4374021.0240000002</v>
      </c>
      <c r="P17" s="484">
        <f t="shared" si="5"/>
        <v>21000</v>
      </c>
      <c r="Q17" s="484">
        <f t="shared" si="6"/>
        <v>33000</v>
      </c>
      <c r="R17" s="484">
        <f t="shared" si="7"/>
        <v>75000</v>
      </c>
      <c r="S17" s="484">
        <f t="shared" si="8"/>
        <v>95000</v>
      </c>
      <c r="T17" s="484">
        <f t="shared" si="9"/>
        <v>336000</v>
      </c>
      <c r="U17" s="484">
        <f t="shared" si="10"/>
        <v>281765.04576000007</v>
      </c>
      <c r="V17" s="484">
        <f t="shared" si="11"/>
        <v>841765.04576000012</v>
      </c>
      <c r="W17" s="488">
        <v>12</v>
      </c>
      <c r="X17" s="484">
        <f t="shared" si="12"/>
        <v>70147.087146666672</v>
      </c>
      <c r="Y17" s="484"/>
      <c r="Z17" s="554">
        <f t="shared" si="13"/>
        <v>70147.087146666672</v>
      </c>
      <c r="AA17" s="489">
        <v>42046.063686666661</v>
      </c>
      <c r="AB17" s="489">
        <f t="shared" si="15"/>
        <v>28101.023460000011</v>
      </c>
      <c r="AC17" s="489"/>
      <c r="AD17" s="489"/>
      <c r="AE17" s="489"/>
    </row>
    <row r="18" spans="1:31" ht="18.75">
      <c r="A18" s="553">
        <v>15</v>
      </c>
      <c r="B18" s="432" t="s">
        <v>334</v>
      </c>
      <c r="C18" s="491">
        <v>548915.91666666674</v>
      </c>
      <c r="D18" s="485">
        <v>12</v>
      </c>
      <c r="E18" s="484">
        <f t="shared" si="14"/>
        <v>6586991.0000000009</v>
      </c>
      <c r="F18" s="484"/>
      <c r="G18" s="484">
        <v>411759.28</v>
      </c>
      <c r="H18" s="484"/>
      <c r="I18" s="484">
        <f t="shared" si="0"/>
        <v>6175231.7200000007</v>
      </c>
      <c r="J18" s="484">
        <v>200000</v>
      </c>
      <c r="K18" s="484">
        <v>0.2</v>
      </c>
      <c r="L18" s="484">
        <f t="shared" si="1"/>
        <v>1235046.3440000003</v>
      </c>
      <c r="M18" s="484">
        <f t="shared" si="2"/>
        <v>1435046.3440000003</v>
      </c>
      <c r="N18" s="484">
        <f t="shared" si="3"/>
        <v>1846805.6240000003</v>
      </c>
      <c r="O18" s="484">
        <f t="shared" si="4"/>
        <v>4740185.3760000002</v>
      </c>
      <c r="P18" s="484">
        <f t="shared" si="5"/>
        <v>21000</v>
      </c>
      <c r="Q18" s="484">
        <f t="shared" si="6"/>
        <v>33000</v>
      </c>
      <c r="R18" s="484">
        <f t="shared" si="7"/>
        <v>75000</v>
      </c>
      <c r="S18" s="484">
        <f t="shared" si="8"/>
        <v>95000</v>
      </c>
      <c r="T18" s="484">
        <f t="shared" si="9"/>
        <v>336000</v>
      </c>
      <c r="U18" s="484">
        <f t="shared" si="10"/>
        <v>369644.49024000001</v>
      </c>
      <c r="V18" s="484">
        <f t="shared" si="11"/>
        <v>929644.49023999996</v>
      </c>
      <c r="W18" s="488">
        <v>12</v>
      </c>
      <c r="X18" s="484">
        <f t="shared" si="12"/>
        <v>77470.374186666668</v>
      </c>
      <c r="Y18" s="484"/>
      <c r="Z18" s="554">
        <f t="shared" si="13"/>
        <v>77470.374186666668</v>
      </c>
      <c r="AA18" s="489">
        <v>46666.666666666664</v>
      </c>
      <c r="AB18" s="489">
        <f t="shared" si="15"/>
        <v>30803.707520000004</v>
      </c>
      <c r="AC18" s="489"/>
      <c r="AD18" s="489"/>
      <c r="AE18" s="489"/>
    </row>
    <row r="19" spans="1:31" ht="18.75">
      <c r="A19" s="553">
        <v>16</v>
      </c>
      <c r="B19" s="364" t="s">
        <v>291</v>
      </c>
      <c r="C19" s="491">
        <v>636026.91666666674</v>
      </c>
      <c r="D19" s="485">
        <v>12</v>
      </c>
      <c r="E19" s="484">
        <f t="shared" si="14"/>
        <v>7632323.0000000009</v>
      </c>
      <c r="F19" s="484">
        <f>618.53*12</f>
        <v>7422.36</v>
      </c>
      <c r="G19" s="484">
        <v>399385.84</v>
      </c>
      <c r="H19" s="484"/>
      <c r="I19" s="484">
        <f t="shared" si="0"/>
        <v>7225514.8000000007</v>
      </c>
      <c r="J19" s="484">
        <v>200000</v>
      </c>
      <c r="K19" s="484">
        <v>0.2</v>
      </c>
      <c r="L19" s="484">
        <f>I19*K19</f>
        <v>1445102.9600000002</v>
      </c>
      <c r="M19" s="484">
        <f>J19+L19</f>
        <v>1645102.9600000002</v>
      </c>
      <c r="N19" s="484">
        <f t="shared" si="3"/>
        <v>2051911.1600000001</v>
      </c>
      <c r="O19" s="484">
        <f t="shared" si="4"/>
        <v>5580411.8400000008</v>
      </c>
      <c r="P19" s="484">
        <f>IF(O19&lt;300000,0.07*O19,21000)</f>
        <v>21000</v>
      </c>
      <c r="Q19" s="484">
        <f>IF((O19-300000)&lt;0,0,IF((O19-300000)&lt;300000,0.11*(O19-300000),33000))</f>
        <v>33000</v>
      </c>
      <c r="R19" s="484">
        <f>IF((O19-600000)&lt;0,0,IF((O19-600000)&lt;500000,0.15*(O19-600000),75000))</f>
        <v>75000</v>
      </c>
      <c r="S19" s="484">
        <f>IF((O19-1100000)&lt;0,0,IF((O19-1100000)&lt;500000,0.19*(O19-1100000),95000))</f>
        <v>95000</v>
      </c>
      <c r="T19" s="484">
        <f>IF((O19-1600000)&lt;0,0,IF((O19-1600000)&lt;1600000,0.21*(O19-1600000),336000))</f>
        <v>336000</v>
      </c>
      <c r="U19" s="484">
        <f t="shared" si="10"/>
        <v>571298.84160000016</v>
      </c>
      <c r="V19" s="484">
        <f>P19+Q19+R19+S19+T19+U19</f>
        <v>1131298.8416000002</v>
      </c>
      <c r="W19" s="488">
        <v>12</v>
      </c>
      <c r="X19" s="484">
        <f>V19/W19</f>
        <v>94274.903466666685</v>
      </c>
      <c r="Y19" s="484"/>
      <c r="Z19" s="554">
        <f>X19</f>
        <v>94274.903466666685</v>
      </c>
      <c r="AA19" s="489">
        <v>46666.666666666664</v>
      </c>
      <c r="AB19" s="489">
        <f t="shared" si="15"/>
        <v>47608.236800000021</v>
      </c>
      <c r="AC19" s="489"/>
      <c r="AD19" s="489"/>
      <c r="AE19" s="489"/>
    </row>
    <row r="20" spans="1:31" ht="18.75">
      <c r="A20" s="553">
        <v>17</v>
      </c>
      <c r="B20" s="432" t="s">
        <v>253</v>
      </c>
      <c r="C20" s="491">
        <v>537895.16666666674</v>
      </c>
      <c r="D20" s="485">
        <v>12</v>
      </c>
      <c r="E20" s="484">
        <f t="shared" si="14"/>
        <v>6454742.0000000009</v>
      </c>
      <c r="F20" s="484"/>
      <c r="G20" s="484">
        <v>362779.36</v>
      </c>
      <c r="H20" s="484"/>
      <c r="I20" s="484">
        <f t="shared" si="0"/>
        <v>6091962.6400000006</v>
      </c>
      <c r="J20" s="484">
        <v>200000</v>
      </c>
      <c r="K20" s="484">
        <v>0.2</v>
      </c>
      <c r="L20" s="484">
        <f t="shared" si="1"/>
        <v>1218392.5280000002</v>
      </c>
      <c r="M20" s="484">
        <f t="shared" si="2"/>
        <v>1418392.5280000002</v>
      </c>
      <c r="N20" s="484">
        <f t="shared" si="3"/>
        <v>1781171.8880000003</v>
      </c>
      <c r="O20" s="484">
        <f t="shared" si="4"/>
        <v>4673570.1120000007</v>
      </c>
      <c r="P20" s="484">
        <f t="shared" si="5"/>
        <v>21000</v>
      </c>
      <c r="Q20" s="484">
        <f t="shared" si="6"/>
        <v>33000</v>
      </c>
      <c r="R20" s="484">
        <f t="shared" si="7"/>
        <v>75000</v>
      </c>
      <c r="S20" s="484">
        <f t="shared" si="8"/>
        <v>95000</v>
      </c>
      <c r="T20" s="484">
        <f t="shared" si="9"/>
        <v>336000</v>
      </c>
      <c r="U20" s="484">
        <f t="shared" si="10"/>
        <v>353656.82688000012</v>
      </c>
      <c r="V20" s="484">
        <f t="shared" si="11"/>
        <v>913656.82688000007</v>
      </c>
      <c r="W20" s="488">
        <v>12</v>
      </c>
      <c r="X20" s="484">
        <f t="shared" si="12"/>
        <v>76138.068906666667</v>
      </c>
      <c r="Y20" s="484"/>
      <c r="Z20" s="554">
        <f t="shared" si="13"/>
        <v>76138.068906666667</v>
      </c>
      <c r="AA20" s="489">
        <v>52497.770378666646</v>
      </c>
      <c r="AB20" s="489">
        <f t="shared" si="15"/>
        <v>23640.298528000021</v>
      </c>
      <c r="AC20" s="489"/>
      <c r="AD20" s="489"/>
      <c r="AE20" s="489"/>
    </row>
    <row r="21" spans="1:31" ht="18.75">
      <c r="A21" s="553">
        <v>18</v>
      </c>
      <c r="B21" s="365" t="s">
        <v>321</v>
      </c>
      <c r="C21" s="491">
        <v>553512.5</v>
      </c>
      <c r="D21" s="485">
        <v>12</v>
      </c>
      <c r="E21" s="484">
        <f t="shared" si="14"/>
        <v>6642150</v>
      </c>
      <c r="F21" s="484"/>
      <c r="G21" s="484">
        <v>339372</v>
      </c>
      <c r="H21" s="484"/>
      <c r="I21" s="484">
        <f t="shared" si="0"/>
        <v>6302778</v>
      </c>
      <c r="J21" s="484">
        <v>200000</v>
      </c>
      <c r="K21" s="484">
        <v>0.2</v>
      </c>
      <c r="L21" s="484">
        <f>I21*K21</f>
        <v>1260555.6000000001</v>
      </c>
      <c r="M21" s="484">
        <f>J21+L21</f>
        <v>1460555.6</v>
      </c>
      <c r="N21" s="484">
        <f t="shared" si="3"/>
        <v>1799927.6</v>
      </c>
      <c r="O21" s="484">
        <f t="shared" si="4"/>
        <v>4842222.4000000004</v>
      </c>
      <c r="P21" s="484">
        <f>IF(O21&lt;300000,0.07*O21,21000)</f>
        <v>21000</v>
      </c>
      <c r="Q21" s="484">
        <f>IF((O21-300000)&lt;0,0,IF((O21-300000)&lt;300000,0.11*(O21-300000),33000))</f>
        <v>33000</v>
      </c>
      <c r="R21" s="484">
        <f>IF((O21-600000)&lt;0,0,IF((O21-600000)&lt;500000,0.15*(O21-600000),75000))</f>
        <v>75000</v>
      </c>
      <c r="S21" s="484">
        <f>IF((O21-1100000)&lt;0,0,IF((O21-1100000)&lt;500000,0.19*(O21-1100000),95000))</f>
        <v>95000</v>
      </c>
      <c r="T21" s="484">
        <f>IF((O21-1600000)&lt;0,0,IF((O21-1600000)&lt;1600000,0.21*(O21-1600000),336000))</f>
        <v>336000</v>
      </c>
      <c r="U21" s="484">
        <f t="shared" si="10"/>
        <v>394133.37600000005</v>
      </c>
      <c r="V21" s="484">
        <f>P21+Q21+R21+S21+T21+U21</f>
        <v>954133.37600000005</v>
      </c>
      <c r="W21" s="488">
        <v>12</v>
      </c>
      <c r="X21" s="484">
        <f>V21/W21</f>
        <v>79511.114666666675</v>
      </c>
      <c r="Y21" s="484"/>
      <c r="Z21" s="554">
        <f>X21</f>
        <v>79511.114666666675</v>
      </c>
      <c r="AA21" s="489">
        <v>46666.666666666664</v>
      </c>
      <c r="AB21" s="489">
        <f t="shared" si="15"/>
        <v>32844.448000000011</v>
      </c>
      <c r="AC21" s="489"/>
      <c r="AD21" s="489"/>
      <c r="AE21" s="489"/>
    </row>
    <row r="22" spans="1:31" ht="18.75">
      <c r="A22" s="553">
        <v>19</v>
      </c>
      <c r="B22" s="432" t="s">
        <v>756</v>
      </c>
      <c r="C22" s="491">
        <v>463512.5</v>
      </c>
      <c r="D22" s="485">
        <v>12</v>
      </c>
      <c r="E22" s="484">
        <f t="shared" si="14"/>
        <v>5562150</v>
      </c>
      <c r="F22" s="484"/>
      <c r="G22" s="484">
        <v>339372</v>
      </c>
      <c r="H22" s="484"/>
      <c r="I22" s="484">
        <f t="shared" si="0"/>
        <v>5222778</v>
      </c>
      <c r="J22" s="484">
        <v>200000</v>
      </c>
      <c r="K22" s="484">
        <v>0.2</v>
      </c>
      <c r="L22" s="484">
        <f>I22*K22</f>
        <v>1044555.6000000001</v>
      </c>
      <c r="M22" s="484">
        <f>J22+L22</f>
        <v>1244555.6000000001</v>
      </c>
      <c r="N22" s="484">
        <f t="shared" si="3"/>
        <v>1583927.6</v>
      </c>
      <c r="O22" s="484">
        <f t="shared" si="4"/>
        <v>3978222.4</v>
      </c>
      <c r="P22" s="484">
        <f>IF(O22&lt;300000,0.07*O22,21000)</f>
        <v>21000</v>
      </c>
      <c r="Q22" s="484">
        <f>IF((O22-300000)&lt;0,0,IF((O22-300000)&lt;300000,0.11*(O22-300000),33000))</f>
        <v>33000</v>
      </c>
      <c r="R22" s="484">
        <f>IF((O22-600000)&lt;0,0,IF((O22-600000)&lt;500000,0.15*(O22-600000),75000))</f>
        <v>75000</v>
      </c>
      <c r="S22" s="484">
        <f>IF((O22-1100000)&lt;0,0,IF((O22-1100000)&lt;500000,0.19*(O22-1100000),95000))</f>
        <v>95000</v>
      </c>
      <c r="T22" s="484">
        <f>IF((O22-1600000)&lt;0,0,IF((O22-1600000)&lt;1600000,0.21*(O22-1600000),336000))</f>
        <v>336000</v>
      </c>
      <c r="U22" s="484">
        <f t="shared" si="10"/>
        <v>186773.37599999996</v>
      </c>
      <c r="V22" s="484">
        <f>P22+Q22+R22+S22+T22+U22</f>
        <v>746773.37599999993</v>
      </c>
      <c r="W22" s="488">
        <v>12</v>
      </c>
      <c r="X22" s="484">
        <f>V22/W22</f>
        <v>62231.114666666661</v>
      </c>
      <c r="Y22" s="484"/>
      <c r="Z22" s="554">
        <f>X22</f>
        <v>62231.114666666661</v>
      </c>
      <c r="AA22" s="489">
        <v>46666.666666666664</v>
      </c>
      <c r="AB22" s="489">
        <f t="shared" si="15"/>
        <v>15564.447999999997</v>
      </c>
      <c r="AC22" s="489"/>
      <c r="AD22" s="489"/>
      <c r="AE22" s="489"/>
    </row>
    <row r="23" spans="1:31" ht="18.75">
      <c r="A23" s="553">
        <v>20</v>
      </c>
      <c r="B23" s="365" t="s">
        <v>741</v>
      </c>
      <c r="C23" s="491">
        <v>453029.66666666669</v>
      </c>
      <c r="D23" s="485">
        <v>12</v>
      </c>
      <c r="E23" s="484">
        <f t="shared" si="14"/>
        <v>5436356</v>
      </c>
      <c r="F23" s="484"/>
      <c r="G23" s="484">
        <v>281308.48000000004</v>
      </c>
      <c r="H23" s="484"/>
      <c r="I23" s="484">
        <f t="shared" si="0"/>
        <v>5155047.5199999996</v>
      </c>
      <c r="J23" s="484">
        <v>200000</v>
      </c>
      <c r="K23" s="484">
        <v>0.2</v>
      </c>
      <c r="L23" s="484">
        <f t="shared" si="1"/>
        <v>1031009.504</v>
      </c>
      <c r="M23" s="484">
        <f t="shared" si="2"/>
        <v>1231009.504</v>
      </c>
      <c r="N23" s="484">
        <f t="shared" si="3"/>
        <v>1512317.9839999999</v>
      </c>
      <c r="O23" s="484">
        <f t="shared" si="4"/>
        <v>3924038.0159999998</v>
      </c>
      <c r="P23" s="484">
        <f t="shared" si="5"/>
        <v>21000</v>
      </c>
      <c r="Q23" s="484">
        <f t="shared" si="6"/>
        <v>33000</v>
      </c>
      <c r="R23" s="484">
        <f t="shared" si="7"/>
        <v>75000</v>
      </c>
      <c r="S23" s="484">
        <f t="shared" si="8"/>
        <v>95000</v>
      </c>
      <c r="T23" s="484">
        <f t="shared" si="9"/>
        <v>336000</v>
      </c>
      <c r="U23" s="484">
        <f t="shared" si="10"/>
        <v>173769.12383999996</v>
      </c>
      <c r="V23" s="484">
        <f t="shared" si="11"/>
        <v>733769.12384000001</v>
      </c>
      <c r="W23" s="488">
        <v>12</v>
      </c>
      <c r="X23" s="484">
        <f t="shared" si="12"/>
        <v>61147.426986666665</v>
      </c>
      <c r="Y23" s="484"/>
      <c r="Z23" s="554">
        <f t="shared" si="13"/>
        <v>61147.426986666665</v>
      </c>
      <c r="AA23" s="489">
        <v>42371.815728666676</v>
      </c>
      <c r="AB23" s="489">
        <f t="shared" si="15"/>
        <v>18775.61125799999</v>
      </c>
      <c r="AC23" s="489"/>
      <c r="AD23" s="489"/>
      <c r="AE23" s="489"/>
    </row>
    <row r="24" spans="1:31" ht="18.75">
      <c r="A24" s="553">
        <v>21</v>
      </c>
      <c r="B24" s="357" t="s">
        <v>434</v>
      </c>
      <c r="C24" s="491">
        <v>330481.66666666669</v>
      </c>
      <c r="D24" s="485">
        <v>12</v>
      </c>
      <c r="E24" s="484">
        <f t="shared" si="14"/>
        <v>3965780</v>
      </c>
      <c r="F24" s="484"/>
      <c r="G24" s="484">
        <v>259662.40000000002</v>
      </c>
      <c r="H24" s="484"/>
      <c r="I24" s="484">
        <f t="shared" si="0"/>
        <v>3706117.6</v>
      </c>
      <c r="J24" s="484">
        <v>200000</v>
      </c>
      <c r="K24" s="484">
        <v>0.2</v>
      </c>
      <c r="L24" s="484">
        <f>I24*K24</f>
        <v>741223.52</v>
      </c>
      <c r="M24" s="484">
        <f>J24+L24</f>
        <v>941223.52</v>
      </c>
      <c r="N24" s="484">
        <f t="shared" si="3"/>
        <v>1200885.92</v>
      </c>
      <c r="O24" s="484">
        <f t="shared" si="4"/>
        <v>2764894.08</v>
      </c>
      <c r="P24" s="484">
        <f>IF(O24&lt;300000,0.07*O24,21000)</f>
        <v>21000</v>
      </c>
      <c r="Q24" s="484">
        <f>IF((O24-300000)&lt;0,0,IF((O24-300000)&lt;300000,0.11*(O24-300000),33000))</f>
        <v>33000</v>
      </c>
      <c r="R24" s="484">
        <f>IF((O24-600000)&lt;0,0,IF((O24-600000)&lt;500000,0.15*(O24-600000),75000))</f>
        <v>75000</v>
      </c>
      <c r="S24" s="484">
        <f>IF((O24-1100000)&lt;0,0,IF((O24-1100000)&lt;500000,0.19*(O24-1100000),95000))</f>
        <v>95000</v>
      </c>
      <c r="T24" s="484">
        <f>IF((O24-1600000)&lt;0,0,IF((O24-1600000)&lt;1600000,0.21*(O24-1600000),336000))</f>
        <v>244627.7568</v>
      </c>
      <c r="U24" s="484"/>
      <c r="V24" s="484">
        <f>P24+Q24+R24+S24+T24+U24</f>
        <v>468627.75679999997</v>
      </c>
      <c r="W24" s="488">
        <v>12</v>
      </c>
      <c r="X24" s="484">
        <f>V24/W24</f>
        <v>39052.313066666662</v>
      </c>
      <c r="Y24" s="484"/>
      <c r="Z24" s="554">
        <f>X24</f>
        <v>39052.313066666662</v>
      </c>
      <c r="AA24" s="489">
        <v>23036.01234666667</v>
      </c>
      <c r="AB24" s="489">
        <f t="shared" si="15"/>
        <v>16016.300719999992</v>
      </c>
      <c r="AC24" s="489"/>
      <c r="AD24" s="489"/>
      <c r="AE24" s="489"/>
    </row>
    <row r="25" spans="1:31" ht="18.75">
      <c r="A25" s="553">
        <v>22</v>
      </c>
      <c r="B25" s="364" t="s">
        <v>254</v>
      </c>
      <c r="C25" s="491">
        <v>330481.66666666669</v>
      </c>
      <c r="D25" s="485">
        <v>12</v>
      </c>
      <c r="E25" s="484">
        <f t="shared" si="14"/>
        <v>3965780</v>
      </c>
      <c r="F25" s="484"/>
      <c r="G25" s="484">
        <v>259662.40000000002</v>
      </c>
      <c r="H25" s="484"/>
      <c r="I25" s="484">
        <f t="shared" si="0"/>
        <v>3706117.6</v>
      </c>
      <c r="J25" s="484">
        <v>200000</v>
      </c>
      <c r="K25" s="484">
        <v>0.2</v>
      </c>
      <c r="L25" s="484">
        <f>I25*K25</f>
        <v>741223.52</v>
      </c>
      <c r="M25" s="484">
        <f>J25+L25</f>
        <v>941223.52</v>
      </c>
      <c r="N25" s="484">
        <f t="shared" si="3"/>
        <v>1200885.92</v>
      </c>
      <c r="O25" s="484">
        <f t="shared" si="4"/>
        <v>2764894.08</v>
      </c>
      <c r="P25" s="484">
        <f>IF(O25&lt;300000,0.07*O25,21000)</f>
        <v>21000</v>
      </c>
      <c r="Q25" s="484">
        <f>IF((O25-300000)&lt;0,0,IF((O25-300000)&lt;300000,0.11*(O25-300000),33000))</f>
        <v>33000</v>
      </c>
      <c r="R25" s="484">
        <f>IF((O25-600000)&lt;0,0,IF((O25-600000)&lt;500000,0.15*(O25-600000),75000))</f>
        <v>75000</v>
      </c>
      <c r="S25" s="484">
        <f>IF((O25-1100000)&lt;0,0,IF((O25-1100000)&lt;500000,0.19*(O25-1100000),95000))</f>
        <v>95000</v>
      </c>
      <c r="T25" s="484">
        <f>IF((O25-1600000)&lt;0,0,IF((O25-1600000)&lt;1600000,0.21*(O25-1600000),336000))</f>
        <v>244627.7568</v>
      </c>
      <c r="U25" s="484"/>
      <c r="V25" s="484">
        <f>P25+Q25+R25+S25+T25+U25</f>
        <v>468627.75679999997</v>
      </c>
      <c r="W25" s="488">
        <v>12</v>
      </c>
      <c r="X25" s="484">
        <f>V25/W25</f>
        <v>39052.313066666662</v>
      </c>
      <c r="Y25" s="484"/>
      <c r="Z25" s="554">
        <f>X25</f>
        <v>39052.313066666662</v>
      </c>
      <c r="AA25" s="489">
        <v>23036.01234666667</v>
      </c>
      <c r="AB25" s="489">
        <f t="shared" si="15"/>
        <v>16016.300719999992</v>
      </c>
      <c r="AC25" s="489"/>
      <c r="AD25" s="489"/>
      <c r="AE25" s="489"/>
    </row>
    <row r="26" spans="1:31" ht="18.75">
      <c r="A26" s="553">
        <v>23</v>
      </c>
      <c r="B26" s="432" t="s">
        <v>320</v>
      </c>
      <c r="C26" s="491">
        <v>370481.66666666669</v>
      </c>
      <c r="D26" s="485">
        <v>12</v>
      </c>
      <c r="E26" s="484">
        <f t="shared" si="14"/>
        <v>4445780</v>
      </c>
      <c r="F26" s="484"/>
      <c r="G26" s="484">
        <v>259662.40000000002</v>
      </c>
      <c r="H26" s="484"/>
      <c r="I26" s="484">
        <f t="shared" si="0"/>
        <v>4186117.6</v>
      </c>
      <c r="J26" s="484">
        <v>200000</v>
      </c>
      <c r="K26" s="484">
        <v>0.2</v>
      </c>
      <c r="L26" s="484">
        <f>I26*K26</f>
        <v>837223.52</v>
      </c>
      <c r="M26" s="484">
        <f>J26+L26</f>
        <v>1037223.52</v>
      </c>
      <c r="N26" s="484">
        <f t="shared" si="3"/>
        <v>1296885.92</v>
      </c>
      <c r="O26" s="484">
        <f t="shared" si="4"/>
        <v>3148894.08</v>
      </c>
      <c r="P26" s="484">
        <f>IF(O26&lt;300000,0.07*O26,21000)</f>
        <v>21000</v>
      </c>
      <c r="Q26" s="484">
        <f>IF((O26-300000)&lt;0,0,IF((O26-300000)&lt;300000,0.11*(O26-300000),33000))</f>
        <v>33000</v>
      </c>
      <c r="R26" s="484">
        <f>IF((O26-600000)&lt;0,0,IF((O26-600000)&lt;500000,0.15*(O26-600000),75000))</f>
        <v>75000</v>
      </c>
      <c r="S26" s="484">
        <f>IF((O26-1100000)&lt;0,0,IF((O26-1100000)&lt;500000,0.19*(O26-1100000),95000))</f>
        <v>95000</v>
      </c>
      <c r="T26" s="484">
        <f>IF((O26-1600000)&lt;0,0,IF((O26-1600000)&lt;1600000,0.21*(O26-1600000),336000))</f>
        <v>325267.75680000003</v>
      </c>
      <c r="U26" s="484"/>
      <c r="V26" s="484">
        <f>P26+Q26+R26+S26+T26+U26</f>
        <v>549267.75680000009</v>
      </c>
      <c r="W26" s="488">
        <v>12</v>
      </c>
      <c r="X26" s="484">
        <f>V26/W26</f>
        <v>45772.313066666677</v>
      </c>
      <c r="Y26" s="484"/>
      <c r="Z26" s="554">
        <f>X26</f>
        <v>45772.313066666677</v>
      </c>
      <c r="AA26" s="489">
        <v>29756.01234666667</v>
      </c>
      <c r="AB26" s="489">
        <f t="shared" si="15"/>
        <v>16016.300720000007</v>
      </c>
      <c r="AC26" s="489"/>
      <c r="AD26" s="489"/>
      <c r="AE26" s="489"/>
    </row>
    <row r="27" spans="1:31" ht="37.5">
      <c r="A27" s="553">
        <v>24</v>
      </c>
      <c r="B27" s="364" t="s">
        <v>288</v>
      </c>
      <c r="C27" s="491">
        <v>323165.33333333331</v>
      </c>
      <c r="D27" s="485">
        <v>12</v>
      </c>
      <c r="E27" s="484">
        <f t="shared" si="14"/>
        <v>3877984</v>
      </c>
      <c r="F27" s="484"/>
      <c r="G27" s="484">
        <v>252638.71999999997</v>
      </c>
      <c r="H27" s="484"/>
      <c r="I27" s="484">
        <f t="shared" si="0"/>
        <v>3625345.2800000003</v>
      </c>
      <c r="J27" s="484">
        <v>200000</v>
      </c>
      <c r="K27" s="484">
        <v>0.2</v>
      </c>
      <c r="L27" s="484">
        <f t="shared" ref="L27" si="16">I27*K27</f>
        <v>725069.0560000001</v>
      </c>
      <c r="M27" s="484">
        <f t="shared" ref="M27" si="17">J27+L27</f>
        <v>925069.0560000001</v>
      </c>
      <c r="N27" s="484">
        <f t="shared" si="3"/>
        <v>1177707.7760000001</v>
      </c>
      <c r="O27" s="484">
        <f t="shared" si="4"/>
        <v>2700276.2239999999</v>
      </c>
      <c r="P27" s="484">
        <f t="shared" ref="P27" si="18">IF(O27&lt;300000,0.07*O27,21000)</f>
        <v>21000</v>
      </c>
      <c r="Q27" s="484">
        <f t="shared" ref="Q27" si="19">IF((O27-300000)&lt;0,0,IF((O27-300000)&lt;300000,0.11*(O27-300000),33000))</f>
        <v>33000</v>
      </c>
      <c r="R27" s="484">
        <f t="shared" ref="R27" si="20">IF((O27-600000)&lt;0,0,IF((O27-600000)&lt;500000,0.15*(O27-600000),75000))</f>
        <v>75000</v>
      </c>
      <c r="S27" s="484">
        <f t="shared" ref="S27" si="21">IF((O27-1100000)&lt;0,0,IF((O27-1100000)&lt;500000,0.19*(O27-1100000),95000))</f>
        <v>95000</v>
      </c>
      <c r="T27" s="484">
        <f t="shared" ref="T27" si="22">IF((O27-1600000)&lt;0,0,IF((O27-1600000)&lt;1600000,0.21*(O27-1600000),336000))</f>
        <v>231058.00703999997</v>
      </c>
      <c r="U27" s="484"/>
      <c r="V27" s="484">
        <f t="shared" ref="V27" si="23">P27+Q27+R27+S27+T27+U27</f>
        <v>455058.00703999994</v>
      </c>
      <c r="W27" s="488">
        <v>12</v>
      </c>
      <c r="X27" s="484">
        <f t="shared" ref="X27" si="24">V27/W27</f>
        <v>37921.500586666662</v>
      </c>
      <c r="Y27" s="484"/>
      <c r="Z27" s="554">
        <f t="shared" ref="Z27" si="25">X27</f>
        <v>37921.500586666662</v>
      </c>
      <c r="AA27" s="489">
        <v>22338.48260466666</v>
      </c>
      <c r="AB27" s="489">
        <f t="shared" si="15"/>
        <v>15583.017982000001</v>
      </c>
      <c r="AC27" s="489"/>
      <c r="AD27" s="489"/>
      <c r="AE27" s="489"/>
    </row>
    <row r="28" spans="1:31" ht="18.75">
      <c r="A28" s="553">
        <v>25</v>
      </c>
      <c r="B28" s="364" t="s">
        <v>328</v>
      </c>
      <c r="C28" s="491">
        <v>315849</v>
      </c>
      <c r="D28" s="485">
        <v>12</v>
      </c>
      <c r="E28" s="484">
        <f t="shared" si="14"/>
        <v>3790188</v>
      </c>
      <c r="F28" s="484"/>
      <c r="G28" s="484">
        <v>245615.04000000004</v>
      </c>
      <c r="H28" s="484"/>
      <c r="I28" s="484">
        <f t="shared" si="0"/>
        <v>3544572.96</v>
      </c>
      <c r="J28" s="484">
        <v>200000</v>
      </c>
      <c r="K28" s="484">
        <v>0.2</v>
      </c>
      <c r="L28" s="484">
        <f t="shared" si="1"/>
        <v>708914.59200000006</v>
      </c>
      <c r="M28" s="484">
        <f t="shared" si="2"/>
        <v>908914.59200000006</v>
      </c>
      <c r="N28" s="484">
        <f t="shared" si="3"/>
        <v>1154529.6320000002</v>
      </c>
      <c r="O28" s="484">
        <f t="shared" si="4"/>
        <v>2635658.3679999998</v>
      </c>
      <c r="P28" s="484">
        <f t="shared" si="5"/>
        <v>21000</v>
      </c>
      <c r="Q28" s="484">
        <f t="shared" si="6"/>
        <v>33000</v>
      </c>
      <c r="R28" s="484">
        <f t="shared" si="7"/>
        <v>75000</v>
      </c>
      <c r="S28" s="484">
        <f t="shared" si="8"/>
        <v>95000</v>
      </c>
      <c r="T28" s="484">
        <f t="shared" si="9"/>
        <v>217488.25727999993</v>
      </c>
      <c r="U28" s="484"/>
      <c r="V28" s="484">
        <f t="shared" si="11"/>
        <v>441488.2572799999</v>
      </c>
      <c r="W28" s="488">
        <v>12</v>
      </c>
      <c r="X28" s="484">
        <f t="shared" si="12"/>
        <v>36790.688106666661</v>
      </c>
      <c r="Y28" s="484"/>
      <c r="Z28" s="554">
        <f t="shared" si="13"/>
        <v>36790.688106666661</v>
      </c>
      <c r="AA28" s="489">
        <v>21640.952862666669</v>
      </c>
      <c r="AB28" s="489">
        <f t="shared" si="15"/>
        <v>15149.735243999992</v>
      </c>
      <c r="AC28" s="489"/>
      <c r="AD28" s="489"/>
      <c r="AE28" s="489"/>
    </row>
    <row r="29" spans="1:31" ht="37.5">
      <c r="A29" s="553">
        <v>26</v>
      </c>
      <c r="B29" s="364" t="s">
        <v>757</v>
      </c>
      <c r="C29" s="491">
        <v>315849</v>
      </c>
      <c r="D29" s="485">
        <v>12</v>
      </c>
      <c r="E29" s="484">
        <f t="shared" si="14"/>
        <v>3790188</v>
      </c>
      <c r="F29" s="484"/>
      <c r="G29" s="484">
        <v>245615.04000000004</v>
      </c>
      <c r="H29" s="484"/>
      <c r="I29" s="484">
        <f t="shared" si="0"/>
        <v>3544572.96</v>
      </c>
      <c r="J29" s="484">
        <v>200000</v>
      </c>
      <c r="K29" s="484">
        <v>0.2</v>
      </c>
      <c r="L29" s="484">
        <f t="shared" si="1"/>
        <v>708914.59200000006</v>
      </c>
      <c r="M29" s="484">
        <f t="shared" si="2"/>
        <v>908914.59200000006</v>
      </c>
      <c r="N29" s="484">
        <f t="shared" si="3"/>
        <v>1154529.6320000002</v>
      </c>
      <c r="O29" s="484">
        <f t="shared" si="4"/>
        <v>2635658.3679999998</v>
      </c>
      <c r="P29" s="484">
        <f t="shared" si="5"/>
        <v>21000</v>
      </c>
      <c r="Q29" s="484">
        <f t="shared" si="6"/>
        <v>33000</v>
      </c>
      <c r="R29" s="484">
        <f t="shared" si="7"/>
        <v>75000</v>
      </c>
      <c r="S29" s="484">
        <f t="shared" si="8"/>
        <v>95000</v>
      </c>
      <c r="T29" s="484">
        <f t="shared" si="9"/>
        <v>217488.25727999993</v>
      </c>
      <c r="U29" s="484"/>
      <c r="V29" s="484">
        <f t="shared" si="11"/>
        <v>441488.2572799999</v>
      </c>
      <c r="W29" s="488">
        <v>12</v>
      </c>
      <c r="X29" s="484">
        <f t="shared" si="12"/>
        <v>36790.688106666661</v>
      </c>
      <c r="Y29" s="484"/>
      <c r="Z29" s="554">
        <f t="shared" si="13"/>
        <v>36790.688106666661</v>
      </c>
      <c r="AA29" s="489">
        <v>21640.952862666669</v>
      </c>
      <c r="AB29" s="489">
        <f t="shared" si="15"/>
        <v>15149.735243999992</v>
      </c>
      <c r="AC29" s="489"/>
      <c r="AD29" s="489"/>
      <c r="AE29" s="489"/>
    </row>
    <row r="30" spans="1:31" ht="18.75">
      <c r="A30" s="553">
        <v>27</v>
      </c>
      <c r="B30" s="364" t="s">
        <v>360</v>
      </c>
      <c r="C30" s="491">
        <v>330481.66666666669</v>
      </c>
      <c r="D30" s="485">
        <v>12</v>
      </c>
      <c r="E30" s="484">
        <f t="shared" si="14"/>
        <v>3965780</v>
      </c>
      <c r="F30" s="484"/>
      <c r="G30" s="484">
        <v>259662.40000000002</v>
      </c>
      <c r="H30" s="484"/>
      <c r="I30" s="484">
        <f t="shared" si="0"/>
        <v>3706117.6</v>
      </c>
      <c r="J30" s="484">
        <v>200000</v>
      </c>
      <c r="K30" s="484">
        <v>0.2</v>
      </c>
      <c r="L30" s="484">
        <f t="shared" si="1"/>
        <v>741223.52</v>
      </c>
      <c r="M30" s="484">
        <f t="shared" si="2"/>
        <v>941223.52</v>
      </c>
      <c r="N30" s="484">
        <f t="shared" si="3"/>
        <v>1200885.92</v>
      </c>
      <c r="O30" s="484">
        <f t="shared" si="4"/>
        <v>2764894.08</v>
      </c>
      <c r="P30" s="484">
        <f t="shared" si="5"/>
        <v>21000</v>
      </c>
      <c r="Q30" s="484">
        <f t="shared" si="6"/>
        <v>33000</v>
      </c>
      <c r="R30" s="484">
        <f t="shared" si="7"/>
        <v>75000</v>
      </c>
      <c r="S30" s="484">
        <f t="shared" si="8"/>
        <v>95000</v>
      </c>
      <c r="T30" s="484">
        <f t="shared" si="9"/>
        <v>244627.7568</v>
      </c>
      <c r="U30" s="484"/>
      <c r="V30" s="484">
        <f t="shared" si="11"/>
        <v>468627.75679999997</v>
      </c>
      <c r="W30" s="488">
        <v>12</v>
      </c>
      <c r="X30" s="484">
        <f t="shared" si="12"/>
        <v>39052.313066666662</v>
      </c>
      <c r="Y30" s="484"/>
      <c r="Z30" s="554">
        <f t="shared" si="13"/>
        <v>39052.313066666662</v>
      </c>
      <c r="AA30" s="489">
        <v>22338.48260466666</v>
      </c>
      <c r="AB30" s="489">
        <f t="shared" si="15"/>
        <v>16713.830462000002</v>
      </c>
      <c r="AC30" s="489"/>
      <c r="AD30" s="489"/>
      <c r="AE30" s="489"/>
    </row>
    <row r="31" spans="1:31" ht="18.75">
      <c r="A31" s="553">
        <v>28</v>
      </c>
      <c r="B31" s="364" t="s">
        <v>330</v>
      </c>
      <c r="C31" s="491">
        <v>280631.91666666663</v>
      </c>
      <c r="D31" s="485">
        <v>12</v>
      </c>
      <c r="E31" s="484">
        <f t="shared" si="14"/>
        <v>3367582.9999999995</v>
      </c>
      <c r="F31" s="484"/>
      <c r="G31" s="555">
        <v>221406.64</v>
      </c>
      <c r="H31" s="484"/>
      <c r="I31" s="484">
        <f t="shared" si="0"/>
        <v>3146176.3599999994</v>
      </c>
      <c r="J31" s="484">
        <v>200000</v>
      </c>
      <c r="K31" s="484">
        <v>0.2</v>
      </c>
      <c r="L31" s="484">
        <f t="shared" si="1"/>
        <v>629235.27199999988</v>
      </c>
      <c r="M31" s="484">
        <f t="shared" si="2"/>
        <v>829235.27199999988</v>
      </c>
      <c r="N31" s="484">
        <f t="shared" si="3"/>
        <v>1050641.912</v>
      </c>
      <c r="O31" s="484">
        <f t="shared" si="4"/>
        <v>2316941.0879999995</v>
      </c>
      <c r="P31" s="484">
        <f t="shared" si="5"/>
        <v>21000</v>
      </c>
      <c r="Q31" s="484">
        <f t="shared" si="6"/>
        <v>33000</v>
      </c>
      <c r="R31" s="484">
        <f t="shared" si="7"/>
        <v>75000</v>
      </c>
      <c r="S31" s="484">
        <f t="shared" si="8"/>
        <v>95000</v>
      </c>
      <c r="T31" s="484">
        <f t="shared" si="9"/>
        <v>150557.6284799999</v>
      </c>
      <c r="U31" s="484"/>
      <c r="V31" s="484">
        <f t="shared" si="11"/>
        <v>374557.6284799999</v>
      </c>
      <c r="W31" s="488">
        <v>12</v>
      </c>
      <c r="X31" s="484">
        <f t="shared" si="12"/>
        <v>31213.135706666657</v>
      </c>
      <c r="Y31" s="484"/>
      <c r="Z31" s="554">
        <f t="shared" si="13"/>
        <v>31213.135706666657</v>
      </c>
      <c r="AA31" s="489">
        <v>17572.88500266667</v>
      </c>
      <c r="AB31" s="489">
        <f t="shared" si="15"/>
        <v>13640.250703999987</v>
      </c>
      <c r="AC31" s="489"/>
      <c r="AD31" s="489"/>
      <c r="AE31" s="489"/>
    </row>
    <row r="32" spans="1:31" ht="18.75">
      <c r="A32" s="553">
        <v>29</v>
      </c>
      <c r="B32" s="364" t="s">
        <v>555</v>
      </c>
      <c r="C32" s="491">
        <v>274459.75</v>
      </c>
      <c r="D32" s="485">
        <v>12</v>
      </c>
      <c r="E32" s="484">
        <f t="shared" si="14"/>
        <v>3293517</v>
      </c>
      <c r="F32" s="484"/>
      <c r="G32" s="555">
        <f>17956.78*12</f>
        <v>215481.36</v>
      </c>
      <c r="H32" s="484"/>
      <c r="I32" s="484">
        <f t="shared" si="0"/>
        <v>3078035.64</v>
      </c>
      <c r="J32" s="484">
        <v>200000</v>
      </c>
      <c r="K32" s="484">
        <v>0.2</v>
      </c>
      <c r="L32" s="484">
        <f t="shared" si="1"/>
        <v>615607.12800000003</v>
      </c>
      <c r="M32" s="484">
        <f t="shared" si="2"/>
        <v>815607.12800000003</v>
      </c>
      <c r="N32" s="484">
        <f t="shared" si="3"/>
        <v>1031088.488</v>
      </c>
      <c r="O32" s="484">
        <f t="shared" si="4"/>
        <v>2262428.5120000001</v>
      </c>
      <c r="P32" s="484">
        <f t="shared" si="5"/>
        <v>21000</v>
      </c>
      <c r="Q32" s="484">
        <f t="shared" si="6"/>
        <v>33000</v>
      </c>
      <c r="R32" s="484">
        <f t="shared" si="7"/>
        <v>75000</v>
      </c>
      <c r="S32" s="484">
        <f t="shared" si="8"/>
        <v>95000</v>
      </c>
      <c r="T32" s="484">
        <f t="shared" si="9"/>
        <v>139109.98752000002</v>
      </c>
      <c r="U32" s="484"/>
      <c r="V32" s="484">
        <f t="shared" si="11"/>
        <v>363109.98752000002</v>
      </c>
      <c r="W32" s="488">
        <v>12</v>
      </c>
      <c r="X32" s="484">
        <f t="shared" si="12"/>
        <v>30259.165626666669</v>
      </c>
      <c r="Y32" s="484"/>
      <c r="Z32" s="554">
        <f t="shared" si="13"/>
        <v>30259.165626666669</v>
      </c>
      <c r="AA32" s="489">
        <v>16512.68219066667</v>
      </c>
      <c r="AB32" s="489">
        <f t="shared" si="15"/>
        <v>13746.483435999999</v>
      </c>
      <c r="AC32" s="489"/>
      <c r="AD32" s="489"/>
      <c r="AE32" s="489"/>
    </row>
    <row r="33" spans="1:31" ht="18.75">
      <c r="A33" s="553">
        <v>31</v>
      </c>
      <c r="B33" s="362"/>
      <c r="C33" s="565"/>
      <c r="D33" s="485"/>
      <c r="E33" s="484"/>
      <c r="F33" s="486"/>
      <c r="G33" s="486"/>
      <c r="H33" s="486"/>
      <c r="I33" s="484"/>
      <c r="J33" s="484"/>
      <c r="K33" s="484"/>
      <c r="L33" s="484"/>
      <c r="M33" s="484"/>
      <c r="N33" s="484"/>
      <c r="O33" s="484"/>
      <c r="P33" s="484"/>
      <c r="Q33" s="484"/>
      <c r="R33" s="484"/>
      <c r="S33" s="484"/>
      <c r="T33" s="484"/>
      <c r="U33" s="484"/>
      <c r="V33" s="484"/>
      <c r="W33" s="488"/>
      <c r="X33" s="484"/>
      <c r="Y33" s="486"/>
      <c r="Z33" s="554"/>
      <c r="AA33" s="489"/>
      <c r="AB33" s="489"/>
      <c r="AC33" s="489"/>
      <c r="AD33" s="489"/>
      <c r="AE33" s="489"/>
    </row>
    <row r="34" spans="1:31" ht="18.75">
      <c r="A34" s="553">
        <v>32</v>
      </c>
      <c r="B34" s="366" t="s">
        <v>284</v>
      </c>
      <c r="C34" s="484"/>
      <c r="D34" s="485"/>
      <c r="E34" s="484"/>
      <c r="F34" s="486"/>
      <c r="G34" s="486"/>
      <c r="H34" s="486"/>
      <c r="I34" s="484"/>
      <c r="J34" s="484"/>
      <c r="K34" s="484"/>
      <c r="L34" s="484"/>
      <c r="M34" s="484"/>
      <c r="N34" s="484"/>
      <c r="O34" s="484"/>
      <c r="P34" s="484"/>
      <c r="Q34" s="484"/>
      <c r="R34" s="484"/>
      <c r="S34" s="484"/>
      <c r="T34" s="484"/>
      <c r="U34" s="484"/>
      <c r="V34" s="484"/>
      <c r="W34" s="488"/>
      <c r="X34" s="484"/>
      <c r="Y34" s="486"/>
      <c r="Z34" s="554"/>
      <c r="AA34" s="489"/>
      <c r="AB34" s="489"/>
      <c r="AC34" s="489"/>
      <c r="AD34" s="489"/>
      <c r="AE34" s="489"/>
    </row>
    <row r="35" spans="1:31" ht="18.75">
      <c r="A35" s="553"/>
      <c r="B35" s="364" t="s">
        <v>361</v>
      </c>
      <c r="C35" s="492">
        <v>1535720</v>
      </c>
      <c r="D35" s="484">
        <v>12</v>
      </c>
      <c r="E35" s="484">
        <f>C35*D35</f>
        <v>18428640</v>
      </c>
      <c r="F35" s="484"/>
      <c r="G35" s="555">
        <v>1378291.2000000002</v>
      </c>
      <c r="H35" s="484"/>
      <c r="I35" s="484">
        <f>E35-F35-G35-H35</f>
        <v>17050348.800000001</v>
      </c>
      <c r="J35" s="484">
        <v>200000</v>
      </c>
      <c r="K35" s="484">
        <v>0.2</v>
      </c>
      <c r="L35" s="484">
        <f>I35*K35</f>
        <v>3410069.7600000002</v>
      </c>
      <c r="M35" s="484">
        <f>J35+L35</f>
        <v>3610069.7600000002</v>
      </c>
      <c r="N35" s="484">
        <f>F35+G35+H35+M35</f>
        <v>4988360.9600000009</v>
      </c>
      <c r="O35" s="484">
        <f>E35-N35</f>
        <v>13440279.039999999</v>
      </c>
      <c r="P35" s="484">
        <f t="shared" si="5"/>
        <v>21000</v>
      </c>
      <c r="Q35" s="484">
        <f t="shared" ref="Q35:Q37" si="26">IF((O35-300000)&lt;0,0,IF((O35-300000)&lt;300000,0.11*(O35-300000),33000))</f>
        <v>33000</v>
      </c>
      <c r="R35" s="484">
        <f t="shared" ref="R35:R37" si="27">IF((O35-600000)&lt;0,0,IF((O35-600000)&lt;500000,0.15*(O35-600000),75000))</f>
        <v>75000</v>
      </c>
      <c r="S35" s="484">
        <f t="shared" ref="S35:S37" si="28">IF((O35-1100000)&lt;0,0,IF((O35-1100000)&lt;500000,0.19*(O35-1100000),95000))</f>
        <v>95000</v>
      </c>
      <c r="T35" s="484">
        <f t="shared" ref="T35:T37" si="29">IF((O35-1600000)&lt;0,0,IF((O35-1600000)&lt;1600000,0.21*(O35-1600000),336000))</f>
        <v>336000</v>
      </c>
      <c r="U35" s="484">
        <f t="shared" si="10"/>
        <v>2457666.9695999995</v>
      </c>
      <c r="V35" s="484">
        <f>P35+Q35+R35+S35+T35+U35</f>
        <v>3017666.9695999995</v>
      </c>
      <c r="W35" s="484">
        <v>12</v>
      </c>
      <c r="X35" s="484">
        <f>V35/W35</f>
        <v>251472.24746666662</v>
      </c>
      <c r="Y35" s="484"/>
      <c r="Z35" s="554">
        <f>X35</f>
        <v>251472.24746666662</v>
      </c>
      <c r="AA35" s="484">
        <v>161106.80685866668</v>
      </c>
      <c r="AB35" s="484">
        <f>Z35-AA35</f>
        <v>90365.440607999946</v>
      </c>
      <c r="AC35" s="489"/>
      <c r="AD35" s="489"/>
      <c r="AE35" s="489"/>
    </row>
    <row r="36" spans="1:31" ht="18.75">
      <c r="A36" s="553"/>
      <c r="B36" s="364" t="s">
        <v>419</v>
      </c>
      <c r="C36" s="484">
        <v>353029.66666666669</v>
      </c>
      <c r="D36" s="485">
        <v>12</v>
      </c>
      <c r="E36" s="484">
        <f>C36*D36</f>
        <v>4236356</v>
      </c>
      <c r="F36" s="484"/>
      <c r="G36" s="555">
        <v>281308.48000000004</v>
      </c>
      <c r="H36" s="484"/>
      <c r="I36" s="484">
        <f>E36-F36-G36-H36</f>
        <v>3955047.52</v>
      </c>
      <c r="J36" s="484">
        <v>200000</v>
      </c>
      <c r="K36" s="484">
        <v>0.2</v>
      </c>
      <c r="L36" s="484">
        <f>I36*K36</f>
        <v>791009.50400000007</v>
      </c>
      <c r="M36" s="484">
        <f>J36+L36</f>
        <v>991009.50400000007</v>
      </c>
      <c r="N36" s="484">
        <f>F36+G36+H36+M36</f>
        <v>1272317.9840000002</v>
      </c>
      <c r="O36" s="484">
        <f>E36-N36</f>
        <v>2964038.0159999998</v>
      </c>
      <c r="P36" s="484">
        <f t="shared" si="5"/>
        <v>21000</v>
      </c>
      <c r="Q36" s="484">
        <f t="shared" si="26"/>
        <v>33000</v>
      </c>
      <c r="R36" s="484">
        <f t="shared" si="27"/>
        <v>75000</v>
      </c>
      <c r="S36" s="484">
        <f t="shared" si="28"/>
        <v>95000</v>
      </c>
      <c r="T36" s="484">
        <f t="shared" si="29"/>
        <v>286447.98335999995</v>
      </c>
      <c r="U36" s="484"/>
      <c r="V36" s="484">
        <f>P36+Q36+R36+S36+T36+U36</f>
        <v>510447.98335999995</v>
      </c>
      <c r="W36" s="484">
        <v>12</v>
      </c>
      <c r="X36" s="484">
        <f>V36/W36</f>
        <v>42537.331946666665</v>
      </c>
      <c r="Y36" s="484"/>
      <c r="Z36" s="554">
        <f>X36</f>
        <v>42537.331946666665</v>
      </c>
      <c r="AA36" s="489">
        <v>17042.713866666661</v>
      </c>
      <c r="AB36" s="484">
        <f t="shared" ref="AB36:AB37" si="30">Z36-AA36</f>
        <v>25494.618080000004</v>
      </c>
      <c r="AC36" s="489"/>
      <c r="AD36" s="489"/>
      <c r="AE36" s="489"/>
    </row>
    <row r="37" spans="1:31" ht="18.75">
      <c r="A37" s="553">
        <v>33</v>
      </c>
      <c r="B37" s="432" t="s">
        <v>720</v>
      </c>
      <c r="C37" s="491">
        <v>360965.58333333331</v>
      </c>
      <c r="D37" s="485">
        <v>12</v>
      </c>
      <c r="E37" s="484">
        <f>C37*D37</f>
        <v>4331587</v>
      </c>
      <c r="F37" s="484"/>
      <c r="G37" s="555">
        <v>288926.95999999996</v>
      </c>
      <c r="H37" s="484"/>
      <c r="I37" s="484">
        <f>E37-F37-G37-H37</f>
        <v>4042660.04</v>
      </c>
      <c r="J37" s="484">
        <v>200000</v>
      </c>
      <c r="K37" s="484">
        <v>0.2</v>
      </c>
      <c r="L37" s="484">
        <f>I37*K37</f>
        <v>808532.00800000003</v>
      </c>
      <c r="M37" s="484">
        <f>J37+L37</f>
        <v>1008532.008</v>
      </c>
      <c r="N37" s="484">
        <f>F37+G37+H37+M37</f>
        <v>1297458.9679999999</v>
      </c>
      <c r="O37" s="484">
        <f>E37-N37</f>
        <v>3034128.0320000001</v>
      </c>
      <c r="P37" s="484">
        <f t="shared" si="5"/>
        <v>21000</v>
      </c>
      <c r="Q37" s="484">
        <f t="shared" si="26"/>
        <v>33000</v>
      </c>
      <c r="R37" s="484">
        <f t="shared" si="27"/>
        <v>75000</v>
      </c>
      <c r="S37" s="484">
        <f t="shared" si="28"/>
        <v>95000</v>
      </c>
      <c r="T37" s="484">
        <f t="shared" si="29"/>
        <v>301166.88672000001</v>
      </c>
      <c r="U37" s="484"/>
      <c r="V37" s="484">
        <f>P37+Q37+R37+S37+T37+U37</f>
        <v>525166.88672000007</v>
      </c>
      <c r="W37" s="484">
        <v>12</v>
      </c>
      <c r="X37" s="484">
        <f>V37/W37</f>
        <v>43763.90722666667</v>
      </c>
      <c r="Y37" s="484"/>
      <c r="Z37" s="554">
        <f>X37</f>
        <v>43763.90722666667</v>
      </c>
      <c r="AA37" s="489">
        <v>26339.078406666667</v>
      </c>
      <c r="AB37" s="484">
        <f t="shared" si="30"/>
        <v>17424.828820000002</v>
      </c>
      <c r="AC37" s="489"/>
      <c r="AD37" s="489"/>
      <c r="AE37" s="489"/>
    </row>
    <row r="38" spans="1:31" ht="18.75">
      <c r="A38" s="553"/>
      <c r="B38" s="365"/>
      <c r="C38" s="565"/>
      <c r="D38" s="485"/>
      <c r="E38" s="484"/>
      <c r="F38" s="486"/>
      <c r="G38" s="486">
        <v>0</v>
      </c>
      <c r="H38" s="486"/>
      <c r="I38" s="484"/>
      <c r="J38" s="484"/>
      <c r="K38" s="484"/>
      <c r="L38" s="484"/>
      <c r="M38" s="484"/>
      <c r="N38" s="484"/>
      <c r="O38" s="484"/>
      <c r="P38" s="484"/>
      <c r="Q38" s="484"/>
      <c r="R38" s="484"/>
      <c r="S38" s="484"/>
      <c r="T38" s="484"/>
      <c r="U38" s="484"/>
      <c r="V38" s="484"/>
      <c r="W38" s="488"/>
      <c r="X38" s="484"/>
      <c r="Y38" s="486"/>
      <c r="Z38" s="554"/>
      <c r="AA38" s="489"/>
      <c r="AB38" s="489"/>
      <c r="AC38" s="489"/>
      <c r="AD38" s="489"/>
      <c r="AE38" s="489"/>
    </row>
    <row r="39" spans="1:31" ht="18.75">
      <c r="A39" s="553"/>
      <c r="B39" s="218" t="s">
        <v>56</v>
      </c>
      <c r="C39" s="484"/>
      <c r="D39" s="485"/>
      <c r="E39" s="484"/>
      <c r="F39" s="486"/>
      <c r="G39" s="486">
        <v>0</v>
      </c>
      <c r="H39" s="486"/>
      <c r="I39" s="484"/>
      <c r="J39" s="484"/>
      <c r="K39" s="484"/>
      <c r="L39" s="484"/>
      <c r="M39" s="484"/>
      <c r="N39" s="484"/>
      <c r="O39" s="484"/>
      <c r="P39" s="484"/>
      <c r="Q39" s="484"/>
      <c r="R39" s="484"/>
      <c r="S39" s="484"/>
      <c r="T39" s="484"/>
      <c r="U39" s="484"/>
      <c r="V39" s="484"/>
      <c r="W39" s="488"/>
      <c r="X39" s="484"/>
      <c r="Y39" s="486"/>
      <c r="Z39" s="554"/>
      <c r="AA39" s="489"/>
      <c r="AB39" s="489"/>
      <c r="AC39" s="489"/>
      <c r="AD39" s="489"/>
      <c r="AE39" s="489"/>
    </row>
    <row r="40" spans="1:31" ht="37.5">
      <c r="A40" s="553">
        <v>35</v>
      </c>
      <c r="B40" s="432" t="s">
        <v>255</v>
      </c>
      <c r="C40" s="491">
        <v>1635720</v>
      </c>
      <c r="D40" s="485">
        <v>12</v>
      </c>
      <c r="E40" s="484">
        <f>C40*D40</f>
        <v>19628640</v>
      </c>
      <c r="F40" s="484"/>
      <c r="G40" s="555">
        <v>1378291.2000000002</v>
      </c>
      <c r="H40" s="484"/>
      <c r="I40" s="484">
        <f t="shared" ref="I40:I50" si="31">E40-F40-G40-H40</f>
        <v>18250348.800000001</v>
      </c>
      <c r="J40" s="484">
        <v>200000</v>
      </c>
      <c r="K40" s="484">
        <v>0.2</v>
      </c>
      <c r="L40" s="484">
        <f>I40*K40</f>
        <v>3650069.7600000002</v>
      </c>
      <c r="M40" s="484">
        <f>J40+L40</f>
        <v>3850069.7600000002</v>
      </c>
      <c r="N40" s="484">
        <f t="shared" ref="N40:N50" si="32">F40+G40+H40+M40</f>
        <v>5228360.9600000009</v>
      </c>
      <c r="O40" s="484">
        <f t="shared" ref="O40:O50" si="33">E40-N40</f>
        <v>14400279.039999999</v>
      </c>
      <c r="P40" s="484">
        <f>IF(O40&lt;300000,0.07*O40,21000)</f>
        <v>21000</v>
      </c>
      <c r="Q40" s="484">
        <f>IF((O40-300000)&lt;0,0,IF((O40-300000)&lt;300000,0.11*(O40-300000),33000))</f>
        <v>33000</v>
      </c>
      <c r="R40" s="484">
        <f>IF((O40-600000)&lt;0,0,IF((O40-600000)&lt;500000,0.15*(O40-600000),75000))</f>
        <v>75000</v>
      </c>
      <c r="S40" s="484">
        <f>IF((O40-1100000)&lt;0,0,IF((O40-1100000)&lt;500000,0.19*(O40-1100000),95000))</f>
        <v>95000</v>
      </c>
      <c r="T40" s="484">
        <f>IF((O40-1600000)&lt;0,0,IF((O40-1600000)&lt;1600000,0.21*(O40-1600000),336000))</f>
        <v>336000</v>
      </c>
      <c r="U40" s="484">
        <f>0.24*(O40-3200000)</f>
        <v>2688066.9695999995</v>
      </c>
      <c r="V40" s="484">
        <f>P40+Q40+R40+S40+T40+U40</f>
        <v>3248066.9695999995</v>
      </c>
      <c r="W40" s="488">
        <v>12</v>
      </c>
      <c r="X40" s="484">
        <f>V40/W40</f>
        <v>270672.24746666662</v>
      </c>
      <c r="Y40" s="484"/>
      <c r="Z40" s="554">
        <f>X40</f>
        <v>270672.24746666662</v>
      </c>
      <c r="AA40" s="489">
        <v>180306.80685866671</v>
      </c>
      <c r="AB40" s="489">
        <f>Z40-AA40</f>
        <v>90365.440607999917</v>
      </c>
      <c r="AC40" s="489"/>
      <c r="AD40" s="489"/>
      <c r="AE40" s="489"/>
    </row>
    <row r="41" spans="1:31" ht="18.75">
      <c r="A41" s="553">
        <v>36</v>
      </c>
      <c r="B41" s="432" t="s">
        <v>158</v>
      </c>
      <c r="C41" s="484">
        <v>780675.58333333337</v>
      </c>
      <c r="D41" s="485">
        <v>12</v>
      </c>
      <c r="E41" s="484">
        <f t="shared" ref="E41:E50" si="34">C41*D41</f>
        <v>9368107</v>
      </c>
      <c r="F41" s="486"/>
      <c r="G41" s="555">
        <v>595848.56000000006</v>
      </c>
      <c r="H41" s="486"/>
      <c r="I41" s="484">
        <f t="shared" si="31"/>
        <v>8772258.4399999995</v>
      </c>
      <c r="J41" s="484">
        <v>200000</v>
      </c>
      <c r="K41" s="484">
        <v>0.2</v>
      </c>
      <c r="L41" s="484">
        <f t="shared" si="1"/>
        <v>1754451.6880000001</v>
      </c>
      <c r="M41" s="484">
        <f t="shared" si="2"/>
        <v>1954451.6880000001</v>
      </c>
      <c r="N41" s="484">
        <f t="shared" si="32"/>
        <v>2550300.2480000001</v>
      </c>
      <c r="O41" s="484">
        <f t="shared" si="33"/>
        <v>6817806.7520000003</v>
      </c>
      <c r="P41" s="484">
        <f t="shared" si="5"/>
        <v>21000</v>
      </c>
      <c r="Q41" s="484">
        <f t="shared" si="6"/>
        <v>33000</v>
      </c>
      <c r="R41" s="484">
        <f t="shared" si="7"/>
        <v>75000</v>
      </c>
      <c r="S41" s="484">
        <f t="shared" si="8"/>
        <v>95000</v>
      </c>
      <c r="T41" s="484">
        <f t="shared" si="9"/>
        <v>336000</v>
      </c>
      <c r="U41" s="484">
        <f t="shared" si="10"/>
        <v>868273.62048000004</v>
      </c>
      <c r="V41" s="484">
        <f t="shared" si="11"/>
        <v>1428273.62048</v>
      </c>
      <c r="W41" s="488">
        <v>12</v>
      </c>
      <c r="X41" s="484">
        <f t="shared" si="12"/>
        <v>119022.80170666667</v>
      </c>
      <c r="Y41" s="486"/>
      <c r="Z41" s="554">
        <f t="shared" si="13"/>
        <v>119022.80170666667</v>
      </c>
      <c r="AA41" s="489">
        <v>79956.939146666657</v>
      </c>
      <c r="AB41" s="489">
        <f t="shared" ref="AB41:AB50" si="35">Z41-AA41</f>
        <v>39065.862560000009</v>
      </c>
      <c r="AC41" s="489"/>
      <c r="AD41" s="489"/>
      <c r="AE41" s="489"/>
    </row>
    <row r="42" spans="1:31" ht="18.75">
      <c r="A42" s="553">
        <v>37</v>
      </c>
      <c r="B42" s="432" t="s">
        <v>165</v>
      </c>
      <c r="C42" s="484">
        <v>919203.58333333337</v>
      </c>
      <c r="D42" s="485">
        <v>12</v>
      </c>
      <c r="E42" s="484">
        <f t="shared" si="34"/>
        <v>11030443</v>
      </c>
      <c r="F42" s="486"/>
      <c r="G42" s="555">
        <v>709635.44000000006</v>
      </c>
      <c r="H42" s="486"/>
      <c r="I42" s="484">
        <f t="shared" si="31"/>
        <v>10320807.560000001</v>
      </c>
      <c r="J42" s="484">
        <v>200000</v>
      </c>
      <c r="K42" s="484">
        <v>0.2</v>
      </c>
      <c r="L42" s="484">
        <f t="shared" si="1"/>
        <v>2064161.5120000001</v>
      </c>
      <c r="M42" s="484">
        <f t="shared" si="2"/>
        <v>2264161.5120000001</v>
      </c>
      <c r="N42" s="484">
        <f t="shared" si="32"/>
        <v>2973796.952</v>
      </c>
      <c r="O42" s="484">
        <f t="shared" si="33"/>
        <v>8056646.0480000004</v>
      </c>
      <c r="P42" s="484">
        <f t="shared" si="5"/>
        <v>21000</v>
      </c>
      <c r="Q42" s="484">
        <f t="shared" si="6"/>
        <v>33000</v>
      </c>
      <c r="R42" s="484">
        <f t="shared" si="7"/>
        <v>75000</v>
      </c>
      <c r="S42" s="484">
        <f t="shared" si="8"/>
        <v>95000</v>
      </c>
      <c r="T42" s="484">
        <f t="shared" si="9"/>
        <v>336000</v>
      </c>
      <c r="U42" s="484">
        <f t="shared" si="10"/>
        <v>1165595.05152</v>
      </c>
      <c r="V42" s="484">
        <f t="shared" si="11"/>
        <v>1725595.05152</v>
      </c>
      <c r="W42" s="488">
        <v>12</v>
      </c>
      <c r="X42" s="484">
        <f t="shared" si="12"/>
        <v>143799.58762666667</v>
      </c>
      <c r="Y42" s="486"/>
      <c r="Z42" s="554">
        <f t="shared" si="13"/>
        <v>143799.58762666667</v>
      </c>
      <c r="AA42" s="489">
        <v>97273.513850666655</v>
      </c>
      <c r="AB42" s="489">
        <f t="shared" si="35"/>
        <v>46526.073776000019</v>
      </c>
      <c r="AC42" s="489"/>
      <c r="AD42" s="489"/>
      <c r="AE42" s="489"/>
    </row>
    <row r="43" spans="1:31" ht="18.75">
      <c r="A43" s="553">
        <v>38</v>
      </c>
      <c r="B43" s="432" t="s">
        <v>159</v>
      </c>
      <c r="C43" s="484">
        <v>780675.58333333337</v>
      </c>
      <c r="D43" s="485">
        <v>12</v>
      </c>
      <c r="E43" s="484">
        <f t="shared" si="34"/>
        <v>9368107</v>
      </c>
      <c r="F43" s="486"/>
      <c r="G43" s="555">
        <v>595848.56000000006</v>
      </c>
      <c r="H43" s="486"/>
      <c r="I43" s="484">
        <f t="shared" si="31"/>
        <v>8772258.4399999995</v>
      </c>
      <c r="J43" s="484">
        <v>200000</v>
      </c>
      <c r="K43" s="484">
        <v>0.2</v>
      </c>
      <c r="L43" s="484">
        <f t="shared" si="1"/>
        <v>1754451.6880000001</v>
      </c>
      <c r="M43" s="484">
        <f t="shared" si="2"/>
        <v>1954451.6880000001</v>
      </c>
      <c r="N43" s="484">
        <f t="shared" si="32"/>
        <v>2550300.2480000001</v>
      </c>
      <c r="O43" s="484">
        <f t="shared" si="33"/>
        <v>6817806.7520000003</v>
      </c>
      <c r="P43" s="484">
        <f t="shared" si="5"/>
        <v>21000</v>
      </c>
      <c r="Q43" s="484">
        <f t="shared" si="6"/>
        <v>33000</v>
      </c>
      <c r="R43" s="484">
        <f t="shared" si="7"/>
        <v>75000</v>
      </c>
      <c r="S43" s="484">
        <f t="shared" si="8"/>
        <v>95000</v>
      </c>
      <c r="T43" s="484">
        <f t="shared" si="9"/>
        <v>336000</v>
      </c>
      <c r="U43" s="484">
        <f t="shared" si="10"/>
        <v>868273.62048000004</v>
      </c>
      <c r="V43" s="484">
        <f t="shared" si="11"/>
        <v>1428273.62048</v>
      </c>
      <c r="W43" s="488">
        <v>12</v>
      </c>
      <c r="X43" s="484">
        <f t="shared" si="12"/>
        <v>119022.80170666667</v>
      </c>
      <c r="Y43" s="486"/>
      <c r="Z43" s="554">
        <f t="shared" si="13"/>
        <v>119022.80170666667</v>
      </c>
      <c r="AA43" s="489">
        <v>79956.939146666657</v>
      </c>
      <c r="AB43" s="489">
        <f t="shared" si="35"/>
        <v>39065.862560000009</v>
      </c>
      <c r="AC43" s="489"/>
      <c r="AD43" s="489"/>
      <c r="AE43" s="489"/>
    </row>
    <row r="44" spans="1:31" ht="18.75">
      <c r="A44" s="553">
        <v>39</v>
      </c>
      <c r="B44" s="432" t="s">
        <v>118</v>
      </c>
      <c r="C44" s="484">
        <v>780675.58333333337</v>
      </c>
      <c r="D44" s="485">
        <v>12</v>
      </c>
      <c r="E44" s="484">
        <f t="shared" si="34"/>
        <v>9368107</v>
      </c>
      <c r="F44" s="484">
        <f>'[4]JANUARY 2024'!$V$47*12</f>
        <v>10052.25</v>
      </c>
      <c r="G44" s="555">
        <v>595848.56000000006</v>
      </c>
      <c r="H44" s="486"/>
      <c r="I44" s="484">
        <f t="shared" si="31"/>
        <v>8762206.1899999995</v>
      </c>
      <c r="J44" s="484">
        <v>200000</v>
      </c>
      <c r="K44" s="484">
        <v>0.2</v>
      </c>
      <c r="L44" s="484">
        <f t="shared" si="1"/>
        <v>1752441.2379999999</v>
      </c>
      <c r="M44" s="484">
        <f t="shared" si="2"/>
        <v>1952441.2379999999</v>
      </c>
      <c r="N44" s="484">
        <f t="shared" si="32"/>
        <v>2558342.048</v>
      </c>
      <c r="O44" s="484">
        <f t="shared" si="33"/>
        <v>6809764.9519999996</v>
      </c>
      <c r="P44" s="484">
        <f t="shared" si="5"/>
        <v>21000</v>
      </c>
      <c r="Q44" s="484">
        <f t="shared" si="6"/>
        <v>33000</v>
      </c>
      <c r="R44" s="484">
        <f t="shared" si="7"/>
        <v>75000</v>
      </c>
      <c r="S44" s="484">
        <f t="shared" si="8"/>
        <v>95000</v>
      </c>
      <c r="T44" s="484">
        <f t="shared" si="9"/>
        <v>336000</v>
      </c>
      <c r="U44" s="484">
        <f t="shared" si="10"/>
        <v>866343.58847999992</v>
      </c>
      <c r="V44" s="484">
        <f t="shared" si="11"/>
        <v>1426343.5884799999</v>
      </c>
      <c r="W44" s="488">
        <v>12</v>
      </c>
      <c r="X44" s="484">
        <f t="shared" si="12"/>
        <v>118861.96570666666</v>
      </c>
      <c r="Y44" s="486"/>
      <c r="Z44" s="554">
        <f t="shared" si="13"/>
        <v>118861.96570666666</v>
      </c>
      <c r="AA44" s="489">
        <v>79796.103146666646</v>
      </c>
      <c r="AB44" s="489">
        <f t="shared" si="35"/>
        <v>39065.862560000009</v>
      </c>
      <c r="AC44" s="489"/>
      <c r="AD44" s="489"/>
      <c r="AE44" s="489"/>
    </row>
    <row r="45" spans="1:31" ht="18.75">
      <c r="A45" s="553">
        <v>40</v>
      </c>
      <c r="B45" s="432" t="s">
        <v>205</v>
      </c>
      <c r="C45" s="484">
        <v>742118.08333333337</v>
      </c>
      <c r="D45" s="485">
        <v>12</v>
      </c>
      <c r="E45" s="484">
        <f t="shared" si="34"/>
        <v>8905417</v>
      </c>
      <c r="F45" s="484"/>
      <c r="G45" s="555">
        <v>558833.3600000001</v>
      </c>
      <c r="H45" s="486"/>
      <c r="I45" s="484">
        <f t="shared" si="31"/>
        <v>8346583.6399999997</v>
      </c>
      <c r="J45" s="484">
        <v>200000</v>
      </c>
      <c r="K45" s="484">
        <v>0.2</v>
      </c>
      <c r="L45" s="484">
        <f t="shared" si="1"/>
        <v>1669316.7280000001</v>
      </c>
      <c r="M45" s="484">
        <f t="shared" si="2"/>
        <v>1869316.7280000001</v>
      </c>
      <c r="N45" s="484">
        <f t="shared" si="32"/>
        <v>2428150.0880000005</v>
      </c>
      <c r="O45" s="484">
        <f t="shared" si="33"/>
        <v>6477266.9119999995</v>
      </c>
      <c r="P45" s="484">
        <f t="shared" si="5"/>
        <v>21000</v>
      </c>
      <c r="Q45" s="484">
        <f t="shared" si="6"/>
        <v>33000</v>
      </c>
      <c r="R45" s="484">
        <f t="shared" si="7"/>
        <v>75000</v>
      </c>
      <c r="S45" s="484">
        <f t="shared" si="8"/>
        <v>95000</v>
      </c>
      <c r="T45" s="484">
        <f t="shared" si="9"/>
        <v>336000</v>
      </c>
      <c r="U45" s="484">
        <f t="shared" si="10"/>
        <v>786544.05887999991</v>
      </c>
      <c r="V45" s="484">
        <f t="shared" si="11"/>
        <v>1346544.0588799999</v>
      </c>
      <c r="W45" s="488">
        <v>12</v>
      </c>
      <c r="X45" s="484">
        <f t="shared" si="12"/>
        <v>112212.00490666665</v>
      </c>
      <c r="Y45" s="486"/>
      <c r="Z45" s="554">
        <f t="shared" si="13"/>
        <v>112212.00490666665</v>
      </c>
      <c r="AA45" s="489">
        <v>75572.915690666661</v>
      </c>
      <c r="AB45" s="489">
        <f t="shared" si="35"/>
        <v>36639.089215999993</v>
      </c>
      <c r="AC45" s="489"/>
      <c r="AD45" s="489"/>
      <c r="AE45" s="489"/>
    </row>
    <row r="46" spans="1:31" ht="18.75">
      <c r="A46" s="553">
        <v>41</v>
      </c>
      <c r="B46" s="365" t="s">
        <v>173</v>
      </c>
      <c r="C46" s="484">
        <v>610498</v>
      </c>
      <c r="D46" s="485">
        <v>12</v>
      </c>
      <c r="E46" s="484">
        <f t="shared" si="34"/>
        <v>7325976</v>
      </c>
      <c r="F46" s="484"/>
      <c r="G46" s="555">
        <v>451678.08000000007</v>
      </c>
      <c r="H46" s="486"/>
      <c r="I46" s="484">
        <f t="shared" si="31"/>
        <v>6874297.9199999999</v>
      </c>
      <c r="J46" s="484">
        <v>200000</v>
      </c>
      <c r="K46" s="484">
        <v>0.2</v>
      </c>
      <c r="L46" s="484">
        <f t="shared" si="1"/>
        <v>1374859.584</v>
      </c>
      <c r="M46" s="484">
        <f t="shared" si="2"/>
        <v>1574859.584</v>
      </c>
      <c r="N46" s="484">
        <f t="shared" si="32"/>
        <v>2026537.6640000001</v>
      </c>
      <c r="O46" s="484">
        <f t="shared" si="33"/>
        <v>5299438.3360000001</v>
      </c>
      <c r="P46" s="484">
        <f t="shared" si="5"/>
        <v>21000</v>
      </c>
      <c r="Q46" s="484">
        <f t="shared" si="6"/>
        <v>33000</v>
      </c>
      <c r="R46" s="484">
        <f t="shared" si="7"/>
        <v>75000</v>
      </c>
      <c r="S46" s="484">
        <f t="shared" si="8"/>
        <v>95000</v>
      </c>
      <c r="T46" s="484">
        <f t="shared" si="9"/>
        <v>336000</v>
      </c>
      <c r="U46" s="484">
        <f t="shared" si="10"/>
        <v>503865.20064</v>
      </c>
      <c r="V46" s="484">
        <f t="shared" si="11"/>
        <v>1063865.2006399999</v>
      </c>
      <c r="W46" s="488">
        <v>12</v>
      </c>
      <c r="X46" s="484">
        <f t="shared" si="12"/>
        <v>88655.433386666657</v>
      </c>
      <c r="Y46" s="486"/>
      <c r="Z46" s="554">
        <f t="shared" si="13"/>
        <v>88655.433386666657</v>
      </c>
      <c r="AA46" s="489">
        <v>58026.609434666672</v>
      </c>
      <c r="AB46" s="489">
        <f t="shared" si="35"/>
        <v>30628.823951999984</v>
      </c>
      <c r="AC46" s="489"/>
      <c r="AD46" s="489"/>
      <c r="AE46" s="489"/>
    </row>
    <row r="47" spans="1:31" ht="18.75">
      <c r="A47" s="553">
        <v>42</v>
      </c>
      <c r="B47" s="432" t="s">
        <v>551</v>
      </c>
      <c r="C47" s="484">
        <v>400965.58333333331</v>
      </c>
      <c r="D47" s="485">
        <v>12</v>
      </c>
      <c r="E47" s="484">
        <f t="shared" si="34"/>
        <v>4811587</v>
      </c>
      <c r="F47" s="484"/>
      <c r="G47" s="555">
        <v>288926.95999999996</v>
      </c>
      <c r="H47" s="486"/>
      <c r="I47" s="484">
        <f t="shared" si="31"/>
        <v>4522660.04</v>
      </c>
      <c r="J47" s="484">
        <v>200000</v>
      </c>
      <c r="K47" s="484">
        <v>0.2</v>
      </c>
      <c r="L47" s="484">
        <f t="shared" si="1"/>
        <v>904532.00800000003</v>
      </c>
      <c r="M47" s="484">
        <f t="shared" si="2"/>
        <v>1104532.0079999999</v>
      </c>
      <c r="N47" s="484">
        <f t="shared" si="32"/>
        <v>1393458.9679999999</v>
      </c>
      <c r="O47" s="484">
        <f t="shared" si="33"/>
        <v>3418128.0320000001</v>
      </c>
      <c r="P47" s="484">
        <f t="shared" si="5"/>
        <v>21000</v>
      </c>
      <c r="Q47" s="484">
        <f t="shared" si="6"/>
        <v>33000</v>
      </c>
      <c r="R47" s="484">
        <f t="shared" si="7"/>
        <v>75000</v>
      </c>
      <c r="S47" s="484">
        <f t="shared" si="8"/>
        <v>95000</v>
      </c>
      <c r="T47" s="484">
        <f t="shared" si="9"/>
        <v>336000</v>
      </c>
      <c r="U47" s="484">
        <f t="shared" si="10"/>
        <v>52350.727680000025</v>
      </c>
      <c r="V47" s="484">
        <f t="shared" si="11"/>
        <v>612350.72768000001</v>
      </c>
      <c r="W47" s="488">
        <v>12</v>
      </c>
      <c r="X47" s="484">
        <f t="shared" si="12"/>
        <v>51029.227306666668</v>
      </c>
      <c r="Y47" s="486"/>
      <c r="Z47" s="554">
        <f t="shared" si="13"/>
        <v>51029.227306666668</v>
      </c>
      <c r="AA47" s="489">
        <v>33059.078406666667</v>
      </c>
      <c r="AB47" s="489">
        <f t="shared" si="35"/>
        <v>17970.1489</v>
      </c>
      <c r="AC47" s="489"/>
      <c r="AD47" s="489"/>
      <c r="AE47" s="489"/>
    </row>
    <row r="48" spans="1:31" ht="18.75">
      <c r="A48" s="553">
        <v>43</v>
      </c>
      <c r="B48" s="432" t="s">
        <v>420</v>
      </c>
      <c r="C48" s="484">
        <v>363165.33333333331</v>
      </c>
      <c r="D48" s="485">
        <v>12</v>
      </c>
      <c r="E48" s="484">
        <f t="shared" si="34"/>
        <v>4357984</v>
      </c>
      <c r="F48" s="484"/>
      <c r="G48" s="555">
        <v>252638.71999999997</v>
      </c>
      <c r="H48" s="486"/>
      <c r="I48" s="484">
        <f t="shared" si="31"/>
        <v>4105345.2800000003</v>
      </c>
      <c r="J48" s="484">
        <v>200000</v>
      </c>
      <c r="K48" s="484">
        <v>0.2</v>
      </c>
      <c r="L48" s="484">
        <f t="shared" si="1"/>
        <v>821069.0560000001</v>
      </c>
      <c r="M48" s="484">
        <f t="shared" si="2"/>
        <v>1021069.0560000001</v>
      </c>
      <c r="N48" s="484">
        <f t="shared" si="32"/>
        <v>1273707.7760000001</v>
      </c>
      <c r="O48" s="484">
        <f t="shared" si="33"/>
        <v>3084276.2239999999</v>
      </c>
      <c r="P48" s="484">
        <f t="shared" si="5"/>
        <v>21000</v>
      </c>
      <c r="Q48" s="484">
        <f t="shared" si="6"/>
        <v>33000</v>
      </c>
      <c r="R48" s="484">
        <f t="shared" si="7"/>
        <v>75000</v>
      </c>
      <c r="S48" s="484">
        <f t="shared" si="8"/>
        <v>95000</v>
      </c>
      <c r="T48" s="484">
        <f t="shared" si="9"/>
        <v>311698.00704</v>
      </c>
      <c r="U48" s="484"/>
      <c r="V48" s="484">
        <f t="shared" si="11"/>
        <v>535698.00704000005</v>
      </c>
      <c r="W48" s="488">
        <v>12</v>
      </c>
      <c r="X48" s="484">
        <f>V48/W48</f>
        <v>44641.500586666669</v>
      </c>
      <c r="Y48" s="486"/>
      <c r="Z48" s="554">
        <f t="shared" si="13"/>
        <v>44641.500586666669</v>
      </c>
      <c r="AA48" s="489">
        <v>29058.48260466666</v>
      </c>
      <c r="AB48" s="489">
        <f t="shared" si="35"/>
        <v>15583.017982000008</v>
      </c>
      <c r="AC48" s="489"/>
      <c r="AD48" s="489"/>
      <c r="AE48" s="489"/>
    </row>
    <row r="49" spans="1:31" ht="18.75">
      <c r="A49" s="553">
        <v>44</v>
      </c>
      <c r="B49" s="432" t="s">
        <v>435</v>
      </c>
      <c r="C49" s="484">
        <v>363165.33333333331</v>
      </c>
      <c r="D49" s="485">
        <v>12</v>
      </c>
      <c r="E49" s="484">
        <f t="shared" si="34"/>
        <v>4357984</v>
      </c>
      <c r="F49" s="484"/>
      <c r="G49" s="555">
        <v>252638.71999999997</v>
      </c>
      <c r="H49" s="486"/>
      <c r="I49" s="484">
        <f t="shared" si="31"/>
        <v>4105345.2800000003</v>
      </c>
      <c r="J49" s="484">
        <v>200000</v>
      </c>
      <c r="K49" s="484">
        <v>0.2</v>
      </c>
      <c r="L49" s="484">
        <f t="shared" si="1"/>
        <v>821069.0560000001</v>
      </c>
      <c r="M49" s="484">
        <f t="shared" si="2"/>
        <v>1021069.0560000001</v>
      </c>
      <c r="N49" s="484">
        <f t="shared" si="32"/>
        <v>1273707.7760000001</v>
      </c>
      <c r="O49" s="484">
        <f t="shared" si="33"/>
        <v>3084276.2239999999</v>
      </c>
      <c r="P49" s="484">
        <f t="shared" si="5"/>
        <v>21000</v>
      </c>
      <c r="Q49" s="484">
        <f t="shared" si="6"/>
        <v>33000</v>
      </c>
      <c r="R49" s="484">
        <f t="shared" si="7"/>
        <v>75000</v>
      </c>
      <c r="S49" s="484">
        <f t="shared" si="8"/>
        <v>95000</v>
      </c>
      <c r="T49" s="484">
        <f t="shared" si="9"/>
        <v>311698.00704</v>
      </c>
      <c r="U49" s="484"/>
      <c r="V49" s="484">
        <f t="shared" si="11"/>
        <v>535698.00704000005</v>
      </c>
      <c r="W49" s="488">
        <v>12</v>
      </c>
      <c r="X49" s="484">
        <f>V49/W49</f>
        <v>44641.500586666669</v>
      </c>
      <c r="Y49" s="486"/>
      <c r="Z49" s="554">
        <f t="shared" si="13"/>
        <v>44641.500586666669</v>
      </c>
      <c r="AA49" s="489">
        <v>28360.952862666662</v>
      </c>
      <c r="AB49" s="489">
        <f t="shared" si="35"/>
        <v>16280.547724000007</v>
      </c>
      <c r="AC49" s="489"/>
      <c r="AD49" s="489"/>
      <c r="AE49" s="489"/>
    </row>
    <row r="50" spans="1:31" ht="18.75">
      <c r="A50" s="553">
        <v>45</v>
      </c>
      <c r="B50" s="432" t="s">
        <v>452</v>
      </c>
      <c r="C50" s="484">
        <v>363165.33333333331</v>
      </c>
      <c r="D50" s="485">
        <v>12</v>
      </c>
      <c r="E50" s="484">
        <f t="shared" si="34"/>
        <v>4357984</v>
      </c>
      <c r="F50" s="484"/>
      <c r="G50" s="555">
        <v>252638.71999999997</v>
      </c>
      <c r="H50" s="486"/>
      <c r="I50" s="484">
        <f t="shared" si="31"/>
        <v>4105345.2800000003</v>
      </c>
      <c r="J50" s="484">
        <v>200000</v>
      </c>
      <c r="K50" s="484">
        <v>0.2</v>
      </c>
      <c r="L50" s="484">
        <f t="shared" si="1"/>
        <v>821069.0560000001</v>
      </c>
      <c r="M50" s="484">
        <f t="shared" si="2"/>
        <v>1021069.0560000001</v>
      </c>
      <c r="N50" s="484">
        <f t="shared" si="32"/>
        <v>1273707.7760000001</v>
      </c>
      <c r="O50" s="484">
        <f t="shared" si="33"/>
        <v>3084276.2239999999</v>
      </c>
      <c r="P50" s="484">
        <f t="shared" si="5"/>
        <v>21000</v>
      </c>
      <c r="Q50" s="484">
        <f t="shared" si="6"/>
        <v>33000</v>
      </c>
      <c r="R50" s="484">
        <f t="shared" si="7"/>
        <v>75000</v>
      </c>
      <c r="S50" s="484">
        <f t="shared" si="8"/>
        <v>95000</v>
      </c>
      <c r="T50" s="484">
        <f t="shared" si="9"/>
        <v>311698.00704</v>
      </c>
      <c r="U50" s="484"/>
      <c r="V50" s="484">
        <f t="shared" si="11"/>
        <v>535698.00704000005</v>
      </c>
      <c r="W50" s="488">
        <v>12</v>
      </c>
      <c r="X50" s="484">
        <f t="shared" si="12"/>
        <v>44641.500586666669</v>
      </c>
      <c r="Y50" s="486"/>
      <c r="Z50" s="554">
        <f t="shared" si="13"/>
        <v>44641.500586666669</v>
      </c>
      <c r="AA50" s="489">
        <v>29058.48260466666</v>
      </c>
      <c r="AB50" s="489">
        <f t="shared" si="35"/>
        <v>15583.017982000008</v>
      </c>
      <c r="AC50" s="489"/>
      <c r="AD50" s="489"/>
      <c r="AE50" s="489"/>
    </row>
    <row r="51" spans="1:31" ht="18.75">
      <c r="A51" s="553"/>
      <c r="B51" s="362"/>
      <c r="C51" s="538"/>
      <c r="D51" s="485"/>
      <c r="E51" s="484"/>
      <c r="F51" s="484"/>
      <c r="G51" s="486"/>
      <c r="H51" s="486"/>
      <c r="I51" s="484"/>
      <c r="J51" s="484"/>
      <c r="K51" s="484"/>
      <c r="L51" s="484"/>
      <c r="M51" s="484"/>
      <c r="N51" s="484"/>
      <c r="O51" s="484"/>
      <c r="P51" s="484"/>
      <c r="Q51" s="484"/>
      <c r="R51" s="484"/>
      <c r="S51" s="484"/>
      <c r="T51" s="484"/>
      <c r="U51" s="484"/>
      <c r="V51" s="484"/>
      <c r="W51" s="488"/>
      <c r="X51" s="484"/>
      <c r="Y51" s="486"/>
      <c r="Z51" s="554"/>
      <c r="AA51" s="489"/>
      <c r="AB51" s="489"/>
      <c r="AC51" s="489"/>
      <c r="AD51" s="489"/>
      <c r="AE51" s="489"/>
    </row>
    <row r="52" spans="1:31" ht="18.75">
      <c r="A52" s="553"/>
      <c r="B52" s="366" t="s">
        <v>195</v>
      </c>
      <c r="C52" s="484"/>
      <c r="D52" s="485"/>
      <c r="E52" s="484"/>
      <c r="F52" s="484"/>
      <c r="G52" s="486"/>
      <c r="H52" s="486"/>
      <c r="I52" s="484"/>
      <c r="J52" s="484"/>
      <c r="K52" s="484"/>
      <c r="L52" s="484"/>
      <c r="M52" s="484"/>
      <c r="N52" s="484"/>
      <c r="O52" s="484"/>
      <c r="P52" s="484"/>
      <c r="Q52" s="484"/>
      <c r="R52" s="484"/>
      <c r="S52" s="484"/>
      <c r="T52" s="484"/>
      <c r="U52" s="484"/>
      <c r="V52" s="484"/>
      <c r="W52" s="488"/>
      <c r="X52" s="484"/>
      <c r="Y52" s="486"/>
      <c r="Z52" s="554"/>
      <c r="AA52" s="489"/>
      <c r="AB52" s="489"/>
      <c r="AC52" s="489"/>
      <c r="AD52" s="489"/>
      <c r="AE52" s="489"/>
    </row>
    <row r="53" spans="1:31" ht="18.75">
      <c r="A53" s="553">
        <v>47</v>
      </c>
      <c r="B53" s="432" t="s">
        <v>800</v>
      </c>
      <c r="C53" s="484">
        <v>1635720</v>
      </c>
      <c r="D53" s="485">
        <v>12</v>
      </c>
      <c r="E53" s="484">
        <f>C53*D53</f>
        <v>19628640</v>
      </c>
      <c r="F53" s="484"/>
      <c r="G53" s="555">
        <v>1378291.2000000002</v>
      </c>
      <c r="H53" s="486"/>
      <c r="I53" s="484">
        <f>E53-F53-G53-H53</f>
        <v>18250348.800000001</v>
      </c>
      <c r="J53" s="484">
        <v>200000</v>
      </c>
      <c r="K53" s="484">
        <v>0.2</v>
      </c>
      <c r="L53" s="484">
        <f t="shared" si="1"/>
        <v>3650069.7600000002</v>
      </c>
      <c r="M53" s="484">
        <f t="shared" si="2"/>
        <v>3850069.7600000002</v>
      </c>
      <c r="N53" s="484">
        <f>F53+G53+H53+M53</f>
        <v>5228360.9600000009</v>
      </c>
      <c r="O53" s="484">
        <f>E53-N53</f>
        <v>14400279.039999999</v>
      </c>
      <c r="P53" s="484">
        <f t="shared" si="5"/>
        <v>21000</v>
      </c>
      <c r="Q53" s="484">
        <f t="shared" si="6"/>
        <v>33000</v>
      </c>
      <c r="R53" s="484">
        <f t="shared" si="7"/>
        <v>75000</v>
      </c>
      <c r="S53" s="484">
        <f t="shared" si="8"/>
        <v>95000</v>
      </c>
      <c r="T53" s="484">
        <f t="shared" si="9"/>
        <v>336000</v>
      </c>
      <c r="U53" s="484">
        <f t="shared" si="10"/>
        <v>2688066.9695999995</v>
      </c>
      <c r="V53" s="484">
        <f t="shared" si="11"/>
        <v>3248066.9695999995</v>
      </c>
      <c r="W53" s="488">
        <v>12</v>
      </c>
      <c r="X53" s="484">
        <f t="shared" si="12"/>
        <v>270672.24746666662</v>
      </c>
      <c r="Y53" s="486"/>
      <c r="Z53" s="554">
        <f t="shared" si="13"/>
        <v>270672.24746666662</v>
      </c>
      <c r="AA53" s="489">
        <v>180306.80685866671</v>
      </c>
      <c r="AB53" s="489">
        <f>Z53-AA53</f>
        <v>90365.440607999917</v>
      </c>
      <c r="AC53" s="489"/>
      <c r="AD53" s="489"/>
      <c r="AE53" s="489"/>
    </row>
    <row r="54" spans="1:31" ht="18.75">
      <c r="A54" s="553">
        <v>48</v>
      </c>
      <c r="B54" s="432" t="s">
        <v>276</v>
      </c>
      <c r="C54" s="484">
        <v>700675.58333333337</v>
      </c>
      <c r="D54" s="485">
        <v>12</v>
      </c>
      <c r="E54" s="484">
        <f>C54*D54</f>
        <v>8408107</v>
      </c>
      <c r="F54" s="484"/>
      <c r="G54" s="484">
        <v>595848.56000000006</v>
      </c>
      <c r="H54" s="486"/>
      <c r="I54" s="484">
        <f>E54-F54-G54-H54</f>
        <v>7812258.4399999995</v>
      </c>
      <c r="J54" s="484">
        <v>200000</v>
      </c>
      <c r="K54" s="484">
        <v>0.2</v>
      </c>
      <c r="L54" s="484">
        <f t="shared" si="1"/>
        <v>1562451.6880000001</v>
      </c>
      <c r="M54" s="484">
        <f t="shared" si="2"/>
        <v>1762451.6880000001</v>
      </c>
      <c r="N54" s="484">
        <f>F54+G54+H54+M54</f>
        <v>2358300.2480000001</v>
      </c>
      <c r="O54" s="484">
        <f>E54-N54</f>
        <v>6049806.7520000003</v>
      </c>
      <c r="P54" s="484">
        <f t="shared" si="5"/>
        <v>21000</v>
      </c>
      <c r="Q54" s="484">
        <f t="shared" si="6"/>
        <v>33000</v>
      </c>
      <c r="R54" s="484">
        <f t="shared" si="7"/>
        <v>75000</v>
      </c>
      <c r="S54" s="484">
        <f t="shared" si="8"/>
        <v>95000</v>
      </c>
      <c r="T54" s="484">
        <f t="shared" si="9"/>
        <v>336000</v>
      </c>
      <c r="U54" s="484">
        <f t="shared" si="10"/>
        <v>683953.62048000004</v>
      </c>
      <c r="V54" s="484">
        <f t="shared" si="11"/>
        <v>1243953.62048</v>
      </c>
      <c r="W54" s="488">
        <v>12</v>
      </c>
      <c r="X54" s="484">
        <f t="shared" si="12"/>
        <v>103662.80170666667</v>
      </c>
      <c r="Y54" s="486"/>
      <c r="Z54" s="554">
        <f t="shared" si="13"/>
        <v>103662.80170666667</v>
      </c>
      <c r="AA54" s="489">
        <v>64596.939146666664</v>
      </c>
      <c r="AB54" s="489">
        <f>Z54-AA54</f>
        <v>39065.862560000001</v>
      </c>
      <c r="AC54" s="489"/>
      <c r="AD54" s="489"/>
      <c r="AE54" s="489"/>
    </row>
    <row r="55" spans="1:31" ht="18.75">
      <c r="A55" s="553"/>
      <c r="B55" s="366"/>
      <c r="C55" s="484"/>
      <c r="D55" s="485"/>
      <c r="E55" s="484"/>
      <c r="F55" s="484"/>
      <c r="G55" s="486">
        <v>0</v>
      </c>
      <c r="H55" s="486"/>
      <c r="I55" s="484"/>
      <c r="J55" s="484"/>
      <c r="K55" s="484"/>
      <c r="L55" s="484"/>
      <c r="M55" s="484"/>
      <c r="N55" s="484"/>
      <c r="O55" s="484"/>
      <c r="P55" s="484"/>
      <c r="Q55" s="484"/>
      <c r="R55" s="484"/>
      <c r="S55" s="484"/>
      <c r="T55" s="484"/>
      <c r="U55" s="484"/>
      <c r="V55" s="484"/>
      <c r="W55" s="488"/>
      <c r="X55" s="484"/>
      <c r="Y55" s="486"/>
      <c r="Z55" s="554"/>
      <c r="AA55" s="489"/>
      <c r="AB55" s="489"/>
      <c r="AC55" s="489"/>
      <c r="AD55" s="489"/>
      <c r="AE55" s="489"/>
    </row>
    <row r="56" spans="1:31" ht="37.5">
      <c r="A56" s="553">
        <v>49</v>
      </c>
      <c r="B56" s="366" t="s">
        <v>461</v>
      </c>
      <c r="C56" s="484"/>
      <c r="D56" s="485"/>
      <c r="E56" s="484"/>
      <c r="F56" s="484"/>
      <c r="G56" s="486">
        <v>0</v>
      </c>
      <c r="H56" s="486"/>
      <c r="I56" s="484"/>
      <c r="J56" s="484"/>
      <c r="K56" s="484"/>
      <c r="L56" s="484"/>
      <c r="M56" s="484"/>
      <c r="N56" s="484"/>
      <c r="O56" s="484"/>
      <c r="P56" s="484"/>
      <c r="Q56" s="484"/>
      <c r="R56" s="484"/>
      <c r="S56" s="484"/>
      <c r="T56" s="484"/>
      <c r="U56" s="484"/>
      <c r="V56" s="484"/>
      <c r="W56" s="488"/>
      <c r="X56" s="484"/>
      <c r="Y56" s="486"/>
      <c r="Z56" s="554"/>
      <c r="AA56" s="489"/>
      <c r="AB56" s="489"/>
      <c r="AC56" s="489"/>
      <c r="AD56" s="489"/>
      <c r="AE56" s="489"/>
    </row>
    <row r="57" spans="1:31" ht="18.75">
      <c r="A57" s="553">
        <v>50</v>
      </c>
      <c r="B57" s="432" t="s">
        <v>277</v>
      </c>
      <c r="C57" s="484">
        <v>1635720</v>
      </c>
      <c r="D57" s="485">
        <v>12</v>
      </c>
      <c r="E57" s="484">
        <f>C57*D57</f>
        <v>19628640</v>
      </c>
      <c r="F57" s="484"/>
      <c r="G57" s="556">
        <v>0</v>
      </c>
      <c r="H57" s="486"/>
      <c r="I57" s="484">
        <f t="shared" ref="I57:I66" si="36">E57-F57-G57-H57</f>
        <v>19628640</v>
      </c>
      <c r="J57" s="484">
        <v>200000</v>
      </c>
      <c r="K57" s="484">
        <v>0.2</v>
      </c>
      <c r="L57" s="484">
        <f t="shared" si="1"/>
        <v>3925728</v>
      </c>
      <c r="M57" s="484">
        <f t="shared" si="2"/>
        <v>4125728</v>
      </c>
      <c r="N57" s="484">
        <f t="shared" ref="N57:N66" si="37">F57+G57+H57+M57</f>
        <v>4125728</v>
      </c>
      <c r="O57" s="484">
        <f t="shared" ref="O57:O66" si="38">E57-N57</f>
        <v>15502912</v>
      </c>
      <c r="P57" s="484">
        <f t="shared" si="5"/>
        <v>21000</v>
      </c>
      <c r="Q57" s="484">
        <f t="shared" si="6"/>
        <v>33000</v>
      </c>
      <c r="R57" s="484">
        <f t="shared" si="7"/>
        <v>75000</v>
      </c>
      <c r="S57" s="484">
        <f t="shared" si="8"/>
        <v>95000</v>
      </c>
      <c r="T57" s="484">
        <f t="shared" si="9"/>
        <v>336000</v>
      </c>
      <c r="U57" s="484">
        <f t="shared" si="10"/>
        <v>2952698.88</v>
      </c>
      <c r="V57" s="484">
        <f t="shared" si="11"/>
        <v>3512698.8799999999</v>
      </c>
      <c r="W57" s="488">
        <v>12</v>
      </c>
      <c r="X57" s="484">
        <f t="shared" si="12"/>
        <v>292724.90666666668</v>
      </c>
      <c r="Y57" s="486"/>
      <c r="Z57" s="554">
        <f t="shared" si="13"/>
        <v>292724.90666666668</v>
      </c>
      <c r="AA57" s="489">
        <v>180306.80685866671</v>
      </c>
      <c r="AB57" s="489">
        <f>Z57-AA57</f>
        <v>112418.09980799997</v>
      </c>
      <c r="AC57" s="489"/>
      <c r="AD57" s="489"/>
      <c r="AE57" s="489"/>
    </row>
    <row r="58" spans="1:31" ht="23.25" customHeight="1">
      <c r="A58" s="553">
        <v>51</v>
      </c>
      <c r="B58" s="330" t="s">
        <v>332</v>
      </c>
      <c r="C58" s="484">
        <v>761396.83333333337</v>
      </c>
      <c r="D58" s="485">
        <v>12</v>
      </c>
      <c r="E58" s="484">
        <f t="shared" ref="E58:E66" si="39">C58*D58</f>
        <v>9136762</v>
      </c>
      <c r="F58" s="484"/>
      <c r="G58" s="557">
        <f>48111.7466666667*12</f>
        <v>577340.96000000043</v>
      </c>
      <c r="H58" s="486"/>
      <c r="I58" s="484">
        <f t="shared" si="36"/>
        <v>8559421.0399999991</v>
      </c>
      <c r="J58" s="484">
        <v>200000</v>
      </c>
      <c r="K58" s="484">
        <v>0.2</v>
      </c>
      <c r="L58" s="484">
        <f t="shared" si="1"/>
        <v>1711884.2079999999</v>
      </c>
      <c r="M58" s="484">
        <f t="shared" si="2"/>
        <v>1911884.2079999999</v>
      </c>
      <c r="N58" s="484">
        <f t="shared" si="37"/>
        <v>2489225.1680000005</v>
      </c>
      <c r="O58" s="484">
        <f t="shared" si="38"/>
        <v>6647536.8319999995</v>
      </c>
      <c r="P58" s="484">
        <f t="shared" si="5"/>
        <v>21000</v>
      </c>
      <c r="Q58" s="484">
        <f t="shared" si="6"/>
        <v>33000</v>
      </c>
      <c r="R58" s="484">
        <f t="shared" si="7"/>
        <v>75000</v>
      </c>
      <c r="S58" s="484">
        <f t="shared" si="8"/>
        <v>95000</v>
      </c>
      <c r="T58" s="484">
        <f t="shared" si="9"/>
        <v>336000</v>
      </c>
      <c r="U58" s="484">
        <f t="shared" si="10"/>
        <v>827408.83967999986</v>
      </c>
      <c r="V58" s="484">
        <f t="shared" si="11"/>
        <v>1387408.8396799997</v>
      </c>
      <c r="W58" s="488">
        <v>12</v>
      </c>
      <c r="X58" s="484">
        <f t="shared" si="12"/>
        <v>115617.40330666665</v>
      </c>
      <c r="Y58" s="486"/>
      <c r="Z58" s="554">
        <f t="shared" si="13"/>
        <v>115617.40330666665</v>
      </c>
      <c r="AA58" s="489">
        <v>77764.98026666668</v>
      </c>
      <c r="AB58" s="489">
        <f t="shared" ref="AB58:AB66" si="40">Z58-AA58</f>
        <v>37852.423039999965</v>
      </c>
      <c r="AC58" s="489"/>
      <c r="AD58" s="489"/>
      <c r="AE58" s="489"/>
    </row>
    <row r="59" spans="1:31" ht="18.75">
      <c r="A59" s="553">
        <v>52</v>
      </c>
      <c r="B59" s="432" t="s">
        <v>189</v>
      </c>
      <c r="C59" s="484">
        <v>582746.5</v>
      </c>
      <c r="D59" s="485">
        <v>12</v>
      </c>
      <c r="E59" s="484">
        <f t="shared" si="39"/>
        <v>6992958</v>
      </c>
      <c r="F59" s="484"/>
      <c r="G59" s="556">
        <v>425036.64</v>
      </c>
      <c r="H59" s="486"/>
      <c r="I59" s="484">
        <f t="shared" si="36"/>
        <v>6567921.3600000003</v>
      </c>
      <c r="J59" s="484">
        <v>200000</v>
      </c>
      <c r="K59" s="484">
        <v>0.2</v>
      </c>
      <c r="L59" s="484">
        <f t="shared" si="1"/>
        <v>1313584.2720000001</v>
      </c>
      <c r="M59" s="484">
        <f t="shared" si="2"/>
        <v>1513584.2720000001</v>
      </c>
      <c r="N59" s="484">
        <f t="shared" si="37"/>
        <v>1938620.912</v>
      </c>
      <c r="O59" s="484">
        <f t="shared" si="38"/>
        <v>5054337.0879999995</v>
      </c>
      <c r="P59" s="484">
        <f t="shared" si="5"/>
        <v>21000</v>
      </c>
      <c r="Q59" s="484">
        <f t="shared" si="6"/>
        <v>33000</v>
      </c>
      <c r="R59" s="484">
        <f t="shared" si="7"/>
        <v>75000</v>
      </c>
      <c r="S59" s="484">
        <f t="shared" si="8"/>
        <v>95000</v>
      </c>
      <c r="T59" s="484">
        <f t="shared" si="9"/>
        <v>336000</v>
      </c>
      <c r="U59" s="484">
        <f t="shared" si="10"/>
        <v>445040.90111999988</v>
      </c>
      <c r="V59" s="484">
        <f t="shared" si="11"/>
        <v>1005040.9011199998</v>
      </c>
      <c r="W59" s="488">
        <v>12</v>
      </c>
      <c r="X59" s="484">
        <f t="shared" si="12"/>
        <v>83753.408426666647</v>
      </c>
      <c r="Y59" s="486"/>
      <c r="Z59" s="554">
        <f t="shared" si="13"/>
        <v>83753.408426666647</v>
      </c>
      <c r="AA59" s="489">
        <v>54931.249226666667</v>
      </c>
      <c r="AB59" s="489">
        <f t="shared" si="40"/>
        <v>28822.15919999998</v>
      </c>
      <c r="AC59" s="489"/>
      <c r="AD59" s="489"/>
      <c r="AE59" s="489"/>
    </row>
    <row r="60" spans="1:31" ht="18.75">
      <c r="A60" s="553">
        <v>53</v>
      </c>
      <c r="B60" s="364" t="s">
        <v>448</v>
      </c>
      <c r="C60" s="484">
        <v>548915.91666666674</v>
      </c>
      <c r="D60" s="485">
        <v>12</v>
      </c>
      <c r="E60" s="484">
        <f t="shared" si="39"/>
        <v>6586991.0000000009</v>
      </c>
      <c r="F60" s="484"/>
      <c r="G60" s="555">
        <v>411759.28</v>
      </c>
      <c r="H60" s="486"/>
      <c r="I60" s="484">
        <f t="shared" si="36"/>
        <v>6175231.7200000007</v>
      </c>
      <c r="J60" s="484">
        <v>200000</v>
      </c>
      <c r="K60" s="484">
        <v>0.2</v>
      </c>
      <c r="L60" s="484">
        <f t="shared" si="1"/>
        <v>1235046.3440000003</v>
      </c>
      <c r="M60" s="484">
        <f t="shared" si="2"/>
        <v>1435046.3440000003</v>
      </c>
      <c r="N60" s="484">
        <f t="shared" si="37"/>
        <v>1846805.6240000003</v>
      </c>
      <c r="O60" s="484">
        <f t="shared" si="38"/>
        <v>4740185.3760000002</v>
      </c>
      <c r="P60" s="484">
        <f t="shared" si="5"/>
        <v>21000</v>
      </c>
      <c r="Q60" s="484">
        <f t="shared" si="6"/>
        <v>33000</v>
      </c>
      <c r="R60" s="484">
        <f t="shared" si="7"/>
        <v>75000</v>
      </c>
      <c r="S60" s="484">
        <f t="shared" si="8"/>
        <v>95000</v>
      </c>
      <c r="T60" s="484">
        <f t="shared" si="9"/>
        <v>336000</v>
      </c>
      <c r="U60" s="484">
        <f t="shared" si="10"/>
        <v>369644.49024000001</v>
      </c>
      <c r="V60" s="484">
        <f t="shared" si="11"/>
        <v>929644.49023999996</v>
      </c>
      <c r="W60" s="488">
        <v>12</v>
      </c>
      <c r="X60" s="484">
        <f t="shared" si="12"/>
        <v>77470.374186666668</v>
      </c>
      <c r="Y60" s="486"/>
      <c r="Z60" s="554">
        <f t="shared" si="13"/>
        <v>77470.374186666668</v>
      </c>
      <c r="AA60" s="489">
        <v>49548.776186666662</v>
      </c>
      <c r="AB60" s="489">
        <f t="shared" si="40"/>
        <v>27921.598000000005</v>
      </c>
      <c r="AC60" s="489"/>
      <c r="AD60" s="489"/>
      <c r="AE60" s="489"/>
    </row>
    <row r="61" spans="1:31" ht="18.75">
      <c r="A61" s="553">
        <v>54</v>
      </c>
      <c r="B61" s="365" t="s">
        <v>229</v>
      </c>
      <c r="C61" s="484">
        <v>624373.75</v>
      </c>
      <c r="D61" s="485">
        <v>12</v>
      </c>
      <c r="E61" s="484">
        <f t="shared" si="39"/>
        <v>7492485</v>
      </c>
      <c r="F61" s="484"/>
      <c r="G61" s="555">
        <v>464998.80000000005</v>
      </c>
      <c r="H61" s="486"/>
      <c r="I61" s="484">
        <f t="shared" si="36"/>
        <v>7027486.2000000002</v>
      </c>
      <c r="J61" s="484">
        <v>200000</v>
      </c>
      <c r="K61" s="484">
        <v>0.2</v>
      </c>
      <c r="L61" s="484">
        <f t="shared" si="1"/>
        <v>1405497.2400000002</v>
      </c>
      <c r="M61" s="484">
        <f t="shared" si="2"/>
        <v>1605497.2400000002</v>
      </c>
      <c r="N61" s="484">
        <f t="shared" si="37"/>
        <v>2070496.0400000003</v>
      </c>
      <c r="O61" s="484">
        <f t="shared" si="38"/>
        <v>5421988.96</v>
      </c>
      <c r="P61" s="484">
        <f t="shared" si="5"/>
        <v>21000</v>
      </c>
      <c r="Q61" s="484">
        <f t="shared" si="6"/>
        <v>33000</v>
      </c>
      <c r="R61" s="484">
        <f t="shared" si="7"/>
        <v>75000</v>
      </c>
      <c r="S61" s="484">
        <f t="shared" si="8"/>
        <v>95000</v>
      </c>
      <c r="T61" s="484">
        <f t="shared" si="9"/>
        <v>336000</v>
      </c>
      <c r="U61" s="484">
        <f t="shared" si="10"/>
        <v>533277.3504</v>
      </c>
      <c r="V61" s="484">
        <f t="shared" si="11"/>
        <v>1093277.3503999999</v>
      </c>
      <c r="W61" s="488">
        <v>12</v>
      </c>
      <c r="X61" s="484">
        <f t="shared" si="12"/>
        <v>91106.445866666661</v>
      </c>
      <c r="Y61" s="486"/>
      <c r="Z61" s="554">
        <f t="shared" si="13"/>
        <v>91106.445866666661</v>
      </c>
      <c r="AA61" s="489">
        <v>46666.666666666664</v>
      </c>
      <c r="AB61" s="489">
        <f t="shared" si="40"/>
        <v>44439.779199999997</v>
      </c>
      <c r="AC61" s="489"/>
      <c r="AD61" s="489"/>
      <c r="AE61" s="489"/>
    </row>
    <row r="62" spans="1:31" ht="37.5">
      <c r="A62" s="553">
        <v>55</v>
      </c>
      <c r="B62" s="432" t="s">
        <v>117</v>
      </c>
      <c r="C62" s="484">
        <v>475703.83333333331</v>
      </c>
      <c r="D62" s="485">
        <v>12</v>
      </c>
      <c r="E62" s="484">
        <f t="shared" si="39"/>
        <v>5708446</v>
      </c>
      <c r="F62" s="484"/>
      <c r="G62" s="555">
        <v>351075.68</v>
      </c>
      <c r="H62" s="486"/>
      <c r="I62" s="484">
        <f t="shared" si="36"/>
        <v>5357370.32</v>
      </c>
      <c r="J62" s="484">
        <v>200000</v>
      </c>
      <c r="K62" s="484">
        <v>0.2</v>
      </c>
      <c r="L62" s="484">
        <f t="shared" si="1"/>
        <v>1071474.064</v>
      </c>
      <c r="M62" s="484">
        <f t="shared" si="2"/>
        <v>1271474.064</v>
      </c>
      <c r="N62" s="484">
        <f t="shared" si="37"/>
        <v>1622549.7439999999</v>
      </c>
      <c r="O62" s="484">
        <f t="shared" si="38"/>
        <v>4085896.2560000001</v>
      </c>
      <c r="P62" s="484">
        <f t="shared" si="5"/>
        <v>21000</v>
      </c>
      <c r="Q62" s="484">
        <f t="shared" si="6"/>
        <v>33000</v>
      </c>
      <c r="R62" s="484">
        <f t="shared" si="7"/>
        <v>75000</v>
      </c>
      <c r="S62" s="484">
        <f t="shared" si="8"/>
        <v>95000</v>
      </c>
      <c r="T62" s="484">
        <f t="shared" si="9"/>
        <v>336000</v>
      </c>
      <c r="U62" s="484">
        <f t="shared" si="10"/>
        <v>212615.10144</v>
      </c>
      <c r="V62" s="484">
        <f t="shared" si="11"/>
        <v>772615.10144</v>
      </c>
      <c r="W62" s="488">
        <v>12</v>
      </c>
      <c r="X62" s="484">
        <f t="shared" si="12"/>
        <v>64384.591786666664</v>
      </c>
      <c r="Y62" s="486"/>
      <c r="Z62" s="554">
        <f t="shared" si="13"/>
        <v>64384.591786666664</v>
      </c>
      <c r="AA62" s="489">
        <v>41338.951098666665</v>
      </c>
      <c r="AB62" s="489">
        <f t="shared" si="40"/>
        <v>23045.640687999999</v>
      </c>
      <c r="AC62" s="489"/>
      <c r="AD62" s="489"/>
      <c r="AE62" s="489"/>
    </row>
    <row r="63" spans="1:31" ht="18.75">
      <c r="A63" s="553">
        <v>56</v>
      </c>
      <c r="B63" s="432" t="s">
        <v>424</v>
      </c>
      <c r="C63" s="484">
        <v>475703.83333333331</v>
      </c>
      <c r="D63" s="485">
        <v>12</v>
      </c>
      <c r="E63" s="484">
        <f t="shared" si="39"/>
        <v>5708446</v>
      </c>
      <c r="F63" s="484"/>
      <c r="G63" s="555">
        <v>351075.68</v>
      </c>
      <c r="H63" s="486"/>
      <c r="I63" s="484">
        <f t="shared" si="36"/>
        <v>5357370.32</v>
      </c>
      <c r="J63" s="484">
        <v>200000</v>
      </c>
      <c r="K63" s="484">
        <v>0.2</v>
      </c>
      <c r="L63" s="484">
        <f t="shared" si="1"/>
        <v>1071474.064</v>
      </c>
      <c r="M63" s="484">
        <f t="shared" si="2"/>
        <v>1271474.064</v>
      </c>
      <c r="N63" s="484">
        <f t="shared" si="37"/>
        <v>1622549.7439999999</v>
      </c>
      <c r="O63" s="484">
        <f t="shared" si="38"/>
        <v>4085896.2560000001</v>
      </c>
      <c r="P63" s="484">
        <f t="shared" si="5"/>
        <v>21000</v>
      </c>
      <c r="Q63" s="484">
        <f t="shared" si="6"/>
        <v>33000</v>
      </c>
      <c r="R63" s="484">
        <f t="shared" si="7"/>
        <v>75000</v>
      </c>
      <c r="S63" s="484">
        <f t="shared" si="8"/>
        <v>95000</v>
      </c>
      <c r="T63" s="484">
        <f t="shared" si="9"/>
        <v>336000</v>
      </c>
      <c r="U63" s="484">
        <f t="shared" si="10"/>
        <v>212615.10144</v>
      </c>
      <c r="V63" s="484">
        <f t="shared" si="11"/>
        <v>772615.10144</v>
      </c>
      <c r="W63" s="488">
        <v>12</v>
      </c>
      <c r="X63" s="484">
        <f t="shared" si="12"/>
        <v>64384.591786666664</v>
      </c>
      <c r="Y63" s="486"/>
      <c r="Z63" s="554">
        <f t="shared" si="13"/>
        <v>64384.591786666664</v>
      </c>
      <c r="AA63" s="489">
        <v>41338.951098666665</v>
      </c>
      <c r="AB63" s="489">
        <f t="shared" si="40"/>
        <v>23045.640687999999</v>
      </c>
      <c r="AC63" s="489"/>
      <c r="AD63" s="489"/>
      <c r="AE63" s="489"/>
    </row>
    <row r="64" spans="1:31" ht="18.75">
      <c r="A64" s="553">
        <v>57</v>
      </c>
      <c r="B64" s="432" t="s">
        <v>423</v>
      </c>
      <c r="C64" s="484">
        <v>475703.83333333331</v>
      </c>
      <c r="D64" s="485">
        <v>12</v>
      </c>
      <c r="E64" s="484">
        <f t="shared" si="39"/>
        <v>5708446</v>
      </c>
      <c r="F64" s="484"/>
      <c r="G64" s="555">
        <v>351075.68</v>
      </c>
      <c r="H64" s="486"/>
      <c r="I64" s="484">
        <f t="shared" si="36"/>
        <v>5357370.32</v>
      </c>
      <c r="J64" s="484">
        <v>200000</v>
      </c>
      <c r="K64" s="484">
        <v>0.2</v>
      </c>
      <c r="L64" s="484">
        <f t="shared" si="1"/>
        <v>1071474.064</v>
      </c>
      <c r="M64" s="484">
        <f t="shared" si="2"/>
        <v>1271474.064</v>
      </c>
      <c r="N64" s="484">
        <f t="shared" si="37"/>
        <v>1622549.7439999999</v>
      </c>
      <c r="O64" s="484">
        <f t="shared" si="38"/>
        <v>4085896.2560000001</v>
      </c>
      <c r="P64" s="484">
        <f t="shared" si="5"/>
        <v>21000</v>
      </c>
      <c r="Q64" s="484">
        <f t="shared" si="6"/>
        <v>33000</v>
      </c>
      <c r="R64" s="484">
        <f t="shared" si="7"/>
        <v>75000</v>
      </c>
      <c r="S64" s="484">
        <f t="shared" si="8"/>
        <v>95000</v>
      </c>
      <c r="T64" s="484">
        <f t="shared" si="9"/>
        <v>336000</v>
      </c>
      <c r="U64" s="484">
        <f t="shared" si="10"/>
        <v>212615.10144</v>
      </c>
      <c r="V64" s="484">
        <f t="shared" si="11"/>
        <v>772615.10144</v>
      </c>
      <c r="W64" s="488">
        <v>12</v>
      </c>
      <c r="X64" s="484">
        <f t="shared" si="12"/>
        <v>64384.591786666664</v>
      </c>
      <c r="Y64" s="486"/>
      <c r="Z64" s="554">
        <f t="shared" si="13"/>
        <v>64384.591786666664</v>
      </c>
      <c r="AA64" s="489">
        <v>41338.951098666665</v>
      </c>
      <c r="AB64" s="489">
        <f t="shared" si="40"/>
        <v>23045.640687999999</v>
      </c>
      <c r="AC64" s="489"/>
      <c r="AD64" s="489"/>
      <c r="AE64" s="489"/>
    </row>
    <row r="65" spans="1:31" ht="18.75">
      <c r="A65" s="553">
        <v>58</v>
      </c>
      <c r="B65" s="432" t="s">
        <v>242</v>
      </c>
      <c r="C65" s="484">
        <v>487895.16666666669</v>
      </c>
      <c r="D65" s="485">
        <v>12</v>
      </c>
      <c r="E65" s="484">
        <f t="shared" si="39"/>
        <v>5854742</v>
      </c>
      <c r="F65" s="484"/>
      <c r="G65" s="555">
        <v>362779.36</v>
      </c>
      <c r="H65" s="486"/>
      <c r="I65" s="484">
        <f t="shared" si="36"/>
        <v>5491962.6399999997</v>
      </c>
      <c r="J65" s="484">
        <v>200000</v>
      </c>
      <c r="K65" s="484">
        <v>0.2</v>
      </c>
      <c r="L65" s="484">
        <f t="shared" si="1"/>
        <v>1098392.5279999999</v>
      </c>
      <c r="M65" s="484">
        <f t="shared" si="2"/>
        <v>1298392.5279999999</v>
      </c>
      <c r="N65" s="484">
        <f t="shared" si="37"/>
        <v>1661171.8879999998</v>
      </c>
      <c r="O65" s="484">
        <f t="shared" si="38"/>
        <v>4193570.1120000002</v>
      </c>
      <c r="P65" s="484">
        <f t="shared" si="5"/>
        <v>21000</v>
      </c>
      <c r="Q65" s="484">
        <f t="shared" si="6"/>
        <v>33000</v>
      </c>
      <c r="R65" s="484">
        <f t="shared" si="7"/>
        <v>75000</v>
      </c>
      <c r="S65" s="484">
        <f t="shared" si="8"/>
        <v>95000</v>
      </c>
      <c r="T65" s="484">
        <f t="shared" si="9"/>
        <v>336000</v>
      </c>
      <c r="U65" s="484">
        <f t="shared" si="10"/>
        <v>238456.82688000004</v>
      </c>
      <c r="V65" s="484">
        <f t="shared" si="11"/>
        <v>798456.82688000007</v>
      </c>
      <c r="W65" s="488">
        <v>12</v>
      </c>
      <c r="X65" s="484">
        <f t="shared" si="12"/>
        <v>66538.068906666667</v>
      </c>
      <c r="Y65" s="486"/>
      <c r="Z65" s="554">
        <f t="shared" si="13"/>
        <v>66538.068906666667</v>
      </c>
      <c r="AA65" s="489">
        <v>43368.882414666667</v>
      </c>
      <c r="AB65" s="489">
        <f t="shared" si="40"/>
        <v>23169.186492000001</v>
      </c>
      <c r="AC65" s="489"/>
      <c r="AD65" s="489"/>
      <c r="AE65" s="489"/>
    </row>
    <row r="66" spans="1:31" ht="18.75">
      <c r="A66" s="553">
        <v>59</v>
      </c>
      <c r="B66" s="432" t="s">
        <v>726</v>
      </c>
      <c r="C66" s="484">
        <v>400965.58333333331</v>
      </c>
      <c r="D66" s="485">
        <v>12</v>
      </c>
      <c r="E66" s="484">
        <f t="shared" si="39"/>
        <v>4811587</v>
      </c>
      <c r="F66" s="484"/>
      <c r="G66" s="538">
        <v>288926.95999999996</v>
      </c>
      <c r="H66" s="486"/>
      <c r="I66" s="484">
        <f t="shared" si="36"/>
        <v>4522660.04</v>
      </c>
      <c r="J66" s="484">
        <v>200000</v>
      </c>
      <c r="K66" s="484">
        <v>0.2</v>
      </c>
      <c r="L66" s="484">
        <f t="shared" si="1"/>
        <v>904532.00800000003</v>
      </c>
      <c r="M66" s="484">
        <f t="shared" si="2"/>
        <v>1104532.0079999999</v>
      </c>
      <c r="N66" s="484">
        <f t="shared" si="37"/>
        <v>1393458.9679999999</v>
      </c>
      <c r="O66" s="484">
        <f t="shared" si="38"/>
        <v>3418128.0320000001</v>
      </c>
      <c r="P66" s="484">
        <f t="shared" si="5"/>
        <v>21000</v>
      </c>
      <c r="Q66" s="484">
        <f t="shared" si="6"/>
        <v>33000</v>
      </c>
      <c r="R66" s="484">
        <f t="shared" si="7"/>
        <v>75000</v>
      </c>
      <c r="S66" s="484">
        <f t="shared" si="8"/>
        <v>95000</v>
      </c>
      <c r="T66" s="484">
        <f t="shared" si="9"/>
        <v>336000</v>
      </c>
      <c r="U66" s="484">
        <f t="shared" si="10"/>
        <v>52350.727680000025</v>
      </c>
      <c r="V66" s="484">
        <f t="shared" si="11"/>
        <v>612350.72768000001</v>
      </c>
      <c r="W66" s="488">
        <v>12</v>
      </c>
      <c r="X66" s="484">
        <f t="shared" si="12"/>
        <v>51029.227306666668</v>
      </c>
      <c r="Y66" s="486"/>
      <c r="Z66" s="554">
        <f t="shared" si="13"/>
        <v>51029.227306666668</v>
      </c>
      <c r="AA66" s="489">
        <v>33825.986562666658</v>
      </c>
      <c r="AB66" s="489">
        <f t="shared" si="40"/>
        <v>17203.24074400001</v>
      </c>
      <c r="AC66" s="489"/>
      <c r="AD66" s="489"/>
      <c r="AE66" s="489"/>
    </row>
    <row r="67" spans="1:31" ht="18.75">
      <c r="A67" s="553">
        <v>60</v>
      </c>
      <c r="B67" s="366"/>
      <c r="C67" s="484"/>
      <c r="D67" s="485"/>
      <c r="E67" s="484"/>
      <c r="F67" s="484"/>
      <c r="G67" s="486"/>
      <c r="H67" s="486"/>
      <c r="I67" s="484"/>
      <c r="J67" s="484"/>
      <c r="K67" s="484"/>
      <c r="L67" s="484"/>
      <c r="M67" s="484"/>
      <c r="N67" s="484"/>
      <c r="O67" s="484"/>
      <c r="P67" s="484"/>
      <c r="Q67" s="484"/>
      <c r="R67" s="484"/>
      <c r="S67" s="484"/>
      <c r="T67" s="484"/>
      <c r="U67" s="484"/>
      <c r="V67" s="484"/>
      <c r="W67" s="488"/>
      <c r="X67" s="484"/>
      <c r="Y67" s="486"/>
      <c r="Z67" s="554"/>
      <c r="AA67" s="489"/>
      <c r="AB67" s="489"/>
      <c r="AC67" s="489"/>
      <c r="AD67" s="489"/>
      <c r="AE67" s="489"/>
    </row>
    <row r="68" spans="1:31" ht="18.75">
      <c r="A68" s="553">
        <v>61</v>
      </c>
      <c r="B68" s="362"/>
      <c r="C68" s="484"/>
      <c r="D68" s="485"/>
      <c r="E68" s="484"/>
      <c r="F68" s="484"/>
      <c r="G68" s="486"/>
      <c r="H68" s="486"/>
      <c r="I68" s="484"/>
      <c r="J68" s="484"/>
      <c r="K68" s="484"/>
      <c r="L68" s="484"/>
      <c r="M68" s="484"/>
      <c r="N68" s="484"/>
      <c r="O68" s="484"/>
      <c r="P68" s="484"/>
      <c r="Q68" s="484"/>
      <c r="R68" s="484"/>
      <c r="S68" s="484"/>
      <c r="T68" s="484"/>
      <c r="U68" s="484"/>
      <c r="V68" s="484"/>
      <c r="W68" s="488"/>
      <c r="X68" s="484"/>
      <c r="Y68" s="486"/>
      <c r="Z68" s="554"/>
      <c r="AA68" s="489"/>
      <c r="AB68" s="489"/>
      <c r="AC68" s="489"/>
      <c r="AD68" s="489"/>
      <c r="AE68" s="489"/>
    </row>
    <row r="69" spans="1:31" ht="18.75">
      <c r="A69" s="553"/>
      <c r="B69" s="366" t="s">
        <v>462</v>
      </c>
      <c r="C69" s="484"/>
      <c r="D69" s="485"/>
      <c r="E69" s="484"/>
      <c r="F69" s="484"/>
      <c r="G69" s="486"/>
      <c r="H69" s="486"/>
      <c r="I69" s="484"/>
      <c r="J69" s="484"/>
      <c r="K69" s="484"/>
      <c r="L69" s="484"/>
      <c r="M69" s="484"/>
      <c r="N69" s="484"/>
      <c r="O69" s="484"/>
      <c r="P69" s="484"/>
      <c r="Q69" s="484"/>
      <c r="R69" s="484"/>
      <c r="S69" s="484"/>
      <c r="T69" s="484"/>
      <c r="U69" s="484"/>
      <c r="V69" s="484"/>
      <c r="W69" s="488"/>
      <c r="X69" s="484"/>
      <c r="Y69" s="486"/>
      <c r="Z69" s="554"/>
      <c r="AA69" s="489"/>
      <c r="AB69" s="489"/>
      <c r="AC69" s="489"/>
      <c r="AD69" s="489"/>
      <c r="AE69" s="489"/>
    </row>
    <row r="70" spans="1:31" ht="18.75">
      <c r="A70" s="553"/>
      <c r="B70" s="432" t="s">
        <v>19</v>
      </c>
      <c r="C70" s="484">
        <v>1635720</v>
      </c>
      <c r="D70" s="485">
        <v>12</v>
      </c>
      <c r="E70" s="484">
        <f>C70*D70</f>
        <v>19628640</v>
      </c>
      <c r="F70" s="484"/>
      <c r="G70" s="555">
        <v>1378291.2000000002</v>
      </c>
      <c r="H70" s="486"/>
      <c r="I70" s="484">
        <f t="shared" ref="I70:I76" si="41">E70-F70-G70-H70</f>
        <v>18250348.800000001</v>
      </c>
      <c r="J70" s="484">
        <v>200000</v>
      </c>
      <c r="K70" s="484">
        <v>0.2</v>
      </c>
      <c r="L70" s="484">
        <f t="shared" ref="L70" si="42">I70*K70</f>
        <v>3650069.7600000002</v>
      </c>
      <c r="M70" s="484">
        <f t="shared" ref="M70" si="43">J70+L70</f>
        <v>3850069.7600000002</v>
      </c>
      <c r="N70" s="484">
        <f t="shared" ref="N70:N76" si="44">F70+G70+H70+M70</f>
        <v>5228360.9600000009</v>
      </c>
      <c r="O70" s="484">
        <f t="shared" ref="O70:O76" si="45">E70-N70</f>
        <v>14400279.039999999</v>
      </c>
      <c r="P70" s="484">
        <f t="shared" ref="P70" si="46">IF(O70&lt;300000,0.07*O70,21000)</f>
        <v>21000</v>
      </c>
      <c r="Q70" s="484">
        <f t="shared" ref="Q70" si="47">IF((O70-300000)&lt;0,0,IF((O70-300000)&lt;300000,0.11*(O70-300000),33000))</f>
        <v>33000</v>
      </c>
      <c r="R70" s="484">
        <f t="shared" ref="R70" si="48">IF((O70-600000)&lt;0,0,IF((O70-600000)&lt;500000,0.15*(O70-600000),75000))</f>
        <v>75000</v>
      </c>
      <c r="S70" s="484">
        <f t="shared" ref="S70" si="49">IF((O70-1100000)&lt;0,0,IF((O70-1100000)&lt;500000,0.19*(O70-1100000),95000))</f>
        <v>95000</v>
      </c>
      <c r="T70" s="484">
        <f t="shared" ref="T70" si="50">IF((O70-1600000)&lt;0,0,IF((O70-1600000)&lt;1600000,0.21*(O70-1600000),336000))</f>
        <v>336000</v>
      </c>
      <c r="U70" s="484">
        <f t="shared" ref="U70" si="51">24%*(O70-3200000)</f>
        <v>2688066.9695999995</v>
      </c>
      <c r="V70" s="484">
        <f t="shared" ref="V70" si="52">P70+Q70+R70+S70+T70+U70</f>
        <v>3248066.9695999995</v>
      </c>
      <c r="W70" s="488">
        <v>12</v>
      </c>
      <c r="X70" s="484">
        <f t="shared" ref="X70" si="53">V70/W70</f>
        <v>270672.24746666662</v>
      </c>
      <c r="Y70" s="486"/>
      <c r="Z70" s="554">
        <f t="shared" ref="Z70" si="54">X70</f>
        <v>270672.24746666662</v>
      </c>
      <c r="AA70" s="489">
        <v>180306.80685866671</v>
      </c>
      <c r="AB70" s="489">
        <f>Z70-AA70</f>
        <v>90365.440607999917</v>
      </c>
      <c r="AC70" s="489"/>
      <c r="AD70" s="489"/>
      <c r="AE70" s="489"/>
    </row>
    <row r="71" spans="1:31" ht="18.75">
      <c r="A71" s="553">
        <v>62</v>
      </c>
      <c r="B71" s="365" t="s">
        <v>325</v>
      </c>
      <c r="C71" s="484">
        <v>761396.83333333337</v>
      </c>
      <c r="D71" s="485">
        <v>12</v>
      </c>
      <c r="E71" s="484">
        <f t="shared" ref="E71:E76" si="55">C71*D71</f>
        <v>9136762</v>
      </c>
      <c r="F71" s="484"/>
      <c r="G71" s="555">
        <v>0</v>
      </c>
      <c r="H71" s="486"/>
      <c r="I71" s="484">
        <f t="shared" si="41"/>
        <v>9136762</v>
      </c>
      <c r="J71" s="484">
        <v>200000</v>
      </c>
      <c r="K71" s="484">
        <v>0.2</v>
      </c>
      <c r="L71" s="484">
        <f t="shared" si="1"/>
        <v>1827352.4000000001</v>
      </c>
      <c r="M71" s="484">
        <f t="shared" si="2"/>
        <v>2027352.4000000001</v>
      </c>
      <c r="N71" s="484">
        <f t="shared" si="44"/>
        <v>2027352.4000000001</v>
      </c>
      <c r="O71" s="484">
        <f t="shared" si="45"/>
        <v>7109409.5999999996</v>
      </c>
      <c r="P71" s="484">
        <f t="shared" si="5"/>
        <v>21000</v>
      </c>
      <c r="Q71" s="484">
        <f t="shared" si="6"/>
        <v>33000</v>
      </c>
      <c r="R71" s="484">
        <f t="shared" si="7"/>
        <v>75000</v>
      </c>
      <c r="S71" s="484">
        <f t="shared" si="8"/>
        <v>95000</v>
      </c>
      <c r="T71" s="484">
        <f t="shared" si="9"/>
        <v>336000</v>
      </c>
      <c r="U71" s="484">
        <f t="shared" si="10"/>
        <v>938258.30399999989</v>
      </c>
      <c r="V71" s="484">
        <f t="shared" si="11"/>
        <v>1498258.304</v>
      </c>
      <c r="W71" s="488">
        <v>12</v>
      </c>
      <c r="X71" s="484">
        <f t="shared" si="12"/>
        <v>124854.85866666667</v>
      </c>
      <c r="Y71" s="486"/>
      <c r="Z71" s="554">
        <f t="shared" si="13"/>
        <v>124854.85866666667</v>
      </c>
      <c r="AA71" s="489">
        <v>77764.98026666668</v>
      </c>
      <c r="AB71" s="489">
        <f t="shared" ref="AB71:AB76" si="56">Z71-AA71</f>
        <v>47089.878399999987</v>
      </c>
      <c r="AC71" s="489"/>
      <c r="AD71" s="489"/>
      <c r="AE71" s="489"/>
    </row>
    <row r="72" spans="1:31" ht="37.5">
      <c r="A72" s="553">
        <v>63</v>
      </c>
      <c r="B72" s="364" t="s">
        <v>333</v>
      </c>
      <c r="C72" s="484">
        <f>700675.583333333+80000</f>
        <v>780675.58333333302</v>
      </c>
      <c r="D72" s="485">
        <v>12</v>
      </c>
      <c r="E72" s="484">
        <f t="shared" si="55"/>
        <v>9368106.9999999963</v>
      </c>
      <c r="F72" s="484"/>
      <c r="G72" s="555">
        <v>0</v>
      </c>
      <c r="H72" s="486"/>
      <c r="I72" s="484">
        <f t="shared" si="41"/>
        <v>9368106.9999999963</v>
      </c>
      <c r="J72" s="484">
        <v>200000</v>
      </c>
      <c r="K72" s="484">
        <v>0.2</v>
      </c>
      <c r="L72" s="484">
        <f t="shared" si="1"/>
        <v>1873621.3999999994</v>
      </c>
      <c r="M72" s="484">
        <f t="shared" si="2"/>
        <v>2073621.3999999994</v>
      </c>
      <c r="N72" s="484">
        <f t="shared" si="44"/>
        <v>2073621.3999999994</v>
      </c>
      <c r="O72" s="484">
        <f t="shared" si="45"/>
        <v>7294485.5999999968</v>
      </c>
      <c r="P72" s="484">
        <f t="shared" si="5"/>
        <v>21000</v>
      </c>
      <c r="Q72" s="484">
        <f t="shared" si="6"/>
        <v>33000</v>
      </c>
      <c r="R72" s="484">
        <f t="shared" si="7"/>
        <v>75000</v>
      </c>
      <c r="S72" s="484">
        <f t="shared" si="8"/>
        <v>95000</v>
      </c>
      <c r="T72" s="484">
        <f t="shared" si="9"/>
        <v>336000</v>
      </c>
      <c r="U72" s="484">
        <f t="shared" si="10"/>
        <v>982676.54399999918</v>
      </c>
      <c r="V72" s="484">
        <f t="shared" si="11"/>
        <v>1542676.5439999993</v>
      </c>
      <c r="W72" s="488">
        <v>12</v>
      </c>
      <c r="X72" s="484">
        <f t="shared" si="12"/>
        <v>128556.37866666661</v>
      </c>
      <c r="Y72" s="486"/>
      <c r="Z72" s="554">
        <f t="shared" si="13"/>
        <v>128556.37866666661</v>
      </c>
      <c r="AA72" s="489">
        <v>64596.939146666664</v>
      </c>
      <c r="AB72" s="489">
        <f t="shared" si="56"/>
        <v>63959.439519999949</v>
      </c>
      <c r="AC72" s="489"/>
      <c r="AD72" s="489"/>
      <c r="AE72" s="489"/>
    </row>
    <row r="73" spans="1:31" ht="18.75">
      <c r="A73" s="553">
        <v>64</v>
      </c>
      <c r="B73" s="432" t="s">
        <v>26</v>
      </c>
      <c r="C73" s="484">
        <v>596622.25</v>
      </c>
      <c r="D73" s="485">
        <v>12</v>
      </c>
      <c r="E73" s="484">
        <f t="shared" si="55"/>
        <v>7159467</v>
      </c>
      <c r="F73" s="484">
        <f>'[4]JANUARY 2024'!$V$78*12</f>
        <v>8019.795000000001</v>
      </c>
      <c r="G73" s="555">
        <v>438357.36</v>
      </c>
      <c r="H73" s="486"/>
      <c r="I73" s="484">
        <f t="shared" si="41"/>
        <v>6713089.8449999997</v>
      </c>
      <c r="J73" s="484">
        <v>200000</v>
      </c>
      <c r="K73" s="484">
        <v>0.2</v>
      </c>
      <c r="L73" s="484">
        <f t="shared" si="1"/>
        <v>1342617.969</v>
      </c>
      <c r="M73" s="484">
        <f t="shared" si="2"/>
        <v>1542617.969</v>
      </c>
      <c r="N73" s="484">
        <f t="shared" si="44"/>
        <v>1988995.1240000001</v>
      </c>
      <c r="O73" s="484">
        <f t="shared" si="45"/>
        <v>5170471.8760000002</v>
      </c>
      <c r="P73" s="484">
        <f t="shared" si="5"/>
        <v>21000</v>
      </c>
      <c r="Q73" s="484">
        <f t="shared" si="6"/>
        <v>33000</v>
      </c>
      <c r="R73" s="484">
        <f t="shared" si="7"/>
        <v>75000</v>
      </c>
      <c r="S73" s="484">
        <f t="shared" si="8"/>
        <v>95000</v>
      </c>
      <c r="T73" s="484">
        <f t="shared" si="9"/>
        <v>336000</v>
      </c>
      <c r="U73" s="484">
        <f t="shared" si="10"/>
        <v>472913.25024000002</v>
      </c>
      <c r="V73" s="484">
        <f t="shared" si="11"/>
        <v>1032913.25024</v>
      </c>
      <c r="W73" s="488">
        <v>12</v>
      </c>
      <c r="X73" s="484">
        <f t="shared" si="12"/>
        <v>86076.104186666664</v>
      </c>
      <c r="Y73" s="486"/>
      <c r="Z73" s="554">
        <f t="shared" si="13"/>
        <v>86076.104186666664</v>
      </c>
      <c r="AA73" s="489">
        <v>56350.58618666666</v>
      </c>
      <c r="AB73" s="489">
        <f t="shared" si="56"/>
        <v>29725.518000000004</v>
      </c>
      <c r="AC73" s="489"/>
      <c r="AD73" s="489"/>
      <c r="AE73" s="489"/>
    </row>
    <row r="74" spans="1:31" ht="18.75">
      <c r="A74" s="553">
        <v>65</v>
      </c>
      <c r="B74" s="432" t="s">
        <v>324</v>
      </c>
      <c r="C74" s="484">
        <v>408901.5</v>
      </c>
      <c r="D74" s="485">
        <v>12</v>
      </c>
      <c r="E74" s="484">
        <f t="shared" si="55"/>
        <v>4906818</v>
      </c>
      <c r="F74" s="484"/>
      <c r="G74" s="555">
        <v>296545.44</v>
      </c>
      <c r="H74" s="486"/>
      <c r="I74" s="484">
        <f t="shared" si="41"/>
        <v>4610272.5599999996</v>
      </c>
      <c r="J74" s="484">
        <v>200000</v>
      </c>
      <c r="K74" s="484">
        <v>0.2</v>
      </c>
      <c r="L74" s="484">
        <f t="shared" si="1"/>
        <v>922054.51199999999</v>
      </c>
      <c r="M74" s="484">
        <f t="shared" si="2"/>
        <v>1122054.5120000001</v>
      </c>
      <c r="N74" s="484">
        <f t="shared" si="44"/>
        <v>1418599.952</v>
      </c>
      <c r="O74" s="484">
        <f t="shared" si="45"/>
        <v>3488218.048</v>
      </c>
      <c r="P74" s="484">
        <f t="shared" si="5"/>
        <v>21000</v>
      </c>
      <c r="Q74" s="484">
        <f t="shared" si="6"/>
        <v>33000</v>
      </c>
      <c r="R74" s="484">
        <f t="shared" si="7"/>
        <v>75000</v>
      </c>
      <c r="S74" s="484">
        <f t="shared" si="8"/>
        <v>95000</v>
      </c>
      <c r="T74" s="484">
        <f t="shared" si="9"/>
        <v>336000</v>
      </c>
      <c r="U74" s="484">
        <f>0.24*(O74-3200000)</f>
        <v>69172.331519999992</v>
      </c>
      <c r="V74" s="484">
        <f t="shared" si="11"/>
        <v>629172.33152000001</v>
      </c>
      <c r="W74" s="488">
        <v>12</v>
      </c>
      <c r="X74" s="484">
        <f t="shared" si="12"/>
        <v>52431.02762666667</v>
      </c>
      <c r="Y74" s="486"/>
      <c r="Z74" s="554">
        <f t="shared" si="13"/>
        <v>52431.02762666667</v>
      </c>
      <c r="AA74" s="489">
        <v>17507.548966666665</v>
      </c>
      <c r="AB74" s="489">
        <f t="shared" si="56"/>
        <v>34923.478660000008</v>
      </c>
      <c r="AC74" s="489"/>
      <c r="AD74" s="489"/>
      <c r="AE74" s="489"/>
    </row>
    <row r="75" spans="1:31" ht="24.75" customHeight="1">
      <c r="A75" s="553"/>
      <c r="B75" s="432" t="s">
        <v>554</v>
      </c>
      <c r="C75" s="484">
        <v>363165.33333333331</v>
      </c>
      <c r="D75" s="485">
        <v>12</v>
      </c>
      <c r="E75" s="484">
        <f t="shared" si="55"/>
        <v>4357984</v>
      </c>
      <c r="F75" s="484"/>
      <c r="G75" s="555">
        <v>252638.71999999997</v>
      </c>
      <c r="H75" s="486"/>
      <c r="I75" s="484">
        <f t="shared" si="41"/>
        <v>4105345.2800000003</v>
      </c>
      <c r="J75" s="484">
        <v>200000</v>
      </c>
      <c r="K75" s="484">
        <v>0.2</v>
      </c>
      <c r="L75" s="484">
        <f t="shared" si="1"/>
        <v>821069.0560000001</v>
      </c>
      <c r="M75" s="484">
        <f t="shared" si="2"/>
        <v>1021069.0560000001</v>
      </c>
      <c r="N75" s="484">
        <f t="shared" si="44"/>
        <v>1273707.7760000001</v>
      </c>
      <c r="O75" s="484">
        <f t="shared" si="45"/>
        <v>3084276.2239999999</v>
      </c>
      <c r="P75" s="484">
        <f t="shared" si="5"/>
        <v>21000</v>
      </c>
      <c r="Q75" s="484">
        <f t="shared" si="6"/>
        <v>33000</v>
      </c>
      <c r="R75" s="484">
        <f t="shared" si="7"/>
        <v>75000</v>
      </c>
      <c r="S75" s="484">
        <f t="shared" si="8"/>
        <v>95000</v>
      </c>
      <c r="T75" s="484">
        <f t="shared" si="9"/>
        <v>311698.00704</v>
      </c>
      <c r="U75" s="484"/>
      <c r="V75" s="484">
        <f t="shared" si="11"/>
        <v>535698.00704000005</v>
      </c>
      <c r="W75" s="488">
        <v>12</v>
      </c>
      <c r="X75" s="484">
        <f t="shared" si="12"/>
        <v>44641.500586666669</v>
      </c>
      <c r="Y75" s="486"/>
      <c r="Z75" s="554">
        <f t="shared" si="13"/>
        <v>44641.500586666669</v>
      </c>
      <c r="AA75" s="489">
        <v>29058.48260466666</v>
      </c>
      <c r="AB75" s="489">
        <f t="shared" si="56"/>
        <v>15583.017982000008</v>
      </c>
      <c r="AC75" s="489"/>
      <c r="AD75" s="489"/>
      <c r="AE75" s="489"/>
    </row>
    <row r="76" spans="1:31" ht="18.75">
      <c r="A76" s="553"/>
      <c r="B76" s="432" t="s">
        <v>552</v>
      </c>
      <c r="C76" s="484">
        <v>324459.75</v>
      </c>
      <c r="D76" s="485">
        <v>12</v>
      </c>
      <c r="E76" s="484">
        <f t="shared" si="55"/>
        <v>3893517</v>
      </c>
      <c r="F76" s="484"/>
      <c r="G76" s="555">
        <v>215481.36</v>
      </c>
      <c r="H76" s="486"/>
      <c r="I76" s="484">
        <f t="shared" si="41"/>
        <v>3678035.64</v>
      </c>
      <c r="J76" s="484">
        <v>200000</v>
      </c>
      <c r="K76" s="484">
        <v>0.2</v>
      </c>
      <c r="L76" s="484">
        <f t="shared" ref="L76" si="57">I76*K76</f>
        <v>735607.12800000003</v>
      </c>
      <c r="M76" s="484">
        <f t="shared" ref="M76" si="58">J76+L76</f>
        <v>935607.12800000003</v>
      </c>
      <c r="N76" s="484">
        <f t="shared" si="44"/>
        <v>1151088.4879999999</v>
      </c>
      <c r="O76" s="484">
        <f t="shared" si="45"/>
        <v>2742428.5120000001</v>
      </c>
      <c r="P76" s="484">
        <f t="shared" ref="P76" si="59">IF(O76&lt;300000,0.07*O76,21000)</f>
        <v>21000</v>
      </c>
      <c r="Q76" s="484">
        <f t="shared" ref="Q76" si="60">IF((O76-300000)&lt;0,0,IF((O76-300000)&lt;300000,0.11*(O76-300000),33000))</f>
        <v>33000</v>
      </c>
      <c r="R76" s="484">
        <f t="shared" ref="R76" si="61">IF((O76-600000)&lt;0,0,IF((O76-600000)&lt;500000,0.15*(O76-600000),75000))</f>
        <v>75000</v>
      </c>
      <c r="S76" s="484">
        <f t="shared" ref="S76" si="62">IF((O76-1100000)&lt;0,0,IF((O76-1100000)&lt;500000,0.19*(O76-1100000),95000))</f>
        <v>95000</v>
      </c>
      <c r="T76" s="484">
        <f t="shared" ref="T76" si="63">IF((O76-1600000)&lt;0,0,IF((O76-1600000)&lt;1600000,0.21*(O76-1600000),336000))</f>
        <v>239909.98752000002</v>
      </c>
      <c r="U76" s="484"/>
      <c r="V76" s="484">
        <f t="shared" ref="V76" si="64">P76+Q76+R76+S76+T76+U76</f>
        <v>463909.98752000002</v>
      </c>
      <c r="W76" s="488">
        <v>12</v>
      </c>
      <c r="X76" s="484">
        <f t="shared" ref="X76" si="65">V76/W76</f>
        <v>38659.165626666669</v>
      </c>
      <c r="Y76" s="486"/>
      <c r="Z76" s="554">
        <f t="shared" ref="Z76" si="66">X76</f>
        <v>38659.165626666669</v>
      </c>
      <c r="AA76" s="489">
        <v>24751.170462666665</v>
      </c>
      <c r="AB76" s="489">
        <f t="shared" si="56"/>
        <v>13907.995164000004</v>
      </c>
      <c r="AC76" s="489"/>
      <c r="AD76" s="489"/>
      <c r="AE76" s="489"/>
    </row>
    <row r="77" spans="1:31" ht="18.75">
      <c r="A77" s="553"/>
      <c r="B77" s="366" t="s">
        <v>15</v>
      </c>
      <c r="C77" s="484"/>
      <c r="D77" s="485"/>
      <c r="E77" s="484"/>
      <c r="F77" s="484"/>
      <c r="G77" s="486"/>
      <c r="H77" s="486"/>
      <c r="I77" s="484"/>
      <c r="J77" s="484"/>
      <c r="K77" s="484"/>
      <c r="L77" s="484"/>
      <c r="M77" s="484"/>
      <c r="N77" s="484"/>
      <c r="O77" s="484"/>
      <c r="P77" s="484"/>
      <c r="Q77" s="484"/>
      <c r="R77" s="484"/>
      <c r="S77" s="484"/>
      <c r="T77" s="484"/>
      <c r="U77" s="484"/>
      <c r="V77" s="484"/>
      <c r="W77" s="488"/>
      <c r="X77" s="484"/>
      <c r="Y77" s="486"/>
      <c r="Z77" s="554"/>
      <c r="AA77" s="489"/>
      <c r="AB77" s="489"/>
      <c r="AC77" s="489"/>
      <c r="AD77" s="489"/>
      <c r="AE77" s="489"/>
    </row>
    <row r="78" spans="1:31" ht="18.75">
      <c r="A78" s="553">
        <v>66</v>
      </c>
      <c r="B78" s="366"/>
      <c r="C78" s="484"/>
      <c r="D78" s="485"/>
      <c r="E78" s="484"/>
      <c r="F78" s="484"/>
      <c r="G78" s="486"/>
      <c r="H78" s="486"/>
      <c r="I78" s="484"/>
      <c r="J78" s="484"/>
      <c r="K78" s="484"/>
      <c r="L78" s="484"/>
      <c r="M78" s="484"/>
      <c r="N78" s="484"/>
      <c r="O78" s="484"/>
      <c r="P78" s="484"/>
      <c r="Q78" s="484"/>
      <c r="R78" s="484"/>
      <c r="S78" s="484"/>
      <c r="T78" s="484"/>
      <c r="U78" s="484"/>
      <c r="V78" s="484"/>
      <c r="W78" s="488"/>
      <c r="X78" s="484"/>
      <c r="Y78" s="486"/>
      <c r="Z78" s="554"/>
      <c r="AA78" s="489"/>
      <c r="AB78" s="489"/>
      <c r="AC78" s="489"/>
      <c r="AD78" s="489"/>
      <c r="AE78" s="489"/>
    </row>
    <row r="79" spans="1:31" ht="37.5">
      <c r="A79" s="553">
        <v>67</v>
      </c>
      <c r="B79" s="366" t="s">
        <v>463</v>
      </c>
      <c r="C79" s="484"/>
      <c r="Z79" s="558"/>
      <c r="AB79" s="396" t="s">
        <v>760</v>
      </c>
      <c r="AC79" s="489"/>
      <c r="AD79" s="489"/>
      <c r="AE79" s="489"/>
    </row>
    <row r="80" spans="1:31" ht="18.75">
      <c r="A80" s="553">
        <v>68</v>
      </c>
      <c r="B80" s="432" t="s">
        <v>169</v>
      </c>
      <c r="C80" s="484">
        <v>880675.58333333337</v>
      </c>
      <c r="D80" s="485">
        <v>12</v>
      </c>
      <c r="E80" s="484">
        <f>C80*D80</f>
        <v>10568107</v>
      </c>
      <c r="F80" s="484"/>
      <c r="G80" s="555">
        <v>595848.56000000006</v>
      </c>
      <c r="H80" s="486"/>
      <c r="I80" s="484">
        <f t="shared" ref="I80:I89" si="67">E80-F80-G80-H80</f>
        <v>9972258.4399999995</v>
      </c>
      <c r="J80" s="484">
        <v>200000</v>
      </c>
      <c r="K80" s="484">
        <v>0.2</v>
      </c>
      <c r="L80" s="484">
        <f t="shared" ref="L80:L89" si="68">I80*K80</f>
        <v>1994451.6880000001</v>
      </c>
      <c r="M80" s="484">
        <f t="shared" ref="M80:M89" si="69">J80+L80</f>
        <v>2194451.6880000001</v>
      </c>
      <c r="N80" s="484">
        <f t="shared" ref="N80:N89" si="70">F80+G80+H80+M80</f>
        <v>2790300.2480000001</v>
      </c>
      <c r="O80" s="484">
        <f t="shared" ref="O80:O89" si="71">E80-N80</f>
        <v>7777806.7520000003</v>
      </c>
      <c r="P80" s="484">
        <f t="shared" ref="P80:P89" si="72">IF(O80&lt;300000,0.07*O80,21000)</f>
        <v>21000</v>
      </c>
      <c r="Q80" s="484">
        <f t="shared" ref="Q80:Q89" si="73">IF((O80-300000)&lt;0,0,IF((O80-300000)&lt;300000,0.11*(O80-300000),33000))</f>
        <v>33000</v>
      </c>
      <c r="R80" s="484">
        <f t="shared" ref="R80:R89" si="74">IF((O80-600000)&lt;0,0,IF((O80-600000)&lt;500000,0.15*(O80-600000),75000))</f>
        <v>75000</v>
      </c>
      <c r="S80" s="484">
        <f t="shared" ref="S80:S89" si="75">IF((O80-1100000)&lt;0,0,IF((O80-1100000)&lt;500000,0.19*(O80-1100000),95000))</f>
        <v>95000</v>
      </c>
      <c r="T80" s="484">
        <f t="shared" ref="T80:T89" si="76">IF((O80-1600000)&lt;0,0,IF((O80-1600000)&lt;1600000,0.21*(O80-1600000),336000))</f>
        <v>336000</v>
      </c>
      <c r="U80" s="484">
        <f t="shared" ref="U80:U88" si="77">24%*(O80-3200000)</f>
        <v>1098673.62048</v>
      </c>
      <c r="V80" s="484">
        <f t="shared" ref="V80:V89" si="78">P80+Q80+R80+S80+T80+U80</f>
        <v>1658673.62048</v>
      </c>
      <c r="W80" s="488">
        <v>12</v>
      </c>
      <c r="X80" s="484">
        <f t="shared" ref="X80:X89" si="79">V80/W80</f>
        <v>138222.80170666668</v>
      </c>
      <c r="Y80" s="486"/>
      <c r="Z80" s="554">
        <f t="shared" ref="Z80:Z89" si="80">X80</f>
        <v>138222.80170666668</v>
      </c>
      <c r="AA80" s="484">
        <v>99156.939146666671</v>
      </c>
      <c r="AB80" s="489">
        <f>Z80-AA80</f>
        <v>39065.862560000009</v>
      </c>
      <c r="AC80" s="489" t="s">
        <v>169</v>
      </c>
      <c r="AD80" s="489"/>
      <c r="AE80" s="489"/>
    </row>
    <row r="81" spans="1:31" ht="18.75">
      <c r="A81" s="553">
        <v>69</v>
      </c>
      <c r="B81" s="432" t="s">
        <v>192</v>
      </c>
      <c r="C81" s="484">
        <v>780675.58333333337</v>
      </c>
      <c r="D81" s="485">
        <v>12</v>
      </c>
      <c r="E81" s="484">
        <f t="shared" ref="E81:E86" si="81">C81*D81</f>
        <v>9368107</v>
      </c>
      <c r="F81" s="484">
        <f>'[4]JANUARY 2024'!$V$86*12</f>
        <v>10052.25</v>
      </c>
      <c r="G81" s="555">
        <v>595848.56000000006</v>
      </c>
      <c r="H81" s="486"/>
      <c r="I81" s="484">
        <f t="shared" si="67"/>
        <v>8762206.1899999995</v>
      </c>
      <c r="J81" s="484">
        <v>200000</v>
      </c>
      <c r="K81" s="484">
        <v>0.2</v>
      </c>
      <c r="L81" s="484">
        <f t="shared" si="68"/>
        <v>1752441.2379999999</v>
      </c>
      <c r="M81" s="484">
        <f t="shared" si="69"/>
        <v>1952441.2379999999</v>
      </c>
      <c r="N81" s="484">
        <f t="shared" si="70"/>
        <v>2558342.048</v>
      </c>
      <c r="O81" s="484">
        <f t="shared" si="71"/>
        <v>6809764.9519999996</v>
      </c>
      <c r="P81" s="484">
        <f t="shared" si="72"/>
        <v>21000</v>
      </c>
      <c r="Q81" s="484">
        <f t="shared" si="73"/>
        <v>33000</v>
      </c>
      <c r="R81" s="484">
        <f t="shared" si="74"/>
        <v>75000</v>
      </c>
      <c r="S81" s="484">
        <f t="shared" si="75"/>
        <v>95000</v>
      </c>
      <c r="T81" s="484">
        <f t="shared" si="76"/>
        <v>336000</v>
      </c>
      <c r="U81" s="484">
        <f t="shared" si="77"/>
        <v>866343.58847999992</v>
      </c>
      <c r="V81" s="484">
        <f t="shared" si="78"/>
        <v>1426343.5884799999</v>
      </c>
      <c r="W81" s="488">
        <v>12</v>
      </c>
      <c r="X81" s="484">
        <f t="shared" si="79"/>
        <v>118861.96570666666</v>
      </c>
      <c r="Y81" s="486"/>
      <c r="Z81" s="554">
        <f t="shared" si="80"/>
        <v>118861.96570666666</v>
      </c>
      <c r="AA81" s="484">
        <v>98996.103146666661</v>
      </c>
      <c r="AB81" s="489">
        <f t="shared" ref="AB81:AB86" si="82">Z81-AA81</f>
        <v>19865.862559999994</v>
      </c>
      <c r="AC81" s="489" t="s">
        <v>192</v>
      </c>
      <c r="AD81" s="489"/>
      <c r="AE81" s="489"/>
    </row>
    <row r="82" spans="1:31" ht="37.5">
      <c r="A82" s="553">
        <v>70</v>
      </c>
      <c r="B82" s="432" t="s">
        <v>202</v>
      </c>
      <c r="C82" s="484">
        <v>742118.08333333337</v>
      </c>
      <c r="D82" s="485">
        <v>12</v>
      </c>
      <c r="E82" s="484">
        <f t="shared" si="81"/>
        <v>8905417</v>
      </c>
      <c r="F82" s="484"/>
      <c r="G82" s="555">
        <v>558833.3600000001</v>
      </c>
      <c r="H82" s="486"/>
      <c r="I82" s="484">
        <f t="shared" si="67"/>
        <v>8346583.6399999997</v>
      </c>
      <c r="J82" s="484">
        <v>200000</v>
      </c>
      <c r="K82" s="484">
        <v>0.2</v>
      </c>
      <c r="L82" s="484">
        <f t="shared" si="68"/>
        <v>1669316.7280000001</v>
      </c>
      <c r="M82" s="484">
        <f t="shared" si="69"/>
        <v>1869316.7280000001</v>
      </c>
      <c r="N82" s="484">
        <f t="shared" si="70"/>
        <v>2428150.0880000005</v>
      </c>
      <c r="O82" s="484">
        <f t="shared" si="71"/>
        <v>6477266.9119999995</v>
      </c>
      <c r="P82" s="484">
        <f t="shared" si="72"/>
        <v>21000</v>
      </c>
      <c r="Q82" s="484">
        <f t="shared" si="73"/>
        <v>33000</v>
      </c>
      <c r="R82" s="484">
        <f t="shared" si="74"/>
        <v>75000</v>
      </c>
      <c r="S82" s="484">
        <f t="shared" si="75"/>
        <v>95000</v>
      </c>
      <c r="T82" s="484">
        <f t="shared" si="76"/>
        <v>336000</v>
      </c>
      <c r="U82" s="484">
        <f t="shared" si="77"/>
        <v>786544.05887999991</v>
      </c>
      <c r="V82" s="484">
        <f t="shared" si="78"/>
        <v>1346544.0588799999</v>
      </c>
      <c r="W82" s="488">
        <v>12</v>
      </c>
      <c r="X82" s="484">
        <f t="shared" si="79"/>
        <v>112212.00490666665</v>
      </c>
      <c r="Y82" s="486"/>
      <c r="Z82" s="554">
        <f t="shared" si="80"/>
        <v>112212.00490666665</v>
      </c>
      <c r="AA82" s="484">
        <v>79956.939146666657</v>
      </c>
      <c r="AB82" s="489">
        <f t="shared" si="82"/>
        <v>32255.065759999998</v>
      </c>
      <c r="AC82" s="489" t="s">
        <v>202</v>
      </c>
      <c r="AD82" s="489"/>
      <c r="AE82" s="489"/>
    </row>
    <row r="83" spans="1:31" ht="18.75">
      <c r="A83" s="553">
        <v>71</v>
      </c>
      <c r="B83" s="432" t="s">
        <v>101</v>
      </c>
      <c r="C83" s="484">
        <v>561804.91666666674</v>
      </c>
      <c r="D83" s="485">
        <v>12</v>
      </c>
      <c r="E83" s="484">
        <f t="shared" si="81"/>
        <v>6741659.0000000009</v>
      </c>
      <c r="F83" s="484"/>
      <c r="G83" s="555">
        <v>424132.72</v>
      </c>
      <c r="H83" s="486"/>
      <c r="I83" s="484">
        <f t="shared" si="67"/>
        <v>6317526.2800000012</v>
      </c>
      <c r="J83" s="484">
        <v>200000</v>
      </c>
      <c r="K83" s="484">
        <v>0.2</v>
      </c>
      <c r="L83" s="484">
        <f t="shared" si="68"/>
        <v>1263505.2560000003</v>
      </c>
      <c r="M83" s="484">
        <f t="shared" si="69"/>
        <v>1463505.2560000003</v>
      </c>
      <c r="N83" s="484">
        <f t="shared" si="70"/>
        <v>1887637.9760000003</v>
      </c>
      <c r="O83" s="484">
        <f t="shared" si="71"/>
        <v>4854021.0240000002</v>
      </c>
      <c r="P83" s="484">
        <f t="shared" si="72"/>
        <v>21000</v>
      </c>
      <c r="Q83" s="484">
        <f t="shared" si="73"/>
        <v>33000</v>
      </c>
      <c r="R83" s="484">
        <f t="shared" si="74"/>
        <v>75000</v>
      </c>
      <c r="S83" s="484">
        <f t="shared" si="75"/>
        <v>95000</v>
      </c>
      <c r="T83" s="484">
        <f t="shared" si="76"/>
        <v>336000</v>
      </c>
      <c r="U83" s="484">
        <f t="shared" si="77"/>
        <v>396965.04576000001</v>
      </c>
      <c r="V83" s="484">
        <f t="shared" si="78"/>
        <v>956965.04576000001</v>
      </c>
      <c r="W83" s="488">
        <v>12</v>
      </c>
      <c r="X83" s="484">
        <f t="shared" si="79"/>
        <v>79747.087146666672</v>
      </c>
      <c r="Y83" s="486"/>
      <c r="Z83" s="554">
        <f t="shared" si="80"/>
        <v>79747.087146666672</v>
      </c>
      <c r="AA83" s="484">
        <v>75574.677290666688</v>
      </c>
      <c r="AB83" s="489">
        <f t="shared" si="82"/>
        <v>4172.4098559999838</v>
      </c>
      <c r="AC83" s="489" t="s">
        <v>101</v>
      </c>
      <c r="AD83" s="489"/>
      <c r="AE83" s="489"/>
    </row>
    <row r="84" spans="1:31" ht="18.75">
      <c r="A84" s="553">
        <v>72</v>
      </c>
      <c r="B84" s="432" t="s">
        <v>336</v>
      </c>
      <c r="C84" s="484">
        <v>548915.91666666674</v>
      </c>
      <c r="D84" s="485">
        <v>12</v>
      </c>
      <c r="E84" s="484">
        <f t="shared" si="81"/>
        <v>6586991.0000000009</v>
      </c>
      <c r="F84" s="484"/>
      <c r="G84" s="555">
        <v>411759.28</v>
      </c>
      <c r="H84" s="486"/>
      <c r="I84" s="484">
        <f t="shared" si="67"/>
        <v>6175231.7200000007</v>
      </c>
      <c r="J84" s="484">
        <v>200000</v>
      </c>
      <c r="K84" s="484">
        <v>0.2</v>
      </c>
      <c r="L84" s="484">
        <f t="shared" si="68"/>
        <v>1235046.3440000003</v>
      </c>
      <c r="M84" s="484">
        <f t="shared" si="69"/>
        <v>1435046.3440000003</v>
      </c>
      <c r="N84" s="484">
        <f t="shared" si="70"/>
        <v>1846805.6240000003</v>
      </c>
      <c r="O84" s="484">
        <f t="shared" si="71"/>
        <v>4740185.3760000002</v>
      </c>
      <c r="P84" s="484">
        <f t="shared" si="72"/>
        <v>21000</v>
      </c>
      <c r="Q84" s="484">
        <f t="shared" si="73"/>
        <v>33000</v>
      </c>
      <c r="R84" s="484">
        <f t="shared" si="74"/>
        <v>75000</v>
      </c>
      <c r="S84" s="484">
        <f t="shared" si="75"/>
        <v>95000</v>
      </c>
      <c r="T84" s="484">
        <f t="shared" si="76"/>
        <v>336000</v>
      </c>
      <c r="U84" s="484">
        <f t="shared" si="77"/>
        <v>369644.49024000001</v>
      </c>
      <c r="V84" s="484">
        <f t="shared" si="78"/>
        <v>929644.49023999996</v>
      </c>
      <c r="W84" s="488">
        <v>12</v>
      </c>
      <c r="X84" s="484">
        <f t="shared" si="79"/>
        <v>77470.374186666668</v>
      </c>
      <c r="Y84" s="486"/>
      <c r="Z84" s="554">
        <f t="shared" si="80"/>
        <v>77470.374186666668</v>
      </c>
      <c r="AA84" s="484">
        <v>50985.977546666662</v>
      </c>
      <c r="AB84" s="489">
        <f t="shared" si="82"/>
        <v>26484.396640000006</v>
      </c>
      <c r="AC84" s="489" t="s">
        <v>336</v>
      </c>
      <c r="AD84" s="489"/>
      <c r="AE84" s="489"/>
    </row>
    <row r="85" spans="1:31" ht="37.5">
      <c r="A85" s="553">
        <v>73</v>
      </c>
      <c r="B85" s="432" t="s">
        <v>337</v>
      </c>
      <c r="C85" s="484">
        <v>568870.75</v>
      </c>
      <c r="D85" s="485">
        <v>12</v>
      </c>
      <c r="E85" s="484">
        <f t="shared" si="81"/>
        <v>6826449</v>
      </c>
      <c r="F85" s="484"/>
      <c r="G85" s="555">
        <v>411715.92000000004</v>
      </c>
      <c r="H85" s="486"/>
      <c r="I85" s="484">
        <f t="shared" si="67"/>
        <v>6414733.0800000001</v>
      </c>
      <c r="J85" s="484">
        <v>200000</v>
      </c>
      <c r="K85" s="484">
        <v>0.2</v>
      </c>
      <c r="L85" s="484">
        <f t="shared" si="68"/>
        <v>1282946.6160000002</v>
      </c>
      <c r="M85" s="484">
        <f t="shared" si="69"/>
        <v>1482946.6160000002</v>
      </c>
      <c r="N85" s="484">
        <f t="shared" si="70"/>
        <v>1894662.5360000003</v>
      </c>
      <c r="O85" s="484">
        <f t="shared" si="71"/>
        <v>4931786.4639999997</v>
      </c>
      <c r="P85" s="484">
        <f t="shared" si="72"/>
        <v>21000</v>
      </c>
      <c r="Q85" s="484">
        <f t="shared" si="73"/>
        <v>33000</v>
      </c>
      <c r="R85" s="484">
        <f t="shared" si="74"/>
        <v>75000</v>
      </c>
      <c r="S85" s="484">
        <f t="shared" si="75"/>
        <v>95000</v>
      </c>
      <c r="T85" s="484">
        <f t="shared" si="76"/>
        <v>336000</v>
      </c>
      <c r="U85" s="484">
        <f t="shared" si="77"/>
        <v>415628.75135999994</v>
      </c>
      <c r="V85" s="484">
        <f t="shared" si="78"/>
        <v>975628.75135999988</v>
      </c>
      <c r="W85" s="488">
        <v>12</v>
      </c>
      <c r="X85" s="484">
        <f t="shared" si="79"/>
        <v>81302.395946666657</v>
      </c>
      <c r="Y85" s="486"/>
      <c r="Z85" s="484">
        <f t="shared" si="80"/>
        <v>81302.395946666657</v>
      </c>
      <c r="AA85" s="554">
        <v>49548.776186666662</v>
      </c>
      <c r="AB85" s="489">
        <f t="shared" si="82"/>
        <v>31753.619759999994</v>
      </c>
      <c r="AC85" s="489" t="s">
        <v>337</v>
      </c>
      <c r="AD85" s="489"/>
      <c r="AE85" s="489"/>
    </row>
    <row r="86" spans="1:31" ht="18.75">
      <c r="A86" s="553">
        <v>74</v>
      </c>
      <c r="B86" s="432" t="s">
        <v>421</v>
      </c>
      <c r="C86" s="484">
        <v>475703.83333333331</v>
      </c>
      <c r="D86" s="485">
        <v>12</v>
      </c>
      <c r="E86" s="484">
        <f t="shared" si="81"/>
        <v>5708446</v>
      </c>
      <c r="F86" s="484"/>
      <c r="G86" s="557">
        <f>29256.3066666667*12</f>
        <v>351075.6800000004</v>
      </c>
      <c r="H86" s="486"/>
      <c r="I86" s="484">
        <f t="shared" si="67"/>
        <v>5357370.3199999994</v>
      </c>
      <c r="J86" s="484">
        <v>200000</v>
      </c>
      <c r="K86" s="484">
        <v>0.2</v>
      </c>
      <c r="L86" s="484">
        <f t="shared" si="68"/>
        <v>1071474.064</v>
      </c>
      <c r="M86" s="484">
        <f t="shared" si="69"/>
        <v>1271474.064</v>
      </c>
      <c r="N86" s="484">
        <f t="shared" si="70"/>
        <v>1622549.7440000004</v>
      </c>
      <c r="O86" s="484">
        <f t="shared" si="71"/>
        <v>4085896.2559999996</v>
      </c>
      <c r="P86" s="484">
        <f t="shared" si="72"/>
        <v>21000</v>
      </c>
      <c r="Q86" s="484">
        <f t="shared" si="73"/>
        <v>33000</v>
      </c>
      <c r="R86" s="484">
        <f t="shared" si="74"/>
        <v>75000</v>
      </c>
      <c r="S86" s="484">
        <f t="shared" si="75"/>
        <v>95000</v>
      </c>
      <c r="T86" s="484">
        <f t="shared" si="76"/>
        <v>336000</v>
      </c>
      <c r="U86" s="484">
        <f t="shared" si="77"/>
        <v>212615.10143999988</v>
      </c>
      <c r="V86" s="484">
        <f t="shared" si="78"/>
        <v>772615.10143999988</v>
      </c>
      <c r="W86" s="488">
        <v>12</v>
      </c>
      <c r="X86" s="484">
        <f t="shared" si="79"/>
        <v>64384.591786666657</v>
      </c>
      <c r="Y86" s="486"/>
      <c r="Z86" s="554">
        <f t="shared" si="80"/>
        <v>64384.591786666657</v>
      </c>
      <c r="AA86" s="484">
        <v>53384.053562666668</v>
      </c>
      <c r="AB86" s="489">
        <f t="shared" si="82"/>
        <v>11000.538223999989</v>
      </c>
      <c r="AC86" s="489" t="s">
        <v>421</v>
      </c>
      <c r="AD86" s="489"/>
      <c r="AE86" s="489"/>
    </row>
    <row r="87" spans="1:31" ht="24" customHeight="1">
      <c r="A87" s="553">
        <v>75</v>
      </c>
      <c r="B87" s="432" t="s">
        <v>556</v>
      </c>
      <c r="C87" s="484">
        <v>510248.91666666669</v>
      </c>
      <c r="D87" s="485">
        <v>12</v>
      </c>
      <c r="E87" s="484">
        <f>C87*D87</f>
        <v>6122987</v>
      </c>
      <c r="F87" s="484">
        <f>'[4]JANUARY 2024'!$V$92*12</f>
        <v>6922.4970000000012</v>
      </c>
      <c r="G87" s="555">
        <v>374638.96</v>
      </c>
      <c r="H87" s="486"/>
      <c r="I87" s="484">
        <f t="shared" si="67"/>
        <v>5741425.5429999996</v>
      </c>
      <c r="J87" s="484">
        <v>200000</v>
      </c>
      <c r="K87" s="484">
        <v>0.2</v>
      </c>
      <c r="L87" s="484">
        <f t="shared" si="68"/>
        <v>1148285.1085999999</v>
      </c>
      <c r="M87" s="484">
        <f t="shared" si="69"/>
        <v>1348285.1085999999</v>
      </c>
      <c r="N87" s="484">
        <f t="shared" si="70"/>
        <v>1729846.5655999999</v>
      </c>
      <c r="O87" s="484">
        <f t="shared" si="71"/>
        <v>4393140.4343999997</v>
      </c>
      <c r="P87" s="484">
        <f t="shared" si="72"/>
        <v>21000</v>
      </c>
      <c r="Q87" s="484">
        <f t="shared" si="73"/>
        <v>33000</v>
      </c>
      <c r="R87" s="484">
        <f t="shared" si="74"/>
        <v>75000</v>
      </c>
      <c r="S87" s="484">
        <f t="shared" si="75"/>
        <v>95000</v>
      </c>
      <c r="T87" s="484">
        <f t="shared" si="76"/>
        <v>336000</v>
      </c>
      <c r="U87" s="484">
        <f t="shared" si="77"/>
        <v>286353.70425599994</v>
      </c>
      <c r="V87" s="484">
        <f t="shared" si="78"/>
        <v>846353.704256</v>
      </c>
      <c r="W87" s="488">
        <v>12</v>
      </c>
      <c r="X87" s="484">
        <f t="shared" si="79"/>
        <v>70529.475354666662</v>
      </c>
      <c r="Y87" s="486"/>
      <c r="Z87" s="484">
        <f t="shared" si="80"/>
        <v>70529.475354666662</v>
      </c>
      <c r="AA87" s="559">
        <v>41242.036140666671</v>
      </c>
      <c r="AB87" s="489">
        <f>Z87-AA87</f>
        <v>29287.439213999991</v>
      </c>
      <c r="AC87" s="489" t="s">
        <v>556</v>
      </c>
      <c r="AD87" s="489"/>
      <c r="AE87" s="489"/>
    </row>
    <row r="88" spans="1:31" ht="18.75">
      <c r="A88" s="553">
        <v>76</v>
      </c>
      <c r="B88" s="432" t="s">
        <v>436</v>
      </c>
      <c r="C88" s="484">
        <v>400965.58333333331</v>
      </c>
      <c r="D88" s="485">
        <v>12</v>
      </c>
      <c r="E88" s="484">
        <f t="shared" ref="E88:E89" si="83">C88*D88</f>
        <v>4811587</v>
      </c>
      <c r="F88" s="484"/>
      <c r="G88" s="555">
        <v>288926.95999999996</v>
      </c>
      <c r="H88" s="486"/>
      <c r="I88" s="484">
        <f t="shared" si="67"/>
        <v>4522660.04</v>
      </c>
      <c r="J88" s="484">
        <v>200000</v>
      </c>
      <c r="K88" s="484">
        <v>0.2</v>
      </c>
      <c r="L88" s="484">
        <f t="shared" si="68"/>
        <v>904532.00800000003</v>
      </c>
      <c r="M88" s="484">
        <f t="shared" si="69"/>
        <v>1104532.0079999999</v>
      </c>
      <c r="N88" s="484">
        <f t="shared" si="70"/>
        <v>1393458.9679999999</v>
      </c>
      <c r="O88" s="484">
        <f t="shared" si="71"/>
        <v>3418128.0320000001</v>
      </c>
      <c r="P88" s="484">
        <f t="shared" si="72"/>
        <v>21000</v>
      </c>
      <c r="Q88" s="484">
        <f t="shared" si="73"/>
        <v>33000</v>
      </c>
      <c r="R88" s="484">
        <f t="shared" si="74"/>
        <v>75000</v>
      </c>
      <c r="S88" s="484">
        <f t="shared" si="75"/>
        <v>95000</v>
      </c>
      <c r="T88" s="484">
        <f t="shared" si="76"/>
        <v>336000</v>
      </c>
      <c r="U88" s="484">
        <f t="shared" si="77"/>
        <v>52350.727680000025</v>
      </c>
      <c r="V88" s="484">
        <f t="shared" si="78"/>
        <v>612350.72768000001</v>
      </c>
      <c r="W88" s="488">
        <v>12</v>
      </c>
      <c r="X88" s="484">
        <f t="shared" si="79"/>
        <v>51029.227306666668</v>
      </c>
      <c r="Y88" s="486"/>
      <c r="Z88" s="554">
        <f t="shared" si="80"/>
        <v>51029.227306666668</v>
      </c>
      <c r="AA88" s="484">
        <v>45414.456252666663</v>
      </c>
      <c r="AB88" s="489">
        <f t="shared" ref="AB88:AB89" si="84">Z88-AA88</f>
        <v>5614.7710540000044</v>
      </c>
      <c r="AC88" s="489" t="s">
        <v>436</v>
      </c>
      <c r="AD88" s="489"/>
      <c r="AE88" s="489"/>
    </row>
    <row r="89" spans="1:31" ht="18.75">
      <c r="A89" s="553"/>
      <c r="B89" s="432" t="s">
        <v>406</v>
      </c>
      <c r="C89" s="484">
        <v>330631.91666666663</v>
      </c>
      <c r="D89" s="485">
        <v>12</v>
      </c>
      <c r="E89" s="484">
        <f t="shared" si="83"/>
        <v>3967582.9999999995</v>
      </c>
      <c r="F89" s="484"/>
      <c r="G89" s="555">
        <v>221406.64</v>
      </c>
      <c r="H89" s="486"/>
      <c r="I89" s="484">
        <f t="shared" si="67"/>
        <v>3746176.3599999994</v>
      </c>
      <c r="J89" s="484">
        <v>200000</v>
      </c>
      <c r="K89" s="484">
        <v>0.2</v>
      </c>
      <c r="L89" s="484">
        <f t="shared" si="68"/>
        <v>749235.27199999988</v>
      </c>
      <c r="M89" s="484">
        <f t="shared" si="69"/>
        <v>949235.27199999988</v>
      </c>
      <c r="N89" s="484">
        <f t="shared" si="70"/>
        <v>1170641.912</v>
      </c>
      <c r="O89" s="484">
        <f t="shared" si="71"/>
        <v>2796941.0879999995</v>
      </c>
      <c r="P89" s="484">
        <f t="shared" si="72"/>
        <v>21000</v>
      </c>
      <c r="Q89" s="484">
        <f t="shared" si="73"/>
        <v>33000</v>
      </c>
      <c r="R89" s="484">
        <f t="shared" si="74"/>
        <v>75000</v>
      </c>
      <c r="S89" s="484">
        <f t="shared" si="75"/>
        <v>95000</v>
      </c>
      <c r="T89" s="484">
        <f t="shared" si="76"/>
        <v>251357.6284799999</v>
      </c>
      <c r="U89" s="484"/>
      <c r="V89" s="484">
        <f t="shared" si="78"/>
        <v>475357.6284799999</v>
      </c>
      <c r="W89" s="488">
        <v>12</v>
      </c>
      <c r="X89" s="484">
        <f t="shared" si="79"/>
        <v>39613.135706666661</v>
      </c>
      <c r="Y89" s="486"/>
      <c r="Z89" s="554">
        <f t="shared" si="80"/>
        <v>39613.135706666661</v>
      </c>
      <c r="AA89" s="484">
        <v>33825.986562666658</v>
      </c>
      <c r="AB89" s="489">
        <f t="shared" si="84"/>
        <v>5787.1491440000027</v>
      </c>
      <c r="AC89" s="489" t="s">
        <v>406</v>
      </c>
      <c r="AD89" s="489"/>
      <c r="AE89" s="489"/>
    </row>
    <row r="90" spans="1:31" ht="18.75">
      <c r="A90" s="553"/>
      <c r="B90" s="366"/>
      <c r="C90" s="484"/>
      <c r="D90" s="485"/>
      <c r="E90" s="484"/>
      <c r="F90" s="484"/>
      <c r="G90" s="486"/>
      <c r="H90" s="486"/>
      <c r="I90" s="484"/>
      <c r="J90" s="484"/>
      <c r="K90" s="484"/>
      <c r="L90" s="484"/>
      <c r="M90" s="484"/>
      <c r="N90" s="484"/>
      <c r="O90" s="484"/>
      <c r="P90" s="484"/>
      <c r="Q90" s="484"/>
      <c r="R90" s="484"/>
      <c r="S90" s="484"/>
      <c r="T90" s="484"/>
      <c r="U90" s="484"/>
      <c r="V90" s="484"/>
      <c r="W90" s="488"/>
      <c r="X90" s="484"/>
      <c r="Y90" s="486"/>
      <c r="Z90" s="554"/>
      <c r="AA90" s="489"/>
      <c r="AB90" s="489"/>
      <c r="AC90" s="489"/>
      <c r="AD90" s="489"/>
      <c r="AE90" s="489"/>
    </row>
    <row r="91" spans="1:31" ht="18.75">
      <c r="A91" s="553"/>
      <c r="B91" s="362"/>
      <c r="C91" s="484"/>
      <c r="D91" s="485"/>
      <c r="E91" s="484"/>
      <c r="F91" s="484"/>
      <c r="G91" s="486"/>
      <c r="H91" s="486"/>
      <c r="I91" s="484"/>
      <c r="J91" s="484"/>
      <c r="K91" s="484"/>
      <c r="L91" s="484"/>
      <c r="M91" s="484"/>
      <c r="N91" s="484"/>
      <c r="O91" s="484"/>
      <c r="P91" s="484"/>
      <c r="Q91" s="484"/>
      <c r="R91" s="484"/>
      <c r="S91" s="484"/>
      <c r="T91" s="484"/>
      <c r="U91" s="484"/>
      <c r="V91" s="484"/>
      <c r="W91" s="488"/>
      <c r="X91" s="484"/>
      <c r="Y91" s="486"/>
      <c r="Z91" s="554"/>
      <c r="AA91" s="489"/>
      <c r="AB91" s="489"/>
      <c r="AC91" s="489"/>
      <c r="AD91" s="489"/>
      <c r="AE91" s="489"/>
    </row>
    <row r="92" spans="1:31" ht="18.75">
      <c r="A92" s="553">
        <v>78</v>
      </c>
      <c r="B92" s="366" t="s">
        <v>464</v>
      </c>
      <c r="C92" s="484"/>
      <c r="Z92" s="558"/>
      <c r="AC92" s="489"/>
      <c r="AD92" s="489"/>
      <c r="AE92" s="489"/>
    </row>
    <row r="93" spans="1:31" ht="37.5">
      <c r="A93" s="553">
        <v>79</v>
      </c>
      <c r="B93" s="365" t="s">
        <v>112</v>
      </c>
      <c r="C93" s="484">
        <v>852373.16666666663</v>
      </c>
      <c r="D93" s="485">
        <v>12</v>
      </c>
      <c r="E93" s="484">
        <f>C93*D93</f>
        <v>10228478</v>
      </c>
      <c r="F93" s="484">
        <f>'[4]JANUARY 2024'!$V$98*12</f>
        <v>12795.951000000001</v>
      </c>
      <c r="G93" s="555">
        <v>731878.24</v>
      </c>
      <c r="H93" s="486"/>
      <c r="I93" s="484">
        <f>E93-F93-G93-H93</f>
        <v>9483803.8090000004</v>
      </c>
      <c r="J93" s="484">
        <v>200000</v>
      </c>
      <c r="K93" s="484">
        <v>0.2</v>
      </c>
      <c r="L93" s="484">
        <f>I93*K93</f>
        <v>1896760.7618000002</v>
      </c>
      <c r="M93" s="484">
        <f>J93+L93</f>
        <v>2096760.7618000002</v>
      </c>
      <c r="N93" s="484">
        <f>F93+G93+H93+M93</f>
        <v>2841434.9528000001</v>
      </c>
      <c r="O93" s="484">
        <f>E93-N93</f>
        <v>7387043.0471999999</v>
      </c>
      <c r="P93" s="484">
        <f>IF(O93&lt;300000,0.07*O93,21000)</f>
        <v>21000</v>
      </c>
      <c r="Q93" s="484">
        <f>IF((O93-300000)&lt;0,0,IF((O93-300000)&lt;300000,0.11*(O93-300000),33000))</f>
        <v>33000</v>
      </c>
      <c r="R93" s="484">
        <f>IF((O93-600000)&lt;0,0,IF((O93-600000)&lt;500000,0.15*(O93-600000),75000))</f>
        <v>75000</v>
      </c>
      <c r="S93" s="484">
        <f>IF((O93-1100000)&lt;0,0,IF((O93-1100000)&lt;500000,0.19*(O93-1100000),95000))</f>
        <v>95000</v>
      </c>
      <c r="T93" s="484">
        <f>IF((O93-1600000)&lt;0,0,IF((O93-1600000)&lt;1600000,0.21*(O93-1600000),336000))</f>
        <v>336000</v>
      </c>
      <c r="U93" s="484">
        <f>24%*(O93-3200000)</f>
        <v>1004890.3313279999</v>
      </c>
      <c r="V93" s="484">
        <f>P93+Q93+R93+S93+T93+U93</f>
        <v>1564890.3313279999</v>
      </c>
      <c r="W93" s="488">
        <v>12</v>
      </c>
      <c r="X93" s="484">
        <f>V93/W93</f>
        <v>130407.52761066666</v>
      </c>
      <c r="Y93" s="486"/>
      <c r="Z93" s="554">
        <f>X93</f>
        <v>130407.52761066666</v>
      </c>
      <c r="AA93" s="489">
        <v>82423.216202666677</v>
      </c>
      <c r="AB93" s="489">
        <f>Z93-AA93</f>
        <v>47984.31140799998</v>
      </c>
      <c r="AC93" s="489" t="s">
        <v>112</v>
      </c>
      <c r="AD93" s="489"/>
      <c r="AE93" s="489"/>
    </row>
    <row r="94" spans="1:31" ht="18.75">
      <c r="A94" s="553">
        <v>80</v>
      </c>
      <c r="B94" s="432" t="s">
        <v>124</v>
      </c>
      <c r="C94" s="484">
        <v>526622.25</v>
      </c>
      <c r="D94" s="485">
        <v>12</v>
      </c>
      <c r="E94" s="484">
        <f t="shared" ref="E94:E96" si="85">C94*D94</f>
        <v>6319467</v>
      </c>
      <c r="F94" s="484"/>
      <c r="G94" s="555">
        <v>438357.36</v>
      </c>
      <c r="H94" s="486"/>
      <c r="I94" s="484">
        <f>E94-F94-G94-H94</f>
        <v>5881109.6399999997</v>
      </c>
      <c r="J94" s="484">
        <v>200000</v>
      </c>
      <c r="K94" s="484">
        <v>0.2</v>
      </c>
      <c r="L94" s="484">
        <f>I94*K94</f>
        <v>1176221.9280000001</v>
      </c>
      <c r="M94" s="484">
        <f>J94+L94</f>
        <v>1376221.9280000001</v>
      </c>
      <c r="N94" s="484">
        <f>F94+G94+H94+M94</f>
        <v>1814579.2880000002</v>
      </c>
      <c r="O94" s="484">
        <f>E94-N94</f>
        <v>4504887.7119999994</v>
      </c>
      <c r="P94" s="484">
        <f>IF(O94&lt;300000,0.07*O94,21000)</f>
        <v>21000</v>
      </c>
      <c r="Q94" s="484">
        <f>IF((O94-300000)&lt;0,0,IF((O94-300000)&lt;300000,0.11*(O94-300000),33000))</f>
        <v>33000</v>
      </c>
      <c r="R94" s="484">
        <f>IF((O94-600000)&lt;0,0,IF((O94-600000)&lt;500000,0.15*(O94-600000),75000))</f>
        <v>75000</v>
      </c>
      <c r="S94" s="484">
        <f>IF((O94-1100000)&lt;0,0,IF((O94-1100000)&lt;500000,0.19*(O94-1100000),95000))</f>
        <v>95000</v>
      </c>
      <c r="T94" s="484">
        <f>IF((O94-1600000)&lt;0,0,IF((O94-1600000)&lt;1600000,0.21*(O94-1600000),336000))</f>
        <v>336000</v>
      </c>
      <c r="U94" s="484">
        <f t="shared" ref="U94:U95" si="86">24%*(O94-3200000)</f>
        <v>313173.05087999982</v>
      </c>
      <c r="V94" s="484">
        <f>P94+Q94+R94+S94+T94+U94</f>
        <v>873173.05087999976</v>
      </c>
      <c r="W94" s="488">
        <v>12</v>
      </c>
      <c r="X94" s="484">
        <f>V94/W94</f>
        <v>72764.420906666652</v>
      </c>
      <c r="Y94" s="486"/>
      <c r="Z94" s="554">
        <f>X94</f>
        <v>72764.420906666652</v>
      </c>
      <c r="AA94" s="489">
        <v>82627.951418666678</v>
      </c>
      <c r="AB94" s="489">
        <f t="shared" ref="AB94:AB96" si="87">Z94-AA94</f>
        <v>-9863.5305120000266</v>
      </c>
      <c r="AC94" s="489" t="s">
        <v>124</v>
      </c>
      <c r="AD94" s="489"/>
      <c r="AE94" s="489"/>
    </row>
    <row r="95" spans="1:31" ht="37.5">
      <c r="A95" s="553">
        <v>81</v>
      </c>
      <c r="B95" s="432" t="s">
        <v>237</v>
      </c>
      <c r="C95" s="484">
        <v>437895.16666666669</v>
      </c>
      <c r="D95" s="485">
        <v>12</v>
      </c>
      <c r="E95" s="484">
        <f t="shared" si="85"/>
        <v>5254742</v>
      </c>
      <c r="F95" s="484"/>
      <c r="G95" s="555">
        <v>362779.36</v>
      </c>
      <c r="H95" s="486"/>
      <c r="I95" s="484">
        <f>E95-F95-G95-H95</f>
        <v>4891962.6399999997</v>
      </c>
      <c r="J95" s="484">
        <v>200000</v>
      </c>
      <c r="K95" s="484">
        <v>0.2</v>
      </c>
      <c r="L95" s="484">
        <f>I95*K95</f>
        <v>978392.52799999993</v>
      </c>
      <c r="M95" s="484">
        <f>J95+L95</f>
        <v>1178392.5279999999</v>
      </c>
      <c r="N95" s="484">
        <f>F95+G95+H95+M95</f>
        <v>1541171.8879999998</v>
      </c>
      <c r="O95" s="484">
        <f>E95-N95</f>
        <v>3713570.1120000002</v>
      </c>
      <c r="P95" s="484">
        <f>IF(O95&lt;300000,0.07*O95,21000)</f>
        <v>21000</v>
      </c>
      <c r="Q95" s="484">
        <f>IF((O95-300000)&lt;0,0,IF((O95-300000)&lt;300000,0.11*(O95-300000),33000))</f>
        <v>33000</v>
      </c>
      <c r="R95" s="484">
        <f>IF((O95-600000)&lt;0,0,IF((O95-600000)&lt;500000,0.15*(O95-600000),75000))</f>
        <v>75000</v>
      </c>
      <c r="S95" s="484">
        <f>IF((O95-1100000)&lt;0,0,IF((O95-1100000)&lt;500000,0.19*(O95-1100000),95000))</f>
        <v>95000</v>
      </c>
      <c r="T95" s="484">
        <f>IF((O95-1600000)&lt;0,0,IF((O95-1600000)&lt;1600000,0.21*(O95-1600000),336000))</f>
        <v>336000</v>
      </c>
      <c r="U95" s="484">
        <f t="shared" si="86"/>
        <v>123256.82688000004</v>
      </c>
      <c r="V95" s="484">
        <f>P95+Q95+R95+S95+T95+U95</f>
        <v>683256.82688000007</v>
      </c>
      <c r="W95" s="488">
        <v>12</v>
      </c>
      <c r="X95" s="484">
        <f>V95/W95</f>
        <v>56938.068906666675</v>
      </c>
      <c r="Y95" s="486"/>
      <c r="Z95" s="554">
        <f>X95</f>
        <v>56938.068906666675</v>
      </c>
      <c r="AA95" s="489">
        <v>43492.373376666663</v>
      </c>
      <c r="AB95" s="489">
        <f t="shared" si="87"/>
        <v>13445.695530000012</v>
      </c>
      <c r="AC95" s="489" t="s">
        <v>237</v>
      </c>
      <c r="AD95" s="489"/>
      <c r="AE95" s="489"/>
    </row>
    <row r="96" spans="1:31" ht="18.75">
      <c r="A96" s="553"/>
      <c r="B96" s="432" t="s">
        <v>345</v>
      </c>
      <c r="C96" s="484">
        <v>360965.58333333331</v>
      </c>
      <c r="D96" s="485">
        <v>12</v>
      </c>
      <c r="E96" s="484">
        <f t="shared" si="85"/>
        <v>4331587</v>
      </c>
      <c r="F96" s="484"/>
      <c r="G96" s="555">
        <v>288926.95999999996</v>
      </c>
      <c r="H96" s="486"/>
      <c r="I96" s="484">
        <f>E96-F96-G96-H96</f>
        <v>4042660.04</v>
      </c>
      <c r="J96" s="484">
        <v>200000</v>
      </c>
      <c r="K96" s="484">
        <v>0.2</v>
      </c>
      <c r="L96" s="484">
        <f>I96*K96</f>
        <v>808532.00800000003</v>
      </c>
      <c r="M96" s="484">
        <f>J96+L96</f>
        <v>1008532.008</v>
      </c>
      <c r="N96" s="484">
        <f>F96+G96+H96+M96</f>
        <v>1297458.9679999999</v>
      </c>
      <c r="O96" s="484">
        <f>E96-N96</f>
        <v>3034128.0320000001</v>
      </c>
      <c r="P96" s="484">
        <f>IF(O96&lt;300000,0.07*O96,21000)</f>
        <v>21000</v>
      </c>
      <c r="Q96" s="484">
        <f>IF((O96-300000)&lt;0,0,IF((O96-300000)&lt;300000,0.11*(O96-300000),33000))</f>
        <v>33000</v>
      </c>
      <c r="R96" s="484">
        <f>IF((O96-600000)&lt;0,0,IF((O96-600000)&lt;500000,0.15*(O96-600000),75000))</f>
        <v>75000</v>
      </c>
      <c r="S96" s="484">
        <f>IF((O96-1100000)&lt;0,0,IF((O96-1100000)&lt;500000,0.19*(O96-1100000),95000))</f>
        <v>95000</v>
      </c>
      <c r="T96" s="484">
        <f>IF((O96-1600000)&lt;0,0,IF((O96-1600000)&lt;1600000,0.21*(O96-1600000),336000))</f>
        <v>301166.88672000001</v>
      </c>
      <c r="U96" s="484"/>
      <c r="V96" s="484">
        <f>P96+Q96+R96+S96+T96+U96</f>
        <v>525166.88672000007</v>
      </c>
      <c r="W96" s="488">
        <v>12</v>
      </c>
      <c r="X96" s="484">
        <f>V96/W96</f>
        <v>43763.90722666667</v>
      </c>
      <c r="Y96" s="486"/>
      <c r="Z96" s="554">
        <f>X96</f>
        <v>43763.90722666667</v>
      </c>
      <c r="AA96" s="489">
        <v>34968.882414666667</v>
      </c>
      <c r="AB96" s="489">
        <f t="shared" si="87"/>
        <v>8795.0248120000033</v>
      </c>
      <c r="AC96" s="489" t="s">
        <v>345</v>
      </c>
      <c r="AD96" s="489"/>
      <c r="AE96" s="489"/>
    </row>
    <row r="97" spans="1:31" ht="18.75">
      <c r="A97" s="553"/>
      <c r="B97" s="366" t="s">
        <v>15</v>
      </c>
      <c r="C97" s="484"/>
      <c r="D97" s="485"/>
      <c r="E97" s="484"/>
      <c r="F97" s="484"/>
      <c r="G97" s="486">
        <v>0</v>
      </c>
      <c r="H97" s="486"/>
      <c r="I97" s="484"/>
      <c r="J97" s="484"/>
      <c r="K97" s="484"/>
      <c r="L97" s="484"/>
      <c r="M97" s="484"/>
      <c r="N97" s="484"/>
      <c r="O97" s="484"/>
      <c r="P97" s="484"/>
      <c r="Q97" s="484"/>
      <c r="R97" s="484"/>
      <c r="S97" s="484"/>
      <c r="T97" s="484"/>
      <c r="U97" s="484"/>
      <c r="V97" s="484"/>
      <c r="W97" s="488"/>
      <c r="X97" s="484"/>
      <c r="Y97" s="486"/>
      <c r="Z97" s="554"/>
      <c r="AA97" s="489"/>
      <c r="AB97" s="489"/>
      <c r="AC97" s="489"/>
      <c r="AD97" s="489"/>
      <c r="AE97" s="489"/>
    </row>
    <row r="98" spans="1:31" ht="18.75">
      <c r="A98" s="553">
        <v>83</v>
      </c>
      <c r="B98" s="362"/>
      <c r="C98" s="484"/>
      <c r="G98" s="396">
        <v>0</v>
      </c>
      <c r="Z98" s="558"/>
      <c r="AC98" s="489"/>
      <c r="AD98" s="489"/>
      <c r="AE98" s="489"/>
    </row>
    <row r="99" spans="1:31" ht="37.5">
      <c r="A99" s="553">
        <v>84</v>
      </c>
      <c r="B99" s="366" t="s">
        <v>465</v>
      </c>
      <c r="C99" s="484"/>
      <c r="G99" s="396">
        <v>0</v>
      </c>
      <c r="Z99" s="558"/>
      <c r="AB99" s="396" t="s">
        <v>531</v>
      </c>
      <c r="AC99" s="489"/>
      <c r="AD99" s="489"/>
      <c r="AE99" s="489"/>
    </row>
    <row r="100" spans="1:31" ht="18.75">
      <c r="A100" s="553">
        <v>85</v>
      </c>
      <c r="B100" s="432" t="s">
        <v>216</v>
      </c>
      <c r="C100" s="484">
        <v>1635720</v>
      </c>
      <c r="D100" s="485">
        <v>12</v>
      </c>
      <c r="E100" s="484">
        <f>C100*D100</f>
        <v>19628640</v>
      </c>
      <c r="F100" s="484"/>
      <c r="G100" s="555">
        <v>1378291.2000000002</v>
      </c>
      <c r="H100" s="486"/>
      <c r="I100" s="484">
        <f t="shared" ref="I100:I105" si="88">E100-F100-G100-H100</f>
        <v>18250348.800000001</v>
      </c>
      <c r="J100" s="484">
        <v>200000</v>
      </c>
      <c r="K100" s="484">
        <v>0.2</v>
      </c>
      <c r="L100" s="484">
        <f t="shared" ref="L100:L106" si="89">I100*K100</f>
        <v>3650069.7600000002</v>
      </c>
      <c r="M100" s="484">
        <f t="shared" ref="M100:M106" si="90">J100+L100</f>
        <v>3850069.7600000002</v>
      </c>
      <c r="N100" s="484">
        <f t="shared" ref="N100:N105" si="91">F100+G100+H100+M100</f>
        <v>5228360.9600000009</v>
      </c>
      <c r="O100" s="484">
        <f t="shared" ref="O100:O106" si="92">E100-N100</f>
        <v>14400279.039999999</v>
      </c>
      <c r="P100" s="484">
        <f t="shared" ref="P100:P106" si="93">IF(O100&lt;300000,0.07*O100,21000)</f>
        <v>21000</v>
      </c>
      <c r="Q100" s="484">
        <f t="shared" ref="Q100:Q106" si="94">IF((O100-300000)&lt;0,0,IF((O100-300000)&lt;300000,0.11*(O100-300000),33000))</f>
        <v>33000</v>
      </c>
      <c r="R100" s="484">
        <f t="shared" ref="R100:R106" si="95">IF((O100-600000)&lt;0,0,IF((O100-600000)&lt;500000,0.15*(O100-600000),75000))</f>
        <v>75000</v>
      </c>
      <c r="S100" s="484">
        <f t="shared" ref="S100:S106" si="96">IF((O100-1100000)&lt;0,0,IF((O100-1100000)&lt;500000,0.19*(O100-1100000),95000))</f>
        <v>95000</v>
      </c>
      <c r="T100" s="484">
        <f t="shared" ref="T100:T106" si="97">IF((O100-1600000)&lt;0,0,IF((O100-1600000)&lt;1600000,0.21*(O100-1600000),336000))</f>
        <v>336000</v>
      </c>
      <c r="U100" s="484">
        <f>24%*(O100-3200000)</f>
        <v>2688066.9695999995</v>
      </c>
      <c r="V100" s="484">
        <f t="shared" ref="V100:V106" si="98">P100+Q100+R100+S100+T100+U100</f>
        <v>3248066.9695999995</v>
      </c>
      <c r="W100" s="488">
        <v>12</v>
      </c>
      <c r="X100" s="484">
        <f t="shared" ref="X100:X106" si="99">V100/W100</f>
        <v>270672.24746666662</v>
      </c>
      <c r="Y100" s="486"/>
      <c r="Z100" s="554">
        <f t="shared" ref="Z100:Z106" si="100">X100</f>
        <v>270672.24746666662</v>
      </c>
      <c r="AA100" s="489">
        <v>180306.80685866671</v>
      </c>
      <c r="AB100" s="489">
        <f>Z100-AA100</f>
        <v>90365.440607999917</v>
      </c>
      <c r="AC100" s="489" t="s">
        <v>216</v>
      </c>
      <c r="AD100" s="489"/>
      <c r="AE100" s="489"/>
    </row>
    <row r="101" spans="1:31" ht="18.75">
      <c r="A101" s="553">
        <v>86</v>
      </c>
      <c r="B101" s="432" t="s">
        <v>110</v>
      </c>
      <c r="C101" s="484">
        <v>942373.16666666663</v>
      </c>
      <c r="D101" s="485">
        <v>12</v>
      </c>
      <c r="E101" s="484">
        <f t="shared" ref="E101:E106" si="101">C101*D101</f>
        <v>11308478</v>
      </c>
      <c r="F101" s="484">
        <f>'[4]JANUARY 2024'!$V$106*12</f>
        <v>12795.951000000001</v>
      </c>
      <c r="G101" s="555">
        <v>731878.24</v>
      </c>
      <c r="H101" s="486"/>
      <c r="I101" s="484">
        <f t="shared" si="88"/>
        <v>10563803.809</v>
      </c>
      <c r="J101" s="484">
        <v>200000</v>
      </c>
      <c r="K101" s="484">
        <v>0.2</v>
      </c>
      <c r="L101" s="484">
        <f t="shared" si="89"/>
        <v>2112760.7618</v>
      </c>
      <c r="M101" s="484">
        <f t="shared" si="90"/>
        <v>2312760.7618</v>
      </c>
      <c r="N101" s="484">
        <f t="shared" si="91"/>
        <v>3057434.9528000001</v>
      </c>
      <c r="O101" s="484">
        <f t="shared" si="92"/>
        <v>8251043.0471999999</v>
      </c>
      <c r="P101" s="484">
        <f t="shared" si="93"/>
        <v>21000</v>
      </c>
      <c r="Q101" s="484">
        <f t="shared" si="94"/>
        <v>33000</v>
      </c>
      <c r="R101" s="484">
        <f t="shared" si="95"/>
        <v>75000</v>
      </c>
      <c r="S101" s="484">
        <f t="shared" si="96"/>
        <v>95000</v>
      </c>
      <c r="T101" s="484">
        <f t="shared" si="97"/>
        <v>336000</v>
      </c>
      <c r="U101" s="484">
        <f>24%*(O101-3200000)</f>
        <v>1212250.3313279999</v>
      </c>
      <c r="V101" s="484">
        <f t="shared" si="98"/>
        <v>1772250.3313279999</v>
      </c>
      <c r="W101" s="488">
        <v>12</v>
      </c>
      <c r="X101" s="484">
        <f t="shared" si="99"/>
        <v>147687.52761066667</v>
      </c>
      <c r="Y101" s="486"/>
      <c r="Z101" s="554">
        <f t="shared" si="100"/>
        <v>147687.52761066667</v>
      </c>
      <c r="AA101" s="489">
        <v>99703.216202666677</v>
      </c>
      <c r="AB101" s="489">
        <f t="shared" ref="AB101:AB106" si="102">Z101-AA101</f>
        <v>47984.311407999994</v>
      </c>
      <c r="AC101" s="489" t="s">
        <v>110</v>
      </c>
      <c r="AD101" s="489"/>
      <c r="AE101" s="489"/>
    </row>
    <row r="102" spans="1:31" ht="18.75">
      <c r="A102" s="553">
        <v>87</v>
      </c>
      <c r="B102" s="432" t="s">
        <v>109</v>
      </c>
      <c r="C102" s="484">
        <v>603237.85519166675</v>
      </c>
      <c r="D102" s="485">
        <v>12</v>
      </c>
      <c r="E102" s="484">
        <f t="shared" si="101"/>
        <v>7238854.2623000015</v>
      </c>
      <c r="F102" s="484">
        <f>'[4]JANUARY 2024'!$V$107*12</f>
        <v>7901.7900000000009</v>
      </c>
      <c r="G102" s="555">
        <v>424132.72</v>
      </c>
      <c r="H102" s="486"/>
      <c r="I102" s="484">
        <f t="shared" si="88"/>
        <v>6806819.7523000017</v>
      </c>
      <c r="J102" s="484">
        <v>200000</v>
      </c>
      <c r="K102" s="484">
        <v>0.2</v>
      </c>
      <c r="L102" s="484">
        <f t="shared" si="89"/>
        <v>1361363.9504600004</v>
      </c>
      <c r="M102" s="484">
        <f t="shared" si="90"/>
        <v>1561363.9504600004</v>
      </c>
      <c r="N102" s="484">
        <f t="shared" si="91"/>
        <v>1993398.4604600004</v>
      </c>
      <c r="O102" s="484">
        <f t="shared" si="92"/>
        <v>5245455.8018400008</v>
      </c>
      <c r="P102" s="484">
        <f t="shared" si="93"/>
        <v>21000</v>
      </c>
      <c r="Q102" s="484">
        <f t="shared" si="94"/>
        <v>33000</v>
      </c>
      <c r="R102" s="484">
        <f t="shared" si="95"/>
        <v>75000</v>
      </c>
      <c r="S102" s="484">
        <f t="shared" si="96"/>
        <v>95000</v>
      </c>
      <c r="T102" s="484">
        <f t="shared" si="97"/>
        <v>336000</v>
      </c>
      <c r="U102" s="484">
        <f>24%*(O102-3200000)</f>
        <v>490909.39244160015</v>
      </c>
      <c r="V102" s="484">
        <f t="shared" si="98"/>
        <v>1050909.3924416001</v>
      </c>
      <c r="W102" s="488">
        <v>12</v>
      </c>
      <c r="X102" s="484">
        <f t="shared" si="99"/>
        <v>87575.78270346667</v>
      </c>
      <c r="Y102" s="486"/>
      <c r="Z102" s="554">
        <f t="shared" si="100"/>
        <v>87575.78270346667</v>
      </c>
      <c r="AA102" s="489">
        <v>180180.378218667</v>
      </c>
      <c r="AB102" s="489">
        <f t="shared" si="102"/>
        <v>-92604.59551520033</v>
      </c>
      <c r="AC102" s="489" t="s">
        <v>109</v>
      </c>
      <c r="AD102" s="489"/>
      <c r="AE102" s="489"/>
    </row>
    <row r="103" spans="1:31" ht="18.75">
      <c r="A103" s="553">
        <v>88</v>
      </c>
      <c r="B103" s="432" t="s">
        <v>135</v>
      </c>
      <c r="C103" s="484">
        <v>601625.03332166676</v>
      </c>
      <c r="D103" s="485">
        <v>12</v>
      </c>
      <c r="E103" s="484">
        <f t="shared" si="101"/>
        <v>7219500.3998600012</v>
      </c>
      <c r="F103" s="484"/>
      <c r="G103" s="555">
        <v>424132.72</v>
      </c>
      <c r="H103" s="486"/>
      <c r="I103" s="484">
        <f t="shared" si="88"/>
        <v>6795367.6798600014</v>
      </c>
      <c r="J103" s="484">
        <v>200000</v>
      </c>
      <c r="K103" s="484">
        <v>0.2</v>
      </c>
      <c r="L103" s="484">
        <f t="shared" si="89"/>
        <v>1359073.5359720003</v>
      </c>
      <c r="M103" s="484">
        <f t="shared" si="90"/>
        <v>1559073.5359720003</v>
      </c>
      <c r="N103" s="484">
        <f t="shared" si="91"/>
        <v>1983206.2559720003</v>
      </c>
      <c r="O103" s="484">
        <f t="shared" si="92"/>
        <v>5236294.1438880004</v>
      </c>
      <c r="P103" s="484">
        <f t="shared" si="93"/>
        <v>21000</v>
      </c>
      <c r="Q103" s="484">
        <f t="shared" si="94"/>
        <v>33000</v>
      </c>
      <c r="R103" s="484">
        <f t="shared" si="95"/>
        <v>75000</v>
      </c>
      <c r="S103" s="484">
        <f t="shared" si="96"/>
        <v>95000</v>
      </c>
      <c r="T103" s="484">
        <f t="shared" si="97"/>
        <v>336000</v>
      </c>
      <c r="U103" s="484">
        <f>0.24*(O103-3200000)</f>
        <v>488710.59453312005</v>
      </c>
      <c r="V103" s="484">
        <f t="shared" si="98"/>
        <v>1048710.59453312</v>
      </c>
      <c r="W103" s="488">
        <v>12</v>
      </c>
      <c r="X103" s="484">
        <f t="shared" si="99"/>
        <v>87392.549544426671</v>
      </c>
      <c r="Y103" s="486"/>
      <c r="Z103" s="554">
        <f t="shared" si="100"/>
        <v>87392.549544426671</v>
      </c>
      <c r="AA103" s="489">
        <v>99907.951418666678</v>
      </c>
      <c r="AB103" s="489">
        <f t="shared" si="102"/>
        <v>-12515.401874240008</v>
      </c>
      <c r="AC103" s="489" t="s">
        <v>135</v>
      </c>
      <c r="AD103" s="489"/>
      <c r="AE103" s="489"/>
    </row>
    <row r="104" spans="1:31" ht="18.75">
      <c r="A104" s="553">
        <v>89</v>
      </c>
      <c r="B104" s="432" t="s">
        <v>240</v>
      </c>
      <c r="C104" s="484">
        <v>374481.8641466666</v>
      </c>
      <c r="D104" s="485">
        <v>12</v>
      </c>
      <c r="E104" s="484">
        <f t="shared" si="101"/>
        <v>4493782.3697599992</v>
      </c>
      <c r="F104" s="484"/>
      <c r="G104" s="555">
        <v>239182.47999999998</v>
      </c>
      <c r="H104" s="486"/>
      <c r="I104" s="484">
        <f t="shared" si="88"/>
        <v>4254599.8897599988</v>
      </c>
      <c r="J104" s="484">
        <v>200000</v>
      </c>
      <c r="K104" s="484">
        <v>0.2</v>
      </c>
      <c r="L104" s="484">
        <f t="shared" si="89"/>
        <v>850919.97795199975</v>
      </c>
      <c r="M104" s="484">
        <f t="shared" si="90"/>
        <v>1050919.9779519998</v>
      </c>
      <c r="N104" s="484">
        <f t="shared" si="91"/>
        <v>1290102.4579519997</v>
      </c>
      <c r="O104" s="484">
        <f t="shared" si="92"/>
        <v>3203679.9118079995</v>
      </c>
      <c r="P104" s="484">
        <f t="shared" si="93"/>
        <v>21000</v>
      </c>
      <c r="Q104" s="484">
        <f t="shared" si="94"/>
        <v>33000</v>
      </c>
      <c r="R104" s="484">
        <f t="shared" si="95"/>
        <v>75000</v>
      </c>
      <c r="S104" s="484">
        <f t="shared" si="96"/>
        <v>95000</v>
      </c>
      <c r="T104" s="484">
        <f t="shared" si="97"/>
        <v>336000</v>
      </c>
      <c r="U104" s="484">
        <f>0.24*(O104-3200000)</f>
        <v>883.17883391987527</v>
      </c>
      <c r="V104" s="484">
        <f t="shared" si="98"/>
        <v>560883.17883391993</v>
      </c>
      <c r="W104" s="488">
        <v>12</v>
      </c>
      <c r="X104" s="484">
        <f t="shared" si="99"/>
        <v>46740.264902826661</v>
      </c>
      <c r="Y104" s="486"/>
      <c r="Z104" s="554">
        <f t="shared" si="100"/>
        <v>46740.264902826661</v>
      </c>
      <c r="AA104" s="489">
        <v>58941.101743466657</v>
      </c>
      <c r="AB104" s="489">
        <f t="shared" si="102"/>
        <v>-12200.836840639997</v>
      </c>
      <c r="AC104" s="489" t="s">
        <v>240</v>
      </c>
      <c r="AD104" s="489"/>
      <c r="AE104" s="489"/>
    </row>
    <row r="105" spans="1:31" ht="37.5">
      <c r="A105" s="553"/>
      <c r="B105" s="364" t="s">
        <v>341</v>
      </c>
      <c r="C105" s="484">
        <v>367926.02100000001</v>
      </c>
      <c r="D105" s="485">
        <v>12</v>
      </c>
      <c r="E105" s="484">
        <f t="shared" si="101"/>
        <v>4415112.2520000003</v>
      </c>
      <c r="F105" s="484"/>
      <c r="G105" s="555">
        <v>233257.2</v>
      </c>
      <c r="H105" s="486"/>
      <c r="I105" s="484">
        <f t="shared" si="88"/>
        <v>4181855.0520000001</v>
      </c>
      <c r="J105" s="484">
        <v>200000</v>
      </c>
      <c r="K105" s="484">
        <v>0.2</v>
      </c>
      <c r="L105" s="484">
        <f t="shared" si="89"/>
        <v>836371.01040000003</v>
      </c>
      <c r="M105" s="484">
        <f t="shared" si="90"/>
        <v>1036371.0104</v>
      </c>
      <c r="N105" s="484">
        <f t="shared" si="91"/>
        <v>1269628.2104</v>
      </c>
      <c r="O105" s="484">
        <f t="shared" si="92"/>
        <v>3145484.0416000001</v>
      </c>
      <c r="P105" s="484">
        <f t="shared" si="93"/>
        <v>21000</v>
      </c>
      <c r="Q105" s="484">
        <f t="shared" si="94"/>
        <v>33000</v>
      </c>
      <c r="R105" s="484">
        <f t="shared" si="95"/>
        <v>75000</v>
      </c>
      <c r="S105" s="484">
        <f t="shared" si="96"/>
        <v>95000</v>
      </c>
      <c r="T105" s="484">
        <f t="shared" si="97"/>
        <v>324551.648736</v>
      </c>
      <c r="U105" s="484"/>
      <c r="V105" s="484">
        <f t="shared" si="98"/>
        <v>548551.64873600006</v>
      </c>
      <c r="W105" s="488">
        <v>12</v>
      </c>
      <c r="X105" s="484">
        <f t="shared" si="99"/>
        <v>45712.637394666672</v>
      </c>
      <c r="Y105" s="486"/>
      <c r="Z105" s="554">
        <f t="shared" si="100"/>
        <v>45712.637394666672</v>
      </c>
      <c r="AA105" s="489">
        <v>58631.439944426667</v>
      </c>
      <c r="AB105" s="489">
        <f t="shared" si="102"/>
        <v>-12918.802549759996</v>
      </c>
      <c r="AC105" s="489" t="s">
        <v>341</v>
      </c>
      <c r="AD105" s="489"/>
      <c r="AE105" s="489"/>
    </row>
    <row r="106" spans="1:31" ht="18.75">
      <c r="A106" s="553"/>
      <c r="B106" s="364" t="s">
        <v>374</v>
      </c>
      <c r="C106" s="484">
        <v>355198.11211166665</v>
      </c>
      <c r="D106" s="485">
        <v>12</v>
      </c>
      <c r="E106" s="484">
        <f t="shared" si="101"/>
        <v>4262377.3453399995</v>
      </c>
      <c r="G106" s="555">
        <v>221406.64</v>
      </c>
      <c r="H106" s="486"/>
      <c r="I106" s="484">
        <f>E106-F107-G106-H106</f>
        <v>4040970.7053399994</v>
      </c>
      <c r="J106" s="484">
        <v>200000</v>
      </c>
      <c r="K106" s="484">
        <v>0.2</v>
      </c>
      <c r="L106" s="484">
        <f t="shared" si="89"/>
        <v>808194.14106799988</v>
      </c>
      <c r="M106" s="484">
        <f t="shared" si="90"/>
        <v>1008194.1410679999</v>
      </c>
      <c r="N106" s="484">
        <f>F107+G106+H106+M106</f>
        <v>1229600.781068</v>
      </c>
      <c r="O106" s="484">
        <f t="shared" si="92"/>
        <v>3032776.5642719995</v>
      </c>
      <c r="P106" s="484">
        <f t="shared" si="93"/>
        <v>21000</v>
      </c>
      <c r="Q106" s="484">
        <f t="shared" si="94"/>
        <v>33000</v>
      </c>
      <c r="R106" s="484">
        <f t="shared" si="95"/>
        <v>75000</v>
      </c>
      <c r="S106" s="484">
        <f t="shared" si="96"/>
        <v>95000</v>
      </c>
      <c r="T106" s="484">
        <f t="shared" si="97"/>
        <v>300883.07849711989</v>
      </c>
      <c r="U106" s="484"/>
      <c r="V106" s="484">
        <f t="shared" si="98"/>
        <v>524883.07849711995</v>
      </c>
      <c r="W106" s="488">
        <v>12</v>
      </c>
      <c r="X106" s="484">
        <f t="shared" si="99"/>
        <v>43740.256541426665</v>
      </c>
      <c r="Y106" s="486"/>
      <c r="Z106" s="554">
        <f t="shared" si="100"/>
        <v>43740.256541426665</v>
      </c>
      <c r="AA106" s="489">
        <v>31871.335203306662</v>
      </c>
      <c r="AB106" s="489">
        <f t="shared" si="102"/>
        <v>11868.921338120002</v>
      </c>
      <c r="AC106" s="489" t="s">
        <v>374</v>
      </c>
      <c r="AD106" s="489"/>
      <c r="AE106" s="489"/>
    </row>
    <row r="107" spans="1:31" ht="18.75">
      <c r="A107" s="553"/>
      <c r="B107" s="366" t="s">
        <v>15</v>
      </c>
      <c r="C107" s="484"/>
      <c r="D107" s="485"/>
      <c r="E107" s="484"/>
      <c r="F107" s="484"/>
      <c r="G107" s="555"/>
      <c r="H107" s="486"/>
      <c r="I107" s="484"/>
      <c r="J107" s="484"/>
      <c r="K107" s="484"/>
      <c r="L107" s="484"/>
      <c r="M107" s="484"/>
      <c r="N107" s="484"/>
      <c r="O107" s="484"/>
      <c r="P107" s="484"/>
      <c r="Q107" s="484"/>
      <c r="R107" s="484"/>
      <c r="S107" s="484"/>
      <c r="T107" s="484"/>
      <c r="U107" s="484"/>
      <c r="V107" s="484"/>
      <c r="W107" s="488"/>
      <c r="X107" s="484"/>
      <c r="Y107" s="486"/>
      <c r="Z107" s="554"/>
      <c r="AA107" s="489"/>
      <c r="AB107" s="489"/>
      <c r="AC107" s="489"/>
      <c r="AD107" s="489"/>
      <c r="AE107" s="489"/>
    </row>
    <row r="108" spans="1:31" ht="18.75">
      <c r="A108" s="553">
        <v>90</v>
      </c>
      <c r="B108" s="366"/>
      <c r="C108" s="484"/>
      <c r="G108" s="555"/>
      <c r="U108" s="484"/>
      <c r="Z108" s="558"/>
      <c r="AC108" s="489"/>
      <c r="AD108" s="489"/>
      <c r="AE108" s="489"/>
    </row>
    <row r="109" spans="1:31" ht="37.5">
      <c r="A109" s="553">
        <v>91</v>
      </c>
      <c r="B109" s="366" t="s">
        <v>542</v>
      </c>
      <c r="C109" s="484"/>
      <c r="G109" s="555"/>
      <c r="U109" s="484"/>
      <c r="Z109" s="558"/>
      <c r="AC109" s="489"/>
      <c r="AD109" s="489"/>
      <c r="AE109" s="489"/>
    </row>
    <row r="110" spans="1:31" ht="37.5">
      <c r="A110" s="553">
        <v>92</v>
      </c>
      <c r="B110" s="365" t="s">
        <v>138</v>
      </c>
      <c r="C110" s="484">
        <v>761396.83333333337</v>
      </c>
      <c r="D110" s="485">
        <v>12</v>
      </c>
      <c r="E110" s="484">
        <f>C110*D110</f>
        <v>9136762</v>
      </c>
      <c r="F110" s="484">
        <f>'[4]JANUARY 2024'!$V$115*12</f>
        <v>9678.9600000000009</v>
      </c>
      <c r="G110" s="556">
        <v>577340.96000000008</v>
      </c>
      <c r="H110" s="486"/>
      <c r="I110" s="484">
        <f>E110-F110-G110-H110</f>
        <v>8549742.0799999982</v>
      </c>
      <c r="J110" s="484">
        <v>200000</v>
      </c>
      <c r="K110" s="484">
        <v>0.2</v>
      </c>
      <c r="L110" s="484">
        <f>I110*K110</f>
        <v>1709948.4159999997</v>
      </c>
      <c r="M110" s="484">
        <f>J110+L110</f>
        <v>1909948.4159999997</v>
      </c>
      <c r="N110" s="484">
        <f>F110+G110+H110+M110</f>
        <v>2496968.3359999997</v>
      </c>
      <c r="O110" s="484">
        <f>E110-N110</f>
        <v>6639793.6640000008</v>
      </c>
      <c r="P110" s="484">
        <f>IF(O110&lt;300000,0.07*O110,21000)</f>
        <v>21000</v>
      </c>
      <c r="Q110" s="484">
        <f>IF((O110-300000)&lt;0,0,IF((O110-300000)&lt;300000,0.11*(O110-300000),33000))</f>
        <v>33000</v>
      </c>
      <c r="R110" s="484">
        <f>IF((O110-600000)&lt;0,0,IF((O110-600000)&lt;500000,0.15*(O110-600000),75000))</f>
        <v>75000</v>
      </c>
      <c r="S110" s="484">
        <f>IF((O110-1100000)&lt;0,0,IF((O110-1100000)&lt;500000,0.19*(O110-1100000),95000))</f>
        <v>95000</v>
      </c>
      <c r="T110" s="484">
        <f>IF((O110-1600000)&lt;0,0,IF((O110-1600000)&lt;1600000,0.21*(O110-1600000),336000))</f>
        <v>336000</v>
      </c>
      <c r="U110" s="484">
        <f t="shared" ref="U110:U141" si="103">0.24*(O110-3200000)</f>
        <v>825550.47936000011</v>
      </c>
      <c r="V110" s="484">
        <f>P110+Q110+R110+S110+T110+U110</f>
        <v>1385550.4793600002</v>
      </c>
      <c r="W110" s="488">
        <v>12</v>
      </c>
      <c r="X110" s="484">
        <f>V110/W110</f>
        <v>115462.53994666669</v>
      </c>
      <c r="Y110" s="486"/>
      <c r="Z110" s="554">
        <f>X110</f>
        <v>115462.53994666669</v>
      </c>
      <c r="AA110" s="489">
        <v>77610.116906666663</v>
      </c>
      <c r="AB110" s="489">
        <f>Z110-AA110</f>
        <v>37852.423040000023</v>
      </c>
      <c r="AC110" s="489"/>
      <c r="AD110" s="489"/>
      <c r="AE110" s="489"/>
    </row>
    <row r="111" spans="1:31" ht="18.75">
      <c r="A111" s="553">
        <v>93</v>
      </c>
      <c r="B111" s="432" t="s">
        <v>247</v>
      </c>
      <c r="C111" s="484">
        <v>487895.16666666669</v>
      </c>
      <c r="D111" s="485">
        <v>12</v>
      </c>
      <c r="E111" s="484">
        <f t="shared" ref="E111:E112" si="104">C111*D111</f>
        <v>5854742</v>
      </c>
      <c r="F111" s="484"/>
      <c r="G111" s="555">
        <v>362779.36</v>
      </c>
      <c r="H111" s="486"/>
      <c r="I111" s="484">
        <f>E111-F111-G111-H111</f>
        <v>5491962.6399999997</v>
      </c>
      <c r="J111" s="484">
        <v>200000</v>
      </c>
      <c r="K111" s="484">
        <v>0.2</v>
      </c>
      <c r="L111" s="484">
        <f>I111*K111</f>
        <v>1098392.5279999999</v>
      </c>
      <c r="M111" s="484">
        <f>J111+L111</f>
        <v>1298392.5279999999</v>
      </c>
      <c r="N111" s="484">
        <f>F111+G111+H111+M111</f>
        <v>1661171.8879999998</v>
      </c>
      <c r="O111" s="484">
        <f>E111-N111</f>
        <v>4193570.1120000002</v>
      </c>
      <c r="P111" s="484">
        <f>IF(O111&lt;300000,0.07*O111,21000)</f>
        <v>21000</v>
      </c>
      <c r="Q111" s="484">
        <f>IF((O111-300000)&lt;0,0,IF((O111-300000)&lt;300000,0.11*(O111-300000),33000))</f>
        <v>33000</v>
      </c>
      <c r="R111" s="484">
        <f>IF((O111-600000)&lt;0,0,IF((O111-600000)&lt;500000,0.15*(O111-600000),75000))</f>
        <v>75000</v>
      </c>
      <c r="S111" s="484">
        <f>IF((O111-1100000)&lt;0,0,IF((O111-1100000)&lt;500000,0.19*(O111-1100000),95000))</f>
        <v>95000</v>
      </c>
      <c r="T111" s="484">
        <f>IF((O111-1600000)&lt;0,0,IF((O111-1600000)&lt;1600000,0.21*(O111-1600000),336000))</f>
        <v>336000</v>
      </c>
      <c r="U111" s="484">
        <f t="shared" si="103"/>
        <v>238456.82688000004</v>
      </c>
      <c r="V111" s="484">
        <f>P111+Q111+R111+S111+T111+U111</f>
        <v>798456.82688000007</v>
      </c>
      <c r="W111" s="488">
        <v>12</v>
      </c>
      <c r="X111" s="484">
        <f>V111/W111</f>
        <v>66538.068906666667</v>
      </c>
      <c r="Y111" s="486"/>
      <c r="Z111" s="554">
        <f>X111</f>
        <v>66538.068906666667</v>
      </c>
      <c r="AA111" s="489">
        <v>43368.882414666674</v>
      </c>
      <c r="AB111" s="489">
        <f t="shared" ref="AB111:AB112" si="105">Z111-AA111</f>
        <v>23169.186491999993</v>
      </c>
      <c r="AC111" s="489"/>
      <c r="AD111" s="489"/>
      <c r="AE111" s="489"/>
    </row>
    <row r="112" spans="1:31" ht="37.5">
      <c r="A112" s="553">
        <v>94</v>
      </c>
      <c r="B112" s="432" t="s">
        <v>141</v>
      </c>
      <c r="C112" s="487">
        <v>450086.5</v>
      </c>
      <c r="D112" s="485">
        <v>12</v>
      </c>
      <c r="E112" s="484">
        <f t="shared" si="104"/>
        <v>5401038</v>
      </c>
      <c r="F112" s="484">
        <f>'[4]JANUARY 2024'!$V$117*12</f>
        <v>6919.4549999999999</v>
      </c>
      <c r="G112" s="555">
        <v>374483.04000000004</v>
      </c>
      <c r="H112" s="486"/>
      <c r="I112" s="484">
        <f>E112-F112-G112-H112</f>
        <v>5019635.5049999999</v>
      </c>
      <c r="J112" s="484">
        <v>200000</v>
      </c>
      <c r="K112" s="484">
        <v>0.2</v>
      </c>
      <c r="L112" s="484">
        <f>I112*K112</f>
        <v>1003927.101</v>
      </c>
      <c r="M112" s="484">
        <f>J112+L112</f>
        <v>1203927.101</v>
      </c>
      <c r="N112" s="484">
        <f>F112+G112+H112+M112</f>
        <v>1585329.5960000001</v>
      </c>
      <c r="O112" s="484">
        <f>E112-N112</f>
        <v>3815708.4040000001</v>
      </c>
      <c r="P112" s="484">
        <f>IF(O112&lt;300000,0.07*O112,21000)</f>
        <v>21000</v>
      </c>
      <c r="Q112" s="484">
        <f>IF((O112-300000)&lt;0,0,IF((O112-300000)&lt;300000,0.11*(O112-300000),33000))</f>
        <v>33000</v>
      </c>
      <c r="R112" s="484">
        <f>IF((O112-600000)&lt;0,0,IF((O112-600000)&lt;500000,0.15*(O112-600000),75000))</f>
        <v>75000</v>
      </c>
      <c r="S112" s="484">
        <f>IF((O112-1100000)&lt;0,0,IF((O112-1100000)&lt;500000,0.19*(O112-1100000),95000))</f>
        <v>95000</v>
      </c>
      <c r="T112" s="484">
        <f>IF((O112-1600000)&lt;0,0,IF((O112-1600000)&lt;1600000,0.21*(O112-1600000),336000))</f>
        <v>336000</v>
      </c>
      <c r="U112" s="484">
        <f t="shared" si="103"/>
        <v>147770.01696000001</v>
      </c>
      <c r="V112" s="484">
        <f>P112+Q112+R112+S112+T112+U112</f>
        <v>707770.01696000004</v>
      </c>
      <c r="W112" s="488">
        <v>12</v>
      </c>
      <c r="X112" s="484">
        <f>V112/W112</f>
        <v>58980.834746666667</v>
      </c>
      <c r="Y112" s="486"/>
      <c r="Z112" s="554">
        <f>X112</f>
        <v>58980.834746666667</v>
      </c>
      <c r="AA112" s="489">
        <v>35221.954086666658</v>
      </c>
      <c r="AB112" s="489">
        <f t="shared" si="105"/>
        <v>23758.88066000001</v>
      </c>
      <c r="AC112" s="489"/>
      <c r="AD112" s="489"/>
      <c r="AE112" s="489"/>
    </row>
    <row r="113" spans="1:31" ht="18.75">
      <c r="A113" s="553">
        <v>95</v>
      </c>
      <c r="B113" s="366"/>
      <c r="C113" s="484"/>
      <c r="D113" s="485"/>
      <c r="E113" s="484"/>
      <c r="F113" s="484"/>
      <c r="G113" s="486"/>
      <c r="H113" s="486"/>
      <c r="I113" s="484"/>
      <c r="J113" s="484"/>
      <c r="K113" s="484"/>
      <c r="L113" s="484"/>
      <c r="M113" s="484"/>
      <c r="N113" s="484"/>
      <c r="O113" s="484"/>
      <c r="P113" s="484"/>
      <c r="Q113" s="484"/>
      <c r="R113" s="484"/>
      <c r="S113" s="484"/>
      <c r="T113" s="484"/>
      <c r="U113" s="484"/>
      <c r="V113" s="484"/>
      <c r="W113" s="488"/>
      <c r="X113" s="484"/>
      <c r="Y113" s="486"/>
      <c r="Z113" s="554"/>
      <c r="AA113" s="489"/>
      <c r="AB113" s="489"/>
      <c r="AC113" s="489"/>
      <c r="AD113" s="489"/>
      <c r="AE113" s="489"/>
    </row>
    <row r="114" spans="1:31" ht="18.75">
      <c r="A114" s="553">
        <v>96</v>
      </c>
      <c r="B114" s="362"/>
      <c r="C114" s="484"/>
      <c r="U114" s="560"/>
      <c r="Z114" s="558"/>
      <c r="AC114" s="489"/>
      <c r="AD114" s="489"/>
      <c r="AE114" s="489"/>
    </row>
    <row r="115" spans="1:31" ht="18.75">
      <c r="A115" s="553">
        <v>97</v>
      </c>
      <c r="B115" s="366" t="s">
        <v>466</v>
      </c>
      <c r="C115" s="484"/>
      <c r="U115" s="560"/>
      <c r="Z115" s="558"/>
      <c r="AC115" s="489"/>
      <c r="AD115" s="489"/>
      <c r="AE115" s="489"/>
    </row>
    <row r="116" spans="1:31" ht="18.75">
      <c r="A116" s="553">
        <v>98</v>
      </c>
      <c r="B116" s="432" t="s">
        <v>20</v>
      </c>
      <c r="C116" s="484">
        <v>1635720</v>
      </c>
      <c r="D116" s="485">
        <v>12</v>
      </c>
      <c r="E116" s="484">
        <f>C116*D116</f>
        <v>19628640</v>
      </c>
      <c r="F116" s="484">
        <f>2043.5005*12</f>
        <v>24522.006000000001</v>
      </c>
      <c r="G116" s="555">
        <v>1378291.2000000002</v>
      </c>
      <c r="H116" s="486"/>
      <c r="I116" s="484">
        <f t="shared" ref="I116:I125" si="106">E116-F116-G116-H116</f>
        <v>18225826.794</v>
      </c>
      <c r="J116" s="484">
        <v>200000</v>
      </c>
      <c r="K116" s="484">
        <v>0.2</v>
      </c>
      <c r="L116" s="484">
        <f>I116*K116</f>
        <v>3645165.3588</v>
      </c>
      <c r="M116" s="484">
        <f>J116+L116</f>
        <v>3845165.3588</v>
      </c>
      <c r="N116" s="484">
        <f t="shared" ref="N116:N125" si="107">F116+G116+H116+M116</f>
        <v>5247978.5647999998</v>
      </c>
      <c r="O116" s="484">
        <f t="shared" ref="O116:O125" si="108">E116-N116</f>
        <v>14380661.4352</v>
      </c>
      <c r="P116" s="484">
        <f>IF(O116&lt;300000,0.07*O116,21000)</f>
        <v>21000</v>
      </c>
      <c r="Q116" s="484">
        <f>IF((O116-300000)&lt;0,0,IF((O116-300000)&lt;300000,0.11*(O116-300000),33000))</f>
        <v>33000</v>
      </c>
      <c r="R116" s="484">
        <f>IF((O116-600000)&lt;0,0,IF((O116-600000)&lt;500000,0.15*(O116-600000),75000))</f>
        <v>75000</v>
      </c>
      <c r="S116" s="484">
        <f>IF((O116-1100000)&lt;0,0,IF((O116-1100000)&lt;500000,0.19*(O116-1100000),95000))</f>
        <v>95000</v>
      </c>
      <c r="T116" s="484">
        <f>IF((O116-1600000)&lt;0,0,IF((O116-1600000)&lt;1600000,0.21*(O116-1600000),336000))</f>
        <v>336000</v>
      </c>
      <c r="U116" s="484">
        <f t="shared" si="103"/>
        <v>2683358.7444480001</v>
      </c>
      <c r="V116" s="484">
        <f>P116+Q116+R116+S116+T116+U116</f>
        <v>3243358.7444480001</v>
      </c>
      <c r="W116" s="488">
        <v>12</v>
      </c>
      <c r="X116" s="484">
        <f>V116/W116</f>
        <v>270279.89537066669</v>
      </c>
      <c r="Y116" s="486"/>
      <c r="Z116" s="554">
        <f>X116</f>
        <v>270279.89537066669</v>
      </c>
      <c r="AA116" s="489">
        <v>179914.45476266672</v>
      </c>
      <c r="AB116" s="489">
        <f>Z116-AA116</f>
        <v>90365.440607999975</v>
      </c>
      <c r="AC116" s="489"/>
      <c r="AD116" s="489"/>
      <c r="AE116" s="489"/>
    </row>
    <row r="117" spans="1:31" ht="18.75">
      <c r="A117" s="553">
        <v>99</v>
      </c>
      <c r="B117" s="432" t="s">
        <v>153</v>
      </c>
      <c r="C117" s="484">
        <v>929203.58333333337</v>
      </c>
      <c r="D117" s="485">
        <v>12</v>
      </c>
      <c r="E117" s="484">
        <f t="shared" ref="E117:E125" si="109">C117*D117</f>
        <v>11150443</v>
      </c>
      <c r="F117" s="484">
        <f>1028.94225*12</f>
        <v>12347.307000000001</v>
      </c>
      <c r="G117" s="555">
        <v>709635.44000000006</v>
      </c>
      <c r="H117" s="486"/>
      <c r="I117" s="484">
        <f t="shared" si="106"/>
        <v>10428460.253</v>
      </c>
      <c r="J117" s="484">
        <v>200000</v>
      </c>
      <c r="K117" s="484">
        <v>0.2</v>
      </c>
      <c r="L117" s="484">
        <f>I117*K117</f>
        <v>2085692.0506000002</v>
      </c>
      <c r="M117" s="484">
        <f>J117+L117</f>
        <v>2285692.0506000002</v>
      </c>
      <c r="N117" s="484">
        <f t="shared" si="107"/>
        <v>3007674.7976000002</v>
      </c>
      <c r="O117" s="484">
        <f t="shared" si="108"/>
        <v>8142768.2023999998</v>
      </c>
      <c r="P117" s="484">
        <f>IF(O117&lt;300000,0.07*O117,21000)</f>
        <v>21000</v>
      </c>
      <c r="Q117" s="484">
        <f>IF((O117-300000)&lt;0,0,IF((O117-300000)&lt;300000,0.11*(O117-300000),33000))</f>
        <v>33000</v>
      </c>
      <c r="R117" s="484">
        <f>IF((O117-600000)&lt;0,0,IF((O117-600000)&lt;500000,0.15*(O117-600000),75000))</f>
        <v>75000</v>
      </c>
      <c r="S117" s="484">
        <f>IF((O117-1100000)&lt;0,0,IF((O117-1100000)&lt;500000,0.19*(O117-1100000),95000))</f>
        <v>95000</v>
      </c>
      <c r="T117" s="484">
        <f>IF((O117-1600000)&lt;0,0,IF((O117-1600000)&lt;1600000,0.21*(O117-1600000),336000))</f>
        <v>336000</v>
      </c>
      <c r="U117" s="484">
        <f t="shared" si="103"/>
        <v>1186264.368576</v>
      </c>
      <c r="V117" s="484">
        <f>P117+Q117+R117+S117+T117+U117</f>
        <v>1746264.368576</v>
      </c>
      <c r="W117" s="488">
        <v>12</v>
      </c>
      <c r="X117" s="484">
        <f>V117/W117</f>
        <v>145522.03071466667</v>
      </c>
      <c r="Y117" s="486"/>
      <c r="Z117" s="554">
        <f>X117</f>
        <v>145522.03071466667</v>
      </c>
      <c r="AA117" s="489">
        <v>98995.956938666684</v>
      </c>
      <c r="AB117" s="489">
        <f t="shared" ref="AB117:AB125" si="110">Z117-AA117</f>
        <v>46526.07377599999</v>
      </c>
      <c r="AC117" s="489"/>
      <c r="AD117" s="489"/>
      <c r="AE117" s="489"/>
    </row>
    <row r="118" spans="1:31" ht="18.75">
      <c r="A118" s="553"/>
      <c r="B118" s="365" t="s">
        <v>142</v>
      </c>
      <c r="C118" s="484">
        <v>830675.58333333337</v>
      </c>
      <c r="D118" s="485">
        <v>12</v>
      </c>
      <c r="E118" s="484">
        <f t="shared" si="109"/>
        <v>9968107</v>
      </c>
      <c r="F118" s="484">
        <f>837.6875*12</f>
        <v>10052.25</v>
      </c>
      <c r="G118" s="555">
        <v>595848.56000000006</v>
      </c>
      <c r="H118" s="486"/>
      <c r="I118" s="484">
        <f t="shared" si="106"/>
        <v>9362206.1899999995</v>
      </c>
      <c r="J118" s="484">
        <v>200000</v>
      </c>
      <c r="K118" s="484">
        <v>0.2</v>
      </c>
      <c r="L118" s="484">
        <f>I118*K118</f>
        <v>1872441.2379999999</v>
      </c>
      <c r="M118" s="484">
        <f>J118+L118</f>
        <v>2072441.2379999999</v>
      </c>
      <c r="N118" s="484">
        <f t="shared" si="107"/>
        <v>2678342.048</v>
      </c>
      <c r="O118" s="484">
        <f t="shared" si="108"/>
        <v>7289764.9519999996</v>
      </c>
      <c r="P118" s="484">
        <f>IF(O118&lt;300000,0.07*O118,21000)</f>
        <v>21000</v>
      </c>
      <c r="Q118" s="484">
        <f>IF((O118-300000)&lt;0,0,IF((O118-300000)&lt;300000,0.11*(O118-300000),33000))</f>
        <v>33000</v>
      </c>
      <c r="R118" s="484">
        <f>IF((O118-600000)&lt;0,0,IF((O118-600000)&lt;500000,0.15*(O118-600000),75000))</f>
        <v>75000</v>
      </c>
      <c r="S118" s="484">
        <f>IF((O118-1100000)&lt;0,0,IF((O118-1100000)&lt;500000,0.19*(O118-1100000),95000))</f>
        <v>95000</v>
      </c>
      <c r="T118" s="484">
        <f>IF((O118-1600000)&lt;0,0,IF((O118-1600000)&lt;1600000,0.21*(O118-1600000),336000))</f>
        <v>336000</v>
      </c>
      <c r="U118" s="484">
        <f t="shared" si="103"/>
        <v>981543.58847999992</v>
      </c>
      <c r="V118" s="484">
        <f>P118+Q118+R118+S118+T118+U118</f>
        <v>1541543.5884799999</v>
      </c>
      <c r="W118" s="488">
        <v>12</v>
      </c>
      <c r="X118" s="484">
        <f>V118/W118</f>
        <v>128461.96570666666</v>
      </c>
      <c r="Y118" s="486"/>
      <c r="Z118" s="554">
        <f>X118</f>
        <v>128461.96570666666</v>
      </c>
      <c r="AA118" s="489">
        <v>89396.103146666646</v>
      </c>
      <c r="AB118" s="489">
        <f t="shared" si="110"/>
        <v>39065.862560000009</v>
      </c>
      <c r="AC118" s="489"/>
      <c r="AD118" s="489"/>
      <c r="AE118" s="489"/>
    </row>
    <row r="119" spans="1:31" ht="18.75">
      <c r="A119" s="553"/>
      <c r="B119" s="365" t="s">
        <v>363</v>
      </c>
      <c r="C119" s="484">
        <v>662118.08333333337</v>
      </c>
      <c r="D119" s="485">
        <v>12</v>
      </c>
      <c r="E119" s="484">
        <f t="shared" si="109"/>
        <v>7945417</v>
      </c>
      <c r="F119" s="484"/>
      <c r="G119" s="555">
        <v>0</v>
      </c>
      <c r="H119" s="486"/>
      <c r="I119" s="484">
        <f t="shared" si="106"/>
        <v>7945417</v>
      </c>
      <c r="J119" s="484">
        <v>200000</v>
      </c>
      <c r="K119" s="484">
        <v>0.2</v>
      </c>
      <c r="L119" s="484">
        <f>I119*K119</f>
        <v>1589083.4000000001</v>
      </c>
      <c r="M119" s="484">
        <f>J119+L119</f>
        <v>1789083.4000000001</v>
      </c>
      <c r="N119" s="484">
        <f t="shared" si="107"/>
        <v>1789083.4000000001</v>
      </c>
      <c r="O119" s="484">
        <f t="shared" si="108"/>
        <v>6156333.5999999996</v>
      </c>
      <c r="P119" s="484">
        <f>IF(O119&lt;300000,0.07*O119,21000)</f>
        <v>21000</v>
      </c>
      <c r="Q119" s="484">
        <f>IF((O119-300000)&lt;0,0,IF((O119-300000)&lt;300000,0.11*(O119-300000),33000))</f>
        <v>33000</v>
      </c>
      <c r="R119" s="484">
        <f>IF((O119-600000)&lt;0,0,IF((O119-600000)&lt;500000,0.15*(O119-600000),75000))</f>
        <v>75000</v>
      </c>
      <c r="S119" s="484">
        <f>IF((O119-1100000)&lt;0,0,IF((O119-1100000)&lt;500000,0.19*(O119-1100000),95000))</f>
        <v>95000</v>
      </c>
      <c r="T119" s="484">
        <f>IF((O119-1600000)&lt;0,0,IF((O119-1600000)&lt;1600000,0.21*(O119-1600000),336000))</f>
        <v>336000</v>
      </c>
      <c r="U119" s="484">
        <f t="shared" si="103"/>
        <v>709520.0639999999</v>
      </c>
      <c r="V119" s="484">
        <f>P119+Q119+R119+S119+T119+U119</f>
        <v>1269520.0639999998</v>
      </c>
      <c r="W119" s="488">
        <v>12</v>
      </c>
      <c r="X119" s="484">
        <f>V119/W119</f>
        <v>105793.33866666665</v>
      </c>
      <c r="Y119" s="486"/>
      <c r="Z119" s="554">
        <f>X119</f>
        <v>105793.33866666665</v>
      </c>
      <c r="AA119" s="489">
        <v>60214.677290666674</v>
      </c>
      <c r="AB119" s="489">
        <f t="shared" si="110"/>
        <v>45578.661375999975</v>
      </c>
      <c r="AC119" s="489"/>
      <c r="AD119" s="489"/>
      <c r="AE119" s="489"/>
    </row>
    <row r="120" spans="1:31" ht="18.75">
      <c r="A120" s="553">
        <v>101</v>
      </c>
      <c r="B120" s="432" t="s">
        <v>108</v>
      </c>
      <c r="C120" s="484">
        <v>540498</v>
      </c>
      <c r="D120" s="485">
        <v>12</v>
      </c>
      <c r="E120" s="484">
        <f t="shared" si="109"/>
        <v>6485976</v>
      </c>
      <c r="F120" s="484"/>
      <c r="G120" s="555">
        <v>451678.08000000007</v>
      </c>
      <c r="H120" s="486"/>
      <c r="I120" s="484">
        <f t="shared" si="106"/>
        <v>6034297.9199999999</v>
      </c>
      <c r="J120" s="484">
        <v>200000</v>
      </c>
      <c r="K120" s="484">
        <v>0.2</v>
      </c>
      <c r="L120" s="484">
        <f t="shared" ref="L120:L125" si="111">I120*K120</f>
        <v>1206859.584</v>
      </c>
      <c r="M120" s="484">
        <f t="shared" ref="M120:M125" si="112">J120+L120</f>
        <v>1406859.584</v>
      </c>
      <c r="N120" s="484">
        <f t="shared" si="107"/>
        <v>1858537.6640000001</v>
      </c>
      <c r="O120" s="484">
        <f t="shared" si="108"/>
        <v>4627438.3360000001</v>
      </c>
      <c r="P120" s="484">
        <f t="shared" ref="P120:P125" si="113">IF(O120&lt;300000,0.07*O120,21000)</f>
        <v>21000</v>
      </c>
      <c r="Q120" s="484">
        <f t="shared" ref="Q120:Q125" si="114">IF((O120-300000)&lt;0,0,IF((O120-300000)&lt;300000,0.11*(O120-300000),33000))</f>
        <v>33000</v>
      </c>
      <c r="R120" s="484">
        <f t="shared" ref="R120:R125" si="115">IF((O120-600000)&lt;0,0,IF((O120-600000)&lt;500000,0.15*(O120-600000),75000))</f>
        <v>75000</v>
      </c>
      <c r="S120" s="484">
        <f t="shared" ref="S120:S125" si="116">IF((O120-1100000)&lt;0,0,IF((O120-1100000)&lt;500000,0.19*(O120-1100000),95000))</f>
        <v>95000</v>
      </c>
      <c r="T120" s="484">
        <f t="shared" ref="T120:T125" si="117">IF((O120-1600000)&lt;0,0,IF((O120-1600000)&lt;1600000,0.21*(O120-1600000),336000))</f>
        <v>336000</v>
      </c>
      <c r="U120" s="484">
        <f t="shared" si="103"/>
        <v>342585.20064</v>
      </c>
      <c r="V120" s="484">
        <f t="shared" ref="V120:V125" si="118">P120+Q120+R120+S120+T120+U120</f>
        <v>902585.20063999994</v>
      </c>
      <c r="W120" s="488">
        <v>12</v>
      </c>
      <c r="X120" s="484">
        <f t="shared" ref="X120:X125" si="119">V120/W120</f>
        <v>75215.433386666657</v>
      </c>
      <c r="Y120" s="486"/>
      <c r="Z120" s="554">
        <f t="shared" ref="Z120:Z125" si="120">X120</f>
        <v>75215.433386666657</v>
      </c>
      <c r="AA120" s="489">
        <v>44846.616588666679</v>
      </c>
      <c r="AB120" s="489">
        <f t="shared" si="110"/>
        <v>30368.816797999978</v>
      </c>
      <c r="AC120" s="489"/>
      <c r="AD120" s="489"/>
      <c r="AE120" s="489"/>
    </row>
    <row r="121" spans="1:31" ht="18.75">
      <c r="A121" s="553">
        <v>103</v>
      </c>
      <c r="B121" s="432" t="s">
        <v>178</v>
      </c>
      <c r="C121" s="484">
        <v>512746.5</v>
      </c>
      <c r="D121" s="485">
        <v>12</v>
      </c>
      <c r="E121" s="484">
        <f t="shared" si="109"/>
        <v>6152958</v>
      </c>
      <c r="F121" s="487">
        <f>646.3525*12</f>
        <v>7756.23</v>
      </c>
      <c r="G121" s="555">
        <v>425036.64</v>
      </c>
      <c r="H121" s="486"/>
      <c r="I121" s="484">
        <f t="shared" si="106"/>
        <v>5720165.1299999999</v>
      </c>
      <c r="J121" s="484">
        <v>200000</v>
      </c>
      <c r="K121" s="484">
        <v>0.2</v>
      </c>
      <c r="L121" s="484">
        <f t="shared" si="111"/>
        <v>1144033.0260000001</v>
      </c>
      <c r="M121" s="484">
        <f t="shared" si="112"/>
        <v>1344033.0260000001</v>
      </c>
      <c r="N121" s="484">
        <f t="shared" si="107"/>
        <v>1776825.8960000002</v>
      </c>
      <c r="O121" s="484">
        <f t="shared" si="108"/>
        <v>4376132.1040000003</v>
      </c>
      <c r="P121" s="484">
        <f t="shared" si="113"/>
        <v>21000</v>
      </c>
      <c r="Q121" s="484">
        <f t="shared" si="114"/>
        <v>33000</v>
      </c>
      <c r="R121" s="484">
        <f t="shared" si="115"/>
        <v>75000</v>
      </c>
      <c r="S121" s="484">
        <f t="shared" si="116"/>
        <v>95000</v>
      </c>
      <c r="T121" s="484">
        <f t="shared" si="117"/>
        <v>336000</v>
      </c>
      <c r="U121" s="484">
        <f t="shared" si="103"/>
        <v>282271.70496000006</v>
      </c>
      <c r="V121" s="484">
        <f t="shared" si="118"/>
        <v>842271.70496</v>
      </c>
      <c r="W121" s="488">
        <v>12</v>
      </c>
      <c r="X121" s="484">
        <f t="shared" si="119"/>
        <v>70189.308746666662</v>
      </c>
      <c r="Y121" s="486"/>
      <c r="Z121" s="554">
        <f t="shared" si="120"/>
        <v>70189.308746666662</v>
      </c>
      <c r="AA121" s="489">
        <v>42029.589186666672</v>
      </c>
      <c r="AB121" s="489">
        <f t="shared" si="110"/>
        <v>28159.71955999999</v>
      </c>
      <c r="AC121" s="489"/>
      <c r="AD121" s="489"/>
      <c r="AE121" s="489"/>
    </row>
    <row r="122" spans="1:31" ht="18.75">
      <c r="A122" s="553">
        <v>105</v>
      </c>
      <c r="B122" s="432" t="s">
        <v>134</v>
      </c>
      <c r="C122" s="484">
        <v>526622.25</v>
      </c>
      <c r="D122" s="485">
        <v>12</v>
      </c>
      <c r="E122" s="484">
        <f t="shared" si="109"/>
        <v>6319467</v>
      </c>
      <c r="F122" s="487">
        <f>668.31625*12</f>
        <v>8019.7950000000001</v>
      </c>
      <c r="G122" s="555">
        <v>438357.36</v>
      </c>
      <c r="H122" s="486"/>
      <c r="I122" s="484">
        <f t="shared" si="106"/>
        <v>5873089.8449999997</v>
      </c>
      <c r="J122" s="484">
        <v>200000</v>
      </c>
      <c r="K122" s="484">
        <v>0.2</v>
      </c>
      <c r="L122" s="484">
        <f t="shared" si="111"/>
        <v>1174617.969</v>
      </c>
      <c r="M122" s="484">
        <f t="shared" si="112"/>
        <v>1374617.969</v>
      </c>
      <c r="N122" s="484">
        <f t="shared" si="107"/>
        <v>1820995.1240000001</v>
      </c>
      <c r="O122" s="484">
        <f t="shared" si="108"/>
        <v>4498471.8760000002</v>
      </c>
      <c r="P122" s="484">
        <f t="shared" si="113"/>
        <v>21000</v>
      </c>
      <c r="Q122" s="484">
        <f t="shared" si="114"/>
        <v>33000</v>
      </c>
      <c r="R122" s="484">
        <f t="shared" si="115"/>
        <v>75000</v>
      </c>
      <c r="S122" s="484">
        <f t="shared" si="116"/>
        <v>95000</v>
      </c>
      <c r="T122" s="484">
        <f t="shared" si="117"/>
        <v>336000</v>
      </c>
      <c r="U122" s="484">
        <f t="shared" si="103"/>
        <v>311633.25024000002</v>
      </c>
      <c r="V122" s="484">
        <f t="shared" si="118"/>
        <v>871633.25023999996</v>
      </c>
      <c r="W122" s="488">
        <v>12</v>
      </c>
      <c r="X122" s="484">
        <f t="shared" si="119"/>
        <v>72636.104186666664</v>
      </c>
      <c r="Y122" s="486"/>
      <c r="Z122" s="554">
        <f t="shared" si="120"/>
        <v>72636.104186666664</v>
      </c>
      <c r="AA122" s="489">
        <v>43380.096246666661</v>
      </c>
      <c r="AB122" s="489">
        <f t="shared" si="110"/>
        <v>29256.007940000003</v>
      </c>
      <c r="AC122" s="489"/>
      <c r="AD122" s="489"/>
      <c r="AE122" s="489"/>
    </row>
    <row r="123" spans="1:31" ht="18.75">
      <c r="A123" s="553">
        <v>106</v>
      </c>
      <c r="B123" s="432" t="s">
        <v>443</v>
      </c>
      <c r="C123" s="484">
        <v>330481.66666666669</v>
      </c>
      <c r="D123" s="485">
        <v>12</v>
      </c>
      <c r="E123" s="484">
        <f t="shared" si="109"/>
        <v>3965780</v>
      </c>
      <c r="F123" s="484"/>
      <c r="G123" s="555">
        <v>259662.40000000002</v>
      </c>
      <c r="H123" s="486"/>
      <c r="I123" s="484">
        <f t="shared" si="106"/>
        <v>3706117.6</v>
      </c>
      <c r="J123" s="484">
        <v>200000</v>
      </c>
      <c r="K123" s="484">
        <v>0.2</v>
      </c>
      <c r="L123" s="484">
        <f t="shared" si="111"/>
        <v>741223.52</v>
      </c>
      <c r="M123" s="484">
        <f t="shared" si="112"/>
        <v>941223.52</v>
      </c>
      <c r="N123" s="484">
        <f t="shared" si="107"/>
        <v>1200885.92</v>
      </c>
      <c r="O123" s="484">
        <f t="shared" si="108"/>
        <v>2764894.08</v>
      </c>
      <c r="P123" s="484">
        <f t="shared" si="113"/>
        <v>21000</v>
      </c>
      <c r="Q123" s="484">
        <f t="shared" si="114"/>
        <v>33000</v>
      </c>
      <c r="R123" s="484">
        <f t="shared" si="115"/>
        <v>75000</v>
      </c>
      <c r="S123" s="484">
        <f t="shared" si="116"/>
        <v>95000</v>
      </c>
      <c r="T123" s="484">
        <f t="shared" si="117"/>
        <v>244627.7568</v>
      </c>
      <c r="U123" s="484"/>
      <c r="V123" s="484">
        <f t="shared" si="118"/>
        <v>468627.75679999997</v>
      </c>
      <c r="W123" s="488">
        <v>12</v>
      </c>
      <c r="X123" s="484">
        <f t="shared" si="119"/>
        <v>39052.313066666662</v>
      </c>
      <c r="Y123" s="486"/>
      <c r="Z123" s="554">
        <f t="shared" si="120"/>
        <v>39052.313066666662</v>
      </c>
      <c r="AA123" s="489">
        <v>23036.01234666667</v>
      </c>
      <c r="AB123" s="489">
        <f t="shared" si="110"/>
        <v>16016.300719999992</v>
      </c>
      <c r="AC123" s="489"/>
      <c r="AD123" s="489"/>
      <c r="AE123" s="489"/>
    </row>
    <row r="124" spans="1:31" ht="18.75">
      <c r="A124" s="553">
        <v>107</v>
      </c>
      <c r="B124" s="364" t="s">
        <v>439</v>
      </c>
      <c r="C124" s="484">
        <v>274459.75</v>
      </c>
      <c r="D124" s="485">
        <v>12</v>
      </c>
      <c r="E124" s="484">
        <f t="shared" si="109"/>
        <v>3293517</v>
      </c>
      <c r="F124" s="484"/>
      <c r="G124" s="555">
        <v>215481.36</v>
      </c>
      <c r="H124" s="486"/>
      <c r="I124" s="484">
        <f t="shared" si="106"/>
        <v>3078035.64</v>
      </c>
      <c r="J124" s="484">
        <v>200000</v>
      </c>
      <c r="K124" s="484">
        <v>0.2</v>
      </c>
      <c r="L124" s="484">
        <f t="shared" si="111"/>
        <v>615607.12800000003</v>
      </c>
      <c r="M124" s="484">
        <f t="shared" si="112"/>
        <v>815607.12800000003</v>
      </c>
      <c r="N124" s="484">
        <f t="shared" si="107"/>
        <v>1031088.488</v>
      </c>
      <c r="O124" s="484">
        <f t="shared" si="108"/>
        <v>2262428.5120000001</v>
      </c>
      <c r="P124" s="484">
        <f t="shared" si="113"/>
        <v>21000</v>
      </c>
      <c r="Q124" s="484">
        <f t="shared" si="114"/>
        <v>33000</v>
      </c>
      <c r="R124" s="484">
        <f t="shared" si="115"/>
        <v>75000</v>
      </c>
      <c r="S124" s="484">
        <f t="shared" si="116"/>
        <v>95000</v>
      </c>
      <c r="T124" s="484">
        <f t="shared" si="117"/>
        <v>139109.98752000002</v>
      </c>
      <c r="U124" s="484"/>
      <c r="V124" s="484">
        <f t="shared" si="118"/>
        <v>363109.98752000002</v>
      </c>
      <c r="W124" s="488">
        <v>12</v>
      </c>
      <c r="X124" s="484">
        <f t="shared" si="119"/>
        <v>30259.165626666669</v>
      </c>
      <c r="Y124" s="486"/>
      <c r="Z124" s="554">
        <f t="shared" si="120"/>
        <v>30259.165626666669</v>
      </c>
      <c r="AA124" s="489">
        <v>17042.713866666661</v>
      </c>
      <c r="AB124" s="489">
        <f t="shared" si="110"/>
        <v>13216.451760000007</v>
      </c>
      <c r="AC124" s="489"/>
      <c r="AD124" s="489"/>
      <c r="AE124" s="489"/>
    </row>
    <row r="125" spans="1:31" ht="18.75">
      <c r="A125" s="553">
        <v>108</v>
      </c>
      <c r="B125" s="364" t="s">
        <v>535</v>
      </c>
      <c r="C125" s="484">
        <v>274459.75</v>
      </c>
      <c r="D125" s="485">
        <v>12</v>
      </c>
      <c r="E125" s="484">
        <f t="shared" si="109"/>
        <v>3293517</v>
      </c>
      <c r="F125" s="484"/>
      <c r="G125" s="555">
        <v>215481.36</v>
      </c>
      <c r="H125" s="486"/>
      <c r="I125" s="484">
        <f t="shared" si="106"/>
        <v>3078035.64</v>
      </c>
      <c r="J125" s="484">
        <v>200000</v>
      </c>
      <c r="K125" s="484">
        <v>0.2</v>
      </c>
      <c r="L125" s="484">
        <f t="shared" si="111"/>
        <v>615607.12800000003</v>
      </c>
      <c r="M125" s="484">
        <f t="shared" si="112"/>
        <v>815607.12800000003</v>
      </c>
      <c r="N125" s="484">
        <f t="shared" si="107"/>
        <v>1031088.488</v>
      </c>
      <c r="O125" s="484">
        <f t="shared" si="108"/>
        <v>2262428.5120000001</v>
      </c>
      <c r="P125" s="484">
        <f t="shared" si="113"/>
        <v>21000</v>
      </c>
      <c r="Q125" s="484">
        <f t="shared" si="114"/>
        <v>33000</v>
      </c>
      <c r="R125" s="484">
        <f t="shared" si="115"/>
        <v>75000</v>
      </c>
      <c r="S125" s="484">
        <f t="shared" si="116"/>
        <v>95000</v>
      </c>
      <c r="T125" s="484">
        <f t="shared" si="117"/>
        <v>139109.98752000002</v>
      </c>
      <c r="U125" s="484"/>
      <c r="V125" s="484">
        <f t="shared" si="118"/>
        <v>363109.98752000002</v>
      </c>
      <c r="W125" s="488">
        <v>12</v>
      </c>
      <c r="X125" s="484">
        <f t="shared" si="119"/>
        <v>30259.165626666669</v>
      </c>
      <c r="Y125" s="486"/>
      <c r="Z125" s="554">
        <f t="shared" si="120"/>
        <v>30259.165626666669</v>
      </c>
      <c r="AA125" s="489">
        <v>17042.713866666661</v>
      </c>
      <c r="AB125" s="489">
        <f t="shared" si="110"/>
        <v>13216.451760000007</v>
      </c>
      <c r="AC125" s="489"/>
      <c r="AD125" s="489"/>
      <c r="AE125" s="489"/>
    </row>
    <row r="126" spans="1:31" ht="18.75">
      <c r="A126" s="553">
        <v>109</v>
      </c>
      <c r="B126" s="366" t="s">
        <v>15</v>
      </c>
      <c r="C126" s="484"/>
      <c r="D126" s="485"/>
      <c r="E126" s="484"/>
      <c r="F126" s="484"/>
      <c r="G126" s="486"/>
      <c r="H126" s="486"/>
      <c r="I126" s="484"/>
      <c r="J126" s="484"/>
      <c r="K126" s="484"/>
      <c r="L126" s="484"/>
      <c r="M126" s="484"/>
      <c r="N126" s="484"/>
      <c r="O126" s="484"/>
      <c r="P126" s="484"/>
      <c r="Q126" s="484"/>
      <c r="R126" s="484"/>
      <c r="S126" s="484"/>
      <c r="T126" s="484"/>
      <c r="U126" s="484"/>
      <c r="V126" s="484"/>
      <c r="W126" s="488"/>
      <c r="X126" s="484"/>
      <c r="Y126" s="486"/>
      <c r="Z126" s="554"/>
      <c r="AA126" s="489"/>
      <c r="AB126" s="489"/>
      <c r="AC126" s="489"/>
      <c r="AD126" s="489"/>
      <c r="AE126" s="489"/>
    </row>
    <row r="127" spans="1:31" ht="18.75">
      <c r="A127" s="553">
        <v>110</v>
      </c>
      <c r="B127" s="362"/>
      <c r="C127" s="484"/>
      <c r="U127" s="560"/>
      <c r="Z127" s="558"/>
      <c r="AC127" s="489"/>
      <c r="AD127" s="489"/>
      <c r="AE127" s="489"/>
    </row>
    <row r="128" spans="1:31" ht="37.5">
      <c r="A128" s="553">
        <v>111</v>
      </c>
      <c r="B128" s="366" t="s">
        <v>467</v>
      </c>
      <c r="C128" s="484"/>
      <c r="U128" s="560"/>
      <c r="Z128" s="558"/>
      <c r="AC128" s="489"/>
      <c r="AD128" s="489"/>
      <c r="AE128" s="489"/>
    </row>
    <row r="129" spans="1:31" ht="18.75">
      <c r="A129" s="553">
        <v>112</v>
      </c>
      <c r="B129" s="432" t="s">
        <v>21</v>
      </c>
      <c r="C129" s="484">
        <v>1535720</v>
      </c>
      <c r="D129" s="485">
        <v>12</v>
      </c>
      <c r="E129" s="484">
        <f>C129*D129</f>
        <v>18428640</v>
      </c>
      <c r="F129" s="484"/>
      <c r="G129" s="555">
        <v>1378291.2000000002</v>
      </c>
      <c r="H129" s="486"/>
      <c r="I129" s="484">
        <f t="shared" ref="I129:I187" si="121">E129-F129-G129-H129</f>
        <v>17050348.800000001</v>
      </c>
      <c r="J129" s="484">
        <v>200000</v>
      </c>
      <c r="K129" s="484">
        <v>0.2</v>
      </c>
      <c r="L129" s="484">
        <f t="shared" ref="L129:L187" si="122">I129*K129</f>
        <v>3410069.7600000002</v>
      </c>
      <c r="M129" s="484">
        <f t="shared" ref="M129:M187" si="123">J129+L129</f>
        <v>3610069.7600000002</v>
      </c>
      <c r="N129" s="484">
        <f t="shared" ref="N129:N187" si="124">F129+G129+H129+M129</f>
        <v>4988360.9600000009</v>
      </c>
      <c r="O129" s="484">
        <f t="shared" ref="O129:O187" si="125">E129-N129</f>
        <v>13440279.039999999</v>
      </c>
      <c r="P129" s="484">
        <f t="shared" ref="P129:P187" si="126">IF(O129&lt;300000,0.07*O129,21000)</f>
        <v>21000</v>
      </c>
      <c r="Q129" s="484">
        <f t="shared" ref="Q129:Q187" si="127">IF((O129-300000)&lt;0,0,IF((O129-300000)&lt;300000,0.11*(O129-300000),33000))</f>
        <v>33000</v>
      </c>
      <c r="R129" s="484">
        <f t="shared" ref="R129:R187" si="128">IF((O129-600000)&lt;0,0,IF((O129-600000)&lt;500000,0.15*(O129-600000),75000))</f>
        <v>75000</v>
      </c>
      <c r="S129" s="484">
        <f t="shared" ref="S129:S187" si="129">IF((O129-1100000)&lt;0,0,IF((O129-1100000)&lt;500000,0.19*(O129-1100000),95000))</f>
        <v>95000</v>
      </c>
      <c r="T129" s="484">
        <f t="shared" ref="T129:T187" si="130">IF((O129-1600000)&lt;0,0,IF((O129-1600000)&lt;1600000,0.21*(O129-1600000),336000))</f>
        <v>336000</v>
      </c>
      <c r="U129" s="484">
        <f t="shared" si="103"/>
        <v>2457666.9695999995</v>
      </c>
      <c r="V129" s="484">
        <f>P129+Q129+R129+S129+T129+U129</f>
        <v>3017666.9695999995</v>
      </c>
      <c r="W129" s="488">
        <v>12</v>
      </c>
      <c r="X129" s="484">
        <f t="shared" ref="X129:X187" si="131">V129/W129</f>
        <v>251472.24746666662</v>
      </c>
      <c r="Y129" s="486"/>
      <c r="Z129" s="554">
        <f t="shared" ref="Z129:Z187" si="132">X129</f>
        <v>251472.24746666662</v>
      </c>
      <c r="AA129" s="489">
        <v>161106.80685866668</v>
      </c>
      <c r="AB129" s="489">
        <f>Z129-AA129</f>
        <v>90365.440607999946</v>
      </c>
      <c r="AC129" s="489"/>
      <c r="AD129" s="489"/>
      <c r="AE129" s="489"/>
    </row>
    <row r="130" spans="1:31" ht="18.75">
      <c r="A130" s="553">
        <v>113</v>
      </c>
      <c r="B130" s="432" t="s">
        <v>107</v>
      </c>
      <c r="C130" s="484">
        <v>852373.16666666663</v>
      </c>
      <c r="D130" s="485">
        <v>12</v>
      </c>
      <c r="E130" s="484">
        <f t="shared" ref="E130:E187" si="133">C130*D130</f>
        <v>10228478</v>
      </c>
      <c r="F130" s="484"/>
      <c r="G130" s="555">
        <v>0</v>
      </c>
      <c r="H130" s="486"/>
      <c r="I130" s="484">
        <f t="shared" si="121"/>
        <v>10228478</v>
      </c>
      <c r="J130" s="484">
        <v>200000</v>
      </c>
      <c r="K130" s="484">
        <v>0.2</v>
      </c>
      <c r="L130" s="484">
        <f t="shared" si="122"/>
        <v>2045695.6</v>
      </c>
      <c r="M130" s="484">
        <f t="shared" si="123"/>
        <v>2245695.6</v>
      </c>
      <c r="N130" s="484">
        <f t="shared" si="124"/>
        <v>2245695.6</v>
      </c>
      <c r="O130" s="484">
        <f t="shared" si="125"/>
        <v>7982782.4000000004</v>
      </c>
      <c r="P130" s="484">
        <f t="shared" si="126"/>
        <v>21000</v>
      </c>
      <c r="Q130" s="484">
        <f t="shared" si="127"/>
        <v>33000</v>
      </c>
      <c r="R130" s="484">
        <f t="shared" si="128"/>
        <v>75000</v>
      </c>
      <c r="S130" s="484">
        <f t="shared" si="129"/>
        <v>95000</v>
      </c>
      <c r="T130" s="484">
        <f t="shared" si="130"/>
        <v>336000</v>
      </c>
      <c r="U130" s="484">
        <f t="shared" si="103"/>
        <v>1147867.7760000001</v>
      </c>
      <c r="V130" s="484">
        <f>P130+Q130+R130+S130+T130+U130</f>
        <v>1707867.7760000001</v>
      </c>
      <c r="W130" s="488">
        <v>12</v>
      </c>
      <c r="X130" s="484">
        <f t="shared" si="131"/>
        <v>142322.31466666667</v>
      </c>
      <c r="Y130" s="486"/>
      <c r="Z130" s="554">
        <f t="shared" si="132"/>
        <v>142322.31466666667</v>
      </c>
      <c r="AA130" s="489">
        <v>82627.951418666678</v>
      </c>
      <c r="AB130" s="489">
        <f t="shared" ref="AB130:AB187" si="134">Z130-AA130</f>
        <v>59694.363247999994</v>
      </c>
      <c r="AC130" s="489"/>
      <c r="AD130" s="489"/>
      <c r="AE130" s="489"/>
    </row>
    <row r="131" spans="1:31" ht="18.75">
      <c r="A131" s="553">
        <v>114</v>
      </c>
      <c r="B131" s="365" t="s">
        <v>183</v>
      </c>
      <c r="C131" s="484">
        <v>902373.16666666663</v>
      </c>
      <c r="D131" s="485">
        <v>12</v>
      </c>
      <c r="E131" s="484">
        <f t="shared" si="133"/>
        <v>10828478</v>
      </c>
      <c r="F131" s="484">
        <f>1066.32925*12</f>
        <v>12795.951000000001</v>
      </c>
      <c r="G131" s="555">
        <v>731878.24</v>
      </c>
      <c r="H131" s="486"/>
      <c r="I131" s="484">
        <f t="shared" si="121"/>
        <v>10083803.809</v>
      </c>
      <c r="J131" s="484">
        <v>200000</v>
      </c>
      <c r="K131" s="484">
        <v>0.2</v>
      </c>
      <c r="L131" s="484">
        <f t="shared" si="122"/>
        <v>2016760.7618000002</v>
      </c>
      <c r="M131" s="484">
        <f t="shared" si="123"/>
        <v>2216760.7618000004</v>
      </c>
      <c r="N131" s="484">
        <f t="shared" si="124"/>
        <v>2961434.9528000006</v>
      </c>
      <c r="O131" s="484">
        <f t="shared" si="125"/>
        <v>7867043.0471999999</v>
      </c>
      <c r="P131" s="484">
        <f t="shared" si="126"/>
        <v>21000</v>
      </c>
      <c r="Q131" s="484">
        <f t="shared" si="127"/>
        <v>33000</v>
      </c>
      <c r="R131" s="484">
        <f t="shared" si="128"/>
        <v>75000</v>
      </c>
      <c r="S131" s="484">
        <f t="shared" si="129"/>
        <v>95000</v>
      </c>
      <c r="T131" s="484">
        <f t="shared" si="130"/>
        <v>336000</v>
      </c>
      <c r="U131" s="484">
        <f t="shared" si="103"/>
        <v>1120090.3313279999</v>
      </c>
      <c r="V131" s="484">
        <f>P131+Q131+R131+S131+T131+U131</f>
        <v>1680090.3313279999</v>
      </c>
      <c r="W131" s="488">
        <v>12</v>
      </c>
      <c r="X131" s="484">
        <f t="shared" si="131"/>
        <v>140007.52761066667</v>
      </c>
      <c r="Y131" s="486"/>
      <c r="Z131" s="554">
        <f t="shared" si="132"/>
        <v>140007.52761066667</v>
      </c>
      <c r="AA131" s="489">
        <v>92023.216202666677</v>
      </c>
      <c r="AB131" s="489">
        <f t="shared" si="134"/>
        <v>47984.311407999994</v>
      </c>
      <c r="AC131" s="489"/>
      <c r="AD131" s="489"/>
      <c r="AE131" s="489"/>
    </row>
    <row r="132" spans="1:31" ht="18.75">
      <c r="A132" s="553">
        <v>115</v>
      </c>
      <c r="B132" s="432" t="s">
        <v>106</v>
      </c>
      <c r="C132" s="484">
        <v>554373.75</v>
      </c>
      <c r="D132" s="485">
        <v>12</v>
      </c>
      <c r="E132" s="484">
        <f t="shared" si="133"/>
        <v>6652485</v>
      </c>
      <c r="F132" s="484">
        <f>712.24525*12</f>
        <v>8546.9430000000011</v>
      </c>
      <c r="G132" s="555">
        <v>464998.80000000005</v>
      </c>
      <c r="H132" s="486"/>
      <c r="I132" s="484">
        <f t="shared" si="121"/>
        <v>6178939.2570000002</v>
      </c>
      <c r="J132" s="484">
        <v>200000</v>
      </c>
      <c r="K132" s="484">
        <v>0.2</v>
      </c>
      <c r="L132" s="484">
        <f t="shared" si="122"/>
        <v>1235787.8514</v>
      </c>
      <c r="M132" s="484">
        <f t="shared" si="123"/>
        <v>1435787.8514</v>
      </c>
      <c r="N132" s="484">
        <f t="shared" si="124"/>
        <v>1909333.5944000001</v>
      </c>
      <c r="O132" s="484">
        <f t="shared" si="125"/>
        <v>4743151.4056000002</v>
      </c>
      <c r="P132" s="484">
        <f t="shared" si="126"/>
        <v>21000</v>
      </c>
      <c r="Q132" s="484">
        <f t="shared" si="127"/>
        <v>33000</v>
      </c>
      <c r="R132" s="484">
        <f t="shared" si="128"/>
        <v>75000</v>
      </c>
      <c r="S132" s="484">
        <f t="shared" si="129"/>
        <v>95000</v>
      </c>
      <c r="T132" s="484">
        <f t="shared" si="130"/>
        <v>336000</v>
      </c>
      <c r="U132" s="484">
        <f t="shared" si="103"/>
        <v>370356.337344</v>
      </c>
      <c r="V132" s="484">
        <f t="shared" ref="V132:V187" si="135">P132+Q132+R132+S132+T132+U132</f>
        <v>930356.337344</v>
      </c>
      <c r="W132" s="488">
        <v>12</v>
      </c>
      <c r="X132" s="484">
        <f t="shared" si="131"/>
        <v>77529.694778666671</v>
      </c>
      <c r="Y132" s="486"/>
      <c r="Z132" s="554">
        <f t="shared" si="132"/>
        <v>77529.694778666671</v>
      </c>
      <c r="AA132" s="489">
        <v>46081.202598666678</v>
      </c>
      <c r="AB132" s="489">
        <f t="shared" si="134"/>
        <v>31448.492179999994</v>
      </c>
      <c r="AC132" s="489"/>
      <c r="AD132" s="489"/>
      <c r="AE132" s="489"/>
    </row>
    <row r="133" spans="1:31" ht="18.75">
      <c r="A133" s="553">
        <v>116</v>
      </c>
      <c r="B133" s="432" t="s">
        <v>7</v>
      </c>
      <c r="C133" s="484">
        <v>554373.75</v>
      </c>
      <c r="D133" s="485">
        <v>12</v>
      </c>
      <c r="E133" s="484">
        <f t="shared" si="133"/>
        <v>6652485</v>
      </c>
      <c r="F133" s="484">
        <f>712.24525*12</f>
        <v>8546.9430000000011</v>
      </c>
      <c r="G133" s="555">
        <v>464998.80000000005</v>
      </c>
      <c r="H133" s="486"/>
      <c r="I133" s="484">
        <f t="shared" si="121"/>
        <v>6178939.2570000002</v>
      </c>
      <c r="J133" s="484">
        <v>200000</v>
      </c>
      <c r="K133" s="484">
        <v>0.2</v>
      </c>
      <c r="L133" s="484">
        <f t="shared" si="122"/>
        <v>1235787.8514</v>
      </c>
      <c r="M133" s="484">
        <f t="shared" si="123"/>
        <v>1435787.8514</v>
      </c>
      <c r="N133" s="484">
        <f t="shared" si="124"/>
        <v>1909333.5944000001</v>
      </c>
      <c r="O133" s="484">
        <f t="shared" si="125"/>
        <v>4743151.4056000002</v>
      </c>
      <c r="P133" s="484">
        <f t="shared" si="126"/>
        <v>21000</v>
      </c>
      <c r="Q133" s="484">
        <f t="shared" si="127"/>
        <v>33000</v>
      </c>
      <c r="R133" s="484">
        <f t="shared" si="128"/>
        <v>75000</v>
      </c>
      <c r="S133" s="484">
        <f t="shared" si="129"/>
        <v>95000</v>
      </c>
      <c r="T133" s="484">
        <f t="shared" si="130"/>
        <v>336000</v>
      </c>
      <c r="U133" s="484">
        <f t="shared" si="103"/>
        <v>370356.337344</v>
      </c>
      <c r="V133" s="484">
        <f t="shared" si="135"/>
        <v>930356.337344</v>
      </c>
      <c r="W133" s="488">
        <v>12</v>
      </c>
      <c r="X133" s="484">
        <f t="shared" si="131"/>
        <v>77529.694778666671</v>
      </c>
      <c r="Y133" s="486"/>
      <c r="Z133" s="554">
        <f t="shared" si="132"/>
        <v>77529.694778666671</v>
      </c>
      <c r="AA133" s="489">
        <v>46081.202598666678</v>
      </c>
      <c r="AB133" s="489">
        <f t="shared" si="134"/>
        <v>31448.492179999994</v>
      </c>
      <c r="AC133" s="489"/>
      <c r="AD133" s="489"/>
      <c r="AE133" s="489"/>
    </row>
    <row r="134" spans="1:31" ht="18.75">
      <c r="A134" s="553">
        <v>117</v>
      </c>
      <c r="B134" s="432" t="s">
        <v>6</v>
      </c>
      <c r="C134" s="484">
        <v>554373.75</v>
      </c>
      <c r="D134" s="485">
        <v>12</v>
      </c>
      <c r="E134" s="484">
        <f t="shared" si="133"/>
        <v>6652485</v>
      </c>
      <c r="F134" s="484">
        <f>712.24525*12</f>
        <v>8546.9430000000011</v>
      </c>
      <c r="G134" s="555">
        <v>464998.80000000005</v>
      </c>
      <c r="H134" s="486"/>
      <c r="I134" s="484">
        <f t="shared" si="121"/>
        <v>6178939.2570000002</v>
      </c>
      <c r="J134" s="484">
        <v>200000</v>
      </c>
      <c r="K134" s="484">
        <v>0.2</v>
      </c>
      <c r="L134" s="484">
        <f t="shared" si="122"/>
        <v>1235787.8514</v>
      </c>
      <c r="M134" s="484">
        <f t="shared" si="123"/>
        <v>1435787.8514</v>
      </c>
      <c r="N134" s="484">
        <f t="shared" si="124"/>
        <v>1909333.5944000001</v>
      </c>
      <c r="O134" s="484">
        <f t="shared" si="125"/>
        <v>4743151.4056000002</v>
      </c>
      <c r="P134" s="484">
        <f t="shared" si="126"/>
        <v>21000</v>
      </c>
      <c r="Q134" s="484">
        <f t="shared" si="127"/>
        <v>33000</v>
      </c>
      <c r="R134" s="484">
        <f t="shared" si="128"/>
        <v>75000</v>
      </c>
      <c r="S134" s="484">
        <f t="shared" si="129"/>
        <v>95000</v>
      </c>
      <c r="T134" s="484">
        <f t="shared" si="130"/>
        <v>336000</v>
      </c>
      <c r="U134" s="484">
        <f t="shared" si="103"/>
        <v>370356.337344</v>
      </c>
      <c r="V134" s="484">
        <f t="shared" si="135"/>
        <v>930356.337344</v>
      </c>
      <c r="W134" s="488">
        <v>12</v>
      </c>
      <c r="X134" s="484">
        <f t="shared" si="131"/>
        <v>77529.694778666671</v>
      </c>
      <c r="Y134" s="486"/>
      <c r="Z134" s="554">
        <f t="shared" si="132"/>
        <v>77529.694778666671</v>
      </c>
      <c r="AA134" s="489">
        <v>46081.202598666678</v>
      </c>
      <c r="AB134" s="489">
        <f t="shared" si="134"/>
        <v>31448.492179999994</v>
      </c>
      <c r="AC134" s="489"/>
      <c r="AD134" s="489"/>
      <c r="AE134" s="489"/>
    </row>
    <row r="135" spans="1:31" ht="18.75">
      <c r="A135" s="553">
        <v>118</v>
      </c>
      <c r="B135" s="432" t="s">
        <v>102</v>
      </c>
      <c r="C135" s="484">
        <v>450086.5</v>
      </c>
      <c r="D135" s="485">
        <v>12</v>
      </c>
      <c r="E135" s="484">
        <f t="shared" si="133"/>
        <v>5401038</v>
      </c>
      <c r="F135" s="484">
        <f>576.62125*12</f>
        <v>6919.4549999999999</v>
      </c>
      <c r="G135" s="555">
        <v>374483.04000000004</v>
      </c>
      <c r="H135" s="486"/>
      <c r="I135" s="484">
        <f t="shared" si="121"/>
        <v>5019635.5049999999</v>
      </c>
      <c r="J135" s="484">
        <v>200000</v>
      </c>
      <c r="K135" s="484">
        <v>0.2</v>
      </c>
      <c r="L135" s="484">
        <f t="shared" si="122"/>
        <v>1003927.101</v>
      </c>
      <c r="M135" s="484">
        <f t="shared" si="123"/>
        <v>1203927.101</v>
      </c>
      <c r="N135" s="484">
        <f t="shared" si="124"/>
        <v>1585329.5960000001</v>
      </c>
      <c r="O135" s="484">
        <f t="shared" si="125"/>
        <v>3815708.4040000001</v>
      </c>
      <c r="P135" s="484">
        <f t="shared" si="126"/>
        <v>21000</v>
      </c>
      <c r="Q135" s="484">
        <f t="shared" si="127"/>
        <v>33000</v>
      </c>
      <c r="R135" s="484">
        <f t="shared" si="128"/>
        <v>75000</v>
      </c>
      <c r="S135" s="484">
        <f t="shared" si="129"/>
        <v>95000</v>
      </c>
      <c r="T135" s="484">
        <f t="shared" si="130"/>
        <v>336000</v>
      </c>
      <c r="U135" s="484">
        <f t="shared" si="103"/>
        <v>147770.01696000001</v>
      </c>
      <c r="V135" s="484">
        <f t="shared" si="135"/>
        <v>707770.01696000004</v>
      </c>
      <c r="W135" s="488">
        <v>12</v>
      </c>
      <c r="X135" s="484">
        <f t="shared" si="131"/>
        <v>58980.834746666667</v>
      </c>
      <c r="Y135" s="486"/>
      <c r="Z135" s="554">
        <f t="shared" si="132"/>
        <v>58980.834746666667</v>
      </c>
      <c r="AA135" s="489">
        <v>35221.954086666665</v>
      </c>
      <c r="AB135" s="489">
        <f t="shared" si="134"/>
        <v>23758.880660000003</v>
      </c>
      <c r="AC135" s="489"/>
      <c r="AD135" s="489"/>
      <c r="AE135" s="489"/>
    </row>
    <row r="136" spans="1:31" ht="18.75">
      <c r="A136" s="553">
        <v>119</v>
      </c>
      <c r="B136" s="432" t="s">
        <v>103</v>
      </c>
      <c r="C136" s="484">
        <v>450086.5</v>
      </c>
      <c r="D136" s="485">
        <v>12</v>
      </c>
      <c r="E136" s="484">
        <f t="shared" si="133"/>
        <v>5401038</v>
      </c>
      <c r="F136" s="484"/>
      <c r="G136" s="555">
        <v>374483.04000000004</v>
      </c>
      <c r="H136" s="486"/>
      <c r="I136" s="484">
        <f t="shared" si="121"/>
        <v>5026554.96</v>
      </c>
      <c r="J136" s="484">
        <v>200000</v>
      </c>
      <c r="K136" s="484">
        <v>0.2</v>
      </c>
      <c r="L136" s="484">
        <f t="shared" si="122"/>
        <v>1005310.9920000001</v>
      </c>
      <c r="M136" s="484">
        <f t="shared" si="123"/>
        <v>1205310.9920000001</v>
      </c>
      <c r="N136" s="484">
        <f t="shared" si="124"/>
        <v>1579794.0320000001</v>
      </c>
      <c r="O136" s="484">
        <f t="shared" si="125"/>
        <v>3821243.9679999999</v>
      </c>
      <c r="P136" s="484">
        <f t="shared" si="126"/>
        <v>21000</v>
      </c>
      <c r="Q136" s="484">
        <f t="shared" si="127"/>
        <v>33000</v>
      </c>
      <c r="R136" s="484">
        <f t="shared" si="128"/>
        <v>75000</v>
      </c>
      <c r="S136" s="484">
        <f t="shared" si="129"/>
        <v>95000</v>
      </c>
      <c r="T136" s="484">
        <f t="shared" si="130"/>
        <v>336000</v>
      </c>
      <c r="U136" s="484">
        <f t="shared" si="103"/>
        <v>149098.55231999996</v>
      </c>
      <c r="V136" s="484">
        <f t="shared" si="135"/>
        <v>709098.55232000002</v>
      </c>
      <c r="W136" s="488">
        <v>12</v>
      </c>
      <c r="X136" s="484">
        <f t="shared" si="131"/>
        <v>59091.546026666671</v>
      </c>
      <c r="Y136" s="486"/>
      <c r="Z136" s="554">
        <f t="shared" si="132"/>
        <v>59091.546026666671</v>
      </c>
      <c r="AA136" s="489">
        <v>35318.826456666669</v>
      </c>
      <c r="AB136" s="489">
        <f t="shared" si="134"/>
        <v>23772.719570000001</v>
      </c>
      <c r="AC136" s="489"/>
      <c r="AD136" s="489"/>
      <c r="AE136" s="489"/>
    </row>
    <row r="137" spans="1:31" ht="18.75">
      <c r="A137" s="553">
        <v>120</v>
      </c>
      <c r="B137" s="432" t="s">
        <v>151</v>
      </c>
      <c r="C137" s="484">
        <v>450086.5</v>
      </c>
      <c r="D137" s="485">
        <v>12</v>
      </c>
      <c r="E137" s="484">
        <f t="shared" si="133"/>
        <v>5401038</v>
      </c>
      <c r="F137" s="484"/>
      <c r="G137" s="555">
        <v>374483.04000000004</v>
      </c>
      <c r="H137" s="486"/>
      <c r="I137" s="484">
        <f t="shared" si="121"/>
        <v>5026554.96</v>
      </c>
      <c r="J137" s="484">
        <v>200000</v>
      </c>
      <c r="K137" s="484">
        <v>0.2</v>
      </c>
      <c r="L137" s="484">
        <f t="shared" si="122"/>
        <v>1005310.9920000001</v>
      </c>
      <c r="M137" s="484">
        <f t="shared" si="123"/>
        <v>1205310.9920000001</v>
      </c>
      <c r="N137" s="484">
        <f t="shared" si="124"/>
        <v>1579794.0320000001</v>
      </c>
      <c r="O137" s="484">
        <f t="shared" si="125"/>
        <v>3821243.9679999999</v>
      </c>
      <c r="P137" s="484">
        <f t="shared" si="126"/>
        <v>21000</v>
      </c>
      <c r="Q137" s="484">
        <f t="shared" si="127"/>
        <v>33000</v>
      </c>
      <c r="R137" s="484">
        <f t="shared" si="128"/>
        <v>75000</v>
      </c>
      <c r="S137" s="484">
        <f t="shared" si="129"/>
        <v>95000</v>
      </c>
      <c r="T137" s="484">
        <f t="shared" si="130"/>
        <v>336000</v>
      </c>
      <c r="U137" s="484">
        <f t="shared" si="103"/>
        <v>149098.55231999996</v>
      </c>
      <c r="V137" s="484">
        <f t="shared" si="135"/>
        <v>709098.55232000002</v>
      </c>
      <c r="W137" s="488">
        <v>12</v>
      </c>
      <c r="X137" s="484">
        <f t="shared" si="131"/>
        <v>59091.546026666671</v>
      </c>
      <c r="Y137" s="486"/>
      <c r="Z137" s="554">
        <f t="shared" si="132"/>
        <v>59091.546026666671</v>
      </c>
      <c r="AA137" s="489">
        <v>35318.826456666669</v>
      </c>
      <c r="AB137" s="489">
        <f t="shared" si="134"/>
        <v>23772.719570000001</v>
      </c>
      <c r="AC137" s="489"/>
      <c r="AD137" s="489"/>
      <c r="AE137" s="489"/>
    </row>
    <row r="138" spans="1:31" ht="37.5">
      <c r="A138" s="553">
        <v>121</v>
      </c>
      <c r="B138" s="432" t="s">
        <v>238</v>
      </c>
      <c r="C138" s="484">
        <v>437895.16666666669</v>
      </c>
      <c r="D138" s="485">
        <v>12</v>
      </c>
      <c r="E138" s="484">
        <f t="shared" si="133"/>
        <v>5254742</v>
      </c>
      <c r="F138" s="484"/>
      <c r="G138" s="555">
        <v>362779.36</v>
      </c>
      <c r="H138" s="486"/>
      <c r="I138" s="484">
        <f t="shared" si="121"/>
        <v>4891962.6399999997</v>
      </c>
      <c r="J138" s="484">
        <v>200000</v>
      </c>
      <c r="K138" s="484">
        <v>0.2</v>
      </c>
      <c r="L138" s="484">
        <f t="shared" si="122"/>
        <v>978392.52799999993</v>
      </c>
      <c r="M138" s="484">
        <f t="shared" si="123"/>
        <v>1178392.5279999999</v>
      </c>
      <c r="N138" s="484">
        <f t="shared" si="124"/>
        <v>1541171.8879999998</v>
      </c>
      <c r="O138" s="484">
        <f t="shared" si="125"/>
        <v>3713570.1120000002</v>
      </c>
      <c r="P138" s="484">
        <f t="shared" si="126"/>
        <v>21000</v>
      </c>
      <c r="Q138" s="484">
        <f t="shared" si="127"/>
        <v>33000</v>
      </c>
      <c r="R138" s="484">
        <f t="shared" si="128"/>
        <v>75000</v>
      </c>
      <c r="S138" s="484">
        <f t="shared" si="129"/>
        <v>95000</v>
      </c>
      <c r="T138" s="484">
        <f t="shared" si="130"/>
        <v>336000</v>
      </c>
      <c r="U138" s="484">
        <f t="shared" si="103"/>
        <v>123256.82688000004</v>
      </c>
      <c r="V138" s="484">
        <f t="shared" si="135"/>
        <v>683256.82688000007</v>
      </c>
      <c r="W138" s="488">
        <v>12</v>
      </c>
      <c r="X138" s="484">
        <f t="shared" si="131"/>
        <v>56938.068906666675</v>
      </c>
      <c r="Y138" s="486"/>
      <c r="Z138" s="554">
        <f t="shared" si="132"/>
        <v>56938.068906666675</v>
      </c>
      <c r="AA138" s="489">
        <v>34968.882414666667</v>
      </c>
      <c r="AB138" s="489">
        <f t="shared" si="134"/>
        <v>21969.186492000008</v>
      </c>
      <c r="AC138" s="489"/>
      <c r="AD138" s="489"/>
      <c r="AE138" s="489"/>
    </row>
    <row r="139" spans="1:31" ht="18.75">
      <c r="A139" s="553">
        <v>122</v>
      </c>
      <c r="B139" s="432" t="s">
        <v>53</v>
      </c>
      <c r="C139" s="484">
        <v>425703.83333333331</v>
      </c>
      <c r="D139" s="485">
        <v>12</v>
      </c>
      <c r="E139" s="484">
        <f t="shared" si="133"/>
        <v>5108446</v>
      </c>
      <c r="F139" s="484">
        <f>538.022*12</f>
        <v>6456.264000000001</v>
      </c>
      <c r="G139" s="555">
        <v>351075.68</v>
      </c>
      <c r="H139" s="486"/>
      <c r="I139" s="484">
        <f t="shared" si="121"/>
        <v>4750914.0559999999</v>
      </c>
      <c r="J139" s="484">
        <v>200000</v>
      </c>
      <c r="K139" s="484">
        <v>0.2</v>
      </c>
      <c r="L139" s="484">
        <f t="shared" si="122"/>
        <v>950182.8112</v>
      </c>
      <c r="M139" s="484">
        <f t="shared" si="123"/>
        <v>1150182.8111999999</v>
      </c>
      <c r="N139" s="484">
        <f t="shared" si="124"/>
        <v>1507714.7552</v>
      </c>
      <c r="O139" s="484">
        <f t="shared" si="125"/>
        <v>3600731.2448</v>
      </c>
      <c r="P139" s="484">
        <f t="shared" si="126"/>
        <v>21000</v>
      </c>
      <c r="Q139" s="484">
        <f t="shared" si="127"/>
        <v>33000</v>
      </c>
      <c r="R139" s="484">
        <f t="shared" si="128"/>
        <v>75000</v>
      </c>
      <c r="S139" s="484">
        <f t="shared" si="129"/>
        <v>95000</v>
      </c>
      <c r="T139" s="484">
        <f t="shared" si="130"/>
        <v>336000</v>
      </c>
      <c r="U139" s="484">
        <f t="shared" si="103"/>
        <v>96175.498752</v>
      </c>
      <c r="V139" s="484">
        <f t="shared" si="135"/>
        <v>656175.49875200004</v>
      </c>
      <c r="W139" s="488">
        <v>12</v>
      </c>
      <c r="X139" s="484">
        <f t="shared" si="131"/>
        <v>54681.291562666673</v>
      </c>
      <c r="Y139" s="486"/>
      <c r="Z139" s="554">
        <f t="shared" si="132"/>
        <v>54681.291562666673</v>
      </c>
      <c r="AA139" s="489">
        <v>32848.563402666667</v>
      </c>
      <c r="AB139" s="489">
        <f t="shared" si="134"/>
        <v>21832.728160000006</v>
      </c>
      <c r="AC139" s="489"/>
      <c r="AD139" s="489"/>
      <c r="AE139" s="489"/>
    </row>
    <row r="140" spans="1:31" ht="37.5">
      <c r="A140" s="553">
        <v>123</v>
      </c>
      <c r="B140" s="432" t="s">
        <v>179</v>
      </c>
      <c r="C140" s="484">
        <v>450086.5</v>
      </c>
      <c r="D140" s="485">
        <v>12</v>
      </c>
      <c r="E140" s="484">
        <f t="shared" si="133"/>
        <v>5401038</v>
      </c>
      <c r="F140" s="484">
        <f>576.62125*12</f>
        <v>6919.4549999999999</v>
      </c>
      <c r="G140" s="555">
        <v>374483.04000000004</v>
      </c>
      <c r="H140" s="486"/>
      <c r="I140" s="484">
        <f t="shared" si="121"/>
        <v>5019635.5049999999</v>
      </c>
      <c r="J140" s="484">
        <v>200000</v>
      </c>
      <c r="K140" s="484">
        <v>0.2</v>
      </c>
      <c r="L140" s="484">
        <f t="shared" si="122"/>
        <v>1003927.101</v>
      </c>
      <c r="M140" s="484">
        <f t="shared" si="123"/>
        <v>1203927.101</v>
      </c>
      <c r="N140" s="484">
        <f t="shared" si="124"/>
        <v>1585329.5960000001</v>
      </c>
      <c r="O140" s="484">
        <f t="shared" si="125"/>
        <v>3815708.4040000001</v>
      </c>
      <c r="P140" s="484">
        <f t="shared" si="126"/>
        <v>21000</v>
      </c>
      <c r="Q140" s="484">
        <f t="shared" si="127"/>
        <v>33000</v>
      </c>
      <c r="R140" s="484">
        <f t="shared" si="128"/>
        <v>75000</v>
      </c>
      <c r="S140" s="484">
        <f t="shared" si="129"/>
        <v>95000</v>
      </c>
      <c r="T140" s="484">
        <f t="shared" si="130"/>
        <v>336000</v>
      </c>
      <c r="U140" s="484">
        <f t="shared" si="103"/>
        <v>147770.01696000001</v>
      </c>
      <c r="V140" s="484">
        <f t="shared" si="135"/>
        <v>707770.01696000004</v>
      </c>
      <c r="W140" s="488">
        <v>12</v>
      </c>
      <c r="X140" s="484">
        <f t="shared" si="131"/>
        <v>58980.834746666667</v>
      </c>
      <c r="Y140" s="486"/>
      <c r="Z140" s="554">
        <f t="shared" si="132"/>
        <v>58980.834746666667</v>
      </c>
      <c r="AA140" s="489">
        <v>35221.954086666665</v>
      </c>
      <c r="AB140" s="489">
        <f t="shared" si="134"/>
        <v>23758.880660000003</v>
      </c>
      <c r="AC140" s="489"/>
      <c r="AD140" s="489"/>
      <c r="AE140" s="489"/>
    </row>
    <row r="141" spans="1:31" ht="18.75">
      <c r="A141" s="553">
        <v>124</v>
      </c>
      <c r="B141" s="364" t="s">
        <v>293</v>
      </c>
      <c r="C141" s="484">
        <v>413512.5</v>
      </c>
      <c r="D141" s="485">
        <v>12</v>
      </c>
      <c r="E141" s="484">
        <f t="shared" si="133"/>
        <v>4962150</v>
      </c>
      <c r="F141" s="484">
        <v>0</v>
      </c>
      <c r="G141" s="555">
        <v>339372</v>
      </c>
      <c r="H141" s="486"/>
      <c r="I141" s="484">
        <f t="shared" si="121"/>
        <v>4622778</v>
      </c>
      <c r="J141" s="484">
        <v>200000</v>
      </c>
      <c r="K141" s="484">
        <v>0.2</v>
      </c>
      <c r="L141" s="484">
        <f t="shared" si="122"/>
        <v>924555.60000000009</v>
      </c>
      <c r="M141" s="484">
        <f t="shared" si="123"/>
        <v>1124555.6000000001</v>
      </c>
      <c r="N141" s="484">
        <f t="shared" si="124"/>
        <v>1463927.6</v>
      </c>
      <c r="O141" s="484">
        <f t="shared" si="125"/>
        <v>3498222.4</v>
      </c>
      <c r="P141" s="484">
        <f t="shared" si="126"/>
        <v>21000</v>
      </c>
      <c r="Q141" s="484">
        <f t="shared" si="127"/>
        <v>33000</v>
      </c>
      <c r="R141" s="484">
        <f t="shared" si="128"/>
        <v>75000</v>
      </c>
      <c r="S141" s="484">
        <f t="shared" si="129"/>
        <v>95000</v>
      </c>
      <c r="T141" s="484">
        <f t="shared" si="130"/>
        <v>336000</v>
      </c>
      <c r="U141" s="484">
        <f t="shared" si="103"/>
        <v>71573.375999999975</v>
      </c>
      <c r="V141" s="484">
        <f t="shared" si="135"/>
        <v>631573.37599999993</v>
      </c>
      <c r="W141" s="488">
        <v>12</v>
      </c>
      <c r="X141" s="484">
        <f t="shared" si="131"/>
        <v>52631.114666666661</v>
      </c>
      <c r="Y141" s="486"/>
      <c r="Z141" s="554">
        <f t="shared" si="132"/>
        <v>52631.114666666661</v>
      </c>
      <c r="AA141" s="489">
        <v>31749.175266666658</v>
      </c>
      <c r="AB141" s="489">
        <f t="shared" si="134"/>
        <v>20881.939400000003</v>
      </c>
      <c r="AC141" s="489"/>
      <c r="AD141" s="489"/>
      <c r="AE141" s="489"/>
    </row>
    <row r="142" spans="1:31" ht="18.75">
      <c r="A142" s="553">
        <v>125</v>
      </c>
      <c r="B142" s="432" t="s">
        <v>488</v>
      </c>
      <c r="C142" s="484">
        <v>368901.5</v>
      </c>
      <c r="D142" s="485">
        <v>12</v>
      </c>
      <c r="E142" s="484">
        <f t="shared" si="133"/>
        <v>4426818</v>
      </c>
      <c r="F142" s="484"/>
      <c r="G142" s="555">
        <v>296545.44</v>
      </c>
      <c r="H142" s="486"/>
      <c r="I142" s="484">
        <f t="shared" si="121"/>
        <v>4130272.56</v>
      </c>
      <c r="J142" s="484">
        <v>200000</v>
      </c>
      <c r="K142" s="484">
        <v>0.2</v>
      </c>
      <c r="L142" s="484">
        <f t="shared" si="122"/>
        <v>826054.5120000001</v>
      </c>
      <c r="M142" s="484">
        <f t="shared" si="123"/>
        <v>1026054.5120000001</v>
      </c>
      <c r="N142" s="484">
        <f t="shared" si="124"/>
        <v>1322599.952</v>
      </c>
      <c r="O142" s="484">
        <f t="shared" si="125"/>
        <v>3104218.048</v>
      </c>
      <c r="P142" s="484">
        <f t="shared" si="126"/>
        <v>21000</v>
      </c>
      <c r="Q142" s="484">
        <f t="shared" si="127"/>
        <v>33000</v>
      </c>
      <c r="R142" s="484">
        <f t="shared" si="128"/>
        <v>75000</v>
      </c>
      <c r="S142" s="484">
        <f t="shared" si="129"/>
        <v>95000</v>
      </c>
      <c r="T142" s="484">
        <f t="shared" si="130"/>
        <v>315885.79008000001</v>
      </c>
      <c r="U142" s="484"/>
      <c r="V142" s="484">
        <f t="shared" si="135"/>
        <v>539885.79007999995</v>
      </c>
      <c r="W142" s="488">
        <v>12</v>
      </c>
      <c r="X142" s="484">
        <f t="shared" si="131"/>
        <v>44990.48250666666</v>
      </c>
      <c r="Y142" s="486"/>
      <c r="Z142" s="554">
        <f t="shared" si="132"/>
        <v>44990.48250666666</v>
      </c>
      <c r="AA142" s="489">
        <v>27105.986562666658</v>
      </c>
      <c r="AB142" s="489">
        <f t="shared" si="134"/>
        <v>17884.495944000002</v>
      </c>
      <c r="AC142" s="489"/>
      <c r="AD142" s="489"/>
      <c r="AE142" s="489"/>
    </row>
    <row r="143" spans="1:31" ht="18.75">
      <c r="A143" s="553">
        <v>126</v>
      </c>
      <c r="B143" s="432" t="s">
        <v>489</v>
      </c>
      <c r="C143" s="484">
        <v>376837.41666666669</v>
      </c>
      <c r="D143" s="485">
        <v>12</v>
      </c>
      <c r="E143" s="484">
        <f t="shared" si="133"/>
        <v>4522049</v>
      </c>
      <c r="F143" s="484">
        <f>469.4825*12</f>
        <v>5633.79</v>
      </c>
      <c r="G143" s="555">
        <v>304163.92000000004</v>
      </c>
      <c r="H143" s="486"/>
      <c r="I143" s="484">
        <f t="shared" si="121"/>
        <v>4212251.29</v>
      </c>
      <c r="J143" s="484">
        <v>200000</v>
      </c>
      <c r="K143" s="484">
        <v>0.2</v>
      </c>
      <c r="L143" s="484">
        <f t="shared" si="122"/>
        <v>842450.25800000003</v>
      </c>
      <c r="M143" s="484">
        <f t="shared" si="123"/>
        <v>1042450.258</v>
      </c>
      <c r="N143" s="484">
        <f t="shared" si="124"/>
        <v>1352247.9680000001</v>
      </c>
      <c r="O143" s="484">
        <f t="shared" si="125"/>
        <v>3169801.0319999997</v>
      </c>
      <c r="P143" s="484">
        <f t="shared" si="126"/>
        <v>21000</v>
      </c>
      <c r="Q143" s="484">
        <f t="shared" si="127"/>
        <v>33000</v>
      </c>
      <c r="R143" s="484">
        <f t="shared" si="128"/>
        <v>75000</v>
      </c>
      <c r="S143" s="484">
        <f t="shared" si="129"/>
        <v>95000</v>
      </c>
      <c r="T143" s="484">
        <f t="shared" si="130"/>
        <v>329658.21671999991</v>
      </c>
      <c r="U143" s="484"/>
      <c r="V143" s="484">
        <f t="shared" si="135"/>
        <v>553658.21671999991</v>
      </c>
      <c r="W143" s="488">
        <v>12</v>
      </c>
      <c r="X143" s="484">
        <f t="shared" si="131"/>
        <v>46138.184726666659</v>
      </c>
      <c r="Y143" s="486"/>
      <c r="Z143" s="554">
        <f t="shared" si="132"/>
        <v>46138.184726666659</v>
      </c>
      <c r="AA143" s="489">
        <v>27794.206626666662</v>
      </c>
      <c r="AB143" s="489">
        <f t="shared" si="134"/>
        <v>18343.978099999997</v>
      </c>
      <c r="AC143" s="489"/>
      <c r="AD143" s="489"/>
      <c r="AE143" s="489"/>
    </row>
    <row r="144" spans="1:31" ht="18.75">
      <c r="A144" s="553">
        <v>127</v>
      </c>
      <c r="B144" s="432" t="s">
        <v>212</v>
      </c>
      <c r="C144" s="484">
        <v>376837.41666666669</v>
      </c>
      <c r="D144" s="485">
        <v>12</v>
      </c>
      <c r="E144" s="484">
        <f t="shared" si="133"/>
        <v>4522049</v>
      </c>
      <c r="F144" s="484"/>
      <c r="G144" s="555">
        <v>304163.92000000004</v>
      </c>
      <c r="H144" s="486"/>
      <c r="I144" s="484">
        <f t="shared" si="121"/>
        <v>4217885.08</v>
      </c>
      <c r="J144" s="484">
        <v>200000</v>
      </c>
      <c r="K144" s="484">
        <v>0.2</v>
      </c>
      <c r="L144" s="484">
        <f t="shared" si="122"/>
        <v>843577.01600000006</v>
      </c>
      <c r="M144" s="484">
        <f t="shared" si="123"/>
        <v>1043577.0160000001</v>
      </c>
      <c r="N144" s="484">
        <f t="shared" si="124"/>
        <v>1347740.9360000002</v>
      </c>
      <c r="O144" s="484">
        <f t="shared" si="125"/>
        <v>3174308.0639999998</v>
      </c>
      <c r="P144" s="484">
        <f t="shared" si="126"/>
        <v>21000</v>
      </c>
      <c r="Q144" s="484">
        <f t="shared" si="127"/>
        <v>33000</v>
      </c>
      <c r="R144" s="484">
        <f t="shared" si="128"/>
        <v>75000</v>
      </c>
      <c r="S144" s="484">
        <f t="shared" si="129"/>
        <v>95000</v>
      </c>
      <c r="T144" s="484">
        <f t="shared" si="130"/>
        <v>330604.69343999994</v>
      </c>
      <c r="U144" s="484"/>
      <c r="V144" s="484">
        <f t="shared" si="135"/>
        <v>554604.69343999994</v>
      </c>
      <c r="W144" s="488">
        <v>12</v>
      </c>
      <c r="X144" s="484">
        <f t="shared" si="131"/>
        <v>46217.057786666664</v>
      </c>
      <c r="Y144" s="486"/>
      <c r="Z144" s="554">
        <f t="shared" si="132"/>
        <v>46217.057786666664</v>
      </c>
      <c r="AA144" s="489">
        <v>27873.079686666664</v>
      </c>
      <c r="AB144" s="489">
        <f t="shared" si="134"/>
        <v>18343.9781</v>
      </c>
      <c r="AC144" s="489"/>
      <c r="AD144" s="489"/>
      <c r="AE144" s="489"/>
    </row>
    <row r="145" spans="1:31" ht="18.75">
      <c r="A145" s="553">
        <v>128</v>
      </c>
      <c r="B145" s="432" t="s">
        <v>425</v>
      </c>
      <c r="C145" s="484">
        <v>360965.58333333331</v>
      </c>
      <c r="D145" s="485">
        <v>12</v>
      </c>
      <c r="E145" s="484">
        <f t="shared" si="133"/>
        <v>4331587</v>
      </c>
      <c r="F145" s="484"/>
      <c r="G145" s="555">
        <v>288926.95999999996</v>
      </c>
      <c r="H145" s="486"/>
      <c r="I145" s="484">
        <f t="shared" si="121"/>
        <v>4042660.04</v>
      </c>
      <c r="J145" s="484">
        <v>200000</v>
      </c>
      <c r="K145" s="484">
        <v>0.2</v>
      </c>
      <c r="L145" s="484">
        <f t="shared" si="122"/>
        <v>808532.00800000003</v>
      </c>
      <c r="M145" s="484">
        <f t="shared" si="123"/>
        <v>1008532.008</v>
      </c>
      <c r="N145" s="484">
        <f t="shared" si="124"/>
        <v>1297458.9679999999</v>
      </c>
      <c r="O145" s="484">
        <f t="shared" si="125"/>
        <v>3034128.0320000001</v>
      </c>
      <c r="P145" s="484">
        <f t="shared" si="126"/>
        <v>21000</v>
      </c>
      <c r="Q145" s="484">
        <f t="shared" si="127"/>
        <v>33000</v>
      </c>
      <c r="R145" s="484">
        <f t="shared" si="128"/>
        <v>75000</v>
      </c>
      <c r="S145" s="484">
        <f t="shared" si="129"/>
        <v>95000</v>
      </c>
      <c r="T145" s="484">
        <f t="shared" si="130"/>
        <v>301166.88672000001</v>
      </c>
      <c r="U145" s="484"/>
      <c r="V145" s="484">
        <f t="shared" si="135"/>
        <v>525166.88672000007</v>
      </c>
      <c r="W145" s="488">
        <v>12</v>
      </c>
      <c r="X145" s="484">
        <f t="shared" si="131"/>
        <v>43763.90722666667</v>
      </c>
      <c r="Y145" s="486"/>
      <c r="Z145" s="554">
        <f t="shared" si="132"/>
        <v>43763.90722666667</v>
      </c>
      <c r="AA145" s="489">
        <v>27105.986562666658</v>
      </c>
      <c r="AB145" s="489">
        <f t="shared" si="134"/>
        <v>16657.920664000012</v>
      </c>
      <c r="AC145" s="489"/>
      <c r="AD145" s="489"/>
      <c r="AE145" s="489"/>
    </row>
    <row r="146" spans="1:31" ht="37.5">
      <c r="A146" s="553">
        <v>129</v>
      </c>
      <c r="B146" s="432" t="s">
        <v>750</v>
      </c>
      <c r="C146" s="484">
        <v>323165.33333333331</v>
      </c>
      <c r="D146" s="485">
        <v>12</v>
      </c>
      <c r="E146" s="484">
        <f t="shared" si="133"/>
        <v>3877984</v>
      </c>
      <c r="F146" s="484"/>
      <c r="G146" s="555">
        <v>252638.71999999997</v>
      </c>
      <c r="H146" s="486"/>
      <c r="I146" s="484">
        <f t="shared" si="121"/>
        <v>3625345.2800000003</v>
      </c>
      <c r="J146" s="484">
        <v>200000</v>
      </c>
      <c r="K146" s="484">
        <v>0.2</v>
      </c>
      <c r="L146" s="484">
        <f t="shared" si="122"/>
        <v>725069.0560000001</v>
      </c>
      <c r="M146" s="484">
        <f t="shared" si="123"/>
        <v>925069.0560000001</v>
      </c>
      <c r="N146" s="484">
        <f t="shared" si="124"/>
        <v>1177707.7760000001</v>
      </c>
      <c r="O146" s="484">
        <f t="shared" si="125"/>
        <v>2700276.2239999999</v>
      </c>
      <c r="P146" s="484">
        <f t="shared" si="126"/>
        <v>21000</v>
      </c>
      <c r="Q146" s="484">
        <f t="shared" si="127"/>
        <v>33000</v>
      </c>
      <c r="R146" s="484">
        <f t="shared" si="128"/>
        <v>75000</v>
      </c>
      <c r="S146" s="484">
        <f t="shared" si="129"/>
        <v>95000</v>
      </c>
      <c r="T146" s="484">
        <f t="shared" si="130"/>
        <v>231058.00703999997</v>
      </c>
      <c r="U146" s="484"/>
      <c r="V146" s="484">
        <f t="shared" si="135"/>
        <v>455058.00703999994</v>
      </c>
      <c r="W146" s="488">
        <v>12</v>
      </c>
      <c r="X146" s="484">
        <f t="shared" si="131"/>
        <v>37921.500586666662</v>
      </c>
      <c r="Y146" s="486"/>
      <c r="Z146" s="554">
        <f t="shared" si="132"/>
        <v>37921.500586666662</v>
      </c>
      <c r="AA146" s="489">
        <v>22338.48260466666</v>
      </c>
      <c r="AB146" s="489">
        <f t="shared" si="134"/>
        <v>15583.017982000001</v>
      </c>
      <c r="AC146" s="489"/>
      <c r="AD146" s="489"/>
      <c r="AE146" s="489"/>
    </row>
    <row r="147" spans="1:31" ht="18.75">
      <c r="A147" s="553">
        <v>130</v>
      </c>
      <c r="B147" s="432" t="s">
        <v>230</v>
      </c>
      <c r="C147" s="484">
        <v>368901.5</v>
      </c>
      <c r="D147" s="485">
        <v>12</v>
      </c>
      <c r="E147" s="484">
        <f t="shared" si="133"/>
        <v>4426818</v>
      </c>
      <c r="F147" s="484"/>
      <c r="G147" s="555">
        <v>296545.44</v>
      </c>
      <c r="H147" s="486"/>
      <c r="I147" s="484">
        <f t="shared" si="121"/>
        <v>4130272.56</v>
      </c>
      <c r="J147" s="484">
        <v>200000</v>
      </c>
      <c r="K147" s="484">
        <v>0.2</v>
      </c>
      <c r="L147" s="484">
        <f t="shared" si="122"/>
        <v>826054.5120000001</v>
      </c>
      <c r="M147" s="484">
        <f t="shared" si="123"/>
        <v>1026054.5120000001</v>
      </c>
      <c r="N147" s="484">
        <f t="shared" si="124"/>
        <v>1322599.952</v>
      </c>
      <c r="O147" s="484">
        <f t="shared" si="125"/>
        <v>3104218.048</v>
      </c>
      <c r="P147" s="484">
        <f t="shared" si="126"/>
        <v>21000</v>
      </c>
      <c r="Q147" s="484">
        <f t="shared" si="127"/>
        <v>33000</v>
      </c>
      <c r="R147" s="484">
        <f t="shared" si="128"/>
        <v>75000</v>
      </c>
      <c r="S147" s="484">
        <f t="shared" si="129"/>
        <v>95000</v>
      </c>
      <c r="T147" s="484">
        <f t="shared" si="130"/>
        <v>315885.79008000001</v>
      </c>
      <c r="U147" s="484"/>
      <c r="V147" s="484">
        <f t="shared" si="135"/>
        <v>539885.79007999995</v>
      </c>
      <c r="W147" s="488">
        <v>12</v>
      </c>
      <c r="X147" s="484">
        <f t="shared" si="131"/>
        <v>44990.48250666666</v>
      </c>
      <c r="Y147" s="486"/>
      <c r="Z147" s="554">
        <f t="shared" si="132"/>
        <v>44990.48250666666</v>
      </c>
      <c r="AA147" s="489">
        <v>27105.986562666658</v>
      </c>
      <c r="AB147" s="489">
        <f t="shared" si="134"/>
        <v>17884.495944000002</v>
      </c>
      <c r="AC147" s="489"/>
      <c r="AD147" s="489"/>
      <c r="AE147" s="489"/>
    </row>
    <row r="148" spans="1:31" ht="18.75">
      <c r="A148" s="553">
        <v>131</v>
      </c>
      <c r="B148" s="432" t="s">
        <v>57</v>
      </c>
      <c r="C148" s="484">
        <v>330481.66666666669</v>
      </c>
      <c r="D148" s="485">
        <v>12</v>
      </c>
      <c r="E148" s="484">
        <f t="shared" si="133"/>
        <v>3965780</v>
      </c>
      <c r="F148" s="484"/>
      <c r="G148" s="555">
        <v>259662.40000000002</v>
      </c>
      <c r="H148" s="486"/>
      <c r="I148" s="484">
        <f t="shared" si="121"/>
        <v>3706117.6</v>
      </c>
      <c r="J148" s="484">
        <v>200000</v>
      </c>
      <c r="K148" s="484">
        <v>0.2</v>
      </c>
      <c r="L148" s="484">
        <f t="shared" si="122"/>
        <v>741223.52</v>
      </c>
      <c r="M148" s="484">
        <f t="shared" si="123"/>
        <v>941223.52</v>
      </c>
      <c r="N148" s="484">
        <f t="shared" si="124"/>
        <v>1200885.92</v>
      </c>
      <c r="O148" s="484">
        <f t="shared" si="125"/>
        <v>2764894.08</v>
      </c>
      <c r="P148" s="484">
        <f t="shared" si="126"/>
        <v>21000</v>
      </c>
      <c r="Q148" s="484">
        <f t="shared" si="127"/>
        <v>33000</v>
      </c>
      <c r="R148" s="484">
        <f t="shared" si="128"/>
        <v>75000</v>
      </c>
      <c r="S148" s="484">
        <f t="shared" si="129"/>
        <v>95000</v>
      </c>
      <c r="T148" s="484">
        <f t="shared" si="130"/>
        <v>244627.7568</v>
      </c>
      <c r="U148" s="484"/>
      <c r="V148" s="484">
        <f t="shared" si="135"/>
        <v>468627.75679999997</v>
      </c>
      <c r="W148" s="488">
        <v>12</v>
      </c>
      <c r="X148" s="484">
        <f t="shared" si="131"/>
        <v>39052.313066666662</v>
      </c>
      <c r="Y148" s="486"/>
      <c r="Z148" s="554">
        <f t="shared" si="132"/>
        <v>39052.313066666662</v>
      </c>
      <c r="AA148" s="489">
        <v>23036.01234666667</v>
      </c>
      <c r="AB148" s="489">
        <f t="shared" si="134"/>
        <v>16016.300719999992</v>
      </c>
      <c r="AC148" s="489"/>
      <c r="AD148" s="489"/>
      <c r="AE148" s="489"/>
    </row>
    <row r="149" spans="1:31" ht="18.75">
      <c r="A149" s="553">
        <v>132</v>
      </c>
      <c r="B149" s="432" t="s">
        <v>251</v>
      </c>
      <c r="C149" s="484">
        <v>368901.5</v>
      </c>
      <c r="D149" s="485">
        <v>12</v>
      </c>
      <c r="E149" s="484">
        <f t="shared" si="133"/>
        <v>4426818</v>
      </c>
      <c r="F149" s="484">
        <f>457.041*12</f>
        <v>5484.4920000000002</v>
      </c>
      <c r="G149" s="555">
        <v>296545.44</v>
      </c>
      <c r="H149" s="486"/>
      <c r="I149" s="484">
        <f t="shared" si="121"/>
        <v>4124788.0680000004</v>
      </c>
      <c r="J149" s="484">
        <v>200000</v>
      </c>
      <c r="K149" s="484">
        <v>0.2</v>
      </c>
      <c r="L149" s="484">
        <f t="shared" si="122"/>
        <v>824957.61360000016</v>
      </c>
      <c r="M149" s="484">
        <f t="shared" si="123"/>
        <v>1024957.6136000002</v>
      </c>
      <c r="N149" s="484">
        <f t="shared" si="124"/>
        <v>1326987.5456000003</v>
      </c>
      <c r="O149" s="484">
        <f t="shared" si="125"/>
        <v>3099830.4543999997</v>
      </c>
      <c r="P149" s="484">
        <f t="shared" si="126"/>
        <v>21000</v>
      </c>
      <c r="Q149" s="484">
        <f t="shared" si="127"/>
        <v>33000</v>
      </c>
      <c r="R149" s="484">
        <f t="shared" si="128"/>
        <v>75000</v>
      </c>
      <c r="S149" s="484">
        <f t="shared" si="129"/>
        <v>95000</v>
      </c>
      <c r="T149" s="484">
        <f t="shared" si="130"/>
        <v>314964.39542399993</v>
      </c>
      <c r="U149" s="484"/>
      <c r="V149" s="484">
        <f t="shared" si="135"/>
        <v>538964.39542399999</v>
      </c>
      <c r="W149" s="488">
        <v>12</v>
      </c>
      <c r="X149" s="484">
        <f t="shared" si="131"/>
        <v>44913.699618666666</v>
      </c>
      <c r="Y149" s="486"/>
      <c r="Z149" s="554">
        <f t="shared" si="132"/>
        <v>44913.699618666666</v>
      </c>
      <c r="AA149" s="489">
        <v>27029.203674666656</v>
      </c>
      <c r="AB149" s="489">
        <f t="shared" si="134"/>
        <v>17884.495944000009</v>
      </c>
      <c r="AC149" s="489"/>
      <c r="AD149" s="489"/>
      <c r="AE149" s="489"/>
    </row>
    <row r="150" spans="1:31" ht="18.75">
      <c r="A150" s="553">
        <v>133</v>
      </c>
      <c r="B150" s="432" t="s">
        <v>241</v>
      </c>
      <c r="C150" s="484">
        <v>330481.66666666669</v>
      </c>
      <c r="D150" s="485">
        <v>12</v>
      </c>
      <c r="E150" s="484">
        <f t="shared" si="133"/>
        <v>3965780</v>
      </c>
      <c r="F150" s="484"/>
      <c r="G150" s="555">
        <v>259662.40000000002</v>
      </c>
      <c r="H150" s="486"/>
      <c r="I150" s="484">
        <f t="shared" si="121"/>
        <v>3706117.6</v>
      </c>
      <c r="J150" s="484">
        <v>200000</v>
      </c>
      <c r="K150" s="484">
        <v>0.2</v>
      </c>
      <c r="L150" s="484">
        <f t="shared" si="122"/>
        <v>741223.52</v>
      </c>
      <c r="M150" s="484">
        <f t="shared" si="123"/>
        <v>941223.52</v>
      </c>
      <c r="N150" s="484">
        <f t="shared" si="124"/>
        <v>1200885.92</v>
      </c>
      <c r="O150" s="484">
        <f t="shared" si="125"/>
        <v>2764894.08</v>
      </c>
      <c r="P150" s="484">
        <f t="shared" si="126"/>
        <v>21000</v>
      </c>
      <c r="Q150" s="484">
        <f t="shared" si="127"/>
        <v>33000</v>
      </c>
      <c r="R150" s="484">
        <f t="shared" si="128"/>
        <v>75000</v>
      </c>
      <c r="S150" s="484">
        <f t="shared" si="129"/>
        <v>95000</v>
      </c>
      <c r="T150" s="484">
        <f t="shared" si="130"/>
        <v>244627.7568</v>
      </c>
      <c r="U150" s="484"/>
      <c r="V150" s="484">
        <f t="shared" si="135"/>
        <v>468627.75679999997</v>
      </c>
      <c r="W150" s="488">
        <v>12</v>
      </c>
      <c r="X150" s="484">
        <f t="shared" si="131"/>
        <v>39052.313066666662</v>
      </c>
      <c r="Y150" s="486"/>
      <c r="Z150" s="554">
        <f t="shared" si="132"/>
        <v>39052.313066666662</v>
      </c>
      <c r="AA150" s="489">
        <v>22338.48260466666</v>
      </c>
      <c r="AB150" s="489">
        <f t="shared" si="134"/>
        <v>16713.830462000002</v>
      </c>
      <c r="AC150" s="489"/>
      <c r="AD150" s="489"/>
      <c r="AE150" s="489"/>
    </row>
    <row r="151" spans="1:31" ht="18.75">
      <c r="A151" s="553">
        <v>134</v>
      </c>
      <c r="B151" s="364" t="s">
        <v>289</v>
      </c>
      <c r="C151" s="484">
        <v>315849</v>
      </c>
      <c r="D151" s="485">
        <v>12</v>
      </c>
      <c r="E151" s="484">
        <f t="shared" si="133"/>
        <v>3790188</v>
      </c>
      <c r="F151" s="484"/>
      <c r="G151" s="556">
        <v>245615.04000000004</v>
      </c>
      <c r="H151" s="486"/>
      <c r="I151" s="484">
        <f t="shared" si="121"/>
        <v>3544572.96</v>
      </c>
      <c r="J151" s="484">
        <v>200000</v>
      </c>
      <c r="K151" s="484">
        <v>0.2</v>
      </c>
      <c r="L151" s="484">
        <f t="shared" si="122"/>
        <v>708914.59200000006</v>
      </c>
      <c r="M151" s="484">
        <f t="shared" si="123"/>
        <v>908914.59200000006</v>
      </c>
      <c r="N151" s="484">
        <f t="shared" si="124"/>
        <v>1154529.6320000002</v>
      </c>
      <c r="O151" s="484">
        <f t="shared" si="125"/>
        <v>2635658.3679999998</v>
      </c>
      <c r="P151" s="484">
        <f t="shared" si="126"/>
        <v>21000</v>
      </c>
      <c r="Q151" s="484">
        <f t="shared" si="127"/>
        <v>33000</v>
      </c>
      <c r="R151" s="484">
        <f t="shared" si="128"/>
        <v>75000</v>
      </c>
      <c r="S151" s="484">
        <f t="shared" si="129"/>
        <v>95000</v>
      </c>
      <c r="T151" s="484">
        <f t="shared" si="130"/>
        <v>217488.25727999993</v>
      </c>
      <c r="U151" s="484"/>
      <c r="V151" s="484">
        <f t="shared" si="135"/>
        <v>441488.2572799999</v>
      </c>
      <c r="W151" s="488">
        <v>12</v>
      </c>
      <c r="X151" s="484">
        <f t="shared" si="131"/>
        <v>36790.688106666661</v>
      </c>
      <c r="Y151" s="486"/>
      <c r="Z151" s="554">
        <f t="shared" si="132"/>
        <v>36790.688106666661</v>
      </c>
      <c r="AA151" s="489">
        <v>21640.952862666669</v>
      </c>
      <c r="AB151" s="489">
        <f t="shared" si="134"/>
        <v>15149.735243999992</v>
      </c>
      <c r="AC151" s="489"/>
      <c r="AD151" s="489"/>
      <c r="AE151" s="489"/>
    </row>
    <row r="152" spans="1:31" ht="18.75">
      <c r="A152" s="553">
        <v>135</v>
      </c>
      <c r="B152" s="364" t="s">
        <v>407</v>
      </c>
      <c r="C152" s="484">
        <v>274459.75</v>
      </c>
      <c r="D152" s="485">
        <v>12</v>
      </c>
      <c r="E152" s="484">
        <f t="shared" si="133"/>
        <v>3293517</v>
      </c>
      <c r="F152" s="484">
        <v>0</v>
      </c>
      <c r="G152" s="555">
        <v>215481.36</v>
      </c>
      <c r="H152" s="486"/>
      <c r="I152" s="484">
        <f t="shared" si="121"/>
        <v>3078035.64</v>
      </c>
      <c r="J152" s="484">
        <v>200000</v>
      </c>
      <c r="K152" s="484">
        <v>0.2</v>
      </c>
      <c r="L152" s="484">
        <f t="shared" si="122"/>
        <v>615607.12800000003</v>
      </c>
      <c r="M152" s="484">
        <f t="shared" si="123"/>
        <v>815607.12800000003</v>
      </c>
      <c r="N152" s="484">
        <f t="shared" si="124"/>
        <v>1031088.488</v>
      </c>
      <c r="O152" s="484">
        <f t="shared" si="125"/>
        <v>2262428.5120000001</v>
      </c>
      <c r="P152" s="484">
        <f t="shared" si="126"/>
        <v>21000</v>
      </c>
      <c r="Q152" s="484">
        <f t="shared" si="127"/>
        <v>33000</v>
      </c>
      <c r="R152" s="484">
        <f t="shared" si="128"/>
        <v>75000</v>
      </c>
      <c r="S152" s="484">
        <f t="shared" si="129"/>
        <v>95000</v>
      </c>
      <c r="T152" s="484">
        <f t="shared" si="130"/>
        <v>139109.98752000002</v>
      </c>
      <c r="U152" s="484"/>
      <c r="V152" s="484">
        <f t="shared" si="135"/>
        <v>363109.98752000002</v>
      </c>
      <c r="W152" s="488">
        <v>12</v>
      </c>
      <c r="X152" s="484">
        <f t="shared" si="131"/>
        <v>30259.165626666669</v>
      </c>
      <c r="Y152" s="486"/>
      <c r="Z152" s="554">
        <f t="shared" si="132"/>
        <v>30259.165626666669</v>
      </c>
      <c r="AA152" s="489">
        <v>17042.713866666661</v>
      </c>
      <c r="AB152" s="489">
        <f t="shared" si="134"/>
        <v>13216.451760000007</v>
      </c>
      <c r="AC152" s="489"/>
      <c r="AD152" s="489"/>
      <c r="AE152" s="489"/>
    </row>
    <row r="153" spans="1:31" ht="18.75">
      <c r="A153" s="553">
        <v>136</v>
      </c>
      <c r="B153" s="364" t="s">
        <v>426</v>
      </c>
      <c r="C153" s="484">
        <v>274459.75</v>
      </c>
      <c r="D153" s="485">
        <v>12</v>
      </c>
      <c r="E153" s="484">
        <f t="shared" si="133"/>
        <v>3293517</v>
      </c>
      <c r="F153" s="484">
        <v>0</v>
      </c>
      <c r="G153" s="555">
        <v>215481.36</v>
      </c>
      <c r="H153" s="486"/>
      <c r="I153" s="484">
        <f t="shared" si="121"/>
        <v>3078035.64</v>
      </c>
      <c r="J153" s="484">
        <v>200000</v>
      </c>
      <c r="K153" s="484">
        <v>0.2</v>
      </c>
      <c r="L153" s="484">
        <f t="shared" si="122"/>
        <v>615607.12800000003</v>
      </c>
      <c r="M153" s="484">
        <f t="shared" si="123"/>
        <v>815607.12800000003</v>
      </c>
      <c r="N153" s="484">
        <f t="shared" si="124"/>
        <v>1031088.488</v>
      </c>
      <c r="O153" s="484">
        <f t="shared" si="125"/>
        <v>2262428.5120000001</v>
      </c>
      <c r="P153" s="484">
        <f t="shared" si="126"/>
        <v>21000</v>
      </c>
      <c r="Q153" s="484">
        <f t="shared" si="127"/>
        <v>33000</v>
      </c>
      <c r="R153" s="484">
        <f t="shared" si="128"/>
        <v>75000</v>
      </c>
      <c r="S153" s="484">
        <f t="shared" si="129"/>
        <v>95000</v>
      </c>
      <c r="T153" s="484">
        <f t="shared" si="130"/>
        <v>139109.98752000002</v>
      </c>
      <c r="U153" s="484"/>
      <c r="V153" s="484">
        <f t="shared" si="135"/>
        <v>363109.98752000002</v>
      </c>
      <c r="W153" s="488">
        <v>12</v>
      </c>
      <c r="X153" s="484">
        <f t="shared" si="131"/>
        <v>30259.165626666669</v>
      </c>
      <c r="Y153" s="486"/>
      <c r="Z153" s="554">
        <f t="shared" si="132"/>
        <v>30259.165626666669</v>
      </c>
      <c r="AA153" s="489">
        <v>17042.713866666661</v>
      </c>
      <c r="AB153" s="489">
        <f t="shared" si="134"/>
        <v>13216.451760000007</v>
      </c>
      <c r="AC153" s="489"/>
      <c r="AD153" s="489"/>
      <c r="AE153" s="489"/>
    </row>
    <row r="154" spans="1:31" ht="37.5">
      <c r="A154" s="553">
        <v>137</v>
      </c>
      <c r="B154" s="364" t="s">
        <v>441</v>
      </c>
      <c r="C154" s="484">
        <v>274459.75</v>
      </c>
      <c r="D154" s="485">
        <v>12</v>
      </c>
      <c r="E154" s="484">
        <f t="shared" si="133"/>
        <v>3293517</v>
      </c>
      <c r="F154" s="484">
        <v>0</v>
      </c>
      <c r="G154" s="555">
        <v>215481.36</v>
      </c>
      <c r="H154" s="486"/>
      <c r="I154" s="484">
        <f t="shared" si="121"/>
        <v>3078035.64</v>
      </c>
      <c r="J154" s="484">
        <v>200000</v>
      </c>
      <c r="K154" s="484">
        <v>0.2</v>
      </c>
      <c r="L154" s="484">
        <f t="shared" si="122"/>
        <v>615607.12800000003</v>
      </c>
      <c r="M154" s="484">
        <f t="shared" si="123"/>
        <v>815607.12800000003</v>
      </c>
      <c r="N154" s="484">
        <f t="shared" si="124"/>
        <v>1031088.488</v>
      </c>
      <c r="O154" s="484">
        <f t="shared" si="125"/>
        <v>2262428.5120000001</v>
      </c>
      <c r="P154" s="484">
        <f t="shared" si="126"/>
        <v>21000</v>
      </c>
      <c r="Q154" s="484">
        <f t="shared" si="127"/>
        <v>33000</v>
      </c>
      <c r="R154" s="484">
        <f t="shared" si="128"/>
        <v>75000</v>
      </c>
      <c r="S154" s="484">
        <f t="shared" si="129"/>
        <v>95000</v>
      </c>
      <c r="T154" s="484">
        <f t="shared" si="130"/>
        <v>139109.98752000002</v>
      </c>
      <c r="U154" s="484"/>
      <c r="V154" s="484">
        <f t="shared" si="135"/>
        <v>363109.98752000002</v>
      </c>
      <c r="W154" s="488">
        <v>12</v>
      </c>
      <c r="X154" s="484">
        <f t="shared" si="131"/>
        <v>30259.165626666669</v>
      </c>
      <c r="Y154" s="486"/>
      <c r="Z154" s="554">
        <f t="shared" si="132"/>
        <v>30259.165626666669</v>
      </c>
      <c r="AA154" s="489">
        <v>17042.713866666661</v>
      </c>
      <c r="AB154" s="489">
        <f t="shared" si="134"/>
        <v>13216.451760000007</v>
      </c>
      <c r="AC154" s="489"/>
      <c r="AD154" s="489"/>
      <c r="AE154" s="489"/>
    </row>
    <row r="155" spans="1:31" ht="18.75">
      <c r="A155" s="553">
        <v>138</v>
      </c>
      <c r="B155" s="364" t="s">
        <v>445</v>
      </c>
      <c r="C155" s="484">
        <v>280631.91666666663</v>
      </c>
      <c r="D155" s="485">
        <v>12</v>
      </c>
      <c r="E155" s="484">
        <f t="shared" si="133"/>
        <v>3367582.9999999995</v>
      </c>
      <c r="F155" s="484">
        <v>0</v>
      </c>
      <c r="G155" s="555">
        <v>221406.64</v>
      </c>
      <c r="H155" s="486"/>
      <c r="I155" s="484">
        <f t="shared" si="121"/>
        <v>3146176.3599999994</v>
      </c>
      <c r="J155" s="484">
        <v>200000</v>
      </c>
      <c r="K155" s="484">
        <v>0.2</v>
      </c>
      <c r="L155" s="484">
        <f t="shared" si="122"/>
        <v>629235.27199999988</v>
      </c>
      <c r="M155" s="484">
        <f t="shared" si="123"/>
        <v>829235.27199999988</v>
      </c>
      <c r="N155" s="484">
        <f t="shared" si="124"/>
        <v>1050641.912</v>
      </c>
      <c r="O155" s="484">
        <f t="shared" si="125"/>
        <v>2316941.0879999995</v>
      </c>
      <c r="P155" s="484">
        <f t="shared" si="126"/>
        <v>21000</v>
      </c>
      <c r="Q155" s="484">
        <f t="shared" si="127"/>
        <v>33000</v>
      </c>
      <c r="R155" s="484">
        <f t="shared" si="128"/>
        <v>75000</v>
      </c>
      <c r="S155" s="484">
        <f t="shared" si="129"/>
        <v>95000</v>
      </c>
      <c r="T155" s="484">
        <f t="shared" si="130"/>
        <v>150557.6284799999</v>
      </c>
      <c r="U155" s="484"/>
      <c r="V155" s="484">
        <f t="shared" si="135"/>
        <v>374557.6284799999</v>
      </c>
      <c r="W155" s="488">
        <v>12</v>
      </c>
      <c r="X155" s="484">
        <f t="shared" si="131"/>
        <v>31213.135706666657</v>
      </c>
      <c r="Y155" s="486"/>
      <c r="Z155" s="554">
        <f t="shared" si="132"/>
        <v>31213.135706666657</v>
      </c>
      <c r="AA155" s="489">
        <v>17572.88500266667</v>
      </c>
      <c r="AB155" s="489">
        <f t="shared" si="134"/>
        <v>13640.250703999987</v>
      </c>
      <c r="AC155" s="489"/>
      <c r="AD155" s="489"/>
      <c r="AE155" s="489"/>
    </row>
    <row r="156" spans="1:31" ht="18.75">
      <c r="A156" s="553">
        <v>139</v>
      </c>
      <c r="B156" s="364" t="s">
        <v>550</v>
      </c>
      <c r="C156" s="484">
        <v>274459.75</v>
      </c>
      <c r="D156" s="485">
        <v>12</v>
      </c>
      <c r="E156" s="484">
        <f t="shared" si="133"/>
        <v>3293517</v>
      </c>
      <c r="F156" s="484">
        <v>0</v>
      </c>
      <c r="G156" s="555">
        <v>215481.36</v>
      </c>
      <c r="H156" s="486"/>
      <c r="I156" s="484">
        <f t="shared" si="121"/>
        <v>3078035.64</v>
      </c>
      <c r="J156" s="484">
        <v>200000</v>
      </c>
      <c r="K156" s="484">
        <v>0.2</v>
      </c>
      <c r="L156" s="484">
        <f t="shared" si="122"/>
        <v>615607.12800000003</v>
      </c>
      <c r="M156" s="484">
        <f t="shared" si="123"/>
        <v>815607.12800000003</v>
      </c>
      <c r="N156" s="484">
        <f t="shared" si="124"/>
        <v>1031088.488</v>
      </c>
      <c r="O156" s="484">
        <f t="shared" si="125"/>
        <v>2262428.5120000001</v>
      </c>
      <c r="P156" s="484">
        <f t="shared" si="126"/>
        <v>21000</v>
      </c>
      <c r="Q156" s="484">
        <f t="shared" si="127"/>
        <v>33000</v>
      </c>
      <c r="R156" s="484">
        <f t="shared" si="128"/>
        <v>75000</v>
      </c>
      <c r="S156" s="484">
        <f t="shared" si="129"/>
        <v>95000</v>
      </c>
      <c r="T156" s="484">
        <f t="shared" si="130"/>
        <v>139109.98752000002</v>
      </c>
      <c r="U156" s="484"/>
      <c r="V156" s="484">
        <f t="shared" si="135"/>
        <v>363109.98752000002</v>
      </c>
      <c r="W156" s="488">
        <v>12</v>
      </c>
      <c r="X156" s="484">
        <f t="shared" si="131"/>
        <v>30259.165626666669</v>
      </c>
      <c r="Y156" s="486"/>
      <c r="Z156" s="554">
        <f t="shared" si="132"/>
        <v>30259.165626666669</v>
      </c>
      <c r="AA156" s="489">
        <v>17042.713866666661</v>
      </c>
      <c r="AB156" s="489">
        <f t="shared" si="134"/>
        <v>13216.451760000007</v>
      </c>
      <c r="AC156" s="489"/>
      <c r="AD156" s="489"/>
      <c r="AE156" s="489"/>
    </row>
    <row r="157" spans="1:31" ht="18.75">
      <c r="A157" s="553">
        <v>140</v>
      </c>
      <c r="B157" s="432" t="s">
        <v>22</v>
      </c>
      <c r="C157" s="484">
        <v>202598.16666666666</v>
      </c>
      <c r="D157" s="485">
        <v>12</v>
      </c>
      <c r="E157" s="484">
        <f t="shared" si="133"/>
        <v>2431178</v>
      </c>
      <c r="F157" s="484">
        <f>263.19*12</f>
        <v>3158.2799999999997</v>
      </c>
      <c r="G157" s="555">
        <v>161854.24</v>
      </c>
      <c r="H157" s="486"/>
      <c r="I157" s="484">
        <f t="shared" si="121"/>
        <v>2266165.4800000004</v>
      </c>
      <c r="J157" s="484">
        <v>200000</v>
      </c>
      <c r="K157" s="484">
        <v>0.2</v>
      </c>
      <c r="L157" s="484">
        <f t="shared" si="122"/>
        <v>453233.09600000014</v>
      </c>
      <c r="M157" s="484">
        <f t="shared" si="123"/>
        <v>653233.09600000014</v>
      </c>
      <c r="N157" s="484">
        <f t="shared" si="124"/>
        <v>818245.61600000015</v>
      </c>
      <c r="O157" s="484">
        <f t="shared" si="125"/>
        <v>1612932.3839999998</v>
      </c>
      <c r="P157" s="484">
        <f t="shared" si="126"/>
        <v>21000</v>
      </c>
      <c r="Q157" s="484">
        <f t="shared" si="127"/>
        <v>33000</v>
      </c>
      <c r="R157" s="484">
        <f t="shared" si="128"/>
        <v>75000</v>
      </c>
      <c r="S157" s="484">
        <f t="shared" si="129"/>
        <v>95000</v>
      </c>
      <c r="T157" s="484">
        <f t="shared" si="130"/>
        <v>2715.8006399999676</v>
      </c>
      <c r="U157" s="484"/>
      <c r="V157" s="484">
        <f t="shared" si="135"/>
        <v>226715.80063999997</v>
      </c>
      <c r="W157" s="488">
        <v>12</v>
      </c>
      <c r="X157" s="484">
        <f t="shared" si="131"/>
        <v>18892.983386666663</v>
      </c>
      <c r="Y157" s="486"/>
      <c r="Z157" s="554">
        <f t="shared" si="132"/>
        <v>18892.983386666663</v>
      </c>
      <c r="AA157" s="489">
        <v>10739.304799999998</v>
      </c>
      <c r="AB157" s="489">
        <f t="shared" si="134"/>
        <v>8153.6785866666651</v>
      </c>
      <c r="AC157" s="489"/>
      <c r="AD157" s="489"/>
      <c r="AE157" s="489"/>
    </row>
    <row r="158" spans="1:31" ht="18.75">
      <c r="A158" s="553">
        <v>141</v>
      </c>
      <c r="B158" s="432" t="s">
        <v>14</v>
      </c>
      <c r="C158" s="484">
        <v>205598.16666666666</v>
      </c>
      <c r="D158" s="485">
        <v>12</v>
      </c>
      <c r="E158" s="484">
        <f t="shared" si="133"/>
        <v>2467178</v>
      </c>
      <c r="F158" s="484"/>
      <c r="G158" s="555">
        <v>161854.24</v>
      </c>
      <c r="H158" s="486"/>
      <c r="I158" s="484">
        <f t="shared" si="121"/>
        <v>2305323.7599999998</v>
      </c>
      <c r="J158" s="484">
        <v>200000</v>
      </c>
      <c r="K158" s="484">
        <v>0.2</v>
      </c>
      <c r="L158" s="484">
        <f t="shared" si="122"/>
        <v>461064.75199999998</v>
      </c>
      <c r="M158" s="484">
        <f t="shared" si="123"/>
        <v>661064.75199999998</v>
      </c>
      <c r="N158" s="484">
        <f t="shared" si="124"/>
        <v>822918.99199999997</v>
      </c>
      <c r="O158" s="484">
        <f t="shared" si="125"/>
        <v>1644259.0079999999</v>
      </c>
      <c r="P158" s="484">
        <f t="shared" si="126"/>
        <v>21000</v>
      </c>
      <c r="Q158" s="484">
        <f t="shared" si="127"/>
        <v>33000</v>
      </c>
      <c r="R158" s="484">
        <f t="shared" si="128"/>
        <v>75000</v>
      </c>
      <c r="S158" s="484">
        <f t="shared" si="129"/>
        <v>95000</v>
      </c>
      <c r="T158" s="484">
        <f t="shared" si="130"/>
        <v>9294.3916799999824</v>
      </c>
      <c r="U158" s="484"/>
      <c r="V158" s="484">
        <f t="shared" si="135"/>
        <v>233294.39167999997</v>
      </c>
      <c r="W158" s="488">
        <v>12</v>
      </c>
      <c r="X158" s="484">
        <f t="shared" si="131"/>
        <v>19441.199306666666</v>
      </c>
      <c r="Y158" s="486"/>
      <c r="Z158" s="554">
        <f t="shared" si="132"/>
        <v>19441.199306666666</v>
      </c>
      <c r="AA158" s="489">
        <v>11232.457626666665</v>
      </c>
      <c r="AB158" s="489">
        <f t="shared" si="134"/>
        <v>8208.741680000001</v>
      </c>
      <c r="AC158" s="489"/>
      <c r="AD158" s="489"/>
      <c r="AE158" s="489"/>
    </row>
    <row r="159" spans="1:31" ht="15.75" customHeight="1">
      <c r="A159" s="553">
        <v>142</v>
      </c>
      <c r="B159" s="432" t="s">
        <v>23</v>
      </c>
      <c r="C159" s="484">
        <v>202598.16666666666</v>
      </c>
      <c r="D159" s="485">
        <v>12</v>
      </c>
      <c r="E159" s="484">
        <f t="shared" si="133"/>
        <v>2431178</v>
      </c>
      <c r="F159" s="484"/>
      <c r="G159" s="555">
        <v>161854.24</v>
      </c>
      <c r="H159" s="486"/>
      <c r="I159" s="484">
        <f t="shared" si="121"/>
        <v>2269323.7599999998</v>
      </c>
      <c r="J159" s="484">
        <v>200000</v>
      </c>
      <c r="K159" s="484">
        <v>0.2</v>
      </c>
      <c r="L159" s="484">
        <f t="shared" si="122"/>
        <v>453864.75199999998</v>
      </c>
      <c r="M159" s="484">
        <f t="shared" si="123"/>
        <v>653864.75199999998</v>
      </c>
      <c r="N159" s="484">
        <f t="shared" si="124"/>
        <v>815718.99199999997</v>
      </c>
      <c r="O159" s="484">
        <f t="shared" si="125"/>
        <v>1615459.0079999999</v>
      </c>
      <c r="P159" s="484">
        <f t="shared" si="126"/>
        <v>21000</v>
      </c>
      <c r="Q159" s="484">
        <f t="shared" si="127"/>
        <v>33000</v>
      </c>
      <c r="R159" s="484">
        <f t="shared" si="128"/>
        <v>75000</v>
      </c>
      <c r="S159" s="484">
        <f t="shared" si="129"/>
        <v>95000</v>
      </c>
      <c r="T159" s="484">
        <f t="shared" si="130"/>
        <v>3246.391679999982</v>
      </c>
      <c r="U159" s="484"/>
      <c r="V159" s="484">
        <f t="shared" si="135"/>
        <v>227246.39167999997</v>
      </c>
      <c r="W159" s="488">
        <v>12</v>
      </c>
      <c r="X159" s="484">
        <f t="shared" si="131"/>
        <v>18937.199306666666</v>
      </c>
      <c r="Y159" s="486"/>
      <c r="Z159" s="554">
        <f t="shared" si="132"/>
        <v>18937.199306666666</v>
      </c>
      <c r="AA159" s="489">
        <v>10776.457626666665</v>
      </c>
      <c r="AB159" s="489">
        <f t="shared" si="134"/>
        <v>8160.741680000001</v>
      </c>
      <c r="AC159" s="489"/>
      <c r="AD159" s="489"/>
      <c r="AE159" s="489"/>
    </row>
    <row r="160" spans="1:31" ht="18.75">
      <c r="A160" s="553">
        <v>143</v>
      </c>
      <c r="B160" s="432" t="s">
        <v>39</v>
      </c>
      <c r="C160" s="484">
        <v>202598.16666666666</v>
      </c>
      <c r="D160" s="485">
        <v>12</v>
      </c>
      <c r="E160" s="484">
        <f t="shared" si="133"/>
        <v>2431178</v>
      </c>
      <c r="F160" s="484">
        <f>263.19*12</f>
        <v>3158.2799999999997</v>
      </c>
      <c r="G160" s="555">
        <v>161854.24</v>
      </c>
      <c r="H160" s="486"/>
      <c r="I160" s="484">
        <f t="shared" si="121"/>
        <v>2266165.4800000004</v>
      </c>
      <c r="J160" s="484">
        <v>200000</v>
      </c>
      <c r="K160" s="484">
        <v>0.2</v>
      </c>
      <c r="L160" s="484">
        <f t="shared" si="122"/>
        <v>453233.09600000014</v>
      </c>
      <c r="M160" s="484">
        <f t="shared" si="123"/>
        <v>653233.09600000014</v>
      </c>
      <c r="N160" s="484">
        <f t="shared" si="124"/>
        <v>818245.61600000015</v>
      </c>
      <c r="O160" s="484">
        <f t="shared" si="125"/>
        <v>1612932.3839999998</v>
      </c>
      <c r="P160" s="484">
        <f t="shared" si="126"/>
        <v>21000</v>
      </c>
      <c r="Q160" s="484">
        <f t="shared" si="127"/>
        <v>33000</v>
      </c>
      <c r="R160" s="484">
        <f t="shared" si="128"/>
        <v>75000</v>
      </c>
      <c r="S160" s="484">
        <f t="shared" si="129"/>
        <v>95000</v>
      </c>
      <c r="T160" s="484">
        <f t="shared" si="130"/>
        <v>2715.8006399999676</v>
      </c>
      <c r="U160" s="484"/>
      <c r="V160" s="484">
        <f t="shared" si="135"/>
        <v>226715.80063999997</v>
      </c>
      <c r="W160" s="488">
        <v>12</v>
      </c>
      <c r="X160" s="484">
        <f t="shared" si="131"/>
        <v>18892.983386666663</v>
      </c>
      <c r="Y160" s="486"/>
      <c r="Z160" s="554">
        <f t="shared" si="132"/>
        <v>18892.983386666663</v>
      </c>
      <c r="AA160" s="489">
        <v>10739.304799999998</v>
      </c>
      <c r="AB160" s="489">
        <f t="shared" si="134"/>
        <v>8153.6785866666651</v>
      </c>
      <c r="AC160" s="489"/>
      <c r="AD160" s="489"/>
      <c r="AE160" s="489"/>
    </row>
    <row r="161" spans="1:31" ht="18.75">
      <c r="A161" s="553">
        <v>144</v>
      </c>
      <c r="B161" s="432" t="s">
        <v>40</v>
      </c>
      <c r="C161" s="484">
        <v>202598.16666666666</v>
      </c>
      <c r="D161" s="485">
        <v>12</v>
      </c>
      <c r="E161" s="484">
        <f t="shared" si="133"/>
        <v>2431178</v>
      </c>
      <c r="F161" s="484"/>
      <c r="G161" s="555">
        <v>161854.24</v>
      </c>
      <c r="H161" s="486"/>
      <c r="I161" s="484">
        <f t="shared" si="121"/>
        <v>2269323.7599999998</v>
      </c>
      <c r="J161" s="484">
        <v>200000</v>
      </c>
      <c r="K161" s="484">
        <v>0.2</v>
      </c>
      <c r="L161" s="484">
        <f t="shared" si="122"/>
        <v>453864.75199999998</v>
      </c>
      <c r="M161" s="484">
        <f t="shared" si="123"/>
        <v>653864.75199999998</v>
      </c>
      <c r="N161" s="484">
        <f t="shared" si="124"/>
        <v>815718.99199999997</v>
      </c>
      <c r="O161" s="484">
        <f t="shared" si="125"/>
        <v>1615459.0079999999</v>
      </c>
      <c r="P161" s="484">
        <f t="shared" si="126"/>
        <v>21000</v>
      </c>
      <c r="Q161" s="484">
        <f t="shared" si="127"/>
        <v>33000</v>
      </c>
      <c r="R161" s="484">
        <f t="shared" si="128"/>
        <v>75000</v>
      </c>
      <c r="S161" s="484">
        <f t="shared" si="129"/>
        <v>95000</v>
      </c>
      <c r="T161" s="484">
        <f t="shared" si="130"/>
        <v>3246.391679999982</v>
      </c>
      <c r="U161" s="484"/>
      <c r="V161" s="484">
        <f t="shared" si="135"/>
        <v>227246.39167999997</v>
      </c>
      <c r="W161" s="488">
        <v>12</v>
      </c>
      <c r="X161" s="484">
        <f t="shared" si="131"/>
        <v>18937.199306666666</v>
      </c>
      <c r="Y161" s="486"/>
      <c r="Z161" s="554">
        <f t="shared" si="132"/>
        <v>18937.199306666666</v>
      </c>
      <c r="AA161" s="489">
        <v>10776.457626666665</v>
      </c>
      <c r="AB161" s="489">
        <f t="shared" si="134"/>
        <v>8160.741680000001</v>
      </c>
      <c r="AC161" s="489"/>
      <c r="AD161" s="489"/>
      <c r="AE161" s="489"/>
    </row>
    <row r="162" spans="1:31" ht="18.75">
      <c r="A162" s="553">
        <v>145</v>
      </c>
      <c r="B162" s="432" t="s">
        <v>127</v>
      </c>
      <c r="C162" s="484">
        <v>200336.83333333334</v>
      </c>
      <c r="D162" s="485">
        <v>12</v>
      </c>
      <c r="E162" s="484">
        <f t="shared" si="133"/>
        <v>2404042</v>
      </c>
      <c r="F162" s="484"/>
      <c r="G162" s="555">
        <v>156803.36000000002</v>
      </c>
      <c r="H162" s="486"/>
      <c r="I162" s="484">
        <f t="shared" si="121"/>
        <v>2247238.64</v>
      </c>
      <c r="J162" s="484">
        <v>200000</v>
      </c>
      <c r="K162" s="484">
        <v>0.2</v>
      </c>
      <c r="L162" s="484">
        <f t="shared" si="122"/>
        <v>449447.72800000006</v>
      </c>
      <c r="M162" s="484">
        <f t="shared" si="123"/>
        <v>649447.72800000012</v>
      </c>
      <c r="N162" s="484">
        <f t="shared" si="124"/>
        <v>806251.08800000011</v>
      </c>
      <c r="O162" s="484">
        <f t="shared" si="125"/>
        <v>1597790.912</v>
      </c>
      <c r="P162" s="484">
        <f t="shared" si="126"/>
        <v>21000</v>
      </c>
      <c r="Q162" s="484">
        <f t="shared" si="127"/>
        <v>33000</v>
      </c>
      <c r="R162" s="484">
        <f t="shared" si="128"/>
        <v>75000</v>
      </c>
      <c r="S162" s="484">
        <f t="shared" si="129"/>
        <v>94580.273280000009</v>
      </c>
      <c r="T162" s="484">
        <f t="shared" si="130"/>
        <v>0</v>
      </c>
      <c r="U162" s="484"/>
      <c r="V162" s="484">
        <f t="shared" si="135"/>
        <v>223580.27328000002</v>
      </c>
      <c r="W162" s="488">
        <v>12</v>
      </c>
      <c r="X162" s="484">
        <f t="shared" si="131"/>
        <v>18631.689440000002</v>
      </c>
      <c r="Y162" s="486"/>
      <c r="Z162" s="554">
        <f t="shared" si="132"/>
        <v>18631.689440000002</v>
      </c>
      <c r="AA162" s="489">
        <v>11232.457626666665</v>
      </c>
      <c r="AB162" s="489">
        <f t="shared" si="134"/>
        <v>7399.2318133333374</v>
      </c>
      <c r="AC162" s="489"/>
      <c r="AD162" s="489"/>
      <c r="AE162" s="489"/>
    </row>
    <row r="163" spans="1:31" ht="18.75">
      <c r="A163" s="553">
        <v>146</v>
      </c>
      <c r="B163" s="432" t="s">
        <v>128</v>
      </c>
      <c r="C163" s="484">
        <v>197336.83333333334</v>
      </c>
      <c r="D163" s="485">
        <v>12</v>
      </c>
      <c r="E163" s="484">
        <f t="shared" si="133"/>
        <v>2368042</v>
      </c>
      <c r="F163" s="484"/>
      <c r="G163" s="555">
        <v>156803.36000000002</v>
      </c>
      <c r="H163" s="486"/>
      <c r="I163" s="484">
        <f t="shared" si="121"/>
        <v>2211238.64</v>
      </c>
      <c r="J163" s="484">
        <v>200000</v>
      </c>
      <c r="K163" s="484">
        <v>0.2</v>
      </c>
      <c r="L163" s="484">
        <f t="shared" si="122"/>
        <v>442247.72800000006</v>
      </c>
      <c r="M163" s="484">
        <f t="shared" si="123"/>
        <v>642247.72800000012</v>
      </c>
      <c r="N163" s="484">
        <f t="shared" si="124"/>
        <v>799051.08800000011</v>
      </c>
      <c r="O163" s="484">
        <f t="shared" si="125"/>
        <v>1568990.912</v>
      </c>
      <c r="P163" s="484">
        <f t="shared" si="126"/>
        <v>21000</v>
      </c>
      <c r="Q163" s="484">
        <f t="shared" si="127"/>
        <v>33000</v>
      </c>
      <c r="R163" s="484">
        <f t="shared" si="128"/>
        <v>75000</v>
      </c>
      <c r="S163" s="484">
        <f t="shared" si="129"/>
        <v>89108.273280000009</v>
      </c>
      <c r="T163" s="484">
        <f t="shared" si="130"/>
        <v>0</v>
      </c>
      <c r="U163" s="484"/>
      <c r="V163" s="484">
        <f t="shared" si="135"/>
        <v>218108.27328000002</v>
      </c>
      <c r="W163" s="488">
        <v>12</v>
      </c>
      <c r="X163" s="484">
        <f t="shared" si="131"/>
        <v>18175.689440000002</v>
      </c>
      <c r="Y163" s="486"/>
      <c r="Z163" s="554">
        <f t="shared" si="132"/>
        <v>18175.689440000002</v>
      </c>
      <c r="AA163" s="489">
        <v>10776.457626666665</v>
      </c>
      <c r="AB163" s="489">
        <f t="shared" si="134"/>
        <v>7399.2318133333374</v>
      </c>
      <c r="AC163" s="489"/>
      <c r="AD163" s="489"/>
      <c r="AE163" s="489"/>
    </row>
    <row r="164" spans="1:31" ht="18.75">
      <c r="A164" s="553">
        <v>147</v>
      </c>
      <c r="B164" s="365" t="s">
        <v>136</v>
      </c>
      <c r="C164" s="484">
        <v>200336.83333333334</v>
      </c>
      <c r="D164" s="485">
        <v>12</v>
      </c>
      <c r="E164" s="484">
        <f t="shared" si="133"/>
        <v>2404042</v>
      </c>
      <c r="F164" s="484"/>
      <c r="G164" s="555">
        <v>156803.36000000002</v>
      </c>
      <c r="H164" s="486"/>
      <c r="I164" s="484">
        <f t="shared" si="121"/>
        <v>2247238.64</v>
      </c>
      <c r="J164" s="484">
        <v>200000</v>
      </c>
      <c r="K164" s="484">
        <v>0.2</v>
      </c>
      <c r="L164" s="484">
        <f t="shared" si="122"/>
        <v>449447.72800000006</v>
      </c>
      <c r="M164" s="484">
        <f t="shared" si="123"/>
        <v>649447.72800000012</v>
      </c>
      <c r="N164" s="484">
        <f t="shared" si="124"/>
        <v>806251.08800000011</v>
      </c>
      <c r="O164" s="484">
        <f t="shared" si="125"/>
        <v>1597790.912</v>
      </c>
      <c r="P164" s="484">
        <f t="shared" si="126"/>
        <v>21000</v>
      </c>
      <c r="Q164" s="484">
        <f t="shared" si="127"/>
        <v>33000</v>
      </c>
      <c r="R164" s="484">
        <f t="shared" si="128"/>
        <v>75000</v>
      </c>
      <c r="S164" s="484">
        <f t="shared" si="129"/>
        <v>94580.273280000009</v>
      </c>
      <c r="T164" s="484">
        <f t="shared" si="130"/>
        <v>0</v>
      </c>
      <c r="U164" s="484"/>
      <c r="V164" s="484">
        <f t="shared" si="135"/>
        <v>223580.27328000002</v>
      </c>
      <c r="W164" s="488">
        <v>12</v>
      </c>
      <c r="X164" s="484">
        <f t="shared" si="131"/>
        <v>18631.689440000002</v>
      </c>
      <c r="Y164" s="486"/>
      <c r="Z164" s="554">
        <f t="shared" si="132"/>
        <v>18631.689440000002</v>
      </c>
      <c r="AA164" s="489">
        <v>11232.457626666665</v>
      </c>
      <c r="AB164" s="489">
        <f t="shared" si="134"/>
        <v>7399.2318133333374</v>
      </c>
      <c r="AC164" s="489"/>
      <c r="AD164" s="489"/>
      <c r="AE164" s="489"/>
    </row>
    <row r="165" spans="1:31" ht="18.75">
      <c r="A165" s="553">
        <v>148</v>
      </c>
      <c r="B165" s="432" t="s">
        <v>140</v>
      </c>
      <c r="C165" s="484">
        <v>197336.83333333334</v>
      </c>
      <c r="D165" s="485">
        <v>12</v>
      </c>
      <c r="E165" s="484">
        <f t="shared" si="133"/>
        <v>2368042</v>
      </c>
      <c r="F165" s="484"/>
      <c r="G165" s="555">
        <v>156803.36000000002</v>
      </c>
      <c r="H165" s="486"/>
      <c r="I165" s="484">
        <f t="shared" si="121"/>
        <v>2211238.64</v>
      </c>
      <c r="J165" s="484">
        <v>200000</v>
      </c>
      <c r="K165" s="484">
        <v>0.2</v>
      </c>
      <c r="L165" s="484">
        <f t="shared" si="122"/>
        <v>442247.72800000006</v>
      </c>
      <c r="M165" s="484">
        <f t="shared" si="123"/>
        <v>642247.72800000012</v>
      </c>
      <c r="N165" s="484">
        <f t="shared" si="124"/>
        <v>799051.08800000011</v>
      </c>
      <c r="O165" s="484">
        <f t="shared" si="125"/>
        <v>1568990.912</v>
      </c>
      <c r="P165" s="484">
        <f t="shared" si="126"/>
        <v>21000</v>
      </c>
      <c r="Q165" s="484">
        <f t="shared" si="127"/>
        <v>33000</v>
      </c>
      <c r="R165" s="484">
        <f t="shared" si="128"/>
        <v>75000</v>
      </c>
      <c r="S165" s="484">
        <f t="shared" si="129"/>
        <v>89108.273280000009</v>
      </c>
      <c r="T165" s="484">
        <f t="shared" si="130"/>
        <v>0</v>
      </c>
      <c r="U165" s="484"/>
      <c r="V165" s="484">
        <f t="shared" si="135"/>
        <v>218108.27328000002</v>
      </c>
      <c r="W165" s="488">
        <v>12</v>
      </c>
      <c r="X165" s="484">
        <f t="shared" si="131"/>
        <v>18175.689440000002</v>
      </c>
      <c r="Y165" s="486"/>
      <c r="Z165" s="554">
        <f t="shared" si="132"/>
        <v>18175.689440000002</v>
      </c>
      <c r="AA165" s="489">
        <v>10776.457626666665</v>
      </c>
      <c r="AB165" s="489">
        <f t="shared" si="134"/>
        <v>7399.2318133333374</v>
      </c>
      <c r="AC165" s="489"/>
      <c r="AD165" s="489"/>
      <c r="AE165" s="489"/>
    </row>
    <row r="166" spans="1:31" ht="18.75">
      <c r="A166" s="553">
        <v>149</v>
      </c>
      <c r="B166" s="364" t="s">
        <v>152</v>
      </c>
      <c r="C166" s="484">
        <v>197336.83333333334</v>
      </c>
      <c r="D166" s="485">
        <v>12</v>
      </c>
      <c r="E166" s="484">
        <f t="shared" si="133"/>
        <v>2368042</v>
      </c>
      <c r="F166" s="484"/>
      <c r="G166" s="555">
        <v>156803.36000000002</v>
      </c>
      <c r="H166" s="486"/>
      <c r="I166" s="484">
        <f t="shared" si="121"/>
        <v>2211238.64</v>
      </c>
      <c r="J166" s="484">
        <v>200000</v>
      </c>
      <c r="K166" s="484">
        <v>0.2</v>
      </c>
      <c r="L166" s="484">
        <f t="shared" si="122"/>
        <v>442247.72800000006</v>
      </c>
      <c r="M166" s="484">
        <f t="shared" si="123"/>
        <v>642247.72800000012</v>
      </c>
      <c r="N166" s="484">
        <f t="shared" si="124"/>
        <v>799051.08800000011</v>
      </c>
      <c r="O166" s="484">
        <f t="shared" si="125"/>
        <v>1568990.912</v>
      </c>
      <c r="P166" s="484">
        <f t="shared" si="126"/>
        <v>21000</v>
      </c>
      <c r="Q166" s="484">
        <f t="shared" si="127"/>
        <v>33000</v>
      </c>
      <c r="R166" s="484">
        <f t="shared" si="128"/>
        <v>75000</v>
      </c>
      <c r="S166" s="484">
        <f t="shared" si="129"/>
        <v>89108.273280000009</v>
      </c>
      <c r="T166" s="484">
        <f t="shared" si="130"/>
        <v>0</v>
      </c>
      <c r="U166" s="484"/>
      <c r="V166" s="484">
        <f t="shared" si="135"/>
        <v>218108.27328000002</v>
      </c>
      <c r="W166" s="488">
        <v>12</v>
      </c>
      <c r="X166" s="484">
        <f t="shared" si="131"/>
        <v>18175.689440000002</v>
      </c>
      <c r="Y166" s="486"/>
      <c r="Z166" s="554">
        <f t="shared" si="132"/>
        <v>18175.689440000002</v>
      </c>
      <c r="AA166" s="489">
        <v>10776.457626666665</v>
      </c>
      <c r="AB166" s="489">
        <f t="shared" si="134"/>
        <v>7399.2318133333374</v>
      </c>
      <c r="AC166" s="489"/>
      <c r="AD166" s="489"/>
      <c r="AE166" s="489"/>
    </row>
    <row r="167" spans="1:31" ht="18.75">
      <c r="A167" s="553">
        <v>150</v>
      </c>
      <c r="B167" s="364" t="s">
        <v>132</v>
      </c>
      <c r="C167" s="484">
        <v>200336.83333333334</v>
      </c>
      <c r="D167" s="485">
        <v>12</v>
      </c>
      <c r="E167" s="484">
        <f t="shared" si="133"/>
        <v>2404042</v>
      </c>
      <c r="F167" s="484"/>
      <c r="G167" s="555">
        <v>156803.36000000002</v>
      </c>
      <c r="H167" s="486"/>
      <c r="I167" s="484">
        <f t="shared" si="121"/>
        <v>2247238.64</v>
      </c>
      <c r="J167" s="484">
        <v>200000</v>
      </c>
      <c r="K167" s="484">
        <v>0.2</v>
      </c>
      <c r="L167" s="484">
        <f t="shared" si="122"/>
        <v>449447.72800000006</v>
      </c>
      <c r="M167" s="484">
        <f t="shared" si="123"/>
        <v>649447.72800000012</v>
      </c>
      <c r="N167" s="484">
        <f t="shared" si="124"/>
        <v>806251.08800000011</v>
      </c>
      <c r="O167" s="484">
        <f t="shared" si="125"/>
        <v>1597790.912</v>
      </c>
      <c r="P167" s="484">
        <f t="shared" si="126"/>
        <v>21000</v>
      </c>
      <c r="Q167" s="484">
        <f t="shared" si="127"/>
        <v>33000</v>
      </c>
      <c r="R167" s="484">
        <f t="shared" si="128"/>
        <v>75000</v>
      </c>
      <c r="S167" s="484">
        <f t="shared" si="129"/>
        <v>94580.273280000009</v>
      </c>
      <c r="T167" s="484">
        <f t="shared" si="130"/>
        <v>0</v>
      </c>
      <c r="U167" s="484"/>
      <c r="V167" s="484">
        <f t="shared" si="135"/>
        <v>223580.27328000002</v>
      </c>
      <c r="W167" s="488">
        <v>12</v>
      </c>
      <c r="X167" s="484">
        <f t="shared" si="131"/>
        <v>18631.689440000002</v>
      </c>
      <c r="Y167" s="486"/>
      <c r="Z167" s="554">
        <f t="shared" si="132"/>
        <v>18631.689440000002</v>
      </c>
      <c r="AA167" s="489">
        <v>11232.457626666665</v>
      </c>
      <c r="AB167" s="489">
        <f t="shared" si="134"/>
        <v>7399.2318133333374</v>
      </c>
      <c r="AC167" s="489"/>
      <c r="AD167" s="489"/>
      <c r="AE167" s="489"/>
    </row>
    <row r="168" spans="1:31" ht="37.5">
      <c r="A168" s="553">
        <v>151</v>
      </c>
      <c r="B168" s="432" t="s">
        <v>231</v>
      </c>
      <c r="C168" s="484">
        <v>189814.16666666666</v>
      </c>
      <c r="D168" s="485">
        <v>12</v>
      </c>
      <c r="E168" s="484">
        <f t="shared" si="133"/>
        <v>2277770</v>
      </c>
      <c r="F168" s="484"/>
      <c r="G168" s="555">
        <v>146701.6</v>
      </c>
      <c r="H168" s="486"/>
      <c r="I168" s="484">
        <f t="shared" si="121"/>
        <v>2131068.4</v>
      </c>
      <c r="J168" s="484">
        <v>200000</v>
      </c>
      <c r="K168" s="484">
        <v>0.2</v>
      </c>
      <c r="L168" s="484">
        <f t="shared" si="122"/>
        <v>426213.68</v>
      </c>
      <c r="M168" s="484">
        <f t="shared" si="123"/>
        <v>626213.67999999993</v>
      </c>
      <c r="N168" s="484">
        <f t="shared" si="124"/>
        <v>772915.27999999991</v>
      </c>
      <c r="O168" s="484">
        <f t="shared" si="125"/>
        <v>1504854.7200000002</v>
      </c>
      <c r="P168" s="484">
        <f t="shared" si="126"/>
        <v>21000</v>
      </c>
      <c r="Q168" s="484">
        <f t="shared" si="127"/>
        <v>33000</v>
      </c>
      <c r="R168" s="484">
        <f t="shared" si="128"/>
        <v>75000</v>
      </c>
      <c r="S168" s="484">
        <f t="shared" si="129"/>
        <v>76922.396800000046</v>
      </c>
      <c r="T168" s="484">
        <f t="shared" si="130"/>
        <v>0</v>
      </c>
      <c r="U168" s="484"/>
      <c r="V168" s="484">
        <f t="shared" si="135"/>
        <v>205922.39680000005</v>
      </c>
      <c r="W168" s="488">
        <v>12</v>
      </c>
      <c r="X168" s="484">
        <f t="shared" si="131"/>
        <v>17160.199733333338</v>
      </c>
      <c r="Y168" s="486"/>
      <c r="Z168" s="554">
        <f t="shared" si="132"/>
        <v>17160.199733333338</v>
      </c>
      <c r="AA168" s="489">
        <v>9152.5997900000002</v>
      </c>
      <c r="AB168" s="489">
        <f t="shared" si="134"/>
        <v>8007.5999433333382</v>
      </c>
      <c r="AC168" s="489"/>
      <c r="AD168" s="489"/>
      <c r="AE168" s="489"/>
    </row>
    <row r="169" spans="1:31" ht="18.75">
      <c r="A169" s="553">
        <v>152</v>
      </c>
      <c r="B169" s="432" t="s">
        <v>246</v>
      </c>
      <c r="C169" s="484">
        <v>189814.16666666666</v>
      </c>
      <c r="D169" s="485">
        <v>12</v>
      </c>
      <c r="E169" s="484">
        <f t="shared" si="133"/>
        <v>2277770</v>
      </c>
      <c r="F169" s="484"/>
      <c r="G169" s="555">
        <v>146701.6</v>
      </c>
      <c r="H169" s="486"/>
      <c r="I169" s="484">
        <f t="shared" si="121"/>
        <v>2131068.4</v>
      </c>
      <c r="J169" s="484">
        <v>200000</v>
      </c>
      <c r="K169" s="484">
        <v>0.2</v>
      </c>
      <c r="L169" s="484">
        <f t="shared" si="122"/>
        <v>426213.68</v>
      </c>
      <c r="M169" s="484">
        <f t="shared" si="123"/>
        <v>626213.67999999993</v>
      </c>
      <c r="N169" s="484">
        <f t="shared" si="124"/>
        <v>772915.27999999991</v>
      </c>
      <c r="O169" s="484">
        <f t="shared" si="125"/>
        <v>1504854.7200000002</v>
      </c>
      <c r="P169" s="484">
        <f t="shared" si="126"/>
        <v>21000</v>
      </c>
      <c r="Q169" s="484">
        <f t="shared" si="127"/>
        <v>33000</v>
      </c>
      <c r="R169" s="484">
        <f t="shared" si="128"/>
        <v>75000</v>
      </c>
      <c r="S169" s="484">
        <f t="shared" si="129"/>
        <v>76922.396800000046</v>
      </c>
      <c r="T169" s="484">
        <f t="shared" si="130"/>
        <v>0</v>
      </c>
      <c r="U169" s="484"/>
      <c r="V169" s="484">
        <f t="shared" si="135"/>
        <v>205922.39680000005</v>
      </c>
      <c r="W169" s="488">
        <v>12</v>
      </c>
      <c r="X169" s="484">
        <f t="shared" si="131"/>
        <v>17160.199733333338</v>
      </c>
      <c r="Y169" s="486"/>
      <c r="Z169" s="554">
        <f t="shared" si="132"/>
        <v>17160.199733333338</v>
      </c>
      <c r="AA169" s="489">
        <v>9152.5997900000002</v>
      </c>
      <c r="AB169" s="489">
        <f t="shared" si="134"/>
        <v>8007.5999433333382</v>
      </c>
      <c r="AC169" s="489"/>
      <c r="AD169" s="489"/>
      <c r="AE169" s="489"/>
    </row>
    <row r="170" spans="1:31" ht="18.75">
      <c r="A170" s="553">
        <v>153</v>
      </c>
      <c r="B170" s="364" t="s">
        <v>166</v>
      </c>
      <c r="C170" s="484">
        <v>195075.5</v>
      </c>
      <c r="D170" s="485">
        <v>12</v>
      </c>
      <c r="E170" s="484">
        <f t="shared" si="133"/>
        <v>2340906</v>
      </c>
      <c r="F170" s="484"/>
      <c r="G170" s="555">
        <v>151752.48000000001</v>
      </c>
      <c r="H170" s="486"/>
      <c r="I170" s="484">
        <f t="shared" si="121"/>
        <v>2189153.52</v>
      </c>
      <c r="J170" s="484">
        <v>200000</v>
      </c>
      <c r="K170" s="484">
        <v>0.2</v>
      </c>
      <c r="L170" s="484">
        <f t="shared" si="122"/>
        <v>437830.70400000003</v>
      </c>
      <c r="M170" s="484">
        <f t="shared" si="123"/>
        <v>637830.70400000003</v>
      </c>
      <c r="N170" s="484">
        <f t="shared" si="124"/>
        <v>789583.18400000001</v>
      </c>
      <c r="O170" s="484">
        <f t="shared" si="125"/>
        <v>1551322.8160000001</v>
      </c>
      <c r="P170" s="484">
        <f t="shared" si="126"/>
        <v>21000</v>
      </c>
      <c r="Q170" s="484">
        <f t="shared" si="127"/>
        <v>33000</v>
      </c>
      <c r="R170" s="484">
        <f t="shared" si="128"/>
        <v>75000</v>
      </c>
      <c r="S170" s="484">
        <f t="shared" si="129"/>
        <v>85751.33504000002</v>
      </c>
      <c r="T170" s="484">
        <f t="shared" si="130"/>
        <v>0</v>
      </c>
      <c r="U170" s="484"/>
      <c r="V170" s="484">
        <f t="shared" si="135"/>
        <v>214751.33504000003</v>
      </c>
      <c r="W170" s="488">
        <v>12</v>
      </c>
      <c r="X170" s="484">
        <f t="shared" si="131"/>
        <v>17895.944586666668</v>
      </c>
      <c r="Y170" s="486"/>
      <c r="Z170" s="554">
        <f t="shared" si="132"/>
        <v>17895.944586666668</v>
      </c>
      <c r="AA170" s="489">
        <v>9504.2041399999998</v>
      </c>
      <c r="AB170" s="489">
        <f t="shared" si="134"/>
        <v>8391.7404466666685</v>
      </c>
      <c r="AC170" s="489"/>
      <c r="AD170" s="489"/>
      <c r="AE170" s="489"/>
    </row>
    <row r="171" spans="1:31" ht="29.25" customHeight="1">
      <c r="A171" s="553">
        <v>154</v>
      </c>
      <c r="B171" s="432" t="s">
        <v>204</v>
      </c>
      <c r="C171" s="484">
        <v>121145.75</v>
      </c>
      <c r="D171" s="485">
        <v>12</v>
      </c>
      <c r="E171" s="484">
        <f t="shared" si="133"/>
        <v>1453749</v>
      </c>
      <c r="F171" s="484"/>
      <c r="G171" s="555">
        <v>90379.92</v>
      </c>
      <c r="H171" s="486"/>
      <c r="I171" s="484">
        <f t="shared" si="121"/>
        <v>1363369.08</v>
      </c>
      <c r="J171" s="484">
        <v>200000</v>
      </c>
      <c r="K171" s="484">
        <v>0.2</v>
      </c>
      <c r="L171" s="484">
        <f>I171*K171</f>
        <v>272673.81600000005</v>
      </c>
      <c r="M171" s="484">
        <f>J171+L171</f>
        <v>472673.81600000005</v>
      </c>
      <c r="N171" s="484">
        <f t="shared" si="124"/>
        <v>563053.73600000003</v>
      </c>
      <c r="O171" s="484">
        <f t="shared" si="125"/>
        <v>890695.26399999997</v>
      </c>
      <c r="P171" s="484">
        <f>IF(O171&lt;300000,0.07*O171,21000)</f>
        <v>21000</v>
      </c>
      <c r="Q171" s="484">
        <f>IF((O171-300000)&lt;0,0,IF((O171-300000)&lt;300000,0.11*(O171-300000),33000))</f>
        <v>33000</v>
      </c>
      <c r="R171" s="484">
        <f t="shared" si="128"/>
        <v>43604.289599999996</v>
      </c>
      <c r="S171" s="484">
        <f>IF((O171-1100000)&lt;0,0,IF((O171-1100000)&lt;500000,0.19*(O171-1100000),95000))</f>
        <v>0</v>
      </c>
      <c r="T171" s="484">
        <f>IF((O171-1600000)&lt;0,0,IF((O171-1600000)&lt;1600000,0.21*(O171-1600000),336000))</f>
        <v>0</v>
      </c>
      <c r="U171" s="484"/>
      <c r="V171" s="484">
        <f t="shared" si="135"/>
        <v>97604.289599999989</v>
      </c>
      <c r="W171" s="488">
        <v>12</v>
      </c>
      <c r="X171" s="484">
        <f>V171/W171</f>
        <v>8133.6907999999994</v>
      </c>
      <c r="Y171" s="486"/>
      <c r="Z171" s="554">
        <f>X171</f>
        <v>8133.6907999999994</v>
      </c>
      <c r="AA171" s="489">
        <v>4365.3307546666683</v>
      </c>
      <c r="AB171" s="489">
        <f t="shared" si="134"/>
        <v>3768.3600453333311</v>
      </c>
      <c r="AC171" s="489"/>
      <c r="AD171" s="489"/>
      <c r="AE171" s="489"/>
    </row>
    <row r="172" spans="1:31" ht="18.75">
      <c r="A172" s="553">
        <v>155</v>
      </c>
      <c r="B172" s="432" t="s">
        <v>209</v>
      </c>
      <c r="C172" s="484">
        <v>118598</v>
      </c>
      <c r="D172" s="485">
        <v>12</v>
      </c>
      <c r="E172" s="484">
        <f t="shared" si="133"/>
        <v>1423176</v>
      </c>
      <c r="F172" s="484"/>
      <c r="G172" s="555">
        <v>87934.080000000002</v>
      </c>
      <c r="H172" s="486"/>
      <c r="I172" s="484">
        <f t="shared" si="121"/>
        <v>1335241.92</v>
      </c>
      <c r="J172" s="484">
        <v>200000</v>
      </c>
      <c r="K172" s="484">
        <v>0.2</v>
      </c>
      <c r="L172" s="484">
        <f>I172*K172</f>
        <v>267048.38400000002</v>
      </c>
      <c r="M172" s="484">
        <f>J172+L172</f>
        <v>467048.38400000002</v>
      </c>
      <c r="N172" s="484">
        <f t="shared" si="124"/>
        <v>554982.46400000004</v>
      </c>
      <c r="O172" s="484">
        <f t="shared" si="125"/>
        <v>868193.53599999996</v>
      </c>
      <c r="P172" s="484">
        <f>IF(O172&lt;300000,0.07*O172,21000)</f>
        <v>21000</v>
      </c>
      <c r="Q172" s="484">
        <f>IF((O172-300000)&lt;0,0,IF((O172-300000)&lt;300000,0.11*(O172-300000),33000))</f>
        <v>33000</v>
      </c>
      <c r="R172" s="484">
        <f t="shared" si="128"/>
        <v>40229.030399999996</v>
      </c>
      <c r="S172" s="484">
        <f>IF((O172-1100000)&lt;0,0,IF((O172-1100000)&lt;500000,0.19*(O172-1100000),95000))</f>
        <v>0</v>
      </c>
      <c r="T172" s="484">
        <f>IF((O172-1600000)&lt;0,0,IF((O172-1600000)&lt;1600000,0.21*(O172-1600000),336000))</f>
        <v>0</v>
      </c>
      <c r="U172" s="484"/>
      <c r="V172" s="484">
        <f t="shared" si="135"/>
        <v>94229.030399999989</v>
      </c>
      <c r="W172" s="488">
        <v>12</v>
      </c>
      <c r="X172" s="484">
        <f>V172/W172</f>
        <v>7852.4191999999994</v>
      </c>
      <c r="Y172" s="486"/>
      <c r="Z172" s="554">
        <f>X172</f>
        <v>7852.4191999999994</v>
      </c>
      <c r="AA172" s="489">
        <v>4227.5237226666677</v>
      </c>
      <c r="AB172" s="489">
        <f t="shared" si="134"/>
        <v>3624.8954773333317</v>
      </c>
      <c r="AC172" s="489"/>
      <c r="AD172" s="489"/>
      <c r="AE172" s="489"/>
    </row>
    <row r="173" spans="1:31" ht="18.75">
      <c r="A173" s="553">
        <v>156</v>
      </c>
      <c r="B173" s="432" t="s">
        <v>218</v>
      </c>
      <c r="C173" s="484">
        <v>115598</v>
      </c>
      <c r="D173" s="485">
        <v>12</v>
      </c>
      <c r="E173" s="484">
        <f t="shared" si="133"/>
        <v>1387176</v>
      </c>
      <c r="F173" s="484"/>
      <c r="G173" s="555">
        <v>87934.080000000002</v>
      </c>
      <c r="H173" s="486"/>
      <c r="I173" s="484">
        <f t="shared" si="121"/>
        <v>1299241.92</v>
      </c>
      <c r="J173" s="484">
        <v>200000</v>
      </c>
      <c r="K173" s="484">
        <v>0.2</v>
      </c>
      <c r="L173" s="484">
        <f t="shared" si="122"/>
        <v>259848.38399999999</v>
      </c>
      <c r="M173" s="484">
        <f t="shared" si="123"/>
        <v>459848.38399999996</v>
      </c>
      <c r="N173" s="484">
        <f t="shared" si="124"/>
        <v>547782.46399999992</v>
      </c>
      <c r="O173" s="484">
        <f t="shared" si="125"/>
        <v>839393.53600000008</v>
      </c>
      <c r="P173" s="484">
        <f t="shared" si="126"/>
        <v>21000</v>
      </c>
      <c r="Q173" s="484">
        <f t="shared" si="127"/>
        <v>33000</v>
      </c>
      <c r="R173" s="484">
        <f t="shared" si="128"/>
        <v>35909.030400000011</v>
      </c>
      <c r="S173" s="484">
        <f t="shared" si="129"/>
        <v>0</v>
      </c>
      <c r="T173" s="484">
        <f t="shared" si="130"/>
        <v>0</v>
      </c>
      <c r="U173" s="484"/>
      <c r="V173" s="484">
        <f t="shared" si="135"/>
        <v>89909.030400000018</v>
      </c>
      <c r="W173" s="488">
        <v>12</v>
      </c>
      <c r="X173" s="484">
        <f t="shared" si="131"/>
        <v>7492.4192000000012</v>
      </c>
      <c r="Y173" s="486"/>
      <c r="Z173" s="554">
        <f t="shared" si="132"/>
        <v>7492.4192000000012</v>
      </c>
      <c r="AA173" s="489">
        <v>3963.5237226666673</v>
      </c>
      <c r="AB173" s="489">
        <f t="shared" si="134"/>
        <v>3528.8954773333339</v>
      </c>
      <c r="AC173" s="489"/>
      <c r="AD173" s="489"/>
      <c r="AE173" s="489"/>
    </row>
    <row r="174" spans="1:31" ht="18.75">
      <c r="A174" s="553">
        <v>157</v>
      </c>
      <c r="B174" s="432" t="s">
        <v>219</v>
      </c>
      <c r="C174" s="484">
        <v>118598</v>
      </c>
      <c r="D174" s="485">
        <v>12</v>
      </c>
      <c r="E174" s="484">
        <f t="shared" si="133"/>
        <v>1423176</v>
      </c>
      <c r="F174" s="484"/>
      <c r="G174" s="555">
        <v>87934.080000000002</v>
      </c>
      <c r="H174" s="486"/>
      <c r="I174" s="484">
        <f t="shared" si="121"/>
        <v>1335241.92</v>
      </c>
      <c r="J174" s="484">
        <v>200000</v>
      </c>
      <c r="K174" s="484">
        <v>0.2</v>
      </c>
      <c r="L174" s="484">
        <f t="shared" si="122"/>
        <v>267048.38400000002</v>
      </c>
      <c r="M174" s="484">
        <f t="shared" si="123"/>
        <v>467048.38400000002</v>
      </c>
      <c r="N174" s="484">
        <f t="shared" si="124"/>
        <v>554982.46400000004</v>
      </c>
      <c r="O174" s="484">
        <f t="shared" si="125"/>
        <v>868193.53599999996</v>
      </c>
      <c r="P174" s="484">
        <f t="shared" si="126"/>
        <v>21000</v>
      </c>
      <c r="Q174" s="484">
        <f t="shared" si="127"/>
        <v>33000</v>
      </c>
      <c r="R174" s="484">
        <f t="shared" si="128"/>
        <v>40229.030399999996</v>
      </c>
      <c r="S174" s="484">
        <f t="shared" si="129"/>
        <v>0</v>
      </c>
      <c r="T174" s="484">
        <f t="shared" si="130"/>
        <v>0</v>
      </c>
      <c r="U174" s="484"/>
      <c r="V174" s="484">
        <f t="shared" si="135"/>
        <v>94229.030399999989</v>
      </c>
      <c r="W174" s="488">
        <v>12</v>
      </c>
      <c r="X174" s="484">
        <f t="shared" si="131"/>
        <v>7852.4191999999994</v>
      </c>
      <c r="Y174" s="486"/>
      <c r="Z174" s="554">
        <f t="shared" si="132"/>
        <v>7852.4191999999994</v>
      </c>
      <c r="AA174" s="489">
        <v>4227.5237226666677</v>
      </c>
      <c r="AB174" s="489">
        <f t="shared" si="134"/>
        <v>3624.8954773333317</v>
      </c>
      <c r="AC174" s="489"/>
      <c r="AD174" s="489"/>
      <c r="AE174" s="489"/>
    </row>
    <row r="175" spans="1:31" ht="18.75">
      <c r="A175" s="547"/>
      <c r="B175" s="432" t="s">
        <v>211</v>
      </c>
      <c r="C175" s="493">
        <v>115598</v>
      </c>
      <c r="D175" s="485">
        <v>12</v>
      </c>
      <c r="E175" s="484">
        <f t="shared" si="133"/>
        <v>1387176</v>
      </c>
      <c r="F175" s="484"/>
      <c r="G175" s="555">
        <v>87934.080000000002</v>
      </c>
      <c r="H175" s="486"/>
      <c r="I175" s="484">
        <f t="shared" si="121"/>
        <v>1299241.92</v>
      </c>
      <c r="J175" s="484">
        <v>200000</v>
      </c>
      <c r="K175" s="484">
        <v>0.2</v>
      </c>
      <c r="L175" s="484">
        <f t="shared" si="122"/>
        <v>259848.38399999999</v>
      </c>
      <c r="M175" s="484">
        <f t="shared" si="123"/>
        <v>459848.38399999996</v>
      </c>
      <c r="N175" s="484">
        <f t="shared" si="124"/>
        <v>547782.46399999992</v>
      </c>
      <c r="O175" s="484">
        <f t="shared" si="125"/>
        <v>839393.53600000008</v>
      </c>
      <c r="P175" s="484">
        <f t="shared" si="126"/>
        <v>21000</v>
      </c>
      <c r="Q175" s="484">
        <f t="shared" si="127"/>
        <v>33000</v>
      </c>
      <c r="R175" s="484">
        <f t="shared" si="128"/>
        <v>35909.030400000011</v>
      </c>
      <c r="S175" s="484">
        <f t="shared" si="129"/>
        <v>0</v>
      </c>
      <c r="T175" s="484">
        <f t="shared" si="130"/>
        <v>0</v>
      </c>
      <c r="U175" s="484"/>
      <c r="V175" s="484">
        <f t="shared" si="135"/>
        <v>89909.030400000018</v>
      </c>
      <c r="W175" s="488">
        <v>12</v>
      </c>
      <c r="X175" s="484">
        <f t="shared" si="131"/>
        <v>7492.4192000000012</v>
      </c>
      <c r="Y175" s="486"/>
      <c r="Z175" s="554">
        <f t="shared" si="132"/>
        <v>7492.4192000000012</v>
      </c>
      <c r="AA175" s="489">
        <v>3963.5237226666673</v>
      </c>
      <c r="AB175" s="489">
        <f t="shared" si="134"/>
        <v>3528.8954773333339</v>
      </c>
      <c r="AC175" s="489"/>
      <c r="AD175" s="489"/>
      <c r="AE175" s="489"/>
    </row>
    <row r="176" spans="1:31" ht="18.75">
      <c r="A176" s="547"/>
      <c r="B176" s="432" t="s">
        <v>213</v>
      </c>
      <c r="C176" s="493">
        <v>118598</v>
      </c>
      <c r="D176" s="485">
        <v>12</v>
      </c>
      <c r="E176" s="484">
        <f t="shared" si="133"/>
        <v>1423176</v>
      </c>
      <c r="F176" s="484"/>
      <c r="G176" s="555">
        <v>87934.080000000002</v>
      </c>
      <c r="H176" s="486"/>
      <c r="I176" s="484">
        <f t="shared" si="121"/>
        <v>1335241.92</v>
      </c>
      <c r="J176" s="484">
        <v>200000</v>
      </c>
      <c r="K176" s="484">
        <v>0.2</v>
      </c>
      <c r="L176" s="484">
        <f t="shared" si="122"/>
        <v>267048.38400000002</v>
      </c>
      <c r="M176" s="484">
        <f t="shared" si="123"/>
        <v>467048.38400000002</v>
      </c>
      <c r="N176" s="484">
        <f t="shared" si="124"/>
        <v>554982.46400000004</v>
      </c>
      <c r="O176" s="484">
        <f t="shared" si="125"/>
        <v>868193.53599999996</v>
      </c>
      <c r="P176" s="484">
        <f t="shared" si="126"/>
        <v>21000</v>
      </c>
      <c r="Q176" s="484">
        <f t="shared" si="127"/>
        <v>33000</v>
      </c>
      <c r="R176" s="484">
        <f t="shared" si="128"/>
        <v>40229.030399999996</v>
      </c>
      <c r="S176" s="484">
        <f t="shared" si="129"/>
        <v>0</v>
      </c>
      <c r="T176" s="484">
        <f t="shared" si="130"/>
        <v>0</v>
      </c>
      <c r="U176" s="484"/>
      <c r="V176" s="484">
        <f t="shared" si="135"/>
        <v>94229.030399999989</v>
      </c>
      <c r="W176" s="488">
        <v>12</v>
      </c>
      <c r="X176" s="484">
        <f t="shared" si="131"/>
        <v>7852.4191999999994</v>
      </c>
      <c r="Y176" s="486"/>
      <c r="Z176" s="554">
        <f t="shared" si="132"/>
        <v>7852.4191999999994</v>
      </c>
      <c r="AA176" s="489">
        <v>4227.5237226666677</v>
      </c>
      <c r="AB176" s="489">
        <f t="shared" si="134"/>
        <v>3624.8954773333317</v>
      </c>
    </row>
    <row r="177" spans="2:28" ht="18.75">
      <c r="B177" s="364" t="s">
        <v>342</v>
      </c>
      <c r="C177" s="489">
        <v>115598</v>
      </c>
      <c r="D177" s="485">
        <v>12</v>
      </c>
      <c r="E177" s="484">
        <f t="shared" si="133"/>
        <v>1387176</v>
      </c>
      <c r="G177" s="555">
        <v>87934.080000000002</v>
      </c>
      <c r="I177" s="484">
        <f t="shared" si="121"/>
        <v>1299241.92</v>
      </c>
      <c r="J177" s="484">
        <v>200000</v>
      </c>
      <c r="K177" s="484">
        <v>0.2</v>
      </c>
      <c r="L177" s="484">
        <f t="shared" si="122"/>
        <v>259848.38399999999</v>
      </c>
      <c r="M177" s="484">
        <f t="shared" si="123"/>
        <v>459848.38399999996</v>
      </c>
      <c r="N177" s="484">
        <f t="shared" si="124"/>
        <v>547782.46399999992</v>
      </c>
      <c r="O177" s="484">
        <f t="shared" si="125"/>
        <v>839393.53600000008</v>
      </c>
      <c r="P177" s="484">
        <f t="shared" si="126"/>
        <v>21000</v>
      </c>
      <c r="Q177" s="484">
        <f t="shared" si="127"/>
        <v>33000</v>
      </c>
      <c r="R177" s="484">
        <f t="shared" si="128"/>
        <v>35909.030400000011</v>
      </c>
      <c r="S177" s="484">
        <f t="shared" si="129"/>
        <v>0</v>
      </c>
      <c r="T177" s="484">
        <f t="shared" si="130"/>
        <v>0</v>
      </c>
      <c r="U177" s="484"/>
      <c r="V177" s="484">
        <f t="shared" si="135"/>
        <v>89909.030400000018</v>
      </c>
      <c r="W177" s="488">
        <v>12</v>
      </c>
      <c r="X177" s="484">
        <f t="shared" si="131"/>
        <v>7492.4192000000012</v>
      </c>
      <c r="Z177" s="554">
        <f t="shared" si="132"/>
        <v>7492.4192000000012</v>
      </c>
      <c r="AA177" s="489">
        <v>3963.5237226666673</v>
      </c>
      <c r="AB177" s="489">
        <f t="shared" si="134"/>
        <v>3528.8954773333339</v>
      </c>
    </row>
    <row r="178" spans="2:28" ht="18.75">
      <c r="B178" s="364" t="s">
        <v>405</v>
      </c>
      <c r="C178" s="489">
        <v>118598</v>
      </c>
      <c r="D178" s="485">
        <v>12</v>
      </c>
      <c r="E178" s="484">
        <f t="shared" si="133"/>
        <v>1423176</v>
      </c>
      <c r="G178" s="555">
        <v>87934.080000000002</v>
      </c>
      <c r="I178" s="484">
        <f t="shared" si="121"/>
        <v>1335241.92</v>
      </c>
      <c r="J178" s="484">
        <v>200000</v>
      </c>
      <c r="K178" s="484">
        <v>0.2</v>
      </c>
      <c r="L178" s="484">
        <f t="shared" si="122"/>
        <v>267048.38400000002</v>
      </c>
      <c r="M178" s="484">
        <f t="shared" si="123"/>
        <v>467048.38400000002</v>
      </c>
      <c r="N178" s="484">
        <f t="shared" si="124"/>
        <v>554982.46400000004</v>
      </c>
      <c r="O178" s="484">
        <f t="shared" si="125"/>
        <v>868193.53599999996</v>
      </c>
      <c r="P178" s="484">
        <f t="shared" si="126"/>
        <v>21000</v>
      </c>
      <c r="Q178" s="484">
        <f t="shared" si="127"/>
        <v>33000</v>
      </c>
      <c r="R178" s="484">
        <f t="shared" si="128"/>
        <v>40229.030399999996</v>
      </c>
      <c r="S178" s="484">
        <f t="shared" si="129"/>
        <v>0</v>
      </c>
      <c r="T178" s="484">
        <f t="shared" si="130"/>
        <v>0</v>
      </c>
      <c r="U178" s="484"/>
      <c r="V178" s="484">
        <f t="shared" si="135"/>
        <v>94229.030399999989</v>
      </c>
      <c r="W178" s="488">
        <v>12</v>
      </c>
      <c r="X178" s="484">
        <f t="shared" si="131"/>
        <v>7852.4191999999994</v>
      </c>
      <c r="Z178" s="554">
        <f t="shared" si="132"/>
        <v>7852.4191999999994</v>
      </c>
      <c r="AA178" s="489">
        <v>4227.5237226666677</v>
      </c>
      <c r="AB178" s="489">
        <f t="shared" si="134"/>
        <v>3624.8954773333317</v>
      </c>
    </row>
    <row r="179" spans="2:28" ht="18.75">
      <c r="B179" s="432" t="s">
        <v>232</v>
      </c>
      <c r="C179" s="489">
        <v>118598</v>
      </c>
      <c r="D179" s="485">
        <v>12</v>
      </c>
      <c r="E179" s="484">
        <f t="shared" si="133"/>
        <v>1423176</v>
      </c>
      <c r="G179" s="555">
        <v>87934.080000000002</v>
      </c>
      <c r="I179" s="484">
        <f t="shared" si="121"/>
        <v>1335241.92</v>
      </c>
      <c r="J179" s="484">
        <v>200000</v>
      </c>
      <c r="K179" s="484">
        <v>0.2</v>
      </c>
      <c r="L179" s="484">
        <f t="shared" si="122"/>
        <v>267048.38400000002</v>
      </c>
      <c r="M179" s="484">
        <f t="shared" si="123"/>
        <v>467048.38400000002</v>
      </c>
      <c r="N179" s="484">
        <f t="shared" si="124"/>
        <v>554982.46400000004</v>
      </c>
      <c r="O179" s="484">
        <f t="shared" si="125"/>
        <v>868193.53599999996</v>
      </c>
      <c r="P179" s="484">
        <f t="shared" si="126"/>
        <v>21000</v>
      </c>
      <c r="Q179" s="484">
        <f t="shared" si="127"/>
        <v>33000</v>
      </c>
      <c r="R179" s="484">
        <f t="shared" si="128"/>
        <v>40229.030399999996</v>
      </c>
      <c r="S179" s="484">
        <f t="shared" si="129"/>
        <v>0</v>
      </c>
      <c r="T179" s="484">
        <f t="shared" si="130"/>
        <v>0</v>
      </c>
      <c r="V179" s="484">
        <f t="shared" si="135"/>
        <v>94229.030399999989</v>
      </c>
      <c r="W179" s="488">
        <v>12</v>
      </c>
      <c r="X179" s="484">
        <f t="shared" si="131"/>
        <v>7852.4191999999994</v>
      </c>
      <c r="Z179" s="554">
        <f t="shared" si="132"/>
        <v>7852.4191999999994</v>
      </c>
      <c r="AA179" s="489">
        <v>4089.716690666668</v>
      </c>
      <c r="AB179" s="489">
        <f t="shared" si="134"/>
        <v>3762.7025093333314</v>
      </c>
    </row>
    <row r="180" spans="2:28" ht="18.75">
      <c r="B180" s="432" t="s">
        <v>233</v>
      </c>
      <c r="C180" s="489">
        <v>118598</v>
      </c>
      <c r="D180" s="485">
        <v>12</v>
      </c>
      <c r="E180" s="484">
        <f t="shared" si="133"/>
        <v>1423176</v>
      </c>
      <c r="G180" s="555">
        <v>87934.080000000002</v>
      </c>
      <c r="I180" s="484">
        <f t="shared" si="121"/>
        <v>1335241.92</v>
      </c>
      <c r="J180" s="484">
        <v>200000</v>
      </c>
      <c r="K180" s="484">
        <v>0.2</v>
      </c>
      <c r="L180" s="484">
        <f t="shared" si="122"/>
        <v>267048.38400000002</v>
      </c>
      <c r="M180" s="484">
        <f t="shared" si="123"/>
        <v>467048.38400000002</v>
      </c>
      <c r="N180" s="484">
        <f t="shared" si="124"/>
        <v>554982.46400000004</v>
      </c>
      <c r="O180" s="484">
        <f t="shared" si="125"/>
        <v>868193.53599999996</v>
      </c>
      <c r="P180" s="484">
        <f t="shared" si="126"/>
        <v>21000</v>
      </c>
      <c r="Q180" s="484">
        <f t="shared" si="127"/>
        <v>33000</v>
      </c>
      <c r="R180" s="484">
        <f t="shared" si="128"/>
        <v>40229.030399999996</v>
      </c>
      <c r="S180" s="484">
        <f t="shared" si="129"/>
        <v>0</v>
      </c>
      <c r="T180" s="484">
        <f t="shared" si="130"/>
        <v>0</v>
      </c>
      <c r="V180" s="484">
        <f t="shared" si="135"/>
        <v>94229.030399999989</v>
      </c>
      <c r="W180" s="488">
        <v>12</v>
      </c>
      <c r="X180" s="484">
        <f t="shared" si="131"/>
        <v>7852.4191999999994</v>
      </c>
      <c r="Z180" s="554">
        <f t="shared" si="132"/>
        <v>7852.4191999999994</v>
      </c>
      <c r="AA180" s="489">
        <v>4227.5237226666677</v>
      </c>
      <c r="AB180" s="489">
        <f t="shared" si="134"/>
        <v>3624.8954773333317</v>
      </c>
    </row>
    <row r="181" spans="2:28" ht="18.75">
      <c r="B181" s="364" t="s">
        <v>279</v>
      </c>
      <c r="C181" s="489">
        <v>116050.25</v>
      </c>
      <c r="D181" s="485">
        <v>12</v>
      </c>
      <c r="E181" s="484">
        <f t="shared" si="133"/>
        <v>1392603</v>
      </c>
      <c r="G181" s="555">
        <v>85488.24</v>
      </c>
      <c r="I181" s="484">
        <f t="shared" si="121"/>
        <v>1307114.76</v>
      </c>
      <c r="J181" s="484">
        <v>200000</v>
      </c>
      <c r="K181" s="484">
        <v>0.2</v>
      </c>
      <c r="L181" s="484">
        <f t="shared" si="122"/>
        <v>261422.95200000002</v>
      </c>
      <c r="M181" s="484">
        <f t="shared" si="123"/>
        <v>461422.95200000005</v>
      </c>
      <c r="N181" s="484">
        <f t="shared" si="124"/>
        <v>546911.19200000004</v>
      </c>
      <c r="O181" s="484">
        <f t="shared" si="125"/>
        <v>845691.80799999996</v>
      </c>
      <c r="P181" s="484">
        <f t="shared" si="126"/>
        <v>21000</v>
      </c>
      <c r="Q181" s="484">
        <f t="shared" si="127"/>
        <v>33000</v>
      </c>
      <c r="R181" s="484">
        <f t="shared" si="128"/>
        <v>36853.771199999996</v>
      </c>
      <c r="S181" s="484">
        <f t="shared" si="129"/>
        <v>0</v>
      </c>
      <c r="T181" s="484">
        <f t="shared" si="130"/>
        <v>0</v>
      </c>
      <c r="V181" s="484">
        <f t="shared" si="135"/>
        <v>90853.771199999988</v>
      </c>
      <c r="W181" s="488">
        <v>12</v>
      </c>
      <c r="X181" s="484">
        <f t="shared" si="131"/>
        <v>7571.1475999999993</v>
      </c>
      <c r="Z181" s="554">
        <f t="shared" si="132"/>
        <v>7571.1475999999993</v>
      </c>
      <c r="AA181" s="489">
        <v>4089.716690666668</v>
      </c>
      <c r="AB181" s="489">
        <f t="shared" si="134"/>
        <v>3481.4309093333313</v>
      </c>
    </row>
    <row r="182" spans="2:28" ht="18.75">
      <c r="B182" s="364" t="s">
        <v>403</v>
      </c>
      <c r="C182" s="489">
        <v>102926.91666666667</v>
      </c>
      <c r="D182" s="485">
        <v>12</v>
      </c>
      <c r="E182" s="484">
        <f t="shared" si="133"/>
        <v>1235123</v>
      </c>
      <c r="G182" s="555">
        <v>77689.84</v>
      </c>
      <c r="I182" s="484">
        <f t="shared" si="121"/>
        <v>1157433.1599999999</v>
      </c>
      <c r="J182" s="484">
        <v>200000</v>
      </c>
      <c r="K182" s="484">
        <v>0.2</v>
      </c>
      <c r="L182" s="484">
        <f t="shared" si="122"/>
        <v>231486.63199999998</v>
      </c>
      <c r="M182" s="484">
        <f t="shared" si="123"/>
        <v>431486.63199999998</v>
      </c>
      <c r="N182" s="484">
        <f t="shared" si="124"/>
        <v>509176.47199999995</v>
      </c>
      <c r="O182" s="484">
        <f t="shared" si="125"/>
        <v>725946.52800000005</v>
      </c>
      <c r="P182" s="484">
        <f t="shared" si="126"/>
        <v>21000</v>
      </c>
      <c r="Q182" s="484">
        <f t="shared" si="127"/>
        <v>33000</v>
      </c>
      <c r="R182" s="484">
        <f t="shared" si="128"/>
        <v>18891.979200000005</v>
      </c>
      <c r="S182" s="484">
        <f t="shared" si="129"/>
        <v>0</v>
      </c>
      <c r="T182" s="484">
        <f t="shared" si="130"/>
        <v>0</v>
      </c>
      <c r="V182" s="484">
        <f t="shared" si="135"/>
        <v>72891.979200000002</v>
      </c>
      <c r="W182" s="488">
        <v>12</v>
      </c>
      <c r="X182" s="484">
        <f t="shared" si="131"/>
        <v>6074.3316000000004</v>
      </c>
      <c r="Z182" s="554">
        <f t="shared" si="132"/>
        <v>6074.3316000000004</v>
      </c>
      <c r="AA182" s="489">
        <v>3210.1544048666656</v>
      </c>
      <c r="AB182" s="489">
        <f t="shared" si="134"/>
        <v>2864.1771951333349</v>
      </c>
    </row>
    <row r="183" spans="2:28" ht="18.75">
      <c r="B183" s="364" t="s">
        <v>557</v>
      </c>
      <c r="C183" s="489">
        <v>95540.75</v>
      </c>
      <c r="D183" s="485">
        <v>12</v>
      </c>
      <c r="E183" s="484">
        <f t="shared" si="133"/>
        <v>1146489</v>
      </c>
      <c r="G183" s="555">
        <f>6123.26*12</f>
        <v>73479.12</v>
      </c>
      <c r="I183" s="484">
        <f t="shared" si="121"/>
        <v>1073009.8799999999</v>
      </c>
      <c r="J183" s="484">
        <v>200000</v>
      </c>
      <c r="K183" s="484">
        <v>0.2</v>
      </c>
      <c r="L183" s="484">
        <f t="shared" si="122"/>
        <v>214601.976</v>
      </c>
      <c r="M183" s="484">
        <f t="shared" si="123"/>
        <v>414601.97600000002</v>
      </c>
      <c r="N183" s="484">
        <f t="shared" si="124"/>
        <v>488081.09600000002</v>
      </c>
      <c r="O183" s="484">
        <f t="shared" si="125"/>
        <v>658407.90399999998</v>
      </c>
      <c r="P183" s="484">
        <f t="shared" si="126"/>
        <v>21000</v>
      </c>
      <c r="Q183" s="484">
        <f t="shared" si="127"/>
        <v>33000</v>
      </c>
      <c r="R183" s="484">
        <f t="shared" si="128"/>
        <v>8761.1855999999971</v>
      </c>
      <c r="S183" s="484">
        <f t="shared" si="129"/>
        <v>0</v>
      </c>
      <c r="T183" s="484">
        <f t="shared" si="130"/>
        <v>0</v>
      </c>
      <c r="V183" s="484">
        <f t="shared" si="135"/>
        <v>62761.185599999997</v>
      </c>
      <c r="W183" s="488">
        <v>12</v>
      </c>
      <c r="X183" s="484">
        <f t="shared" si="131"/>
        <v>5230.0987999999998</v>
      </c>
      <c r="Z183" s="554">
        <f t="shared" si="132"/>
        <v>5230.0987999999998</v>
      </c>
      <c r="AA183" s="489">
        <v>2708.9136406666671</v>
      </c>
      <c r="AB183" s="489">
        <f t="shared" si="134"/>
        <v>2521.1851593333326</v>
      </c>
    </row>
    <row r="184" spans="2:28" ht="18.75">
      <c r="B184" s="364" t="s">
        <v>560</v>
      </c>
      <c r="C184" s="489">
        <v>95540.75</v>
      </c>
      <c r="D184" s="485">
        <v>12</v>
      </c>
      <c r="E184" s="484">
        <f t="shared" si="133"/>
        <v>1146489</v>
      </c>
      <c r="G184" s="555">
        <f t="shared" ref="G184:G185" si="136">6123.26*12</f>
        <v>73479.12</v>
      </c>
      <c r="I184" s="484">
        <f t="shared" si="121"/>
        <v>1073009.8799999999</v>
      </c>
      <c r="J184" s="484">
        <v>200000</v>
      </c>
      <c r="K184" s="484">
        <v>0.2</v>
      </c>
      <c r="L184" s="484">
        <f t="shared" si="122"/>
        <v>214601.976</v>
      </c>
      <c r="M184" s="484">
        <f t="shared" si="123"/>
        <v>414601.97600000002</v>
      </c>
      <c r="N184" s="484">
        <f t="shared" si="124"/>
        <v>488081.09600000002</v>
      </c>
      <c r="O184" s="484">
        <f t="shared" si="125"/>
        <v>658407.90399999998</v>
      </c>
      <c r="P184" s="484">
        <f t="shared" si="126"/>
        <v>21000</v>
      </c>
      <c r="Q184" s="484">
        <f t="shared" si="127"/>
        <v>33000</v>
      </c>
      <c r="R184" s="484">
        <f t="shared" si="128"/>
        <v>8761.1855999999971</v>
      </c>
      <c r="S184" s="484">
        <f t="shared" si="129"/>
        <v>0</v>
      </c>
      <c r="T184" s="484">
        <f t="shared" si="130"/>
        <v>0</v>
      </c>
      <c r="V184" s="484">
        <f t="shared" si="135"/>
        <v>62761.185599999997</v>
      </c>
      <c r="W184" s="488">
        <v>12</v>
      </c>
      <c r="X184" s="484">
        <f t="shared" si="131"/>
        <v>5230.0987999999998</v>
      </c>
      <c r="Z184" s="554">
        <f t="shared" si="132"/>
        <v>5230.0987999999998</v>
      </c>
      <c r="AA184" s="489">
        <v>2708.9136406666671</v>
      </c>
      <c r="AB184" s="489">
        <f t="shared" si="134"/>
        <v>2521.1851593333326</v>
      </c>
    </row>
    <row r="185" spans="2:28" ht="18.75">
      <c r="B185" s="364" t="s">
        <v>561</v>
      </c>
      <c r="C185" s="489">
        <v>95540.75</v>
      </c>
      <c r="D185" s="485">
        <v>12</v>
      </c>
      <c r="E185" s="484">
        <f t="shared" si="133"/>
        <v>1146489</v>
      </c>
      <c r="G185" s="555">
        <f t="shared" si="136"/>
        <v>73479.12</v>
      </c>
      <c r="I185" s="484">
        <f t="shared" si="121"/>
        <v>1073009.8799999999</v>
      </c>
      <c r="J185" s="484">
        <v>200000</v>
      </c>
      <c r="K185" s="484">
        <v>0.2</v>
      </c>
      <c r="L185" s="484">
        <f t="shared" si="122"/>
        <v>214601.976</v>
      </c>
      <c r="M185" s="484">
        <f t="shared" si="123"/>
        <v>414601.97600000002</v>
      </c>
      <c r="N185" s="484">
        <f t="shared" si="124"/>
        <v>488081.09600000002</v>
      </c>
      <c r="O185" s="484">
        <f t="shared" si="125"/>
        <v>658407.90399999998</v>
      </c>
      <c r="P185" s="484">
        <f t="shared" si="126"/>
        <v>21000</v>
      </c>
      <c r="Q185" s="484">
        <f t="shared" si="127"/>
        <v>33000</v>
      </c>
      <c r="R185" s="484">
        <f t="shared" si="128"/>
        <v>8761.1855999999971</v>
      </c>
      <c r="S185" s="484">
        <f t="shared" si="129"/>
        <v>0</v>
      </c>
      <c r="T185" s="484">
        <f t="shared" si="130"/>
        <v>0</v>
      </c>
      <c r="V185" s="484">
        <f t="shared" si="135"/>
        <v>62761.185599999997</v>
      </c>
      <c r="W185" s="488">
        <v>12</v>
      </c>
      <c r="X185" s="484">
        <f t="shared" si="131"/>
        <v>5230.0987999999998</v>
      </c>
      <c r="Z185" s="554">
        <f t="shared" si="132"/>
        <v>5230.0987999999998</v>
      </c>
      <c r="AA185" s="489">
        <v>2708.9136406666671</v>
      </c>
      <c r="AB185" s="489">
        <f t="shared" si="134"/>
        <v>2521.1851593333326</v>
      </c>
    </row>
    <row r="186" spans="2:28" ht="18.75">
      <c r="B186" s="561" t="s">
        <v>562</v>
      </c>
      <c r="C186" s="489">
        <v>108502.5</v>
      </c>
      <c r="D186" s="562">
        <v>12</v>
      </c>
      <c r="E186" s="563">
        <f t="shared" si="133"/>
        <v>1302030</v>
      </c>
      <c r="G186" s="564">
        <f>6920.2*12</f>
        <v>83042.399999999994</v>
      </c>
      <c r="I186" s="563">
        <f t="shared" si="121"/>
        <v>1218987.6000000001</v>
      </c>
      <c r="J186" s="484">
        <v>200000</v>
      </c>
      <c r="K186" s="484">
        <v>0.2</v>
      </c>
      <c r="L186" s="484">
        <f t="shared" si="122"/>
        <v>243797.52000000002</v>
      </c>
      <c r="M186" s="484">
        <f t="shared" si="123"/>
        <v>443797.52</v>
      </c>
      <c r="N186" s="484">
        <f t="shared" si="124"/>
        <v>526839.92000000004</v>
      </c>
      <c r="O186" s="484">
        <f t="shared" si="125"/>
        <v>775190.08</v>
      </c>
      <c r="P186" s="484">
        <f t="shared" si="126"/>
        <v>21000</v>
      </c>
      <c r="Q186" s="484">
        <f t="shared" si="127"/>
        <v>33000</v>
      </c>
      <c r="R186" s="484">
        <f t="shared" si="128"/>
        <v>26278.511999999992</v>
      </c>
      <c r="S186" s="484">
        <f t="shared" si="129"/>
        <v>0</v>
      </c>
      <c r="T186" s="484">
        <f t="shared" si="130"/>
        <v>0</v>
      </c>
      <c r="V186" s="484">
        <f t="shared" si="135"/>
        <v>80278.511999999988</v>
      </c>
      <c r="W186" s="488">
        <v>12</v>
      </c>
      <c r="X186" s="484">
        <f t="shared" si="131"/>
        <v>6689.8759999999993</v>
      </c>
      <c r="Z186" s="554">
        <f t="shared" si="132"/>
        <v>6689.8759999999993</v>
      </c>
      <c r="AA186" s="489">
        <v>3511.7966226666667</v>
      </c>
      <c r="AB186" s="489">
        <f t="shared" si="134"/>
        <v>3178.0793773333326</v>
      </c>
    </row>
    <row r="187" spans="2:28" ht="18.75">
      <c r="B187" s="561" t="s">
        <v>565</v>
      </c>
      <c r="C187" s="568">
        <v>108502.5</v>
      </c>
      <c r="D187" s="562">
        <v>12</v>
      </c>
      <c r="E187" s="563">
        <f t="shared" si="133"/>
        <v>1302030</v>
      </c>
      <c r="F187" s="569"/>
      <c r="G187" s="564">
        <f>6920.2*12</f>
        <v>83042.399999999994</v>
      </c>
      <c r="H187" s="569"/>
      <c r="I187" s="563">
        <f t="shared" si="121"/>
        <v>1218987.6000000001</v>
      </c>
      <c r="J187" s="563">
        <v>200000</v>
      </c>
      <c r="K187" s="563">
        <v>0.2</v>
      </c>
      <c r="L187" s="563">
        <f t="shared" si="122"/>
        <v>243797.52000000002</v>
      </c>
      <c r="M187" s="563">
        <f t="shared" si="123"/>
        <v>443797.52</v>
      </c>
      <c r="N187" s="563">
        <f t="shared" si="124"/>
        <v>526839.92000000004</v>
      </c>
      <c r="O187" s="563">
        <f t="shared" si="125"/>
        <v>775190.08</v>
      </c>
      <c r="P187" s="563">
        <f t="shared" si="126"/>
        <v>21000</v>
      </c>
      <c r="Q187" s="563">
        <f t="shared" si="127"/>
        <v>33000</v>
      </c>
      <c r="R187" s="563">
        <f t="shared" si="128"/>
        <v>26278.511999999992</v>
      </c>
      <c r="S187" s="563">
        <f t="shared" si="129"/>
        <v>0</v>
      </c>
      <c r="T187" s="563">
        <f t="shared" si="130"/>
        <v>0</v>
      </c>
      <c r="V187" s="563">
        <f t="shared" si="135"/>
        <v>80278.511999999988</v>
      </c>
      <c r="W187" s="570">
        <v>12</v>
      </c>
      <c r="X187" s="563">
        <f t="shared" si="131"/>
        <v>6689.8759999999993</v>
      </c>
      <c r="Z187" s="571">
        <f t="shared" si="132"/>
        <v>6689.8759999999993</v>
      </c>
      <c r="AA187" s="489">
        <v>3511.7966226666667</v>
      </c>
      <c r="AB187" s="489">
        <f t="shared" si="134"/>
        <v>3178.0793773333326</v>
      </c>
    </row>
    <row r="188" spans="2:28" ht="35.25" customHeight="1">
      <c r="B188" s="572" t="s">
        <v>803</v>
      </c>
      <c r="C188" s="579">
        <f>SUM(C6:C187)</f>
        <v>79212127.886105016</v>
      </c>
      <c r="D188" s="578"/>
      <c r="E188" s="580"/>
      <c r="F188" s="576">
        <f>SUM(F6:F187)</f>
        <v>276375.74700000009</v>
      </c>
      <c r="G188" s="576">
        <f>SUM(G6:G187)</f>
        <v>54773768.879999958</v>
      </c>
      <c r="H188" s="573"/>
      <c r="I188" s="573"/>
      <c r="J188" s="573"/>
      <c r="K188" s="573"/>
      <c r="L188" s="573"/>
      <c r="M188" s="573"/>
      <c r="N188" s="573"/>
      <c r="O188" s="573"/>
      <c r="P188" s="573"/>
      <c r="Q188" s="573"/>
      <c r="R188" s="573"/>
      <c r="S188" s="573"/>
      <c r="T188" s="573"/>
      <c r="U188" s="573"/>
      <c r="V188" s="576">
        <f>SUM(V6:V187)</f>
        <v>135631933.58243379</v>
      </c>
      <c r="W188" s="576"/>
      <c r="X188" s="576">
        <f t="shared" ref="X188" si="137">SUM(X6:X187)</f>
        <v>11302661.131869487</v>
      </c>
      <c r="Y188" s="576"/>
      <c r="Z188" s="576">
        <f t="shared" ref="Z188" si="138">SUM(Z6:Z187)</f>
        <v>11302661.131869487</v>
      </c>
      <c r="AA188" s="573"/>
      <c r="AB188" s="573"/>
    </row>
    <row r="189" spans="2:28" ht="26.25" customHeight="1">
      <c r="B189" s="574" t="s">
        <v>804</v>
      </c>
      <c r="C189" s="579"/>
      <c r="D189" s="578"/>
      <c r="E189" s="578"/>
      <c r="F189" s="577">
        <f>F188/12</f>
        <v>23031.312250000006</v>
      </c>
      <c r="G189" s="577">
        <f>G188/12</f>
        <v>4564480.7399999965</v>
      </c>
      <c r="H189" s="573"/>
      <c r="I189" s="573"/>
      <c r="J189" s="573"/>
      <c r="K189" s="573"/>
      <c r="L189" s="573"/>
      <c r="M189" s="573"/>
      <c r="N189" s="573"/>
      <c r="O189" s="573"/>
      <c r="P189" s="573"/>
      <c r="Q189" s="573"/>
      <c r="R189" s="573"/>
      <c r="S189" s="573"/>
      <c r="T189" s="573"/>
      <c r="U189" s="573"/>
      <c r="V189" s="577">
        <f>V188/12</f>
        <v>11302661.131869482</v>
      </c>
      <c r="W189" s="578"/>
      <c r="X189" s="578"/>
      <c r="Y189" s="578"/>
      <c r="Z189" s="578"/>
      <c r="AA189" s="573"/>
      <c r="AB189" s="573"/>
    </row>
    <row r="190" spans="2:28" ht="18.75">
      <c r="B190" s="231"/>
      <c r="C190" s="489"/>
      <c r="F190" s="566"/>
    </row>
    <row r="191" spans="2:28">
      <c r="F191" s="567"/>
      <c r="Z191" s="576">
        <v>11287301.131869487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9"/>
  <sheetViews>
    <sheetView topLeftCell="A183" workbookViewId="0">
      <selection activeCell="C197" sqref="C197"/>
    </sheetView>
  </sheetViews>
  <sheetFormatPr defaultColWidth="9.140625" defaultRowHeight="18.75"/>
  <cols>
    <col min="1" max="1" width="5.42578125" style="196" customWidth="1"/>
    <col min="2" max="2" width="43.85546875" style="196" customWidth="1"/>
    <col min="3" max="3" width="40.42578125" style="196" customWidth="1"/>
    <col min="4" max="4" width="12.7109375" style="196" customWidth="1"/>
    <col min="5" max="5" width="20.28515625" style="196" customWidth="1"/>
    <col min="6" max="6" width="18" style="196" customWidth="1"/>
    <col min="7" max="7" width="21.7109375" style="196" customWidth="1"/>
    <col min="8" max="16384" width="9.140625" style="196"/>
  </cols>
  <sheetData>
    <row r="1" spans="1:7" ht="27" customHeight="1">
      <c r="A1" s="726" t="s">
        <v>234</v>
      </c>
      <c r="B1" s="726"/>
      <c r="C1" s="726"/>
      <c r="D1" s="726"/>
      <c r="E1" s="726"/>
      <c r="F1" s="726"/>
    </row>
    <row r="2" spans="1:7" ht="20.25" customHeight="1">
      <c r="A2" s="726" t="s">
        <v>792</v>
      </c>
      <c r="B2" s="726"/>
      <c r="C2" s="726"/>
      <c r="D2" s="726"/>
      <c r="E2" s="726"/>
      <c r="F2" s="726"/>
    </row>
    <row r="3" spans="1:7" ht="9.75" customHeight="1">
      <c r="A3" s="726"/>
      <c r="B3" s="726"/>
      <c r="C3" s="726"/>
      <c r="D3" s="726"/>
      <c r="E3" s="726"/>
      <c r="F3" s="726"/>
    </row>
    <row r="4" spans="1:7" ht="13.5" customHeight="1">
      <c r="A4" s="202"/>
      <c r="B4" s="202"/>
      <c r="C4" s="202"/>
      <c r="D4" s="202"/>
      <c r="E4" s="195"/>
      <c r="F4" s="195"/>
    </row>
    <row r="5" spans="1:7" ht="52.5" customHeight="1">
      <c r="A5" s="357"/>
      <c r="B5" s="203" t="s">
        <v>0</v>
      </c>
      <c r="C5" s="204" t="s">
        <v>12</v>
      </c>
      <c r="D5" s="205" t="s">
        <v>309</v>
      </c>
      <c r="E5" s="206" t="s">
        <v>793</v>
      </c>
      <c r="F5" s="206" t="s">
        <v>794</v>
      </c>
    </row>
    <row r="6" spans="1:7" ht="17.25" customHeight="1">
      <c r="C6" s="210"/>
      <c r="D6" s="210"/>
      <c r="E6" s="211" t="s">
        <v>5</v>
      </c>
      <c r="F6" s="211" t="s">
        <v>5</v>
      </c>
    </row>
    <row r="7" spans="1:7" ht="20.100000000000001" customHeight="1">
      <c r="A7" s="209" t="s">
        <v>143</v>
      </c>
      <c r="B7" s="210" t="s">
        <v>433</v>
      </c>
      <c r="C7" s="210"/>
      <c r="D7" s="210"/>
      <c r="E7" s="211"/>
      <c r="F7" s="360"/>
    </row>
    <row r="8" spans="1:7" ht="20.100000000000001" customHeight="1">
      <c r="A8" s="430">
        <v>1</v>
      </c>
      <c r="B8" s="432" t="s">
        <v>224</v>
      </c>
      <c r="C8" s="367" t="s">
        <v>119</v>
      </c>
      <c r="D8" s="367" t="s">
        <v>34</v>
      </c>
      <c r="E8" s="24">
        <v>1659751.1669999999</v>
      </c>
      <c r="F8" s="24"/>
      <c r="G8" s="213"/>
    </row>
    <row r="9" spans="1:7" ht="20.100000000000001" customHeight="1">
      <c r="A9" s="430">
        <v>2</v>
      </c>
      <c r="B9" s="432" t="s">
        <v>315</v>
      </c>
      <c r="C9" s="367" t="s">
        <v>316</v>
      </c>
      <c r="D9" s="430" t="s">
        <v>496</v>
      </c>
      <c r="E9" s="24">
        <v>762373.16666666663</v>
      </c>
      <c r="F9" s="24">
        <f t="shared" ref="F9:F34" si="0">E9*0.08</f>
        <v>60989.853333333333</v>
      </c>
      <c r="G9" s="213"/>
    </row>
    <row r="10" spans="1:7" ht="20.100000000000001" customHeight="1">
      <c r="A10" s="430">
        <v>3</v>
      </c>
      <c r="B10" s="365" t="s">
        <v>317</v>
      </c>
      <c r="C10" s="357" t="s">
        <v>418</v>
      </c>
      <c r="D10" s="430" t="s">
        <v>496</v>
      </c>
      <c r="E10" s="24">
        <v>762373.16666666663</v>
      </c>
      <c r="F10" s="24"/>
      <c r="G10" s="213"/>
    </row>
    <row r="11" spans="1:7" ht="20.100000000000001" customHeight="1">
      <c r="A11" s="430">
        <v>4</v>
      </c>
      <c r="B11" s="432" t="s">
        <v>187</v>
      </c>
      <c r="C11" s="431" t="s">
        <v>474</v>
      </c>
      <c r="D11" s="430" t="s">
        <v>496</v>
      </c>
      <c r="E11" s="24">
        <v>762373.16666666663</v>
      </c>
      <c r="F11" s="24">
        <f t="shared" si="0"/>
        <v>60989.853333333333</v>
      </c>
      <c r="G11" s="213"/>
    </row>
    <row r="12" spans="1:7" ht="20.100000000000001" customHeight="1">
      <c r="A12" s="430">
        <v>5</v>
      </c>
      <c r="B12" s="365" t="s">
        <v>203</v>
      </c>
      <c r="C12" s="357" t="s">
        <v>788</v>
      </c>
      <c r="D12" s="430" t="s">
        <v>496</v>
      </c>
      <c r="E12" s="24">
        <v>762373.16666666663</v>
      </c>
      <c r="F12" s="24">
        <f t="shared" si="0"/>
        <v>60989.853333333333</v>
      </c>
      <c r="G12" s="213"/>
    </row>
    <row r="13" spans="1:7" ht="20.100000000000001" customHeight="1">
      <c r="A13" s="430">
        <v>6</v>
      </c>
      <c r="B13" s="364" t="s">
        <v>364</v>
      </c>
      <c r="C13" s="430" t="s">
        <v>343</v>
      </c>
      <c r="D13" s="430" t="s">
        <v>496</v>
      </c>
      <c r="E13" s="24">
        <v>762373.16666666663</v>
      </c>
      <c r="F13" s="24"/>
      <c r="G13" s="213"/>
    </row>
    <row r="14" spans="1:7" ht="20.100000000000001" customHeight="1">
      <c r="A14" s="430">
        <v>7</v>
      </c>
      <c r="B14" s="432" t="s">
        <v>111</v>
      </c>
      <c r="C14" s="367" t="s">
        <v>468</v>
      </c>
      <c r="D14" s="434" t="s">
        <v>75</v>
      </c>
      <c r="E14" s="26">
        <v>620675.58333333337</v>
      </c>
      <c r="F14" s="24">
        <f t="shared" si="0"/>
        <v>49654.046666666669</v>
      </c>
      <c r="G14" s="213"/>
    </row>
    <row r="15" spans="1:7" ht="20.100000000000001" customHeight="1">
      <c r="A15" s="430">
        <v>8</v>
      </c>
      <c r="B15" s="432" t="s">
        <v>185</v>
      </c>
      <c r="C15" s="357" t="s">
        <v>708</v>
      </c>
      <c r="D15" s="430" t="s">
        <v>30</v>
      </c>
      <c r="E15" s="26">
        <v>582118.08333333337</v>
      </c>
      <c r="F15" s="24">
        <f t="shared" si="0"/>
        <v>46569.44666666667</v>
      </c>
      <c r="G15" s="213"/>
    </row>
    <row r="16" spans="1:7" ht="20.100000000000001" customHeight="1">
      <c r="A16" s="430">
        <v>9</v>
      </c>
      <c r="B16" s="432" t="s">
        <v>18</v>
      </c>
      <c r="C16" s="357" t="s">
        <v>389</v>
      </c>
      <c r="D16" s="434" t="s">
        <v>174</v>
      </c>
      <c r="E16" s="26">
        <v>484373.75</v>
      </c>
      <c r="F16" s="24">
        <f t="shared" si="0"/>
        <v>38749.9</v>
      </c>
      <c r="G16" s="213"/>
    </row>
    <row r="17" spans="1:7" ht="20.100000000000001" customHeight="1">
      <c r="A17" s="430">
        <v>10</v>
      </c>
      <c r="B17" s="365" t="s">
        <v>534</v>
      </c>
      <c r="C17" s="431" t="s">
        <v>297</v>
      </c>
      <c r="D17" s="434" t="s">
        <v>181</v>
      </c>
      <c r="E17" s="26">
        <v>470498</v>
      </c>
      <c r="F17" s="24">
        <f t="shared" si="0"/>
        <v>37639.840000000004</v>
      </c>
      <c r="G17" s="213"/>
    </row>
    <row r="18" spans="1:7" ht="20.100000000000001" customHeight="1">
      <c r="A18" s="430">
        <v>11</v>
      </c>
      <c r="B18" s="432" t="s">
        <v>184</v>
      </c>
      <c r="C18" s="357" t="s">
        <v>78</v>
      </c>
      <c r="D18" s="430" t="s">
        <v>222</v>
      </c>
      <c r="E18" s="26">
        <v>442746.5</v>
      </c>
      <c r="F18" s="24">
        <f t="shared" si="0"/>
        <v>35419.72</v>
      </c>
      <c r="G18" s="213"/>
    </row>
    <row r="19" spans="1:7" ht="20.100000000000001" customHeight="1">
      <c r="A19" s="430">
        <v>12</v>
      </c>
      <c r="B19" s="432" t="s">
        <v>724</v>
      </c>
      <c r="C19" s="357" t="s">
        <v>725</v>
      </c>
      <c r="D19" s="430" t="s">
        <v>175</v>
      </c>
      <c r="E19" s="26">
        <v>441804.91666666669</v>
      </c>
      <c r="F19" s="24">
        <f t="shared" si="0"/>
        <v>35344.393333333333</v>
      </c>
    </row>
    <row r="20" spans="1:7" ht="20.100000000000001" customHeight="1">
      <c r="A20" s="430">
        <v>13</v>
      </c>
      <c r="B20" s="432" t="s">
        <v>334</v>
      </c>
      <c r="C20" s="367" t="s">
        <v>351</v>
      </c>
      <c r="D20" s="434" t="s">
        <v>170</v>
      </c>
      <c r="E20" s="26">
        <v>428915.91666666669</v>
      </c>
      <c r="F20" s="24">
        <f t="shared" si="0"/>
        <v>34313.273333333338</v>
      </c>
      <c r="G20" s="213"/>
    </row>
    <row r="21" spans="1:7" ht="20.100000000000001" customHeight="1">
      <c r="A21" s="430">
        <v>14</v>
      </c>
      <c r="B21" s="364" t="s">
        <v>291</v>
      </c>
      <c r="C21" s="357" t="s">
        <v>789</v>
      </c>
      <c r="D21" s="434" t="s">
        <v>500</v>
      </c>
      <c r="E21" s="26">
        <v>416026.91666666669</v>
      </c>
      <c r="F21" s="24">
        <f t="shared" si="0"/>
        <v>33282.153333333335</v>
      </c>
      <c r="G21" s="213"/>
    </row>
    <row r="22" spans="1:7" ht="18.75" customHeight="1">
      <c r="A22" s="430">
        <v>15</v>
      </c>
      <c r="B22" s="432" t="s">
        <v>253</v>
      </c>
      <c r="C22" s="367" t="s">
        <v>478</v>
      </c>
      <c r="D22" s="434" t="s">
        <v>497</v>
      </c>
      <c r="E22" s="26">
        <v>377895.16666666669</v>
      </c>
      <c r="F22" s="24">
        <f t="shared" si="0"/>
        <v>30231.613333333335</v>
      </c>
      <c r="G22" s="213"/>
    </row>
    <row r="23" spans="1:7" ht="20.100000000000001" customHeight="1">
      <c r="A23" s="430">
        <v>16</v>
      </c>
      <c r="B23" s="365" t="s">
        <v>321</v>
      </c>
      <c r="C23" s="431" t="s">
        <v>790</v>
      </c>
      <c r="D23" s="430" t="s">
        <v>369</v>
      </c>
      <c r="E23" s="26">
        <v>353512.5</v>
      </c>
      <c r="F23" s="24">
        <f t="shared" si="0"/>
        <v>28281</v>
      </c>
      <c r="G23" s="213"/>
    </row>
    <row r="24" spans="1:7" ht="21.6" customHeight="1">
      <c r="A24" s="430">
        <v>17</v>
      </c>
      <c r="B24" s="432" t="s">
        <v>756</v>
      </c>
      <c r="C24" s="431" t="s">
        <v>422</v>
      </c>
      <c r="D24" s="434" t="s">
        <v>369</v>
      </c>
      <c r="E24" s="26">
        <v>353512.5</v>
      </c>
      <c r="F24" s="24">
        <f t="shared" si="0"/>
        <v>28281</v>
      </c>
      <c r="G24" s="213"/>
    </row>
    <row r="25" spans="1:7" ht="20.100000000000001" customHeight="1">
      <c r="A25" s="430">
        <v>18</v>
      </c>
      <c r="B25" s="365" t="s">
        <v>741</v>
      </c>
      <c r="C25" s="431" t="s">
        <v>742</v>
      </c>
      <c r="D25" s="430" t="s">
        <v>104</v>
      </c>
      <c r="E25" s="26">
        <v>293029.66666666669</v>
      </c>
      <c r="F25" s="24">
        <f t="shared" si="0"/>
        <v>23442.373333333337</v>
      </c>
      <c r="G25" s="213"/>
    </row>
    <row r="26" spans="1:7" ht="18.75" customHeight="1">
      <c r="A26" s="430">
        <v>19</v>
      </c>
      <c r="B26" s="357" t="s">
        <v>434</v>
      </c>
      <c r="C26" s="357" t="s">
        <v>17</v>
      </c>
      <c r="D26" s="430" t="s">
        <v>746</v>
      </c>
      <c r="E26" s="26">
        <v>270481.66666666669</v>
      </c>
      <c r="F26" s="24">
        <f t="shared" si="0"/>
        <v>21638.533333333336</v>
      </c>
      <c r="G26" s="213"/>
    </row>
    <row r="27" spans="1:7" ht="18.75" customHeight="1">
      <c r="A27" s="430">
        <v>20</v>
      </c>
      <c r="B27" s="364" t="s">
        <v>254</v>
      </c>
      <c r="C27" s="367" t="s">
        <v>17</v>
      </c>
      <c r="D27" s="434" t="s">
        <v>746</v>
      </c>
      <c r="E27" s="26">
        <v>270481.66666666669</v>
      </c>
      <c r="F27" s="24">
        <f t="shared" si="0"/>
        <v>21638.533333333336</v>
      </c>
      <c r="G27" s="213"/>
    </row>
    <row r="28" spans="1:7" ht="20.100000000000001" customHeight="1">
      <c r="A28" s="430">
        <v>21</v>
      </c>
      <c r="B28" s="432" t="s">
        <v>320</v>
      </c>
      <c r="C28" s="431" t="s">
        <v>115</v>
      </c>
      <c r="D28" s="430" t="s">
        <v>746</v>
      </c>
      <c r="E28" s="26">
        <v>270481.66666666669</v>
      </c>
      <c r="F28" s="24">
        <f t="shared" si="0"/>
        <v>21638.533333333336</v>
      </c>
      <c r="G28" s="213"/>
    </row>
    <row r="29" spans="1:7" ht="18.75" customHeight="1">
      <c r="A29" s="430">
        <v>22</v>
      </c>
      <c r="B29" s="364" t="s">
        <v>288</v>
      </c>
      <c r="C29" s="367" t="s">
        <v>706</v>
      </c>
      <c r="D29" s="434" t="s">
        <v>498</v>
      </c>
      <c r="E29" s="26">
        <v>263165.33333333331</v>
      </c>
      <c r="F29" s="24">
        <f t="shared" si="0"/>
        <v>21053.226666666666</v>
      </c>
      <c r="G29" s="213"/>
    </row>
    <row r="30" spans="1:7" ht="18.75" customHeight="1">
      <c r="A30" s="430">
        <v>23</v>
      </c>
      <c r="B30" s="364" t="s">
        <v>328</v>
      </c>
      <c r="C30" s="357" t="s">
        <v>737</v>
      </c>
      <c r="D30" s="430" t="s">
        <v>428</v>
      </c>
      <c r="E30" s="26">
        <v>255849</v>
      </c>
      <c r="F30" s="24">
        <f t="shared" si="0"/>
        <v>20467.920000000002</v>
      </c>
      <c r="G30" s="213"/>
    </row>
    <row r="31" spans="1:7" ht="18.75" customHeight="1">
      <c r="A31" s="430">
        <v>24</v>
      </c>
      <c r="B31" s="364" t="s">
        <v>757</v>
      </c>
      <c r="C31" s="357" t="s">
        <v>737</v>
      </c>
      <c r="D31" s="430" t="s">
        <v>428</v>
      </c>
      <c r="E31" s="26">
        <v>255849</v>
      </c>
      <c r="F31" s="24">
        <f t="shared" si="0"/>
        <v>20467.920000000002</v>
      </c>
      <c r="G31" s="213"/>
    </row>
    <row r="32" spans="1:7" ht="18.75" customHeight="1">
      <c r="A32" s="430">
        <v>25</v>
      </c>
      <c r="B32" s="364" t="s">
        <v>360</v>
      </c>
      <c r="C32" s="431" t="s">
        <v>372</v>
      </c>
      <c r="D32" s="434" t="s">
        <v>746</v>
      </c>
      <c r="E32" s="26">
        <v>270481.66666666669</v>
      </c>
      <c r="F32" s="24">
        <f t="shared" si="0"/>
        <v>21638.533333333336</v>
      </c>
      <c r="G32" s="213"/>
    </row>
    <row r="33" spans="1:7" ht="18.75" customHeight="1">
      <c r="A33" s="430">
        <v>26</v>
      </c>
      <c r="B33" s="364" t="s">
        <v>330</v>
      </c>
      <c r="C33" s="357" t="s">
        <v>533</v>
      </c>
      <c r="D33" s="430" t="s">
        <v>51</v>
      </c>
      <c r="E33" s="26">
        <v>230631.91666666666</v>
      </c>
      <c r="F33" s="24">
        <f t="shared" si="0"/>
        <v>18450.553333333333</v>
      </c>
      <c r="G33" s="213"/>
    </row>
    <row r="34" spans="1:7" ht="18.75" customHeight="1">
      <c r="A34" s="430">
        <v>27</v>
      </c>
      <c r="B34" s="364" t="s">
        <v>555</v>
      </c>
      <c r="C34" s="367" t="s">
        <v>314</v>
      </c>
      <c r="D34" s="434" t="s">
        <v>176</v>
      </c>
      <c r="E34" s="26">
        <v>224459.75</v>
      </c>
      <c r="F34" s="24">
        <f t="shared" si="0"/>
        <v>17956.78</v>
      </c>
      <c r="G34" s="213"/>
    </row>
    <row r="35" spans="1:7" ht="26.25" customHeight="1">
      <c r="A35" s="430"/>
      <c r="B35" s="366" t="s">
        <v>15</v>
      </c>
      <c r="C35" s="360">
        <v>27</v>
      </c>
      <c r="D35" s="434"/>
      <c r="E35" s="216">
        <f>SUM(E8:E34)</f>
        <v>13048608.166999994</v>
      </c>
      <c r="F35" s="216">
        <f t="shared" ref="F35" si="1">SUM(F8:F34)</f>
        <v>789128.85333333351</v>
      </c>
      <c r="G35" s="213"/>
    </row>
    <row r="36" spans="1:7" ht="18.75" customHeight="1">
      <c r="A36" s="430"/>
      <c r="B36" s="362"/>
      <c r="C36" s="357"/>
      <c r="D36" s="434"/>
      <c r="E36" s="216"/>
      <c r="F36" s="216"/>
      <c r="G36" s="213"/>
    </row>
    <row r="37" spans="1:7" ht="18.75" customHeight="1">
      <c r="A37" s="430"/>
      <c r="B37" s="366" t="s">
        <v>284</v>
      </c>
      <c r="C37" s="357"/>
      <c r="D37" s="434"/>
      <c r="E37" s="26"/>
      <c r="F37" s="26"/>
      <c r="G37" s="213"/>
    </row>
    <row r="38" spans="1:7" ht="18.75" customHeight="1">
      <c r="A38" s="430">
        <v>1</v>
      </c>
      <c r="B38" s="364" t="s">
        <v>361</v>
      </c>
      <c r="C38" s="357" t="s">
        <v>362</v>
      </c>
      <c r="D38" s="430" t="s">
        <v>161</v>
      </c>
      <c r="E38" s="26">
        <v>1435720</v>
      </c>
      <c r="F38" s="26">
        <f>E38*0.08</f>
        <v>114857.60000000001</v>
      </c>
      <c r="G38" s="213"/>
    </row>
    <row r="39" spans="1:7" ht="18.75" customHeight="1">
      <c r="A39" s="430">
        <v>2</v>
      </c>
      <c r="B39" s="364" t="s">
        <v>419</v>
      </c>
      <c r="C39" s="357" t="s">
        <v>791</v>
      </c>
      <c r="D39" s="430" t="s">
        <v>104</v>
      </c>
      <c r="E39" s="26">
        <v>293029.66666666669</v>
      </c>
      <c r="F39" s="26">
        <f t="shared" ref="F39:F40" si="2">E39*0.08</f>
        <v>23442.373333333337</v>
      </c>
      <c r="G39" s="213"/>
    </row>
    <row r="40" spans="1:7" ht="18.75" customHeight="1">
      <c r="A40" s="430">
        <v>3</v>
      </c>
      <c r="B40" s="432" t="s">
        <v>720</v>
      </c>
      <c r="C40" s="367" t="s">
        <v>721</v>
      </c>
      <c r="D40" s="434" t="s">
        <v>207</v>
      </c>
      <c r="E40" s="26">
        <v>300965.58333333331</v>
      </c>
      <c r="F40" s="26">
        <f t="shared" si="2"/>
        <v>24077.246666666666</v>
      </c>
      <c r="G40" s="213"/>
    </row>
    <row r="41" spans="1:7" ht="19.5" customHeight="1">
      <c r="A41" s="430"/>
      <c r="B41" s="365"/>
      <c r="C41" s="360">
        <v>3</v>
      </c>
      <c r="D41" s="430"/>
      <c r="E41" s="216">
        <f>SUM(E38:E40)</f>
        <v>2029715.25</v>
      </c>
      <c r="F41" s="216">
        <f t="shared" ref="F41" si="3">SUM(F38:F40)</f>
        <v>162377.22</v>
      </c>
      <c r="G41" s="213"/>
    </row>
    <row r="42" spans="1:7" ht="20.100000000000001" customHeight="1">
      <c r="A42" s="430"/>
      <c r="B42" s="365"/>
      <c r="C42" s="357"/>
      <c r="D42" s="430"/>
      <c r="E42" s="216"/>
      <c r="F42" s="216"/>
      <c r="G42" s="213"/>
    </row>
    <row r="43" spans="1:7" ht="20.100000000000001" customHeight="1">
      <c r="A43" s="430"/>
      <c r="B43" s="218" t="s">
        <v>56</v>
      </c>
      <c r="C43" s="203"/>
      <c r="D43" s="207"/>
      <c r="E43" s="216"/>
      <c r="F43" s="216"/>
      <c r="G43" s="213"/>
    </row>
    <row r="44" spans="1:7" ht="20.100000000000001" customHeight="1">
      <c r="A44" s="430">
        <v>1</v>
      </c>
      <c r="B44" s="432" t="s">
        <v>255</v>
      </c>
      <c r="C44" s="357" t="s">
        <v>256</v>
      </c>
      <c r="D44" s="430" t="s">
        <v>161</v>
      </c>
      <c r="E44" s="26">
        <v>1435720</v>
      </c>
      <c r="F44" s="26">
        <f>E44*0.08</f>
        <v>114857.60000000001</v>
      </c>
      <c r="G44" s="213"/>
    </row>
    <row r="45" spans="1:7" ht="20.100000000000001" customHeight="1">
      <c r="A45" s="430">
        <v>2</v>
      </c>
      <c r="B45" s="432" t="s">
        <v>158</v>
      </c>
      <c r="C45" s="357" t="s">
        <v>199</v>
      </c>
      <c r="D45" s="430" t="s">
        <v>75</v>
      </c>
      <c r="E45" s="26">
        <v>620675.58333333337</v>
      </c>
      <c r="F45" s="26">
        <f t="shared" ref="F45:F54" si="4">E45*0.08</f>
        <v>49654.046666666669</v>
      </c>
      <c r="G45" s="213"/>
    </row>
    <row r="46" spans="1:7" ht="20.100000000000001" customHeight="1">
      <c r="A46" s="430">
        <v>3</v>
      </c>
      <c r="B46" s="432" t="s">
        <v>165</v>
      </c>
      <c r="C46" s="357" t="s">
        <v>738</v>
      </c>
      <c r="D46" s="430" t="s">
        <v>221</v>
      </c>
      <c r="E46" s="26">
        <v>739203.58333333337</v>
      </c>
      <c r="F46" s="26">
        <f t="shared" si="4"/>
        <v>59136.286666666674</v>
      </c>
      <c r="G46" s="213"/>
    </row>
    <row r="47" spans="1:7" ht="20.100000000000001" customHeight="1">
      <c r="A47" s="430">
        <v>4</v>
      </c>
      <c r="B47" s="432" t="s">
        <v>159</v>
      </c>
      <c r="C47" s="357" t="s">
        <v>258</v>
      </c>
      <c r="D47" s="430" t="s">
        <v>75</v>
      </c>
      <c r="E47" s="26">
        <v>620675.58333333337</v>
      </c>
      <c r="F47" s="26">
        <f t="shared" si="4"/>
        <v>49654.046666666669</v>
      </c>
      <c r="G47" s="213"/>
    </row>
    <row r="48" spans="1:7" ht="20.100000000000001" customHeight="1">
      <c r="A48" s="430">
        <v>5</v>
      </c>
      <c r="B48" s="432" t="s">
        <v>118</v>
      </c>
      <c r="C48" s="357" t="s">
        <v>258</v>
      </c>
      <c r="D48" s="430" t="s">
        <v>75</v>
      </c>
      <c r="E48" s="26">
        <v>620675.58333333337</v>
      </c>
      <c r="F48" s="26">
        <f t="shared" si="4"/>
        <v>49654.046666666669</v>
      </c>
      <c r="G48" s="213"/>
    </row>
    <row r="49" spans="1:7" ht="20.100000000000001" customHeight="1">
      <c r="A49" s="430">
        <v>6</v>
      </c>
      <c r="B49" s="432" t="s">
        <v>205</v>
      </c>
      <c r="C49" s="357" t="s">
        <v>258</v>
      </c>
      <c r="D49" s="430" t="s">
        <v>30</v>
      </c>
      <c r="E49" s="26">
        <v>582118.08333333337</v>
      </c>
      <c r="F49" s="26">
        <f t="shared" si="4"/>
        <v>46569.44666666667</v>
      </c>
      <c r="G49" s="213"/>
    </row>
    <row r="50" spans="1:7" ht="20.100000000000001" customHeight="1">
      <c r="A50" s="430">
        <v>7</v>
      </c>
      <c r="B50" s="365" t="s">
        <v>173</v>
      </c>
      <c r="C50" s="357" t="s">
        <v>297</v>
      </c>
      <c r="D50" s="25" t="s">
        <v>181</v>
      </c>
      <c r="E50" s="26">
        <v>470498</v>
      </c>
      <c r="F50" s="26">
        <f t="shared" si="4"/>
        <v>37639.840000000004</v>
      </c>
      <c r="G50" s="213"/>
    </row>
    <row r="51" spans="1:7" ht="20.100000000000001" customHeight="1">
      <c r="A51" s="430">
        <v>8</v>
      </c>
      <c r="B51" s="432" t="s">
        <v>551</v>
      </c>
      <c r="C51" s="357" t="s">
        <v>84</v>
      </c>
      <c r="D51" s="430" t="s">
        <v>207</v>
      </c>
      <c r="E51" s="26">
        <v>300965.58333333331</v>
      </c>
      <c r="F51" s="26">
        <f t="shared" si="4"/>
        <v>24077.246666666666</v>
      </c>
      <c r="G51" s="213"/>
    </row>
    <row r="52" spans="1:7" ht="20.100000000000001" customHeight="1">
      <c r="A52" s="430">
        <v>9</v>
      </c>
      <c r="B52" s="432" t="s">
        <v>420</v>
      </c>
      <c r="C52" s="357" t="s">
        <v>84</v>
      </c>
      <c r="D52" s="430" t="s">
        <v>498</v>
      </c>
      <c r="E52" s="26">
        <v>263165.33333333331</v>
      </c>
      <c r="F52" s="26">
        <f t="shared" si="4"/>
        <v>21053.226666666666</v>
      </c>
      <c r="G52" s="213"/>
    </row>
    <row r="53" spans="1:7" ht="20.100000000000001" customHeight="1">
      <c r="A53" s="430">
        <v>10</v>
      </c>
      <c r="B53" s="432" t="s">
        <v>435</v>
      </c>
      <c r="C53" s="357" t="s">
        <v>84</v>
      </c>
      <c r="D53" s="430" t="s">
        <v>498</v>
      </c>
      <c r="E53" s="26">
        <v>263165.33333333331</v>
      </c>
      <c r="F53" s="26">
        <f t="shared" si="4"/>
        <v>21053.226666666666</v>
      </c>
      <c r="G53" s="213"/>
    </row>
    <row r="54" spans="1:7" ht="20.100000000000001" customHeight="1">
      <c r="A54" s="430">
        <v>11</v>
      </c>
      <c r="B54" s="432" t="s">
        <v>452</v>
      </c>
      <c r="C54" s="357" t="s">
        <v>84</v>
      </c>
      <c r="D54" s="430" t="s">
        <v>498</v>
      </c>
      <c r="E54" s="26">
        <v>263165.33333333331</v>
      </c>
      <c r="F54" s="26">
        <f t="shared" si="4"/>
        <v>21053.226666666666</v>
      </c>
      <c r="G54" s="213"/>
    </row>
    <row r="55" spans="1:7" ht="25.5" customHeight="1">
      <c r="A55" s="430"/>
      <c r="B55" s="366" t="s">
        <v>15</v>
      </c>
      <c r="C55" s="360">
        <v>11</v>
      </c>
      <c r="D55" s="360"/>
      <c r="E55" s="78">
        <f>SUM(E44:E54)</f>
        <v>6180027.9999999991</v>
      </c>
      <c r="F55" s="78">
        <f t="shared" ref="F55" si="5">SUM(F44:F54)</f>
        <v>494402.24000000011</v>
      </c>
      <c r="G55" s="213"/>
    </row>
    <row r="56" spans="1:7" ht="20.100000000000001" customHeight="1">
      <c r="A56" s="430"/>
      <c r="B56" s="362"/>
      <c r="C56" s="360"/>
      <c r="D56" s="360"/>
      <c r="E56" s="31"/>
      <c r="F56" s="31"/>
      <c r="G56" s="213"/>
    </row>
    <row r="57" spans="1:7" ht="20.100000000000001" customHeight="1">
      <c r="A57" s="430"/>
      <c r="B57" s="366" t="s">
        <v>195</v>
      </c>
      <c r="C57" s="360"/>
      <c r="D57" s="360"/>
      <c r="E57" s="31"/>
      <c r="F57" s="31"/>
      <c r="G57" s="213"/>
    </row>
    <row r="58" spans="1:7" ht="20.100000000000001" customHeight="1">
      <c r="A58" s="430">
        <v>1</v>
      </c>
      <c r="B58" s="432" t="s">
        <v>11</v>
      </c>
      <c r="C58" s="367" t="s">
        <v>200</v>
      </c>
      <c r="D58" s="434" t="s">
        <v>161</v>
      </c>
      <c r="E58" s="26">
        <v>1435720</v>
      </c>
      <c r="F58" s="26">
        <f>E58*0.08</f>
        <v>114857.60000000001</v>
      </c>
      <c r="G58" s="213"/>
    </row>
    <row r="59" spans="1:7" ht="20.100000000000001" customHeight="1">
      <c r="A59" s="430">
        <v>2</v>
      </c>
      <c r="B59" s="432" t="s">
        <v>276</v>
      </c>
      <c r="C59" s="367" t="s">
        <v>340</v>
      </c>
      <c r="D59" s="434" t="s">
        <v>747</v>
      </c>
      <c r="E59" s="26">
        <v>620675.58333333337</v>
      </c>
      <c r="F59" s="26">
        <f>E59*0.08</f>
        <v>49654.046666666669</v>
      </c>
      <c r="G59" s="213"/>
    </row>
    <row r="60" spans="1:7" ht="20.100000000000001" customHeight="1">
      <c r="A60" s="430"/>
      <c r="B60" s="366" t="s">
        <v>15</v>
      </c>
      <c r="C60" s="360">
        <v>2</v>
      </c>
      <c r="D60" s="360"/>
      <c r="E60" s="78">
        <f>SUM(E58:E59)</f>
        <v>2056395.5833333335</v>
      </c>
      <c r="F60" s="78">
        <f t="shared" ref="F60" si="6">SUM(F58:F59)</f>
        <v>164511.64666666667</v>
      </c>
      <c r="G60" s="213"/>
    </row>
    <row r="61" spans="1:7" ht="20.100000000000001" customHeight="1">
      <c r="A61" s="430"/>
      <c r="B61" s="366"/>
      <c r="C61" s="360"/>
      <c r="D61" s="360"/>
      <c r="E61" s="31"/>
      <c r="F61" s="31"/>
      <c r="G61" s="213"/>
    </row>
    <row r="62" spans="1:7" ht="20.100000000000001" customHeight="1">
      <c r="A62" s="430"/>
      <c r="B62" s="366" t="s">
        <v>461</v>
      </c>
      <c r="C62" s="360"/>
      <c r="D62" s="360"/>
      <c r="E62" s="31"/>
      <c r="F62" s="31"/>
      <c r="G62" s="213"/>
    </row>
    <row r="63" spans="1:7" ht="20.100000000000001" customHeight="1">
      <c r="A63" s="430">
        <v>1</v>
      </c>
      <c r="B63" s="432" t="s">
        <v>277</v>
      </c>
      <c r="C63" s="431" t="s">
        <v>278</v>
      </c>
      <c r="D63" s="430" t="s">
        <v>161</v>
      </c>
      <c r="E63" s="26">
        <v>1435720</v>
      </c>
      <c r="F63" s="26"/>
      <c r="G63" s="213"/>
    </row>
    <row r="64" spans="1:7" ht="20.100000000000001" customHeight="1">
      <c r="A64" s="430">
        <v>2</v>
      </c>
      <c r="B64" s="330" t="s">
        <v>332</v>
      </c>
      <c r="C64" s="431" t="s">
        <v>188</v>
      </c>
      <c r="D64" s="434" t="s">
        <v>148</v>
      </c>
      <c r="E64" s="26">
        <v>601396.83333333337</v>
      </c>
      <c r="F64" s="26">
        <f t="shared" ref="F64:F72" si="7">E64*0.08</f>
        <v>48111.746666666673</v>
      </c>
      <c r="G64" s="213"/>
    </row>
    <row r="65" spans="1:7" ht="20.100000000000001" customHeight="1">
      <c r="A65" s="430">
        <v>3</v>
      </c>
      <c r="B65" s="432" t="s">
        <v>189</v>
      </c>
      <c r="C65" s="357" t="s">
        <v>297</v>
      </c>
      <c r="D65" s="430" t="s">
        <v>222</v>
      </c>
      <c r="E65" s="26">
        <v>442746.5</v>
      </c>
      <c r="F65" s="26">
        <f t="shared" si="7"/>
        <v>35419.72</v>
      </c>
      <c r="G65" s="213"/>
    </row>
    <row r="66" spans="1:7" ht="20.100000000000001" customHeight="1">
      <c r="A66" s="430">
        <v>4</v>
      </c>
      <c r="B66" s="364" t="s">
        <v>448</v>
      </c>
      <c r="C66" s="431" t="s">
        <v>257</v>
      </c>
      <c r="D66" s="434" t="s">
        <v>170</v>
      </c>
      <c r="E66" s="26">
        <v>428915.91666666669</v>
      </c>
      <c r="F66" s="26">
        <f t="shared" si="7"/>
        <v>34313.273333333338</v>
      </c>
      <c r="G66" s="213"/>
    </row>
    <row r="67" spans="1:7" ht="20.100000000000001" customHeight="1">
      <c r="A67" s="430">
        <v>5</v>
      </c>
      <c r="B67" s="365" t="s">
        <v>229</v>
      </c>
      <c r="C67" s="431" t="s">
        <v>297</v>
      </c>
      <c r="D67" s="434" t="s">
        <v>174</v>
      </c>
      <c r="E67" s="26">
        <v>484373.75</v>
      </c>
      <c r="F67" s="26">
        <f t="shared" si="7"/>
        <v>38749.9</v>
      </c>
      <c r="G67" s="213"/>
    </row>
    <row r="68" spans="1:7" ht="20.100000000000001" customHeight="1">
      <c r="A68" s="430">
        <v>7</v>
      </c>
      <c r="B68" s="432" t="s">
        <v>117</v>
      </c>
      <c r="C68" s="357" t="s">
        <v>84</v>
      </c>
      <c r="D68" s="430" t="s">
        <v>415</v>
      </c>
      <c r="E68" s="26">
        <v>365703.83333333331</v>
      </c>
      <c r="F68" s="26">
        <f t="shared" si="7"/>
        <v>29256.306666666667</v>
      </c>
      <c r="G68" s="213"/>
    </row>
    <row r="69" spans="1:7" ht="20.100000000000001" customHeight="1">
      <c r="A69" s="430">
        <v>8</v>
      </c>
      <c r="B69" s="432" t="s">
        <v>424</v>
      </c>
      <c r="C69" s="431" t="s">
        <v>422</v>
      </c>
      <c r="D69" s="430" t="s">
        <v>415</v>
      </c>
      <c r="E69" s="26">
        <v>365703.83333333331</v>
      </c>
      <c r="F69" s="26">
        <f t="shared" si="7"/>
        <v>29256.306666666667</v>
      </c>
      <c r="G69" s="213"/>
    </row>
    <row r="70" spans="1:7" ht="20.100000000000001" customHeight="1">
      <c r="A70" s="430">
        <v>9</v>
      </c>
      <c r="B70" s="432" t="s">
        <v>423</v>
      </c>
      <c r="C70" s="431" t="s">
        <v>422</v>
      </c>
      <c r="D70" s="430" t="s">
        <v>415</v>
      </c>
      <c r="E70" s="26">
        <v>365703.83333333331</v>
      </c>
      <c r="F70" s="26">
        <f t="shared" si="7"/>
        <v>29256.306666666667</v>
      </c>
      <c r="G70" s="213"/>
    </row>
    <row r="71" spans="1:7" ht="20.100000000000001" customHeight="1">
      <c r="A71" s="430">
        <v>10</v>
      </c>
      <c r="B71" s="432" t="s">
        <v>242</v>
      </c>
      <c r="C71" s="357" t="s">
        <v>484</v>
      </c>
      <c r="D71" s="430" t="s">
        <v>497</v>
      </c>
      <c r="E71" s="465">
        <v>377895.16666666669</v>
      </c>
      <c r="F71" s="26">
        <f t="shared" si="7"/>
        <v>30231.613333333335</v>
      </c>
      <c r="G71" s="213"/>
    </row>
    <row r="72" spans="1:7" ht="21.6" customHeight="1">
      <c r="A72" s="430">
        <v>11</v>
      </c>
      <c r="B72" s="432" t="s">
        <v>726</v>
      </c>
      <c r="C72" s="357" t="s">
        <v>84</v>
      </c>
      <c r="D72" s="430" t="s">
        <v>207</v>
      </c>
      <c r="E72" s="212">
        <v>300965.58333333331</v>
      </c>
      <c r="F72" s="26">
        <f t="shared" si="7"/>
        <v>24077.246666666666</v>
      </c>
    </row>
    <row r="73" spans="1:7" ht="27" customHeight="1">
      <c r="A73" s="430"/>
      <c r="B73" s="366" t="s">
        <v>15</v>
      </c>
      <c r="C73" s="360">
        <v>12</v>
      </c>
      <c r="D73" s="360"/>
      <c r="E73" s="78">
        <f>SUM(E63:E72)</f>
        <v>5169125.25</v>
      </c>
      <c r="F73" s="78">
        <f t="shared" ref="F73" si="8">SUM(F63:F72)</f>
        <v>298672.42</v>
      </c>
      <c r="G73" s="213"/>
    </row>
    <row r="74" spans="1:7" ht="20.100000000000001" customHeight="1">
      <c r="A74" s="430"/>
      <c r="B74" s="362"/>
      <c r="C74" s="360"/>
      <c r="D74" s="360"/>
      <c r="E74" s="31"/>
      <c r="F74" s="31"/>
      <c r="G74" s="213"/>
    </row>
    <row r="75" spans="1:7" ht="20.100000000000001" customHeight="1">
      <c r="A75" s="430"/>
      <c r="B75" s="366" t="s">
        <v>462</v>
      </c>
      <c r="C75" s="360"/>
      <c r="D75" s="360"/>
      <c r="E75" s="31"/>
      <c r="F75" s="31"/>
      <c r="G75" s="213"/>
    </row>
    <row r="76" spans="1:7" ht="20.100000000000001" customHeight="1">
      <c r="A76" s="430">
        <v>1</v>
      </c>
      <c r="B76" s="432" t="s">
        <v>19</v>
      </c>
      <c r="C76" s="357" t="s">
        <v>201</v>
      </c>
      <c r="D76" s="430" t="s">
        <v>161</v>
      </c>
      <c r="E76" s="26">
        <v>1435720</v>
      </c>
      <c r="F76" s="26">
        <f>E76*0.08</f>
        <v>114857.60000000001</v>
      </c>
      <c r="G76" s="213"/>
    </row>
    <row r="77" spans="1:7" ht="20.100000000000001" customHeight="1">
      <c r="A77" s="430">
        <v>2</v>
      </c>
      <c r="B77" s="365" t="s">
        <v>325</v>
      </c>
      <c r="C77" s="357" t="s">
        <v>245</v>
      </c>
      <c r="D77" s="434" t="s">
        <v>412</v>
      </c>
      <c r="E77" s="24">
        <v>601396.83333333337</v>
      </c>
      <c r="F77" s="26"/>
      <c r="G77" s="213"/>
    </row>
    <row r="78" spans="1:7" ht="20.100000000000001" customHeight="1">
      <c r="A78" s="430">
        <v>3</v>
      </c>
      <c r="B78" s="364" t="s">
        <v>333</v>
      </c>
      <c r="C78" s="367" t="s">
        <v>387</v>
      </c>
      <c r="D78" s="430" t="s">
        <v>747</v>
      </c>
      <c r="E78" s="26">
        <v>620675.58333333337</v>
      </c>
      <c r="F78" s="26"/>
      <c r="G78" s="213"/>
    </row>
    <row r="79" spans="1:7" ht="20.100000000000001" customHeight="1">
      <c r="A79" s="430">
        <v>4</v>
      </c>
      <c r="B79" s="432" t="s">
        <v>26</v>
      </c>
      <c r="C79" s="357" t="s">
        <v>707</v>
      </c>
      <c r="D79" s="434" t="s">
        <v>162</v>
      </c>
      <c r="E79" s="26">
        <v>456622.25</v>
      </c>
      <c r="F79" s="26">
        <f t="shared" ref="F79:F82" si="9">E79*0.08</f>
        <v>36529.78</v>
      </c>
      <c r="G79" s="213"/>
    </row>
    <row r="80" spans="1:7" ht="20.100000000000001" customHeight="1">
      <c r="A80" s="430">
        <v>5</v>
      </c>
      <c r="B80" s="432" t="s">
        <v>324</v>
      </c>
      <c r="C80" s="357" t="s">
        <v>243</v>
      </c>
      <c r="D80" s="430" t="s">
        <v>164</v>
      </c>
      <c r="E80" s="26">
        <v>308901.5</v>
      </c>
      <c r="F80" s="26">
        <f t="shared" si="9"/>
        <v>24712.12</v>
      </c>
      <c r="G80" s="213"/>
    </row>
    <row r="81" spans="1:7" ht="20.100000000000001" customHeight="1">
      <c r="A81" s="430">
        <v>6</v>
      </c>
      <c r="B81" s="432" t="s">
        <v>554</v>
      </c>
      <c r="C81" s="357" t="s">
        <v>243</v>
      </c>
      <c r="D81" s="430" t="s">
        <v>498</v>
      </c>
      <c r="E81" s="26">
        <v>263165.33333333331</v>
      </c>
      <c r="F81" s="26">
        <f t="shared" si="9"/>
        <v>21053.226666666666</v>
      </c>
      <c r="G81" s="213"/>
    </row>
    <row r="82" spans="1:7" ht="20.100000000000001" customHeight="1">
      <c r="A82" s="430">
        <v>7</v>
      </c>
      <c r="B82" s="432" t="s">
        <v>552</v>
      </c>
      <c r="C82" s="357" t="s">
        <v>553</v>
      </c>
      <c r="D82" s="430" t="s">
        <v>176</v>
      </c>
      <c r="E82" s="26">
        <v>224459.75</v>
      </c>
      <c r="F82" s="26">
        <f t="shared" si="9"/>
        <v>17956.78</v>
      </c>
      <c r="G82" s="213"/>
    </row>
    <row r="83" spans="1:7" ht="20.100000000000001" customHeight="1">
      <c r="A83" s="430"/>
      <c r="B83" s="366" t="s">
        <v>15</v>
      </c>
      <c r="C83" s="360">
        <v>7</v>
      </c>
      <c r="D83" s="360"/>
      <c r="E83" s="78">
        <f>SUM(E76:E82)</f>
        <v>3910941.2500000005</v>
      </c>
      <c r="F83" s="78">
        <f t="shared" ref="F83" si="10">SUM(F76:F82)</f>
        <v>215109.50666666665</v>
      </c>
      <c r="G83" s="213"/>
    </row>
    <row r="84" spans="1:7" ht="20.100000000000001" customHeight="1">
      <c r="A84" s="430"/>
      <c r="B84" s="366"/>
      <c r="C84" s="360"/>
      <c r="D84" s="360"/>
      <c r="E84" s="31"/>
      <c r="F84" s="31"/>
      <c r="G84" s="213"/>
    </row>
    <row r="85" spans="1:7" ht="20.100000000000001" customHeight="1">
      <c r="A85" s="430"/>
      <c r="B85" s="366" t="s">
        <v>463</v>
      </c>
      <c r="C85" s="219"/>
      <c r="D85" s="360"/>
      <c r="E85" s="31"/>
      <c r="F85" s="31"/>
      <c r="G85" s="213"/>
    </row>
    <row r="86" spans="1:7" ht="20.100000000000001" customHeight="1">
      <c r="A86" s="430">
        <v>1</v>
      </c>
      <c r="B86" s="432" t="s">
        <v>169</v>
      </c>
      <c r="C86" s="357" t="s">
        <v>258</v>
      </c>
      <c r="D86" s="430" t="s">
        <v>75</v>
      </c>
      <c r="E86" s="26">
        <v>620675.58333333337</v>
      </c>
      <c r="F86" s="26">
        <f>E86*0.08</f>
        <v>49654.046666666669</v>
      </c>
      <c r="G86" s="213"/>
    </row>
    <row r="87" spans="1:7" ht="20.100000000000001" customHeight="1">
      <c r="A87" s="430">
        <v>2</v>
      </c>
      <c r="B87" s="432" t="s">
        <v>192</v>
      </c>
      <c r="C87" s="357" t="s">
        <v>258</v>
      </c>
      <c r="D87" s="430" t="s">
        <v>75</v>
      </c>
      <c r="E87" s="26">
        <v>620675.58333333337</v>
      </c>
      <c r="F87" s="26">
        <f t="shared" ref="F87:F95" si="11">E87*0.08</f>
        <v>49654.046666666669</v>
      </c>
      <c r="G87" s="213"/>
    </row>
    <row r="88" spans="1:7" ht="20.100000000000001" customHeight="1">
      <c r="A88" s="430">
        <v>3</v>
      </c>
      <c r="B88" s="432" t="s">
        <v>202</v>
      </c>
      <c r="C88" s="357" t="s">
        <v>258</v>
      </c>
      <c r="D88" s="430" t="s">
        <v>30</v>
      </c>
      <c r="E88" s="26">
        <v>582118.08333333337</v>
      </c>
      <c r="F88" s="26">
        <f t="shared" si="11"/>
        <v>46569.44666666667</v>
      </c>
      <c r="G88" s="213"/>
    </row>
    <row r="89" spans="1:7" ht="21.6" customHeight="1">
      <c r="A89" s="430">
        <v>4</v>
      </c>
      <c r="B89" s="432" t="s">
        <v>101</v>
      </c>
      <c r="C89" s="357" t="s">
        <v>80</v>
      </c>
      <c r="D89" s="434" t="s">
        <v>175</v>
      </c>
      <c r="E89" s="26">
        <v>441804.91666666669</v>
      </c>
      <c r="F89" s="26">
        <f t="shared" si="11"/>
        <v>35344.393333333333</v>
      </c>
      <c r="G89" s="213"/>
    </row>
    <row r="90" spans="1:7" ht="21.6" customHeight="1">
      <c r="A90" s="430">
        <v>5</v>
      </c>
      <c r="B90" s="432" t="s">
        <v>336</v>
      </c>
      <c r="C90" s="367" t="s">
        <v>257</v>
      </c>
      <c r="D90" s="434" t="s">
        <v>170</v>
      </c>
      <c r="E90" s="26">
        <v>428915.91666666669</v>
      </c>
      <c r="F90" s="26">
        <f t="shared" si="11"/>
        <v>34313.273333333338</v>
      </c>
      <c r="G90" s="213"/>
    </row>
    <row r="91" spans="1:7" ht="21.6" customHeight="1">
      <c r="A91" s="430">
        <v>6</v>
      </c>
      <c r="B91" s="432" t="s">
        <v>337</v>
      </c>
      <c r="C91" s="367" t="s">
        <v>297</v>
      </c>
      <c r="D91" s="434" t="s">
        <v>95</v>
      </c>
      <c r="E91" s="26">
        <v>428870.75</v>
      </c>
      <c r="F91" s="26">
        <f t="shared" si="11"/>
        <v>34309.660000000003</v>
      </c>
      <c r="G91" s="213"/>
    </row>
    <row r="92" spans="1:7" ht="21.6" customHeight="1">
      <c r="A92" s="430">
        <v>7</v>
      </c>
      <c r="B92" s="432" t="s">
        <v>421</v>
      </c>
      <c r="C92" s="431" t="s">
        <v>422</v>
      </c>
      <c r="D92" s="434" t="s">
        <v>415</v>
      </c>
      <c r="E92" s="26">
        <v>365703.83333333331</v>
      </c>
      <c r="F92" s="26">
        <f t="shared" si="11"/>
        <v>29256.306666666667</v>
      </c>
      <c r="G92" s="213"/>
    </row>
    <row r="93" spans="1:7" ht="21.6" customHeight="1">
      <c r="A93" s="430">
        <v>8</v>
      </c>
      <c r="B93" s="432" t="s">
        <v>556</v>
      </c>
      <c r="C93" s="431" t="s">
        <v>257</v>
      </c>
      <c r="D93" s="434" t="s">
        <v>758</v>
      </c>
      <c r="E93" s="26">
        <v>390248.91666666669</v>
      </c>
      <c r="F93" s="26">
        <f t="shared" si="11"/>
        <v>31219.913333333334</v>
      </c>
      <c r="G93" s="213"/>
    </row>
    <row r="94" spans="1:7" ht="21.6" customHeight="1">
      <c r="A94" s="430">
        <v>9</v>
      </c>
      <c r="B94" s="432" t="s">
        <v>436</v>
      </c>
      <c r="C94" s="357" t="s">
        <v>470</v>
      </c>
      <c r="D94" s="430" t="s">
        <v>207</v>
      </c>
      <c r="E94" s="212">
        <v>300965.58333333331</v>
      </c>
      <c r="F94" s="26">
        <f t="shared" si="11"/>
        <v>24077.246666666666</v>
      </c>
      <c r="G94" s="213"/>
    </row>
    <row r="95" spans="1:7" ht="21.6" customHeight="1">
      <c r="A95" s="430">
        <v>10</v>
      </c>
      <c r="B95" s="432" t="s">
        <v>406</v>
      </c>
      <c r="C95" s="431" t="s">
        <v>432</v>
      </c>
      <c r="D95" s="434" t="s">
        <v>51</v>
      </c>
      <c r="E95" s="212">
        <v>230631.91666666666</v>
      </c>
      <c r="F95" s="26">
        <f t="shared" si="11"/>
        <v>18450.553333333333</v>
      </c>
      <c r="G95" s="213"/>
    </row>
    <row r="96" spans="1:7" ht="20.100000000000001" customHeight="1">
      <c r="A96" s="430"/>
      <c r="B96" s="366" t="s">
        <v>15</v>
      </c>
      <c r="C96" s="360">
        <v>11</v>
      </c>
      <c r="D96" s="360"/>
      <c r="E96" s="78">
        <f>SUM(E86:E95)</f>
        <v>4410611.083333333</v>
      </c>
      <c r="F96" s="78">
        <f t="shared" ref="F96" si="12">SUM(F86:F95)</f>
        <v>352848.88666666666</v>
      </c>
      <c r="G96" s="213"/>
    </row>
    <row r="97" spans="1:7" ht="20.100000000000001" customHeight="1">
      <c r="A97" s="430"/>
      <c r="B97" s="362"/>
      <c r="C97" s="360"/>
      <c r="D97" s="360"/>
      <c r="E97" s="31"/>
      <c r="F97" s="31"/>
      <c r="G97" s="213"/>
    </row>
    <row r="98" spans="1:7" ht="20.100000000000001" customHeight="1">
      <c r="A98" s="430"/>
      <c r="B98" s="366" t="s">
        <v>464</v>
      </c>
      <c r="C98" s="360"/>
      <c r="D98" s="360"/>
      <c r="E98" s="31"/>
      <c r="F98" s="31"/>
      <c r="G98" s="213"/>
    </row>
    <row r="99" spans="1:7" ht="20.100000000000001" customHeight="1">
      <c r="A99" s="430">
        <v>1</v>
      </c>
      <c r="B99" s="365" t="s">
        <v>112</v>
      </c>
      <c r="C99" s="357" t="s">
        <v>740</v>
      </c>
      <c r="D99" s="25" t="s">
        <v>160</v>
      </c>
      <c r="E99" s="24">
        <v>762373.16666666663</v>
      </c>
      <c r="F99" s="26">
        <f>E99*0.08</f>
        <v>60989.853333333333</v>
      </c>
      <c r="G99" s="213"/>
    </row>
    <row r="100" spans="1:7" ht="20.100000000000001" customHeight="1">
      <c r="A100" s="430">
        <v>2</v>
      </c>
      <c r="B100" s="432" t="s">
        <v>124</v>
      </c>
      <c r="C100" s="357" t="s">
        <v>373</v>
      </c>
      <c r="D100" s="434" t="s">
        <v>162</v>
      </c>
      <c r="E100" s="26">
        <v>456622.25</v>
      </c>
      <c r="F100" s="26">
        <f t="shared" ref="F100:F102" si="13">E100*0.08</f>
        <v>36529.78</v>
      </c>
      <c r="G100" s="213"/>
    </row>
    <row r="101" spans="1:7" ht="20.100000000000001" customHeight="1">
      <c r="A101" s="430">
        <v>3</v>
      </c>
      <c r="B101" s="432" t="s">
        <v>237</v>
      </c>
      <c r="C101" s="357" t="s">
        <v>483</v>
      </c>
      <c r="D101" s="434" t="s">
        <v>497</v>
      </c>
      <c r="E101" s="26">
        <v>377895.16666666669</v>
      </c>
      <c r="F101" s="26">
        <f t="shared" si="13"/>
        <v>30231.613333333335</v>
      </c>
      <c r="G101" s="213"/>
    </row>
    <row r="102" spans="1:7" ht="20.100000000000001" customHeight="1">
      <c r="A102" s="430">
        <v>4</v>
      </c>
      <c r="B102" s="432" t="s">
        <v>345</v>
      </c>
      <c r="C102" s="357" t="s">
        <v>709</v>
      </c>
      <c r="D102" s="434" t="s">
        <v>207</v>
      </c>
      <c r="E102" s="212">
        <v>300965.58333333331</v>
      </c>
      <c r="F102" s="26">
        <f t="shared" si="13"/>
        <v>24077.246666666666</v>
      </c>
      <c r="G102" s="213"/>
    </row>
    <row r="103" spans="1:7" ht="20.100000000000001" customHeight="1">
      <c r="A103" s="357"/>
      <c r="B103" s="366" t="s">
        <v>15</v>
      </c>
      <c r="C103" s="360">
        <v>4</v>
      </c>
      <c r="D103" s="220"/>
      <c r="E103" s="78">
        <f>SUM(E99:E102)</f>
        <v>1897856.1666666665</v>
      </c>
      <c r="F103" s="78">
        <f t="shared" ref="F103" si="14">SUM(F99:F102)</f>
        <v>151828.49333333335</v>
      </c>
      <c r="G103" s="213"/>
    </row>
    <row r="104" spans="1:7" ht="20.100000000000001" customHeight="1">
      <c r="A104" s="357"/>
      <c r="B104" s="362"/>
      <c r="C104" s="360"/>
      <c r="D104" s="220"/>
      <c r="E104" s="31"/>
      <c r="F104" s="31"/>
      <c r="G104" s="213"/>
    </row>
    <row r="105" spans="1:7" ht="20.100000000000001" customHeight="1">
      <c r="A105" s="357"/>
      <c r="B105" s="366" t="s">
        <v>465</v>
      </c>
      <c r="C105" s="357"/>
      <c r="D105" s="357"/>
      <c r="E105" s="357"/>
      <c r="F105" s="357"/>
      <c r="G105" s="213"/>
    </row>
    <row r="106" spans="1:7" ht="20.100000000000001" customHeight="1">
      <c r="A106" s="357">
        <v>1</v>
      </c>
      <c r="B106" s="432" t="s">
        <v>216</v>
      </c>
      <c r="C106" s="367" t="s">
        <v>217</v>
      </c>
      <c r="D106" s="434" t="s">
        <v>161</v>
      </c>
      <c r="E106" s="26">
        <v>1435720</v>
      </c>
      <c r="F106" s="26">
        <f>E106*0.08</f>
        <v>114857.60000000001</v>
      </c>
      <c r="G106" s="213"/>
    </row>
    <row r="107" spans="1:7" ht="20.100000000000001" customHeight="1">
      <c r="A107" s="357">
        <v>2</v>
      </c>
      <c r="B107" s="432" t="s">
        <v>110</v>
      </c>
      <c r="C107" s="357" t="s">
        <v>259</v>
      </c>
      <c r="D107" s="25" t="s">
        <v>160</v>
      </c>
      <c r="E107" s="24">
        <v>762373.16666666663</v>
      </c>
      <c r="F107" s="26">
        <f t="shared" ref="F107:F112" si="15">E107*0.08</f>
        <v>60989.853333333333</v>
      </c>
      <c r="G107" s="213"/>
    </row>
    <row r="108" spans="1:7" ht="20.100000000000001" customHeight="1">
      <c r="A108" s="357">
        <v>3</v>
      </c>
      <c r="B108" s="432" t="s">
        <v>109</v>
      </c>
      <c r="C108" s="357" t="s">
        <v>311</v>
      </c>
      <c r="D108" s="430" t="s">
        <v>175</v>
      </c>
      <c r="E108" s="26">
        <v>441804.91666666669</v>
      </c>
      <c r="F108" s="26">
        <f t="shared" si="15"/>
        <v>35344.393333333333</v>
      </c>
      <c r="G108" s="213"/>
    </row>
    <row r="109" spans="1:7" ht="20.100000000000001" customHeight="1">
      <c r="A109" s="357">
        <v>4</v>
      </c>
      <c r="B109" s="432" t="s">
        <v>135</v>
      </c>
      <c r="C109" s="357" t="s">
        <v>311</v>
      </c>
      <c r="D109" s="430" t="s">
        <v>175</v>
      </c>
      <c r="E109" s="26">
        <v>441804.91666666669</v>
      </c>
      <c r="F109" s="26">
        <f t="shared" si="15"/>
        <v>35344.393333333333</v>
      </c>
      <c r="G109" s="213"/>
    </row>
    <row r="110" spans="1:7" ht="20.100000000000001" customHeight="1">
      <c r="A110" s="357">
        <v>5</v>
      </c>
      <c r="B110" s="432" t="s">
        <v>240</v>
      </c>
      <c r="C110" s="357" t="s">
        <v>338</v>
      </c>
      <c r="D110" s="434" t="s">
        <v>748</v>
      </c>
      <c r="E110" s="212">
        <v>249148.41666666666</v>
      </c>
      <c r="F110" s="26">
        <f t="shared" si="15"/>
        <v>19931.873333333333</v>
      </c>
      <c r="G110" s="213"/>
    </row>
    <row r="111" spans="1:7" ht="20.100000000000001" customHeight="1">
      <c r="A111" s="357">
        <v>6</v>
      </c>
      <c r="B111" s="364" t="s">
        <v>341</v>
      </c>
      <c r="C111" s="357" t="s">
        <v>338</v>
      </c>
      <c r="D111" s="430" t="s">
        <v>499</v>
      </c>
      <c r="E111" s="212">
        <v>242976.25</v>
      </c>
      <c r="F111" s="26">
        <f t="shared" si="15"/>
        <v>19438.100000000002</v>
      </c>
      <c r="G111" s="213"/>
    </row>
    <row r="112" spans="1:7" ht="20.100000000000001" customHeight="1">
      <c r="A112" s="357">
        <v>7</v>
      </c>
      <c r="B112" s="364" t="s">
        <v>374</v>
      </c>
      <c r="C112" s="357" t="s">
        <v>338</v>
      </c>
      <c r="D112" s="434" t="s">
        <v>51</v>
      </c>
      <c r="E112" s="212">
        <v>230631.91666666666</v>
      </c>
      <c r="F112" s="26">
        <f t="shared" si="15"/>
        <v>18450.553333333333</v>
      </c>
      <c r="G112" s="213"/>
    </row>
    <row r="113" spans="1:7" ht="25.5" customHeight="1">
      <c r="A113" s="357"/>
      <c r="B113" s="366" t="s">
        <v>15</v>
      </c>
      <c r="C113" s="360">
        <v>7</v>
      </c>
      <c r="D113" s="357"/>
      <c r="E113" s="221">
        <f>SUM(E106:E112)</f>
        <v>3804459.5833333326</v>
      </c>
      <c r="F113" s="221">
        <f t="shared" ref="F113" si="16">SUM(F106:F112)</f>
        <v>304356.76666666666</v>
      </c>
      <c r="G113" s="213"/>
    </row>
    <row r="114" spans="1:7" ht="20.100000000000001" customHeight="1">
      <c r="A114" s="357"/>
      <c r="B114" s="366"/>
      <c r="C114" s="360"/>
      <c r="D114" s="357"/>
      <c r="E114" s="221"/>
      <c r="F114" s="221"/>
      <c r="G114" s="213"/>
    </row>
    <row r="115" spans="1:7" ht="20.100000000000001" customHeight="1">
      <c r="A115" s="430"/>
      <c r="B115" s="366" t="s">
        <v>542</v>
      </c>
      <c r="C115" s="360"/>
      <c r="D115" s="360"/>
      <c r="E115" s="31"/>
      <c r="F115" s="31"/>
      <c r="G115" s="213"/>
    </row>
    <row r="116" spans="1:7" ht="20.100000000000001" customHeight="1">
      <c r="A116" s="430">
        <v>1</v>
      </c>
      <c r="B116" s="365" t="s">
        <v>138</v>
      </c>
      <c r="C116" s="357" t="s">
        <v>258</v>
      </c>
      <c r="D116" s="430" t="s">
        <v>148</v>
      </c>
      <c r="E116" s="24">
        <v>601396.83333333337</v>
      </c>
      <c r="F116" s="26">
        <f>E116*0.08</f>
        <v>48111.746666666673</v>
      </c>
      <c r="G116" s="213"/>
    </row>
    <row r="117" spans="1:7" ht="18.75" customHeight="1">
      <c r="A117" s="430">
        <v>2</v>
      </c>
      <c r="B117" s="432" t="s">
        <v>247</v>
      </c>
      <c r="C117" s="357" t="s">
        <v>477</v>
      </c>
      <c r="D117" s="434" t="s">
        <v>497</v>
      </c>
      <c r="E117" s="26">
        <v>377895.16666666669</v>
      </c>
      <c r="F117" s="26">
        <f t="shared" ref="F117:F118" si="17">E117*0.08</f>
        <v>30231.613333333335</v>
      </c>
      <c r="G117" s="213"/>
    </row>
    <row r="118" spans="1:7" ht="20.100000000000001" customHeight="1">
      <c r="A118" s="430">
        <v>3</v>
      </c>
      <c r="B118" s="432" t="s">
        <v>141</v>
      </c>
      <c r="C118" s="367" t="s">
        <v>391</v>
      </c>
      <c r="D118" s="434" t="s">
        <v>749</v>
      </c>
      <c r="E118" s="26">
        <v>390086.5</v>
      </c>
      <c r="F118" s="26">
        <f t="shared" si="17"/>
        <v>31206.920000000002</v>
      </c>
      <c r="G118" s="213"/>
    </row>
    <row r="119" spans="1:7" ht="24.75" customHeight="1">
      <c r="A119" s="357"/>
      <c r="B119" s="366" t="s">
        <v>15</v>
      </c>
      <c r="C119" s="360">
        <v>2</v>
      </c>
      <c r="D119" s="220"/>
      <c r="E119" s="78">
        <f>SUM(E116:E118)</f>
        <v>1369378.5</v>
      </c>
      <c r="F119" s="78">
        <f t="shared" ref="F119" si="18">SUM(F116:F118)</f>
        <v>109550.28000000001</v>
      </c>
      <c r="G119" s="213"/>
    </row>
    <row r="120" spans="1:7" ht="20.100000000000001" customHeight="1">
      <c r="A120" s="357"/>
      <c r="B120" s="362"/>
      <c r="C120" s="430"/>
      <c r="D120" s="357"/>
      <c r="E120" s="222"/>
      <c r="F120" s="209"/>
      <c r="G120" s="213"/>
    </row>
    <row r="121" spans="1:7" ht="20.100000000000001" customHeight="1">
      <c r="A121" s="357"/>
      <c r="B121" s="366" t="s">
        <v>466</v>
      </c>
      <c r="C121" s="360"/>
      <c r="D121" s="360"/>
      <c r="E121" s="31"/>
      <c r="F121" s="31"/>
      <c r="G121" s="213"/>
    </row>
    <row r="122" spans="1:7" ht="20.100000000000001" customHeight="1">
      <c r="A122" s="357">
        <v>1</v>
      </c>
      <c r="B122" s="432" t="s">
        <v>20</v>
      </c>
      <c r="C122" s="367" t="s">
        <v>250</v>
      </c>
      <c r="D122" s="434" t="s">
        <v>161</v>
      </c>
      <c r="E122" s="26">
        <v>1435720</v>
      </c>
      <c r="F122" s="26">
        <f>E122*0.08</f>
        <v>114857.60000000001</v>
      </c>
      <c r="G122" s="213"/>
    </row>
    <row r="123" spans="1:7" ht="20.100000000000001" customHeight="1">
      <c r="A123" s="357">
        <v>2</v>
      </c>
      <c r="B123" s="432" t="s">
        <v>153</v>
      </c>
      <c r="C123" s="367" t="s">
        <v>739</v>
      </c>
      <c r="D123" s="434" t="s">
        <v>221</v>
      </c>
      <c r="E123" s="26">
        <v>739203.58333333337</v>
      </c>
      <c r="F123" s="26">
        <f t="shared" ref="F123:F131" si="19">E123*0.08</f>
        <v>59136.286666666674</v>
      </c>
      <c r="G123" s="213"/>
    </row>
    <row r="124" spans="1:7" ht="20.100000000000001" customHeight="1">
      <c r="A124" s="357">
        <v>3</v>
      </c>
      <c r="B124" s="365" t="s">
        <v>142</v>
      </c>
      <c r="C124" s="367" t="s">
        <v>376</v>
      </c>
      <c r="D124" s="434" t="s">
        <v>75</v>
      </c>
      <c r="E124" s="26">
        <v>620675.58333333337</v>
      </c>
      <c r="F124" s="26">
        <f t="shared" si="19"/>
        <v>49654.046666666669</v>
      </c>
      <c r="G124" s="213"/>
    </row>
    <row r="125" spans="1:7" ht="20.100000000000001" customHeight="1">
      <c r="A125" s="357">
        <v>4</v>
      </c>
      <c r="B125" s="365" t="s">
        <v>363</v>
      </c>
      <c r="C125" s="367" t="s">
        <v>376</v>
      </c>
      <c r="D125" s="434" t="s">
        <v>30</v>
      </c>
      <c r="E125" s="26">
        <v>582118.08333333337</v>
      </c>
      <c r="F125" s="26"/>
      <c r="G125" s="213"/>
    </row>
    <row r="126" spans="1:7" ht="20.100000000000001" customHeight="1">
      <c r="A126" s="357">
        <v>5</v>
      </c>
      <c r="B126" s="432" t="s">
        <v>108</v>
      </c>
      <c r="C126" s="367" t="s">
        <v>476</v>
      </c>
      <c r="D126" s="434" t="s">
        <v>181</v>
      </c>
      <c r="E126" s="26">
        <v>470498</v>
      </c>
      <c r="F126" s="26">
        <f t="shared" si="19"/>
        <v>37639.840000000004</v>
      </c>
      <c r="G126" s="213"/>
    </row>
    <row r="127" spans="1:7" ht="20.100000000000001" customHeight="1">
      <c r="A127" s="357">
        <v>6</v>
      </c>
      <c r="B127" s="432" t="s">
        <v>178</v>
      </c>
      <c r="C127" s="367" t="s">
        <v>382</v>
      </c>
      <c r="D127" s="434" t="s">
        <v>222</v>
      </c>
      <c r="E127" s="26">
        <v>442746.5</v>
      </c>
      <c r="F127" s="26">
        <f t="shared" si="19"/>
        <v>35419.72</v>
      </c>
      <c r="G127" s="213"/>
    </row>
    <row r="128" spans="1:7" ht="20.100000000000001" customHeight="1">
      <c r="A128" s="357">
        <v>7</v>
      </c>
      <c r="B128" s="432" t="s">
        <v>134</v>
      </c>
      <c r="C128" s="367" t="s">
        <v>476</v>
      </c>
      <c r="D128" s="434" t="s">
        <v>162</v>
      </c>
      <c r="E128" s="26">
        <v>456622.25</v>
      </c>
      <c r="F128" s="26">
        <f t="shared" si="19"/>
        <v>36529.78</v>
      </c>
      <c r="G128" s="213"/>
    </row>
    <row r="129" spans="1:7" ht="20.100000000000001" customHeight="1">
      <c r="A129" s="357">
        <v>8</v>
      </c>
      <c r="B129" s="432" t="s">
        <v>443</v>
      </c>
      <c r="C129" s="367" t="s">
        <v>447</v>
      </c>
      <c r="D129" s="430" t="s">
        <v>746</v>
      </c>
      <c r="E129" s="26">
        <v>270481.66666666669</v>
      </c>
      <c r="F129" s="26">
        <f t="shared" si="19"/>
        <v>21638.533333333336</v>
      </c>
      <c r="G129" s="213"/>
    </row>
    <row r="130" spans="1:7" ht="20.100000000000001" customHeight="1">
      <c r="A130" s="357">
        <v>9</v>
      </c>
      <c r="B130" s="364" t="s">
        <v>439</v>
      </c>
      <c r="C130" s="367" t="s">
        <v>440</v>
      </c>
      <c r="D130" s="434" t="s">
        <v>176</v>
      </c>
      <c r="E130" s="26">
        <v>224459.75</v>
      </c>
      <c r="F130" s="26">
        <f t="shared" si="19"/>
        <v>17956.78</v>
      </c>
      <c r="G130" s="213"/>
    </row>
    <row r="131" spans="1:7" ht="20.100000000000001" customHeight="1">
      <c r="A131" s="357">
        <v>10</v>
      </c>
      <c r="B131" s="364" t="s">
        <v>535</v>
      </c>
      <c r="C131" s="367" t="s">
        <v>536</v>
      </c>
      <c r="D131" s="434" t="s">
        <v>176</v>
      </c>
      <c r="E131" s="26">
        <v>224459.75</v>
      </c>
      <c r="F131" s="26">
        <f t="shared" si="19"/>
        <v>17956.78</v>
      </c>
      <c r="G131" s="213"/>
    </row>
    <row r="132" spans="1:7" ht="28.5" customHeight="1">
      <c r="A132" s="357"/>
      <c r="B132" s="366" t="s">
        <v>15</v>
      </c>
      <c r="C132" s="220" t="s">
        <v>543</v>
      </c>
      <c r="D132" s="434"/>
      <c r="E132" s="31">
        <f>SUM(E122:E131)</f>
        <v>5466985.166666667</v>
      </c>
      <c r="F132" s="31">
        <f t="shared" ref="F132" si="20">SUM(F122:F131)</f>
        <v>390789.3666666667</v>
      </c>
      <c r="G132" s="213"/>
    </row>
    <row r="133" spans="1:7" ht="20.100000000000001" customHeight="1">
      <c r="A133" s="357"/>
      <c r="B133" s="362"/>
      <c r="C133" s="220"/>
      <c r="D133" s="434"/>
      <c r="E133" s="31"/>
      <c r="F133" s="31"/>
      <c r="G133" s="213"/>
    </row>
    <row r="134" spans="1:7" ht="20.100000000000001" customHeight="1">
      <c r="A134" s="357"/>
      <c r="B134" s="366" t="s">
        <v>467</v>
      </c>
      <c r="C134" s="367"/>
      <c r="D134" s="434"/>
      <c r="E134" s="26"/>
      <c r="F134" s="26"/>
      <c r="G134" s="213"/>
    </row>
    <row r="135" spans="1:7" ht="20.100000000000001" customHeight="1">
      <c r="A135" s="224">
        <v>1</v>
      </c>
      <c r="B135" s="432" t="s">
        <v>21</v>
      </c>
      <c r="C135" s="367" t="s">
        <v>393</v>
      </c>
      <c r="D135" s="434" t="s">
        <v>161</v>
      </c>
      <c r="E135" s="26">
        <v>1435720</v>
      </c>
      <c r="F135" s="26">
        <f>E135*0.08</f>
        <v>114857.60000000001</v>
      </c>
      <c r="G135" s="213"/>
    </row>
    <row r="136" spans="1:7" ht="20.100000000000001" customHeight="1">
      <c r="A136" s="224">
        <v>2</v>
      </c>
      <c r="B136" s="432" t="s">
        <v>107</v>
      </c>
      <c r="C136" s="367" t="s">
        <v>394</v>
      </c>
      <c r="D136" s="434" t="s">
        <v>160</v>
      </c>
      <c r="E136" s="26">
        <v>762373.16666666663</v>
      </c>
      <c r="F136" s="26"/>
      <c r="G136" s="213"/>
    </row>
    <row r="137" spans="1:7" ht="20.100000000000001" customHeight="1">
      <c r="A137" s="224">
        <v>3</v>
      </c>
      <c r="B137" s="365" t="s">
        <v>183</v>
      </c>
      <c r="C137" s="357" t="s">
        <v>486</v>
      </c>
      <c r="D137" s="25" t="s">
        <v>160</v>
      </c>
      <c r="E137" s="26">
        <v>762373.16666666663</v>
      </c>
      <c r="F137" s="26">
        <f t="shared" ref="F137:F193" si="21">E137*0.08</f>
        <v>60989.853333333333</v>
      </c>
      <c r="G137" s="213"/>
    </row>
    <row r="138" spans="1:7" ht="20.100000000000001" customHeight="1">
      <c r="A138" s="224">
        <v>4</v>
      </c>
      <c r="B138" s="432" t="s">
        <v>106</v>
      </c>
      <c r="C138" s="367" t="s">
        <v>381</v>
      </c>
      <c r="D138" s="434" t="s">
        <v>174</v>
      </c>
      <c r="E138" s="26">
        <v>484373.75</v>
      </c>
      <c r="F138" s="26">
        <f t="shared" si="21"/>
        <v>38749.9</v>
      </c>
      <c r="G138" s="213"/>
    </row>
    <row r="139" spans="1:7" ht="20.100000000000001" customHeight="1">
      <c r="A139" s="224">
        <v>5</v>
      </c>
      <c r="B139" s="432" t="s">
        <v>7</v>
      </c>
      <c r="C139" s="357" t="s">
        <v>385</v>
      </c>
      <c r="D139" s="434" t="s">
        <v>174</v>
      </c>
      <c r="E139" s="26">
        <v>484373.75</v>
      </c>
      <c r="F139" s="26">
        <f t="shared" si="21"/>
        <v>38749.9</v>
      </c>
      <c r="G139" s="213"/>
    </row>
    <row r="140" spans="1:7" ht="20.100000000000001" customHeight="1">
      <c r="A140" s="224">
        <v>6</v>
      </c>
      <c r="B140" s="432" t="s">
        <v>6</v>
      </c>
      <c r="C140" s="357" t="s">
        <v>385</v>
      </c>
      <c r="D140" s="434" t="s">
        <v>174</v>
      </c>
      <c r="E140" s="26">
        <v>484373.75</v>
      </c>
      <c r="F140" s="26">
        <f t="shared" si="21"/>
        <v>38749.9</v>
      </c>
      <c r="G140" s="213"/>
    </row>
    <row r="141" spans="1:7" ht="20.100000000000001" customHeight="1">
      <c r="A141" s="224">
        <v>7</v>
      </c>
      <c r="B141" s="432" t="s">
        <v>102</v>
      </c>
      <c r="C141" s="367" t="s">
        <v>395</v>
      </c>
      <c r="D141" s="434" t="s">
        <v>749</v>
      </c>
      <c r="E141" s="26">
        <v>390086.5</v>
      </c>
      <c r="F141" s="26">
        <f t="shared" si="21"/>
        <v>31206.920000000002</v>
      </c>
      <c r="G141" s="213"/>
    </row>
    <row r="142" spans="1:7" ht="20.100000000000001" customHeight="1">
      <c r="A142" s="224">
        <v>8</v>
      </c>
      <c r="B142" s="432" t="s">
        <v>103</v>
      </c>
      <c r="C142" s="367" t="s">
        <v>395</v>
      </c>
      <c r="D142" s="434" t="s">
        <v>749</v>
      </c>
      <c r="E142" s="26">
        <v>390086.5</v>
      </c>
      <c r="F142" s="26">
        <f t="shared" si="21"/>
        <v>31206.920000000002</v>
      </c>
      <c r="G142" s="213"/>
    </row>
    <row r="143" spans="1:7" ht="20.100000000000001" customHeight="1">
      <c r="A143" s="224">
        <v>9</v>
      </c>
      <c r="B143" s="432" t="s">
        <v>151</v>
      </c>
      <c r="C143" s="357" t="s">
        <v>235</v>
      </c>
      <c r="D143" s="434" t="s">
        <v>749</v>
      </c>
      <c r="E143" s="26">
        <v>390086.5</v>
      </c>
      <c r="F143" s="26">
        <f t="shared" si="21"/>
        <v>31206.920000000002</v>
      </c>
      <c r="G143" s="213"/>
    </row>
    <row r="144" spans="1:7" ht="20.100000000000001" customHeight="1">
      <c r="A144" s="224">
        <v>10</v>
      </c>
      <c r="B144" s="432" t="s">
        <v>238</v>
      </c>
      <c r="C144" s="367" t="s">
        <v>546</v>
      </c>
      <c r="D144" s="434" t="s">
        <v>497</v>
      </c>
      <c r="E144" s="26">
        <v>377895.16666666669</v>
      </c>
      <c r="F144" s="26">
        <f t="shared" si="21"/>
        <v>30231.613333333335</v>
      </c>
      <c r="G144" s="213"/>
    </row>
    <row r="145" spans="1:7" ht="20.100000000000001" customHeight="1">
      <c r="A145" s="224">
        <v>11</v>
      </c>
      <c r="B145" s="432" t="s">
        <v>53</v>
      </c>
      <c r="C145" s="367" t="s">
        <v>711</v>
      </c>
      <c r="D145" s="434" t="s">
        <v>415</v>
      </c>
      <c r="E145" s="26">
        <v>365703.83333333331</v>
      </c>
      <c r="F145" s="26">
        <f t="shared" si="21"/>
        <v>29256.306666666667</v>
      </c>
      <c r="G145" s="213"/>
    </row>
    <row r="146" spans="1:7" ht="20.100000000000001" customHeight="1">
      <c r="A146" s="224">
        <v>12</v>
      </c>
      <c r="B146" s="432" t="s">
        <v>179</v>
      </c>
      <c r="C146" s="367" t="s">
        <v>479</v>
      </c>
      <c r="D146" s="434" t="s">
        <v>749</v>
      </c>
      <c r="E146" s="26">
        <v>390086.5</v>
      </c>
      <c r="F146" s="26">
        <f t="shared" si="21"/>
        <v>31206.920000000002</v>
      </c>
      <c r="G146" s="213"/>
    </row>
    <row r="147" spans="1:7" ht="20.100000000000001" customHeight="1">
      <c r="A147" s="224">
        <v>13</v>
      </c>
      <c r="B147" s="364" t="s">
        <v>293</v>
      </c>
      <c r="C147" s="357" t="s">
        <v>712</v>
      </c>
      <c r="D147" s="434" t="s">
        <v>369</v>
      </c>
      <c r="E147" s="212">
        <v>353512.5</v>
      </c>
      <c r="F147" s="26">
        <f t="shared" si="21"/>
        <v>28281</v>
      </c>
      <c r="G147" s="213"/>
    </row>
    <row r="148" spans="1:7" ht="20.100000000000001" customHeight="1">
      <c r="A148" s="224">
        <v>14</v>
      </c>
      <c r="B148" s="432" t="s">
        <v>488</v>
      </c>
      <c r="C148" s="357" t="s">
        <v>239</v>
      </c>
      <c r="D148" s="434" t="s">
        <v>164</v>
      </c>
      <c r="E148" s="212">
        <v>308901.5</v>
      </c>
      <c r="F148" s="26">
        <f t="shared" si="21"/>
        <v>24712.12</v>
      </c>
      <c r="G148" s="213"/>
    </row>
    <row r="149" spans="1:7" ht="20.100000000000001" customHeight="1">
      <c r="A149" s="224">
        <v>15</v>
      </c>
      <c r="B149" s="432" t="s">
        <v>489</v>
      </c>
      <c r="C149" s="357" t="s">
        <v>239</v>
      </c>
      <c r="D149" s="434" t="s">
        <v>27</v>
      </c>
      <c r="E149" s="212">
        <v>316837.41666666669</v>
      </c>
      <c r="F149" s="26">
        <f t="shared" si="21"/>
        <v>25346.993333333336</v>
      </c>
      <c r="G149" s="213"/>
    </row>
    <row r="150" spans="1:7" ht="20.100000000000001" customHeight="1">
      <c r="A150" s="224">
        <v>16</v>
      </c>
      <c r="B150" s="432" t="s">
        <v>212</v>
      </c>
      <c r="C150" s="357" t="s">
        <v>239</v>
      </c>
      <c r="D150" s="434" t="s">
        <v>27</v>
      </c>
      <c r="E150" s="212">
        <v>316837.41666666669</v>
      </c>
      <c r="F150" s="26">
        <f t="shared" si="21"/>
        <v>25346.993333333336</v>
      </c>
      <c r="G150" s="213"/>
    </row>
    <row r="151" spans="1:7" ht="20.100000000000001" customHeight="1">
      <c r="A151" s="224">
        <v>17</v>
      </c>
      <c r="B151" s="432" t="s">
        <v>425</v>
      </c>
      <c r="C151" s="367" t="s">
        <v>430</v>
      </c>
      <c r="D151" s="434" t="s">
        <v>207</v>
      </c>
      <c r="E151" s="212">
        <v>300965.58333333331</v>
      </c>
      <c r="F151" s="26">
        <f t="shared" si="21"/>
        <v>24077.246666666666</v>
      </c>
      <c r="G151" s="213"/>
    </row>
    <row r="152" spans="1:7" ht="20.100000000000001" customHeight="1">
      <c r="A152" s="224">
        <v>18</v>
      </c>
      <c r="B152" s="432" t="s">
        <v>750</v>
      </c>
      <c r="C152" s="367" t="s">
        <v>438</v>
      </c>
      <c r="D152" s="430" t="s">
        <v>498</v>
      </c>
      <c r="E152" s="26">
        <v>263165.33333333331</v>
      </c>
      <c r="F152" s="26">
        <f t="shared" si="21"/>
        <v>21053.226666666666</v>
      </c>
      <c r="G152" s="213"/>
    </row>
    <row r="153" spans="1:7" ht="20.100000000000001" customHeight="1">
      <c r="A153" s="224">
        <v>19</v>
      </c>
      <c r="B153" s="432" t="s">
        <v>230</v>
      </c>
      <c r="C153" s="367" t="s">
        <v>485</v>
      </c>
      <c r="D153" s="434" t="s">
        <v>164</v>
      </c>
      <c r="E153" s="212">
        <v>308901.5</v>
      </c>
      <c r="F153" s="26">
        <f t="shared" si="21"/>
        <v>24712.12</v>
      </c>
      <c r="G153" s="213"/>
    </row>
    <row r="154" spans="1:7" ht="20.100000000000001" customHeight="1">
      <c r="A154" s="224">
        <v>20</v>
      </c>
      <c r="B154" s="432" t="s">
        <v>57</v>
      </c>
      <c r="C154" s="367" t="s">
        <v>481</v>
      </c>
      <c r="D154" s="434" t="s">
        <v>746</v>
      </c>
      <c r="E154" s="212">
        <v>270481.66666666669</v>
      </c>
      <c r="F154" s="26">
        <f t="shared" si="21"/>
        <v>21638.533333333336</v>
      </c>
      <c r="G154" s="213"/>
    </row>
    <row r="155" spans="1:7" ht="20.100000000000001" customHeight="1">
      <c r="A155" s="224">
        <v>21</v>
      </c>
      <c r="B155" s="432" t="s">
        <v>251</v>
      </c>
      <c r="C155" s="367" t="s">
        <v>482</v>
      </c>
      <c r="D155" s="434" t="s">
        <v>164</v>
      </c>
      <c r="E155" s="212">
        <v>308901.5</v>
      </c>
      <c r="F155" s="26">
        <f t="shared" si="21"/>
        <v>24712.12</v>
      </c>
      <c r="G155" s="213"/>
    </row>
    <row r="156" spans="1:7" ht="20.100000000000001" customHeight="1">
      <c r="A156" s="224">
        <v>22</v>
      </c>
      <c r="B156" s="432" t="s">
        <v>241</v>
      </c>
      <c r="C156" s="367" t="s">
        <v>348</v>
      </c>
      <c r="D156" s="434" t="s">
        <v>746</v>
      </c>
      <c r="E156" s="212">
        <v>270481.66666666669</v>
      </c>
      <c r="F156" s="26">
        <f t="shared" si="21"/>
        <v>21638.533333333336</v>
      </c>
      <c r="G156" s="213"/>
    </row>
    <row r="157" spans="1:7" ht="20.100000000000001" customHeight="1">
      <c r="A157" s="224">
        <v>23</v>
      </c>
      <c r="B157" s="364" t="s">
        <v>289</v>
      </c>
      <c r="C157" s="367" t="s">
        <v>713</v>
      </c>
      <c r="D157" s="434" t="s">
        <v>428</v>
      </c>
      <c r="E157" s="212">
        <v>255849</v>
      </c>
      <c r="F157" s="26">
        <f t="shared" si="21"/>
        <v>20467.920000000002</v>
      </c>
      <c r="G157" s="213"/>
    </row>
    <row r="158" spans="1:7" ht="20.100000000000001" customHeight="1">
      <c r="A158" s="224">
        <v>24</v>
      </c>
      <c r="B158" s="364" t="s">
        <v>407</v>
      </c>
      <c r="C158" s="367" t="s">
        <v>131</v>
      </c>
      <c r="D158" s="434" t="s">
        <v>176</v>
      </c>
      <c r="E158" s="26">
        <v>224459.75</v>
      </c>
      <c r="F158" s="26">
        <f t="shared" si="21"/>
        <v>17956.78</v>
      </c>
      <c r="G158" s="213"/>
    </row>
    <row r="159" spans="1:7" ht="20.100000000000001" customHeight="1">
      <c r="A159" s="224">
        <v>25</v>
      </c>
      <c r="B159" s="364" t="s">
        <v>426</v>
      </c>
      <c r="C159" s="367" t="s">
        <v>290</v>
      </c>
      <c r="D159" s="434" t="s">
        <v>176</v>
      </c>
      <c r="E159" s="26">
        <v>224459.75</v>
      </c>
      <c r="F159" s="26">
        <f t="shared" si="21"/>
        <v>17956.78</v>
      </c>
      <c r="G159" s="213"/>
    </row>
    <row r="160" spans="1:7" ht="20.100000000000001" customHeight="1">
      <c r="A160" s="224">
        <v>26</v>
      </c>
      <c r="B160" s="364" t="s">
        <v>441</v>
      </c>
      <c r="C160" s="367" t="s">
        <v>442</v>
      </c>
      <c r="D160" s="434" t="s">
        <v>176</v>
      </c>
      <c r="E160" s="26">
        <v>224459.75</v>
      </c>
      <c r="F160" s="26">
        <f t="shared" si="21"/>
        <v>17956.78</v>
      </c>
      <c r="G160" s="213"/>
    </row>
    <row r="161" spans="1:7" ht="20.100000000000001" customHeight="1">
      <c r="A161" s="224">
        <v>27</v>
      </c>
      <c r="B161" s="364" t="s">
        <v>445</v>
      </c>
      <c r="C161" s="367" t="s">
        <v>446</v>
      </c>
      <c r="D161" s="434" t="s">
        <v>51</v>
      </c>
      <c r="E161" s="26">
        <v>230631.91666666666</v>
      </c>
      <c r="F161" s="26">
        <f t="shared" si="21"/>
        <v>18450.553333333333</v>
      </c>
      <c r="G161" s="213"/>
    </row>
    <row r="162" spans="1:7" ht="20.100000000000001" customHeight="1">
      <c r="A162" s="224">
        <v>28</v>
      </c>
      <c r="B162" s="364" t="s">
        <v>550</v>
      </c>
      <c r="C162" s="367" t="s">
        <v>290</v>
      </c>
      <c r="D162" s="434" t="s">
        <v>176</v>
      </c>
      <c r="E162" s="26">
        <v>224459.75</v>
      </c>
      <c r="F162" s="26">
        <f t="shared" si="21"/>
        <v>17956.78</v>
      </c>
      <c r="G162" s="213"/>
    </row>
    <row r="163" spans="1:7" ht="20.100000000000001" customHeight="1">
      <c r="A163" s="224">
        <v>29</v>
      </c>
      <c r="B163" s="432" t="s">
        <v>22</v>
      </c>
      <c r="C163" s="367" t="s">
        <v>302</v>
      </c>
      <c r="D163" s="434" t="s">
        <v>751</v>
      </c>
      <c r="E163" s="225">
        <v>168598.16666666666</v>
      </c>
      <c r="F163" s="26">
        <f t="shared" si="21"/>
        <v>13487.853333333333</v>
      </c>
      <c r="G163" s="213"/>
    </row>
    <row r="164" spans="1:7" ht="20.100000000000001" customHeight="1">
      <c r="A164" s="224">
        <v>30</v>
      </c>
      <c r="B164" s="432" t="s">
        <v>14</v>
      </c>
      <c r="C164" s="367" t="s">
        <v>302</v>
      </c>
      <c r="D164" s="434" t="s">
        <v>751</v>
      </c>
      <c r="E164" s="225">
        <v>168598.16666666666</v>
      </c>
      <c r="F164" s="26">
        <f t="shared" si="21"/>
        <v>13487.853333333333</v>
      </c>
      <c r="G164" s="213"/>
    </row>
    <row r="165" spans="1:7" ht="20.100000000000001" customHeight="1">
      <c r="A165" s="224">
        <v>31</v>
      </c>
      <c r="B165" s="432" t="s">
        <v>23</v>
      </c>
      <c r="C165" s="367" t="s">
        <v>302</v>
      </c>
      <c r="D165" s="434" t="s">
        <v>751</v>
      </c>
      <c r="E165" s="225">
        <v>168598.16666666666</v>
      </c>
      <c r="F165" s="26">
        <f t="shared" si="21"/>
        <v>13487.853333333333</v>
      </c>
      <c r="G165" s="213"/>
    </row>
    <row r="166" spans="1:7" ht="20.100000000000001" customHeight="1">
      <c r="A166" s="224">
        <v>32</v>
      </c>
      <c r="B166" s="432" t="s">
        <v>39</v>
      </c>
      <c r="C166" s="367" t="s">
        <v>302</v>
      </c>
      <c r="D166" s="434" t="s">
        <v>751</v>
      </c>
      <c r="E166" s="225">
        <v>168598.16666666666</v>
      </c>
      <c r="F166" s="26">
        <f t="shared" si="21"/>
        <v>13487.853333333333</v>
      </c>
      <c r="G166" s="213"/>
    </row>
    <row r="167" spans="1:7" ht="20.100000000000001" customHeight="1">
      <c r="A167" s="224">
        <v>33</v>
      </c>
      <c r="B167" s="432" t="s">
        <v>40</v>
      </c>
      <c r="C167" s="367" t="s">
        <v>302</v>
      </c>
      <c r="D167" s="434" t="s">
        <v>751</v>
      </c>
      <c r="E167" s="225">
        <v>168598.16666666666</v>
      </c>
      <c r="F167" s="26">
        <f t="shared" si="21"/>
        <v>13487.853333333333</v>
      </c>
      <c r="G167" s="213"/>
    </row>
    <row r="168" spans="1:7" ht="20.100000000000001" customHeight="1">
      <c r="A168" s="224">
        <v>34</v>
      </c>
      <c r="B168" s="432" t="s">
        <v>127</v>
      </c>
      <c r="C168" s="367" t="s">
        <v>302</v>
      </c>
      <c r="D168" s="434" t="s">
        <v>501</v>
      </c>
      <c r="E168" s="225">
        <v>163336.83333333334</v>
      </c>
      <c r="F168" s="26">
        <f t="shared" si="21"/>
        <v>13066.946666666669</v>
      </c>
      <c r="G168" s="213"/>
    </row>
    <row r="169" spans="1:7" ht="20.100000000000001" customHeight="1">
      <c r="A169" s="224">
        <v>35</v>
      </c>
      <c r="B169" s="432" t="s">
        <v>128</v>
      </c>
      <c r="C169" s="367" t="s">
        <v>302</v>
      </c>
      <c r="D169" s="434" t="s">
        <v>501</v>
      </c>
      <c r="E169" s="225">
        <v>163336.83333333334</v>
      </c>
      <c r="F169" s="26">
        <f t="shared" si="21"/>
        <v>13066.946666666669</v>
      </c>
      <c r="G169" s="213"/>
    </row>
    <row r="170" spans="1:7" ht="20.100000000000001" customHeight="1">
      <c r="A170" s="224">
        <v>36</v>
      </c>
      <c r="B170" s="365" t="s">
        <v>136</v>
      </c>
      <c r="C170" s="367" t="s">
        <v>302</v>
      </c>
      <c r="D170" s="434" t="s">
        <v>501</v>
      </c>
      <c r="E170" s="225">
        <v>163336.83333333334</v>
      </c>
      <c r="F170" s="26">
        <f t="shared" si="21"/>
        <v>13066.946666666669</v>
      </c>
      <c r="G170" s="213"/>
    </row>
    <row r="171" spans="1:7" ht="20.100000000000001" customHeight="1">
      <c r="A171" s="224">
        <v>37</v>
      </c>
      <c r="B171" s="432" t="s">
        <v>140</v>
      </c>
      <c r="C171" s="367" t="s">
        <v>302</v>
      </c>
      <c r="D171" s="434" t="s">
        <v>501</v>
      </c>
      <c r="E171" s="225">
        <v>163336.83333333334</v>
      </c>
      <c r="F171" s="26">
        <f t="shared" si="21"/>
        <v>13066.946666666669</v>
      </c>
      <c r="G171" s="213"/>
    </row>
    <row r="172" spans="1:7" ht="20.100000000000001" customHeight="1">
      <c r="A172" s="224">
        <v>38</v>
      </c>
      <c r="B172" s="364" t="s">
        <v>152</v>
      </c>
      <c r="C172" s="367" t="s">
        <v>302</v>
      </c>
      <c r="D172" s="434" t="s">
        <v>501</v>
      </c>
      <c r="E172" s="225">
        <v>163336.83333333334</v>
      </c>
      <c r="F172" s="26">
        <f t="shared" si="21"/>
        <v>13066.946666666669</v>
      </c>
      <c r="G172" s="213"/>
    </row>
    <row r="173" spans="1:7" ht="20.100000000000001" customHeight="1">
      <c r="A173" s="224">
        <v>39</v>
      </c>
      <c r="B173" s="364" t="s">
        <v>132</v>
      </c>
      <c r="C173" s="367" t="s">
        <v>302</v>
      </c>
      <c r="D173" s="434" t="s">
        <v>501</v>
      </c>
      <c r="E173" s="225">
        <v>163336.83333333334</v>
      </c>
      <c r="F173" s="26">
        <f t="shared" si="21"/>
        <v>13066.946666666669</v>
      </c>
      <c r="G173" s="213"/>
    </row>
    <row r="174" spans="1:7" ht="20.100000000000001" customHeight="1">
      <c r="A174" s="224">
        <v>40</v>
      </c>
      <c r="B174" s="432" t="s">
        <v>231</v>
      </c>
      <c r="C174" s="367" t="s">
        <v>714</v>
      </c>
      <c r="D174" s="434" t="s">
        <v>306</v>
      </c>
      <c r="E174" s="26">
        <v>152814.16666666666</v>
      </c>
      <c r="F174" s="26">
        <f t="shared" si="21"/>
        <v>12225.133333333333</v>
      </c>
      <c r="G174" s="213"/>
    </row>
    <row r="175" spans="1:7" ht="20.100000000000001" customHeight="1">
      <c r="A175" s="224">
        <v>41</v>
      </c>
      <c r="B175" s="432" t="s">
        <v>246</v>
      </c>
      <c r="C175" s="367" t="s">
        <v>714</v>
      </c>
      <c r="D175" s="434" t="s">
        <v>306</v>
      </c>
      <c r="E175" s="26">
        <v>152814.16666666666</v>
      </c>
      <c r="F175" s="26">
        <f t="shared" si="21"/>
        <v>12225.133333333333</v>
      </c>
      <c r="G175" s="213"/>
    </row>
    <row r="176" spans="1:7" ht="20.100000000000001" customHeight="1">
      <c r="A176" s="224">
        <v>42</v>
      </c>
      <c r="B176" s="364" t="s">
        <v>166</v>
      </c>
      <c r="C176" s="367" t="s">
        <v>714</v>
      </c>
      <c r="D176" s="434" t="s">
        <v>416</v>
      </c>
      <c r="E176" s="26">
        <v>158075.5</v>
      </c>
      <c r="F176" s="26">
        <f t="shared" si="21"/>
        <v>12646.04</v>
      </c>
      <c r="G176" s="213"/>
    </row>
    <row r="177" spans="1:7" ht="20.100000000000001" customHeight="1">
      <c r="A177" s="224">
        <v>43</v>
      </c>
      <c r="B177" s="432" t="s">
        <v>204</v>
      </c>
      <c r="C177" s="367" t="s">
        <v>167</v>
      </c>
      <c r="D177" s="434" t="s">
        <v>263</v>
      </c>
      <c r="E177" s="26">
        <v>94145.75</v>
      </c>
      <c r="F177" s="26">
        <f t="shared" si="21"/>
        <v>7531.66</v>
      </c>
      <c r="G177" s="213"/>
    </row>
    <row r="178" spans="1:7" ht="20.100000000000001" customHeight="1">
      <c r="A178" s="224">
        <v>44</v>
      </c>
      <c r="B178" s="432" t="s">
        <v>209</v>
      </c>
      <c r="C178" s="367" t="s">
        <v>13</v>
      </c>
      <c r="D178" s="434" t="s">
        <v>752</v>
      </c>
      <c r="E178" s="26">
        <v>91598</v>
      </c>
      <c r="F178" s="26">
        <f t="shared" si="21"/>
        <v>7327.84</v>
      </c>
      <c r="G178" s="213"/>
    </row>
    <row r="179" spans="1:7" ht="20.100000000000001" customHeight="1">
      <c r="A179" s="224">
        <v>45</v>
      </c>
      <c r="B179" s="432" t="s">
        <v>218</v>
      </c>
      <c r="C179" s="367" t="s">
        <v>13</v>
      </c>
      <c r="D179" s="434" t="s">
        <v>752</v>
      </c>
      <c r="E179" s="26">
        <v>91598</v>
      </c>
      <c r="F179" s="26">
        <f t="shared" si="21"/>
        <v>7327.84</v>
      </c>
      <c r="G179" s="213"/>
    </row>
    <row r="180" spans="1:7" ht="20.100000000000001" customHeight="1">
      <c r="A180" s="224">
        <v>46</v>
      </c>
      <c r="B180" s="432" t="s">
        <v>219</v>
      </c>
      <c r="C180" s="367" t="s">
        <v>13</v>
      </c>
      <c r="D180" s="434" t="s">
        <v>752</v>
      </c>
      <c r="E180" s="26">
        <v>91598</v>
      </c>
      <c r="F180" s="26">
        <f t="shared" si="21"/>
        <v>7327.84</v>
      </c>
      <c r="G180" s="213"/>
    </row>
    <row r="181" spans="1:7" ht="20.100000000000001" customHeight="1">
      <c r="A181" s="224">
        <v>47</v>
      </c>
      <c r="B181" s="432" t="s">
        <v>211</v>
      </c>
      <c r="C181" s="367" t="s">
        <v>13</v>
      </c>
      <c r="D181" s="434" t="s">
        <v>752</v>
      </c>
      <c r="E181" s="26">
        <v>91598</v>
      </c>
      <c r="F181" s="26">
        <f t="shared" si="21"/>
        <v>7327.84</v>
      </c>
      <c r="G181" s="213"/>
    </row>
    <row r="182" spans="1:7" ht="20.100000000000001" customHeight="1">
      <c r="A182" s="224">
        <v>48</v>
      </c>
      <c r="B182" s="432" t="s">
        <v>213</v>
      </c>
      <c r="C182" s="367" t="s">
        <v>13</v>
      </c>
      <c r="D182" s="434" t="s">
        <v>752</v>
      </c>
      <c r="E182" s="26">
        <v>91598</v>
      </c>
      <c r="F182" s="26">
        <f t="shared" si="21"/>
        <v>7327.84</v>
      </c>
      <c r="G182" s="213"/>
    </row>
    <row r="183" spans="1:7" ht="20.100000000000001" customHeight="1">
      <c r="A183" s="224">
        <v>49</v>
      </c>
      <c r="B183" s="364" t="s">
        <v>342</v>
      </c>
      <c r="C183" s="367" t="s">
        <v>13</v>
      </c>
      <c r="D183" s="434" t="s">
        <v>752</v>
      </c>
      <c r="E183" s="26">
        <v>91598</v>
      </c>
      <c r="F183" s="26">
        <f t="shared" si="21"/>
        <v>7327.84</v>
      </c>
      <c r="G183" s="213"/>
    </row>
    <row r="184" spans="1:7" ht="20.100000000000001" customHeight="1">
      <c r="A184" s="224">
        <v>50</v>
      </c>
      <c r="B184" s="364" t="s">
        <v>405</v>
      </c>
      <c r="C184" s="367" t="s">
        <v>13</v>
      </c>
      <c r="D184" s="434" t="s">
        <v>752</v>
      </c>
      <c r="E184" s="26">
        <v>91598</v>
      </c>
      <c r="F184" s="26">
        <f t="shared" si="21"/>
        <v>7327.84</v>
      </c>
      <c r="G184" s="213"/>
    </row>
    <row r="185" spans="1:7" ht="20.100000000000001" customHeight="1">
      <c r="A185" s="224">
        <v>51</v>
      </c>
      <c r="B185" s="432" t="s">
        <v>232</v>
      </c>
      <c r="C185" s="367" t="s">
        <v>167</v>
      </c>
      <c r="D185" s="434" t="s">
        <v>752</v>
      </c>
      <c r="E185" s="26">
        <v>91598</v>
      </c>
      <c r="F185" s="26">
        <f t="shared" si="21"/>
        <v>7327.84</v>
      </c>
      <c r="G185" s="213"/>
    </row>
    <row r="186" spans="1:7" ht="20.100000000000001" customHeight="1">
      <c r="A186" s="224">
        <v>52</v>
      </c>
      <c r="B186" s="432" t="s">
        <v>233</v>
      </c>
      <c r="C186" s="367" t="s">
        <v>167</v>
      </c>
      <c r="D186" s="434" t="s">
        <v>752</v>
      </c>
      <c r="E186" s="26">
        <v>91598</v>
      </c>
      <c r="F186" s="26">
        <f t="shared" si="21"/>
        <v>7327.84</v>
      </c>
      <c r="G186" s="213"/>
    </row>
    <row r="187" spans="1:7" ht="20.100000000000001" customHeight="1">
      <c r="A187" s="224">
        <v>53</v>
      </c>
      <c r="B187" s="364" t="s">
        <v>279</v>
      </c>
      <c r="C187" s="367" t="s">
        <v>715</v>
      </c>
      <c r="D187" s="434" t="s">
        <v>301</v>
      </c>
      <c r="E187" s="26">
        <v>89050.25</v>
      </c>
      <c r="F187" s="26">
        <f t="shared" si="21"/>
        <v>7124.02</v>
      </c>
      <c r="G187" s="213"/>
    </row>
    <row r="188" spans="1:7" ht="20.100000000000001" customHeight="1">
      <c r="A188" s="224">
        <v>54</v>
      </c>
      <c r="B188" s="364" t="s">
        <v>403</v>
      </c>
      <c r="C188" s="367" t="s">
        <v>13</v>
      </c>
      <c r="D188" s="434" t="s">
        <v>28</v>
      </c>
      <c r="E188" s="212">
        <v>80926.916666666672</v>
      </c>
      <c r="F188" s="26">
        <f t="shared" si="21"/>
        <v>6474.1533333333336</v>
      </c>
      <c r="G188" s="213"/>
    </row>
    <row r="189" spans="1:7" ht="20.100000000000001" customHeight="1">
      <c r="A189" s="224">
        <v>55</v>
      </c>
      <c r="B189" s="364" t="s">
        <v>557</v>
      </c>
      <c r="C189" s="367" t="s">
        <v>558</v>
      </c>
      <c r="D189" s="434" t="s">
        <v>150</v>
      </c>
      <c r="E189" s="26">
        <v>76540.75</v>
      </c>
      <c r="F189" s="26">
        <f t="shared" si="21"/>
        <v>6123.26</v>
      </c>
      <c r="G189" s="213"/>
    </row>
    <row r="190" spans="1:7" ht="20.100000000000001" customHeight="1">
      <c r="A190" s="224">
        <v>56</v>
      </c>
      <c r="B190" s="364" t="s">
        <v>560</v>
      </c>
      <c r="C190" s="367" t="s">
        <v>558</v>
      </c>
      <c r="D190" s="434" t="s">
        <v>150</v>
      </c>
      <c r="E190" s="26">
        <v>76540.75</v>
      </c>
      <c r="F190" s="26">
        <f t="shared" si="21"/>
        <v>6123.26</v>
      </c>
      <c r="G190" s="213"/>
    </row>
    <row r="191" spans="1:7" ht="20.100000000000001" customHeight="1">
      <c r="A191" s="224">
        <v>57</v>
      </c>
      <c r="B191" s="364" t="s">
        <v>561</v>
      </c>
      <c r="C191" s="367" t="s">
        <v>558</v>
      </c>
      <c r="D191" s="434" t="s">
        <v>150</v>
      </c>
      <c r="E191" s="26">
        <v>76540.75</v>
      </c>
      <c r="F191" s="26">
        <f t="shared" si="21"/>
        <v>6123.26</v>
      </c>
      <c r="G191" s="213"/>
    </row>
    <row r="192" spans="1:7" ht="20.100000000000001" customHeight="1">
      <c r="A192" s="224">
        <v>58</v>
      </c>
      <c r="B192" s="364" t="s">
        <v>562</v>
      </c>
      <c r="C192" s="367" t="s">
        <v>563</v>
      </c>
      <c r="D192" s="434" t="s">
        <v>262</v>
      </c>
      <c r="E192" s="26">
        <v>86502.5</v>
      </c>
      <c r="F192" s="26">
        <f t="shared" si="21"/>
        <v>6920.2</v>
      </c>
      <c r="G192" s="213"/>
    </row>
    <row r="193" spans="1:7" ht="20.100000000000001" customHeight="1">
      <c r="A193" s="224">
        <v>59</v>
      </c>
      <c r="B193" s="364" t="s">
        <v>565</v>
      </c>
      <c r="C193" s="367" t="s">
        <v>563</v>
      </c>
      <c r="D193" s="434" t="s">
        <v>262</v>
      </c>
      <c r="E193" s="26">
        <v>86502.5</v>
      </c>
      <c r="F193" s="26">
        <f t="shared" si="21"/>
        <v>6920.2</v>
      </c>
      <c r="G193" s="213"/>
    </row>
    <row r="194" spans="1:7" ht="20.100000000000001" customHeight="1">
      <c r="A194" s="224"/>
      <c r="B194" s="210" t="s">
        <v>15</v>
      </c>
      <c r="C194" s="226" t="s">
        <v>710</v>
      </c>
      <c r="D194" s="358"/>
      <c r="E194" s="78">
        <f>SUM(E135:E193)</f>
        <v>14898686.416666664</v>
      </c>
      <c r="F194" s="78">
        <f t="shared" ref="F194" si="22">SUM(F135:F193)</f>
        <v>1130905.0599999998</v>
      </c>
      <c r="G194" s="213"/>
    </row>
    <row r="195" spans="1:7" ht="19.5" customHeight="1">
      <c r="A195" s="357"/>
      <c r="B195" s="227" t="s">
        <v>8</v>
      </c>
      <c r="C195" s="228">
        <f>C35+C41+C55+C60+C73+C83+C96+C103+C113+C132+C194</f>
        <v>153</v>
      </c>
      <c r="D195" s="229"/>
      <c r="E195" s="230">
        <f>E194+E132+E119+E113+E103+E96+E83+E73+E60+E55+E41+E35</f>
        <v>64242790.416999996</v>
      </c>
      <c r="F195" s="230">
        <f t="shared" ref="F195" si="23">F194+F132+F119+F113+F103+F96+F83+F73+F60+F55+F41+F35</f>
        <v>4564480.74</v>
      </c>
      <c r="G195" s="213"/>
    </row>
    <row r="196" spans="1:7" ht="20.100000000000001" customHeight="1">
      <c r="A196" s="202"/>
      <c r="B196" s="231"/>
      <c r="C196" s="202"/>
      <c r="D196" s="232"/>
      <c r="E196" s="232"/>
      <c r="F196" s="232"/>
      <c r="G196" s="433"/>
    </row>
    <row r="197" spans="1:7" ht="36.75" customHeight="1">
      <c r="A197" s="202"/>
      <c r="B197" s="231"/>
      <c r="C197" s="232"/>
      <c r="D197" s="232"/>
      <c r="E197" s="232"/>
      <c r="F197" s="232"/>
    </row>
    <row r="199" spans="1:7" ht="20.100000000000001" customHeight="1"/>
  </sheetData>
  <mergeCells count="2">
    <mergeCell ref="A1:F1"/>
    <mergeCell ref="A2:F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Views>
    <sheetView topLeftCell="O5" workbookViewId="0">
      <selection activeCell="X14" sqref="X14:X18"/>
    </sheetView>
  </sheetViews>
  <sheetFormatPr defaultRowHeight="12.75"/>
  <cols>
    <col min="1" max="1" width="8" customWidth="1"/>
    <col min="2" max="2" width="29.28515625" customWidth="1"/>
    <col min="3" max="3" width="19.5703125" customWidth="1"/>
    <col min="4" max="4" width="15.140625" customWidth="1"/>
    <col min="5" max="11" width="15.7109375" customWidth="1"/>
    <col min="12" max="12" width="15.42578125" customWidth="1"/>
    <col min="13" max="13" width="14" customWidth="1"/>
    <col min="14" max="14" width="15.7109375" customWidth="1"/>
    <col min="15" max="15" width="13.85546875" customWidth="1"/>
    <col min="16" max="16" width="17.5703125" customWidth="1"/>
    <col min="17" max="17" width="14.85546875" customWidth="1"/>
    <col min="18" max="18" width="18" customWidth="1"/>
    <col min="19" max="19" width="15" customWidth="1"/>
    <col min="20" max="20" width="14.140625" customWidth="1"/>
    <col min="21" max="21" width="15.140625" customWidth="1"/>
    <col min="22" max="22" width="15.7109375" customWidth="1"/>
    <col min="23" max="23" width="14.85546875" customWidth="1"/>
    <col min="24" max="24" width="18.28515625" customWidth="1"/>
    <col min="25" max="25" width="15.140625" customWidth="1"/>
  </cols>
  <sheetData>
    <row r="1" spans="1:25" ht="25.5">
      <c r="A1" s="705" t="s">
        <v>234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195">
        <f>'[1]FEB 08'!F8/'[1]FEB 08'!Q8</f>
        <v>0.3</v>
      </c>
      <c r="M1" s="195"/>
      <c r="N1" s="195"/>
      <c r="O1" s="195"/>
      <c r="P1" s="195"/>
      <c r="Q1" s="195"/>
      <c r="R1" s="195"/>
      <c r="S1" s="195"/>
      <c r="T1" s="195"/>
      <c r="U1" s="195"/>
      <c r="V1" s="196"/>
      <c r="W1" s="196"/>
      <c r="X1" s="196"/>
      <c r="Y1" s="196"/>
    </row>
    <row r="2" spans="1:25" ht="26.25">
      <c r="A2" s="197" t="s">
        <v>815</v>
      </c>
      <c r="B2" s="198"/>
      <c r="C2" s="197"/>
      <c r="D2" s="197"/>
      <c r="E2" s="199"/>
      <c r="F2" s="199"/>
      <c r="G2" s="199"/>
      <c r="H2" s="199"/>
      <c r="I2" s="199"/>
      <c r="J2" s="199"/>
      <c r="K2" s="199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1"/>
      <c r="W2" s="201"/>
      <c r="X2" s="201"/>
      <c r="Y2" s="201"/>
    </row>
    <row r="3" spans="1:25" ht="18.75">
      <c r="A3" s="202"/>
      <c r="B3" s="202"/>
      <c r="C3" s="202"/>
      <c r="D3" s="202"/>
      <c r="E3" s="195" t="e">
        <f>'[1]FEB 08'!E11/'[1]FEB 08'!M11</f>
        <v>#REF!</v>
      </c>
      <c r="F3" s="195"/>
      <c r="G3" s="195"/>
      <c r="H3" s="195"/>
      <c r="I3" s="195"/>
      <c r="J3" s="195"/>
      <c r="K3" s="195"/>
      <c r="L3" s="195" t="e">
        <f>'[1]FEB 08'!F11/'[1]FEB 08'!Q11</f>
        <v>#REF!</v>
      </c>
      <c r="M3" s="195"/>
      <c r="N3" s="195"/>
      <c r="O3" s="195"/>
      <c r="P3" s="195"/>
      <c r="Q3" s="195"/>
      <c r="R3" s="195"/>
      <c r="S3" s="195"/>
      <c r="T3" s="195"/>
      <c r="U3" s="195"/>
      <c r="V3" s="196"/>
      <c r="W3" s="196"/>
      <c r="X3" s="196"/>
      <c r="Y3" s="196"/>
    </row>
    <row r="4" spans="1:25" ht="75">
      <c r="A4" s="357"/>
      <c r="B4" s="204" t="s">
        <v>0</v>
      </c>
      <c r="C4" s="204" t="s">
        <v>12</v>
      </c>
      <c r="D4" s="205" t="s">
        <v>309</v>
      </c>
      <c r="E4" s="206" t="s">
        <v>308</v>
      </c>
      <c r="F4" s="206" t="s">
        <v>460</v>
      </c>
      <c r="G4" s="207" t="s">
        <v>2</v>
      </c>
      <c r="H4" s="207" t="s">
        <v>3</v>
      </c>
      <c r="I4" s="206" t="s">
        <v>32</v>
      </c>
      <c r="J4" s="207" t="s">
        <v>42</v>
      </c>
      <c r="K4" s="207" t="s">
        <v>43</v>
      </c>
      <c r="L4" s="207" t="s">
        <v>46</v>
      </c>
      <c r="M4" s="206" t="s">
        <v>93</v>
      </c>
      <c r="N4" s="206" t="s">
        <v>93</v>
      </c>
      <c r="O4" s="207" t="s">
        <v>33</v>
      </c>
      <c r="P4" s="207" t="s">
        <v>33</v>
      </c>
      <c r="Q4" s="206" t="s">
        <v>49</v>
      </c>
      <c r="R4" s="236" t="s">
        <v>74</v>
      </c>
      <c r="S4" s="206" t="s">
        <v>352</v>
      </c>
      <c r="T4" s="206" t="s">
        <v>457</v>
      </c>
      <c r="U4" s="206" t="s">
        <v>180</v>
      </c>
      <c r="V4" s="206" t="s">
        <v>458</v>
      </c>
      <c r="W4" s="207" t="s">
        <v>38</v>
      </c>
      <c r="X4" s="294" t="s">
        <v>459</v>
      </c>
      <c r="Y4" s="254" t="s">
        <v>812</v>
      </c>
    </row>
    <row r="5" spans="1:25" ht="18.75">
      <c r="A5" s="196"/>
      <c r="B5" s="196"/>
      <c r="C5" s="210"/>
      <c r="D5" s="210"/>
      <c r="E5" s="211" t="s">
        <v>5</v>
      </c>
      <c r="F5" s="360"/>
      <c r="G5" s="211" t="s">
        <v>5</v>
      </c>
      <c r="H5" s="211" t="s">
        <v>5</v>
      </c>
      <c r="I5" s="211" t="s">
        <v>5</v>
      </c>
      <c r="J5" s="211" t="s">
        <v>5</v>
      </c>
      <c r="K5" s="211" t="s">
        <v>5</v>
      </c>
      <c r="L5" s="211" t="s">
        <v>5</v>
      </c>
      <c r="M5" s="211" t="s">
        <v>5</v>
      </c>
      <c r="N5" s="211" t="s">
        <v>5</v>
      </c>
      <c r="O5" s="211" t="s">
        <v>5</v>
      </c>
      <c r="P5" s="211" t="s">
        <v>5</v>
      </c>
      <c r="Q5" s="211" t="s">
        <v>5</v>
      </c>
      <c r="R5" s="243" t="s">
        <v>5</v>
      </c>
      <c r="S5" s="211" t="s">
        <v>5</v>
      </c>
      <c r="T5" s="211" t="s">
        <v>5</v>
      </c>
      <c r="U5" s="211" t="s">
        <v>5</v>
      </c>
      <c r="V5" s="211" t="s">
        <v>5</v>
      </c>
      <c r="W5" s="211" t="s">
        <v>5</v>
      </c>
      <c r="X5" s="295" t="s">
        <v>5</v>
      </c>
      <c r="Y5" s="249" t="s">
        <v>5</v>
      </c>
    </row>
    <row r="6" spans="1:25" ht="18.75">
      <c r="A6" s="209" t="s">
        <v>143</v>
      </c>
      <c r="B6" s="210" t="s">
        <v>433</v>
      </c>
      <c r="C6" s="210"/>
      <c r="D6" s="210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43"/>
      <c r="W6" s="210"/>
      <c r="X6" s="243"/>
      <c r="Y6" s="211"/>
    </row>
    <row r="7" spans="1:25" ht="18.75">
      <c r="A7" s="430">
        <v>1</v>
      </c>
      <c r="B7" s="364" t="s">
        <v>419</v>
      </c>
      <c r="C7" s="357" t="s">
        <v>427</v>
      </c>
      <c r="D7" s="430" t="s">
        <v>176</v>
      </c>
      <c r="E7" s="26">
        <f>12732</f>
        <v>12732</v>
      </c>
      <c r="F7" s="26"/>
      <c r="G7" s="26">
        <f t="shared" ref="G7" si="0">E7*300%</f>
        <v>38196</v>
      </c>
      <c r="H7" s="26">
        <f t="shared" ref="H7" si="1">E7*7.5%</f>
        <v>954.9</v>
      </c>
      <c r="I7" s="26"/>
      <c r="J7" s="26">
        <f t="shared" ref="J7" si="2">E7*50%</f>
        <v>6366</v>
      </c>
      <c r="K7" s="26">
        <f t="shared" ref="K7" si="3">E7*350%</f>
        <v>44562</v>
      </c>
      <c r="L7" s="26">
        <f t="shared" ref="L7" si="4">E7*100%</f>
        <v>12732</v>
      </c>
      <c r="M7" s="212"/>
      <c r="N7" s="212">
        <f>50000</f>
        <v>50000</v>
      </c>
      <c r="O7" s="26">
        <f t="shared" ref="O7" si="5">E7*10%</f>
        <v>1273.2</v>
      </c>
      <c r="P7" s="26">
        <v>10000</v>
      </c>
      <c r="Q7" s="26"/>
      <c r="R7" s="237">
        <f>(Q7+P7+O7+N7+M7+L7+K7+J7+I7+H7+G7+F7+E7)</f>
        <v>176816.09999999998</v>
      </c>
      <c r="S7" s="24"/>
      <c r="T7" s="24">
        <f>20000</f>
        <v>20000</v>
      </c>
      <c r="U7" s="24"/>
      <c r="V7" s="24">
        <v>0</v>
      </c>
      <c r="W7" s="26">
        <v>17042.713866666661</v>
      </c>
      <c r="X7" s="296">
        <f t="shared" ref="X7:X8" si="6">S7+T7+U7+V7+W7</f>
        <v>37042.713866666658</v>
      </c>
      <c r="Y7" s="240">
        <f t="shared" ref="Y7:Y8" si="7">R7-X7</f>
        <v>139773.38613333332</v>
      </c>
    </row>
    <row r="8" spans="1:25" ht="56.25">
      <c r="B8" s="362" t="s">
        <v>813</v>
      </c>
      <c r="C8" s="365" t="s">
        <v>791</v>
      </c>
      <c r="D8" s="430" t="s">
        <v>104</v>
      </c>
      <c r="E8" s="26">
        <f>17286.33</f>
        <v>17286.330000000002</v>
      </c>
      <c r="F8" s="26"/>
      <c r="G8" s="26">
        <f>E8*300%</f>
        <v>51858.990000000005</v>
      </c>
      <c r="H8" s="26">
        <f>E8*7.5%</f>
        <v>1296.4747500000001</v>
      </c>
      <c r="I8" s="26"/>
      <c r="J8" s="26">
        <f>E8*50%</f>
        <v>8643.1650000000009</v>
      </c>
      <c r="K8" s="24">
        <f>E8*350%</f>
        <v>60502.155000000006</v>
      </c>
      <c r="L8" s="26">
        <f>E8*100%</f>
        <v>17286.330000000002</v>
      </c>
      <c r="M8" s="212"/>
      <c r="N8" s="212">
        <f>50000+10000</f>
        <v>60000</v>
      </c>
      <c r="O8" s="26">
        <f>E8*10%</f>
        <v>1728.6330000000003</v>
      </c>
      <c r="P8" s="26">
        <v>10000</v>
      </c>
      <c r="Q8" s="26"/>
      <c r="R8" s="237">
        <f>SUM(E8:Q8)</f>
        <v>228602.07775000003</v>
      </c>
      <c r="S8" s="24"/>
      <c r="T8" s="24"/>
      <c r="U8" s="24"/>
      <c r="V8" s="24"/>
      <c r="W8" s="26">
        <v>25571.82</v>
      </c>
      <c r="X8" s="296">
        <f t="shared" si="6"/>
        <v>25571.82</v>
      </c>
      <c r="Y8" s="240">
        <f t="shared" si="7"/>
        <v>203030.25775000002</v>
      </c>
    </row>
    <row r="9" spans="1:25" ht="18.75">
      <c r="B9" s="362" t="s">
        <v>344</v>
      </c>
      <c r="C9" s="626"/>
      <c r="D9" s="360"/>
      <c r="E9" s="31">
        <f>E8-E7</f>
        <v>4554.3300000000017</v>
      </c>
      <c r="F9" s="31"/>
      <c r="G9" s="31">
        <f>E9*300%</f>
        <v>13662.990000000005</v>
      </c>
      <c r="H9" s="31">
        <f>E9*7.5%</f>
        <v>341.57475000000011</v>
      </c>
      <c r="I9" s="31"/>
      <c r="J9" s="31">
        <f>E9*50%</f>
        <v>2277.1650000000009</v>
      </c>
      <c r="K9" s="215">
        <f>E9*350%</f>
        <v>15940.155000000006</v>
      </c>
      <c r="L9" s="31">
        <f>E9*100%</f>
        <v>4554.3300000000017</v>
      </c>
      <c r="M9" s="627"/>
      <c r="N9" s="627">
        <f>N8-N7</f>
        <v>10000</v>
      </c>
      <c r="O9" s="31">
        <f>E9*10%</f>
        <v>455.43300000000022</v>
      </c>
      <c r="P9" s="31">
        <v>0</v>
      </c>
      <c r="Q9" s="31"/>
      <c r="R9" s="246">
        <f>SUM(E9:Q9)</f>
        <v>51785.977750000013</v>
      </c>
      <c r="S9" s="215"/>
      <c r="T9" s="215"/>
      <c r="U9" s="215"/>
      <c r="V9" s="215"/>
      <c r="W9" s="31">
        <f>W8-W7</f>
        <v>8529.1061333333382</v>
      </c>
      <c r="X9" s="302"/>
      <c r="Y9" s="253">
        <f>R9-W9</f>
        <v>43256.871616666671</v>
      </c>
    </row>
    <row r="10" spans="1:25" ht="18.75">
      <c r="W10" s="628"/>
      <c r="X10" s="629" t="s">
        <v>511</v>
      </c>
      <c r="Y10" s="630">
        <f>(27/31)</f>
        <v>0.87096774193548387</v>
      </c>
    </row>
    <row r="11" spans="1:25" ht="18.75">
      <c r="W11" s="631"/>
      <c r="X11" s="632" t="s">
        <v>814</v>
      </c>
      <c r="Y11" s="633">
        <f>Y9*Y10</f>
        <v>37675.339795161293</v>
      </c>
    </row>
  </sheetData>
  <mergeCells count="1">
    <mergeCell ref="A1:K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topLeftCell="A181" workbookViewId="0">
      <selection activeCell="G195" sqref="G195"/>
    </sheetView>
  </sheetViews>
  <sheetFormatPr defaultColWidth="9" defaultRowHeight="12.75"/>
  <cols>
    <col min="1" max="1" width="8.85546875" customWidth="1"/>
    <col min="2" max="2" width="28.7109375" customWidth="1"/>
    <col min="3" max="3" width="16.42578125" customWidth="1"/>
    <col min="4" max="4" width="19.5703125" customWidth="1"/>
    <col min="5" max="5" width="22.7109375" customWidth="1"/>
    <col min="6" max="6" width="21.85546875" customWidth="1"/>
    <col min="7" max="7" width="20" customWidth="1"/>
    <col min="8" max="8" width="21.5703125" customWidth="1"/>
    <col min="9" max="9" width="25.7109375" customWidth="1"/>
    <col min="10" max="10" width="15.42578125" customWidth="1"/>
    <col min="11" max="11" width="17.28515625" customWidth="1"/>
    <col min="12" max="12" width="16.42578125" customWidth="1"/>
    <col min="13" max="13" width="16.28515625" customWidth="1"/>
    <col min="14" max="14" width="19" customWidth="1"/>
    <col min="15" max="15" width="18.42578125" customWidth="1"/>
  </cols>
  <sheetData>
    <row r="1" spans="1:10" ht="22.5">
      <c r="A1" s="634" t="s">
        <v>819</v>
      </c>
      <c r="B1" s="635"/>
      <c r="C1" s="634"/>
      <c r="D1" s="634"/>
      <c r="E1" s="636"/>
      <c r="F1" s="636"/>
      <c r="G1" s="637"/>
    </row>
    <row r="2" spans="1:10" ht="22.5">
      <c r="A2" s="634" t="s">
        <v>820</v>
      </c>
      <c r="B2" s="634"/>
      <c r="C2" s="634"/>
      <c r="D2" s="634"/>
      <c r="E2" s="636"/>
      <c r="F2" s="636"/>
      <c r="G2" s="637"/>
    </row>
    <row r="3" spans="1:10" ht="22.5">
      <c r="A3" s="634" t="s">
        <v>821</v>
      </c>
      <c r="B3" s="634"/>
      <c r="C3" s="634"/>
      <c r="D3" s="634"/>
      <c r="E3" s="636"/>
      <c r="F3" s="636"/>
      <c r="G3" s="637"/>
    </row>
    <row r="4" spans="1:10" ht="45" customHeight="1">
      <c r="A4" s="638" t="s">
        <v>143</v>
      </c>
      <c r="B4" s="639" t="s">
        <v>822</v>
      </c>
      <c r="C4" s="640" t="s">
        <v>823</v>
      </c>
      <c r="D4" s="641" t="s">
        <v>824</v>
      </c>
      <c r="E4" s="641" t="s">
        <v>825</v>
      </c>
      <c r="F4" s="641" t="s">
        <v>826</v>
      </c>
      <c r="G4" s="641" t="s">
        <v>827</v>
      </c>
      <c r="H4" s="642" t="s">
        <v>15</v>
      </c>
    </row>
    <row r="5" spans="1:10" ht="16.5">
      <c r="A5" s="643" t="s">
        <v>828</v>
      </c>
      <c r="B5" s="644" t="s">
        <v>829</v>
      </c>
      <c r="C5" s="645">
        <v>45323</v>
      </c>
      <c r="D5" s="646">
        <f>0</f>
        <v>0</v>
      </c>
      <c r="E5" s="646">
        <v>0</v>
      </c>
      <c r="F5" s="646">
        <v>0</v>
      </c>
      <c r="G5" s="646">
        <f>0</f>
        <v>0</v>
      </c>
      <c r="H5" s="647">
        <f>D5+E5+F5+G5</f>
        <v>0</v>
      </c>
      <c r="I5" s="74"/>
    </row>
    <row r="6" spans="1:10" ht="16.5">
      <c r="A6" s="643" t="s">
        <v>830</v>
      </c>
      <c r="B6" s="648" t="s">
        <v>831</v>
      </c>
      <c r="C6" s="645">
        <v>45323</v>
      </c>
      <c r="D6" s="649">
        <v>250000</v>
      </c>
      <c r="E6" s="649">
        <v>0</v>
      </c>
      <c r="F6" s="649"/>
      <c r="G6" s="647">
        <f>0</f>
        <v>0</v>
      </c>
      <c r="H6" s="647">
        <f t="shared" ref="H6:H69" si="0">D6+E6+F6+G6</f>
        <v>250000</v>
      </c>
      <c r="I6" s="650"/>
    </row>
    <row r="7" spans="1:10" ht="16.5">
      <c r="A7" s="643" t="s">
        <v>832</v>
      </c>
      <c r="B7" s="651" t="s">
        <v>833</v>
      </c>
      <c r="C7" s="645">
        <v>45323</v>
      </c>
      <c r="D7" s="649">
        <f>0</f>
        <v>0</v>
      </c>
      <c r="E7" s="649">
        <v>0</v>
      </c>
      <c r="F7" s="649">
        <v>0</v>
      </c>
      <c r="G7" s="649">
        <f>0</f>
        <v>0</v>
      </c>
      <c r="H7" s="647">
        <f t="shared" si="0"/>
        <v>0</v>
      </c>
      <c r="I7" s="74"/>
    </row>
    <row r="8" spans="1:10" ht="16.5">
      <c r="A8" s="643" t="s">
        <v>834</v>
      </c>
      <c r="B8" s="651" t="s">
        <v>835</v>
      </c>
      <c r="C8" s="645">
        <v>45323</v>
      </c>
      <c r="D8" s="649">
        <v>200000</v>
      </c>
      <c r="E8" s="649">
        <v>0</v>
      </c>
      <c r="F8" s="649">
        <v>0</v>
      </c>
      <c r="G8" s="649">
        <f>327777.78</f>
        <v>327777.78000000003</v>
      </c>
      <c r="H8" s="647">
        <f t="shared" si="0"/>
        <v>527777.78</v>
      </c>
      <c r="I8" s="650"/>
    </row>
    <row r="9" spans="1:10" ht="16.5">
      <c r="A9" s="643" t="s">
        <v>836</v>
      </c>
      <c r="B9" s="651" t="s">
        <v>837</v>
      </c>
      <c r="C9" s="645">
        <v>45323</v>
      </c>
      <c r="D9" s="649">
        <f>0</f>
        <v>0</v>
      </c>
      <c r="E9" s="649"/>
      <c r="F9" s="649"/>
      <c r="G9" s="649">
        <f>0</f>
        <v>0</v>
      </c>
      <c r="H9" s="647">
        <f t="shared" si="0"/>
        <v>0</v>
      </c>
      <c r="I9" s="74"/>
    </row>
    <row r="10" spans="1:10" ht="16.5">
      <c r="A10" s="643" t="s">
        <v>838</v>
      </c>
      <c r="B10" s="651" t="s">
        <v>839</v>
      </c>
      <c r="C10" s="645">
        <v>45323</v>
      </c>
      <c r="D10" s="649">
        <f>0</f>
        <v>0</v>
      </c>
      <c r="E10" s="649">
        <v>0</v>
      </c>
      <c r="F10" s="649">
        <v>0</v>
      </c>
      <c r="G10" s="649">
        <f>0</f>
        <v>0</v>
      </c>
      <c r="H10" s="647">
        <f t="shared" si="0"/>
        <v>0</v>
      </c>
      <c r="I10" s="74"/>
      <c r="J10" s="75"/>
    </row>
    <row r="11" spans="1:10" ht="16.5">
      <c r="A11" s="643" t="s">
        <v>840</v>
      </c>
      <c r="B11" s="651" t="s">
        <v>841</v>
      </c>
      <c r="C11" s="645">
        <v>45323</v>
      </c>
      <c r="D11" s="649">
        <v>0</v>
      </c>
      <c r="E11" s="649">
        <v>0</v>
      </c>
      <c r="F11" s="649">
        <v>0</v>
      </c>
      <c r="G11" s="649">
        <v>0</v>
      </c>
      <c r="H11" s="647">
        <f t="shared" si="0"/>
        <v>0</v>
      </c>
      <c r="I11" s="652"/>
    </row>
    <row r="12" spans="1:10" ht="16.5">
      <c r="A12" s="643" t="s">
        <v>842</v>
      </c>
      <c r="B12" s="651" t="s">
        <v>843</v>
      </c>
      <c r="C12" s="645">
        <v>45323</v>
      </c>
      <c r="D12" s="649">
        <v>50000</v>
      </c>
      <c r="E12" s="649">
        <v>0</v>
      </c>
      <c r="F12" s="649">
        <v>0</v>
      </c>
      <c r="G12" s="649">
        <f>385000</f>
        <v>385000</v>
      </c>
      <c r="H12" s="647">
        <f t="shared" si="0"/>
        <v>435000</v>
      </c>
      <c r="I12" s="650"/>
    </row>
    <row r="13" spans="1:10" ht="16.5">
      <c r="A13" s="643" t="s">
        <v>844</v>
      </c>
      <c r="B13" s="651" t="s">
        <v>845</v>
      </c>
      <c r="C13" s="645">
        <v>45323</v>
      </c>
      <c r="D13" s="649">
        <v>0</v>
      </c>
      <c r="E13" s="649">
        <v>0</v>
      </c>
      <c r="F13" s="649">
        <v>0</v>
      </c>
      <c r="G13" s="649">
        <v>0</v>
      </c>
      <c r="H13" s="647">
        <f t="shared" si="0"/>
        <v>0</v>
      </c>
      <c r="I13" s="652"/>
    </row>
    <row r="14" spans="1:10" ht="16.5">
      <c r="A14" s="643" t="s">
        <v>846</v>
      </c>
      <c r="B14" s="651" t="s">
        <v>847</v>
      </c>
      <c r="C14" s="645">
        <v>45323</v>
      </c>
      <c r="D14" s="649">
        <f>0</f>
        <v>0</v>
      </c>
      <c r="E14" s="649">
        <v>0</v>
      </c>
      <c r="F14" s="649">
        <v>0</v>
      </c>
      <c r="G14" s="649">
        <f>0</f>
        <v>0</v>
      </c>
      <c r="H14" s="647">
        <f t="shared" si="0"/>
        <v>0</v>
      </c>
      <c r="I14" s="74"/>
    </row>
    <row r="15" spans="1:10" ht="16.5">
      <c r="A15" s="643" t="s">
        <v>848</v>
      </c>
      <c r="B15" s="651" t="s">
        <v>849</v>
      </c>
      <c r="C15" s="645">
        <v>45323</v>
      </c>
      <c r="D15" s="649">
        <v>30000</v>
      </c>
      <c r="E15" s="649">
        <v>0</v>
      </c>
      <c r="F15" s="649">
        <v>0</v>
      </c>
      <c r="G15" s="649">
        <v>91666.67</v>
      </c>
      <c r="H15" s="647">
        <f t="shared" si="0"/>
        <v>121666.67</v>
      </c>
      <c r="I15" s="650"/>
    </row>
    <row r="16" spans="1:10" ht="16.5">
      <c r="A16" s="643" t="s">
        <v>850</v>
      </c>
      <c r="B16" s="651" t="s">
        <v>153</v>
      </c>
      <c r="C16" s="645">
        <v>45323</v>
      </c>
      <c r="D16" s="649">
        <f>100000</f>
        <v>100000</v>
      </c>
      <c r="E16" s="649">
        <v>0</v>
      </c>
      <c r="F16" s="649">
        <v>0</v>
      </c>
      <c r="G16" s="649">
        <f>0</f>
        <v>0</v>
      </c>
      <c r="H16" s="647">
        <f t="shared" si="0"/>
        <v>100000</v>
      </c>
      <c r="I16" s="650"/>
    </row>
    <row r="17" spans="1:9" ht="16.5">
      <c r="A17" s="643" t="s">
        <v>851</v>
      </c>
      <c r="B17" s="651" t="s">
        <v>852</v>
      </c>
      <c r="C17" s="645">
        <v>45323</v>
      </c>
      <c r="D17" s="649">
        <f>0</f>
        <v>0</v>
      </c>
      <c r="E17" s="649">
        <v>0</v>
      </c>
      <c r="F17" s="649">
        <v>0</v>
      </c>
      <c r="G17" s="649">
        <f>0</f>
        <v>0</v>
      </c>
      <c r="H17" s="647">
        <f t="shared" si="0"/>
        <v>0</v>
      </c>
      <c r="I17" s="74"/>
    </row>
    <row r="18" spans="1:9" ht="16.5">
      <c r="A18" s="643" t="s">
        <v>853</v>
      </c>
      <c r="B18" s="651" t="s">
        <v>854</v>
      </c>
      <c r="C18" s="645">
        <v>45323</v>
      </c>
      <c r="D18" s="649">
        <v>0</v>
      </c>
      <c r="E18" s="649">
        <v>0</v>
      </c>
      <c r="F18" s="649">
        <v>0</v>
      </c>
      <c r="G18" s="649">
        <v>0</v>
      </c>
      <c r="H18" s="647">
        <f t="shared" si="0"/>
        <v>0</v>
      </c>
      <c r="I18" s="32"/>
    </row>
    <row r="19" spans="1:9" ht="16.5">
      <c r="A19" s="643" t="s">
        <v>855</v>
      </c>
      <c r="B19" s="651" t="s">
        <v>856</v>
      </c>
      <c r="C19" s="645">
        <v>45323</v>
      </c>
      <c r="D19" s="649">
        <f>100000</f>
        <v>100000</v>
      </c>
      <c r="E19" s="649">
        <v>0</v>
      </c>
      <c r="F19" s="649">
        <v>0</v>
      </c>
      <c r="G19" s="649">
        <f>0</f>
        <v>0</v>
      </c>
      <c r="H19" s="647">
        <f t="shared" si="0"/>
        <v>100000</v>
      </c>
      <c r="I19" s="653"/>
    </row>
    <row r="20" spans="1:9" ht="16.5">
      <c r="A20" s="643" t="s">
        <v>857</v>
      </c>
      <c r="B20" s="651" t="s">
        <v>858</v>
      </c>
      <c r="C20" s="645">
        <v>45323</v>
      </c>
      <c r="D20" s="649">
        <f>50000</f>
        <v>50000</v>
      </c>
      <c r="E20" s="649">
        <v>0</v>
      </c>
      <c r="F20" s="649">
        <v>0</v>
      </c>
      <c r="G20" s="647">
        <f>200000</f>
        <v>200000</v>
      </c>
      <c r="H20" s="647">
        <f t="shared" si="0"/>
        <v>250000</v>
      </c>
      <c r="I20" s="654"/>
    </row>
    <row r="21" spans="1:9" ht="16.5">
      <c r="A21" s="643" t="s">
        <v>859</v>
      </c>
      <c r="B21" s="644" t="s">
        <v>860</v>
      </c>
      <c r="C21" s="645">
        <v>45323</v>
      </c>
      <c r="D21" s="646">
        <f>0</f>
        <v>0</v>
      </c>
      <c r="E21" s="646">
        <v>0</v>
      </c>
      <c r="F21" s="646">
        <v>0</v>
      </c>
      <c r="G21" s="655">
        <f>0</f>
        <v>0</v>
      </c>
      <c r="H21" s="647">
        <f t="shared" si="0"/>
        <v>0</v>
      </c>
      <c r="I21" s="656"/>
    </row>
    <row r="22" spans="1:9" ht="16.5">
      <c r="A22" s="643" t="s">
        <v>861</v>
      </c>
      <c r="B22" s="651" t="s">
        <v>862</v>
      </c>
      <c r="C22" s="645">
        <v>45323</v>
      </c>
      <c r="D22" s="649">
        <v>50000</v>
      </c>
      <c r="E22" s="649">
        <v>0</v>
      </c>
      <c r="F22" s="649">
        <v>0</v>
      </c>
      <c r="G22" s="649">
        <f>0</f>
        <v>0</v>
      </c>
      <c r="H22" s="647">
        <f t="shared" si="0"/>
        <v>50000</v>
      </c>
      <c r="I22" s="654"/>
    </row>
    <row r="23" spans="1:9" ht="16.5">
      <c r="A23" s="643" t="s">
        <v>863</v>
      </c>
      <c r="B23" s="651" t="s">
        <v>864</v>
      </c>
      <c r="C23" s="645">
        <v>45323</v>
      </c>
      <c r="D23" s="649">
        <v>0</v>
      </c>
      <c r="E23" s="649">
        <v>0</v>
      </c>
      <c r="F23" s="649">
        <v>0</v>
      </c>
      <c r="G23" s="649">
        <v>0</v>
      </c>
      <c r="H23" s="647">
        <f t="shared" si="0"/>
        <v>0</v>
      </c>
    </row>
    <row r="24" spans="1:9" ht="16.5">
      <c r="A24" s="643" t="s">
        <v>865</v>
      </c>
      <c r="B24" s="644" t="s">
        <v>178</v>
      </c>
      <c r="C24" s="645">
        <v>45323</v>
      </c>
      <c r="D24" s="646">
        <f>20000</f>
        <v>20000</v>
      </c>
      <c r="E24" s="646">
        <v>0</v>
      </c>
      <c r="F24" s="646">
        <f>0</f>
        <v>0</v>
      </c>
      <c r="G24" s="646">
        <v>75694.44</v>
      </c>
      <c r="H24" s="647">
        <f t="shared" si="0"/>
        <v>95694.44</v>
      </c>
      <c r="I24" s="650"/>
    </row>
    <row r="25" spans="1:9" ht="16.5">
      <c r="A25" s="643" t="s">
        <v>866</v>
      </c>
      <c r="B25" s="651" t="s">
        <v>867</v>
      </c>
      <c r="C25" s="645">
        <v>45323</v>
      </c>
      <c r="D25" s="649">
        <v>0</v>
      </c>
      <c r="E25" s="649">
        <v>0</v>
      </c>
      <c r="F25" s="649">
        <v>0</v>
      </c>
      <c r="G25" s="649">
        <v>0</v>
      </c>
      <c r="H25" s="647">
        <f t="shared" si="0"/>
        <v>0</v>
      </c>
      <c r="I25" s="74"/>
    </row>
    <row r="26" spans="1:9" ht="16.5">
      <c r="A26" s="643" t="s">
        <v>868</v>
      </c>
      <c r="B26" s="651" t="s">
        <v>869</v>
      </c>
      <c r="C26" s="645">
        <v>45323</v>
      </c>
      <c r="D26" s="649">
        <v>10000</v>
      </c>
      <c r="E26" s="649">
        <v>0</v>
      </c>
      <c r="F26" s="649">
        <v>0</v>
      </c>
      <c r="G26" s="649">
        <f>65885.83</f>
        <v>65885.83</v>
      </c>
      <c r="H26" s="647">
        <f t="shared" si="0"/>
        <v>75885.83</v>
      </c>
      <c r="I26" s="650"/>
    </row>
    <row r="27" spans="1:9" ht="16.5">
      <c r="A27" s="643" t="s">
        <v>870</v>
      </c>
      <c r="B27" s="651" t="s">
        <v>871</v>
      </c>
      <c r="C27" s="645">
        <v>45323</v>
      </c>
      <c r="D27" s="649">
        <v>30000</v>
      </c>
      <c r="E27" s="649">
        <v>0</v>
      </c>
      <c r="F27" s="649">
        <v>10000</v>
      </c>
      <c r="G27" s="649">
        <f>238888.89</f>
        <v>238888.89</v>
      </c>
      <c r="H27" s="647">
        <f t="shared" si="0"/>
        <v>278888.89</v>
      </c>
      <c r="I27" s="650"/>
    </row>
    <row r="28" spans="1:9" ht="16.5">
      <c r="A28" s="643" t="s">
        <v>872</v>
      </c>
      <c r="B28" s="651" t="s">
        <v>873</v>
      </c>
      <c r="C28" s="645">
        <v>45323</v>
      </c>
      <c r="D28" s="649">
        <v>30000</v>
      </c>
      <c r="E28" s="649">
        <v>0</v>
      </c>
      <c r="F28" s="649">
        <v>0</v>
      </c>
      <c r="G28" s="649">
        <f>61111.11</f>
        <v>61111.11</v>
      </c>
      <c r="H28" s="647">
        <f t="shared" si="0"/>
        <v>91111.11</v>
      </c>
      <c r="I28" s="650"/>
    </row>
    <row r="29" spans="1:9" ht="18">
      <c r="A29" s="643" t="s">
        <v>874</v>
      </c>
      <c r="B29" s="651" t="s">
        <v>875</v>
      </c>
      <c r="C29" s="645">
        <v>45323</v>
      </c>
      <c r="D29" s="657">
        <f>15000</f>
        <v>15000</v>
      </c>
      <c r="E29" s="657"/>
      <c r="F29" s="657"/>
      <c r="G29" s="658">
        <f>30000</f>
        <v>30000</v>
      </c>
      <c r="H29" s="647">
        <f t="shared" si="0"/>
        <v>45000</v>
      </c>
      <c r="I29" s="650"/>
    </row>
    <row r="30" spans="1:9" ht="16.5">
      <c r="A30" s="643" t="s">
        <v>876</v>
      </c>
      <c r="B30" s="651" t="s">
        <v>877</v>
      </c>
      <c r="C30" s="645">
        <v>45323</v>
      </c>
      <c r="D30" s="649">
        <v>20000</v>
      </c>
      <c r="E30" s="649">
        <v>0</v>
      </c>
      <c r="F30" s="649">
        <v>0</v>
      </c>
      <c r="G30" s="649">
        <f>163103.59</f>
        <v>163103.59</v>
      </c>
      <c r="H30" s="647">
        <f t="shared" si="0"/>
        <v>183103.59</v>
      </c>
      <c r="I30" s="650"/>
    </row>
    <row r="31" spans="1:9" ht="16.5">
      <c r="A31" s="643" t="s">
        <v>878</v>
      </c>
      <c r="B31" s="651" t="s">
        <v>26</v>
      </c>
      <c r="C31" s="645">
        <v>45323</v>
      </c>
      <c r="D31" s="649">
        <v>20000</v>
      </c>
      <c r="E31" s="649">
        <v>0</v>
      </c>
      <c r="F31" s="649">
        <v>0</v>
      </c>
      <c r="G31" s="649">
        <v>96664.65</v>
      </c>
      <c r="H31" s="647">
        <f t="shared" si="0"/>
        <v>116664.65</v>
      </c>
      <c r="I31" s="650"/>
    </row>
    <row r="32" spans="1:9" ht="16.5">
      <c r="A32" s="643" t="s">
        <v>879</v>
      </c>
      <c r="B32" s="651" t="s">
        <v>880</v>
      </c>
      <c r="C32" s="645">
        <v>45323</v>
      </c>
      <c r="D32" s="649">
        <v>20000</v>
      </c>
      <c r="E32" s="649">
        <v>0</v>
      </c>
      <c r="F32" s="649">
        <v>0</v>
      </c>
      <c r="G32" s="659"/>
      <c r="H32" s="647">
        <f t="shared" si="0"/>
        <v>20000</v>
      </c>
      <c r="I32" s="650"/>
    </row>
    <row r="33" spans="1:9" ht="16.5">
      <c r="A33" s="643" t="s">
        <v>881</v>
      </c>
      <c r="B33" s="651" t="s">
        <v>882</v>
      </c>
      <c r="C33" s="645">
        <v>45323</v>
      </c>
      <c r="D33" s="655"/>
      <c r="E33" s="655"/>
      <c r="F33" s="655"/>
      <c r="G33" s="655"/>
      <c r="H33" s="647">
        <f t="shared" si="0"/>
        <v>0</v>
      </c>
      <c r="I33" s="74"/>
    </row>
    <row r="34" spans="1:9" ht="16.5">
      <c r="A34" s="643" t="s">
        <v>883</v>
      </c>
      <c r="B34" s="651" t="s">
        <v>884</v>
      </c>
      <c r="C34" s="645">
        <v>45323</v>
      </c>
      <c r="D34" s="649">
        <v>20000</v>
      </c>
      <c r="E34" s="649">
        <v>0</v>
      </c>
      <c r="F34" s="657">
        <f>5000+5000</f>
        <v>10000</v>
      </c>
      <c r="G34" s="649">
        <f>47916.66</f>
        <v>47916.66</v>
      </c>
      <c r="H34" s="647">
        <f t="shared" si="0"/>
        <v>77916.66</v>
      </c>
      <c r="I34" s="650"/>
    </row>
    <row r="35" spans="1:9" ht="16.5">
      <c r="A35" s="643" t="s">
        <v>885</v>
      </c>
      <c r="B35" s="651" t="s">
        <v>886</v>
      </c>
      <c r="C35" s="645">
        <v>45323</v>
      </c>
      <c r="D35" s="649">
        <v>0</v>
      </c>
      <c r="E35" s="649">
        <v>0</v>
      </c>
      <c r="F35" s="649">
        <v>0</v>
      </c>
      <c r="G35" s="649">
        <v>0</v>
      </c>
      <c r="H35" s="647">
        <f t="shared" si="0"/>
        <v>0</v>
      </c>
      <c r="I35" s="74"/>
    </row>
    <row r="36" spans="1:9" ht="16.5">
      <c r="A36" s="643" t="s">
        <v>887</v>
      </c>
      <c r="B36" s="651" t="s">
        <v>888</v>
      </c>
      <c r="C36" s="645">
        <v>45323</v>
      </c>
      <c r="D36" s="649">
        <f>20000</f>
        <v>20000</v>
      </c>
      <c r="E36" s="649">
        <v>0</v>
      </c>
      <c r="F36" s="649">
        <v>0</v>
      </c>
      <c r="G36" s="649">
        <f>43750</f>
        <v>43750</v>
      </c>
      <c r="H36" s="647">
        <f t="shared" si="0"/>
        <v>63750</v>
      </c>
      <c r="I36" s="650"/>
    </row>
    <row r="37" spans="1:9" ht="16.5">
      <c r="A37" s="643" t="s">
        <v>889</v>
      </c>
      <c r="B37" s="651" t="s">
        <v>890</v>
      </c>
      <c r="C37" s="645">
        <v>45323</v>
      </c>
      <c r="D37" s="649">
        <f>10000</f>
        <v>10000</v>
      </c>
      <c r="E37" s="649">
        <f>0</f>
        <v>0</v>
      </c>
      <c r="F37" s="649">
        <f>0</f>
        <v>0</v>
      </c>
      <c r="G37" s="649">
        <f>90000+25000</f>
        <v>115000</v>
      </c>
      <c r="H37" s="647">
        <f t="shared" si="0"/>
        <v>125000</v>
      </c>
      <c r="I37" s="650"/>
    </row>
    <row r="38" spans="1:9" ht="16.5">
      <c r="A38" s="643" t="s">
        <v>891</v>
      </c>
      <c r="B38" s="651" t="s">
        <v>6</v>
      </c>
      <c r="C38" s="645">
        <v>45323</v>
      </c>
      <c r="D38" s="649">
        <f>0</f>
        <v>0</v>
      </c>
      <c r="E38" s="649">
        <v>0</v>
      </c>
      <c r="F38" s="649">
        <v>0</v>
      </c>
      <c r="G38" s="649">
        <f>50000</f>
        <v>50000</v>
      </c>
      <c r="H38" s="647">
        <f t="shared" si="0"/>
        <v>50000</v>
      </c>
      <c r="I38" s="74"/>
    </row>
    <row r="39" spans="1:9" ht="16.5">
      <c r="A39" s="643" t="s">
        <v>892</v>
      </c>
      <c r="B39" s="651" t="s">
        <v>111</v>
      </c>
      <c r="C39" s="645">
        <v>45323</v>
      </c>
      <c r="D39" s="649">
        <f>10000</f>
        <v>10000</v>
      </c>
      <c r="E39" s="649">
        <v>0</v>
      </c>
      <c r="F39" s="649">
        <v>0</v>
      </c>
      <c r="G39" s="649">
        <f>200000</f>
        <v>200000</v>
      </c>
      <c r="H39" s="647">
        <f t="shared" si="0"/>
        <v>210000</v>
      </c>
      <c r="I39" s="650"/>
    </row>
    <row r="40" spans="1:9" ht="16.5">
      <c r="A40" s="643" t="s">
        <v>893</v>
      </c>
      <c r="B40" s="651" t="s">
        <v>134</v>
      </c>
      <c r="C40" s="645">
        <v>45323</v>
      </c>
      <c r="D40" s="649">
        <v>35000</v>
      </c>
      <c r="E40" s="649">
        <v>0</v>
      </c>
      <c r="F40" s="649">
        <f>25000</f>
        <v>25000</v>
      </c>
      <c r="G40" s="649">
        <f>55000</f>
        <v>55000</v>
      </c>
      <c r="H40" s="647">
        <f t="shared" si="0"/>
        <v>115000</v>
      </c>
      <c r="I40" s="650"/>
    </row>
    <row r="41" spans="1:9" ht="16.5">
      <c r="A41" s="643" t="s">
        <v>894</v>
      </c>
      <c r="B41" s="651" t="s">
        <v>53</v>
      </c>
      <c r="C41" s="645">
        <v>45323</v>
      </c>
      <c r="D41" s="649">
        <v>10000</v>
      </c>
      <c r="E41" s="649">
        <v>0</v>
      </c>
      <c r="F41" s="649">
        <v>0</v>
      </c>
      <c r="G41" s="649">
        <f>100000</f>
        <v>100000</v>
      </c>
      <c r="H41" s="647">
        <f t="shared" si="0"/>
        <v>110000</v>
      </c>
      <c r="I41" s="650"/>
    </row>
    <row r="42" spans="1:9" ht="16.5">
      <c r="A42" s="643" t="s">
        <v>895</v>
      </c>
      <c r="B42" s="651" t="s">
        <v>896</v>
      </c>
      <c r="C42" s="645">
        <v>45323</v>
      </c>
      <c r="D42" s="649">
        <f>10000</f>
        <v>10000</v>
      </c>
      <c r="E42" s="655"/>
      <c r="F42" s="655"/>
      <c r="G42" s="655"/>
      <c r="H42" s="647">
        <f t="shared" si="0"/>
        <v>10000</v>
      </c>
      <c r="I42" s="650"/>
    </row>
    <row r="43" spans="1:9" ht="16.5">
      <c r="A43" s="643" t="s">
        <v>897</v>
      </c>
      <c r="B43" s="651" t="s">
        <v>132</v>
      </c>
      <c r="C43" s="645">
        <v>45323</v>
      </c>
      <c r="D43" s="647">
        <v>10000</v>
      </c>
      <c r="E43" s="660">
        <v>0</v>
      </c>
      <c r="F43" s="657">
        <f>5000+5000</f>
        <v>10000</v>
      </c>
      <c r="G43" s="647">
        <f>22361.11</f>
        <v>22361.11</v>
      </c>
      <c r="H43" s="647">
        <f t="shared" si="0"/>
        <v>42361.11</v>
      </c>
      <c r="I43" s="650"/>
    </row>
    <row r="44" spans="1:9" ht="16.5">
      <c r="A44" s="643" t="s">
        <v>898</v>
      </c>
      <c r="B44" s="651" t="s">
        <v>899</v>
      </c>
      <c r="C44" s="645">
        <v>45323</v>
      </c>
      <c r="D44" s="647">
        <f>10000</f>
        <v>10000</v>
      </c>
      <c r="E44" s="660">
        <v>0</v>
      </c>
      <c r="F44" s="657">
        <f>5000+5000</f>
        <v>10000</v>
      </c>
      <c r="G44" s="647">
        <f>20000</f>
        <v>20000</v>
      </c>
      <c r="H44" s="647">
        <f t="shared" si="0"/>
        <v>40000</v>
      </c>
      <c r="I44" s="650"/>
    </row>
    <row r="45" spans="1:9" ht="16.5">
      <c r="A45" s="643" t="s">
        <v>900</v>
      </c>
      <c r="B45" s="651" t="s">
        <v>901</v>
      </c>
      <c r="C45" s="645">
        <v>45323</v>
      </c>
      <c r="D45" s="649">
        <f>5000</f>
        <v>5000</v>
      </c>
      <c r="E45" s="649">
        <v>0</v>
      </c>
      <c r="F45" s="657">
        <f>5000+5000</f>
        <v>10000</v>
      </c>
      <c r="G45" s="649">
        <f>35704.84</f>
        <v>35704.839999999997</v>
      </c>
      <c r="H45" s="647">
        <f t="shared" si="0"/>
        <v>50704.84</v>
      </c>
      <c r="I45" s="650"/>
    </row>
    <row r="46" spans="1:9" ht="16.5">
      <c r="A46" s="643" t="s">
        <v>902</v>
      </c>
      <c r="B46" s="651" t="s">
        <v>445</v>
      </c>
      <c r="C46" s="645">
        <v>45323</v>
      </c>
      <c r="D46" s="649">
        <v>10000</v>
      </c>
      <c r="E46" s="649">
        <v>0</v>
      </c>
      <c r="F46" s="649">
        <f>5000+5000</f>
        <v>10000</v>
      </c>
      <c r="G46" s="649">
        <f>32000</f>
        <v>32000</v>
      </c>
      <c r="H46" s="647">
        <f t="shared" si="0"/>
        <v>52000</v>
      </c>
      <c r="I46" s="650"/>
    </row>
    <row r="47" spans="1:9" ht="16.5">
      <c r="A47" s="643" t="s">
        <v>903</v>
      </c>
      <c r="B47" s="651" t="s">
        <v>904</v>
      </c>
      <c r="C47" s="645">
        <v>45323</v>
      </c>
      <c r="D47" s="649">
        <v>0</v>
      </c>
      <c r="E47" s="649">
        <v>0</v>
      </c>
      <c r="F47" s="649">
        <v>0</v>
      </c>
      <c r="G47" s="649">
        <v>0</v>
      </c>
      <c r="H47" s="647">
        <f t="shared" si="0"/>
        <v>0</v>
      </c>
      <c r="I47" s="74"/>
    </row>
    <row r="48" spans="1:9" ht="16.5">
      <c r="A48" s="643" t="s">
        <v>905</v>
      </c>
      <c r="B48" s="651" t="s">
        <v>25</v>
      </c>
      <c r="C48" s="645">
        <v>45323</v>
      </c>
      <c r="D48" s="649">
        <f>0</f>
        <v>0</v>
      </c>
      <c r="E48" s="649">
        <v>0</v>
      </c>
      <c r="F48" s="649">
        <v>0</v>
      </c>
      <c r="G48" s="649">
        <f>0</f>
        <v>0</v>
      </c>
      <c r="H48" s="647">
        <f t="shared" si="0"/>
        <v>0</v>
      </c>
      <c r="I48" s="74"/>
    </row>
    <row r="49" spans="1:11" ht="16.5">
      <c r="A49" s="643" t="s">
        <v>906</v>
      </c>
      <c r="B49" s="651" t="s">
        <v>24</v>
      </c>
      <c r="C49" s="645">
        <v>45323</v>
      </c>
      <c r="D49" s="649">
        <f>0</f>
        <v>0</v>
      </c>
      <c r="E49" s="649">
        <v>0</v>
      </c>
      <c r="F49" s="657">
        <f>0</f>
        <v>0</v>
      </c>
      <c r="G49" s="649">
        <f>0</f>
        <v>0</v>
      </c>
      <c r="H49" s="647">
        <f t="shared" si="0"/>
        <v>0</v>
      </c>
      <c r="I49" s="74"/>
    </row>
    <row r="50" spans="1:11" ht="16.5">
      <c r="A50" s="643" t="s">
        <v>907</v>
      </c>
      <c r="B50" s="651" t="s">
        <v>23</v>
      </c>
      <c r="C50" s="645">
        <v>45323</v>
      </c>
      <c r="D50" s="649">
        <v>10000</v>
      </c>
      <c r="E50" s="649">
        <v>0</v>
      </c>
      <c r="F50" s="649">
        <f>5000+5000</f>
        <v>10000</v>
      </c>
      <c r="G50" s="661">
        <f>0</f>
        <v>0</v>
      </c>
      <c r="H50" s="647">
        <f t="shared" si="0"/>
        <v>20000</v>
      </c>
      <c r="I50" s="650"/>
    </row>
    <row r="51" spans="1:11" ht="16.5">
      <c r="A51" s="643" t="s">
        <v>908</v>
      </c>
      <c r="B51" s="651" t="s">
        <v>909</v>
      </c>
      <c r="C51" s="645">
        <v>45323</v>
      </c>
      <c r="D51" s="647">
        <v>20000</v>
      </c>
      <c r="E51" s="662">
        <f>0</f>
        <v>0</v>
      </c>
      <c r="F51" s="649">
        <f>5000+5000</f>
        <v>10000</v>
      </c>
      <c r="G51" s="649">
        <f>26430.62</f>
        <v>26430.62</v>
      </c>
      <c r="H51" s="647">
        <f t="shared" si="0"/>
        <v>56430.619999999995</v>
      </c>
      <c r="I51" s="650"/>
      <c r="J51" s="32"/>
    </row>
    <row r="52" spans="1:11" ht="16.5">
      <c r="A52" s="643" t="s">
        <v>910</v>
      </c>
      <c r="B52" s="651" t="s">
        <v>166</v>
      </c>
      <c r="C52" s="645">
        <v>45323</v>
      </c>
      <c r="D52" s="647">
        <f>3000</f>
        <v>3000</v>
      </c>
      <c r="E52" s="647"/>
      <c r="F52" s="649">
        <f>5000+5000</f>
        <v>10000</v>
      </c>
      <c r="G52" s="647">
        <f>44000</f>
        <v>44000</v>
      </c>
      <c r="H52" s="647">
        <f t="shared" si="0"/>
        <v>57000</v>
      </c>
      <c r="I52" s="650"/>
    </row>
    <row r="53" spans="1:11" ht="16.5">
      <c r="A53" s="643" t="s">
        <v>911</v>
      </c>
      <c r="B53" s="651" t="s">
        <v>40</v>
      </c>
      <c r="C53" s="645">
        <v>45323</v>
      </c>
      <c r="D53" s="649">
        <v>10000</v>
      </c>
      <c r="E53" s="649">
        <v>0</v>
      </c>
      <c r="F53" s="649">
        <f>5000+5000</f>
        <v>10000</v>
      </c>
      <c r="G53" s="649">
        <f>15112.49</f>
        <v>15112.49</v>
      </c>
      <c r="H53" s="647">
        <f t="shared" si="0"/>
        <v>35112.49</v>
      </c>
      <c r="I53" s="650"/>
      <c r="K53" s="75"/>
    </row>
    <row r="54" spans="1:11" ht="16.5">
      <c r="A54" s="643" t="s">
        <v>912</v>
      </c>
      <c r="B54" s="651" t="s">
        <v>913</v>
      </c>
      <c r="C54" s="645">
        <v>45323</v>
      </c>
      <c r="D54" s="649">
        <v>20000</v>
      </c>
      <c r="E54" s="649">
        <v>0</v>
      </c>
      <c r="F54" s="649">
        <f>5000+5000</f>
        <v>10000</v>
      </c>
      <c r="G54" s="649">
        <f>25555.56</f>
        <v>25555.56</v>
      </c>
      <c r="H54" s="647">
        <f t="shared" si="0"/>
        <v>55555.56</v>
      </c>
      <c r="I54" s="650"/>
    </row>
    <row r="55" spans="1:11" ht="16.5">
      <c r="A55" s="663" t="s">
        <v>914</v>
      </c>
      <c r="B55" s="664" t="s">
        <v>915</v>
      </c>
      <c r="C55" s="645">
        <v>45323</v>
      </c>
      <c r="D55" s="665">
        <v>0</v>
      </c>
      <c r="E55" s="665">
        <v>0</v>
      </c>
      <c r="F55" s="665">
        <v>0</v>
      </c>
      <c r="G55" s="665">
        <v>0</v>
      </c>
      <c r="H55" s="647">
        <f t="shared" si="0"/>
        <v>0</v>
      </c>
      <c r="I55" s="74"/>
      <c r="K55" s="75"/>
    </row>
    <row r="56" spans="1:11" ht="16.5">
      <c r="A56" s="643" t="s">
        <v>916</v>
      </c>
      <c r="B56" s="644" t="s">
        <v>21</v>
      </c>
      <c r="C56" s="645">
        <v>45323</v>
      </c>
      <c r="D56" s="646">
        <v>100000</v>
      </c>
      <c r="E56" s="646">
        <v>0</v>
      </c>
      <c r="F56" s="646">
        <v>0</v>
      </c>
      <c r="G56" s="646">
        <v>208526.23499999999</v>
      </c>
      <c r="H56" s="647">
        <f t="shared" si="0"/>
        <v>308526.23499999999</v>
      </c>
      <c r="I56" s="650"/>
    </row>
    <row r="57" spans="1:11" ht="16.5">
      <c r="A57" s="643" t="s">
        <v>917</v>
      </c>
      <c r="B57" s="644" t="s">
        <v>918</v>
      </c>
      <c r="C57" s="645">
        <v>45323</v>
      </c>
      <c r="D57" s="647"/>
      <c r="E57" s="647">
        <v>0</v>
      </c>
      <c r="F57" s="647">
        <v>0</v>
      </c>
      <c r="G57" s="647">
        <v>0</v>
      </c>
      <c r="H57" s="647">
        <f t="shared" si="0"/>
        <v>0</v>
      </c>
      <c r="I57" s="74"/>
    </row>
    <row r="58" spans="1:11" ht="16.5">
      <c r="A58" s="643" t="s">
        <v>919</v>
      </c>
      <c r="B58" s="644" t="s">
        <v>920</v>
      </c>
      <c r="C58" s="645">
        <v>45323</v>
      </c>
      <c r="D58" s="647">
        <f>80000</f>
        <v>80000</v>
      </c>
      <c r="E58" s="647">
        <v>0</v>
      </c>
      <c r="F58" s="647">
        <v>0</v>
      </c>
      <c r="G58" s="649">
        <f>230499.8</f>
        <v>230499.8</v>
      </c>
      <c r="H58" s="647">
        <f t="shared" si="0"/>
        <v>310499.8</v>
      </c>
      <c r="I58" s="650"/>
      <c r="J58" s="74"/>
    </row>
    <row r="59" spans="1:11" ht="16.5">
      <c r="A59" s="663" t="s">
        <v>921</v>
      </c>
      <c r="B59" s="664" t="s">
        <v>922</v>
      </c>
      <c r="C59" s="645">
        <v>45323</v>
      </c>
      <c r="D59" s="665">
        <v>0</v>
      </c>
      <c r="E59" s="665">
        <v>0</v>
      </c>
      <c r="F59" s="665">
        <v>0</v>
      </c>
      <c r="G59" s="665">
        <v>0</v>
      </c>
      <c r="H59" s="647">
        <f t="shared" si="0"/>
        <v>0</v>
      </c>
      <c r="I59" s="74"/>
    </row>
    <row r="60" spans="1:11" ht="16.5">
      <c r="A60" s="643" t="s">
        <v>923</v>
      </c>
      <c r="B60" s="651" t="s">
        <v>924</v>
      </c>
      <c r="C60" s="645">
        <v>45323</v>
      </c>
      <c r="D60" s="649">
        <f>30000</f>
        <v>30000</v>
      </c>
      <c r="E60" s="649">
        <v>0</v>
      </c>
      <c r="F60" s="649">
        <f>10000</f>
        <v>10000</v>
      </c>
      <c r="G60" s="649">
        <f>70000</f>
        <v>70000</v>
      </c>
      <c r="H60" s="647">
        <f t="shared" si="0"/>
        <v>110000</v>
      </c>
      <c r="I60" s="650"/>
    </row>
    <row r="61" spans="1:11" ht="16.5">
      <c r="A61" s="643" t="s">
        <v>925</v>
      </c>
      <c r="B61" s="651" t="s">
        <v>926</v>
      </c>
      <c r="C61" s="645">
        <v>45323</v>
      </c>
      <c r="D61" s="649">
        <f>0</f>
        <v>0</v>
      </c>
      <c r="E61" s="649">
        <v>0</v>
      </c>
      <c r="F61" s="649">
        <v>0</v>
      </c>
      <c r="G61" s="649">
        <f>0</f>
        <v>0</v>
      </c>
      <c r="H61" s="647">
        <f t="shared" si="0"/>
        <v>0</v>
      </c>
      <c r="I61" s="74"/>
    </row>
    <row r="62" spans="1:11" ht="16.5">
      <c r="A62" s="643" t="s">
        <v>927</v>
      </c>
      <c r="B62" s="651" t="s">
        <v>928</v>
      </c>
      <c r="C62" s="645">
        <v>45323</v>
      </c>
      <c r="D62" s="655">
        <v>0</v>
      </c>
      <c r="E62" s="655">
        <v>0</v>
      </c>
      <c r="F62" s="655">
        <v>0</v>
      </c>
      <c r="G62" s="655">
        <v>0</v>
      </c>
      <c r="H62" s="647">
        <f t="shared" si="0"/>
        <v>0</v>
      </c>
      <c r="I62" s="74"/>
    </row>
    <row r="63" spans="1:11" ht="16.5">
      <c r="A63" s="643" t="s">
        <v>929</v>
      </c>
      <c r="B63" s="651" t="s">
        <v>930</v>
      </c>
      <c r="C63" s="645">
        <v>45323</v>
      </c>
      <c r="D63" s="649">
        <f>0</f>
        <v>0</v>
      </c>
      <c r="E63" s="649"/>
      <c r="F63" s="649"/>
      <c r="G63" s="649">
        <f>0</f>
        <v>0</v>
      </c>
      <c r="H63" s="647">
        <f t="shared" si="0"/>
        <v>0</v>
      </c>
      <c r="I63" s="650"/>
    </row>
    <row r="64" spans="1:11" ht="16.5">
      <c r="A64" s="643" t="s">
        <v>931</v>
      </c>
      <c r="B64" s="651" t="s">
        <v>932</v>
      </c>
      <c r="C64" s="645">
        <v>45323</v>
      </c>
      <c r="D64" s="649">
        <f>0</f>
        <v>0</v>
      </c>
      <c r="E64" s="649">
        <v>0</v>
      </c>
      <c r="F64" s="649">
        <f>0</f>
        <v>0</v>
      </c>
      <c r="G64" s="649"/>
      <c r="H64" s="647">
        <f t="shared" si="0"/>
        <v>0</v>
      </c>
      <c r="I64" s="74"/>
    </row>
    <row r="65" spans="1:9" ht="16.5">
      <c r="A65" s="643" t="s">
        <v>933</v>
      </c>
      <c r="B65" s="651" t="s">
        <v>7</v>
      </c>
      <c r="C65" s="645">
        <v>45323</v>
      </c>
      <c r="D65" s="649">
        <f>0</f>
        <v>0</v>
      </c>
      <c r="E65" s="649">
        <v>0</v>
      </c>
      <c r="F65" s="649">
        <v>0</v>
      </c>
      <c r="G65" s="649">
        <f>133333.33+30000</f>
        <v>163333.32999999999</v>
      </c>
      <c r="H65" s="647">
        <f t="shared" si="0"/>
        <v>163333.32999999999</v>
      </c>
      <c r="I65" s="650"/>
    </row>
    <row r="66" spans="1:9" ht="16.5">
      <c r="A66" s="643" t="s">
        <v>934</v>
      </c>
      <c r="B66" s="651" t="s">
        <v>935</v>
      </c>
      <c r="C66" s="645">
        <v>45323</v>
      </c>
      <c r="D66" s="649"/>
      <c r="E66" s="649"/>
      <c r="F66" s="649"/>
      <c r="G66" s="649"/>
      <c r="H66" s="647">
        <f t="shared" si="0"/>
        <v>0</v>
      </c>
      <c r="I66" s="650"/>
    </row>
    <row r="67" spans="1:9" ht="16.5">
      <c r="A67" s="643" t="s">
        <v>936</v>
      </c>
      <c r="B67" s="651" t="s">
        <v>14</v>
      </c>
      <c r="C67" s="645">
        <v>45323</v>
      </c>
      <c r="D67" s="649">
        <v>5000</v>
      </c>
      <c r="E67" s="649">
        <v>0</v>
      </c>
      <c r="F67" s="649">
        <f>5000+5000</f>
        <v>10000</v>
      </c>
      <c r="G67" s="649">
        <f>14524.11</f>
        <v>14524.11</v>
      </c>
      <c r="H67" s="647">
        <f t="shared" si="0"/>
        <v>29524.11</v>
      </c>
      <c r="I67" s="650"/>
    </row>
    <row r="68" spans="1:9" ht="16.5">
      <c r="A68" s="643" t="s">
        <v>937</v>
      </c>
      <c r="B68" s="651" t="s">
        <v>159</v>
      </c>
      <c r="C68" s="645">
        <v>45323</v>
      </c>
      <c r="D68" s="649">
        <v>30000</v>
      </c>
      <c r="E68" s="649">
        <v>0</v>
      </c>
      <c r="F68" s="649"/>
      <c r="G68" s="661">
        <f>176288.88</f>
        <v>176288.88</v>
      </c>
      <c r="H68" s="647">
        <f t="shared" si="0"/>
        <v>206288.88</v>
      </c>
      <c r="I68" s="650"/>
    </row>
    <row r="69" spans="1:9" ht="16.5">
      <c r="A69" s="643" t="s">
        <v>938</v>
      </c>
      <c r="B69" s="651" t="s">
        <v>939</v>
      </c>
      <c r="C69" s="645">
        <v>45323</v>
      </c>
      <c r="D69" s="649">
        <v>80000</v>
      </c>
      <c r="E69" s="649">
        <v>0</v>
      </c>
      <c r="F69" s="649">
        <f>23000</f>
        <v>23000</v>
      </c>
      <c r="G69" s="649">
        <v>246905.964583333</v>
      </c>
      <c r="H69" s="647">
        <f t="shared" si="0"/>
        <v>349905.964583333</v>
      </c>
      <c r="I69" s="650"/>
    </row>
    <row r="70" spans="1:9" ht="16.5">
      <c r="A70" s="643" t="s">
        <v>940</v>
      </c>
      <c r="B70" s="651" t="s">
        <v>18</v>
      </c>
      <c r="C70" s="645">
        <v>45323</v>
      </c>
      <c r="D70" s="649">
        <v>0</v>
      </c>
      <c r="E70" s="649">
        <v>0</v>
      </c>
      <c r="F70" s="649">
        <v>0</v>
      </c>
      <c r="G70" s="649">
        <v>0</v>
      </c>
      <c r="H70" s="647">
        <f t="shared" ref="H70:H133" si="1">D70+E70+F70+G70</f>
        <v>0</v>
      </c>
      <c r="I70" s="74"/>
    </row>
    <row r="71" spans="1:9" ht="16.5">
      <c r="A71" s="643" t="s">
        <v>941</v>
      </c>
      <c r="B71" s="651" t="s">
        <v>942</v>
      </c>
      <c r="C71" s="645">
        <v>45323</v>
      </c>
      <c r="D71" s="649">
        <f>70000</f>
        <v>70000</v>
      </c>
      <c r="E71" s="649">
        <f>0</f>
        <v>0</v>
      </c>
      <c r="F71" s="649">
        <v>0</v>
      </c>
      <c r="G71" s="649">
        <f>50000</f>
        <v>50000</v>
      </c>
      <c r="H71" s="647">
        <f t="shared" si="1"/>
        <v>120000</v>
      </c>
      <c r="I71" s="650"/>
    </row>
    <row r="72" spans="1:9" ht="16.5">
      <c r="A72" s="643" t="s">
        <v>943</v>
      </c>
      <c r="B72" s="651" t="s">
        <v>944</v>
      </c>
      <c r="C72" s="645">
        <v>45323</v>
      </c>
      <c r="D72" s="649">
        <f>10000</f>
        <v>10000</v>
      </c>
      <c r="E72" s="649">
        <v>0</v>
      </c>
      <c r="F72" s="649">
        <v>0</v>
      </c>
      <c r="G72" s="649">
        <f>54585.66</f>
        <v>54585.66</v>
      </c>
      <c r="H72" s="647">
        <f t="shared" si="1"/>
        <v>64585.66</v>
      </c>
      <c r="I72" s="652"/>
    </row>
    <row r="73" spans="1:9" ht="16.5">
      <c r="A73" s="643" t="s">
        <v>945</v>
      </c>
      <c r="B73" s="651" t="s">
        <v>946</v>
      </c>
      <c r="C73" s="645">
        <v>45323</v>
      </c>
      <c r="D73" s="649">
        <v>10000</v>
      </c>
      <c r="E73" s="649">
        <v>0</v>
      </c>
      <c r="F73" s="649">
        <f>5000+5000</f>
        <v>10000</v>
      </c>
      <c r="G73" s="649">
        <f>13750</f>
        <v>13750</v>
      </c>
      <c r="H73" s="647">
        <f t="shared" si="1"/>
        <v>33750</v>
      </c>
      <c r="I73" s="650"/>
    </row>
    <row r="74" spans="1:9" ht="18">
      <c r="A74" s="643" t="s">
        <v>947</v>
      </c>
      <c r="B74" s="651" t="s">
        <v>152</v>
      </c>
      <c r="C74" s="645">
        <v>45323</v>
      </c>
      <c r="D74" s="649">
        <f>10000</f>
        <v>10000</v>
      </c>
      <c r="E74" s="649">
        <v>0</v>
      </c>
      <c r="F74" s="649">
        <f>5000+5000</f>
        <v>10000</v>
      </c>
      <c r="G74" s="666">
        <f>16958.34</f>
        <v>16958.34</v>
      </c>
      <c r="H74" s="647">
        <f t="shared" si="1"/>
        <v>36958.339999999997</v>
      </c>
      <c r="I74" s="650"/>
    </row>
    <row r="75" spans="1:9" ht="16.5">
      <c r="A75" s="643" t="s">
        <v>948</v>
      </c>
      <c r="B75" s="651" t="s">
        <v>949</v>
      </c>
      <c r="C75" s="645">
        <v>45323</v>
      </c>
      <c r="D75" s="649">
        <f>0</f>
        <v>0</v>
      </c>
      <c r="E75" s="649">
        <v>0</v>
      </c>
      <c r="F75" s="649">
        <f>0</f>
        <v>0</v>
      </c>
      <c r="G75" s="649">
        <f>0</f>
        <v>0</v>
      </c>
      <c r="H75" s="647">
        <f t="shared" si="1"/>
        <v>0</v>
      </c>
      <c r="I75" s="74"/>
    </row>
    <row r="76" spans="1:9" ht="18">
      <c r="A76" s="643" t="s">
        <v>950</v>
      </c>
      <c r="B76" s="651" t="s">
        <v>951</v>
      </c>
      <c r="C76" s="645">
        <v>45323</v>
      </c>
      <c r="D76" s="666">
        <f>20000</f>
        <v>20000</v>
      </c>
      <c r="E76" s="660"/>
      <c r="F76" s="660"/>
      <c r="G76" s="649">
        <f>111833.33</f>
        <v>111833.33</v>
      </c>
      <c r="H76" s="647">
        <f t="shared" si="1"/>
        <v>131833.33000000002</v>
      </c>
      <c r="I76" s="650"/>
    </row>
    <row r="77" spans="1:9" ht="16.5">
      <c r="A77" s="643" t="s">
        <v>952</v>
      </c>
      <c r="B77" s="651" t="s">
        <v>953</v>
      </c>
      <c r="C77" s="645">
        <v>45323</v>
      </c>
      <c r="D77" s="649"/>
      <c r="E77" s="649"/>
      <c r="F77" s="649"/>
      <c r="G77" s="667"/>
      <c r="H77" s="647">
        <f t="shared" si="1"/>
        <v>0</v>
      </c>
      <c r="I77" s="650"/>
    </row>
    <row r="78" spans="1:9" ht="16.5">
      <c r="A78" s="643" t="s">
        <v>954</v>
      </c>
      <c r="B78" s="651" t="s">
        <v>955</v>
      </c>
      <c r="C78" s="645">
        <v>45323</v>
      </c>
      <c r="D78" s="649">
        <v>0</v>
      </c>
      <c r="E78" s="649">
        <v>0</v>
      </c>
      <c r="F78" s="649">
        <v>0</v>
      </c>
      <c r="G78" s="649"/>
      <c r="H78" s="647">
        <f t="shared" si="1"/>
        <v>0</v>
      </c>
      <c r="I78" s="652"/>
    </row>
    <row r="79" spans="1:9" ht="16.5">
      <c r="A79" s="643" t="s">
        <v>956</v>
      </c>
      <c r="B79" s="651" t="s">
        <v>957</v>
      </c>
      <c r="C79" s="645">
        <v>45323</v>
      </c>
      <c r="D79" s="649">
        <v>0</v>
      </c>
      <c r="E79" s="649">
        <v>0</v>
      </c>
      <c r="F79" s="649">
        <v>0</v>
      </c>
      <c r="G79" s="649"/>
      <c r="H79" s="647">
        <f t="shared" si="1"/>
        <v>0</v>
      </c>
      <c r="I79" s="74"/>
    </row>
    <row r="80" spans="1:9" ht="16.5">
      <c r="A80" s="643" t="s">
        <v>958</v>
      </c>
      <c r="B80" s="651" t="s">
        <v>959</v>
      </c>
      <c r="C80" s="645">
        <v>45323</v>
      </c>
      <c r="D80" s="649">
        <v>20000</v>
      </c>
      <c r="E80" s="649">
        <v>0</v>
      </c>
      <c r="F80" s="649">
        <v>0</v>
      </c>
      <c r="G80" s="649">
        <f>68750</f>
        <v>68750</v>
      </c>
      <c r="H80" s="647">
        <f t="shared" si="1"/>
        <v>88750</v>
      </c>
      <c r="I80" s="650"/>
    </row>
    <row r="81" spans="1:9" ht="16.5">
      <c r="A81" s="643" t="s">
        <v>960</v>
      </c>
      <c r="B81" s="651" t="s">
        <v>961</v>
      </c>
      <c r="C81" s="645">
        <v>45323</v>
      </c>
      <c r="D81" s="649">
        <f>37500</f>
        <v>37500</v>
      </c>
      <c r="E81" s="649">
        <v>0</v>
      </c>
      <c r="F81" s="649"/>
      <c r="G81" s="649"/>
      <c r="H81" s="647">
        <f t="shared" si="1"/>
        <v>37500</v>
      </c>
      <c r="I81" s="650"/>
    </row>
    <row r="82" spans="1:9" ht="16.5">
      <c r="A82" s="643" t="s">
        <v>962</v>
      </c>
      <c r="B82" s="651" t="s">
        <v>963</v>
      </c>
      <c r="C82" s="645">
        <v>45323</v>
      </c>
      <c r="D82" s="646">
        <v>0</v>
      </c>
      <c r="E82" s="646">
        <v>0</v>
      </c>
      <c r="F82" s="646">
        <v>0</v>
      </c>
      <c r="G82" s="655">
        <v>0</v>
      </c>
      <c r="H82" s="647">
        <f t="shared" si="1"/>
        <v>0</v>
      </c>
      <c r="I82" s="74"/>
    </row>
    <row r="83" spans="1:9" ht="16.5">
      <c r="A83" s="643" t="s">
        <v>964</v>
      </c>
      <c r="B83" s="651" t="s">
        <v>965</v>
      </c>
      <c r="C83" s="645">
        <v>45323</v>
      </c>
      <c r="D83" s="649">
        <v>50000</v>
      </c>
      <c r="E83" s="649">
        <v>0</v>
      </c>
      <c r="F83" s="649"/>
      <c r="G83" s="667">
        <f>103000</f>
        <v>103000</v>
      </c>
      <c r="H83" s="647">
        <f t="shared" si="1"/>
        <v>153000</v>
      </c>
      <c r="I83" s="650"/>
    </row>
    <row r="84" spans="1:9" ht="16.5">
      <c r="A84" s="643" t="s">
        <v>966</v>
      </c>
      <c r="B84" s="651" t="s">
        <v>967</v>
      </c>
      <c r="C84" s="645">
        <v>45323</v>
      </c>
      <c r="D84" s="649">
        <v>100000</v>
      </c>
      <c r="E84" s="649">
        <v>0</v>
      </c>
      <c r="F84" s="649">
        <v>10000</v>
      </c>
      <c r="G84" s="649"/>
      <c r="H84" s="647">
        <f t="shared" si="1"/>
        <v>110000</v>
      </c>
      <c r="I84" s="650"/>
    </row>
    <row r="85" spans="1:9" ht="16.5">
      <c r="A85" s="643" t="s">
        <v>968</v>
      </c>
      <c r="B85" s="651" t="s">
        <v>969</v>
      </c>
      <c r="C85" s="645">
        <v>45323</v>
      </c>
      <c r="D85" s="649">
        <v>0</v>
      </c>
      <c r="E85" s="649">
        <v>0</v>
      </c>
      <c r="F85" s="649">
        <v>0</v>
      </c>
      <c r="G85" s="649"/>
      <c r="H85" s="647">
        <f t="shared" si="1"/>
        <v>0</v>
      </c>
      <c r="I85" s="74"/>
    </row>
    <row r="86" spans="1:9" ht="16.5">
      <c r="A86" s="643" t="s">
        <v>970</v>
      </c>
      <c r="B86" s="651" t="s">
        <v>971</v>
      </c>
      <c r="C86" s="645">
        <v>45323</v>
      </c>
      <c r="D86" s="649">
        <f>0</f>
        <v>0</v>
      </c>
      <c r="E86" s="649">
        <v>0</v>
      </c>
      <c r="F86" s="649">
        <f>0</f>
        <v>0</v>
      </c>
      <c r="G86" s="649">
        <f>0</f>
        <v>0</v>
      </c>
      <c r="H86" s="647">
        <f t="shared" si="1"/>
        <v>0</v>
      </c>
      <c r="I86" s="74"/>
    </row>
    <row r="87" spans="1:9" ht="16.5">
      <c r="A87" s="643" t="s">
        <v>972</v>
      </c>
      <c r="B87" s="651" t="s">
        <v>973</v>
      </c>
      <c r="C87" s="645">
        <v>45323</v>
      </c>
      <c r="D87" s="649">
        <v>15000</v>
      </c>
      <c r="E87" s="649">
        <f>0</f>
        <v>0</v>
      </c>
      <c r="F87" s="649">
        <v>0</v>
      </c>
      <c r="G87" s="649">
        <f>133333.34+25000+33333.33+25000</f>
        <v>216666.66999999998</v>
      </c>
      <c r="H87" s="647">
        <f t="shared" si="1"/>
        <v>231666.66999999998</v>
      </c>
      <c r="I87" s="650"/>
    </row>
    <row r="88" spans="1:9" ht="16.5">
      <c r="A88" s="643" t="s">
        <v>974</v>
      </c>
      <c r="B88" s="651" t="s">
        <v>975</v>
      </c>
      <c r="C88" s="645">
        <v>45323</v>
      </c>
      <c r="D88" s="649">
        <v>50000</v>
      </c>
      <c r="E88" s="649">
        <v>0</v>
      </c>
      <c r="F88" s="649">
        <f>20000</f>
        <v>20000</v>
      </c>
      <c r="G88" s="649">
        <f>0</f>
        <v>0</v>
      </c>
      <c r="H88" s="647">
        <f t="shared" si="1"/>
        <v>70000</v>
      </c>
      <c r="I88" s="650"/>
    </row>
    <row r="89" spans="1:9" ht="16.5">
      <c r="A89" s="643" t="s">
        <v>976</v>
      </c>
      <c r="B89" s="651" t="s">
        <v>977</v>
      </c>
      <c r="C89" s="645">
        <v>45323</v>
      </c>
      <c r="D89" s="649">
        <f>50000</f>
        <v>50000</v>
      </c>
      <c r="E89" s="649">
        <v>0</v>
      </c>
      <c r="F89" s="649"/>
      <c r="G89" s="649"/>
      <c r="H89" s="647">
        <f t="shared" si="1"/>
        <v>50000</v>
      </c>
      <c r="I89" s="74"/>
    </row>
    <row r="90" spans="1:9" ht="16.5">
      <c r="A90" s="643" t="s">
        <v>978</v>
      </c>
      <c r="B90" s="651" t="s">
        <v>979</v>
      </c>
      <c r="C90" s="645">
        <v>45323</v>
      </c>
      <c r="D90" s="659"/>
      <c r="E90" s="649">
        <v>0</v>
      </c>
      <c r="F90" s="649"/>
      <c r="G90" s="649"/>
      <c r="H90" s="647">
        <f t="shared" si="1"/>
        <v>0</v>
      </c>
      <c r="I90" s="74"/>
    </row>
    <row r="91" spans="1:9" ht="16.5">
      <c r="A91" s="643" t="s">
        <v>980</v>
      </c>
      <c r="B91" s="651" t="s">
        <v>981</v>
      </c>
      <c r="C91" s="645">
        <v>45323</v>
      </c>
      <c r="D91" s="649">
        <f>10000</f>
        <v>10000</v>
      </c>
      <c r="E91" s="649">
        <v>0</v>
      </c>
      <c r="F91" s="649"/>
      <c r="G91" s="659"/>
      <c r="H91" s="647">
        <f t="shared" si="1"/>
        <v>10000</v>
      </c>
      <c r="I91" s="650"/>
    </row>
    <row r="92" spans="1:9" ht="16.5">
      <c r="A92" s="643" t="s">
        <v>982</v>
      </c>
      <c r="B92" s="651" t="s">
        <v>983</v>
      </c>
      <c r="C92" s="645">
        <v>45323</v>
      </c>
      <c r="D92" s="649">
        <f>50000</f>
        <v>50000</v>
      </c>
      <c r="E92" s="649">
        <v>0</v>
      </c>
      <c r="F92" s="649"/>
      <c r="G92" s="661">
        <f>79861.11</f>
        <v>79861.11</v>
      </c>
      <c r="H92" s="647">
        <f t="shared" si="1"/>
        <v>129861.11</v>
      </c>
      <c r="I92" s="650"/>
    </row>
    <row r="93" spans="1:9" ht="16.5">
      <c r="A93" s="643" t="s">
        <v>984</v>
      </c>
      <c r="B93" s="651" t="s">
        <v>985</v>
      </c>
      <c r="C93" s="645">
        <v>45323</v>
      </c>
      <c r="D93" s="649">
        <f>30000</f>
        <v>30000</v>
      </c>
      <c r="E93" s="649">
        <v>0</v>
      </c>
      <c r="F93" s="649">
        <v>0</v>
      </c>
      <c r="G93" s="647">
        <f>68750+30000</f>
        <v>98750</v>
      </c>
      <c r="H93" s="647">
        <f t="shared" si="1"/>
        <v>128750</v>
      </c>
      <c r="I93" s="650"/>
    </row>
    <row r="94" spans="1:9" ht="16.5">
      <c r="A94" s="643" t="s">
        <v>986</v>
      </c>
      <c r="B94" s="651" t="s">
        <v>987</v>
      </c>
      <c r="C94" s="645">
        <v>45323</v>
      </c>
      <c r="D94" s="649">
        <v>0</v>
      </c>
      <c r="E94" s="649">
        <v>0</v>
      </c>
      <c r="F94" s="655">
        <v>0</v>
      </c>
      <c r="G94" s="649">
        <v>0</v>
      </c>
      <c r="H94" s="647">
        <f t="shared" si="1"/>
        <v>0</v>
      </c>
      <c r="I94" s="74"/>
    </row>
    <row r="95" spans="1:9" ht="16.5">
      <c r="A95" s="643" t="s">
        <v>988</v>
      </c>
      <c r="B95" s="651" t="s">
        <v>211</v>
      </c>
      <c r="C95" s="645">
        <v>45323</v>
      </c>
      <c r="D95" s="649">
        <f>10000</f>
        <v>10000</v>
      </c>
      <c r="E95" s="649">
        <v>0</v>
      </c>
      <c r="F95" s="657">
        <f>5000+5000</f>
        <v>10000</v>
      </c>
      <c r="G95" s="649">
        <f>8416.67</f>
        <v>8416.67</v>
      </c>
      <c r="H95" s="647">
        <f t="shared" si="1"/>
        <v>28416.67</v>
      </c>
      <c r="I95" s="650"/>
    </row>
    <row r="96" spans="1:9" ht="16.5">
      <c r="A96" s="643" t="s">
        <v>989</v>
      </c>
      <c r="B96" s="651" t="s">
        <v>990</v>
      </c>
      <c r="C96" s="645">
        <v>45323</v>
      </c>
      <c r="D96" s="649">
        <f>20000</f>
        <v>20000</v>
      </c>
      <c r="E96" s="649">
        <v>0</v>
      </c>
      <c r="F96" s="649">
        <f>5000+5000</f>
        <v>10000</v>
      </c>
      <c r="G96" s="649">
        <f>25555.56</f>
        <v>25555.56</v>
      </c>
      <c r="H96" s="647">
        <f t="shared" si="1"/>
        <v>55555.56</v>
      </c>
      <c r="I96" s="650"/>
    </row>
    <row r="97" spans="1:9" ht="16.5">
      <c r="A97" s="643" t="s">
        <v>991</v>
      </c>
      <c r="B97" s="651" t="s">
        <v>992</v>
      </c>
      <c r="C97" s="645">
        <v>45323</v>
      </c>
      <c r="D97" s="649">
        <f>5000</f>
        <v>5000</v>
      </c>
      <c r="E97" s="649">
        <v>0</v>
      </c>
      <c r="F97" s="657">
        <f>5000+5000</f>
        <v>10000</v>
      </c>
      <c r="G97" s="649">
        <f>15972.22</f>
        <v>15972.22</v>
      </c>
      <c r="H97" s="647">
        <f t="shared" si="1"/>
        <v>30972.22</v>
      </c>
      <c r="I97" s="650"/>
    </row>
    <row r="98" spans="1:9" ht="16.5">
      <c r="A98" s="643" t="s">
        <v>993</v>
      </c>
      <c r="B98" s="651" t="s">
        <v>994</v>
      </c>
      <c r="C98" s="645">
        <v>45323</v>
      </c>
      <c r="D98" s="649">
        <v>10000</v>
      </c>
      <c r="E98" s="649">
        <v>0</v>
      </c>
      <c r="F98" s="649">
        <f>10000</f>
        <v>10000</v>
      </c>
      <c r="G98" s="649">
        <f>30000</f>
        <v>30000</v>
      </c>
      <c r="H98" s="647">
        <f t="shared" si="1"/>
        <v>50000</v>
      </c>
      <c r="I98" s="650"/>
    </row>
    <row r="99" spans="1:9" ht="16.5">
      <c r="A99" s="643" t="s">
        <v>995</v>
      </c>
      <c r="B99" s="651" t="s">
        <v>996</v>
      </c>
      <c r="C99" s="645">
        <v>45323</v>
      </c>
      <c r="D99" s="649">
        <v>0</v>
      </c>
      <c r="E99" s="649">
        <v>0</v>
      </c>
      <c r="F99" s="649">
        <v>0</v>
      </c>
      <c r="G99" s="649">
        <v>0</v>
      </c>
      <c r="H99" s="647">
        <f t="shared" si="1"/>
        <v>0</v>
      </c>
      <c r="I99" s="74"/>
    </row>
    <row r="100" spans="1:9" ht="16.5">
      <c r="A100" s="643" t="s">
        <v>997</v>
      </c>
      <c r="B100" s="651" t="s">
        <v>998</v>
      </c>
      <c r="C100" s="645">
        <v>45323</v>
      </c>
      <c r="D100" s="649">
        <f>0</f>
        <v>0</v>
      </c>
      <c r="E100" s="649">
        <v>0</v>
      </c>
      <c r="F100" s="649">
        <v>0</v>
      </c>
      <c r="G100" s="649">
        <f>0</f>
        <v>0</v>
      </c>
      <c r="H100" s="647">
        <f t="shared" si="1"/>
        <v>0</v>
      </c>
      <c r="I100" s="74"/>
    </row>
    <row r="101" spans="1:9" ht="16.5">
      <c r="A101" s="643" t="s">
        <v>999</v>
      </c>
      <c r="B101" s="651" t="s">
        <v>1000</v>
      </c>
      <c r="C101" s="645">
        <v>45323</v>
      </c>
      <c r="D101" s="649">
        <v>0</v>
      </c>
      <c r="E101" s="649">
        <v>0</v>
      </c>
      <c r="F101" s="649">
        <v>0</v>
      </c>
      <c r="G101" s="649">
        <v>0</v>
      </c>
      <c r="H101" s="647">
        <f t="shared" si="1"/>
        <v>0</v>
      </c>
      <c r="I101" s="74"/>
    </row>
    <row r="102" spans="1:9" ht="16.5">
      <c r="A102" s="643" t="s">
        <v>1001</v>
      </c>
      <c r="B102" s="651" t="s">
        <v>1002</v>
      </c>
      <c r="C102" s="645">
        <v>45323</v>
      </c>
      <c r="D102" s="649">
        <f>10000</f>
        <v>10000</v>
      </c>
      <c r="E102" s="649">
        <v>0</v>
      </c>
      <c r="F102" s="649">
        <v>0</v>
      </c>
      <c r="G102" s="649">
        <f>50000</f>
        <v>50000</v>
      </c>
      <c r="H102" s="647">
        <f t="shared" si="1"/>
        <v>60000</v>
      </c>
      <c r="I102" s="650"/>
    </row>
    <row r="103" spans="1:9" ht="16.5">
      <c r="A103" s="643" t="s">
        <v>1003</v>
      </c>
      <c r="B103" s="651" t="s">
        <v>1004</v>
      </c>
      <c r="C103" s="645">
        <v>45323</v>
      </c>
      <c r="D103" s="649">
        <v>0</v>
      </c>
      <c r="E103" s="649">
        <v>0</v>
      </c>
      <c r="F103" s="649">
        <v>0</v>
      </c>
      <c r="G103" s="649">
        <v>0</v>
      </c>
      <c r="H103" s="647">
        <f t="shared" si="1"/>
        <v>0</v>
      </c>
      <c r="I103" s="74"/>
    </row>
    <row r="104" spans="1:9" ht="16.5">
      <c r="A104" s="643" t="s">
        <v>1005</v>
      </c>
      <c r="B104" s="651" t="s">
        <v>1006</v>
      </c>
      <c r="C104" s="645">
        <v>45323</v>
      </c>
      <c r="D104" s="649"/>
      <c r="E104" s="649"/>
      <c r="F104" s="649"/>
      <c r="G104" s="649">
        <f>0</f>
        <v>0</v>
      </c>
      <c r="H104" s="647">
        <f t="shared" si="1"/>
        <v>0</v>
      </c>
      <c r="I104" s="650"/>
    </row>
    <row r="105" spans="1:9" ht="16.5">
      <c r="A105" s="643" t="s">
        <v>1007</v>
      </c>
      <c r="B105" s="651" t="s">
        <v>1008</v>
      </c>
      <c r="C105" s="645">
        <v>45323</v>
      </c>
      <c r="D105" s="649"/>
      <c r="E105" s="649"/>
      <c r="F105" s="649"/>
      <c r="G105" s="659"/>
      <c r="H105" s="647">
        <f t="shared" si="1"/>
        <v>0</v>
      </c>
      <c r="I105" s="74"/>
    </row>
    <row r="106" spans="1:9" ht="16.5">
      <c r="A106" s="643" t="s">
        <v>1009</v>
      </c>
      <c r="B106" s="651" t="s">
        <v>1010</v>
      </c>
      <c r="C106" s="645">
        <v>45323</v>
      </c>
      <c r="D106" s="649">
        <v>0</v>
      </c>
      <c r="E106" s="649">
        <v>0</v>
      </c>
      <c r="F106" s="649">
        <v>0</v>
      </c>
      <c r="G106" s="649">
        <v>0</v>
      </c>
      <c r="H106" s="647">
        <f t="shared" si="1"/>
        <v>0</v>
      </c>
      <c r="I106" s="74"/>
    </row>
    <row r="107" spans="1:9" ht="15" customHeight="1">
      <c r="A107" s="668" t="s">
        <v>1011</v>
      </c>
      <c r="B107" s="651" t="s">
        <v>1012</v>
      </c>
      <c r="C107" s="645">
        <v>45323</v>
      </c>
      <c r="D107" s="647">
        <f>50000</f>
        <v>50000</v>
      </c>
      <c r="E107" s="655"/>
      <c r="F107" s="655"/>
      <c r="G107" s="667">
        <f>0</f>
        <v>0</v>
      </c>
      <c r="H107" s="647">
        <f t="shared" si="1"/>
        <v>50000</v>
      </c>
      <c r="I107" s="650"/>
    </row>
    <row r="108" spans="1:9" ht="18">
      <c r="A108" s="669" t="s">
        <v>1013</v>
      </c>
      <c r="B108" s="651" t="s">
        <v>1014</v>
      </c>
      <c r="C108" s="645">
        <v>45323</v>
      </c>
      <c r="D108" s="647">
        <f>30000</f>
        <v>30000</v>
      </c>
      <c r="E108" s="649"/>
      <c r="F108" s="649">
        <f>0</f>
        <v>0</v>
      </c>
      <c r="G108" s="670">
        <f>17500</f>
        <v>17500</v>
      </c>
      <c r="H108" s="647">
        <f t="shared" si="1"/>
        <v>47500</v>
      </c>
      <c r="I108" s="650"/>
    </row>
    <row r="109" spans="1:9" ht="18">
      <c r="A109" s="643" t="s">
        <v>1015</v>
      </c>
      <c r="B109" s="651" t="s">
        <v>1016</v>
      </c>
      <c r="C109" s="645">
        <v>45323</v>
      </c>
      <c r="D109" s="649">
        <v>100000</v>
      </c>
      <c r="E109" s="649"/>
      <c r="F109" s="649">
        <v>0</v>
      </c>
      <c r="G109" s="670">
        <v>0</v>
      </c>
      <c r="H109" s="647">
        <f t="shared" si="1"/>
        <v>100000</v>
      </c>
      <c r="I109" s="650"/>
    </row>
    <row r="110" spans="1:9" ht="18">
      <c r="A110" s="643" t="s">
        <v>1017</v>
      </c>
      <c r="B110" s="651" t="s">
        <v>1018</v>
      </c>
      <c r="C110" s="645">
        <v>45323</v>
      </c>
      <c r="D110" s="649">
        <f>20000</f>
        <v>20000</v>
      </c>
      <c r="E110" s="649"/>
      <c r="F110" s="649">
        <f>10000</f>
        <v>10000</v>
      </c>
      <c r="G110" s="670">
        <v>45833.333333333299</v>
      </c>
      <c r="H110" s="647">
        <f t="shared" si="1"/>
        <v>75833.333333333299</v>
      </c>
      <c r="I110" s="650"/>
    </row>
    <row r="111" spans="1:9" ht="18">
      <c r="A111" s="668" t="s">
        <v>1019</v>
      </c>
      <c r="B111" s="651" t="s">
        <v>336</v>
      </c>
      <c r="C111" s="645">
        <v>45323</v>
      </c>
      <c r="D111" s="666">
        <f>50000</f>
        <v>50000</v>
      </c>
      <c r="E111" s="666"/>
      <c r="F111" s="655"/>
      <c r="G111" s="666">
        <f>0</f>
        <v>0</v>
      </c>
      <c r="H111" s="647">
        <f t="shared" si="1"/>
        <v>50000</v>
      </c>
      <c r="I111" s="74"/>
    </row>
    <row r="112" spans="1:9" ht="18">
      <c r="A112" s="643" t="s">
        <v>1020</v>
      </c>
      <c r="B112" s="651" t="s">
        <v>1021</v>
      </c>
      <c r="C112" s="645">
        <v>45323</v>
      </c>
      <c r="D112" s="670">
        <f>15000</f>
        <v>15000</v>
      </c>
      <c r="E112" s="670"/>
      <c r="F112" s="649"/>
      <c r="G112" s="649">
        <f>20000</f>
        <v>20000</v>
      </c>
      <c r="H112" s="647">
        <f t="shared" si="1"/>
        <v>35000</v>
      </c>
      <c r="I112" s="650"/>
    </row>
    <row r="113" spans="1:15" ht="18">
      <c r="A113" s="671" t="s">
        <v>1022</v>
      </c>
      <c r="B113" s="651" t="s">
        <v>337</v>
      </c>
      <c r="C113" s="645">
        <v>45323</v>
      </c>
      <c r="D113" s="666">
        <f>0</f>
        <v>0</v>
      </c>
      <c r="E113" s="670"/>
      <c r="F113" s="649"/>
      <c r="G113" s="649">
        <f>0</f>
        <v>0</v>
      </c>
      <c r="H113" s="647">
        <f t="shared" si="1"/>
        <v>0</v>
      </c>
      <c r="I113" s="74"/>
    </row>
    <row r="114" spans="1:15" ht="18">
      <c r="A114" s="643" t="s">
        <v>1023</v>
      </c>
      <c r="B114" s="651" t="s">
        <v>1024</v>
      </c>
      <c r="C114" s="645">
        <v>45323</v>
      </c>
      <c r="D114" s="670">
        <f>20000</f>
        <v>20000</v>
      </c>
      <c r="E114" s="672"/>
      <c r="F114" s="649">
        <v>0</v>
      </c>
      <c r="G114" s="649">
        <f>50000</f>
        <v>50000</v>
      </c>
      <c r="H114" s="647">
        <f t="shared" si="1"/>
        <v>70000</v>
      </c>
      <c r="I114" s="650"/>
    </row>
    <row r="115" spans="1:15" ht="18">
      <c r="A115" s="643" t="s">
        <v>1025</v>
      </c>
      <c r="B115" s="651" t="s">
        <v>1026</v>
      </c>
      <c r="C115" s="645">
        <v>45323</v>
      </c>
      <c r="D115" s="670">
        <f>10000</f>
        <v>10000</v>
      </c>
      <c r="E115" s="672"/>
      <c r="F115" s="657">
        <f>5000+5000</f>
        <v>10000</v>
      </c>
      <c r="G115" s="649">
        <f>14222.06+12000</f>
        <v>26222.059999999998</v>
      </c>
      <c r="H115" s="647">
        <f t="shared" si="1"/>
        <v>46222.06</v>
      </c>
      <c r="I115" s="650"/>
    </row>
    <row r="116" spans="1:15" ht="18">
      <c r="A116" s="643" t="s">
        <v>1027</v>
      </c>
      <c r="B116" s="651" t="s">
        <v>238</v>
      </c>
      <c r="C116" s="645">
        <v>45323</v>
      </c>
      <c r="D116" s="670">
        <f>35000</f>
        <v>35000</v>
      </c>
      <c r="E116" s="672"/>
      <c r="F116" s="649">
        <v>0</v>
      </c>
      <c r="G116" s="649">
        <v>159722.22222222222</v>
      </c>
      <c r="H116" s="647">
        <f t="shared" si="1"/>
        <v>194722.22222222222</v>
      </c>
      <c r="I116" s="650"/>
    </row>
    <row r="117" spans="1:15" ht="16.5">
      <c r="A117" s="671" t="s">
        <v>1028</v>
      </c>
      <c r="B117" s="651" t="s">
        <v>1029</v>
      </c>
      <c r="C117" s="645">
        <v>45323</v>
      </c>
      <c r="D117" s="647">
        <f>35000</f>
        <v>35000</v>
      </c>
      <c r="E117" s="647"/>
      <c r="F117" s="647">
        <f>50000</f>
        <v>50000</v>
      </c>
      <c r="G117" s="673"/>
      <c r="H117" s="647">
        <f t="shared" si="1"/>
        <v>85000</v>
      </c>
      <c r="I117" s="650"/>
    </row>
    <row r="118" spans="1:15" ht="18">
      <c r="A118" s="643" t="s">
        <v>1030</v>
      </c>
      <c r="B118" s="651" t="s">
        <v>1031</v>
      </c>
      <c r="C118" s="645">
        <v>45323</v>
      </c>
      <c r="D118" s="649">
        <f>10000</f>
        <v>10000</v>
      </c>
      <c r="E118" s="649"/>
      <c r="F118" s="657">
        <f>10000</f>
        <v>10000</v>
      </c>
      <c r="G118" s="674">
        <f>18333.33</f>
        <v>18333.330000000002</v>
      </c>
      <c r="H118" s="647">
        <f t="shared" si="1"/>
        <v>38333.33</v>
      </c>
      <c r="I118" s="650"/>
      <c r="J118" s="74"/>
      <c r="L118" s="75"/>
    </row>
    <row r="119" spans="1:15" ht="16.5">
      <c r="A119" s="643" t="s">
        <v>1032</v>
      </c>
      <c r="B119" s="651" t="s">
        <v>1033</v>
      </c>
      <c r="C119" s="645">
        <v>45323</v>
      </c>
      <c r="D119" s="649">
        <f>10000</f>
        <v>10000</v>
      </c>
      <c r="E119" s="649"/>
      <c r="F119" s="657">
        <f>5000+5000</f>
        <v>10000</v>
      </c>
      <c r="G119" s="649">
        <f>13125+2500</f>
        <v>15625</v>
      </c>
      <c r="H119" s="647">
        <f t="shared" si="1"/>
        <v>35625</v>
      </c>
      <c r="I119" s="650"/>
    </row>
    <row r="120" spans="1:15" ht="16.5">
      <c r="A120" s="643" t="s">
        <v>1034</v>
      </c>
      <c r="B120" s="651" t="s">
        <v>1035</v>
      </c>
      <c r="C120" s="645">
        <v>45323</v>
      </c>
      <c r="D120" s="649">
        <f>10000</f>
        <v>10000</v>
      </c>
      <c r="E120" s="649"/>
      <c r="F120" s="657">
        <f>10000</f>
        <v>10000</v>
      </c>
      <c r="G120" s="649">
        <f>10000</f>
        <v>10000</v>
      </c>
      <c r="H120" s="647">
        <f t="shared" si="1"/>
        <v>30000</v>
      </c>
      <c r="I120" s="650"/>
    </row>
    <row r="121" spans="1:15" ht="16.5">
      <c r="A121" s="643" t="s">
        <v>1036</v>
      </c>
      <c r="B121" s="651" t="s">
        <v>1037</v>
      </c>
      <c r="C121" s="645">
        <v>45323</v>
      </c>
      <c r="D121" s="649">
        <v>10000</v>
      </c>
      <c r="E121" s="649"/>
      <c r="F121" s="657"/>
      <c r="G121" s="649">
        <v>63888.89</v>
      </c>
      <c r="H121" s="647">
        <f t="shared" si="1"/>
        <v>73888.89</v>
      </c>
      <c r="I121" s="650"/>
    </row>
    <row r="122" spans="1:15" ht="16.5">
      <c r="A122" s="643" t="s">
        <v>1038</v>
      </c>
      <c r="B122" s="651" t="s">
        <v>1039</v>
      </c>
      <c r="C122" s="645">
        <v>45323</v>
      </c>
      <c r="D122" s="649">
        <f>50000</f>
        <v>50000</v>
      </c>
      <c r="E122" s="649"/>
      <c r="F122" s="649">
        <f>50000</f>
        <v>50000</v>
      </c>
      <c r="G122" s="649"/>
      <c r="H122" s="647">
        <f t="shared" si="1"/>
        <v>100000</v>
      </c>
      <c r="I122" s="650"/>
      <c r="O122" s="74"/>
    </row>
    <row r="123" spans="1:15" ht="18">
      <c r="A123" s="643" t="s">
        <v>1040</v>
      </c>
      <c r="B123" s="651" t="s">
        <v>237</v>
      </c>
      <c r="C123" s="645">
        <v>45323</v>
      </c>
      <c r="D123" s="649">
        <f>5000</f>
        <v>5000</v>
      </c>
      <c r="E123" s="649"/>
      <c r="F123" s="649"/>
      <c r="G123" s="670">
        <f>64806.29</f>
        <v>64806.29</v>
      </c>
      <c r="H123" s="647">
        <f t="shared" si="1"/>
        <v>69806.290000000008</v>
      </c>
      <c r="I123" s="650"/>
      <c r="O123" s="74"/>
    </row>
    <row r="124" spans="1:15" ht="18">
      <c r="A124" s="643" t="s">
        <v>1041</v>
      </c>
      <c r="B124" s="651" t="s">
        <v>1042</v>
      </c>
      <c r="C124" s="645">
        <v>45323</v>
      </c>
      <c r="D124" s="657">
        <f>30000</f>
        <v>30000</v>
      </c>
      <c r="E124" s="657">
        <f>0</f>
        <v>0</v>
      </c>
      <c r="F124" s="657">
        <f>0</f>
        <v>0</v>
      </c>
      <c r="G124" s="675">
        <f>60000</f>
        <v>60000</v>
      </c>
      <c r="H124" s="647">
        <f t="shared" si="1"/>
        <v>90000</v>
      </c>
      <c r="I124" s="650"/>
      <c r="N124" s="74"/>
      <c r="O124" s="74"/>
    </row>
    <row r="125" spans="1:15" ht="18">
      <c r="A125" s="676" t="s">
        <v>1043</v>
      </c>
      <c r="B125" s="651" t="s">
        <v>1044</v>
      </c>
      <c r="C125" s="645">
        <v>45323</v>
      </c>
      <c r="D125" s="657">
        <f>20000</f>
        <v>20000</v>
      </c>
      <c r="E125" s="657"/>
      <c r="F125" s="667"/>
      <c r="G125" s="677">
        <f>17500</f>
        <v>17500</v>
      </c>
      <c r="H125" s="647">
        <f t="shared" si="1"/>
        <v>37500</v>
      </c>
      <c r="I125" s="650"/>
      <c r="N125" s="74"/>
      <c r="O125" s="74"/>
    </row>
    <row r="126" spans="1:15" ht="16.5">
      <c r="A126" s="676" t="s">
        <v>1045</v>
      </c>
      <c r="B126" s="651" t="s">
        <v>103</v>
      </c>
      <c r="C126" s="645">
        <v>45323</v>
      </c>
      <c r="D126" s="649">
        <v>0</v>
      </c>
      <c r="E126" s="649">
        <v>0</v>
      </c>
      <c r="F126" s="649">
        <v>0</v>
      </c>
      <c r="G126" s="649">
        <f>100000</f>
        <v>100000</v>
      </c>
      <c r="H126" s="647">
        <f t="shared" si="1"/>
        <v>100000</v>
      </c>
      <c r="I126" s="650"/>
      <c r="N126" s="74"/>
      <c r="O126" s="32"/>
    </row>
    <row r="127" spans="1:15" ht="16.5">
      <c r="A127" s="676" t="s">
        <v>1046</v>
      </c>
      <c r="B127" s="651" t="s">
        <v>1047</v>
      </c>
      <c r="C127" s="645">
        <v>45323</v>
      </c>
      <c r="D127" s="649"/>
      <c r="E127" s="649"/>
      <c r="F127" s="649"/>
      <c r="G127" s="649"/>
      <c r="H127" s="647">
        <f t="shared" si="1"/>
        <v>0</v>
      </c>
      <c r="I127" s="74"/>
      <c r="N127" s="74"/>
      <c r="O127" s="75"/>
    </row>
    <row r="128" spans="1:15" ht="16.5">
      <c r="A128" s="676" t="s">
        <v>1048</v>
      </c>
      <c r="B128" s="651" t="s">
        <v>1049</v>
      </c>
      <c r="C128" s="645">
        <v>45323</v>
      </c>
      <c r="D128" s="647">
        <f>0</f>
        <v>0</v>
      </c>
      <c r="E128" s="649"/>
      <c r="F128" s="649"/>
      <c r="G128" s="649">
        <f>0</f>
        <v>0</v>
      </c>
      <c r="H128" s="647">
        <f t="shared" si="1"/>
        <v>0</v>
      </c>
      <c r="I128" s="74"/>
      <c r="N128" s="74"/>
    </row>
    <row r="129" spans="1:15" ht="16.5">
      <c r="A129" s="676" t="s">
        <v>1050</v>
      </c>
      <c r="B129" s="651" t="s">
        <v>1051</v>
      </c>
      <c r="C129" s="645">
        <v>45323</v>
      </c>
      <c r="D129" s="647">
        <f>50000</f>
        <v>50000</v>
      </c>
      <c r="E129" s="649"/>
      <c r="F129" s="649">
        <f>0</f>
        <v>0</v>
      </c>
      <c r="G129" s="649"/>
      <c r="H129" s="647">
        <f t="shared" si="1"/>
        <v>50000</v>
      </c>
      <c r="I129" s="650"/>
      <c r="K129" s="74"/>
    </row>
    <row r="130" spans="1:15" ht="16.5">
      <c r="A130" s="676" t="s">
        <v>1050</v>
      </c>
      <c r="B130" s="651" t="s">
        <v>1052</v>
      </c>
      <c r="C130" s="645">
        <v>45323</v>
      </c>
      <c r="D130" s="647"/>
      <c r="E130" s="649"/>
      <c r="F130" s="649"/>
      <c r="G130" s="649"/>
      <c r="H130" s="647">
        <f t="shared" si="1"/>
        <v>0</v>
      </c>
      <c r="I130" s="650"/>
      <c r="K130" s="74"/>
      <c r="O130" s="75"/>
    </row>
    <row r="131" spans="1:15" ht="16.5">
      <c r="A131" s="676" t="s">
        <v>1053</v>
      </c>
      <c r="B131" s="651" t="s">
        <v>101</v>
      </c>
      <c r="C131" s="645">
        <v>45323</v>
      </c>
      <c r="D131" s="649">
        <f>50000</f>
        <v>50000</v>
      </c>
      <c r="E131" s="649">
        <f>0</f>
        <v>0</v>
      </c>
      <c r="F131" s="649">
        <v>0</v>
      </c>
      <c r="G131" s="649">
        <f>0</f>
        <v>0</v>
      </c>
      <c r="H131" s="647">
        <f t="shared" si="1"/>
        <v>50000</v>
      </c>
      <c r="I131" s="650"/>
      <c r="K131" s="74"/>
      <c r="L131" s="75"/>
    </row>
    <row r="132" spans="1:15" ht="16.5">
      <c r="A132" s="676" t="s">
        <v>1054</v>
      </c>
      <c r="B132" s="651" t="s">
        <v>1055</v>
      </c>
      <c r="C132" s="645">
        <v>45323</v>
      </c>
      <c r="D132" s="649">
        <f>0</f>
        <v>0</v>
      </c>
      <c r="E132" s="649">
        <f>0</f>
        <v>0</v>
      </c>
      <c r="F132" s="649">
        <f>0</f>
        <v>0</v>
      </c>
      <c r="G132" s="649">
        <v>0</v>
      </c>
      <c r="H132" s="647">
        <f t="shared" si="1"/>
        <v>0</v>
      </c>
      <c r="I132" s="74"/>
      <c r="K132" s="75"/>
      <c r="L132" s="75"/>
      <c r="N132" s="74"/>
    </row>
    <row r="133" spans="1:15" ht="16.5">
      <c r="A133" s="676" t="s">
        <v>1056</v>
      </c>
      <c r="B133" s="651" t="s">
        <v>1057</v>
      </c>
      <c r="C133" s="645">
        <v>45323</v>
      </c>
      <c r="D133" s="647">
        <f>50000</f>
        <v>50000</v>
      </c>
      <c r="E133" s="649"/>
      <c r="F133" s="649"/>
      <c r="G133" s="649">
        <v>59583.333333333299</v>
      </c>
      <c r="H133" s="647">
        <f t="shared" si="1"/>
        <v>109583.3333333333</v>
      </c>
      <c r="I133" s="650"/>
      <c r="L133" s="75"/>
      <c r="N133" s="74"/>
    </row>
    <row r="134" spans="1:15" ht="16.5">
      <c r="A134" s="676" t="s">
        <v>1058</v>
      </c>
      <c r="B134" s="651" t="s">
        <v>1059</v>
      </c>
      <c r="C134" s="645">
        <v>45323</v>
      </c>
      <c r="D134" s="655"/>
      <c r="E134" s="655"/>
      <c r="F134" s="649"/>
      <c r="G134" s="649"/>
      <c r="H134" s="647">
        <f t="shared" ref="H134:H184" si="2">D134+E134+F134+G134</f>
        <v>0</v>
      </c>
      <c r="I134" s="74"/>
      <c r="N134" s="74"/>
    </row>
    <row r="135" spans="1:15" ht="16.5">
      <c r="A135" s="676" t="s">
        <v>1060</v>
      </c>
      <c r="B135" s="651" t="s">
        <v>1061</v>
      </c>
      <c r="C135" s="645">
        <v>45323</v>
      </c>
      <c r="D135" s="649">
        <f>10000</f>
        <v>10000</v>
      </c>
      <c r="E135" s="649">
        <f>0</f>
        <v>0</v>
      </c>
      <c r="F135" s="649"/>
      <c r="G135" s="649">
        <f>95833.33</f>
        <v>95833.33</v>
      </c>
      <c r="H135" s="647">
        <f t="shared" si="2"/>
        <v>105833.33</v>
      </c>
      <c r="I135" s="650"/>
      <c r="J135" s="74"/>
      <c r="L135" s="75"/>
      <c r="M135" s="74"/>
      <c r="N135" s="74"/>
    </row>
    <row r="136" spans="1:15" ht="16.5">
      <c r="A136" s="676" t="s">
        <v>1062</v>
      </c>
      <c r="B136" s="651" t="s">
        <v>1063</v>
      </c>
      <c r="C136" s="645">
        <v>45323</v>
      </c>
      <c r="D136" s="649">
        <f>10000</f>
        <v>10000</v>
      </c>
      <c r="E136" s="649">
        <v>0</v>
      </c>
      <c r="F136" s="649">
        <f>5000+5000</f>
        <v>10000</v>
      </c>
      <c r="G136" s="657">
        <f>22916.67+10000</f>
        <v>32916.67</v>
      </c>
      <c r="H136" s="647">
        <f t="shared" si="2"/>
        <v>52916.67</v>
      </c>
      <c r="I136" s="650"/>
      <c r="J136" s="74"/>
      <c r="M136" s="74"/>
      <c r="N136" s="74"/>
    </row>
    <row r="137" spans="1:15" ht="16.5">
      <c r="A137" s="676" t="s">
        <v>1064</v>
      </c>
      <c r="B137" s="651" t="s">
        <v>1065</v>
      </c>
      <c r="C137" s="645">
        <v>45323</v>
      </c>
      <c r="D137" s="657">
        <f>100000</f>
        <v>100000</v>
      </c>
      <c r="E137" s="649"/>
      <c r="F137" s="649"/>
      <c r="G137" s="657">
        <f>131250</f>
        <v>131250</v>
      </c>
      <c r="H137" s="647">
        <f t="shared" si="2"/>
        <v>231250</v>
      </c>
      <c r="I137" s="650"/>
      <c r="J137" s="74"/>
      <c r="M137" s="74"/>
    </row>
    <row r="138" spans="1:15" ht="16.5">
      <c r="A138" s="676" t="s">
        <v>1066</v>
      </c>
      <c r="B138" s="651" t="s">
        <v>1067</v>
      </c>
      <c r="C138" s="645">
        <v>45323</v>
      </c>
      <c r="D138" s="657">
        <f>50000</f>
        <v>50000</v>
      </c>
      <c r="E138" s="657">
        <f>0</f>
        <v>0</v>
      </c>
      <c r="F138" s="657"/>
      <c r="G138" s="657"/>
      <c r="H138" s="647">
        <f t="shared" si="2"/>
        <v>50000</v>
      </c>
      <c r="I138" s="650"/>
      <c r="J138" s="74"/>
      <c r="M138" s="74"/>
    </row>
    <row r="139" spans="1:15" ht="16.5">
      <c r="A139" s="676" t="s">
        <v>1068</v>
      </c>
      <c r="B139" s="651" t="s">
        <v>251</v>
      </c>
      <c r="C139" s="645">
        <v>45323</v>
      </c>
      <c r="D139" s="657">
        <f>10000</f>
        <v>10000</v>
      </c>
      <c r="E139" s="657">
        <f>0</f>
        <v>0</v>
      </c>
      <c r="F139" s="657"/>
      <c r="G139" s="647">
        <f>90000</f>
        <v>90000</v>
      </c>
      <c r="H139" s="647">
        <f t="shared" si="2"/>
        <v>100000</v>
      </c>
      <c r="I139" s="650"/>
      <c r="J139" s="74"/>
      <c r="M139" s="74"/>
    </row>
    <row r="140" spans="1:15" ht="16.5">
      <c r="A140" s="676" t="s">
        <v>1069</v>
      </c>
      <c r="B140" s="651" t="s">
        <v>324</v>
      </c>
      <c r="C140" s="645">
        <v>45323</v>
      </c>
      <c r="D140" s="657">
        <f>50000</f>
        <v>50000</v>
      </c>
      <c r="E140" s="657"/>
      <c r="F140" s="657"/>
      <c r="G140" s="647">
        <f>50000</f>
        <v>50000</v>
      </c>
      <c r="H140" s="647">
        <f t="shared" si="2"/>
        <v>100000</v>
      </c>
      <c r="I140" s="650"/>
      <c r="M140" s="74"/>
    </row>
    <row r="141" spans="1:15" ht="16.5">
      <c r="A141" s="676" t="s">
        <v>1070</v>
      </c>
      <c r="B141" s="651" t="s">
        <v>1071</v>
      </c>
      <c r="C141" s="645">
        <v>45323</v>
      </c>
      <c r="D141" s="657">
        <f>100000</f>
        <v>100000</v>
      </c>
      <c r="E141" s="657">
        <f>0</f>
        <v>0</v>
      </c>
      <c r="F141" s="657">
        <f>100000</f>
        <v>100000</v>
      </c>
      <c r="G141" s="657">
        <f>223611.11</f>
        <v>223611.11</v>
      </c>
      <c r="H141" s="647">
        <f t="shared" si="2"/>
        <v>423611.11</v>
      </c>
      <c r="I141" s="650"/>
      <c r="J141" s="74"/>
      <c r="M141" s="74"/>
      <c r="N141" s="75"/>
    </row>
    <row r="142" spans="1:15" ht="16.5">
      <c r="A142" s="676" t="s">
        <v>1072</v>
      </c>
      <c r="B142" s="651" t="s">
        <v>1073</v>
      </c>
      <c r="C142" s="645">
        <v>45323</v>
      </c>
      <c r="D142" s="657">
        <f>10000</f>
        <v>10000</v>
      </c>
      <c r="E142" s="657">
        <f>0</f>
        <v>0</v>
      </c>
      <c r="F142" s="657"/>
      <c r="G142" s="657">
        <f>70000</f>
        <v>70000</v>
      </c>
      <c r="H142" s="647">
        <f t="shared" si="2"/>
        <v>80000</v>
      </c>
      <c r="I142" s="650"/>
      <c r="J142" s="74"/>
      <c r="M142" s="74"/>
    </row>
    <row r="143" spans="1:15" ht="16.5">
      <c r="A143" s="676" t="s">
        <v>1074</v>
      </c>
      <c r="B143" s="651" t="s">
        <v>209</v>
      </c>
      <c r="C143" s="645">
        <v>45323</v>
      </c>
      <c r="D143" s="657">
        <f>5000</f>
        <v>5000</v>
      </c>
      <c r="E143" s="657">
        <f>0</f>
        <v>0</v>
      </c>
      <c r="F143" s="657">
        <f>5000+5000</f>
        <v>10000</v>
      </c>
      <c r="G143" s="657">
        <f>15000</f>
        <v>15000</v>
      </c>
      <c r="H143" s="647">
        <f t="shared" si="2"/>
        <v>30000</v>
      </c>
      <c r="I143" s="650"/>
      <c r="M143" s="74"/>
    </row>
    <row r="144" spans="1:15" ht="16.5">
      <c r="A144" s="676" t="s">
        <v>1075</v>
      </c>
      <c r="B144" s="651" t="s">
        <v>1076</v>
      </c>
      <c r="C144" s="645">
        <v>45323</v>
      </c>
      <c r="D144" s="657">
        <f>0</f>
        <v>0</v>
      </c>
      <c r="E144" s="657">
        <v>0</v>
      </c>
      <c r="F144" s="657"/>
      <c r="G144" s="657">
        <f>0</f>
        <v>0</v>
      </c>
      <c r="H144" s="647">
        <f t="shared" si="2"/>
        <v>0</v>
      </c>
      <c r="I144" s="74"/>
      <c r="L144" s="74"/>
      <c r="M144" s="74"/>
    </row>
    <row r="145" spans="1:13" ht="18">
      <c r="A145" s="676" t="s">
        <v>1077</v>
      </c>
      <c r="B145" s="651" t="s">
        <v>1078</v>
      </c>
      <c r="C145" s="645">
        <v>45323</v>
      </c>
      <c r="D145" s="657"/>
      <c r="E145" s="657"/>
      <c r="F145" s="657"/>
      <c r="G145" s="670"/>
      <c r="H145" s="647">
        <f t="shared" si="2"/>
        <v>0</v>
      </c>
      <c r="I145" s="650"/>
      <c r="L145" s="74"/>
      <c r="M145" s="74"/>
    </row>
    <row r="146" spans="1:13" ht="16.5">
      <c r="A146" s="676" t="s">
        <v>1079</v>
      </c>
      <c r="B146" s="651" t="s">
        <v>1080</v>
      </c>
      <c r="C146" s="645">
        <v>45323</v>
      </c>
      <c r="D146" s="657">
        <f>200000</f>
        <v>200000</v>
      </c>
      <c r="E146" s="657">
        <f>0</f>
        <v>0</v>
      </c>
      <c r="F146" s="657"/>
      <c r="G146" s="657">
        <f>52500*2+275000</f>
        <v>380000</v>
      </c>
      <c r="H146" s="647">
        <f t="shared" si="2"/>
        <v>580000</v>
      </c>
      <c r="I146" s="650"/>
      <c r="L146" s="74"/>
    </row>
    <row r="147" spans="1:13" ht="16.5">
      <c r="A147" s="676" t="s">
        <v>1081</v>
      </c>
      <c r="B147" s="651" t="s">
        <v>1082</v>
      </c>
      <c r="C147" s="645">
        <v>45323</v>
      </c>
      <c r="D147" s="657">
        <f>25000</f>
        <v>25000</v>
      </c>
      <c r="E147" s="657"/>
      <c r="F147" s="657"/>
      <c r="G147" s="659"/>
      <c r="H147" s="647">
        <f t="shared" si="2"/>
        <v>25000</v>
      </c>
      <c r="I147" s="650"/>
      <c r="L147" s="74"/>
    </row>
    <row r="148" spans="1:13" ht="16.5">
      <c r="A148" s="676" t="s">
        <v>1083</v>
      </c>
      <c r="B148" s="651" t="s">
        <v>1084</v>
      </c>
      <c r="C148" s="645">
        <v>45323</v>
      </c>
      <c r="D148" s="657">
        <f>0</f>
        <v>0</v>
      </c>
      <c r="E148" s="657"/>
      <c r="F148" s="657"/>
      <c r="G148" s="657"/>
      <c r="H148" s="647">
        <f t="shared" si="2"/>
        <v>0</v>
      </c>
      <c r="I148" s="650"/>
      <c r="L148" s="74"/>
    </row>
    <row r="149" spans="1:13" ht="16.5">
      <c r="A149" s="676" t="s">
        <v>1085</v>
      </c>
      <c r="B149" s="651" t="s">
        <v>276</v>
      </c>
      <c r="C149" s="645">
        <v>45323</v>
      </c>
      <c r="D149" s="657">
        <v>50000</v>
      </c>
      <c r="E149" s="657"/>
      <c r="F149" s="657"/>
      <c r="G149" s="657">
        <v>145000</v>
      </c>
      <c r="H149" s="647">
        <f t="shared" si="2"/>
        <v>195000</v>
      </c>
      <c r="I149" s="650"/>
    </row>
    <row r="150" spans="1:13" ht="16.5">
      <c r="A150" s="676" t="s">
        <v>1086</v>
      </c>
      <c r="B150" s="651" t="s">
        <v>345</v>
      </c>
      <c r="C150" s="645">
        <v>45323</v>
      </c>
      <c r="D150" s="657">
        <f>10000</f>
        <v>10000</v>
      </c>
      <c r="E150" s="657">
        <f>0</f>
        <v>0</v>
      </c>
      <c r="F150" s="657"/>
      <c r="G150" s="649">
        <v>19583.330000000002</v>
      </c>
      <c r="H150" s="647">
        <f t="shared" si="2"/>
        <v>29583.33</v>
      </c>
      <c r="I150" s="74"/>
      <c r="L150" s="74"/>
    </row>
    <row r="151" spans="1:13" ht="16.5">
      <c r="A151" s="676" t="s">
        <v>1087</v>
      </c>
      <c r="B151" s="651" t="s">
        <v>1088</v>
      </c>
      <c r="C151" s="645">
        <v>45323</v>
      </c>
      <c r="D151" s="657">
        <f>10000</f>
        <v>10000</v>
      </c>
      <c r="E151" s="657"/>
      <c r="F151" s="657"/>
      <c r="G151" s="657">
        <f>95833.33</f>
        <v>95833.33</v>
      </c>
      <c r="H151" s="647">
        <f t="shared" si="2"/>
        <v>105833.33</v>
      </c>
      <c r="I151" s="650"/>
    </row>
    <row r="152" spans="1:13" ht="16.5">
      <c r="A152" s="676" t="s">
        <v>1089</v>
      </c>
      <c r="B152" s="651" t="s">
        <v>330</v>
      </c>
      <c r="C152" s="645">
        <v>45323</v>
      </c>
      <c r="D152" s="657">
        <f>0</f>
        <v>0</v>
      </c>
      <c r="E152" s="657"/>
      <c r="F152" s="657"/>
      <c r="G152" s="657">
        <f>26666.67</f>
        <v>26666.67</v>
      </c>
      <c r="H152" s="647">
        <f t="shared" si="2"/>
        <v>26666.67</v>
      </c>
      <c r="I152" s="650"/>
    </row>
    <row r="153" spans="1:13" ht="16.5">
      <c r="A153" s="676" t="s">
        <v>1090</v>
      </c>
      <c r="B153" s="651" t="s">
        <v>360</v>
      </c>
      <c r="C153" s="645">
        <v>45323</v>
      </c>
      <c r="D153" s="657">
        <f>50000</f>
        <v>50000</v>
      </c>
      <c r="E153" s="657"/>
      <c r="F153" s="657"/>
      <c r="G153" s="657">
        <f>50000</f>
        <v>50000</v>
      </c>
      <c r="H153" s="647">
        <f t="shared" si="2"/>
        <v>100000</v>
      </c>
      <c r="I153" s="650"/>
    </row>
    <row r="154" spans="1:13" ht="16.5">
      <c r="A154" s="676" t="s">
        <v>1091</v>
      </c>
      <c r="B154" s="651" t="s">
        <v>1092</v>
      </c>
      <c r="C154" s="645">
        <v>45323</v>
      </c>
      <c r="D154" s="657">
        <f>30000</f>
        <v>30000</v>
      </c>
      <c r="E154" s="657"/>
      <c r="F154" s="657"/>
      <c r="G154" s="657"/>
      <c r="H154" s="647">
        <f t="shared" si="2"/>
        <v>30000</v>
      </c>
      <c r="I154" s="650"/>
    </row>
    <row r="155" spans="1:13" ht="16.5">
      <c r="A155" s="676" t="s">
        <v>1093</v>
      </c>
      <c r="B155" s="651" t="s">
        <v>1094</v>
      </c>
      <c r="C155" s="645">
        <v>45323</v>
      </c>
      <c r="D155" s="657">
        <f>0</f>
        <v>0</v>
      </c>
      <c r="E155" s="657"/>
      <c r="F155" s="657"/>
      <c r="G155" s="657"/>
      <c r="H155" s="647">
        <f t="shared" si="2"/>
        <v>0</v>
      </c>
      <c r="I155" s="74"/>
    </row>
    <row r="156" spans="1:13" ht="16.5">
      <c r="A156" s="676" t="s">
        <v>1095</v>
      </c>
      <c r="B156" s="651" t="s">
        <v>1096</v>
      </c>
      <c r="C156" s="645">
        <v>45323</v>
      </c>
      <c r="D156" s="657">
        <f>100000</f>
        <v>100000</v>
      </c>
      <c r="E156" s="657"/>
      <c r="F156" s="657"/>
      <c r="G156" s="657">
        <f>51500</f>
        <v>51500</v>
      </c>
      <c r="H156" s="647">
        <f t="shared" si="2"/>
        <v>151500</v>
      </c>
      <c r="I156" s="650"/>
    </row>
    <row r="157" spans="1:13" ht="16.5">
      <c r="A157" s="676" t="s">
        <v>1097</v>
      </c>
      <c r="B157" s="651" t="s">
        <v>1098</v>
      </c>
      <c r="C157" s="645">
        <v>45323</v>
      </c>
      <c r="D157" s="657">
        <f>10000</f>
        <v>10000</v>
      </c>
      <c r="E157" s="657"/>
      <c r="F157" s="657">
        <f>10000</f>
        <v>10000</v>
      </c>
      <c r="G157" s="657">
        <f>11518</f>
        <v>11518</v>
      </c>
      <c r="H157" s="647">
        <f t="shared" si="2"/>
        <v>31518</v>
      </c>
      <c r="I157" s="650"/>
    </row>
    <row r="158" spans="1:13" ht="16.5">
      <c r="A158" s="676" t="s">
        <v>1099</v>
      </c>
      <c r="B158" s="651" t="s">
        <v>1100</v>
      </c>
      <c r="C158" s="645">
        <v>45323</v>
      </c>
      <c r="D158" s="657">
        <f>20000</f>
        <v>20000</v>
      </c>
      <c r="E158" s="657"/>
      <c r="F158" s="657"/>
      <c r="G158" s="657"/>
      <c r="H158" s="647">
        <f t="shared" si="2"/>
        <v>20000</v>
      </c>
      <c r="I158" s="650"/>
    </row>
    <row r="159" spans="1:13" ht="16.5">
      <c r="A159" s="676" t="s">
        <v>1101</v>
      </c>
      <c r="B159" s="651" t="s">
        <v>405</v>
      </c>
      <c r="C159" s="645">
        <v>45323</v>
      </c>
      <c r="D159" s="657">
        <v>10000</v>
      </c>
      <c r="E159" s="657"/>
      <c r="F159" s="657">
        <f>5000+5000</f>
        <v>10000</v>
      </c>
      <c r="G159" s="657"/>
      <c r="H159" s="647">
        <f t="shared" si="2"/>
        <v>20000</v>
      </c>
      <c r="I159" s="650"/>
    </row>
    <row r="160" spans="1:13" ht="16.5">
      <c r="A160" s="676" t="s">
        <v>1102</v>
      </c>
      <c r="B160" s="651" t="s">
        <v>1103</v>
      </c>
      <c r="C160" s="645">
        <v>45323</v>
      </c>
      <c r="D160" s="657">
        <v>200000</v>
      </c>
      <c r="E160" s="657"/>
      <c r="F160" s="657"/>
      <c r="G160" s="678">
        <f>0</f>
        <v>0</v>
      </c>
      <c r="H160" s="647">
        <f t="shared" si="2"/>
        <v>200000</v>
      </c>
      <c r="I160" s="650"/>
    </row>
    <row r="161" spans="1:9" ht="16.5">
      <c r="A161" s="676" t="s">
        <v>1104</v>
      </c>
      <c r="B161" s="651" t="s">
        <v>1105</v>
      </c>
      <c r="C161" s="645">
        <v>45323</v>
      </c>
      <c r="D161" s="657">
        <f>0</f>
        <v>0</v>
      </c>
      <c r="E161" s="657"/>
      <c r="F161" s="657"/>
      <c r="G161" s="657">
        <f>0</f>
        <v>0</v>
      </c>
      <c r="H161" s="647">
        <f t="shared" si="2"/>
        <v>0</v>
      </c>
      <c r="I161" s="74"/>
    </row>
    <row r="162" spans="1:9" ht="16.5">
      <c r="A162" s="676" t="s">
        <v>1106</v>
      </c>
      <c r="B162" s="651" t="s">
        <v>1107</v>
      </c>
      <c r="C162" s="645">
        <v>45323</v>
      </c>
      <c r="D162" s="657">
        <f>100000</f>
        <v>100000</v>
      </c>
      <c r="E162" s="657"/>
      <c r="F162" s="657"/>
      <c r="G162" s="657"/>
      <c r="H162" s="647">
        <f t="shared" si="2"/>
        <v>100000</v>
      </c>
      <c r="I162" s="650"/>
    </row>
    <row r="163" spans="1:9" ht="16.5">
      <c r="A163" s="676" t="s">
        <v>1108</v>
      </c>
      <c r="B163" s="651" t="s">
        <v>1109</v>
      </c>
      <c r="C163" s="645">
        <v>45323</v>
      </c>
      <c r="D163" s="657">
        <f>5000</f>
        <v>5000</v>
      </c>
      <c r="E163" s="657">
        <f>0</f>
        <v>0</v>
      </c>
      <c r="F163" s="657">
        <f>10000</f>
        <v>10000</v>
      </c>
      <c r="G163" s="657">
        <v>20000</v>
      </c>
      <c r="H163" s="647">
        <f t="shared" si="2"/>
        <v>35000</v>
      </c>
      <c r="I163" s="650"/>
    </row>
    <row r="164" spans="1:9" ht="16.5">
      <c r="A164" s="676" t="s">
        <v>1110</v>
      </c>
      <c r="B164" s="651" t="s">
        <v>1111</v>
      </c>
      <c r="C164" s="645">
        <v>45323</v>
      </c>
      <c r="D164" s="657">
        <f>20000</f>
        <v>20000</v>
      </c>
      <c r="E164" s="657"/>
      <c r="F164" s="657"/>
      <c r="G164" s="657"/>
      <c r="H164" s="647">
        <f t="shared" si="2"/>
        <v>20000</v>
      </c>
      <c r="I164" s="650"/>
    </row>
    <row r="165" spans="1:9" ht="16.5">
      <c r="A165" s="676" t="s">
        <v>1112</v>
      </c>
      <c r="B165" s="651" t="s">
        <v>1113</v>
      </c>
      <c r="C165" s="645">
        <v>45323</v>
      </c>
      <c r="D165" s="657">
        <f>50000</f>
        <v>50000</v>
      </c>
      <c r="E165" s="657"/>
      <c r="F165" s="657"/>
      <c r="G165" s="657">
        <f>91666.67</f>
        <v>91666.67</v>
      </c>
      <c r="H165" s="647">
        <f t="shared" si="2"/>
        <v>141666.66999999998</v>
      </c>
      <c r="I165" s="650"/>
    </row>
    <row r="166" spans="1:9" ht="16.5">
      <c r="A166" s="676" t="s">
        <v>1114</v>
      </c>
      <c r="B166" s="651" t="s">
        <v>421</v>
      </c>
      <c r="C166" s="645">
        <v>45323</v>
      </c>
      <c r="D166" s="657">
        <f>20000</f>
        <v>20000</v>
      </c>
      <c r="E166" s="657">
        <f>0</f>
        <v>0</v>
      </c>
      <c r="F166" s="657"/>
      <c r="G166" s="657">
        <f>43750</f>
        <v>43750</v>
      </c>
      <c r="H166" s="647">
        <f t="shared" si="2"/>
        <v>63750</v>
      </c>
      <c r="I166" s="650"/>
    </row>
    <row r="167" spans="1:9" ht="16.5">
      <c r="A167" s="676" t="s">
        <v>1115</v>
      </c>
      <c r="B167" s="651" t="s">
        <v>1116</v>
      </c>
      <c r="C167" s="645">
        <v>45323</v>
      </c>
      <c r="D167" s="657">
        <f>10000</f>
        <v>10000</v>
      </c>
      <c r="E167" s="657">
        <f>0</f>
        <v>0</v>
      </c>
      <c r="F167" s="657"/>
      <c r="G167" s="657"/>
      <c r="H167" s="647">
        <f t="shared" si="2"/>
        <v>10000</v>
      </c>
      <c r="I167" s="650"/>
    </row>
    <row r="168" spans="1:9" ht="16.5">
      <c r="A168" s="676" t="s">
        <v>1117</v>
      </c>
      <c r="B168" s="651" t="s">
        <v>434</v>
      </c>
      <c r="C168" s="645">
        <v>45323</v>
      </c>
      <c r="D168" s="657">
        <f>10000</f>
        <v>10000</v>
      </c>
      <c r="E168" s="657">
        <f>0</f>
        <v>0</v>
      </c>
      <c r="F168" s="657"/>
      <c r="G168" s="657">
        <f>20000</f>
        <v>20000</v>
      </c>
      <c r="H168" s="647">
        <f t="shared" si="2"/>
        <v>30000</v>
      </c>
      <c r="I168" s="650"/>
    </row>
    <row r="169" spans="1:9" ht="16.5">
      <c r="A169" s="676" t="s">
        <v>1118</v>
      </c>
      <c r="B169" s="651" t="s">
        <v>1119</v>
      </c>
      <c r="C169" s="645">
        <v>45323</v>
      </c>
      <c r="D169" s="657">
        <v>20000</v>
      </c>
      <c r="E169" s="657">
        <f>0</f>
        <v>0</v>
      </c>
      <c r="F169" s="657"/>
      <c r="G169" s="657"/>
      <c r="H169" s="647">
        <f t="shared" si="2"/>
        <v>20000</v>
      </c>
      <c r="I169" s="650"/>
    </row>
    <row r="170" spans="1:9" ht="16.5">
      <c r="A170" s="676" t="s">
        <v>1120</v>
      </c>
      <c r="B170" s="651" t="s">
        <v>1121</v>
      </c>
      <c r="C170" s="645">
        <v>45323</v>
      </c>
      <c r="D170" s="657">
        <f>0</f>
        <v>0</v>
      </c>
      <c r="E170" s="657">
        <f>0</f>
        <v>0</v>
      </c>
      <c r="F170" s="657">
        <f>120000</f>
        <v>120000</v>
      </c>
      <c r="G170" s="657"/>
      <c r="H170" s="647">
        <f t="shared" si="2"/>
        <v>120000</v>
      </c>
      <c r="I170" s="650"/>
    </row>
    <row r="171" spans="1:9" ht="16.5">
      <c r="A171" s="676" t="s">
        <v>1122</v>
      </c>
      <c r="B171" s="651" t="s">
        <v>1123</v>
      </c>
      <c r="C171" s="645">
        <v>45323</v>
      </c>
      <c r="D171" s="657">
        <f>50000</f>
        <v>50000</v>
      </c>
      <c r="E171" s="657"/>
      <c r="F171" s="657"/>
      <c r="G171" s="657"/>
      <c r="H171" s="647">
        <f t="shared" si="2"/>
        <v>50000</v>
      </c>
      <c r="I171" s="650"/>
    </row>
    <row r="172" spans="1:9" ht="16.5">
      <c r="A172" s="676" t="s">
        <v>1124</v>
      </c>
      <c r="B172" s="651" t="s">
        <v>423</v>
      </c>
      <c r="C172" s="645">
        <v>45323</v>
      </c>
      <c r="D172" s="657">
        <f>65000</f>
        <v>65000</v>
      </c>
      <c r="E172" s="657"/>
      <c r="F172" s="657"/>
      <c r="G172" s="657"/>
      <c r="H172" s="647">
        <f t="shared" si="2"/>
        <v>65000</v>
      </c>
      <c r="I172" s="650"/>
    </row>
    <row r="173" spans="1:9" ht="16.5">
      <c r="A173" s="676" t="s">
        <v>1125</v>
      </c>
      <c r="B173" s="651" t="s">
        <v>426</v>
      </c>
      <c r="C173" s="645">
        <v>45323</v>
      </c>
      <c r="D173" s="657">
        <f>10000</f>
        <v>10000</v>
      </c>
      <c r="E173" s="657"/>
      <c r="F173" s="657"/>
      <c r="G173" s="657"/>
      <c r="H173" s="647">
        <f t="shared" si="2"/>
        <v>10000</v>
      </c>
      <c r="I173" s="650"/>
    </row>
    <row r="174" spans="1:9" ht="16.5">
      <c r="A174" s="676" t="s">
        <v>1126</v>
      </c>
      <c r="B174" s="651" t="s">
        <v>1127</v>
      </c>
      <c r="C174" s="645">
        <v>45323</v>
      </c>
      <c r="D174" s="657">
        <f>10000</f>
        <v>10000</v>
      </c>
      <c r="E174" s="657"/>
      <c r="F174" s="657"/>
      <c r="G174" s="657"/>
      <c r="H174" s="647">
        <f t="shared" si="2"/>
        <v>10000</v>
      </c>
      <c r="I174" s="650"/>
    </row>
    <row r="175" spans="1:9" ht="16.5">
      <c r="A175" s="676" t="s">
        <v>1128</v>
      </c>
      <c r="B175" s="651" t="s">
        <v>1129</v>
      </c>
      <c r="C175" s="645">
        <v>45323</v>
      </c>
      <c r="D175" s="657">
        <f>30000</f>
        <v>30000</v>
      </c>
      <c r="E175" s="657"/>
      <c r="F175" s="657"/>
      <c r="G175" s="657"/>
      <c r="H175" s="647">
        <f t="shared" si="2"/>
        <v>30000</v>
      </c>
      <c r="I175" s="650"/>
    </row>
    <row r="176" spans="1:9" ht="16.5">
      <c r="A176" s="676" t="s">
        <v>1130</v>
      </c>
      <c r="B176" s="651" t="s">
        <v>555</v>
      </c>
      <c r="C176" s="645">
        <v>45323</v>
      </c>
      <c r="D176" s="657">
        <f>20000</f>
        <v>20000</v>
      </c>
      <c r="E176" s="657"/>
      <c r="F176" s="657"/>
      <c r="G176" s="657"/>
      <c r="H176" s="647">
        <f t="shared" si="2"/>
        <v>20000</v>
      </c>
      <c r="I176" s="650"/>
    </row>
    <row r="177" spans="1:12" ht="16.5">
      <c r="A177" s="676" t="s">
        <v>1131</v>
      </c>
      <c r="B177" s="651" t="s">
        <v>1132</v>
      </c>
      <c r="C177" s="645">
        <v>45323</v>
      </c>
      <c r="D177" s="657">
        <f>30000</f>
        <v>30000</v>
      </c>
      <c r="E177" s="657"/>
      <c r="F177" s="657"/>
      <c r="G177" s="657"/>
      <c r="H177" s="647">
        <f t="shared" si="2"/>
        <v>30000</v>
      </c>
      <c r="I177" s="650"/>
    </row>
    <row r="178" spans="1:12" ht="16.5">
      <c r="A178" s="676" t="s">
        <v>1133</v>
      </c>
      <c r="B178" s="651" t="s">
        <v>1134</v>
      </c>
      <c r="C178" s="645">
        <v>45323</v>
      </c>
      <c r="D178" s="657">
        <v>30000</v>
      </c>
      <c r="E178" s="657"/>
      <c r="F178" s="657"/>
      <c r="G178" s="657"/>
      <c r="H178" s="647">
        <f t="shared" si="2"/>
        <v>30000</v>
      </c>
      <c r="I178" s="650"/>
    </row>
    <row r="179" spans="1:12" ht="16.5">
      <c r="A179" s="676" t="s">
        <v>1135</v>
      </c>
      <c r="B179" s="651" t="s">
        <v>1136</v>
      </c>
      <c r="C179" s="645">
        <v>45323</v>
      </c>
      <c r="D179" s="657">
        <f>50000</f>
        <v>50000</v>
      </c>
      <c r="E179" s="657"/>
      <c r="F179" s="657"/>
      <c r="G179" s="657"/>
      <c r="H179" s="647">
        <f t="shared" si="2"/>
        <v>50000</v>
      </c>
      <c r="I179" s="650"/>
    </row>
    <row r="180" spans="1:12" ht="16.5">
      <c r="A180" s="676" t="s">
        <v>1137</v>
      </c>
      <c r="B180" s="651" t="s">
        <v>1138</v>
      </c>
      <c r="C180" s="645">
        <v>45323</v>
      </c>
      <c r="D180" s="657">
        <v>5000</v>
      </c>
      <c r="E180" s="657"/>
      <c r="F180" s="657">
        <f>10000</f>
        <v>10000</v>
      </c>
      <c r="G180" s="657"/>
      <c r="H180" s="647">
        <f t="shared" si="2"/>
        <v>15000</v>
      </c>
      <c r="I180" s="650"/>
    </row>
    <row r="181" spans="1:12" ht="16.5">
      <c r="A181" s="676" t="s">
        <v>1139</v>
      </c>
      <c r="B181" s="651" t="s">
        <v>562</v>
      </c>
      <c r="C181" s="645">
        <v>45323</v>
      </c>
      <c r="D181" s="657">
        <f>10000</f>
        <v>10000</v>
      </c>
      <c r="E181" s="657"/>
      <c r="F181" s="657">
        <f>10000</f>
        <v>10000</v>
      </c>
      <c r="G181" s="657"/>
      <c r="H181" s="647">
        <f t="shared" si="2"/>
        <v>20000</v>
      </c>
      <c r="I181" s="650"/>
    </row>
    <row r="182" spans="1:12" ht="16.5">
      <c r="A182" s="676" t="s">
        <v>1137</v>
      </c>
      <c r="B182" s="651" t="s">
        <v>1140</v>
      </c>
      <c r="C182" s="645">
        <v>45323</v>
      </c>
      <c r="D182" s="657">
        <f>10000</f>
        <v>10000</v>
      </c>
      <c r="E182" s="657"/>
      <c r="F182" s="657"/>
      <c r="G182" s="657"/>
      <c r="H182" s="647">
        <f t="shared" si="2"/>
        <v>10000</v>
      </c>
      <c r="I182" s="650"/>
    </row>
    <row r="183" spans="1:12" ht="16.5">
      <c r="A183" s="676" t="s">
        <v>1137</v>
      </c>
      <c r="B183" s="651" t="s">
        <v>557</v>
      </c>
      <c r="C183" s="645">
        <v>45323</v>
      </c>
      <c r="D183" s="657">
        <f>10000</f>
        <v>10000</v>
      </c>
      <c r="E183" s="657"/>
      <c r="F183" s="657"/>
      <c r="G183" s="657"/>
      <c r="H183" s="647">
        <f t="shared" si="2"/>
        <v>10000</v>
      </c>
      <c r="I183" s="650"/>
    </row>
    <row r="184" spans="1:12" ht="16.5">
      <c r="A184" s="676" t="s">
        <v>1137</v>
      </c>
      <c r="B184" s="651" t="s">
        <v>1141</v>
      </c>
      <c r="C184" s="645">
        <v>45323</v>
      </c>
      <c r="D184" s="657">
        <f>10000</f>
        <v>10000</v>
      </c>
      <c r="E184" s="657"/>
      <c r="F184" s="657"/>
      <c r="G184" s="657"/>
      <c r="H184" s="647">
        <f t="shared" si="2"/>
        <v>10000</v>
      </c>
      <c r="I184" s="650"/>
    </row>
    <row r="185" spans="1:12" ht="16.5">
      <c r="A185" s="651"/>
      <c r="B185" s="651"/>
      <c r="C185" s="679"/>
      <c r="D185" s="680">
        <f>SUM(D5:D184)</f>
        <v>4415500</v>
      </c>
      <c r="E185" s="680">
        <f>SUM(E5:E184)</f>
        <v>0</v>
      </c>
      <c r="F185" s="680">
        <f>SUM(F5:F184)</f>
        <v>708000</v>
      </c>
      <c r="G185" s="680">
        <f>SUM(G5:G184)</f>
        <v>7015945.6884722207</v>
      </c>
      <c r="H185" s="681">
        <f>SUM(H5:H184)</f>
        <v>12139445.688472221</v>
      </c>
      <c r="I185" s="74"/>
      <c r="J185" s="74"/>
      <c r="L185" s="74"/>
    </row>
    <row r="186" spans="1:12" ht="22.5">
      <c r="A186" s="682"/>
      <c r="B186" s="683" t="s">
        <v>15</v>
      </c>
      <c r="C186" s="644"/>
      <c r="D186" s="684">
        <f>D185+E185+F185</f>
        <v>5123500</v>
      </c>
      <c r="E186" s="685"/>
      <c r="F186" s="685"/>
      <c r="G186" s="685"/>
      <c r="H186" s="685"/>
      <c r="I186" s="75"/>
      <c r="J186" s="75"/>
      <c r="L186" s="74"/>
    </row>
    <row r="187" spans="1:12" ht="15.75">
      <c r="A187" s="686"/>
      <c r="B187" s="638" t="s">
        <v>1142</v>
      </c>
      <c r="C187" s="638"/>
      <c r="D187" s="687"/>
      <c r="E187" s="651"/>
      <c r="F187" s="75"/>
      <c r="G187" s="688"/>
      <c r="H187" s="74"/>
      <c r="I187" s="74"/>
      <c r="L187" s="689"/>
    </row>
    <row r="188" spans="1:12" ht="15.75">
      <c r="A188" s="686"/>
      <c r="B188" s="651"/>
      <c r="C188" s="638" t="s">
        <v>1143</v>
      </c>
      <c r="D188" s="638" t="s">
        <v>1144</v>
      </c>
      <c r="E188" s="651"/>
      <c r="F188" s="688"/>
      <c r="G188" s="688"/>
      <c r="H188" s="689"/>
      <c r="I188" s="74"/>
    </row>
    <row r="189" spans="1:12" ht="18">
      <c r="A189" s="651"/>
      <c r="B189" s="651" t="s">
        <v>1145</v>
      </c>
      <c r="C189" s="666">
        <f>22000</f>
        <v>22000</v>
      </c>
      <c r="D189" s="702">
        <f>20000</f>
        <v>20000</v>
      </c>
      <c r="E189" s="703">
        <f>D189-C189</f>
        <v>-2000</v>
      </c>
      <c r="F189" s="507" t="s">
        <v>1170</v>
      </c>
      <c r="G189" s="74"/>
      <c r="H189" s="74"/>
      <c r="I189" s="74"/>
      <c r="K189" s="74"/>
    </row>
    <row r="190" spans="1:12" ht="18">
      <c r="A190" s="651"/>
      <c r="B190" s="651" t="s">
        <v>1146</v>
      </c>
      <c r="C190" s="666">
        <f>52000</f>
        <v>52000</v>
      </c>
      <c r="D190" s="690">
        <f>50000</f>
        <v>50000</v>
      </c>
      <c r="E190" s="666">
        <f t="shared" ref="E190" si="3">D190-C190</f>
        <v>-2000</v>
      </c>
      <c r="G190" s="74"/>
      <c r="H190" s="74"/>
      <c r="I190" s="74"/>
      <c r="K190" s="74"/>
    </row>
    <row r="191" spans="1:12" ht="18">
      <c r="A191" s="651"/>
      <c r="B191" s="651" t="s">
        <v>1147</v>
      </c>
      <c r="C191" s="666">
        <f>17000</f>
        <v>17000</v>
      </c>
      <c r="D191" s="690">
        <f>15000</f>
        <v>15000</v>
      </c>
      <c r="E191" s="666">
        <f>D191-C191</f>
        <v>-2000</v>
      </c>
      <c r="F191" s="650"/>
      <c r="G191" s="74"/>
      <c r="H191" s="74"/>
      <c r="I191" s="74"/>
      <c r="K191" s="74"/>
    </row>
    <row r="192" spans="1:12" ht="18">
      <c r="A192" s="651"/>
      <c r="B192" s="651" t="s">
        <v>562</v>
      </c>
      <c r="C192" s="666">
        <v>22000</v>
      </c>
      <c r="D192" s="690">
        <f>20000</f>
        <v>20000</v>
      </c>
      <c r="E192" s="666">
        <f t="shared" ref="E192:E195" si="4">D192-C192</f>
        <v>-2000</v>
      </c>
      <c r="F192" s="650"/>
      <c r="G192" s="74"/>
      <c r="H192" s="74"/>
      <c r="I192" s="74"/>
      <c r="K192" s="74"/>
    </row>
    <row r="193" spans="1:11" ht="18">
      <c r="A193" s="651"/>
      <c r="B193" s="651" t="s">
        <v>1140</v>
      </c>
      <c r="C193" s="666">
        <v>12000</v>
      </c>
      <c r="D193" s="690">
        <f>10000</f>
        <v>10000</v>
      </c>
      <c r="E193" s="666">
        <f t="shared" si="4"/>
        <v>-2000</v>
      </c>
      <c r="F193" s="650"/>
      <c r="G193" s="74"/>
      <c r="H193" s="74"/>
      <c r="I193" s="74"/>
      <c r="K193" s="74"/>
    </row>
    <row r="194" spans="1:11" ht="18">
      <c r="A194" s="651"/>
      <c r="B194" s="651" t="s">
        <v>557</v>
      </c>
      <c r="C194" s="666">
        <v>12000</v>
      </c>
      <c r="D194" s="690">
        <f>10000</f>
        <v>10000</v>
      </c>
      <c r="E194" s="666">
        <f t="shared" si="4"/>
        <v>-2000</v>
      </c>
      <c r="F194" s="650"/>
      <c r="G194" s="74"/>
      <c r="H194" s="74"/>
      <c r="I194" s="74"/>
      <c r="K194" s="74"/>
    </row>
    <row r="195" spans="1:11" ht="18">
      <c r="A195" s="651"/>
      <c r="B195" s="651" t="s">
        <v>1141</v>
      </c>
      <c r="C195" s="666">
        <v>12000</v>
      </c>
      <c r="D195" s="690">
        <f>10000</f>
        <v>10000</v>
      </c>
      <c r="E195" s="666">
        <f t="shared" si="4"/>
        <v>-2000</v>
      </c>
      <c r="F195" s="650"/>
      <c r="G195" s="74"/>
      <c r="H195" s="74"/>
      <c r="I195" s="74"/>
      <c r="K195" s="74"/>
    </row>
    <row r="196" spans="1:11" ht="18">
      <c r="A196" s="692"/>
      <c r="B196" s="693" t="s">
        <v>799</v>
      </c>
      <c r="C196" s="660"/>
      <c r="D196" s="694">
        <f>0</f>
        <v>0</v>
      </c>
      <c r="E196" s="695">
        <f>SUM(E190:E195)</f>
        <v>-12000</v>
      </c>
      <c r="I196" s="32"/>
      <c r="K196" s="74"/>
    </row>
    <row r="197" spans="1:11" ht="15">
      <c r="A197" s="651"/>
      <c r="B197" s="651"/>
      <c r="C197" s="638"/>
      <c r="D197" s="651"/>
      <c r="E197" s="651"/>
      <c r="K197" s="74"/>
    </row>
    <row r="198" spans="1:11" ht="15">
      <c r="A198" s="651"/>
      <c r="B198" s="638" t="s">
        <v>1148</v>
      </c>
      <c r="C198" s="638"/>
      <c r="D198" s="651"/>
      <c r="E198" s="651"/>
      <c r="K198" s="74"/>
    </row>
    <row r="199" spans="1:11" ht="15">
      <c r="A199" s="651"/>
      <c r="B199" s="638"/>
      <c r="C199" s="638" t="s">
        <v>1143</v>
      </c>
      <c r="D199" s="638" t="s">
        <v>1144</v>
      </c>
      <c r="E199" s="651"/>
      <c r="K199" s="74"/>
    </row>
    <row r="200" spans="1:11" ht="18">
      <c r="A200" s="691"/>
      <c r="B200" s="691" t="s">
        <v>1149</v>
      </c>
      <c r="C200" s="647">
        <f>20000</f>
        <v>20000</v>
      </c>
      <c r="D200" s="649">
        <f>0</f>
        <v>0</v>
      </c>
      <c r="E200" s="666">
        <f>D200-C200</f>
        <v>-20000</v>
      </c>
      <c r="G200" s="74"/>
      <c r="K200" s="74"/>
    </row>
    <row r="201" spans="1:11" ht="18">
      <c r="A201" s="691"/>
      <c r="B201" s="691" t="s">
        <v>1171</v>
      </c>
      <c r="C201" s="647">
        <v>120000</v>
      </c>
      <c r="D201" s="649"/>
      <c r="E201" s="666">
        <f>D201-C201</f>
        <v>-120000</v>
      </c>
      <c r="G201" s="74"/>
      <c r="K201" s="74"/>
    </row>
    <row r="202" spans="1:11" ht="18">
      <c r="A202" s="691"/>
      <c r="B202" s="691"/>
      <c r="C202" s="647"/>
      <c r="D202" s="649"/>
      <c r="E202" s="666"/>
      <c r="G202" s="74"/>
      <c r="K202" s="74"/>
    </row>
    <row r="203" spans="1:11" ht="18">
      <c r="A203" s="691"/>
      <c r="B203" s="691"/>
      <c r="C203" s="666"/>
      <c r="D203" s="666"/>
      <c r="E203" s="666"/>
      <c r="G203" s="74"/>
      <c r="K203" s="74"/>
    </row>
    <row r="204" spans="1:11" ht="18">
      <c r="A204" s="691"/>
      <c r="B204" s="691"/>
      <c r="C204" s="647"/>
      <c r="D204" s="649"/>
      <c r="E204" s="666"/>
      <c r="G204" s="74"/>
      <c r="H204" s="74"/>
      <c r="K204" s="74"/>
    </row>
    <row r="205" spans="1:11" ht="18">
      <c r="A205" s="686"/>
      <c r="B205" s="686"/>
      <c r="C205" s="686"/>
      <c r="D205" s="686"/>
      <c r="E205" s="695">
        <f>SUM(E200:E204)</f>
        <v>-140000</v>
      </c>
      <c r="G205" s="74"/>
      <c r="K205" s="74"/>
    </row>
    <row r="206" spans="1:11" ht="30" customHeight="1">
      <c r="A206" s="686"/>
      <c r="B206" s="693" t="s">
        <v>1150</v>
      </c>
      <c r="C206" s="686"/>
      <c r="D206" s="686"/>
      <c r="E206" s="704">
        <f>E196+E205</f>
        <v>-152000</v>
      </c>
      <c r="G206" s="74"/>
      <c r="K206" s="74"/>
    </row>
    <row r="207" spans="1:11" ht="18.75">
      <c r="E207" s="696"/>
      <c r="K207" s="74"/>
    </row>
    <row r="208" spans="1:11" ht="16.5">
      <c r="A208" s="671" t="s">
        <v>881</v>
      </c>
      <c r="B208" s="651" t="s">
        <v>882</v>
      </c>
      <c r="C208" s="645">
        <v>45292</v>
      </c>
      <c r="D208" s="649">
        <v>10000</v>
      </c>
      <c r="E208" s="649">
        <v>0</v>
      </c>
      <c r="F208" s="649">
        <v>0</v>
      </c>
      <c r="G208" s="649">
        <f>40000</f>
        <v>40000</v>
      </c>
      <c r="H208" s="647">
        <f t="shared" ref="H208:H222" si="5">D208+E208+F208+G208</f>
        <v>50000</v>
      </c>
      <c r="I208" s="74"/>
      <c r="K208" s="74"/>
    </row>
    <row r="209" spans="1:14" ht="16.5">
      <c r="A209" s="676" t="s">
        <v>927</v>
      </c>
      <c r="B209" s="651" t="s">
        <v>928</v>
      </c>
      <c r="C209" s="645">
        <v>45292</v>
      </c>
      <c r="D209" s="657">
        <v>30000</v>
      </c>
      <c r="E209" s="657">
        <v>0</v>
      </c>
      <c r="F209" s="657">
        <v>0</v>
      </c>
      <c r="G209" s="657">
        <f>0</f>
        <v>0</v>
      </c>
      <c r="H209" s="647">
        <f t="shared" si="5"/>
        <v>30000</v>
      </c>
      <c r="K209" s="74"/>
    </row>
    <row r="210" spans="1:14" ht="16.5">
      <c r="A210" s="671" t="s">
        <v>962</v>
      </c>
      <c r="B210" s="651" t="s">
        <v>963</v>
      </c>
      <c r="C210" s="645">
        <v>45292</v>
      </c>
      <c r="D210" s="657">
        <v>10000</v>
      </c>
      <c r="E210" s="657">
        <v>0</v>
      </c>
      <c r="F210" s="657"/>
      <c r="G210" s="657">
        <f>20000</f>
        <v>20000</v>
      </c>
      <c r="H210" s="647">
        <f t="shared" si="5"/>
        <v>30000</v>
      </c>
      <c r="K210" s="74"/>
      <c r="N210" s="74"/>
    </row>
    <row r="211" spans="1:14" ht="16.5">
      <c r="A211" s="671" t="s">
        <v>1036</v>
      </c>
      <c r="B211" s="651" t="s">
        <v>1037</v>
      </c>
      <c r="C211" s="645">
        <v>45292</v>
      </c>
      <c r="D211" s="657"/>
      <c r="E211" s="657"/>
      <c r="F211" s="657"/>
      <c r="G211" s="657"/>
      <c r="H211" s="647">
        <f t="shared" si="5"/>
        <v>0</v>
      </c>
      <c r="I211" s="74"/>
      <c r="K211" s="74"/>
      <c r="N211" s="74"/>
    </row>
    <row r="212" spans="1:14" ht="16.5">
      <c r="A212" s="676" t="s">
        <v>1151</v>
      </c>
      <c r="B212" s="651" t="s">
        <v>1152</v>
      </c>
      <c r="C212" s="645">
        <v>45292</v>
      </c>
      <c r="D212" s="657">
        <f>5000</f>
        <v>5000</v>
      </c>
      <c r="E212" s="657">
        <f>0</f>
        <v>0</v>
      </c>
      <c r="F212" s="657">
        <f>5000+5000</f>
        <v>10000</v>
      </c>
      <c r="G212" s="657">
        <f>14350</f>
        <v>14350</v>
      </c>
      <c r="H212" s="647">
        <f t="shared" si="5"/>
        <v>29350</v>
      </c>
      <c r="I212" s="75"/>
      <c r="K212" s="74"/>
      <c r="N212" s="74"/>
    </row>
    <row r="213" spans="1:14" ht="16.5">
      <c r="A213" s="676" t="s">
        <v>1153</v>
      </c>
      <c r="B213" s="651" t="s">
        <v>1154</v>
      </c>
      <c r="C213" s="645">
        <v>45292</v>
      </c>
      <c r="D213" s="657">
        <f>0</f>
        <v>0</v>
      </c>
      <c r="E213" s="657"/>
      <c r="F213" s="657"/>
      <c r="G213" s="657"/>
      <c r="H213" s="647">
        <f t="shared" si="5"/>
        <v>0</v>
      </c>
      <c r="K213" s="74"/>
      <c r="N213" s="74"/>
    </row>
    <row r="214" spans="1:14" ht="16.5">
      <c r="A214" s="676" t="s">
        <v>1155</v>
      </c>
      <c r="B214" s="651" t="s">
        <v>1156</v>
      </c>
      <c r="C214" s="645">
        <v>45292</v>
      </c>
      <c r="D214" s="657">
        <f>5000</f>
        <v>5000</v>
      </c>
      <c r="E214" s="657"/>
      <c r="F214" s="657"/>
      <c r="G214" s="657">
        <f>0</f>
        <v>0</v>
      </c>
      <c r="H214" s="647">
        <f t="shared" si="5"/>
        <v>5000</v>
      </c>
      <c r="K214" s="74"/>
      <c r="N214" s="74"/>
    </row>
    <row r="215" spans="1:14" ht="16.5">
      <c r="A215" s="676" t="s">
        <v>1157</v>
      </c>
      <c r="B215" s="651" t="s">
        <v>1158</v>
      </c>
      <c r="C215" s="645">
        <v>45292</v>
      </c>
      <c r="D215" s="657">
        <f>10000</f>
        <v>10000</v>
      </c>
      <c r="E215" s="657">
        <f>0</f>
        <v>0</v>
      </c>
      <c r="F215" s="657"/>
      <c r="G215" s="657">
        <f>20000</f>
        <v>20000</v>
      </c>
      <c r="H215" s="647">
        <f t="shared" si="5"/>
        <v>30000</v>
      </c>
      <c r="J215" s="74"/>
      <c r="K215" s="74"/>
      <c r="N215" s="74"/>
    </row>
    <row r="216" spans="1:14" ht="16.5">
      <c r="A216" s="676" t="s">
        <v>1159</v>
      </c>
      <c r="B216" s="651" t="s">
        <v>1160</v>
      </c>
      <c r="C216" s="645">
        <v>45292</v>
      </c>
      <c r="D216" s="657">
        <f>25000</f>
        <v>25000</v>
      </c>
      <c r="E216" s="657"/>
      <c r="F216" s="657"/>
      <c r="G216" s="657">
        <f>60640</f>
        <v>60640</v>
      </c>
      <c r="H216" s="647">
        <f t="shared" si="5"/>
        <v>85640</v>
      </c>
      <c r="J216" s="74"/>
      <c r="K216" s="74"/>
      <c r="N216" s="74"/>
    </row>
    <row r="217" spans="1:14" ht="18">
      <c r="A217" s="676" t="s">
        <v>1161</v>
      </c>
      <c r="B217" s="651" t="s">
        <v>1162</v>
      </c>
      <c r="C217" s="645">
        <v>45292</v>
      </c>
      <c r="D217" s="657">
        <v>10000</v>
      </c>
      <c r="E217" s="657"/>
      <c r="F217" s="657"/>
      <c r="G217" s="658">
        <f>0</f>
        <v>0</v>
      </c>
      <c r="H217" s="647">
        <f t="shared" si="5"/>
        <v>10000</v>
      </c>
      <c r="J217" s="74"/>
      <c r="K217" s="74"/>
      <c r="N217" s="74"/>
    </row>
    <row r="218" spans="1:14" ht="16.5">
      <c r="A218" s="676" t="s">
        <v>1118</v>
      </c>
      <c r="B218" s="651" t="s">
        <v>1119</v>
      </c>
      <c r="C218" s="645">
        <v>45292</v>
      </c>
      <c r="D218" s="657"/>
      <c r="E218" s="657">
        <f>0</f>
        <v>0</v>
      </c>
      <c r="F218" s="657"/>
      <c r="G218" s="657"/>
      <c r="H218" s="647">
        <f t="shared" si="5"/>
        <v>0</v>
      </c>
      <c r="J218" s="74"/>
      <c r="K218" s="74"/>
      <c r="N218" s="75"/>
    </row>
    <row r="219" spans="1:14" ht="16.5">
      <c r="A219" s="676" t="s">
        <v>1133</v>
      </c>
      <c r="B219" s="651" t="s">
        <v>1134</v>
      </c>
      <c r="C219" s="645">
        <v>45292</v>
      </c>
      <c r="D219" s="657"/>
      <c r="E219" s="657">
        <f>0</f>
        <v>0</v>
      </c>
      <c r="F219" s="657"/>
      <c r="G219" s="657"/>
      <c r="H219" s="647">
        <f t="shared" si="5"/>
        <v>0</v>
      </c>
      <c r="J219" s="74"/>
      <c r="K219" s="74"/>
      <c r="N219" s="75"/>
    </row>
    <row r="220" spans="1:14" ht="16.5">
      <c r="A220" s="676" t="s">
        <v>1163</v>
      </c>
      <c r="B220" s="651" t="s">
        <v>1164</v>
      </c>
      <c r="C220" s="645">
        <v>45292</v>
      </c>
      <c r="D220" s="657">
        <f>20000</f>
        <v>20000</v>
      </c>
      <c r="E220" s="657"/>
      <c r="F220" s="657"/>
      <c r="G220" s="657"/>
      <c r="H220" s="647">
        <f t="shared" si="5"/>
        <v>20000</v>
      </c>
      <c r="J220" s="74"/>
      <c r="K220" s="74"/>
      <c r="N220" s="75"/>
    </row>
    <row r="221" spans="1:14" ht="16.5">
      <c r="A221" s="676" t="s">
        <v>1165</v>
      </c>
      <c r="B221" s="651" t="s">
        <v>1166</v>
      </c>
      <c r="C221" s="645">
        <v>45292</v>
      </c>
      <c r="D221" s="657">
        <f>20000</f>
        <v>20000</v>
      </c>
      <c r="E221" s="657"/>
      <c r="F221" s="657"/>
      <c r="G221" s="657"/>
      <c r="H221" s="647">
        <f t="shared" si="5"/>
        <v>20000</v>
      </c>
      <c r="J221" s="74"/>
      <c r="K221" s="74"/>
      <c r="N221" s="75"/>
    </row>
    <row r="222" spans="1:14" ht="16.5">
      <c r="A222" s="676" t="s">
        <v>1167</v>
      </c>
      <c r="B222" s="651" t="s">
        <v>1168</v>
      </c>
      <c r="C222" s="645">
        <v>45292</v>
      </c>
      <c r="D222" s="657">
        <f>50000</f>
        <v>50000</v>
      </c>
      <c r="E222" s="657"/>
      <c r="F222" s="657"/>
      <c r="G222" s="657"/>
      <c r="H222" s="647">
        <f t="shared" si="5"/>
        <v>50000</v>
      </c>
      <c r="J222" s="74"/>
      <c r="K222" s="74"/>
      <c r="N222" s="75"/>
    </row>
    <row r="223" spans="1:14" ht="16.5">
      <c r="A223" s="676" t="s">
        <v>1169</v>
      </c>
      <c r="B223" s="651" t="s">
        <v>1145</v>
      </c>
      <c r="C223" s="645">
        <v>45292</v>
      </c>
      <c r="D223" s="657">
        <f>20000</f>
        <v>20000</v>
      </c>
      <c r="E223" s="657">
        <f>2000</f>
        <v>2000</v>
      </c>
      <c r="F223" s="657"/>
      <c r="G223" s="657"/>
      <c r="H223" s="647">
        <f>D223+E223+F223+G223</f>
        <v>22000</v>
      </c>
      <c r="J223" s="74"/>
      <c r="K223" s="74"/>
      <c r="N223" s="75"/>
    </row>
    <row r="224" spans="1:14" ht="16.5">
      <c r="A224" s="686"/>
      <c r="B224" s="686"/>
      <c r="C224" s="697"/>
      <c r="D224" s="681">
        <f>SUM(D208:D223)</f>
        <v>215000</v>
      </c>
      <c r="E224" s="681">
        <f>SUM(E208:E223)</f>
        <v>2000</v>
      </c>
      <c r="F224" s="681">
        <f>SUM(F208:F223)</f>
        <v>10000</v>
      </c>
      <c r="G224" s="681">
        <f>SUM(G208:G223)</f>
        <v>154990</v>
      </c>
      <c r="H224" s="681">
        <f>SUM(H208:H223)</f>
        <v>381990</v>
      </c>
      <c r="I224" s="32"/>
      <c r="J224" s="74"/>
      <c r="K224" s="74"/>
      <c r="N224" s="75"/>
    </row>
    <row r="225" spans="1:13" ht="15">
      <c r="A225" s="698"/>
      <c r="B225" s="637"/>
      <c r="C225" s="698"/>
      <c r="D225" s="699"/>
      <c r="E225" s="699"/>
      <c r="F225" s="699"/>
      <c r="G225" s="699"/>
      <c r="H225" s="699"/>
      <c r="I225" s="74"/>
      <c r="J225" s="74"/>
      <c r="K225" s="74"/>
      <c r="L225" s="74"/>
      <c r="M225" s="74"/>
    </row>
    <row r="226" spans="1:13" ht="15">
      <c r="A226" s="637"/>
      <c r="B226" s="698"/>
      <c r="C226" s="637"/>
      <c r="D226" s="700">
        <f>D185+D224</f>
        <v>4630500</v>
      </c>
      <c r="E226" s="700">
        <f>E185+E224</f>
        <v>2000</v>
      </c>
      <c r="F226" s="700">
        <f>F185+F224</f>
        <v>718000</v>
      </c>
      <c r="G226" s="700">
        <f>G185+G224</f>
        <v>7170935.6884722207</v>
      </c>
      <c r="H226" s="700">
        <f>H185+H224</f>
        <v>12521435.688472221</v>
      </c>
      <c r="I226" s="74"/>
      <c r="J226" s="74"/>
      <c r="K226" s="74"/>
      <c r="L226" s="74"/>
      <c r="M226" s="74"/>
    </row>
    <row r="227" spans="1:13" ht="16.5">
      <c r="B227" s="701"/>
      <c r="E227" s="75"/>
      <c r="F227" s="688"/>
      <c r="H227" s="688"/>
      <c r="I227" s="74"/>
      <c r="J227" s="689"/>
      <c r="K227" s="74"/>
      <c r="M227" s="74"/>
    </row>
    <row r="228" spans="1:13">
      <c r="H228" s="74"/>
      <c r="I228" s="32"/>
      <c r="J228" s="74"/>
      <c r="K228" s="74"/>
      <c r="L228" s="32"/>
      <c r="M228" s="74"/>
    </row>
    <row r="229" spans="1:13">
      <c r="D229" s="75"/>
      <c r="G229" s="75"/>
      <c r="H229" s="74"/>
      <c r="I229" s="75"/>
      <c r="J229" s="74"/>
      <c r="K229" s="74"/>
      <c r="M229" s="74"/>
    </row>
    <row r="230" spans="1:13">
      <c r="E230" s="75"/>
      <c r="H230" s="74"/>
      <c r="K230" s="74"/>
      <c r="M230" s="74"/>
    </row>
    <row r="231" spans="1:13">
      <c r="H231" s="74"/>
      <c r="K231" s="74"/>
      <c r="M231" s="74"/>
    </row>
    <row r="232" spans="1:13" ht="15">
      <c r="H232" s="74"/>
      <c r="K232" s="74"/>
      <c r="M232" s="689"/>
    </row>
    <row r="233" spans="1:13">
      <c r="H233" s="74"/>
      <c r="K233" s="74"/>
    </row>
    <row r="234" spans="1:13">
      <c r="H234" s="74"/>
      <c r="K234" s="74"/>
    </row>
    <row r="235" spans="1:13">
      <c r="H235" s="74"/>
      <c r="K235" s="74"/>
      <c r="M235" s="75"/>
    </row>
    <row r="236" spans="1:13">
      <c r="H236" s="74"/>
      <c r="K236" s="74"/>
    </row>
    <row r="237" spans="1:13">
      <c r="K237" s="74"/>
    </row>
    <row r="238" spans="1:13" ht="15">
      <c r="K238" s="68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I6" sqref="I6"/>
    </sheetView>
  </sheetViews>
  <sheetFormatPr defaultColWidth="9.140625" defaultRowHeight="20.100000000000001" customHeight="1"/>
  <cols>
    <col min="1" max="1" width="5.42578125" style="196" customWidth="1"/>
    <col min="2" max="2" width="43.85546875" style="196" customWidth="1"/>
    <col min="3" max="3" width="40.42578125" style="196" customWidth="1"/>
    <col min="4" max="4" width="12.7109375" style="196" customWidth="1"/>
    <col min="5" max="5" width="18.7109375" style="196" customWidth="1"/>
    <col min="6" max="6" width="16.140625" style="196" customWidth="1"/>
    <col min="7" max="7" width="18.140625" style="196" customWidth="1"/>
    <col min="8" max="16384" width="9.140625" style="196"/>
  </cols>
  <sheetData>
    <row r="1" spans="1:7" ht="27" customHeight="1">
      <c r="A1" s="727" t="s">
        <v>234</v>
      </c>
      <c r="B1" s="727"/>
      <c r="C1" s="727"/>
      <c r="D1" s="727"/>
      <c r="E1" s="727"/>
    </row>
    <row r="2" spans="1:7" ht="33.75" customHeight="1">
      <c r="A2" s="450" t="s">
        <v>753</v>
      </c>
      <c r="B2" s="198"/>
      <c r="C2" s="198"/>
      <c r="D2" s="197"/>
      <c r="E2" s="201"/>
    </row>
    <row r="3" spans="1:7" ht="9.75" customHeight="1">
      <c r="A3" s="202"/>
      <c r="B3" s="202"/>
      <c r="C3" s="202"/>
      <c r="D3" s="202"/>
    </row>
    <row r="4" spans="1:7" ht="49.5" customHeight="1">
      <c r="A4" s="357"/>
      <c r="B4" s="203" t="s">
        <v>0</v>
      </c>
      <c r="C4" s="204" t="s">
        <v>12</v>
      </c>
      <c r="D4" s="257" t="s">
        <v>309</v>
      </c>
      <c r="E4" s="208" t="s">
        <v>120</v>
      </c>
      <c r="F4" s="208" t="s">
        <v>493</v>
      </c>
      <c r="G4" s="208" t="s">
        <v>494</v>
      </c>
    </row>
    <row r="5" spans="1:7" ht="17.25" customHeight="1">
      <c r="C5" s="258"/>
      <c r="D5" s="210"/>
      <c r="E5" s="211" t="s">
        <v>5</v>
      </c>
      <c r="F5" s="211" t="s">
        <v>5</v>
      </c>
      <c r="G5" s="211" t="s">
        <v>5</v>
      </c>
    </row>
    <row r="6" spans="1:7" ht="20.100000000000001" customHeight="1">
      <c r="A6" s="209" t="s">
        <v>143</v>
      </c>
      <c r="B6" s="210" t="s">
        <v>433</v>
      </c>
      <c r="C6" s="210"/>
      <c r="D6" s="210"/>
      <c r="E6" s="211"/>
      <c r="F6" s="360"/>
      <c r="G6" s="211"/>
    </row>
    <row r="7" spans="1:7" ht="20.100000000000001" customHeight="1">
      <c r="A7" s="430">
        <v>1</v>
      </c>
      <c r="B7" s="432" t="s">
        <v>224</v>
      </c>
      <c r="C7" s="367" t="s">
        <v>119</v>
      </c>
      <c r="D7" s="367" t="s">
        <v>34</v>
      </c>
      <c r="E7" s="272">
        <v>2000000</v>
      </c>
      <c r="F7" s="272"/>
      <c r="G7" s="272">
        <f>E7</f>
        <v>2000000</v>
      </c>
    </row>
    <row r="8" spans="1:7" ht="20.100000000000001" customHeight="1">
      <c r="A8" s="430">
        <v>2</v>
      </c>
      <c r="B8" s="432" t="s">
        <v>315</v>
      </c>
      <c r="C8" s="367" t="s">
        <v>316</v>
      </c>
      <c r="D8" s="430" t="s">
        <v>496</v>
      </c>
      <c r="E8" s="272">
        <v>350000</v>
      </c>
      <c r="F8" s="276"/>
      <c r="G8" s="272">
        <f t="shared" ref="G8:G16" si="0">E8</f>
        <v>350000</v>
      </c>
    </row>
    <row r="9" spans="1:7" ht="20.100000000000001" customHeight="1">
      <c r="A9" s="430">
        <v>3</v>
      </c>
      <c r="B9" s="365" t="s">
        <v>317</v>
      </c>
      <c r="C9" s="357" t="s">
        <v>418</v>
      </c>
      <c r="D9" s="430" t="s">
        <v>496</v>
      </c>
      <c r="E9" s="272">
        <v>700000</v>
      </c>
      <c r="F9" s="276"/>
      <c r="G9" s="272">
        <f t="shared" si="0"/>
        <v>700000</v>
      </c>
    </row>
    <row r="10" spans="1:7" ht="20.100000000000001" customHeight="1">
      <c r="A10" s="430">
        <v>4</v>
      </c>
      <c r="B10" s="432" t="s">
        <v>187</v>
      </c>
      <c r="C10" s="431" t="s">
        <v>474</v>
      </c>
      <c r="D10" s="430" t="s">
        <v>496</v>
      </c>
      <c r="E10" s="272">
        <v>700000</v>
      </c>
      <c r="F10" s="276"/>
      <c r="G10" s="272">
        <f t="shared" si="0"/>
        <v>700000</v>
      </c>
    </row>
    <row r="11" spans="1:7" ht="20.100000000000001" customHeight="1">
      <c r="A11" s="430">
        <v>5</v>
      </c>
      <c r="B11" s="365" t="s">
        <v>203</v>
      </c>
      <c r="C11" s="357" t="s">
        <v>475</v>
      </c>
      <c r="D11" s="430" t="s">
        <v>496</v>
      </c>
      <c r="E11" s="272">
        <v>700000</v>
      </c>
      <c r="F11" s="276"/>
      <c r="G11" s="272">
        <f t="shared" si="0"/>
        <v>700000</v>
      </c>
    </row>
    <row r="12" spans="1:7" ht="20.100000000000001" customHeight="1">
      <c r="A12" s="430">
        <v>6</v>
      </c>
      <c r="B12" s="364" t="s">
        <v>364</v>
      </c>
      <c r="C12" s="430" t="s">
        <v>343</v>
      </c>
      <c r="D12" s="430" t="s">
        <v>496</v>
      </c>
      <c r="E12" s="272">
        <v>700000</v>
      </c>
      <c r="F12" s="276"/>
      <c r="G12" s="272">
        <f t="shared" si="0"/>
        <v>700000</v>
      </c>
    </row>
    <row r="13" spans="1:7" ht="20.100000000000001" customHeight="1">
      <c r="A13" s="430">
        <v>7</v>
      </c>
      <c r="B13" s="432" t="s">
        <v>111</v>
      </c>
      <c r="C13" s="367" t="s">
        <v>468</v>
      </c>
      <c r="D13" s="434" t="s">
        <v>75</v>
      </c>
      <c r="E13" s="272">
        <v>700000</v>
      </c>
      <c r="F13" s="276"/>
      <c r="G13" s="272">
        <f t="shared" si="0"/>
        <v>700000</v>
      </c>
    </row>
    <row r="14" spans="1:7" ht="20.100000000000001" customHeight="1">
      <c r="A14" s="430">
        <v>8</v>
      </c>
      <c r="B14" s="432" t="s">
        <v>185</v>
      </c>
      <c r="C14" s="357" t="s">
        <v>708</v>
      </c>
      <c r="D14" s="430" t="s">
        <v>30</v>
      </c>
      <c r="E14" s="272">
        <v>700000</v>
      </c>
      <c r="F14" s="276"/>
      <c r="G14" s="272">
        <f t="shared" si="0"/>
        <v>700000</v>
      </c>
    </row>
    <row r="15" spans="1:7" ht="20.100000000000001" customHeight="1">
      <c r="A15" s="430">
        <v>9</v>
      </c>
      <c r="B15" s="432" t="s">
        <v>18</v>
      </c>
      <c r="C15" s="357" t="s">
        <v>389</v>
      </c>
      <c r="D15" s="434" t="s">
        <v>174</v>
      </c>
      <c r="E15" s="272">
        <v>500000</v>
      </c>
      <c r="F15" s="276"/>
      <c r="G15" s="272">
        <f t="shared" si="0"/>
        <v>500000</v>
      </c>
    </row>
    <row r="16" spans="1:7" ht="20.100000000000001" customHeight="1">
      <c r="A16" s="430">
        <v>10</v>
      </c>
      <c r="B16" s="365" t="s">
        <v>534</v>
      </c>
      <c r="C16" s="431" t="s">
        <v>297</v>
      </c>
      <c r="D16" s="434" t="s">
        <v>181</v>
      </c>
      <c r="E16" s="272">
        <v>500000</v>
      </c>
      <c r="F16" s="276"/>
      <c r="G16" s="272">
        <f t="shared" si="0"/>
        <v>500000</v>
      </c>
    </row>
    <row r="17" spans="1:7" ht="20.100000000000001" customHeight="1">
      <c r="A17" s="430">
        <v>11</v>
      </c>
      <c r="B17" s="432" t="s">
        <v>724</v>
      </c>
      <c r="C17" s="357" t="s">
        <v>725</v>
      </c>
      <c r="D17" s="430" t="s">
        <v>175</v>
      </c>
      <c r="E17" s="272">
        <v>500000</v>
      </c>
      <c r="F17" s="276">
        <f>E17</f>
        <v>500000</v>
      </c>
      <c r="G17" s="276"/>
    </row>
    <row r="18" spans="1:7" ht="20.100000000000001" customHeight="1">
      <c r="A18" s="430">
        <v>12</v>
      </c>
      <c r="B18" s="432" t="s">
        <v>334</v>
      </c>
      <c r="C18" s="367" t="s">
        <v>351</v>
      </c>
      <c r="D18" s="434" t="s">
        <v>170</v>
      </c>
      <c r="E18" s="272">
        <v>500000</v>
      </c>
      <c r="F18" s="276">
        <f t="shared" ref="F18:F30" si="1">E18</f>
        <v>500000</v>
      </c>
      <c r="G18" s="276"/>
    </row>
    <row r="19" spans="1:7" ht="20.100000000000001" customHeight="1">
      <c r="A19" s="430">
        <v>13</v>
      </c>
      <c r="B19" s="364" t="s">
        <v>291</v>
      </c>
      <c r="C19" s="357" t="s">
        <v>346</v>
      </c>
      <c r="D19" s="434" t="s">
        <v>500</v>
      </c>
      <c r="E19" s="272">
        <v>500000</v>
      </c>
      <c r="F19" s="276">
        <f t="shared" si="1"/>
        <v>500000</v>
      </c>
      <c r="G19" s="276"/>
    </row>
    <row r="20" spans="1:7" ht="18.75" customHeight="1">
      <c r="A20" s="430">
        <v>14</v>
      </c>
      <c r="B20" s="432" t="s">
        <v>253</v>
      </c>
      <c r="C20" s="367" t="s">
        <v>478</v>
      </c>
      <c r="D20" s="434" t="s">
        <v>497</v>
      </c>
      <c r="E20" s="272">
        <v>400000</v>
      </c>
      <c r="F20" s="276">
        <f t="shared" si="1"/>
        <v>400000</v>
      </c>
      <c r="G20" s="276"/>
    </row>
    <row r="21" spans="1:7" ht="20.100000000000001" customHeight="1">
      <c r="A21" s="430">
        <v>15</v>
      </c>
      <c r="B21" s="365" t="s">
        <v>321</v>
      </c>
      <c r="C21" s="431" t="s">
        <v>115</v>
      </c>
      <c r="D21" s="430" t="s">
        <v>369</v>
      </c>
      <c r="E21" s="272">
        <v>400000</v>
      </c>
      <c r="F21" s="276">
        <f t="shared" si="1"/>
        <v>400000</v>
      </c>
      <c r="G21" s="276"/>
    </row>
    <row r="22" spans="1:7" ht="20.100000000000001" customHeight="1">
      <c r="A22" s="430">
        <v>16</v>
      </c>
      <c r="B22" s="365" t="s">
        <v>741</v>
      </c>
      <c r="C22" s="431" t="s">
        <v>742</v>
      </c>
      <c r="D22" s="430" t="s">
        <v>104</v>
      </c>
      <c r="E22" s="272">
        <v>300000</v>
      </c>
      <c r="F22" s="276">
        <f t="shared" si="1"/>
        <v>300000</v>
      </c>
      <c r="G22" s="276"/>
    </row>
    <row r="23" spans="1:7" ht="18.75" customHeight="1">
      <c r="A23" s="430">
        <v>17</v>
      </c>
      <c r="B23" s="357" t="s">
        <v>434</v>
      </c>
      <c r="C23" s="357" t="s">
        <v>17</v>
      </c>
      <c r="D23" s="430" t="s">
        <v>746</v>
      </c>
      <c r="E23" s="272">
        <v>300000</v>
      </c>
      <c r="F23" s="276">
        <f t="shared" si="1"/>
        <v>300000</v>
      </c>
      <c r="G23" s="276"/>
    </row>
    <row r="24" spans="1:7" ht="18.75" customHeight="1">
      <c r="A24" s="430">
        <v>18</v>
      </c>
      <c r="B24" s="364" t="s">
        <v>254</v>
      </c>
      <c r="C24" s="367" t="s">
        <v>17</v>
      </c>
      <c r="D24" s="434" t="s">
        <v>746</v>
      </c>
      <c r="E24" s="272">
        <v>300000</v>
      </c>
      <c r="F24" s="276">
        <f t="shared" si="1"/>
        <v>300000</v>
      </c>
      <c r="G24" s="276"/>
    </row>
    <row r="25" spans="1:7" ht="18.75" customHeight="1">
      <c r="A25" s="430">
        <v>19</v>
      </c>
      <c r="B25" s="364" t="s">
        <v>288</v>
      </c>
      <c r="C25" s="367" t="s">
        <v>706</v>
      </c>
      <c r="D25" s="434" t="s">
        <v>498</v>
      </c>
      <c r="E25" s="272">
        <v>300000</v>
      </c>
      <c r="F25" s="276">
        <f t="shared" si="1"/>
        <v>300000</v>
      </c>
      <c r="G25" s="276"/>
    </row>
    <row r="26" spans="1:7" ht="18.75" customHeight="1">
      <c r="A26" s="430">
        <v>20</v>
      </c>
      <c r="B26" s="364" t="s">
        <v>328</v>
      </c>
      <c r="C26" s="357" t="s">
        <v>737</v>
      </c>
      <c r="D26" s="430" t="s">
        <v>428</v>
      </c>
      <c r="E26" s="272">
        <v>300000</v>
      </c>
      <c r="F26" s="276">
        <f t="shared" si="1"/>
        <v>300000</v>
      </c>
      <c r="G26" s="276"/>
    </row>
    <row r="27" spans="1:7" ht="18.75" customHeight="1">
      <c r="A27" s="430">
        <v>21</v>
      </c>
      <c r="B27" s="364" t="s">
        <v>360</v>
      </c>
      <c r="C27" s="431" t="s">
        <v>372</v>
      </c>
      <c r="D27" s="434" t="s">
        <v>498</v>
      </c>
      <c r="E27" s="272">
        <v>300000</v>
      </c>
      <c r="F27" s="276">
        <f t="shared" si="1"/>
        <v>300000</v>
      </c>
      <c r="G27" s="276"/>
    </row>
    <row r="28" spans="1:7" ht="18.75" customHeight="1">
      <c r="A28" s="430">
        <v>22</v>
      </c>
      <c r="B28" s="364" t="s">
        <v>330</v>
      </c>
      <c r="C28" s="357" t="s">
        <v>533</v>
      </c>
      <c r="D28" s="430" t="s">
        <v>51</v>
      </c>
      <c r="E28" s="272">
        <v>300000</v>
      </c>
      <c r="F28" s="276">
        <f t="shared" si="1"/>
        <v>300000</v>
      </c>
      <c r="G28" s="276"/>
    </row>
    <row r="29" spans="1:7" ht="18.75" customHeight="1">
      <c r="A29" s="430">
        <v>23</v>
      </c>
      <c r="B29" s="364" t="s">
        <v>274</v>
      </c>
      <c r="C29" s="367" t="s">
        <v>314</v>
      </c>
      <c r="D29" s="430" t="s">
        <v>51</v>
      </c>
      <c r="E29" s="272">
        <v>300000</v>
      </c>
      <c r="F29" s="276">
        <f t="shared" si="1"/>
        <v>300000</v>
      </c>
      <c r="G29" s="276"/>
    </row>
    <row r="30" spans="1:7" ht="18.75" customHeight="1">
      <c r="A30" s="430">
        <v>24</v>
      </c>
      <c r="B30" s="364" t="s">
        <v>555</v>
      </c>
      <c r="C30" s="367" t="s">
        <v>314</v>
      </c>
      <c r="D30" s="434" t="s">
        <v>176</v>
      </c>
      <c r="E30" s="272">
        <v>300000</v>
      </c>
      <c r="F30" s="276">
        <f t="shared" si="1"/>
        <v>300000</v>
      </c>
      <c r="G30" s="276"/>
    </row>
    <row r="31" spans="1:7" ht="26.25" customHeight="1">
      <c r="A31" s="430"/>
      <c r="B31" s="366" t="s">
        <v>15</v>
      </c>
      <c r="C31" s="360">
        <v>24</v>
      </c>
      <c r="D31" s="434"/>
      <c r="E31" s="273">
        <f>SUM(E7:E30)</f>
        <v>12550000</v>
      </c>
      <c r="F31" s="273">
        <f>SUM(F7:F30)</f>
        <v>5000000</v>
      </c>
      <c r="G31" s="273">
        <f>SUM(G7:G30)</f>
        <v>7550000</v>
      </c>
    </row>
    <row r="32" spans="1:7" ht="18.75" customHeight="1">
      <c r="A32" s="430"/>
      <c r="B32" s="362"/>
      <c r="C32" s="357"/>
      <c r="D32" s="434"/>
      <c r="E32" s="272"/>
      <c r="F32" s="273"/>
      <c r="G32" s="273"/>
    </row>
    <row r="33" spans="1:7" ht="18.75" customHeight="1">
      <c r="A33" s="430"/>
      <c r="B33" s="366" t="s">
        <v>284</v>
      </c>
      <c r="C33" s="357"/>
      <c r="D33" s="434"/>
      <c r="E33" s="272"/>
      <c r="F33" s="276"/>
      <c r="G33" s="276"/>
    </row>
    <row r="34" spans="1:7" ht="18.75" customHeight="1">
      <c r="A34" s="430">
        <v>1</v>
      </c>
      <c r="B34" s="364" t="s">
        <v>361</v>
      </c>
      <c r="C34" s="357" t="s">
        <v>362</v>
      </c>
      <c r="D34" s="430" t="s">
        <v>161</v>
      </c>
      <c r="E34" s="272">
        <v>1000000</v>
      </c>
      <c r="F34" s="276"/>
      <c r="G34" s="276">
        <f>E34</f>
        <v>1000000</v>
      </c>
    </row>
    <row r="35" spans="1:7" ht="18.75" customHeight="1">
      <c r="A35" s="430">
        <v>2</v>
      </c>
      <c r="B35" s="364" t="s">
        <v>419</v>
      </c>
      <c r="C35" s="357" t="s">
        <v>427</v>
      </c>
      <c r="D35" s="430" t="s">
        <v>176</v>
      </c>
      <c r="E35" s="272">
        <v>300000</v>
      </c>
      <c r="F35" s="276">
        <f>E35</f>
        <v>300000</v>
      </c>
      <c r="G35" s="276"/>
    </row>
    <row r="36" spans="1:7" ht="18.75" customHeight="1">
      <c r="A36" s="430">
        <v>3</v>
      </c>
      <c r="B36" s="432" t="s">
        <v>720</v>
      </c>
      <c r="C36" s="367" t="s">
        <v>721</v>
      </c>
      <c r="D36" s="434" t="s">
        <v>207</v>
      </c>
      <c r="E36" s="272">
        <v>300000</v>
      </c>
      <c r="F36" s="276">
        <f>E36</f>
        <v>300000</v>
      </c>
      <c r="G36" s="276"/>
    </row>
    <row r="37" spans="1:7" ht="19.5" customHeight="1">
      <c r="A37" s="430"/>
      <c r="B37" s="365"/>
      <c r="C37" s="360">
        <v>3</v>
      </c>
      <c r="D37" s="430"/>
      <c r="E37" s="273">
        <f>SUM(E34:E36)</f>
        <v>1600000</v>
      </c>
      <c r="F37" s="273">
        <f t="shared" ref="F37:G37" si="2">SUM(F34:F36)</f>
        <v>600000</v>
      </c>
      <c r="G37" s="273">
        <f t="shared" si="2"/>
        <v>1000000</v>
      </c>
    </row>
    <row r="38" spans="1:7" ht="20.100000000000001" customHeight="1">
      <c r="A38" s="430"/>
      <c r="B38" s="365"/>
      <c r="C38" s="357"/>
      <c r="D38" s="430"/>
      <c r="E38" s="272"/>
      <c r="F38" s="273"/>
      <c r="G38" s="273"/>
    </row>
    <row r="39" spans="1:7" ht="20.100000000000001" customHeight="1">
      <c r="A39" s="430"/>
      <c r="B39" s="218" t="s">
        <v>56</v>
      </c>
      <c r="C39" s="203"/>
      <c r="D39" s="207"/>
      <c r="E39" s="272"/>
      <c r="F39" s="273"/>
      <c r="G39" s="273"/>
    </row>
    <row r="40" spans="1:7" ht="20.100000000000001" customHeight="1">
      <c r="A40" s="430">
        <v>1</v>
      </c>
      <c r="B40" s="432" t="s">
        <v>255</v>
      </c>
      <c r="C40" s="357" t="s">
        <v>256</v>
      </c>
      <c r="D40" s="430" t="s">
        <v>161</v>
      </c>
      <c r="E40" s="272">
        <v>1000000</v>
      </c>
      <c r="F40" s="276"/>
      <c r="G40" s="276">
        <f>E40</f>
        <v>1000000</v>
      </c>
    </row>
    <row r="41" spans="1:7" ht="20.100000000000001" customHeight="1">
      <c r="A41" s="430">
        <v>2</v>
      </c>
      <c r="B41" s="432" t="s">
        <v>158</v>
      </c>
      <c r="C41" s="357" t="s">
        <v>199</v>
      </c>
      <c r="D41" s="430" t="s">
        <v>75</v>
      </c>
      <c r="E41" s="272">
        <v>700000</v>
      </c>
      <c r="F41" s="276"/>
      <c r="G41" s="276">
        <f t="shared" ref="G41:G47" si="3">E41</f>
        <v>700000</v>
      </c>
    </row>
    <row r="42" spans="1:7" ht="20.100000000000001" customHeight="1">
      <c r="A42" s="430">
        <v>3</v>
      </c>
      <c r="B42" s="432" t="s">
        <v>165</v>
      </c>
      <c r="C42" s="357" t="s">
        <v>738</v>
      </c>
      <c r="D42" s="430" t="s">
        <v>221</v>
      </c>
      <c r="E42" s="272">
        <v>700000</v>
      </c>
      <c r="F42" s="276"/>
      <c r="G42" s="276">
        <f t="shared" si="3"/>
        <v>700000</v>
      </c>
    </row>
    <row r="43" spans="1:7" ht="20.100000000000001" customHeight="1">
      <c r="A43" s="430">
        <v>4</v>
      </c>
      <c r="B43" s="432" t="s">
        <v>159</v>
      </c>
      <c r="C43" s="357" t="s">
        <v>258</v>
      </c>
      <c r="D43" s="430" t="s">
        <v>75</v>
      </c>
      <c r="E43" s="272">
        <v>700000</v>
      </c>
      <c r="F43" s="276"/>
      <c r="G43" s="276">
        <f t="shared" si="3"/>
        <v>700000</v>
      </c>
    </row>
    <row r="44" spans="1:7" ht="20.100000000000001" customHeight="1">
      <c r="A44" s="430">
        <v>5</v>
      </c>
      <c r="B44" s="432" t="s">
        <v>118</v>
      </c>
      <c r="C44" s="357" t="s">
        <v>258</v>
      </c>
      <c r="D44" s="430" t="s">
        <v>75</v>
      </c>
      <c r="E44" s="272">
        <v>700000</v>
      </c>
      <c r="F44" s="276"/>
      <c r="G44" s="276">
        <f t="shared" si="3"/>
        <v>700000</v>
      </c>
    </row>
    <row r="45" spans="1:7" ht="20.100000000000001" customHeight="1">
      <c r="A45" s="430">
        <v>6</v>
      </c>
      <c r="B45" s="432" t="s">
        <v>205</v>
      </c>
      <c r="C45" s="357" t="s">
        <v>258</v>
      </c>
      <c r="D45" s="430" t="s">
        <v>30</v>
      </c>
      <c r="E45" s="272">
        <v>700000</v>
      </c>
      <c r="F45" s="276"/>
      <c r="G45" s="276">
        <f t="shared" si="3"/>
        <v>700000</v>
      </c>
    </row>
    <row r="46" spans="1:7" ht="20.100000000000001" customHeight="1">
      <c r="A46" s="430">
        <v>7</v>
      </c>
      <c r="B46" s="365" t="s">
        <v>173</v>
      </c>
      <c r="C46" s="357" t="s">
        <v>297</v>
      </c>
      <c r="D46" s="25" t="s">
        <v>181</v>
      </c>
      <c r="E46" s="272">
        <v>500000</v>
      </c>
      <c r="F46" s="276"/>
      <c r="G46" s="276">
        <f t="shared" si="3"/>
        <v>500000</v>
      </c>
    </row>
    <row r="47" spans="1:7" ht="20.100000000000001" customHeight="1">
      <c r="A47" s="430">
        <v>8</v>
      </c>
      <c r="B47" s="432" t="s">
        <v>184</v>
      </c>
      <c r="C47" s="357" t="s">
        <v>78</v>
      </c>
      <c r="D47" s="430" t="s">
        <v>222</v>
      </c>
      <c r="E47" s="272">
        <v>500000</v>
      </c>
      <c r="F47" s="276"/>
      <c r="G47" s="276">
        <f t="shared" si="3"/>
        <v>500000</v>
      </c>
    </row>
    <row r="48" spans="1:7" ht="20.100000000000001" customHeight="1">
      <c r="A48" s="430">
        <v>9</v>
      </c>
      <c r="B48" s="432" t="s">
        <v>551</v>
      </c>
      <c r="C48" s="357" t="s">
        <v>84</v>
      </c>
      <c r="D48" s="430" t="s">
        <v>207</v>
      </c>
      <c r="E48" s="272">
        <v>300000</v>
      </c>
      <c r="F48" s="276">
        <f>E48</f>
        <v>300000</v>
      </c>
      <c r="G48" s="276"/>
    </row>
    <row r="49" spans="1:7" ht="20.100000000000001" customHeight="1">
      <c r="A49" s="430">
        <v>10</v>
      </c>
      <c r="B49" s="432" t="s">
        <v>420</v>
      </c>
      <c r="C49" s="357" t="s">
        <v>84</v>
      </c>
      <c r="D49" s="430" t="s">
        <v>498</v>
      </c>
      <c r="E49" s="272">
        <v>300000</v>
      </c>
      <c r="F49" s="276">
        <f t="shared" ref="F49:F51" si="4">E49</f>
        <v>300000</v>
      </c>
      <c r="G49" s="276"/>
    </row>
    <row r="50" spans="1:7" ht="20.100000000000001" customHeight="1">
      <c r="A50" s="430">
        <v>11</v>
      </c>
      <c r="B50" s="432" t="s">
        <v>435</v>
      </c>
      <c r="C50" s="357" t="s">
        <v>84</v>
      </c>
      <c r="D50" s="430" t="s">
        <v>498</v>
      </c>
      <c r="E50" s="272">
        <v>300000</v>
      </c>
      <c r="F50" s="276">
        <f t="shared" si="4"/>
        <v>300000</v>
      </c>
      <c r="G50" s="276"/>
    </row>
    <row r="51" spans="1:7" ht="20.100000000000001" customHeight="1">
      <c r="A51" s="430">
        <v>12</v>
      </c>
      <c r="B51" s="432" t="s">
        <v>452</v>
      </c>
      <c r="C51" s="357" t="s">
        <v>84</v>
      </c>
      <c r="D51" s="430" t="s">
        <v>498</v>
      </c>
      <c r="E51" s="272">
        <v>300000</v>
      </c>
      <c r="F51" s="276">
        <f t="shared" si="4"/>
        <v>300000</v>
      </c>
      <c r="G51" s="276"/>
    </row>
    <row r="52" spans="1:7" ht="25.5" customHeight="1">
      <c r="A52" s="430"/>
      <c r="B52" s="366" t="s">
        <v>15</v>
      </c>
      <c r="C52" s="360">
        <v>12</v>
      </c>
      <c r="D52" s="360"/>
      <c r="E52" s="273">
        <f>SUM(E40:E51)</f>
        <v>6700000</v>
      </c>
      <c r="F52" s="274">
        <f t="shared" ref="F52:G52" si="5">SUM(F40:F51)</f>
        <v>1200000</v>
      </c>
      <c r="G52" s="274">
        <f t="shared" si="5"/>
        <v>5500000</v>
      </c>
    </row>
    <row r="53" spans="1:7" ht="20.100000000000001" customHeight="1">
      <c r="A53" s="430"/>
      <c r="B53" s="362"/>
      <c r="C53" s="360"/>
      <c r="D53" s="360"/>
      <c r="E53" s="272"/>
      <c r="F53" s="275"/>
      <c r="G53" s="275"/>
    </row>
    <row r="54" spans="1:7" ht="20.100000000000001" customHeight="1">
      <c r="A54" s="430"/>
      <c r="B54" s="366" t="s">
        <v>195</v>
      </c>
      <c r="C54" s="360"/>
      <c r="D54" s="360"/>
      <c r="E54" s="272"/>
      <c r="F54" s="275"/>
      <c r="G54" s="275"/>
    </row>
    <row r="55" spans="1:7" ht="20.100000000000001" customHeight="1">
      <c r="A55" s="430">
        <v>1</v>
      </c>
      <c r="B55" s="432" t="s">
        <v>11</v>
      </c>
      <c r="C55" s="367" t="s">
        <v>200</v>
      </c>
      <c r="D55" s="434" t="s">
        <v>161</v>
      </c>
      <c r="E55" s="272">
        <v>500000</v>
      </c>
      <c r="F55" s="276"/>
      <c r="G55" s="276">
        <f>E55</f>
        <v>500000</v>
      </c>
    </row>
    <row r="56" spans="1:7" ht="20.100000000000001" customHeight="1">
      <c r="A56" s="430">
        <v>2</v>
      </c>
      <c r="B56" s="432" t="s">
        <v>276</v>
      </c>
      <c r="C56" s="367" t="s">
        <v>340</v>
      </c>
      <c r="D56" s="434" t="s">
        <v>747</v>
      </c>
      <c r="E56" s="272">
        <v>700000</v>
      </c>
      <c r="F56" s="276"/>
      <c r="G56" s="276">
        <f>E56</f>
        <v>700000</v>
      </c>
    </row>
    <row r="57" spans="1:7" ht="20.100000000000001" customHeight="1">
      <c r="A57" s="430"/>
      <c r="B57" s="366" t="s">
        <v>15</v>
      </c>
      <c r="C57" s="360">
        <v>2</v>
      </c>
      <c r="D57" s="360"/>
      <c r="E57" s="272">
        <f>SUM(E55:E56)</f>
        <v>1200000</v>
      </c>
      <c r="F57" s="274"/>
      <c r="G57" s="274">
        <f>SUM(G55:G56)</f>
        <v>1200000</v>
      </c>
    </row>
    <row r="58" spans="1:7" ht="20.100000000000001" customHeight="1">
      <c r="A58" s="430"/>
      <c r="B58" s="366"/>
      <c r="C58" s="360"/>
      <c r="D58" s="360"/>
      <c r="E58" s="272"/>
      <c r="F58" s="275"/>
      <c r="G58" s="275"/>
    </row>
    <row r="59" spans="1:7" ht="20.100000000000001" customHeight="1">
      <c r="A59" s="430"/>
      <c r="B59" s="366" t="s">
        <v>461</v>
      </c>
      <c r="C59" s="360"/>
      <c r="D59" s="360"/>
      <c r="E59" s="272"/>
      <c r="F59" s="275"/>
      <c r="G59" s="275"/>
    </row>
    <row r="60" spans="1:7" ht="20.100000000000001" customHeight="1">
      <c r="A60" s="430">
        <v>1</v>
      </c>
      <c r="B60" s="432" t="s">
        <v>277</v>
      </c>
      <c r="C60" s="431" t="s">
        <v>278</v>
      </c>
      <c r="D60" s="430" t="s">
        <v>161</v>
      </c>
      <c r="E60" s="272">
        <v>500000</v>
      </c>
      <c r="F60" s="276"/>
      <c r="G60" s="276">
        <f>E60</f>
        <v>500000</v>
      </c>
    </row>
    <row r="61" spans="1:7" ht="20.100000000000001" customHeight="1">
      <c r="A61" s="430">
        <v>2</v>
      </c>
      <c r="B61" s="330" t="s">
        <v>332</v>
      </c>
      <c r="C61" s="431" t="s">
        <v>188</v>
      </c>
      <c r="D61" s="434" t="s">
        <v>148</v>
      </c>
      <c r="E61" s="272">
        <v>350000</v>
      </c>
      <c r="F61" s="276"/>
      <c r="G61" s="276">
        <f t="shared" ref="G61:G62" si="6">E61</f>
        <v>350000</v>
      </c>
    </row>
    <row r="62" spans="1:7" ht="20.100000000000001" customHeight="1">
      <c r="A62" s="430">
        <v>3</v>
      </c>
      <c r="B62" s="432" t="s">
        <v>189</v>
      </c>
      <c r="C62" s="357" t="s">
        <v>297</v>
      </c>
      <c r="D62" s="430" t="s">
        <v>222</v>
      </c>
      <c r="E62" s="272">
        <v>500000</v>
      </c>
      <c r="F62" s="276"/>
      <c r="G62" s="276">
        <f t="shared" si="6"/>
        <v>500000</v>
      </c>
    </row>
    <row r="63" spans="1:7" ht="20.100000000000001" customHeight="1">
      <c r="A63" s="430">
        <v>4</v>
      </c>
      <c r="B63" s="364" t="s">
        <v>448</v>
      </c>
      <c r="C63" s="431" t="s">
        <v>257</v>
      </c>
      <c r="D63" s="434" t="s">
        <v>170</v>
      </c>
      <c r="E63" s="272">
        <v>500000</v>
      </c>
      <c r="F63" s="276">
        <f>E63</f>
        <v>500000</v>
      </c>
      <c r="G63" s="276"/>
    </row>
    <row r="64" spans="1:7" ht="20.100000000000001" customHeight="1">
      <c r="A64" s="430">
        <v>5</v>
      </c>
      <c r="B64" s="365" t="s">
        <v>229</v>
      </c>
      <c r="C64" s="431" t="s">
        <v>297</v>
      </c>
      <c r="D64" s="434" t="s">
        <v>174</v>
      </c>
      <c r="E64" s="272">
        <v>500000</v>
      </c>
      <c r="F64" s="276"/>
      <c r="G64" s="276">
        <f>E64</f>
        <v>500000</v>
      </c>
    </row>
    <row r="65" spans="1:7" ht="20.100000000000001" customHeight="1">
      <c r="A65" s="430">
        <v>7</v>
      </c>
      <c r="B65" s="432" t="s">
        <v>117</v>
      </c>
      <c r="C65" s="357" t="s">
        <v>84</v>
      </c>
      <c r="D65" s="430" t="s">
        <v>415</v>
      </c>
      <c r="E65" s="272">
        <v>400000</v>
      </c>
      <c r="F65" s="276">
        <f>E65</f>
        <v>400000</v>
      </c>
      <c r="G65" s="276"/>
    </row>
    <row r="66" spans="1:7" ht="20.100000000000001" customHeight="1">
      <c r="A66" s="430">
        <v>8</v>
      </c>
      <c r="B66" s="432" t="s">
        <v>424</v>
      </c>
      <c r="C66" s="431" t="s">
        <v>422</v>
      </c>
      <c r="D66" s="430" t="s">
        <v>415</v>
      </c>
      <c r="E66" s="272">
        <v>400000</v>
      </c>
      <c r="F66" s="276">
        <f t="shared" ref="F66:F70" si="7">E66</f>
        <v>400000</v>
      </c>
      <c r="G66" s="276"/>
    </row>
    <row r="67" spans="1:7" ht="20.100000000000001" customHeight="1">
      <c r="A67" s="430">
        <v>9</v>
      </c>
      <c r="B67" s="432" t="s">
        <v>423</v>
      </c>
      <c r="C67" s="431" t="s">
        <v>422</v>
      </c>
      <c r="D67" s="430" t="s">
        <v>415</v>
      </c>
      <c r="E67" s="272">
        <v>400000</v>
      </c>
      <c r="F67" s="276">
        <f t="shared" si="7"/>
        <v>400000</v>
      </c>
      <c r="G67" s="276"/>
    </row>
    <row r="68" spans="1:7" ht="20.100000000000001" customHeight="1">
      <c r="A68" s="430">
        <v>10</v>
      </c>
      <c r="B68" s="432" t="s">
        <v>242</v>
      </c>
      <c r="C68" s="357" t="s">
        <v>484</v>
      </c>
      <c r="D68" s="430" t="s">
        <v>497</v>
      </c>
      <c r="E68" s="272">
        <v>400000</v>
      </c>
      <c r="F68" s="276">
        <f t="shared" si="7"/>
        <v>400000</v>
      </c>
      <c r="G68" s="276"/>
    </row>
    <row r="69" spans="1:7" ht="21.6" customHeight="1">
      <c r="A69" s="430">
        <v>11</v>
      </c>
      <c r="B69" s="432" t="s">
        <v>726</v>
      </c>
      <c r="C69" s="357" t="s">
        <v>84</v>
      </c>
      <c r="D69" s="430" t="s">
        <v>207</v>
      </c>
      <c r="E69" s="272">
        <v>300000</v>
      </c>
      <c r="F69" s="276">
        <f t="shared" si="7"/>
        <v>300000</v>
      </c>
      <c r="G69" s="276"/>
    </row>
    <row r="70" spans="1:7" ht="20.100000000000001" customHeight="1">
      <c r="A70" s="430">
        <v>12</v>
      </c>
      <c r="B70" s="432" t="s">
        <v>320</v>
      </c>
      <c r="C70" s="431" t="s">
        <v>115</v>
      </c>
      <c r="D70" s="430" t="s">
        <v>746</v>
      </c>
      <c r="E70" s="272">
        <v>300000</v>
      </c>
      <c r="F70" s="276">
        <f t="shared" si="7"/>
        <v>300000</v>
      </c>
      <c r="G70" s="276"/>
    </row>
    <row r="71" spans="1:7" ht="27" customHeight="1">
      <c r="A71" s="430"/>
      <c r="B71" s="366" t="s">
        <v>15</v>
      </c>
      <c r="C71" s="360">
        <v>12</v>
      </c>
      <c r="D71" s="360"/>
      <c r="E71" s="273">
        <f>SUM(E60:E70)</f>
        <v>4550000</v>
      </c>
      <c r="F71" s="274">
        <f t="shared" ref="F71:G71" si="8">SUM(F60:F70)</f>
        <v>2700000</v>
      </c>
      <c r="G71" s="274">
        <f t="shared" si="8"/>
        <v>1850000</v>
      </c>
    </row>
    <row r="72" spans="1:7" ht="20.100000000000001" customHeight="1">
      <c r="A72" s="430"/>
      <c r="B72" s="362"/>
      <c r="C72" s="360"/>
      <c r="D72" s="360"/>
      <c r="E72" s="272"/>
      <c r="F72" s="275"/>
      <c r="G72" s="275"/>
    </row>
    <row r="73" spans="1:7" ht="20.100000000000001" customHeight="1">
      <c r="A73" s="430"/>
      <c r="B73" s="366" t="s">
        <v>462</v>
      </c>
      <c r="C73" s="360"/>
      <c r="D73" s="360"/>
      <c r="E73" s="272"/>
      <c r="F73" s="275"/>
      <c r="G73" s="275"/>
    </row>
    <row r="74" spans="1:7" ht="20.100000000000001" customHeight="1">
      <c r="A74" s="430">
        <v>1</v>
      </c>
      <c r="B74" s="432" t="s">
        <v>19</v>
      </c>
      <c r="C74" s="357" t="s">
        <v>201</v>
      </c>
      <c r="D74" s="430" t="s">
        <v>161</v>
      </c>
      <c r="E74" s="272">
        <v>1000000</v>
      </c>
      <c r="F74" s="276"/>
      <c r="G74" s="276">
        <f>E74</f>
        <v>1000000</v>
      </c>
    </row>
    <row r="75" spans="1:7" ht="20.100000000000001" customHeight="1">
      <c r="A75" s="430">
        <v>2</v>
      </c>
      <c r="B75" s="365" t="s">
        <v>325</v>
      </c>
      <c r="C75" s="357" t="s">
        <v>245</v>
      </c>
      <c r="D75" s="434" t="s">
        <v>412</v>
      </c>
      <c r="E75" s="272">
        <v>700000</v>
      </c>
      <c r="F75" s="276"/>
      <c r="G75" s="276">
        <f t="shared" ref="G75:G77" si="9">E75</f>
        <v>700000</v>
      </c>
    </row>
    <row r="76" spans="1:7" ht="20.100000000000001" customHeight="1">
      <c r="A76" s="430">
        <v>3</v>
      </c>
      <c r="B76" s="364" t="s">
        <v>333</v>
      </c>
      <c r="C76" s="367" t="s">
        <v>387</v>
      </c>
      <c r="D76" s="430" t="s">
        <v>747</v>
      </c>
      <c r="E76" s="272">
        <v>700000</v>
      </c>
      <c r="F76" s="276"/>
      <c r="G76" s="276">
        <f t="shared" si="9"/>
        <v>700000</v>
      </c>
    </row>
    <row r="77" spans="1:7" ht="20.100000000000001" customHeight="1">
      <c r="A77" s="430">
        <v>4</v>
      </c>
      <c r="B77" s="432" t="s">
        <v>26</v>
      </c>
      <c r="C77" s="357" t="s">
        <v>707</v>
      </c>
      <c r="D77" s="434" t="s">
        <v>162</v>
      </c>
      <c r="E77" s="272">
        <v>500000</v>
      </c>
      <c r="F77" s="276"/>
      <c r="G77" s="276">
        <f t="shared" si="9"/>
        <v>500000</v>
      </c>
    </row>
    <row r="78" spans="1:7" ht="20.100000000000001" customHeight="1">
      <c r="A78" s="430">
        <v>5</v>
      </c>
      <c r="B78" s="432" t="s">
        <v>324</v>
      </c>
      <c r="C78" s="357" t="s">
        <v>243</v>
      </c>
      <c r="D78" s="430" t="s">
        <v>164</v>
      </c>
      <c r="E78" s="272">
        <v>300000</v>
      </c>
      <c r="F78" s="276">
        <f>E78</f>
        <v>300000</v>
      </c>
      <c r="G78" s="276"/>
    </row>
    <row r="79" spans="1:7" ht="20.100000000000001" customHeight="1">
      <c r="A79" s="430">
        <v>6</v>
      </c>
      <c r="B79" s="432" t="s">
        <v>554</v>
      </c>
      <c r="C79" s="357" t="s">
        <v>243</v>
      </c>
      <c r="D79" s="430" t="s">
        <v>498</v>
      </c>
      <c r="E79" s="272">
        <v>300000</v>
      </c>
      <c r="F79" s="276">
        <f t="shared" ref="F79:F80" si="10">E79</f>
        <v>300000</v>
      </c>
      <c r="G79" s="276"/>
    </row>
    <row r="80" spans="1:7" ht="20.100000000000001" customHeight="1">
      <c r="A80" s="430">
        <v>7</v>
      </c>
      <c r="B80" s="432" t="s">
        <v>552</v>
      </c>
      <c r="C80" s="357" t="s">
        <v>553</v>
      </c>
      <c r="D80" s="430" t="s">
        <v>176</v>
      </c>
      <c r="E80" s="272">
        <v>300000</v>
      </c>
      <c r="F80" s="276">
        <f t="shared" si="10"/>
        <v>300000</v>
      </c>
      <c r="G80" s="276"/>
    </row>
    <row r="81" spans="1:7" ht="20.100000000000001" customHeight="1">
      <c r="A81" s="430"/>
      <c r="B81" s="366" t="s">
        <v>15</v>
      </c>
      <c r="C81" s="360">
        <v>7</v>
      </c>
      <c r="D81" s="360"/>
      <c r="E81" s="273">
        <f>SUM(E74:E80)</f>
        <v>3800000</v>
      </c>
      <c r="F81" s="274">
        <f t="shared" ref="F81:G81" si="11">SUM(F74:F80)</f>
        <v>900000</v>
      </c>
      <c r="G81" s="274">
        <f t="shared" si="11"/>
        <v>2900000</v>
      </c>
    </row>
    <row r="82" spans="1:7" ht="20.100000000000001" customHeight="1">
      <c r="A82" s="430"/>
      <c r="B82" s="366"/>
      <c r="C82" s="360"/>
      <c r="D82" s="360"/>
      <c r="E82" s="272"/>
      <c r="F82" s="275"/>
      <c r="G82" s="275"/>
    </row>
    <row r="83" spans="1:7" ht="20.100000000000001" customHeight="1">
      <c r="A83" s="430"/>
      <c r="B83" s="366" t="s">
        <v>463</v>
      </c>
      <c r="C83" s="219"/>
      <c r="D83" s="360"/>
      <c r="E83" s="272"/>
      <c r="F83" s="275"/>
      <c r="G83" s="275"/>
    </row>
    <row r="84" spans="1:7" ht="20.100000000000001" customHeight="1">
      <c r="A84" s="430">
        <v>1</v>
      </c>
      <c r="B84" s="432" t="s">
        <v>169</v>
      </c>
      <c r="C84" s="357" t="s">
        <v>258</v>
      </c>
      <c r="D84" s="430" t="s">
        <v>75</v>
      </c>
      <c r="E84" s="272">
        <f>700000</f>
        <v>700000</v>
      </c>
      <c r="F84" s="276"/>
      <c r="G84" s="276">
        <f>E84</f>
        <v>700000</v>
      </c>
    </row>
    <row r="85" spans="1:7" ht="20.100000000000001" customHeight="1">
      <c r="A85" s="430">
        <v>2</v>
      </c>
      <c r="B85" s="432" t="s">
        <v>192</v>
      </c>
      <c r="C85" s="357" t="s">
        <v>258</v>
      </c>
      <c r="D85" s="430" t="s">
        <v>75</v>
      </c>
      <c r="E85" s="272">
        <f t="shared" ref="E85:E87" si="12">700000</f>
        <v>700000</v>
      </c>
      <c r="F85" s="276"/>
      <c r="G85" s="276">
        <f t="shared" ref="G85:G87" si="13">E85</f>
        <v>700000</v>
      </c>
    </row>
    <row r="86" spans="1:7" ht="20.100000000000001" customHeight="1">
      <c r="A86" s="430">
        <v>3</v>
      </c>
      <c r="B86" s="365" t="s">
        <v>138</v>
      </c>
      <c r="C86" s="357" t="s">
        <v>258</v>
      </c>
      <c r="D86" s="430" t="s">
        <v>148</v>
      </c>
      <c r="E86" s="272">
        <f t="shared" si="12"/>
        <v>700000</v>
      </c>
      <c r="F86" s="276"/>
      <c r="G86" s="276">
        <f t="shared" si="13"/>
        <v>700000</v>
      </c>
    </row>
    <row r="87" spans="1:7" ht="20.100000000000001" customHeight="1">
      <c r="A87" s="430">
        <v>4</v>
      </c>
      <c r="B87" s="432" t="s">
        <v>202</v>
      </c>
      <c r="C87" s="357" t="s">
        <v>258</v>
      </c>
      <c r="D87" s="430" t="s">
        <v>30</v>
      </c>
      <c r="E87" s="272">
        <f t="shared" si="12"/>
        <v>700000</v>
      </c>
      <c r="F87" s="276"/>
      <c r="G87" s="276">
        <f t="shared" si="13"/>
        <v>700000</v>
      </c>
    </row>
    <row r="88" spans="1:7" ht="21.6" customHeight="1">
      <c r="A88" s="430">
        <v>5</v>
      </c>
      <c r="B88" s="432" t="s">
        <v>101</v>
      </c>
      <c r="C88" s="357" t="s">
        <v>80</v>
      </c>
      <c r="D88" s="434" t="s">
        <v>175</v>
      </c>
      <c r="E88" s="272">
        <v>500000</v>
      </c>
      <c r="F88" s="276">
        <f>E88</f>
        <v>500000</v>
      </c>
      <c r="G88" s="276"/>
    </row>
    <row r="89" spans="1:7" ht="21.6" customHeight="1">
      <c r="A89" s="430">
        <v>6</v>
      </c>
      <c r="B89" s="432" t="s">
        <v>336</v>
      </c>
      <c r="C89" s="367" t="s">
        <v>257</v>
      </c>
      <c r="D89" s="434" t="s">
        <v>170</v>
      </c>
      <c r="E89" s="272">
        <v>500000</v>
      </c>
      <c r="F89" s="276">
        <f>E89</f>
        <v>500000</v>
      </c>
      <c r="G89" s="276"/>
    </row>
    <row r="90" spans="1:7" ht="21.6" customHeight="1">
      <c r="A90" s="430">
        <v>7</v>
      </c>
      <c r="B90" s="432" t="s">
        <v>337</v>
      </c>
      <c r="C90" s="367" t="s">
        <v>297</v>
      </c>
      <c r="D90" s="434" t="s">
        <v>95</v>
      </c>
      <c r="E90" s="272">
        <v>250000</v>
      </c>
      <c r="F90" s="276"/>
      <c r="G90" s="276">
        <f>E90</f>
        <v>250000</v>
      </c>
    </row>
    <row r="91" spans="1:7" ht="21.6" customHeight="1">
      <c r="A91" s="430">
        <v>8</v>
      </c>
      <c r="B91" s="432" t="s">
        <v>421</v>
      </c>
      <c r="C91" s="431" t="s">
        <v>422</v>
      </c>
      <c r="D91" s="434" t="s">
        <v>415</v>
      </c>
      <c r="E91" s="272">
        <v>400000</v>
      </c>
      <c r="F91" s="276">
        <f>E91</f>
        <v>400000</v>
      </c>
      <c r="G91" s="276"/>
    </row>
    <row r="92" spans="1:7" ht="21.6" customHeight="1">
      <c r="A92" s="430">
        <v>9</v>
      </c>
      <c r="B92" s="432" t="s">
        <v>556</v>
      </c>
      <c r="C92" s="431" t="s">
        <v>422</v>
      </c>
      <c r="D92" s="434" t="s">
        <v>369</v>
      </c>
      <c r="E92" s="272">
        <v>400000</v>
      </c>
      <c r="F92" s="276">
        <f t="shared" ref="F92:F94" si="14">E92</f>
        <v>400000</v>
      </c>
      <c r="G92" s="276"/>
    </row>
    <row r="93" spans="1:7" ht="21.6" customHeight="1">
      <c r="A93" s="430">
        <v>10</v>
      </c>
      <c r="B93" s="432" t="s">
        <v>436</v>
      </c>
      <c r="C93" s="357" t="s">
        <v>470</v>
      </c>
      <c r="D93" s="430" t="s">
        <v>207</v>
      </c>
      <c r="E93" s="272">
        <v>300000</v>
      </c>
      <c r="F93" s="276">
        <f t="shared" si="14"/>
        <v>300000</v>
      </c>
      <c r="G93" s="276"/>
    </row>
    <row r="94" spans="1:7" ht="21.6" customHeight="1">
      <c r="A94" s="430">
        <v>11</v>
      </c>
      <c r="B94" s="432" t="s">
        <v>406</v>
      </c>
      <c r="C94" s="431" t="s">
        <v>432</v>
      </c>
      <c r="D94" s="434" t="s">
        <v>51</v>
      </c>
      <c r="E94" s="272">
        <v>300000</v>
      </c>
      <c r="F94" s="276">
        <f t="shared" si="14"/>
        <v>300000</v>
      </c>
      <c r="G94" s="276"/>
    </row>
    <row r="95" spans="1:7" ht="20.100000000000001" customHeight="1">
      <c r="A95" s="430"/>
      <c r="B95" s="366" t="s">
        <v>15</v>
      </c>
      <c r="C95" s="360">
        <v>11</v>
      </c>
      <c r="D95" s="360"/>
      <c r="E95" s="273">
        <f>SUM(E84:E94)</f>
        <v>5450000</v>
      </c>
      <c r="F95" s="274">
        <f t="shared" ref="F95:G95" si="15">SUM(F84:F94)</f>
        <v>2400000</v>
      </c>
      <c r="G95" s="274">
        <f t="shared" si="15"/>
        <v>3050000</v>
      </c>
    </row>
    <row r="96" spans="1:7" ht="20.100000000000001" customHeight="1">
      <c r="A96" s="430"/>
      <c r="B96" s="362"/>
      <c r="C96" s="360"/>
      <c r="D96" s="360"/>
      <c r="E96" s="272"/>
      <c r="F96" s="275"/>
      <c r="G96" s="275"/>
    </row>
    <row r="97" spans="1:7" ht="20.100000000000001" customHeight="1">
      <c r="A97" s="430"/>
      <c r="B97" s="366" t="s">
        <v>464</v>
      </c>
      <c r="C97" s="360"/>
      <c r="D97" s="360"/>
      <c r="E97" s="272"/>
      <c r="F97" s="275"/>
      <c r="G97" s="275"/>
    </row>
    <row r="98" spans="1:7" ht="20.100000000000001" customHeight="1">
      <c r="A98" s="430">
        <v>1</v>
      </c>
      <c r="B98" s="365" t="s">
        <v>112</v>
      </c>
      <c r="C98" s="357" t="s">
        <v>740</v>
      </c>
      <c r="D98" s="25" t="s">
        <v>160</v>
      </c>
      <c r="E98" s="272">
        <v>700000</v>
      </c>
      <c r="F98" s="276"/>
      <c r="G98" s="276">
        <v>700000</v>
      </c>
    </row>
    <row r="99" spans="1:7" ht="20.100000000000001" customHeight="1">
      <c r="A99" s="430">
        <v>2</v>
      </c>
      <c r="B99" s="432" t="s">
        <v>124</v>
      </c>
      <c r="C99" s="357" t="s">
        <v>373</v>
      </c>
      <c r="D99" s="434" t="s">
        <v>162</v>
      </c>
      <c r="E99" s="272">
        <v>500000</v>
      </c>
      <c r="F99" s="276"/>
      <c r="G99" s="276">
        <v>500000</v>
      </c>
    </row>
    <row r="100" spans="1:7" ht="20.100000000000001" customHeight="1">
      <c r="A100" s="430">
        <v>3</v>
      </c>
      <c r="B100" s="432" t="s">
        <v>237</v>
      </c>
      <c r="C100" s="357" t="s">
        <v>483</v>
      </c>
      <c r="D100" s="434" t="s">
        <v>497</v>
      </c>
      <c r="E100" s="272">
        <v>400000</v>
      </c>
      <c r="F100" s="276">
        <v>400000</v>
      </c>
      <c r="G100" s="276"/>
    </row>
    <row r="101" spans="1:7" ht="20.100000000000001" customHeight="1">
      <c r="A101" s="430">
        <v>4</v>
      </c>
      <c r="B101" s="432" t="s">
        <v>345</v>
      </c>
      <c r="C101" s="357" t="s">
        <v>709</v>
      </c>
      <c r="D101" s="434" t="s">
        <v>207</v>
      </c>
      <c r="E101" s="272">
        <v>300000</v>
      </c>
      <c r="F101" s="276">
        <v>300000</v>
      </c>
      <c r="G101" s="276"/>
    </row>
    <row r="102" spans="1:7" ht="20.100000000000001" customHeight="1">
      <c r="A102" s="357"/>
      <c r="B102" s="366" t="s">
        <v>15</v>
      </c>
      <c r="C102" s="360">
        <v>4</v>
      </c>
      <c r="D102" s="220"/>
      <c r="E102" s="274">
        <f>SUM(E98:E101)</f>
        <v>1900000</v>
      </c>
      <c r="F102" s="274">
        <f t="shared" ref="F102:G102" si="16">SUM(F98:F101)</f>
        <v>700000</v>
      </c>
      <c r="G102" s="274">
        <f t="shared" si="16"/>
        <v>1200000</v>
      </c>
    </row>
    <row r="103" spans="1:7" ht="20.100000000000001" customHeight="1">
      <c r="A103" s="357"/>
      <c r="B103" s="362"/>
      <c r="C103" s="360"/>
      <c r="D103" s="220"/>
      <c r="E103" s="275"/>
      <c r="F103" s="275"/>
      <c r="G103" s="275"/>
    </row>
    <row r="104" spans="1:7" ht="20.100000000000001" customHeight="1">
      <c r="A104" s="357"/>
      <c r="B104" s="366" t="s">
        <v>465</v>
      </c>
      <c r="C104" s="357"/>
      <c r="D104" s="357"/>
      <c r="E104" s="277"/>
      <c r="F104" s="277"/>
      <c r="G104" s="277"/>
    </row>
    <row r="105" spans="1:7" ht="20.100000000000001" customHeight="1">
      <c r="A105" s="357">
        <v>1</v>
      </c>
      <c r="B105" s="432" t="s">
        <v>216</v>
      </c>
      <c r="C105" s="367" t="s">
        <v>217</v>
      </c>
      <c r="D105" s="434" t="s">
        <v>161</v>
      </c>
      <c r="E105" s="276">
        <v>1000000</v>
      </c>
      <c r="F105" s="276"/>
      <c r="G105" s="276">
        <f>E105</f>
        <v>1000000</v>
      </c>
    </row>
    <row r="106" spans="1:7" ht="20.100000000000001" customHeight="1">
      <c r="A106" s="357">
        <v>2</v>
      </c>
      <c r="B106" s="432" t="s">
        <v>110</v>
      </c>
      <c r="C106" s="357" t="s">
        <v>259</v>
      </c>
      <c r="D106" s="25" t="s">
        <v>160</v>
      </c>
      <c r="E106" s="276">
        <v>700000</v>
      </c>
      <c r="F106" s="276"/>
      <c r="G106" s="276">
        <f>E106</f>
        <v>700000</v>
      </c>
    </row>
    <row r="107" spans="1:7" ht="20.100000000000001" customHeight="1">
      <c r="A107" s="357">
        <v>3</v>
      </c>
      <c r="B107" s="432" t="s">
        <v>109</v>
      </c>
      <c r="C107" s="357" t="s">
        <v>311</v>
      </c>
      <c r="D107" s="430" t="s">
        <v>175</v>
      </c>
      <c r="E107" s="276">
        <v>500000</v>
      </c>
      <c r="F107" s="276">
        <f>E107</f>
        <v>500000</v>
      </c>
      <c r="G107" s="276"/>
    </row>
    <row r="108" spans="1:7" ht="20.100000000000001" customHeight="1">
      <c r="A108" s="357">
        <v>4</v>
      </c>
      <c r="B108" s="432" t="s">
        <v>135</v>
      </c>
      <c r="C108" s="357" t="s">
        <v>311</v>
      </c>
      <c r="D108" s="430" t="s">
        <v>175</v>
      </c>
      <c r="E108" s="276">
        <v>500000</v>
      </c>
      <c r="F108" s="276">
        <f>E108</f>
        <v>500000</v>
      </c>
      <c r="G108" s="276"/>
    </row>
    <row r="109" spans="1:7" ht="20.100000000000001" customHeight="1">
      <c r="A109" s="357">
        <v>5</v>
      </c>
      <c r="B109" s="432" t="s">
        <v>240</v>
      </c>
      <c r="C109" s="357" t="s">
        <v>338</v>
      </c>
      <c r="D109" s="434" t="s">
        <v>748</v>
      </c>
      <c r="E109" s="451">
        <v>300000</v>
      </c>
      <c r="F109" s="276">
        <f t="shared" ref="F109:F111" si="17">E109</f>
        <v>300000</v>
      </c>
      <c r="G109" s="276"/>
    </row>
    <row r="110" spans="1:7" ht="20.100000000000001" customHeight="1">
      <c r="A110" s="357">
        <v>6</v>
      </c>
      <c r="B110" s="364" t="s">
        <v>341</v>
      </c>
      <c r="C110" s="357" t="s">
        <v>338</v>
      </c>
      <c r="D110" s="430" t="s">
        <v>499</v>
      </c>
      <c r="E110" s="451">
        <v>300000</v>
      </c>
      <c r="F110" s="276">
        <f t="shared" si="17"/>
        <v>300000</v>
      </c>
      <c r="G110" s="276"/>
    </row>
    <row r="111" spans="1:7" ht="20.100000000000001" customHeight="1">
      <c r="A111" s="357">
        <v>7</v>
      </c>
      <c r="B111" s="364" t="s">
        <v>374</v>
      </c>
      <c r="C111" s="357" t="s">
        <v>338</v>
      </c>
      <c r="D111" s="434" t="s">
        <v>51</v>
      </c>
      <c r="E111" s="451">
        <v>300000</v>
      </c>
      <c r="F111" s="276">
        <f t="shared" si="17"/>
        <v>300000</v>
      </c>
      <c r="G111" s="276"/>
    </row>
    <row r="112" spans="1:7" ht="25.5" customHeight="1">
      <c r="A112" s="357"/>
      <c r="B112" s="366" t="s">
        <v>15</v>
      </c>
      <c r="C112" s="360">
        <v>7</v>
      </c>
      <c r="D112" s="357"/>
      <c r="E112" s="278">
        <f>SUM(E105:E111)</f>
        <v>3600000</v>
      </c>
      <c r="F112" s="278">
        <f t="shared" ref="F112:G112" si="18">SUM(F105:F111)</f>
        <v>1900000</v>
      </c>
      <c r="G112" s="278">
        <f t="shared" si="18"/>
        <v>1700000</v>
      </c>
    </row>
    <row r="113" spans="1:7" ht="20.100000000000001" customHeight="1">
      <c r="A113" s="357"/>
      <c r="B113" s="366"/>
      <c r="C113" s="360"/>
      <c r="D113" s="357"/>
      <c r="E113" s="278"/>
      <c r="F113" s="278"/>
      <c r="G113" s="278"/>
    </row>
    <row r="114" spans="1:7" ht="20.100000000000001" customHeight="1">
      <c r="A114" s="430"/>
      <c r="B114" s="366" t="s">
        <v>542</v>
      </c>
      <c r="C114" s="360"/>
      <c r="D114" s="360"/>
      <c r="E114" s="275"/>
      <c r="F114" s="275"/>
      <c r="G114" s="275"/>
    </row>
    <row r="115" spans="1:7" ht="20.100000000000001" customHeight="1">
      <c r="A115" s="430">
        <v>1</v>
      </c>
      <c r="B115" s="432" t="s">
        <v>247</v>
      </c>
      <c r="C115" s="357" t="s">
        <v>477</v>
      </c>
      <c r="D115" s="434" t="s">
        <v>497</v>
      </c>
      <c r="E115" s="452">
        <v>400000</v>
      </c>
      <c r="F115" s="452">
        <f>E115</f>
        <v>400000</v>
      </c>
      <c r="G115" s="452"/>
    </row>
    <row r="116" spans="1:7" ht="18.75" customHeight="1">
      <c r="A116" s="430">
        <v>2</v>
      </c>
      <c r="B116" s="432" t="s">
        <v>141</v>
      </c>
      <c r="C116" s="367" t="s">
        <v>391</v>
      </c>
      <c r="D116" s="434" t="s">
        <v>749</v>
      </c>
      <c r="E116" s="452">
        <v>400000</v>
      </c>
      <c r="F116" s="452">
        <f>E116</f>
        <v>400000</v>
      </c>
      <c r="G116" s="452"/>
    </row>
    <row r="117" spans="1:7" ht="20.100000000000001" customHeight="1">
      <c r="A117" s="357"/>
      <c r="B117" s="366" t="s">
        <v>15</v>
      </c>
      <c r="C117" s="360">
        <v>2</v>
      </c>
      <c r="D117" s="220"/>
      <c r="E117" s="461">
        <f>SUM(E115:E116)</f>
        <v>800000</v>
      </c>
      <c r="F117" s="461">
        <f>SUM(F115:F116)</f>
        <v>800000</v>
      </c>
      <c r="G117" s="274"/>
    </row>
    <row r="118" spans="1:7" ht="24.75" customHeight="1">
      <c r="A118" s="357"/>
      <c r="B118" s="362"/>
      <c r="C118" s="430"/>
      <c r="D118" s="357"/>
    </row>
    <row r="119" spans="1:7" ht="20.100000000000001" customHeight="1">
      <c r="A119" s="357"/>
      <c r="B119" s="366" t="s">
        <v>466</v>
      </c>
      <c r="C119" s="360"/>
      <c r="D119" s="360"/>
      <c r="E119" s="279"/>
      <c r="F119" s="279"/>
      <c r="G119" s="279"/>
    </row>
    <row r="120" spans="1:7" ht="20.100000000000001" customHeight="1">
      <c r="A120" s="357">
        <v>1</v>
      </c>
      <c r="B120" s="432" t="s">
        <v>20</v>
      </c>
      <c r="C120" s="367" t="s">
        <v>250</v>
      </c>
      <c r="D120" s="434" t="s">
        <v>161</v>
      </c>
      <c r="E120" s="276">
        <v>1000000</v>
      </c>
      <c r="F120" s="276"/>
      <c r="G120" s="276">
        <f>E120</f>
        <v>1000000</v>
      </c>
    </row>
    <row r="121" spans="1:7" ht="20.100000000000001" customHeight="1">
      <c r="A121" s="357">
        <v>2</v>
      </c>
      <c r="B121" s="432" t="s">
        <v>153</v>
      </c>
      <c r="C121" s="367" t="s">
        <v>739</v>
      </c>
      <c r="D121" s="434" t="s">
        <v>221</v>
      </c>
      <c r="E121" s="276">
        <v>700000</v>
      </c>
      <c r="F121" s="276"/>
      <c r="G121" s="276">
        <f t="shared" ref="G121:G126" si="19">E121</f>
        <v>700000</v>
      </c>
    </row>
    <row r="122" spans="1:7" ht="20.100000000000001" customHeight="1">
      <c r="A122" s="357">
        <v>3</v>
      </c>
      <c r="B122" s="365" t="s">
        <v>142</v>
      </c>
      <c r="C122" s="367" t="s">
        <v>376</v>
      </c>
      <c r="D122" s="434" t="s">
        <v>75</v>
      </c>
      <c r="E122" s="276">
        <v>700000</v>
      </c>
      <c r="F122" s="276"/>
      <c r="G122" s="276">
        <f t="shared" si="19"/>
        <v>700000</v>
      </c>
    </row>
    <row r="123" spans="1:7" ht="20.100000000000001" customHeight="1">
      <c r="A123" s="357">
        <v>4</v>
      </c>
      <c r="B123" s="365" t="s">
        <v>363</v>
      </c>
      <c r="C123" s="367" t="s">
        <v>376</v>
      </c>
      <c r="D123" s="434" t="s">
        <v>148</v>
      </c>
      <c r="E123" s="276">
        <v>700000</v>
      </c>
      <c r="F123" s="276"/>
      <c r="G123" s="276">
        <f t="shared" si="19"/>
        <v>700000</v>
      </c>
    </row>
    <row r="124" spans="1:7" ht="20.100000000000001" customHeight="1">
      <c r="A124" s="357">
        <v>5</v>
      </c>
      <c r="B124" s="432" t="s">
        <v>108</v>
      </c>
      <c r="C124" s="367" t="s">
        <v>476</v>
      </c>
      <c r="D124" s="434" t="s">
        <v>181</v>
      </c>
      <c r="E124" s="276">
        <v>500000</v>
      </c>
      <c r="F124" s="276"/>
      <c r="G124" s="276">
        <f t="shared" si="19"/>
        <v>500000</v>
      </c>
    </row>
    <row r="125" spans="1:7" ht="20.100000000000001" customHeight="1">
      <c r="A125" s="357">
        <v>6</v>
      </c>
      <c r="B125" s="432" t="s">
        <v>178</v>
      </c>
      <c r="C125" s="367" t="s">
        <v>382</v>
      </c>
      <c r="D125" s="434" t="s">
        <v>222</v>
      </c>
      <c r="E125" s="276">
        <v>500000</v>
      </c>
      <c r="F125" s="276"/>
      <c r="G125" s="276">
        <f t="shared" si="19"/>
        <v>500000</v>
      </c>
    </row>
    <row r="126" spans="1:7" ht="20.100000000000001" customHeight="1">
      <c r="A126" s="357">
        <v>7</v>
      </c>
      <c r="B126" s="432" t="s">
        <v>134</v>
      </c>
      <c r="C126" s="367" t="s">
        <v>476</v>
      </c>
      <c r="D126" s="434" t="s">
        <v>162</v>
      </c>
      <c r="E126" s="276">
        <v>500000</v>
      </c>
      <c r="F126" s="276"/>
      <c r="G126" s="276">
        <f t="shared" si="19"/>
        <v>500000</v>
      </c>
    </row>
    <row r="127" spans="1:7" ht="20.100000000000001" customHeight="1">
      <c r="A127" s="357">
        <v>8</v>
      </c>
      <c r="B127" s="432" t="s">
        <v>443</v>
      </c>
      <c r="C127" s="367" t="s">
        <v>447</v>
      </c>
      <c r="D127" s="430" t="s">
        <v>746</v>
      </c>
      <c r="E127" s="276">
        <v>300000</v>
      </c>
      <c r="F127" s="276">
        <f>E127</f>
        <v>300000</v>
      </c>
      <c r="G127" s="276"/>
    </row>
    <row r="128" spans="1:7" ht="20.100000000000001" customHeight="1">
      <c r="A128" s="357">
        <v>9</v>
      </c>
      <c r="B128" s="364" t="s">
        <v>439</v>
      </c>
      <c r="C128" s="367" t="s">
        <v>440</v>
      </c>
      <c r="D128" s="434" t="s">
        <v>176</v>
      </c>
      <c r="E128" s="276">
        <v>300000</v>
      </c>
      <c r="F128" s="276">
        <f t="shared" ref="F128:F129" si="20">E128</f>
        <v>300000</v>
      </c>
      <c r="G128" s="276"/>
    </row>
    <row r="129" spans="1:7" ht="20.100000000000001" customHeight="1">
      <c r="A129" s="357">
        <v>10</v>
      </c>
      <c r="B129" s="364" t="s">
        <v>535</v>
      </c>
      <c r="C129" s="367" t="s">
        <v>536</v>
      </c>
      <c r="D129" s="434" t="s">
        <v>176</v>
      </c>
      <c r="E129" s="276">
        <v>300000</v>
      </c>
      <c r="F129" s="276">
        <f t="shared" si="20"/>
        <v>300000</v>
      </c>
      <c r="G129" s="276"/>
    </row>
    <row r="130" spans="1:7" ht="20.100000000000001" customHeight="1">
      <c r="A130" s="357"/>
      <c r="B130" s="366" t="s">
        <v>15</v>
      </c>
      <c r="C130" s="220" t="s">
        <v>543</v>
      </c>
      <c r="D130" s="434"/>
      <c r="E130" s="275">
        <f>SUM(E120:E129)</f>
        <v>5500000</v>
      </c>
      <c r="F130" s="275">
        <f t="shared" ref="F130:G130" si="21">SUM(F120:F129)</f>
        <v>900000</v>
      </c>
      <c r="G130" s="275">
        <f t="shared" si="21"/>
        <v>4600000</v>
      </c>
    </row>
    <row r="131" spans="1:7" ht="28.5" customHeight="1">
      <c r="A131" s="357"/>
      <c r="B131" s="362"/>
      <c r="C131" s="220"/>
      <c r="D131" s="434"/>
      <c r="E131" s="357"/>
      <c r="F131" s="357"/>
      <c r="G131" s="357"/>
    </row>
    <row r="132" spans="1:7" ht="20.100000000000001" customHeight="1">
      <c r="A132" s="357"/>
      <c r="B132" s="366" t="s">
        <v>467</v>
      </c>
      <c r="C132" s="367"/>
      <c r="D132" s="434"/>
      <c r="E132" s="275"/>
      <c r="F132" s="275"/>
      <c r="G132" s="275"/>
    </row>
    <row r="133" spans="1:7" ht="20.100000000000001" customHeight="1">
      <c r="A133" s="224">
        <v>1</v>
      </c>
      <c r="B133" s="432" t="s">
        <v>21</v>
      </c>
      <c r="C133" s="367" t="s">
        <v>393</v>
      </c>
      <c r="D133" s="434" t="s">
        <v>161</v>
      </c>
      <c r="E133" s="276">
        <v>500000</v>
      </c>
      <c r="F133" s="276"/>
      <c r="G133" s="276">
        <f>E133</f>
        <v>500000</v>
      </c>
    </row>
    <row r="134" spans="1:7" ht="20.100000000000001" customHeight="1">
      <c r="A134" s="224">
        <v>2</v>
      </c>
      <c r="B134" s="432" t="s">
        <v>107</v>
      </c>
      <c r="C134" s="367" t="s">
        <v>394</v>
      </c>
      <c r="D134" s="434" t="s">
        <v>160</v>
      </c>
      <c r="E134" s="276">
        <v>700000</v>
      </c>
      <c r="F134" s="276"/>
      <c r="G134" s="276">
        <f t="shared" ref="G134:G138" si="22">E134</f>
        <v>700000</v>
      </c>
    </row>
    <row r="135" spans="1:7" ht="20.100000000000001" customHeight="1">
      <c r="A135" s="224">
        <v>3</v>
      </c>
      <c r="B135" s="365" t="s">
        <v>183</v>
      </c>
      <c r="C135" s="357" t="s">
        <v>486</v>
      </c>
      <c r="D135" s="25" t="s">
        <v>160</v>
      </c>
      <c r="E135" s="276">
        <v>700000</v>
      </c>
      <c r="F135" s="276"/>
      <c r="G135" s="276">
        <f t="shared" si="22"/>
        <v>700000</v>
      </c>
    </row>
    <row r="136" spans="1:7" ht="20.100000000000001" customHeight="1">
      <c r="A136" s="224">
        <v>4</v>
      </c>
      <c r="B136" s="432" t="s">
        <v>106</v>
      </c>
      <c r="C136" s="367" t="s">
        <v>381</v>
      </c>
      <c r="D136" s="434" t="s">
        <v>174</v>
      </c>
      <c r="E136" s="276">
        <v>500000</v>
      </c>
      <c r="F136" s="276"/>
      <c r="G136" s="276">
        <f t="shared" si="22"/>
        <v>500000</v>
      </c>
    </row>
    <row r="137" spans="1:7" ht="20.100000000000001" customHeight="1">
      <c r="A137" s="224">
        <v>5</v>
      </c>
      <c r="B137" s="432" t="s">
        <v>7</v>
      </c>
      <c r="C137" s="357" t="s">
        <v>385</v>
      </c>
      <c r="D137" s="434" t="s">
        <v>174</v>
      </c>
      <c r="E137" s="276">
        <v>500000</v>
      </c>
      <c r="F137" s="276"/>
      <c r="G137" s="276">
        <f t="shared" si="22"/>
        <v>500000</v>
      </c>
    </row>
    <row r="138" spans="1:7" ht="20.100000000000001" customHeight="1">
      <c r="A138" s="224">
        <v>6</v>
      </c>
      <c r="B138" s="432" t="s">
        <v>6</v>
      </c>
      <c r="C138" s="357" t="s">
        <v>385</v>
      </c>
      <c r="D138" s="434" t="s">
        <v>174</v>
      </c>
      <c r="E138" s="276">
        <v>500000</v>
      </c>
      <c r="F138" s="276"/>
      <c r="G138" s="276">
        <f t="shared" si="22"/>
        <v>500000</v>
      </c>
    </row>
    <row r="139" spans="1:7" ht="20.100000000000001" customHeight="1">
      <c r="A139" s="224">
        <v>7</v>
      </c>
      <c r="B139" s="432" t="s">
        <v>102</v>
      </c>
      <c r="C139" s="367" t="s">
        <v>395</v>
      </c>
      <c r="D139" s="434" t="s">
        <v>749</v>
      </c>
      <c r="E139" s="276">
        <v>400000</v>
      </c>
      <c r="F139" s="276">
        <f>E139</f>
        <v>400000</v>
      </c>
      <c r="G139" s="276"/>
    </row>
    <row r="140" spans="1:7" ht="20.100000000000001" customHeight="1">
      <c r="A140" s="224">
        <v>8</v>
      </c>
      <c r="B140" s="432" t="s">
        <v>103</v>
      </c>
      <c r="C140" s="367" t="s">
        <v>395</v>
      </c>
      <c r="D140" s="434" t="s">
        <v>749</v>
      </c>
      <c r="E140" s="276">
        <v>400000</v>
      </c>
      <c r="F140" s="276">
        <f t="shared" ref="F140:F191" si="23">E140</f>
        <v>400000</v>
      </c>
      <c r="G140" s="276"/>
    </row>
    <row r="141" spans="1:7" ht="20.100000000000001" customHeight="1">
      <c r="A141" s="224">
        <v>9</v>
      </c>
      <c r="B141" s="432" t="s">
        <v>151</v>
      </c>
      <c r="C141" s="357" t="s">
        <v>235</v>
      </c>
      <c r="D141" s="434" t="s">
        <v>749</v>
      </c>
      <c r="E141" s="276">
        <v>400000</v>
      </c>
      <c r="F141" s="276">
        <f t="shared" si="23"/>
        <v>400000</v>
      </c>
      <c r="G141" s="276"/>
    </row>
    <row r="142" spans="1:7" ht="20.100000000000001" customHeight="1">
      <c r="A142" s="224">
        <v>10</v>
      </c>
      <c r="B142" s="432" t="s">
        <v>238</v>
      </c>
      <c r="C142" s="367" t="s">
        <v>546</v>
      </c>
      <c r="D142" s="434" t="s">
        <v>497</v>
      </c>
      <c r="E142" s="276">
        <v>400000</v>
      </c>
      <c r="F142" s="276">
        <f t="shared" si="23"/>
        <v>400000</v>
      </c>
      <c r="G142" s="276"/>
    </row>
    <row r="143" spans="1:7" ht="20.100000000000001" customHeight="1">
      <c r="A143" s="224">
        <v>11</v>
      </c>
      <c r="B143" s="432" t="s">
        <v>53</v>
      </c>
      <c r="C143" s="367" t="s">
        <v>711</v>
      </c>
      <c r="D143" s="434" t="s">
        <v>415</v>
      </c>
      <c r="E143" s="276">
        <v>400000</v>
      </c>
      <c r="F143" s="276">
        <f t="shared" si="23"/>
        <v>400000</v>
      </c>
      <c r="G143" s="276"/>
    </row>
    <row r="144" spans="1:7" ht="20.100000000000001" customHeight="1">
      <c r="A144" s="224">
        <v>12</v>
      </c>
      <c r="B144" s="432" t="s">
        <v>179</v>
      </c>
      <c r="C144" s="367" t="s">
        <v>479</v>
      </c>
      <c r="D144" s="434" t="s">
        <v>749</v>
      </c>
      <c r="E144" s="276">
        <v>400000</v>
      </c>
      <c r="F144" s="276">
        <f t="shared" si="23"/>
        <v>400000</v>
      </c>
      <c r="G144" s="276"/>
    </row>
    <row r="145" spans="1:7" ht="20.100000000000001" customHeight="1">
      <c r="A145" s="224">
        <v>13</v>
      </c>
      <c r="B145" s="364" t="s">
        <v>293</v>
      </c>
      <c r="C145" s="357" t="s">
        <v>712</v>
      </c>
      <c r="D145" s="434" t="s">
        <v>369</v>
      </c>
      <c r="E145" s="276">
        <v>400000</v>
      </c>
      <c r="F145" s="276">
        <f t="shared" si="23"/>
        <v>400000</v>
      </c>
      <c r="G145" s="276"/>
    </row>
    <row r="146" spans="1:7" ht="20.100000000000001" customHeight="1">
      <c r="A146" s="224">
        <v>14</v>
      </c>
      <c r="B146" s="432" t="s">
        <v>488</v>
      </c>
      <c r="C146" s="357" t="s">
        <v>239</v>
      </c>
      <c r="D146" s="434" t="s">
        <v>164</v>
      </c>
      <c r="E146" s="451">
        <v>300000</v>
      </c>
      <c r="F146" s="276">
        <f t="shared" si="23"/>
        <v>300000</v>
      </c>
      <c r="G146" s="276"/>
    </row>
    <row r="147" spans="1:7" ht="20.100000000000001" customHeight="1">
      <c r="A147" s="224">
        <v>15</v>
      </c>
      <c r="B147" s="432" t="s">
        <v>489</v>
      </c>
      <c r="C147" s="357" t="s">
        <v>239</v>
      </c>
      <c r="D147" s="434" t="s">
        <v>27</v>
      </c>
      <c r="E147" s="451">
        <v>300000</v>
      </c>
      <c r="F147" s="276">
        <f t="shared" si="23"/>
        <v>300000</v>
      </c>
      <c r="G147" s="276"/>
    </row>
    <row r="148" spans="1:7" ht="20.100000000000001" customHeight="1">
      <c r="A148" s="224">
        <v>16</v>
      </c>
      <c r="B148" s="432" t="s">
        <v>212</v>
      </c>
      <c r="C148" s="357" t="s">
        <v>239</v>
      </c>
      <c r="D148" s="434" t="s">
        <v>27</v>
      </c>
      <c r="E148" s="451">
        <v>300000</v>
      </c>
      <c r="F148" s="276">
        <f t="shared" si="23"/>
        <v>300000</v>
      </c>
      <c r="G148" s="276"/>
    </row>
    <row r="149" spans="1:7" ht="20.100000000000001" customHeight="1">
      <c r="A149" s="224">
        <v>17</v>
      </c>
      <c r="B149" s="432" t="s">
        <v>425</v>
      </c>
      <c r="C149" s="367" t="s">
        <v>430</v>
      </c>
      <c r="D149" s="434" t="s">
        <v>207</v>
      </c>
      <c r="E149" s="451">
        <v>300000</v>
      </c>
      <c r="F149" s="276">
        <f t="shared" si="23"/>
        <v>300000</v>
      </c>
      <c r="G149" s="276"/>
    </row>
    <row r="150" spans="1:7" ht="20.100000000000001" customHeight="1">
      <c r="A150" s="224">
        <v>18</v>
      </c>
      <c r="B150" s="432" t="s">
        <v>750</v>
      </c>
      <c r="C150" s="367" t="s">
        <v>438</v>
      </c>
      <c r="D150" s="430" t="s">
        <v>498</v>
      </c>
      <c r="E150" s="451">
        <v>300000</v>
      </c>
      <c r="F150" s="276">
        <f t="shared" si="23"/>
        <v>300000</v>
      </c>
      <c r="G150" s="276"/>
    </row>
    <row r="151" spans="1:7" ht="20.100000000000001" customHeight="1">
      <c r="A151" s="224">
        <v>19</v>
      </c>
      <c r="B151" s="432" t="s">
        <v>230</v>
      </c>
      <c r="C151" s="367" t="s">
        <v>485</v>
      </c>
      <c r="D151" s="434" t="s">
        <v>164</v>
      </c>
      <c r="E151" s="451">
        <v>300000</v>
      </c>
      <c r="F151" s="276">
        <f t="shared" si="23"/>
        <v>300000</v>
      </c>
      <c r="G151" s="276"/>
    </row>
    <row r="152" spans="1:7" ht="20.100000000000001" customHeight="1">
      <c r="A152" s="224">
        <v>20</v>
      </c>
      <c r="B152" s="432" t="s">
        <v>57</v>
      </c>
      <c r="C152" s="367" t="s">
        <v>481</v>
      </c>
      <c r="D152" s="434" t="s">
        <v>746</v>
      </c>
      <c r="E152" s="451">
        <v>300000</v>
      </c>
      <c r="F152" s="276">
        <f t="shared" si="23"/>
        <v>300000</v>
      </c>
      <c r="G152" s="276"/>
    </row>
    <row r="153" spans="1:7" ht="20.100000000000001" customHeight="1">
      <c r="A153" s="224">
        <v>21</v>
      </c>
      <c r="B153" s="432" t="s">
        <v>251</v>
      </c>
      <c r="C153" s="367" t="s">
        <v>482</v>
      </c>
      <c r="D153" s="434" t="s">
        <v>164</v>
      </c>
      <c r="E153" s="451">
        <v>300000</v>
      </c>
      <c r="F153" s="276">
        <f t="shared" si="23"/>
        <v>300000</v>
      </c>
      <c r="G153" s="276"/>
    </row>
    <row r="154" spans="1:7" ht="20.100000000000001" customHeight="1">
      <c r="A154" s="224">
        <v>22</v>
      </c>
      <c r="B154" s="432" t="s">
        <v>241</v>
      </c>
      <c r="C154" s="367" t="s">
        <v>348</v>
      </c>
      <c r="D154" s="434" t="s">
        <v>746</v>
      </c>
      <c r="E154" s="451">
        <v>300000</v>
      </c>
      <c r="F154" s="276">
        <f t="shared" si="23"/>
        <v>300000</v>
      </c>
      <c r="G154" s="276"/>
    </row>
    <row r="155" spans="1:7" ht="20.100000000000001" customHeight="1">
      <c r="A155" s="224">
        <v>23</v>
      </c>
      <c r="B155" s="364" t="s">
        <v>289</v>
      </c>
      <c r="C155" s="367" t="s">
        <v>713</v>
      </c>
      <c r="D155" s="434" t="s">
        <v>428</v>
      </c>
      <c r="E155" s="451">
        <v>300000</v>
      </c>
      <c r="F155" s="276">
        <f t="shared" si="23"/>
        <v>300000</v>
      </c>
      <c r="G155" s="276"/>
    </row>
    <row r="156" spans="1:7" ht="20.100000000000001" customHeight="1">
      <c r="A156" s="224">
        <v>24</v>
      </c>
      <c r="B156" s="364" t="s">
        <v>407</v>
      </c>
      <c r="C156" s="367" t="s">
        <v>131</v>
      </c>
      <c r="D156" s="434" t="s">
        <v>176</v>
      </c>
      <c r="E156" s="451">
        <v>300000</v>
      </c>
      <c r="F156" s="276">
        <f t="shared" si="23"/>
        <v>300000</v>
      </c>
      <c r="G156" s="276"/>
    </row>
    <row r="157" spans="1:7" ht="20.100000000000001" customHeight="1">
      <c r="A157" s="224">
        <v>25</v>
      </c>
      <c r="B157" s="364" t="s">
        <v>426</v>
      </c>
      <c r="C157" s="367" t="s">
        <v>290</v>
      </c>
      <c r="D157" s="434" t="s">
        <v>176</v>
      </c>
      <c r="E157" s="451">
        <v>300000</v>
      </c>
      <c r="F157" s="276">
        <f t="shared" si="23"/>
        <v>300000</v>
      </c>
      <c r="G157" s="276"/>
    </row>
    <row r="158" spans="1:7" ht="20.100000000000001" customHeight="1">
      <c r="A158" s="224">
        <v>26</v>
      </c>
      <c r="B158" s="364" t="s">
        <v>441</v>
      </c>
      <c r="C158" s="367" t="s">
        <v>442</v>
      </c>
      <c r="D158" s="434" t="s">
        <v>176</v>
      </c>
      <c r="E158" s="451">
        <v>300000</v>
      </c>
      <c r="F158" s="276">
        <f t="shared" si="23"/>
        <v>300000</v>
      </c>
      <c r="G158" s="276"/>
    </row>
    <row r="159" spans="1:7" ht="20.100000000000001" customHeight="1">
      <c r="A159" s="224">
        <v>27</v>
      </c>
      <c r="B159" s="364" t="s">
        <v>445</v>
      </c>
      <c r="C159" s="367" t="s">
        <v>446</v>
      </c>
      <c r="D159" s="434" t="s">
        <v>51</v>
      </c>
      <c r="E159" s="451">
        <v>300000</v>
      </c>
      <c r="F159" s="276">
        <f t="shared" si="23"/>
        <v>300000</v>
      </c>
      <c r="G159" s="276"/>
    </row>
    <row r="160" spans="1:7" ht="20.100000000000001" customHeight="1">
      <c r="A160" s="224">
        <v>28</v>
      </c>
      <c r="B160" s="364" t="s">
        <v>550</v>
      </c>
      <c r="C160" s="367" t="s">
        <v>290</v>
      </c>
      <c r="D160" s="434" t="s">
        <v>176</v>
      </c>
      <c r="E160" s="451">
        <v>300000</v>
      </c>
      <c r="F160" s="276">
        <f t="shared" si="23"/>
        <v>300000</v>
      </c>
      <c r="G160" s="276"/>
    </row>
    <row r="161" spans="1:7" ht="20.100000000000001" customHeight="1">
      <c r="A161" s="224">
        <v>29</v>
      </c>
      <c r="B161" s="432" t="s">
        <v>22</v>
      </c>
      <c r="C161" s="367" t="s">
        <v>302</v>
      </c>
      <c r="D161" s="434" t="s">
        <v>751</v>
      </c>
      <c r="E161" s="453">
        <v>100000</v>
      </c>
      <c r="F161" s="276">
        <f t="shared" si="23"/>
        <v>100000</v>
      </c>
      <c r="G161" s="276"/>
    </row>
    <row r="162" spans="1:7" ht="20.100000000000001" customHeight="1">
      <c r="A162" s="224">
        <v>30</v>
      </c>
      <c r="B162" s="432" t="s">
        <v>14</v>
      </c>
      <c r="C162" s="367" t="s">
        <v>302</v>
      </c>
      <c r="D162" s="434" t="s">
        <v>751</v>
      </c>
      <c r="E162" s="453">
        <v>100000</v>
      </c>
      <c r="F162" s="276">
        <f t="shared" si="23"/>
        <v>100000</v>
      </c>
      <c r="G162" s="276"/>
    </row>
    <row r="163" spans="1:7" ht="20.100000000000001" customHeight="1">
      <c r="A163" s="224">
        <v>31</v>
      </c>
      <c r="B163" s="432" t="s">
        <v>23</v>
      </c>
      <c r="C163" s="367" t="s">
        <v>302</v>
      </c>
      <c r="D163" s="434" t="s">
        <v>751</v>
      </c>
      <c r="E163" s="453">
        <v>100000</v>
      </c>
      <c r="F163" s="276">
        <f t="shared" si="23"/>
        <v>100000</v>
      </c>
      <c r="G163" s="276"/>
    </row>
    <row r="164" spans="1:7" ht="20.100000000000001" customHeight="1">
      <c r="A164" s="224">
        <v>32</v>
      </c>
      <c r="B164" s="432" t="s">
        <v>39</v>
      </c>
      <c r="C164" s="367" t="s">
        <v>302</v>
      </c>
      <c r="D164" s="434" t="s">
        <v>751</v>
      </c>
      <c r="E164" s="453">
        <v>100000</v>
      </c>
      <c r="F164" s="276">
        <f t="shared" si="23"/>
        <v>100000</v>
      </c>
      <c r="G164" s="276"/>
    </row>
    <row r="165" spans="1:7" ht="20.100000000000001" customHeight="1">
      <c r="A165" s="224">
        <v>33</v>
      </c>
      <c r="B165" s="432" t="s">
        <v>40</v>
      </c>
      <c r="C165" s="367" t="s">
        <v>302</v>
      </c>
      <c r="D165" s="434" t="s">
        <v>751</v>
      </c>
      <c r="E165" s="453">
        <v>100000</v>
      </c>
      <c r="F165" s="276">
        <f t="shared" si="23"/>
        <v>100000</v>
      </c>
      <c r="G165" s="276"/>
    </row>
    <row r="166" spans="1:7" ht="20.100000000000001" customHeight="1">
      <c r="A166" s="224">
        <v>34</v>
      </c>
      <c r="B166" s="432" t="s">
        <v>127</v>
      </c>
      <c r="C166" s="367" t="s">
        <v>302</v>
      </c>
      <c r="D166" s="434" t="s">
        <v>501</v>
      </c>
      <c r="E166" s="453">
        <v>100000</v>
      </c>
      <c r="F166" s="276">
        <f t="shared" si="23"/>
        <v>100000</v>
      </c>
      <c r="G166" s="276"/>
    </row>
    <row r="167" spans="1:7" ht="20.100000000000001" customHeight="1">
      <c r="A167" s="224">
        <v>35</v>
      </c>
      <c r="B167" s="432" t="s">
        <v>128</v>
      </c>
      <c r="C167" s="367" t="s">
        <v>302</v>
      </c>
      <c r="D167" s="434" t="s">
        <v>501</v>
      </c>
      <c r="E167" s="453">
        <v>100000</v>
      </c>
      <c r="F167" s="276">
        <f t="shared" si="23"/>
        <v>100000</v>
      </c>
      <c r="G167" s="276"/>
    </row>
    <row r="168" spans="1:7" ht="20.100000000000001" customHeight="1">
      <c r="A168" s="224">
        <v>36</v>
      </c>
      <c r="B168" s="365" t="s">
        <v>136</v>
      </c>
      <c r="C168" s="367" t="s">
        <v>302</v>
      </c>
      <c r="D168" s="434" t="s">
        <v>501</v>
      </c>
      <c r="E168" s="453">
        <v>100000</v>
      </c>
      <c r="F168" s="276">
        <f t="shared" si="23"/>
        <v>100000</v>
      </c>
      <c r="G168" s="276"/>
    </row>
    <row r="169" spans="1:7" ht="20.100000000000001" customHeight="1">
      <c r="A169" s="224">
        <v>37</v>
      </c>
      <c r="B169" s="432" t="s">
        <v>140</v>
      </c>
      <c r="C169" s="367" t="s">
        <v>302</v>
      </c>
      <c r="D169" s="434" t="s">
        <v>501</v>
      </c>
      <c r="E169" s="453">
        <v>100000</v>
      </c>
      <c r="F169" s="276">
        <f t="shared" si="23"/>
        <v>100000</v>
      </c>
      <c r="G169" s="276"/>
    </row>
    <row r="170" spans="1:7" ht="20.100000000000001" customHeight="1">
      <c r="A170" s="224">
        <v>38</v>
      </c>
      <c r="B170" s="364" t="s">
        <v>152</v>
      </c>
      <c r="C170" s="367" t="s">
        <v>302</v>
      </c>
      <c r="D170" s="434" t="s">
        <v>501</v>
      </c>
      <c r="E170" s="453">
        <v>100000</v>
      </c>
      <c r="F170" s="276">
        <f t="shared" si="23"/>
        <v>100000</v>
      </c>
      <c r="G170" s="276"/>
    </row>
    <row r="171" spans="1:7" ht="20.100000000000001" customHeight="1">
      <c r="A171" s="224">
        <v>39</v>
      </c>
      <c r="B171" s="364" t="s">
        <v>132</v>
      </c>
      <c r="C171" s="367" t="s">
        <v>302</v>
      </c>
      <c r="D171" s="434" t="s">
        <v>501</v>
      </c>
      <c r="E171" s="453">
        <v>100000</v>
      </c>
      <c r="F171" s="276">
        <f t="shared" si="23"/>
        <v>100000</v>
      </c>
      <c r="G171" s="276"/>
    </row>
    <row r="172" spans="1:7" ht="20.100000000000001" customHeight="1">
      <c r="A172" s="224">
        <v>40</v>
      </c>
      <c r="B172" s="432" t="s">
        <v>231</v>
      </c>
      <c r="C172" s="367" t="s">
        <v>714</v>
      </c>
      <c r="D172" s="434" t="s">
        <v>306</v>
      </c>
      <c r="E172" s="453">
        <v>100000</v>
      </c>
      <c r="F172" s="276">
        <f t="shared" si="23"/>
        <v>100000</v>
      </c>
      <c r="G172" s="276"/>
    </row>
    <row r="173" spans="1:7" ht="20.100000000000001" customHeight="1">
      <c r="A173" s="224">
        <v>41</v>
      </c>
      <c r="B173" s="432" t="s">
        <v>246</v>
      </c>
      <c r="C173" s="367" t="s">
        <v>714</v>
      </c>
      <c r="D173" s="434" t="s">
        <v>306</v>
      </c>
      <c r="E173" s="453">
        <v>100000</v>
      </c>
      <c r="F173" s="276">
        <f t="shared" si="23"/>
        <v>100000</v>
      </c>
      <c r="G173" s="276"/>
    </row>
    <row r="174" spans="1:7" ht="20.100000000000001" customHeight="1">
      <c r="A174" s="224">
        <v>42</v>
      </c>
      <c r="B174" s="364" t="s">
        <v>166</v>
      </c>
      <c r="C174" s="367" t="s">
        <v>714</v>
      </c>
      <c r="D174" s="434" t="s">
        <v>416</v>
      </c>
      <c r="E174" s="453">
        <v>100000</v>
      </c>
      <c r="F174" s="276">
        <f t="shared" si="23"/>
        <v>100000</v>
      </c>
      <c r="G174" s="276"/>
    </row>
    <row r="175" spans="1:7" ht="20.100000000000001" customHeight="1">
      <c r="A175" s="224">
        <v>43</v>
      </c>
      <c r="B175" s="432" t="s">
        <v>204</v>
      </c>
      <c r="C175" s="367" t="s">
        <v>167</v>
      </c>
      <c r="D175" s="434" t="s">
        <v>263</v>
      </c>
      <c r="E175" s="453">
        <v>100000</v>
      </c>
      <c r="F175" s="276">
        <f t="shared" si="23"/>
        <v>100000</v>
      </c>
      <c r="G175" s="276"/>
    </row>
    <row r="176" spans="1:7" ht="20.100000000000001" customHeight="1">
      <c r="A176" s="224">
        <v>44</v>
      </c>
      <c r="B176" s="432" t="s">
        <v>209</v>
      </c>
      <c r="C176" s="367" t="s">
        <v>13</v>
      </c>
      <c r="D176" s="434" t="s">
        <v>752</v>
      </c>
      <c r="E176" s="453">
        <v>100000</v>
      </c>
      <c r="F176" s="276">
        <f t="shared" si="23"/>
        <v>100000</v>
      </c>
      <c r="G176" s="276"/>
    </row>
    <row r="177" spans="1:7" ht="20.100000000000001" customHeight="1">
      <c r="A177" s="224">
        <v>45</v>
      </c>
      <c r="B177" s="432" t="s">
        <v>218</v>
      </c>
      <c r="C177" s="367" t="s">
        <v>13</v>
      </c>
      <c r="D177" s="434" t="s">
        <v>752</v>
      </c>
      <c r="E177" s="453">
        <v>100000</v>
      </c>
      <c r="F177" s="276">
        <f t="shared" si="23"/>
        <v>100000</v>
      </c>
      <c r="G177" s="276"/>
    </row>
    <row r="178" spans="1:7" ht="20.100000000000001" customHeight="1">
      <c r="A178" s="224">
        <v>46</v>
      </c>
      <c r="B178" s="432" t="s">
        <v>219</v>
      </c>
      <c r="C178" s="367" t="s">
        <v>13</v>
      </c>
      <c r="D178" s="434" t="s">
        <v>752</v>
      </c>
      <c r="E178" s="453">
        <v>100000</v>
      </c>
      <c r="F178" s="276">
        <f t="shared" si="23"/>
        <v>100000</v>
      </c>
      <c r="G178" s="276"/>
    </row>
    <row r="179" spans="1:7" ht="20.100000000000001" customHeight="1">
      <c r="A179" s="224">
        <v>47</v>
      </c>
      <c r="B179" s="432" t="s">
        <v>211</v>
      </c>
      <c r="C179" s="367" t="s">
        <v>13</v>
      </c>
      <c r="D179" s="434" t="s">
        <v>752</v>
      </c>
      <c r="E179" s="453">
        <v>100000</v>
      </c>
      <c r="F179" s="276">
        <f t="shared" si="23"/>
        <v>100000</v>
      </c>
      <c r="G179" s="276"/>
    </row>
    <row r="180" spans="1:7" ht="20.100000000000001" customHeight="1">
      <c r="A180" s="224">
        <v>48</v>
      </c>
      <c r="B180" s="432" t="s">
        <v>213</v>
      </c>
      <c r="C180" s="367" t="s">
        <v>13</v>
      </c>
      <c r="D180" s="434" t="s">
        <v>752</v>
      </c>
      <c r="E180" s="453">
        <v>100000</v>
      </c>
      <c r="F180" s="276">
        <f t="shared" si="23"/>
        <v>100000</v>
      </c>
      <c r="G180" s="276"/>
    </row>
    <row r="181" spans="1:7" ht="20.100000000000001" customHeight="1">
      <c r="A181" s="224">
        <v>49</v>
      </c>
      <c r="B181" s="364" t="s">
        <v>342</v>
      </c>
      <c r="C181" s="367" t="s">
        <v>13</v>
      </c>
      <c r="D181" s="434" t="s">
        <v>752</v>
      </c>
      <c r="E181" s="453">
        <v>100000</v>
      </c>
      <c r="F181" s="276">
        <f t="shared" si="23"/>
        <v>100000</v>
      </c>
      <c r="G181" s="276"/>
    </row>
    <row r="182" spans="1:7" ht="20.100000000000001" customHeight="1">
      <c r="A182" s="224">
        <v>50</v>
      </c>
      <c r="B182" s="364" t="s">
        <v>405</v>
      </c>
      <c r="C182" s="367" t="s">
        <v>13</v>
      </c>
      <c r="D182" s="434" t="s">
        <v>752</v>
      </c>
      <c r="E182" s="453">
        <v>100000</v>
      </c>
      <c r="F182" s="276">
        <f t="shared" si="23"/>
        <v>100000</v>
      </c>
      <c r="G182" s="276"/>
    </row>
    <row r="183" spans="1:7" ht="20.100000000000001" customHeight="1">
      <c r="A183" s="224">
        <v>51</v>
      </c>
      <c r="B183" s="432" t="s">
        <v>232</v>
      </c>
      <c r="C183" s="367" t="s">
        <v>167</v>
      </c>
      <c r="D183" s="434" t="s">
        <v>752</v>
      </c>
      <c r="E183" s="453">
        <v>100000</v>
      </c>
      <c r="F183" s="276">
        <f t="shared" si="23"/>
        <v>100000</v>
      </c>
      <c r="G183" s="276"/>
    </row>
    <row r="184" spans="1:7" ht="20.100000000000001" customHeight="1">
      <c r="A184" s="224">
        <v>52</v>
      </c>
      <c r="B184" s="432" t="s">
        <v>233</v>
      </c>
      <c r="C184" s="367" t="s">
        <v>167</v>
      </c>
      <c r="D184" s="434" t="s">
        <v>752</v>
      </c>
      <c r="E184" s="453">
        <v>100000</v>
      </c>
      <c r="F184" s="276">
        <f t="shared" si="23"/>
        <v>100000</v>
      </c>
      <c r="G184" s="276"/>
    </row>
    <row r="185" spans="1:7" ht="20.100000000000001" customHeight="1">
      <c r="A185" s="224">
        <v>53</v>
      </c>
      <c r="B185" s="364" t="s">
        <v>279</v>
      </c>
      <c r="C185" s="367" t="s">
        <v>715</v>
      </c>
      <c r="D185" s="434" t="s">
        <v>301</v>
      </c>
      <c r="E185" s="453">
        <v>100000</v>
      </c>
      <c r="F185" s="276">
        <f t="shared" si="23"/>
        <v>100000</v>
      </c>
      <c r="G185" s="276"/>
    </row>
    <row r="186" spans="1:7" ht="20.100000000000001" customHeight="1">
      <c r="A186" s="224">
        <v>54</v>
      </c>
      <c r="B186" s="364" t="s">
        <v>403</v>
      </c>
      <c r="C186" s="367" t="s">
        <v>13</v>
      </c>
      <c r="D186" s="434" t="s">
        <v>28</v>
      </c>
      <c r="E186" s="453">
        <v>100000</v>
      </c>
      <c r="F186" s="276">
        <f t="shared" si="23"/>
        <v>100000</v>
      </c>
      <c r="G186" s="276"/>
    </row>
    <row r="187" spans="1:7" ht="20.100000000000001" customHeight="1">
      <c r="A187" s="224">
        <v>55</v>
      </c>
      <c r="B187" s="364" t="s">
        <v>557</v>
      </c>
      <c r="C187" s="367" t="s">
        <v>558</v>
      </c>
      <c r="D187" s="434" t="s">
        <v>150</v>
      </c>
      <c r="E187" s="453">
        <v>100000</v>
      </c>
      <c r="F187" s="276">
        <f t="shared" si="23"/>
        <v>100000</v>
      </c>
      <c r="G187" s="454"/>
    </row>
    <row r="188" spans="1:7" ht="20.100000000000001" customHeight="1">
      <c r="A188" s="224">
        <v>56</v>
      </c>
      <c r="B188" s="364" t="s">
        <v>560</v>
      </c>
      <c r="C188" s="367" t="s">
        <v>558</v>
      </c>
      <c r="D188" s="434" t="s">
        <v>150</v>
      </c>
      <c r="E188" s="453">
        <v>100000</v>
      </c>
      <c r="F188" s="276">
        <f t="shared" si="23"/>
        <v>100000</v>
      </c>
      <c r="G188" s="454"/>
    </row>
    <row r="189" spans="1:7" ht="20.100000000000001" customHeight="1">
      <c r="A189" s="224">
        <v>57</v>
      </c>
      <c r="B189" s="364" t="s">
        <v>561</v>
      </c>
      <c r="C189" s="367" t="s">
        <v>558</v>
      </c>
      <c r="D189" s="434" t="s">
        <v>150</v>
      </c>
      <c r="E189" s="453">
        <v>100000</v>
      </c>
      <c r="F189" s="276">
        <f t="shared" si="23"/>
        <v>100000</v>
      </c>
      <c r="G189" s="454"/>
    </row>
    <row r="190" spans="1:7" ht="20.100000000000001" customHeight="1">
      <c r="A190" s="224">
        <v>58</v>
      </c>
      <c r="B190" s="364" t="s">
        <v>562</v>
      </c>
      <c r="C190" s="367" t="s">
        <v>563</v>
      </c>
      <c r="D190" s="434" t="s">
        <v>262</v>
      </c>
      <c r="E190" s="453">
        <v>100000</v>
      </c>
      <c r="F190" s="276">
        <f t="shared" si="23"/>
        <v>100000</v>
      </c>
      <c r="G190" s="276"/>
    </row>
    <row r="191" spans="1:7" ht="20.100000000000001" customHeight="1">
      <c r="A191" s="224">
        <v>59</v>
      </c>
      <c r="B191" s="364" t="s">
        <v>565</v>
      </c>
      <c r="C191" s="367" t="s">
        <v>563</v>
      </c>
      <c r="D191" s="434" t="s">
        <v>262</v>
      </c>
      <c r="E191" s="453">
        <v>100000</v>
      </c>
      <c r="F191" s="276">
        <f t="shared" si="23"/>
        <v>100000</v>
      </c>
      <c r="G191" s="276"/>
    </row>
    <row r="192" spans="1:7" ht="20.100000000000001" customHeight="1">
      <c r="A192" s="224"/>
      <c r="B192" s="210" t="s">
        <v>15</v>
      </c>
      <c r="C192" s="226" t="s">
        <v>710</v>
      </c>
      <c r="D192" s="358"/>
      <c r="E192" s="274">
        <f>SUM(E133:E191)</f>
        <v>13800000</v>
      </c>
      <c r="F192" s="274">
        <f t="shared" ref="F192:G192" si="24">SUM(F133:F191)</f>
        <v>10400000</v>
      </c>
      <c r="G192" s="274">
        <f t="shared" si="24"/>
        <v>3400000</v>
      </c>
    </row>
    <row r="193" spans="1:7" ht="20.100000000000001" customHeight="1">
      <c r="A193" s="357"/>
      <c r="B193" s="227"/>
      <c r="C193" s="228"/>
      <c r="D193" s="229"/>
    </row>
    <row r="194" spans="1:7" ht="33" customHeight="1">
      <c r="A194" s="357"/>
      <c r="B194" s="227" t="s">
        <v>8</v>
      </c>
      <c r="C194" s="228">
        <f>C192+C130+C117+C112+C102+C95+C81+C71+C57+C52+J1+C37+C31</f>
        <v>153</v>
      </c>
      <c r="D194" s="228"/>
      <c r="E194" s="462">
        <f>E192+E130+E117+E112+E102+E95+E71+E57+E52+E37+E31</f>
        <v>57650000</v>
      </c>
      <c r="F194" s="463">
        <f t="shared" ref="F194:G194" si="25">F192+F130+F117+F112+F102+F95+F71+F57+F52+F37+F31</f>
        <v>26600000</v>
      </c>
      <c r="G194" s="463">
        <f t="shared" si="25"/>
        <v>31050000</v>
      </c>
    </row>
    <row r="195" spans="1:7" ht="20.100000000000001" customHeight="1">
      <c r="A195" s="202"/>
      <c r="B195" s="231"/>
      <c r="C195" s="202"/>
      <c r="D195" s="232"/>
      <c r="E195" s="455"/>
      <c r="F195" s="455"/>
      <c r="G195" s="455"/>
    </row>
    <row r="196" spans="1:7" ht="36.75" customHeight="1">
      <c r="A196" s="456"/>
      <c r="B196" s="457"/>
      <c r="C196" s="458"/>
      <c r="D196" s="458"/>
      <c r="E196" s="459"/>
      <c r="F196" s="459"/>
      <c r="G196" s="460"/>
    </row>
    <row r="197" spans="1:7" ht="20.100000000000001" customHeight="1">
      <c r="E197" s="284"/>
      <c r="F197" s="284"/>
      <c r="G197" s="284"/>
    </row>
    <row r="198" spans="1:7" ht="20.100000000000001" customHeight="1">
      <c r="E198" s="284"/>
      <c r="F198" s="284"/>
      <c r="G198" s="284"/>
    </row>
    <row r="199" spans="1:7" ht="20.100000000000001" customHeight="1">
      <c r="E199" s="284"/>
      <c r="F199" s="284"/>
      <c r="G199" s="284"/>
    </row>
    <row r="200" spans="1:7" ht="20.100000000000001" customHeight="1">
      <c r="E200" s="284"/>
      <c r="F200" s="284"/>
      <c r="G200" s="284"/>
    </row>
    <row r="201" spans="1:7" ht="20.100000000000001" customHeight="1">
      <c r="E201" s="284"/>
      <c r="F201" s="284"/>
      <c r="G201" s="284"/>
    </row>
    <row r="202" spans="1:7" ht="20.100000000000001" customHeight="1">
      <c r="E202" s="284"/>
      <c r="F202" s="284"/>
      <c r="G202" s="284"/>
    </row>
    <row r="203" spans="1:7" ht="20.100000000000001" customHeight="1">
      <c r="E203" s="284"/>
      <c r="F203" s="284"/>
      <c r="G203" s="284"/>
    </row>
    <row r="204" spans="1:7" ht="20.100000000000001" customHeight="1">
      <c r="E204" s="284"/>
      <c r="F204" s="284"/>
      <c r="G204" s="284"/>
    </row>
    <row r="205" spans="1:7" ht="20.100000000000001" customHeight="1">
      <c r="E205" s="284"/>
      <c r="F205" s="284"/>
      <c r="G205" s="284"/>
    </row>
    <row r="206" spans="1:7" ht="20.100000000000001" customHeight="1">
      <c r="E206" s="284"/>
      <c r="F206" s="284"/>
      <c r="G206" s="284"/>
    </row>
    <row r="207" spans="1:7" ht="20.100000000000001" customHeight="1">
      <c r="E207" s="284"/>
      <c r="F207" s="284"/>
      <c r="G207" s="284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90" orientation="landscape" horizontalDpi="1200" verticalDpi="1200" r:id="rId1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2"/>
  <sheetViews>
    <sheetView zoomScaleNormal="100" zoomScaleSheetLayoutView="50" workbookViewId="0">
      <pane xSplit="3" ySplit="6" topLeftCell="X14" activePane="bottomRight" state="frozen"/>
      <selection pane="topRight" activeCell="E1" sqref="E1"/>
      <selection pane="bottomLeft" activeCell="A10" sqref="A10"/>
      <selection pane="bottomRight" activeCell="X12" sqref="X12"/>
    </sheetView>
  </sheetViews>
  <sheetFormatPr defaultColWidth="9.140625" defaultRowHeight="20.100000000000001" customHeight="1"/>
  <cols>
    <col min="1" max="1" width="5.42578125" style="196" customWidth="1"/>
    <col min="2" max="2" width="39.42578125" style="196" customWidth="1"/>
    <col min="3" max="3" width="26.5703125" style="196" customWidth="1"/>
    <col min="4" max="4" width="14.85546875" style="196" customWidth="1"/>
    <col min="5" max="5" width="17.85546875" style="196" customWidth="1"/>
    <col min="6" max="6" width="19.42578125" style="196" customWidth="1"/>
    <col min="7" max="7" width="16" style="196" customWidth="1"/>
    <col min="8" max="8" width="18.140625" style="196" customWidth="1"/>
    <col min="9" max="9" width="18" style="196" customWidth="1"/>
    <col min="10" max="10" width="20" style="196" customWidth="1"/>
    <col min="11" max="11" width="18.140625" style="196" customWidth="1"/>
    <col min="12" max="12" width="18.28515625" style="196" customWidth="1"/>
    <col min="13" max="13" width="18.140625" style="196" customWidth="1"/>
    <col min="14" max="14" width="15.7109375" style="196" customWidth="1"/>
    <col min="15" max="15" width="18.28515625" style="196" customWidth="1"/>
    <col min="16" max="16" width="17.85546875" style="196" customWidth="1"/>
    <col min="17" max="20" width="19.28515625" style="196" customWidth="1"/>
    <col min="21" max="21" width="14.85546875" style="196" customWidth="1"/>
    <col min="22" max="22" width="13.5703125" style="196" customWidth="1"/>
    <col min="23" max="23" width="20.42578125" style="368" customWidth="1"/>
    <col min="24" max="24" width="16.42578125" style="196" customWidth="1"/>
    <col min="25" max="26" width="17.7109375" style="196" customWidth="1"/>
    <col min="27" max="27" width="11.140625" style="196" customWidth="1"/>
    <col min="28" max="28" width="17.85546875" style="196" customWidth="1"/>
    <col min="29" max="29" width="21.7109375" style="196" customWidth="1"/>
    <col min="30" max="30" width="14.28515625" style="196" customWidth="1"/>
    <col min="31" max="16384" width="9.140625" style="196"/>
  </cols>
  <sheetData>
    <row r="1" spans="1:30" ht="27" customHeight="1">
      <c r="A1" s="705" t="s">
        <v>234</v>
      </c>
      <c r="B1" s="705"/>
      <c r="C1" s="705"/>
      <c r="D1" s="705"/>
      <c r="E1" s="705"/>
      <c r="F1" s="705"/>
      <c r="G1" s="195">
        <f>'[1]FEB 08'!F8/'[1]FEB 08'!Q8</f>
        <v>0.3</v>
      </c>
      <c r="H1" s="195"/>
      <c r="I1" s="195"/>
      <c r="J1" s="195"/>
      <c r="K1" s="195"/>
      <c r="L1" s="195"/>
      <c r="M1" s="195"/>
      <c r="N1" s="195"/>
      <c r="O1" s="195"/>
      <c r="P1" s="195"/>
    </row>
    <row r="2" spans="1:30" ht="33.75" customHeight="1">
      <c r="A2" s="197" t="s">
        <v>718</v>
      </c>
      <c r="B2" s="198"/>
      <c r="C2" s="197"/>
      <c r="D2" s="197"/>
      <c r="E2" s="199"/>
      <c r="F2" s="199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1"/>
      <c r="R2" s="201"/>
      <c r="S2" s="201"/>
      <c r="T2" s="201"/>
      <c r="U2" s="201"/>
      <c r="V2" s="201"/>
      <c r="W2" s="369"/>
      <c r="X2" s="201"/>
      <c r="Y2" s="201"/>
      <c r="Z2" s="201"/>
      <c r="AA2" s="201"/>
      <c r="AB2" s="201"/>
    </row>
    <row r="3" spans="1:30" ht="9.75" customHeight="1">
      <c r="A3" s="202"/>
      <c r="B3" s="202"/>
      <c r="C3" s="202"/>
      <c r="D3" s="202"/>
      <c r="E3" s="195" t="e">
        <f>'[1]FEB 08'!E11/'[1]FEB 08'!M11</f>
        <v>#REF!</v>
      </c>
      <c r="F3" s="195"/>
      <c r="G3" s="195" t="e">
        <f>'[1]FEB 08'!F11/'[1]FEB 08'!Q11</f>
        <v>#REF!</v>
      </c>
      <c r="H3" s="195"/>
      <c r="I3" s="195"/>
      <c r="J3" s="195"/>
      <c r="K3" s="195"/>
      <c r="L3" s="195"/>
      <c r="M3" s="195"/>
      <c r="N3" s="195"/>
      <c r="O3" s="195"/>
      <c r="P3" s="195"/>
    </row>
    <row r="4" spans="1:30" ht="60" customHeight="1">
      <c r="A4" s="357"/>
      <c r="B4" s="204" t="s">
        <v>0</v>
      </c>
      <c r="C4" s="204" t="s">
        <v>12</v>
      </c>
      <c r="D4" s="205" t="s">
        <v>661</v>
      </c>
      <c r="E4" s="208" t="s">
        <v>308</v>
      </c>
      <c r="F4" s="360" t="s">
        <v>2</v>
      </c>
      <c r="G4" s="360" t="s">
        <v>3</v>
      </c>
      <c r="H4" s="208" t="s">
        <v>32</v>
      </c>
      <c r="I4" s="360" t="s">
        <v>42</v>
      </c>
      <c r="J4" s="360" t="s">
        <v>43</v>
      </c>
      <c r="K4" s="360" t="s">
        <v>46</v>
      </c>
      <c r="L4" s="208" t="s">
        <v>93</v>
      </c>
      <c r="M4" s="208" t="s">
        <v>93</v>
      </c>
      <c r="N4" s="360" t="s">
        <v>33</v>
      </c>
      <c r="O4" s="360" t="s">
        <v>33</v>
      </c>
      <c r="P4" s="208" t="s">
        <v>49</v>
      </c>
      <c r="Q4" s="389" t="s">
        <v>660</v>
      </c>
      <c r="R4" s="205" t="s">
        <v>664</v>
      </c>
      <c r="S4" s="389" t="s">
        <v>662</v>
      </c>
      <c r="T4" s="208" t="s">
        <v>668</v>
      </c>
      <c r="U4" s="208" t="s">
        <v>666</v>
      </c>
      <c r="V4" s="208" t="s">
        <v>667</v>
      </c>
      <c r="W4" s="208" t="s">
        <v>665</v>
      </c>
      <c r="X4" s="208" t="s">
        <v>371</v>
      </c>
      <c r="Y4" s="393" t="s">
        <v>669</v>
      </c>
      <c r="Z4" s="394" t="s">
        <v>670</v>
      </c>
      <c r="AA4" s="208" t="s">
        <v>511</v>
      </c>
      <c r="AB4" s="254" t="s">
        <v>671</v>
      </c>
    </row>
    <row r="5" spans="1:30" ht="17.25" customHeight="1">
      <c r="C5" s="210"/>
      <c r="D5" s="210"/>
      <c r="E5" s="211" t="s">
        <v>5</v>
      </c>
      <c r="F5" s="211" t="s">
        <v>5</v>
      </c>
      <c r="G5" s="211" t="s">
        <v>5</v>
      </c>
      <c r="H5" s="211" t="s">
        <v>5</v>
      </c>
      <c r="I5" s="211" t="s">
        <v>5</v>
      </c>
      <c r="J5" s="211" t="s">
        <v>5</v>
      </c>
      <c r="K5" s="211" t="s">
        <v>5</v>
      </c>
      <c r="L5" s="211" t="s">
        <v>5</v>
      </c>
      <c r="M5" s="211" t="s">
        <v>5</v>
      </c>
      <c r="N5" s="211" t="s">
        <v>5</v>
      </c>
      <c r="O5" s="211" t="s">
        <v>5</v>
      </c>
      <c r="P5" s="211" t="s">
        <v>5</v>
      </c>
      <c r="Q5" s="243" t="s">
        <v>5</v>
      </c>
      <c r="R5" s="210"/>
      <c r="S5" s="243" t="s">
        <v>5</v>
      </c>
      <c r="T5" s="211"/>
      <c r="U5" s="211" t="s">
        <v>5</v>
      </c>
      <c r="V5" s="211"/>
      <c r="W5" s="370" t="s">
        <v>5</v>
      </c>
      <c r="X5" s="211"/>
      <c r="Y5" s="211"/>
      <c r="Z5" s="249"/>
      <c r="AA5" s="211"/>
      <c r="AB5" s="249"/>
    </row>
    <row r="6" spans="1:30" ht="20.100000000000001" customHeight="1">
      <c r="A6" s="209" t="s">
        <v>143</v>
      </c>
      <c r="B6" s="210" t="s">
        <v>433</v>
      </c>
      <c r="C6" s="210"/>
      <c r="D6" s="210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43"/>
      <c r="R6" s="210"/>
      <c r="S6" s="243"/>
      <c r="T6" s="211"/>
      <c r="U6" s="211"/>
      <c r="V6" s="211"/>
      <c r="W6" s="370"/>
      <c r="X6" s="211"/>
      <c r="Y6" s="211"/>
      <c r="Z6" s="249"/>
      <c r="AA6" s="211"/>
      <c r="AB6" s="249"/>
    </row>
    <row r="7" spans="1:30" ht="18.75" customHeight="1">
      <c r="A7" s="359">
        <v>1</v>
      </c>
      <c r="B7" s="367" t="s">
        <v>735</v>
      </c>
      <c r="C7" s="196" t="s">
        <v>736</v>
      </c>
      <c r="D7" s="214" t="s">
        <v>267</v>
      </c>
      <c r="E7" s="26">
        <v>13492.21</v>
      </c>
      <c r="F7" s="26"/>
      <c r="G7" s="26">
        <f t="shared" ref="G7" si="0">E7*300%</f>
        <v>40476.629999999997</v>
      </c>
      <c r="H7" s="26">
        <f t="shared" ref="H7" si="1">E7*7.5%</f>
        <v>1011.9157499999999</v>
      </c>
      <c r="I7" s="26"/>
      <c r="J7" s="26">
        <f>E7*50%</f>
        <v>6746.1049999999996</v>
      </c>
      <c r="K7" s="26">
        <f t="shared" ref="K7" si="2">E7*350%</f>
        <v>47222.735000000001</v>
      </c>
      <c r="L7" s="26">
        <f>E7*100%</f>
        <v>13492.21</v>
      </c>
      <c r="M7" s="212"/>
      <c r="N7" s="212">
        <f>50000</f>
        <v>50000</v>
      </c>
      <c r="O7" s="26">
        <f>E7*10%</f>
        <v>1349.221</v>
      </c>
      <c r="P7" s="26">
        <v>10000</v>
      </c>
      <c r="Q7" s="237">
        <f ca="1">SUM(E7:Q7)</f>
        <v>183791.02674999999</v>
      </c>
      <c r="R7" s="415" t="s">
        <v>428</v>
      </c>
      <c r="S7" s="238">
        <f>205204.08</f>
        <v>205204.08</v>
      </c>
      <c r="T7" s="24">
        <f>205204.08-183791.03</f>
        <v>21413.049999999988</v>
      </c>
      <c r="U7" s="26"/>
      <c r="V7" s="24"/>
      <c r="W7" s="371">
        <v>18102.900000000001</v>
      </c>
      <c r="X7" s="26">
        <f>21640.88</f>
        <v>21640.880000000001</v>
      </c>
      <c r="Y7" s="26">
        <f>X7-W7</f>
        <v>3537.9799999999996</v>
      </c>
      <c r="Z7" s="241">
        <f>T7-Y7</f>
        <v>17875.069999999989</v>
      </c>
      <c r="AA7" s="26">
        <f>8/30</f>
        <v>0.26666666666666666</v>
      </c>
      <c r="AB7" s="241">
        <f>Z7*AA7</f>
        <v>4766.6853333333302</v>
      </c>
      <c r="AC7" s="213"/>
      <c r="AD7" s="235"/>
    </row>
    <row r="8" spans="1:30" ht="26.25" customHeight="1">
      <c r="A8" s="359"/>
      <c r="B8" s="366" t="s">
        <v>15</v>
      </c>
      <c r="C8" s="360"/>
      <c r="D8" s="214"/>
      <c r="E8" s="216">
        <f t="shared" ref="E8:P8" si="3">SUM(E7:E7)</f>
        <v>13492.21</v>
      </c>
      <c r="F8" s="216">
        <f t="shared" si="3"/>
        <v>0</v>
      </c>
      <c r="G8" s="216">
        <f t="shared" si="3"/>
        <v>40476.629999999997</v>
      </c>
      <c r="H8" s="216">
        <f t="shared" si="3"/>
        <v>1011.9157499999999</v>
      </c>
      <c r="I8" s="216">
        <f t="shared" si="3"/>
        <v>0</v>
      </c>
      <c r="J8" s="216">
        <f t="shared" si="3"/>
        <v>6746.1049999999996</v>
      </c>
      <c r="K8" s="216">
        <f t="shared" si="3"/>
        <v>47222.735000000001</v>
      </c>
      <c r="L8" s="216">
        <f t="shared" si="3"/>
        <v>13492.21</v>
      </c>
      <c r="M8" s="216">
        <f t="shared" si="3"/>
        <v>0</v>
      </c>
      <c r="N8" s="216">
        <f t="shared" si="3"/>
        <v>50000</v>
      </c>
      <c r="O8" s="216">
        <f t="shared" si="3"/>
        <v>1349.221</v>
      </c>
      <c r="P8" s="216">
        <f t="shared" si="3"/>
        <v>10000</v>
      </c>
      <c r="Q8" s="414">
        <f>E8+F8+G8+H8+I8+J8+K8+L8+M8+N8+O8+P8</f>
        <v>183791.02674999999</v>
      </c>
      <c r="R8" s="214"/>
      <c r="S8" s="216">
        <f t="shared" ref="S8:Z8" si="4">SUM(S7:S7)</f>
        <v>205204.08</v>
      </c>
      <c r="T8" s="216">
        <f t="shared" si="4"/>
        <v>21413.049999999988</v>
      </c>
      <c r="U8" s="216">
        <f t="shared" si="4"/>
        <v>0</v>
      </c>
      <c r="V8" s="216">
        <f t="shared" si="4"/>
        <v>0</v>
      </c>
      <c r="W8" s="216">
        <f t="shared" si="4"/>
        <v>18102.900000000001</v>
      </c>
      <c r="X8" s="216">
        <f t="shared" si="4"/>
        <v>21640.880000000001</v>
      </c>
      <c r="Y8" s="216">
        <f t="shared" si="4"/>
        <v>3537.9799999999996</v>
      </c>
      <c r="Z8" s="250">
        <f t="shared" si="4"/>
        <v>17875.069999999989</v>
      </c>
      <c r="AA8" s="216"/>
      <c r="AB8" s="250">
        <f>SUM(AB7:AB7)</f>
        <v>4766.6853333333302</v>
      </c>
      <c r="AC8" s="213"/>
    </row>
    <row r="9" spans="1:30" ht="20.100000000000001" customHeight="1">
      <c r="A9" s="359"/>
      <c r="B9" s="365"/>
      <c r="C9" s="357"/>
      <c r="D9" s="359"/>
      <c r="E9" s="216"/>
      <c r="F9" s="216"/>
      <c r="G9" s="216"/>
      <c r="H9" s="216"/>
      <c r="I9" s="216"/>
      <c r="J9" s="216"/>
      <c r="K9" s="216"/>
      <c r="L9" s="212"/>
      <c r="M9" s="212"/>
      <c r="N9" s="216"/>
      <c r="O9" s="216"/>
      <c r="P9" s="216"/>
      <c r="Q9" s="244"/>
      <c r="R9" s="359"/>
      <c r="S9" s="244"/>
      <c r="T9" s="24"/>
      <c r="U9" s="216"/>
      <c r="V9" s="216"/>
      <c r="W9" s="372"/>
      <c r="X9" s="216"/>
      <c r="Y9" s="26"/>
      <c r="Z9" s="241"/>
      <c r="AA9" s="216"/>
      <c r="AB9" s="241"/>
      <c r="AC9" s="213"/>
    </row>
    <row r="10" spans="1:30" ht="20.100000000000001" customHeight="1">
      <c r="A10" s="359"/>
      <c r="B10" s="218" t="s">
        <v>56</v>
      </c>
      <c r="C10" s="203"/>
      <c r="D10" s="207"/>
      <c r="E10" s="216"/>
      <c r="F10" s="216"/>
      <c r="G10" s="24"/>
      <c r="H10" s="24"/>
      <c r="I10" s="24"/>
      <c r="J10" s="24"/>
      <c r="K10" s="24"/>
      <c r="L10" s="212"/>
      <c r="M10" s="212"/>
      <c r="N10" s="24"/>
      <c r="O10" s="24"/>
      <c r="P10" s="24"/>
      <c r="Q10" s="237"/>
      <c r="R10" s="207"/>
      <c r="S10" s="237"/>
      <c r="T10" s="24"/>
      <c r="U10" s="24"/>
      <c r="V10" s="24"/>
      <c r="W10" s="373"/>
      <c r="X10" s="24"/>
      <c r="Y10" s="26"/>
      <c r="Z10" s="241"/>
      <c r="AA10" s="24"/>
      <c r="AB10" s="241"/>
      <c r="AC10" s="213"/>
    </row>
    <row r="11" spans="1:30" ht="20.100000000000001" customHeight="1">
      <c r="A11" s="359">
        <v>2</v>
      </c>
      <c r="B11" s="363" t="s">
        <v>165</v>
      </c>
      <c r="C11" s="357" t="s">
        <v>258</v>
      </c>
      <c r="D11" s="359" t="s">
        <v>75</v>
      </c>
      <c r="E11" s="26">
        <v>33507.5</v>
      </c>
      <c r="F11" s="26"/>
      <c r="G11" s="26">
        <f>E11*300%</f>
        <v>100522.5</v>
      </c>
      <c r="H11" s="26">
        <f>E11*7.5%</f>
        <v>2513.0625</v>
      </c>
      <c r="I11" s="26">
        <v>40122.19</v>
      </c>
      <c r="J11" s="26">
        <f>E11*50%</f>
        <v>16753.75</v>
      </c>
      <c r="K11" s="26">
        <f>E11*350%</f>
        <v>117276.25</v>
      </c>
      <c r="L11" s="26">
        <f>E11*100%</f>
        <v>33507.5</v>
      </c>
      <c r="M11" s="212">
        <f>160000</f>
        <v>160000</v>
      </c>
      <c r="N11" s="212"/>
      <c r="O11" s="26">
        <f>E11*10%</f>
        <v>3350.75</v>
      </c>
      <c r="P11" s="26">
        <v>20000</v>
      </c>
      <c r="Q11" s="237">
        <f ca="1">SUM(E11:Q11)</f>
        <v>527553.50249999994</v>
      </c>
      <c r="R11" s="415" t="s">
        <v>29</v>
      </c>
      <c r="S11" s="237">
        <f>'SALARY STRUCTURE'!H19+180000</f>
        <v>604023.33333333326</v>
      </c>
      <c r="T11" s="24">
        <f>604023.33-527553.5</f>
        <v>76469.829999999958</v>
      </c>
      <c r="U11" s="24">
        <f>837.69</f>
        <v>837.69</v>
      </c>
      <c r="V11" s="24">
        <f>1028.94</f>
        <v>1028.94</v>
      </c>
      <c r="W11" s="371">
        <f>79956.94</f>
        <v>79956.94</v>
      </c>
      <c r="X11" s="26">
        <f>94639.15</f>
        <v>94639.15</v>
      </c>
      <c r="Y11" s="26">
        <f t="shared" ref="Y11:Y18" si="5">X11-W11</f>
        <v>14682.209999999992</v>
      </c>
      <c r="Z11" s="241">
        <f t="shared" ref="Z11:Z18" si="6">T11-Y11</f>
        <v>61787.619999999966</v>
      </c>
      <c r="AA11" s="26">
        <v>9</v>
      </c>
      <c r="AB11" s="241">
        <f t="shared" ref="AB11:AB18" si="7">Z11*AA11</f>
        <v>556088.57999999973</v>
      </c>
      <c r="AC11" s="213"/>
    </row>
    <row r="12" spans="1:30" ht="20.100000000000001" customHeight="1">
      <c r="A12" s="359">
        <v>3</v>
      </c>
      <c r="B12" s="363" t="s">
        <v>205</v>
      </c>
      <c r="C12" s="357" t="s">
        <v>78</v>
      </c>
      <c r="D12" s="359" t="s">
        <v>181</v>
      </c>
      <c r="E12" s="26">
        <v>27611.23</v>
      </c>
      <c r="F12" s="26"/>
      <c r="G12" s="26">
        <f t="shared" ref="G12" si="8">E12*300%</f>
        <v>82833.69</v>
      </c>
      <c r="H12" s="26">
        <f t="shared" ref="H12" si="9">E12*7.5%</f>
        <v>2070.8422499999997</v>
      </c>
      <c r="I12" s="26"/>
      <c r="J12" s="26">
        <f t="shared" ref="J12" si="10">E12*50%</f>
        <v>13805.615</v>
      </c>
      <c r="K12" s="26">
        <f t="shared" ref="K12" si="11">E12*350%</f>
        <v>96639.304999999993</v>
      </c>
      <c r="L12" s="26">
        <f t="shared" ref="L12" si="12">E12*100%</f>
        <v>27611.23</v>
      </c>
      <c r="M12" s="212">
        <f t="shared" ref="M12" si="13">140000</f>
        <v>140000</v>
      </c>
      <c r="N12" s="212"/>
      <c r="O12" s="26">
        <f t="shared" ref="O12" si="14">E12*10%</f>
        <v>2761.123</v>
      </c>
      <c r="P12" s="26">
        <v>20000</v>
      </c>
      <c r="Q12" s="237">
        <f ca="1">SUM(E12:Q12)</f>
        <v>413333.03525000007</v>
      </c>
      <c r="R12" s="415" t="s">
        <v>30</v>
      </c>
      <c r="S12" s="24">
        <f>'SALARY STRUCTURE'!H18+160000</f>
        <v>504720.16666666669</v>
      </c>
      <c r="T12" s="24">
        <f>504720.05-413333.04</f>
        <v>91387.010000000009</v>
      </c>
      <c r="U12" s="24">
        <v>0</v>
      </c>
      <c r="V12" s="24"/>
      <c r="W12" s="26">
        <v>57889.864794666668</v>
      </c>
      <c r="X12" s="296">
        <f>75436.17</f>
        <v>75436.17</v>
      </c>
      <c r="Y12" s="26">
        <f t="shared" si="5"/>
        <v>17546.30520533333</v>
      </c>
      <c r="Z12" s="241">
        <f>T12-Y12</f>
        <v>73840.704794666672</v>
      </c>
      <c r="AA12" s="213">
        <v>0</v>
      </c>
      <c r="AB12" s="416">
        <f>Z12*AA12</f>
        <v>0</v>
      </c>
    </row>
    <row r="13" spans="1:30" ht="25.5" customHeight="1">
      <c r="A13" s="359"/>
      <c r="B13" s="366" t="s">
        <v>15</v>
      </c>
      <c r="C13" s="360"/>
      <c r="D13" s="360"/>
      <c r="E13" s="78">
        <f>SUM(E11:E12)</f>
        <v>61118.729999999996</v>
      </c>
      <c r="F13" s="78">
        <f t="shared" ref="F13:AB13" si="15">SUM(F11:F12)</f>
        <v>0</v>
      </c>
      <c r="G13" s="78">
        <f t="shared" si="15"/>
        <v>183356.19</v>
      </c>
      <c r="H13" s="78">
        <f t="shared" si="15"/>
        <v>4583.9047499999997</v>
      </c>
      <c r="I13" s="78">
        <f t="shared" si="15"/>
        <v>40122.19</v>
      </c>
      <c r="J13" s="78">
        <f t="shared" si="15"/>
        <v>30559.364999999998</v>
      </c>
      <c r="K13" s="78">
        <f t="shared" si="15"/>
        <v>213915.55499999999</v>
      </c>
      <c r="L13" s="78">
        <f t="shared" si="15"/>
        <v>61118.729999999996</v>
      </c>
      <c r="M13" s="78">
        <f t="shared" si="15"/>
        <v>300000</v>
      </c>
      <c r="N13" s="78">
        <f t="shared" si="15"/>
        <v>0</v>
      </c>
      <c r="O13" s="78">
        <f t="shared" si="15"/>
        <v>6111.8729999999996</v>
      </c>
      <c r="P13" s="78">
        <f t="shared" si="15"/>
        <v>40000</v>
      </c>
      <c r="Q13" s="78">
        <f ca="1">SUM(Q11:Q12)</f>
        <v>61118.729999999996</v>
      </c>
      <c r="R13" s="78">
        <f t="shared" si="15"/>
        <v>0</v>
      </c>
      <c r="S13" s="78">
        <f t="shared" si="15"/>
        <v>1108743.5</v>
      </c>
      <c r="T13" s="78">
        <f t="shared" si="15"/>
        <v>167856.83999999997</v>
      </c>
      <c r="U13" s="78">
        <f t="shared" si="15"/>
        <v>837.69</v>
      </c>
      <c r="V13" s="78">
        <f t="shared" si="15"/>
        <v>1028.94</v>
      </c>
      <c r="W13" s="78">
        <f t="shared" si="15"/>
        <v>137846.80479466668</v>
      </c>
      <c r="X13" s="78">
        <f t="shared" si="15"/>
        <v>170075.32</v>
      </c>
      <c r="Y13" s="78">
        <f t="shared" si="15"/>
        <v>32228.515205333322</v>
      </c>
      <c r="Z13" s="78">
        <f t="shared" si="15"/>
        <v>135628.32479466664</v>
      </c>
      <c r="AA13" s="78">
        <f t="shared" si="15"/>
        <v>9</v>
      </c>
      <c r="AB13" s="78">
        <f t="shared" si="15"/>
        <v>556088.57999999973</v>
      </c>
      <c r="AC13" s="213"/>
    </row>
    <row r="14" spans="1:30" ht="20.100000000000001" customHeight="1">
      <c r="A14" s="359"/>
      <c r="B14" s="366"/>
      <c r="C14" s="360"/>
      <c r="D14" s="360"/>
      <c r="E14" s="31"/>
      <c r="F14" s="31"/>
      <c r="G14" s="31"/>
      <c r="H14" s="31"/>
      <c r="I14" s="31"/>
      <c r="J14" s="31"/>
      <c r="K14" s="31"/>
      <c r="L14" s="212"/>
      <c r="M14" s="212"/>
      <c r="N14" s="31"/>
      <c r="O14" s="31"/>
      <c r="P14" s="31"/>
      <c r="Q14" s="245"/>
      <c r="R14" s="360"/>
      <c r="S14" s="245"/>
      <c r="T14" s="24">
        <f t="shared" ref="T14" si="16">S14-Q14</f>
        <v>0</v>
      </c>
      <c r="U14" s="31"/>
      <c r="V14" s="31"/>
      <c r="W14" s="375"/>
      <c r="X14" s="31"/>
      <c r="Y14" s="26"/>
      <c r="Z14" s="241"/>
      <c r="AA14" s="31"/>
      <c r="AB14" s="241"/>
      <c r="AC14" s="213"/>
    </row>
    <row r="15" spans="1:30" ht="20.100000000000001" customHeight="1">
      <c r="A15" s="357"/>
      <c r="B15" s="362"/>
      <c r="C15" s="359"/>
      <c r="D15" s="357"/>
      <c r="E15" s="222"/>
      <c r="F15" s="222"/>
      <c r="G15" s="222"/>
      <c r="H15" s="222"/>
      <c r="I15" s="222"/>
      <c r="J15" s="222"/>
      <c r="K15" s="222"/>
      <c r="L15" s="212"/>
      <c r="M15" s="212"/>
      <c r="N15" s="222"/>
      <c r="O15" s="222"/>
      <c r="P15" s="222"/>
      <c r="Q15" s="239"/>
      <c r="R15" s="357"/>
      <c r="S15" s="239"/>
      <c r="T15" s="24"/>
      <c r="U15" s="222"/>
      <c r="V15" s="222"/>
      <c r="W15" s="376"/>
      <c r="X15" s="222"/>
      <c r="Y15" s="26">
        <f t="shared" si="5"/>
        <v>0</v>
      </c>
      <c r="Z15" s="241">
        <f t="shared" si="6"/>
        <v>0</v>
      </c>
      <c r="AA15" s="222"/>
      <c r="AB15" s="241">
        <f t="shared" si="7"/>
        <v>0</v>
      </c>
      <c r="AC15" s="213"/>
    </row>
    <row r="16" spans="1:30" ht="20.100000000000001" customHeight="1">
      <c r="A16" s="357"/>
      <c r="B16" s="366" t="s">
        <v>466</v>
      </c>
      <c r="C16" s="360"/>
      <c r="D16" s="360"/>
      <c r="E16" s="31"/>
      <c r="F16" s="31"/>
      <c r="G16" s="31"/>
      <c r="H16" s="31"/>
      <c r="I16" s="31"/>
      <c r="J16" s="31"/>
      <c r="K16" s="31"/>
      <c r="L16" s="212"/>
      <c r="M16" s="212"/>
      <c r="N16" s="31"/>
      <c r="O16" s="31"/>
      <c r="P16" s="31"/>
      <c r="Q16" s="246"/>
      <c r="R16" s="360"/>
      <c r="S16" s="246"/>
      <c r="T16" s="24"/>
      <c r="U16" s="215"/>
      <c r="V16" s="215"/>
      <c r="W16" s="375"/>
      <c r="X16" s="31"/>
      <c r="Y16" s="26">
        <f t="shared" si="5"/>
        <v>0</v>
      </c>
      <c r="Z16" s="241">
        <f t="shared" si="6"/>
        <v>0</v>
      </c>
      <c r="AA16" s="31"/>
      <c r="AB16" s="241">
        <f t="shared" si="7"/>
        <v>0</v>
      </c>
      <c r="AC16" s="213"/>
    </row>
    <row r="17" spans="1:29" ht="20.100000000000001" customHeight="1">
      <c r="A17" s="357">
        <v>3</v>
      </c>
      <c r="B17" s="363" t="s">
        <v>153</v>
      </c>
      <c r="C17" s="367" t="s">
        <v>376</v>
      </c>
      <c r="D17" s="214" t="s">
        <v>75</v>
      </c>
      <c r="E17" s="26">
        <v>33507.5</v>
      </c>
      <c r="F17" s="26"/>
      <c r="G17" s="26">
        <f t="shared" ref="G17:G18" si="17">E17*300%</f>
        <v>100522.5</v>
      </c>
      <c r="H17" s="26">
        <f t="shared" ref="H17:H18" si="18">E17*7.5%</f>
        <v>2513.0625</v>
      </c>
      <c r="I17" s="26">
        <v>40122.19</v>
      </c>
      <c r="J17" s="26">
        <f t="shared" ref="J17:J18" si="19">E17*50%</f>
        <v>16753.75</v>
      </c>
      <c r="K17" s="24">
        <f t="shared" ref="K17:K18" si="20">E17*350%</f>
        <v>117276.25</v>
      </c>
      <c r="L17" s="26">
        <f t="shared" ref="L17:L18" si="21">E17*100%</f>
        <v>33507.5</v>
      </c>
      <c r="M17" s="212">
        <f>80000</f>
        <v>80000</v>
      </c>
      <c r="N17" s="26">
        <f>E17*10%</f>
        <v>3350.75</v>
      </c>
      <c r="O17" s="26">
        <v>20000</v>
      </c>
      <c r="P17" s="26">
        <v>100000</v>
      </c>
      <c r="Q17" s="237">
        <f>SUM(E17:P17)</f>
        <v>547553.50249999994</v>
      </c>
      <c r="R17" s="415" t="s">
        <v>29</v>
      </c>
      <c r="S17" s="237">
        <f>'SALARY STRUCTURE'!H19+190000</f>
        <v>614023.33333333326</v>
      </c>
      <c r="T17" s="24">
        <f>S17-Q17</f>
        <v>66469.830833333312</v>
      </c>
      <c r="U17" s="24">
        <f>837.69</f>
        <v>837.69</v>
      </c>
      <c r="V17" s="24">
        <f>1028.94</f>
        <v>1028.94</v>
      </c>
      <c r="W17" s="371">
        <f>83626.1</f>
        <v>83626.100000000006</v>
      </c>
      <c r="X17" s="26">
        <f>96398.31</f>
        <v>96398.31</v>
      </c>
      <c r="Y17" s="26">
        <f t="shared" si="5"/>
        <v>12772.209999999992</v>
      </c>
      <c r="Z17" s="241">
        <f t="shared" si="6"/>
        <v>53697.62083333332</v>
      </c>
      <c r="AA17" s="26">
        <v>11</v>
      </c>
      <c r="AB17" s="241">
        <f t="shared" si="7"/>
        <v>590673.82916666649</v>
      </c>
      <c r="AC17" s="213"/>
    </row>
    <row r="18" spans="1:29" ht="20.100000000000001" customHeight="1">
      <c r="A18" s="357"/>
      <c r="B18" s="363" t="s">
        <v>178</v>
      </c>
      <c r="C18" s="367" t="s">
        <v>382</v>
      </c>
      <c r="D18" s="214" t="s">
        <v>170</v>
      </c>
      <c r="E18" s="26">
        <v>25523.45</v>
      </c>
      <c r="F18" s="26"/>
      <c r="G18" s="26">
        <f t="shared" si="17"/>
        <v>76570.350000000006</v>
      </c>
      <c r="H18" s="26">
        <f t="shared" si="18"/>
        <v>1914.25875</v>
      </c>
      <c r="I18" s="26"/>
      <c r="J18" s="26">
        <f t="shared" si="19"/>
        <v>12761.725</v>
      </c>
      <c r="K18" s="24">
        <f t="shared" si="20"/>
        <v>89332.074999999997</v>
      </c>
      <c r="L18" s="26">
        <f t="shared" si="21"/>
        <v>25523.45</v>
      </c>
      <c r="M18" s="212"/>
      <c r="N18" s="212">
        <f t="shared" ref="N18" si="22">70000</f>
        <v>70000</v>
      </c>
      <c r="O18" s="26">
        <f t="shared" ref="O18" si="23">E18*10%</f>
        <v>2552.3450000000003</v>
      </c>
      <c r="P18" s="26">
        <v>15000</v>
      </c>
      <c r="Q18" s="237">
        <f ca="1">SUM(E18:Q18)</f>
        <v>319177.65375</v>
      </c>
      <c r="R18" s="359" t="s">
        <v>722</v>
      </c>
      <c r="S18" s="24">
        <f>'FEBRUARY 2024'!J127</f>
        <v>688716.42830999999</v>
      </c>
      <c r="T18" s="24">
        <f>327211.37-319177.65</f>
        <v>8033.7199999999721</v>
      </c>
      <c r="U18" s="24">
        <v>638.09</v>
      </c>
      <c r="V18" s="24">
        <v>690.28</v>
      </c>
      <c r="W18" s="26">
        <v>40684.6</v>
      </c>
      <c r="X18" s="296">
        <v>42034.239999999998</v>
      </c>
      <c r="Y18" s="26">
        <f t="shared" si="5"/>
        <v>1349.6399999999994</v>
      </c>
      <c r="Z18" s="241">
        <f t="shared" si="6"/>
        <v>6684.0799999999726</v>
      </c>
      <c r="AA18" s="26">
        <v>0</v>
      </c>
      <c r="AB18" s="241">
        <f t="shared" si="7"/>
        <v>0</v>
      </c>
      <c r="AC18" s="213"/>
    </row>
    <row r="19" spans="1:29" ht="28.5" customHeight="1">
      <c r="A19" s="357"/>
      <c r="B19" s="366" t="s">
        <v>15</v>
      </c>
      <c r="C19" s="220"/>
      <c r="D19" s="214"/>
      <c r="E19" s="31">
        <f t="shared" ref="E19:L19" si="24">SUM(E17:E17)</f>
        <v>33507.5</v>
      </c>
      <c r="F19" s="31">
        <f t="shared" si="24"/>
        <v>0</v>
      </c>
      <c r="G19" s="31">
        <f t="shared" si="24"/>
        <v>100522.5</v>
      </c>
      <c r="H19" s="31">
        <f t="shared" si="24"/>
        <v>2513.0625</v>
      </c>
      <c r="I19" s="31">
        <f t="shared" si="24"/>
        <v>40122.19</v>
      </c>
      <c r="J19" s="31">
        <f t="shared" si="24"/>
        <v>16753.75</v>
      </c>
      <c r="K19" s="31">
        <f t="shared" si="24"/>
        <v>117276.25</v>
      </c>
      <c r="L19" s="31">
        <f t="shared" si="24"/>
        <v>33507.5</v>
      </c>
      <c r="M19" s="31" t="e">
        <f>SUM(#REF!)</f>
        <v>#REF!</v>
      </c>
      <c r="N19" s="31">
        <f>SUM(M17:M17)</f>
        <v>80000</v>
      </c>
      <c r="O19" s="31">
        <f>SUM(N17:N17)</f>
        <v>3350.75</v>
      </c>
      <c r="P19" s="31">
        <f>SUM(O17:O17)</f>
        <v>20000</v>
      </c>
      <c r="Q19" s="31">
        <f>SUM(P17:P17)</f>
        <v>100000</v>
      </c>
      <c r="R19" s="214"/>
      <c r="S19" s="31">
        <f t="shared" ref="S19:Z19" si="25">SUM(S17:S17)</f>
        <v>614023.33333333326</v>
      </c>
      <c r="T19" s="31">
        <f t="shared" si="25"/>
        <v>66469.830833333312</v>
      </c>
      <c r="U19" s="31">
        <f t="shared" si="25"/>
        <v>837.69</v>
      </c>
      <c r="V19" s="31">
        <f t="shared" si="25"/>
        <v>1028.94</v>
      </c>
      <c r="W19" s="31">
        <f t="shared" si="25"/>
        <v>83626.100000000006</v>
      </c>
      <c r="X19" s="31">
        <f t="shared" si="25"/>
        <v>96398.31</v>
      </c>
      <c r="Y19" s="31">
        <f t="shared" si="25"/>
        <v>12772.209999999992</v>
      </c>
      <c r="Z19" s="251">
        <f t="shared" si="25"/>
        <v>53697.62083333332</v>
      </c>
      <c r="AA19" s="31"/>
      <c r="AB19" s="251">
        <f>SUM(AB17:AB17)</f>
        <v>590673.82916666649</v>
      </c>
      <c r="AC19" s="213"/>
    </row>
    <row r="20" spans="1:29" ht="18.75" customHeight="1">
      <c r="A20" s="357"/>
      <c r="B20" s="366"/>
      <c r="C20" s="220"/>
      <c r="D20" s="214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214"/>
      <c r="S20" s="31"/>
      <c r="T20" s="31"/>
      <c r="U20" s="31"/>
      <c r="V20" s="31"/>
      <c r="W20" s="31"/>
      <c r="X20" s="31"/>
      <c r="Y20" s="31"/>
      <c r="Z20" s="251"/>
      <c r="AA20" s="31"/>
      <c r="AB20" s="251"/>
      <c r="AC20" s="213"/>
    </row>
    <row r="21" spans="1:29" ht="28.5" customHeight="1">
      <c r="A21" s="357"/>
      <c r="B21" s="366" t="s">
        <v>466</v>
      </c>
      <c r="C21" s="220"/>
      <c r="D21" s="214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214"/>
      <c r="S21" s="31"/>
      <c r="T21" s="31"/>
      <c r="U21" s="31"/>
      <c r="V21" s="31"/>
      <c r="W21" s="31"/>
      <c r="X21" s="31"/>
      <c r="Y21" s="31"/>
      <c r="Z21" s="251"/>
      <c r="AA21" s="31"/>
      <c r="AB21" s="251"/>
      <c r="AC21" s="213"/>
    </row>
    <row r="22" spans="1:29" ht="20.100000000000001" customHeight="1">
      <c r="A22" s="224">
        <v>15</v>
      </c>
      <c r="B22" s="363" t="s">
        <v>231</v>
      </c>
      <c r="C22" s="367" t="s">
        <v>167</v>
      </c>
      <c r="D22" s="214" t="s">
        <v>263</v>
      </c>
      <c r="E22" s="26">
        <v>5428.12</v>
      </c>
      <c r="F22" s="26">
        <f t="shared" ref="F22:F24" si="26">E22*300%</f>
        <v>16284.36</v>
      </c>
      <c r="G22" s="26">
        <f t="shared" ref="G22:G24" si="27">E22*7.5%</f>
        <v>407.10899999999998</v>
      </c>
      <c r="H22" s="26"/>
      <c r="I22" s="26">
        <f t="shared" ref="I22:I24" si="28">E22*50%</f>
        <v>2714.06</v>
      </c>
      <c r="J22" s="24">
        <f t="shared" ref="J22:J24" si="29">E22*350%</f>
        <v>18998.419999999998</v>
      </c>
      <c r="K22" s="26">
        <f t="shared" ref="K22:K24" si="30">E22*100%</f>
        <v>5428.12</v>
      </c>
      <c r="L22" s="212"/>
      <c r="M22" s="212">
        <f>20000</f>
        <v>20000</v>
      </c>
      <c r="N22" s="26">
        <f t="shared" ref="N22:N24" si="31">E22*10%</f>
        <v>542.81200000000001</v>
      </c>
      <c r="O22" s="26">
        <v>5000</v>
      </c>
      <c r="P22" s="26">
        <f>7000</f>
        <v>7000</v>
      </c>
      <c r="Q22" s="237">
        <f t="shared" ref="Q22:Q24" si="32">SUM(E22:P22)</f>
        <v>81803.001000000018</v>
      </c>
      <c r="R22" s="214" t="s">
        <v>306</v>
      </c>
      <c r="S22" s="237" t="e">
        <f>'SALARY STRUCTURE'!#REF!+30000</f>
        <v>#REF!</v>
      </c>
      <c r="T22" s="24" t="e">
        <f t="shared" ref="T22:T24" si="33">S22-Q22</f>
        <v>#REF!</v>
      </c>
      <c r="U22" s="24"/>
      <c r="V22" s="24"/>
      <c r="W22" s="373">
        <v>4365.3307546666683</v>
      </c>
      <c r="X22" s="24">
        <f>'[5]October 2023'!$Z$164</f>
        <v>8312.5899999999983</v>
      </c>
      <c r="Y22" s="26">
        <f t="shared" ref="Y22:Y24" si="34">X22-W22</f>
        <v>3947.25924533333</v>
      </c>
      <c r="Z22" s="241" t="e">
        <f t="shared" ref="Z22:Z24" si="35">T22-Y22</f>
        <v>#REF!</v>
      </c>
      <c r="AA22" s="24">
        <f>(10/31)+2</f>
        <v>2.3225806451612905</v>
      </c>
      <c r="AB22" s="241" t="e">
        <f t="shared" ref="AB22:AB24" si="36">Z22*AA22</f>
        <v>#REF!</v>
      </c>
      <c r="AC22" s="213"/>
    </row>
    <row r="23" spans="1:29" s="410" customFormat="1" ht="20.100000000000001" customHeight="1">
      <c r="A23" s="403">
        <v>16</v>
      </c>
      <c r="B23" s="404" t="s">
        <v>246</v>
      </c>
      <c r="C23" s="405" t="s">
        <v>167</v>
      </c>
      <c r="D23" s="406" t="s">
        <v>263</v>
      </c>
      <c r="E23" s="18">
        <v>5428.12</v>
      </c>
      <c r="F23" s="18">
        <f t="shared" si="26"/>
        <v>16284.36</v>
      </c>
      <c r="G23" s="18">
        <f t="shared" si="27"/>
        <v>407.10899999999998</v>
      </c>
      <c r="H23" s="18"/>
      <c r="I23" s="18">
        <f t="shared" si="28"/>
        <v>2714.06</v>
      </c>
      <c r="J23" s="16">
        <f t="shared" si="29"/>
        <v>18998.419999999998</v>
      </c>
      <c r="K23" s="18">
        <f t="shared" si="30"/>
        <v>5428.12</v>
      </c>
      <c r="L23" s="407"/>
      <c r="M23" s="407">
        <f>20000</f>
        <v>20000</v>
      </c>
      <c r="N23" s="18">
        <f t="shared" si="31"/>
        <v>542.81200000000001</v>
      </c>
      <c r="O23" s="18">
        <v>5000</v>
      </c>
      <c r="P23" s="18">
        <f>7000</f>
        <v>7000</v>
      </c>
      <c r="Q23" s="16">
        <f t="shared" si="32"/>
        <v>81803.001000000018</v>
      </c>
      <c r="R23" s="406" t="s">
        <v>306</v>
      </c>
      <c r="S23" s="16" t="e">
        <f>'SALARY STRUCTURE'!#REF!+30000</f>
        <v>#REF!</v>
      </c>
      <c r="T23" s="16" t="e">
        <f t="shared" si="33"/>
        <v>#REF!</v>
      </c>
      <c r="U23" s="16"/>
      <c r="V23" s="16"/>
      <c r="W23" s="408">
        <f>4365.33075466667</f>
        <v>4365.3307546666701</v>
      </c>
      <c r="X23" s="16">
        <f>'[5]October 2023'!$Z$164</f>
        <v>8312.5899999999983</v>
      </c>
      <c r="Y23" s="18">
        <f t="shared" si="34"/>
        <v>3947.2592453333282</v>
      </c>
      <c r="Z23" s="18" t="e">
        <f t="shared" si="35"/>
        <v>#REF!</v>
      </c>
      <c r="AA23" s="16">
        <f>(17/31)+1</f>
        <v>1.5483870967741935</v>
      </c>
      <c r="AB23" s="18" t="e">
        <f t="shared" si="36"/>
        <v>#REF!</v>
      </c>
      <c r="AC23" s="409"/>
    </row>
    <row r="24" spans="1:29" ht="20.100000000000001" customHeight="1">
      <c r="A24" s="224">
        <v>17</v>
      </c>
      <c r="B24" s="364" t="s">
        <v>166</v>
      </c>
      <c r="C24" s="367" t="s">
        <v>167</v>
      </c>
      <c r="D24" s="214" t="s">
        <v>223</v>
      </c>
      <c r="E24" s="26">
        <f>5598.92</f>
        <v>5598.92</v>
      </c>
      <c r="F24" s="26">
        <f t="shared" si="26"/>
        <v>16796.760000000002</v>
      </c>
      <c r="G24" s="26">
        <f t="shared" si="27"/>
        <v>419.91899999999998</v>
      </c>
      <c r="H24" s="26"/>
      <c r="I24" s="26">
        <f t="shared" si="28"/>
        <v>2799.46</v>
      </c>
      <c r="J24" s="24">
        <f t="shared" si="29"/>
        <v>19596.22</v>
      </c>
      <c r="K24" s="26">
        <f t="shared" si="30"/>
        <v>5598.92</v>
      </c>
      <c r="L24" s="212"/>
      <c r="M24" s="212">
        <f>20000</f>
        <v>20000</v>
      </c>
      <c r="N24" s="26">
        <f t="shared" si="31"/>
        <v>559.89200000000005</v>
      </c>
      <c r="O24" s="26">
        <v>5000</v>
      </c>
      <c r="P24" s="26">
        <f>7000</f>
        <v>7000</v>
      </c>
      <c r="Q24" s="237">
        <f t="shared" si="32"/>
        <v>83370.091</v>
      </c>
      <c r="R24" s="214" t="s">
        <v>306</v>
      </c>
      <c r="S24" s="237">
        <v>115104.91666666667</v>
      </c>
      <c r="T24" s="24">
        <f t="shared" si="33"/>
        <v>31734.825666666671</v>
      </c>
      <c r="U24" s="24"/>
      <c r="V24" s="24"/>
      <c r="W24" s="373">
        <v>4504.4109199999994</v>
      </c>
      <c r="X24" s="24">
        <f>'[5]October 2023'!$Z$164</f>
        <v>8312.5899999999983</v>
      </c>
      <c r="Y24" s="26">
        <f t="shared" si="34"/>
        <v>3808.179079999999</v>
      </c>
      <c r="Z24" s="241">
        <f t="shared" si="35"/>
        <v>27926.646586666673</v>
      </c>
      <c r="AA24" s="24">
        <v>8</v>
      </c>
      <c r="AB24" s="241">
        <f t="shared" si="36"/>
        <v>223413.17269333338</v>
      </c>
      <c r="AC24" s="213"/>
    </row>
    <row r="25" spans="1:29" ht="20.100000000000001" customHeight="1">
      <c r="A25" s="357"/>
      <c r="B25" s="362"/>
      <c r="C25" s="220"/>
      <c r="D25" s="214"/>
      <c r="E25" s="31"/>
      <c r="F25" s="31"/>
      <c r="G25" s="31"/>
      <c r="H25" s="31"/>
      <c r="I25" s="31"/>
      <c r="J25" s="215"/>
      <c r="K25" s="31"/>
      <c r="L25" s="212">
        <f>226713.38+70000</f>
        <v>296713.38</v>
      </c>
      <c r="M25" s="212"/>
      <c r="N25" s="31"/>
      <c r="O25" s="31"/>
      <c r="P25" s="31"/>
      <c r="Q25" s="246"/>
      <c r="R25" s="214"/>
      <c r="S25" s="246"/>
      <c r="T25" s="24"/>
      <c r="U25" s="215"/>
      <c r="V25" s="215"/>
      <c r="W25" s="375"/>
      <c r="X25" s="31"/>
      <c r="Y25" s="26"/>
      <c r="Z25" s="241"/>
      <c r="AA25" s="31"/>
      <c r="AB25" s="241"/>
      <c r="AC25" s="213"/>
    </row>
    <row r="26" spans="1:29" ht="20.100000000000001" customHeight="1">
      <c r="A26" s="357"/>
      <c r="B26" s="362"/>
      <c r="C26" s="220"/>
      <c r="D26" s="214"/>
      <c r="E26" s="31"/>
      <c r="F26" s="31"/>
      <c r="G26" s="31"/>
      <c r="H26" s="31"/>
      <c r="I26" s="31"/>
      <c r="J26" s="215"/>
      <c r="K26" s="31"/>
      <c r="L26" s="212"/>
      <c r="M26" s="212"/>
      <c r="N26" s="31"/>
      <c r="O26" s="31"/>
      <c r="P26" s="31"/>
      <c r="Q26" s="246"/>
      <c r="R26" s="214"/>
      <c r="S26" s="246"/>
      <c r="T26" s="24"/>
      <c r="U26" s="215"/>
      <c r="V26" s="215"/>
      <c r="W26" s="375"/>
      <c r="X26" s="31"/>
      <c r="Y26" s="26"/>
      <c r="Z26" s="241"/>
      <c r="AA26" s="31"/>
      <c r="AB26" s="241"/>
      <c r="AC26" s="213"/>
    </row>
    <row r="27" spans="1:29" ht="19.5" customHeight="1">
      <c r="A27" s="357"/>
      <c r="B27" s="227" t="s">
        <v>8</v>
      </c>
      <c r="C27" s="228"/>
      <c r="D27" s="229"/>
      <c r="E27" s="230">
        <f>E19+E13+E8</f>
        <v>108118.44</v>
      </c>
      <c r="F27" s="230">
        <f t="shared" ref="F27:AB27" si="37">F19+F13+F8</f>
        <v>0</v>
      </c>
      <c r="G27" s="230">
        <f t="shared" si="37"/>
        <v>324355.32</v>
      </c>
      <c r="H27" s="230">
        <f t="shared" si="37"/>
        <v>8108.8829999999998</v>
      </c>
      <c r="I27" s="230">
        <f t="shared" si="37"/>
        <v>80244.38</v>
      </c>
      <c r="J27" s="230">
        <f t="shared" si="37"/>
        <v>54059.22</v>
      </c>
      <c r="K27" s="230">
        <f t="shared" si="37"/>
        <v>378414.54</v>
      </c>
      <c r="L27" s="230">
        <f t="shared" si="37"/>
        <v>108118.44</v>
      </c>
      <c r="M27" s="230" t="e">
        <f t="shared" si="37"/>
        <v>#REF!</v>
      </c>
      <c r="N27" s="230">
        <f t="shared" si="37"/>
        <v>130000</v>
      </c>
      <c r="O27" s="230">
        <f t="shared" si="37"/>
        <v>10811.843999999999</v>
      </c>
      <c r="P27" s="230">
        <f t="shared" si="37"/>
        <v>70000</v>
      </c>
      <c r="Q27" s="230">
        <f t="shared" ca="1" si="37"/>
        <v>82203.67</v>
      </c>
      <c r="R27" s="230">
        <f t="shared" si="37"/>
        <v>0</v>
      </c>
      <c r="S27" s="230">
        <f t="shared" si="37"/>
        <v>1927970.9133333333</v>
      </c>
      <c r="T27" s="230">
        <f t="shared" si="37"/>
        <v>255739.72083333327</v>
      </c>
      <c r="U27" s="230">
        <f t="shared" si="37"/>
        <v>1675.38</v>
      </c>
      <c r="V27" s="230">
        <f t="shared" si="37"/>
        <v>2057.88</v>
      </c>
      <c r="W27" s="230">
        <f t="shared" si="37"/>
        <v>239575.80479466668</v>
      </c>
      <c r="X27" s="230">
        <f t="shared" si="37"/>
        <v>288114.51</v>
      </c>
      <c r="Y27" s="230">
        <f t="shared" si="37"/>
        <v>48538.705205333317</v>
      </c>
      <c r="Z27" s="230">
        <f t="shared" si="37"/>
        <v>207201.01562799994</v>
      </c>
      <c r="AA27" s="230">
        <f t="shared" si="37"/>
        <v>9</v>
      </c>
      <c r="AB27" s="230">
        <f t="shared" si="37"/>
        <v>1151529.0944999997</v>
      </c>
      <c r="AC27" s="213"/>
    </row>
    <row r="28" spans="1:29" ht="20.100000000000001" customHeight="1">
      <c r="A28" s="202"/>
      <c r="B28" s="231"/>
      <c r="C28" s="202"/>
      <c r="D28" s="232"/>
      <c r="E28" s="232"/>
      <c r="F28" s="232"/>
      <c r="G28" s="232"/>
      <c r="H28" s="232"/>
      <c r="I28" s="233"/>
      <c r="J28" s="233"/>
      <c r="K28" s="233"/>
      <c r="L28" s="233"/>
      <c r="M28" s="233"/>
      <c r="N28" s="233"/>
      <c r="O28" s="233"/>
      <c r="P28" s="233"/>
      <c r="Q28" s="233"/>
      <c r="R28" s="233"/>
      <c r="S28" s="233"/>
      <c r="T28" s="233"/>
      <c r="U28" s="233"/>
      <c r="V28" s="233"/>
      <c r="W28" s="377"/>
      <c r="X28" s="234"/>
      <c r="Y28" s="234"/>
      <c r="Z28" s="234"/>
      <c r="AA28" s="234"/>
      <c r="AB28" s="234"/>
      <c r="AC28" s="235"/>
    </row>
    <row r="29" spans="1:29" ht="36.75" customHeight="1">
      <c r="A29" s="202"/>
      <c r="B29" s="231"/>
      <c r="C29" s="232"/>
      <c r="D29" s="232"/>
      <c r="E29" s="232"/>
      <c r="F29" s="232"/>
      <c r="G29" s="232"/>
      <c r="H29" s="232"/>
      <c r="I29" s="233"/>
      <c r="J29" s="233"/>
      <c r="K29" s="233"/>
      <c r="L29" s="233"/>
      <c r="M29" s="233"/>
      <c r="N29" s="233"/>
      <c r="O29" s="233"/>
      <c r="Q29" s="233"/>
      <c r="R29" s="233"/>
      <c r="S29" s="233"/>
      <c r="T29" s="233"/>
      <c r="U29" s="233"/>
      <c r="V29" s="233"/>
      <c r="W29" s="377"/>
      <c r="X29" s="234"/>
      <c r="Y29" s="234"/>
      <c r="Z29" s="234"/>
      <c r="AA29" s="234"/>
      <c r="AB29" s="234"/>
    </row>
    <row r="32" spans="1:29" ht="20.100000000000001" customHeight="1">
      <c r="Q32" s="235"/>
      <c r="R32" s="235"/>
      <c r="S32" s="235"/>
      <c r="T32" s="235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zoomScaleNormal="100" zoomScaleSheetLayoutView="50" workbookViewId="0">
      <pane xSplit="3" ySplit="7" topLeftCell="D175" activePane="bottomRight" state="frozen"/>
      <selection pane="topRight" activeCell="E1" sqref="E1"/>
      <selection pane="bottomLeft" activeCell="A10" sqref="A10"/>
      <selection pane="bottomRight" activeCell="G179" sqref="G179"/>
    </sheetView>
  </sheetViews>
  <sheetFormatPr defaultColWidth="9.140625" defaultRowHeight="20.100000000000001" customHeight="1"/>
  <cols>
    <col min="1" max="1" width="5.42578125" style="196" customWidth="1"/>
    <col min="2" max="2" width="43.85546875" style="196" customWidth="1"/>
    <col min="3" max="3" width="40.42578125" style="196" customWidth="1"/>
    <col min="4" max="4" width="11.140625" style="196" customWidth="1"/>
    <col min="5" max="5" width="21.28515625" style="196" customWidth="1"/>
    <col min="6" max="6" width="21.7109375" style="196" customWidth="1"/>
    <col min="7" max="16384" width="9.140625" style="196"/>
  </cols>
  <sheetData>
    <row r="1" spans="1:6" ht="27" customHeight="1">
      <c r="A1" s="728" t="s">
        <v>234</v>
      </c>
      <c r="B1" s="728"/>
      <c r="C1" s="728"/>
      <c r="D1" s="728"/>
      <c r="E1" s="728"/>
    </row>
    <row r="2" spans="1:6" ht="33.75" customHeight="1">
      <c r="A2" s="308" t="s">
        <v>745</v>
      </c>
      <c r="B2" s="448"/>
      <c r="C2" s="308"/>
      <c r="D2" s="308"/>
      <c r="E2" s="449"/>
    </row>
    <row r="3" spans="1:6" ht="9.75" customHeight="1">
      <c r="A3" s="202"/>
      <c r="B3" s="202"/>
      <c r="C3" s="202"/>
      <c r="D3" s="202"/>
      <c r="E3" s="195" t="e">
        <f>'[1]FEB 08'!E11/'[1]FEB 08'!M11</f>
        <v>#REF!</v>
      </c>
    </row>
    <row r="4" spans="1:6" ht="49.5" customHeight="1">
      <c r="A4" s="357"/>
      <c r="B4" s="203" t="s">
        <v>0</v>
      </c>
      <c r="C4" s="204" t="s">
        <v>12</v>
      </c>
      <c r="D4" s="205" t="s">
        <v>309</v>
      </c>
      <c r="E4" s="436" t="s">
        <v>120</v>
      </c>
    </row>
    <row r="5" spans="1:6" ht="17.25" customHeight="1">
      <c r="C5" s="210"/>
      <c r="D5" s="210"/>
      <c r="E5" s="437" t="s">
        <v>5</v>
      </c>
    </row>
    <row r="6" spans="1:6" ht="20.100000000000001" customHeight="1">
      <c r="A6" s="209" t="s">
        <v>143</v>
      </c>
      <c r="B6" s="210" t="s">
        <v>433</v>
      </c>
      <c r="C6" s="210"/>
      <c r="D6" s="210"/>
      <c r="E6" s="437"/>
    </row>
    <row r="7" spans="1:6" ht="20.100000000000001" customHeight="1">
      <c r="A7" s="430">
        <v>1</v>
      </c>
      <c r="B7" s="432" t="s">
        <v>224</v>
      </c>
      <c r="C7" s="367" t="s">
        <v>119</v>
      </c>
      <c r="D7" s="367" t="s">
        <v>34</v>
      </c>
      <c r="E7" s="331">
        <v>540000</v>
      </c>
      <c r="F7" s="213"/>
    </row>
    <row r="8" spans="1:6" ht="20.100000000000001" customHeight="1">
      <c r="A8" s="430">
        <v>2</v>
      </c>
      <c r="B8" s="432" t="s">
        <v>315</v>
      </c>
      <c r="C8" s="367" t="s">
        <v>316</v>
      </c>
      <c r="D8" s="430" t="s">
        <v>496</v>
      </c>
      <c r="E8" s="331">
        <v>180000</v>
      </c>
      <c r="F8" s="213"/>
    </row>
    <row r="9" spans="1:6" ht="20.100000000000001" customHeight="1">
      <c r="A9" s="430">
        <v>3</v>
      </c>
      <c r="B9" s="365" t="s">
        <v>317</v>
      </c>
      <c r="C9" s="357" t="s">
        <v>418</v>
      </c>
      <c r="D9" s="434" t="s">
        <v>221</v>
      </c>
      <c r="E9" s="331">
        <v>180000</v>
      </c>
      <c r="F9" s="213"/>
    </row>
    <row r="10" spans="1:6" ht="20.100000000000001" customHeight="1">
      <c r="A10" s="430">
        <v>4</v>
      </c>
      <c r="B10" s="432" t="s">
        <v>187</v>
      </c>
      <c r="C10" s="431" t="s">
        <v>474</v>
      </c>
      <c r="D10" s="25" t="s">
        <v>221</v>
      </c>
      <c r="E10" s="331">
        <v>180000</v>
      </c>
      <c r="F10" s="213"/>
    </row>
    <row r="11" spans="1:6" ht="20.100000000000001" customHeight="1">
      <c r="A11" s="430">
        <v>5</v>
      </c>
      <c r="B11" s="365" t="s">
        <v>203</v>
      </c>
      <c r="C11" s="357" t="s">
        <v>475</v>
      </c>
      <c r="D11" s="25" t="s">
        <v>221</v>
      </c>
      <c r="E11" s="331">
        <v>180000</v>
      </c>
      <c r="F11" s="213"/>
    </row>
    <row r="12" spans="1:6" ht="20.100000000000001" customHeight="1">
      <c r="A12" s="430">
        <v>6</v>
      </c>
      <c r="B12" s="364" t="s">
        <v>364</v>
      </c>
      <c r="C12" s="430" t="s">
        <v>343</v>
      </c>
      <c r="D12" s="434" t="s">
        <v>221</v>
      </c>
      <c r="E12" s="331">
        <v>180000</v>
      </c>
      <c r="F12" s="213"/>
    </row>
    <row r="13" spans="1:6" ht="20.100000000000001" customHeight="1">
      <c r="A13" s="430">
        <v>7</v>
      </c>
      <c r="B13" s="432" t="s">
        <v>111</v>
      </c>
      <c r="C13" s="367" t="s">
        <v>468</v>
      </c>
      <c r="D13" s="434" t="s">
        <v>75</v>
      </c>
      <c r="E13" s="438">
        <v>126000</v>
      </c>
      <c r="F13" s="213"/>
    </row>
    <row r="14" spans="1:6" ht="20.100000000000001" customHeight="1">
      <c r="A14" s="430">
        <v>8</v>
      </c>
      <c r="B14" s="432" t="s">
        <v>185</v>
      </c>
      <c r="C14" s="357" t="s">
        <v>708</v>
      </c>
      <c r="D14" s="430" t="s">
        <v>30</v>
      </c>
      <c r="E14" s="438">
        <v>126000</v>
      </c>
      <c r="F14" s="213"/>
    </row>
    <row r="15" spans="1:6" ht="20.100000000000001" customHeight="1">
      <c r="A15" s="430">
        <v>9</v>
      </c>
      <c r="B15" s="432" t="s">
        <v>18</v>
      </c>
      <c r="C15" s="357" t="s">
        <v>389</v>
      </c>
      <c r="D15" s="434" t="s">
        <v>181</v>
      </c>
      <c r="E15" s="438">
        <f>90000</f>
        <v>90000</v>
      </c>
      <c r="F15" s="213"/>
    </row>
    <row r="16" spans="1:6" ht="20.100000000000001" customHeight="1">
      <c r="A16" s="430">
        <v>10</v>
      </c>
      <c r="B16" s="365" t="s">
        <v>534</v>
      </c>
      <c r="C16" s="431" t="s">
        <v>297</v>
      </c>
      <c r="D16" s="434" t="s">
        <v>162</v>
      </c>
      <c r="E16" s="438">
        <f>90000</f>
        <v>90000</v>
      </c>
      <c r="F16" s="213"/>
    </row>
    <row r="17" spans="1:6" ht="20.100000000000001" customHeight="1">
      <c r="A17" s="430">
        <v>11</v>
      </c>
      <c r="B17" s="432" t="s">
        <v>724</v>
      </c>
      <c r="C17" s="357" t="s">
        <v>725</v>
      </c>
      <c r="D17" s="430" t="s">
        <v>175</v>
      </c>
      <c r="E17" s="438">
        <f t="shared" ref="E17:E19" si="0">90000</f>
        <v>90000</v>
      </c>
    </row>
    <row r="18" spans="1:6" ht="20.100000000000001" customHeight="1">
      <c r="A18" s="430">
        <v>12</v>
      </c>
      <c r="B18" s="432" t="s">
        <v>334</v>
      </c>
      <c r="C18" s="367" t="s">
        <v>351</v>
      </c>
      <c r="D18" s="434" t="s">
        <v>163</v>
      </c>
      <c r="E18" s="438">
        <f t="shared" si="0"/>
        <v>90000</v>
      </c>
      <c r="F18" s="213"/>
    </row>
    <row r="19" spans="1:6" ht="20.100000000000001" customHeight="1">
      <c r="A19" s="430">
        <v>13</v>
      </c>
      <c r="B19" s="364" t="s">
        <v>291</v>
      </c>
      <c r="C19" s="357" t="s">
        <v>346</v>
      </c>
      <c r="D19" s="434" t="s">
        <v>413</v>
      </c>
      <c r="E19" s="438">
        <f t="shared" si="0"/>
        <v>90000</v>
      </c>
      <c r="F19" s="213"/>
    </row>
    <row r="20" spans="1:6" ht="18.75" customHeight="1">
      <c r="A20" s="430">
        <v>14</v>
      </c>
      <c r="B20" s="432" t="s">
        <v>253</v>
      </c>
      <c r="C20" s="367" t="s">
        <v>478</v>
      </c>
      <c r="D20" s="434" t="s">
        <v>415</v>
      </c>
      <c r="E20" s="438">
        <v>54000</v>
      </c>
      <c r="F20" s="213"/>
    </row>
    <row r="21" spans="1:6" ht="20.100000000000001" customHeight="1">
      <c r="A21" s="430">
        <v>15</v>
      </c>
      <c r="B21" s="365" t="s">
        <v>321</v>
      </c>
      <c r="C21" s="431" t="s">
        <v>115</v>
      </c>
      <c r="D21" s="430" t="s">
        <v>369</v>
      </c>
      <c r="E21" s="438">
        <v>54000</v>
      </c>
      <c r="F21" s="213"/>
    </row>
    <row r="22" spans="1:6" ht="20.100000000000001" customHeight="1">
      <c r="A22" s="430">
        <v>16</v>
      </c>
      <c r="B22" s="365" t="s">
        <v>741</v>
      </c>
      <c r="C22" s="431" t="s">
        <v>742</v>
      </c>
      <c r="D22" s="430" t="s">
        <v>104</v>
      </c>
      <c r="E22" s="438">
        <v>54000</v>
      </c>
      <c r="F22" s="213"/>
    </row>
    <row r="23" spans="1:6" ht="18.75" customHeight="1">
      <c r="A23" s="430">
        <v>17</v>
      </c>
      <c r="B23" s="357" t="s">
        <v>434</v>
      </c>
      <c r="C23" s="357" t="s">
        <v>17</v>
      </c>
      <c r="D23" s="430" t="s">
        <v>498</v>
      </c>
      <c r="E23" s="438">
        <v>54000</v>
      </c>
      <c r="F23" s="213"/>
    </row>
    <row r="24" spans="1:6" ht="18.75" customHeight="1">
      <c r="A24" s="430">
        <v>18</v>
      </c>
      <c r="B24" s="364" t="s">
        <v>254</v>
      </c>
      <c r="C24" s="367" t="s">
        <v>17</v>
      </c>
      <c r="D24" s="434" t="s">
        <v>498</v>
      </c>
      <c r="E24" s="438">
        <v>54000</v>
      </c>
      <c r="F24" s="213"/>
    </row>
    <row r="25" spans="1:6" ht="18.75" customHeight="1">
      <c r="A25" s="430">
        <v>19</v>
      </c>
      <c r="B25" s="364" t="s">
        <v>288</v>
      </c>
      <c r="C25" s="367" t="s">
        <v>706</v>
      </c>
      <c r="D25" s="434" t="s">
        <v>428</v>
      </c>
      <c r="E25" s="438">
        <v>54000</v>
      </c>
      <c r="F25" s="213"/>
    </row>
    <row r="26" spans="1:6" ht="18.75" customHeight="1">
      <c r="A26" s="430">
        <v>20</v>
      </c>
      <c r="B26" s="364" t="s">
        <v>328</v>
      </c>
      <c r="C26" s="357" t="s">
        <v>737</v>
      </c>
      <c r="D26" s="430" t="s">
        <v>428</v>
      </c>
      <c r="E26" s="438">
        <v>54000</v>
      </c>
      <c r="F26" s="213"/>
    </row>
    <row r="27" spans="1:6" ht="18.75" customHeight="1">
      <c r="A27" s="430">
        <v>21</v>
      </c>
      <c r="B27" s="364" t="s">
        <v>360</v>
      </c>
      <c r="C27" s="431" t="s">
        <v>372</v>
      </c>
      <c r="D27" s="434" t="s">
        <v>498</v>
      </c>
      <c r="E27" s="438">
        <v>54000</v>
      </c>
      <c r="F27" s="213"/>
    </row>
    <row r="28" spans="1:6" ht="18.75" customHeight="1">
      <c r="A28" s="430">
        <v>22</v>
      </c>
      <c r="B28" s="364" t="s">
        <v>330</v>
      </c>
      <c r="C28" s="357" t="s">
        <v>533</v>
      </c>
      <c r="D28" s="430" t="s">
        <v>176</v>
      </c>
      <c r="E28" s="438">
        <v>54000</v>
      </c>
      <c r="F28" s="213"/>
    </row>
    <row r="29" spans="1:6" ht="18.75" customHeight="1">
      <c r="A29" s="430">
        <v>23</v>
      </c>
      <c r="B29" s="364" t="s">
        <v>274</v>
      </c>
      <c r="C29" s="367" t="s">
        <v>314</v>
      </c>
      <c r="D29" s="434" t="s">
        <v>176</v>
      </c>
      <c r="E29" s="438">
        <v>54000</v>
      </c>
      <c r="F29" s="213"/>
    </row>
    <row r="30" spans="1:6" ht="18.75" customHeight="1">
      <c r="A30" s="430">
        <v>24</v>
      </c>
      <c r="B30" s="364" t="s">
        <v>555</v>
      </c>
      <c r="C30" s="367" t="s">
        <v>314</v>
      </c>
      <c r="D30" s="434" t="s">
        <v>105</v>
      </c>
      <c r="E30" s="438">
        <v>54000</v>
      </c>
      <c r="F30" s="213"/>
    </row>
    <row r="31" spans="1:6" ht="26.25" customHeight="1">
      <c r="A31" s="430"/>
      <c r="B31" s="366" t="s">
        <v>15</v>
      </c>
      <c r="C31" s="360">
        <v>24</v>
      </c>
      <c r="D31" s="434"/>
      <c r="E31" s="440">
        <f>SUM(E7:E30)</f>
        <v>2736000</v>
      </c>
      <c r="F31" s="213"/>
    </row>
    <row r="32" spans="1:6" ht="18.75" customHeight="1">
      <c r="A32" s="430"/>
      <c r="B32" s="362"/>
      <c r="C32" s="357"/>
      <c r="D32" s="434"/>
      <c r="E32" s="440"/>
      <c r="F32" s="213"/>
    </row>
    <row r="33" spans="1:6" ht="18.75" customHeight="1">
      <c r="A33" s="430"/>
      <c r="B33" s="366" t="s">
        <v>284</v>
      </c>
      <c r="C33" s="357"/>
      <c r="D33" s="434"/>
      <c r="E33" s="438"/>
      <c r="F33" s="213"/>
    </row>
    <row r="34" spans="1:6" ht="18.75" customHeight="1">
      <c r="A34" s="430">
        <v>1</v>
      </c>
      <c r="B34" s="364" t="s">
        <v>361</v>
      </c>
      <c r="C34" s="357" t="s">
        <v>362</v>
      </c>
      <c r="D34" s="430" t="s">
        <v>161</v>
      </c>
      <c r="E34" s="438">
        <v>270000</v>
      </c>
      <c r="F34" s="213"/>
    </row>
    <row r="35" spans="1:6" ht="18.75" customHeight="1">
      <c r="A35" s="430">
        <v>2</v>
      </c>
      <c r="B35" s="364" t="s">
        <v>419</v>
      </c>
      <c r="C35" s="357" t="s">
        <v>427</v>
      </c>
      <c r="D35" s="430" t="s">
        <v>105</v>
      </c>
      <c r="E35" s="438">
        <v>54000</v>
      </c>
      <c r="F35" s="213"/>
    </row>
    <row r="36" spans="1:6" ht="18.75" customHeight="1">
      <c r="A36" s="430">
        <v>3</v>
      </c>
      <c r="B36" s="432" t="s">
        <v>720</v>
      </c>
      <c r="C36" s="367" t="s">
        <v>721</v>
      </c>
      <c r="D36" s="434" t="s">
        <v>104</v>
      </c>
      <c r="E36" s="438">
        <v>54000</v>
      </c>
      <c r="F36" s="213"/>
    </row>
    <row r="37" spans="1:6" ht="19.5" customHeight="1">
      <c r="A37" s="430"/>
      <c r="B37" s="365"/>
      <c r="C37" s="360">
        <v>3</v>
      </c>
      <c r="D37" s="430"/>
      <c r="E37" s="440">
        <f>SUM(E34:E36)</f>
        <v>378000</v>
      </c>
      <c r="F37" s="213"/>
    </row>
    <row r="38" spans="1:6" ht="20.100000000000001" customHeight="1">
      <c r="A38" s="430"/>
      <c r="B38" s="365"/>
      <c r="C38" s="357"/>
      <c r="D38" s="430"/>
      <c r="E38" s="440"/>
      <c r="F38" s="213"/>
    </row>
    <row r="39" spans="1:6" ht="20.100000000000001" customHeight="1">
      <c r="A39" s="430"/>
      <c r="B39" s="218" t="s">
        <v>56</v>
      </c>
      <c r="C39" s="203"/>
      <c r="D39" s="207"/>
      <c r="E39" s="440"/>
      <c r="F39" s="213"/>
    </row>
    <row r="40" spans="1:6" ht="20.100000000000001" customHeight="1">
      <c r="A40" s="430">
        <v>1</v>
      </c>
      <c r="B40" s="432" t="s">
        <v>255</v>
      </c>
      <c r="C40" s="357" t="s">
        <v>256</v>
      </c>
      <c r="D40" s="430" t="s">
        <v>161</v>
      </c>
      <c r="E40" s="438">
        <v>270000</v>
      </c>
      <c r="F40" s="213"/>
    </row>
    <row r="41" spans="1:6" ht="20.100000000000001" customHeight="1">
      <c r="A41" s="430">
        <v>2</v>
      </c>
      <c r="B41" s="432" t="s">
        <v>165</v>
      </c>
      <c r="C41" s="357" t="s">
        <v>738</v>
      </c>
      <c r="D41" s="430" t="s">
        <v>29</v>
      </c>
      <c r="E41" s="438">
        <f>180000</f>
        <v>180000</v>
      </c>
      <c r="F41" s="213"/>
    </row>
    <row r="42" spans="1:6" ht="20.100000000000001" customHeight="1">
      <c r="A42" s="430">
        <v>3</v>
      </c>
      <c r="B42" s="432" t="s">
        <v>158</v>
      </c>
      <c r="C42" s="357" t="s">
        <v>199</v>
      </c>
      <c r="D42" s="430" t="s">
        <v>75</v>
      </c>
      <c r="E42" s="438">
        <v>126000</v>
      </c>
      <c r="F42" s="213"/>
    </row>
    <row r="43" spans="1:6" ht="20.100000000000001" customHeight="1">
      <c r="A43" s="430">
        <v>4</v>
      </c>
      <c r="B43" s="432" t="s">
        <v>159</v>
      </c>
      <c r="C43" s="357" t="s">
        <v>258</v>
      </c>
      <c r="D43" s="430" t="s">
        <v>75</v>
      </c>
      <c r="E43" s="438">
        <v>126000</v>
      </c>
      <c r="F43" s="213"/>
    </row>
    <row r="44" spans="1:6" ht="20.100000000000001" customHeight="1">
      <c r="A44" s="430">
        <v>5</v>
      </c>
      <c r="B44" s="432" t="s">
        <v>118</v>
      </c>
      <c r="C44" s="357" t="s">
        <v>258</v>
      </c>
      <c r="D44" s="430" t="s">
        <v>148</v>
      </c>
      <c r="E44" s="438">
        <v>126000</v>
      </c>
      <c r="F44" s="213"/>
    </row>
    <row r="45" spans="1:6" ht="20.100000000000001" customHeight="1">
      <c r="A45" s="430">
        <v>6</v>
      </c>
      <c r="B45" s="432" t="s">
        <v>205</v>
      </c>
      <c r="C45" s="357" t="s">
        <v>258</v>
      </c>
      <c r="D45" s="430" t="s">
        <v>30</v>
      </c>
      <c r="E45" s="438">
        <v>126000</v>
      </c>
      <c r="F45" s="213"/>
    </row>
    <row r="46" spans="1:6" ht="20.100000000000001" customHeight="1">
      <c r="A46" s="430">
        <v>7</v>
      </c>
      <c r="B46" s="365" t="s">
        <v>173</v>
      </c>
      <c r="C46" s="357" t="s">
        <v>297</v>
      </c>
      <c r="D46" s="25" t="s">
        <v>181</v>
      </c>
      <c r="E46" s="438">
        <v>90000</v>
      </c>
      <c r="F46" s="213"/>
    </row>
    <row r="47" spans="1:6" ht="20.100000000000001" customHeight="1">
      <c r="A47" s="430">
        <v>8</v>
      </c>
      <c r="B47" s="432" t="s">
        <v>184</v>
      </c>
      <c r="C47" s="357" t="s">
        <v>78</v>
      </c>
      <c r="D47" s="430" t="s">
        <v>222</v>
      </c>
      <c r="E47" s="438">
        <v>90000</v>
      </c>
      <c r="F47" s="213"/>
    </row>
    <row r="48" spans="1:6" ht="20.100000000000001" customHeight="1">
      <c r="A48" s="430">
        <v>9</v>
      </c>
      <c r="B48" s="432" t="s">
        <v>551</v>
      </c>
      <c r="C48" s="357" t="s">
        <v>84</v>
      </c>
      <c r="D48" s="430" t="s">
        <v>104</v>
      </c>
      <c r="E48" s="438">
        <v>54000</v>
      </c>
      <c r="F48" s="213"/>
    </row>
    <row r="49" spans="1:6" ht="20.100000000000001" customHeight="1">
      <c r="A49" s="430">
        <v>10</v>
      </c>
      <c r="B49" s="432" t="s">
        <v>420</v>
      </c>
      <c r="C49" s="357" t="s">
        <v>84</v>
      </c>
      <c r="D49" s="430" t="s">
        <v>428</v>
      </c>
      <c r="E49" s="438">
        <v>54000</v>
      </c>
      <c r="F49" s="213"/>
    </row>
    <row r="50" spans="1:6" ht="20.100000000000001" customHeight="1">
      <c r="A50" s="430">
        <v>11</v>
      </c>
      <c r="B50" s="432" t="s">
        <v>435</v>
      </c>
      <c r="C50" s="357" t="s">
        <v>84</v>
      </c>
      <c r="D50" s="430" t="s">
        <v>428</v>
      </c>
      <c r="E50" s="438">
        <v>54000</v>
      </c>
      <c r="F50" s="213"/>
    </row>
    <row r="51" spans="1:6" ht="20.100000000000001" customHeight="1">
      <c r="A51" s="430">
        <v>12</v>
      </c>
      <c r="B51" s="432" t="s">
        <v>452</v>
      </c>
      <c r="C51" s="357" t="s">
        <v>84</v>
      </c>
      <c r="D51" s="430" t="s">
        <v>428</v>
      </c>
      <c r="E51" s="438">
        <v>54000</v>
      </c>
      <c r="F51" s="213"/>
    </row>
    <row r="52" spans="1:6" ht="25.5" customHeight="1">
      <c r="A52" s="430"/>
      <c r="B52" s="366" t="s">
        <v>15</v>
      </c>
      <c r="C52" s="360">
        <v>12</v>
      </c>
      <c r="D52" s="360"/>
      <c r="E52" s="441">
        <f>SUM(E40:E51)</f>
        <v>1350000</v>
      </c>
      <c r="F52" s="213"/>
    </row>
    <row r="53" spans="1:6" ht="20.100000000000001" customHeight="1">
      <c r="A53" s="430"/>
      <c r="B53" s="362"/>
      <c r="C53" s="360"/>
      <c r="D53" s="360"/>
      <c r="E53" s="442"/>
      <c r="F53" s="213"/>
    </row>
    <row r="54" spans="1:6" ht="20.100000000000001" customHeight="1">
      <c r="A54" s="430"/>
      <c r="B54" s="366" t="s">
        <v>195</v>
      </c>
      <c r="C54" s="360"/>
      <c r="D54" s="360"/>
      <c r="E54" s="442"/>
      <c r="F54" s="213"/>
    </row>
    <row r="55" spans="1:6" ht="20.100000000000001" customHeight="1">
      <c r="A55" s="430">
        <v>1</v>
      </c>
      <c r="B55" s="432" t="s">
        <v>11</v>
      </c>
      <c r="C55" s="367" t="s">
        <v>200</v>
      </c>
      <c r="D55" s="434" t="s">
        <v>161</v>
      </c>
      <c r="E55" s="438">
        <v>270000</v>
      </c>
      <c r="F55" s="213"/>
    </row>
    <row r="56" spans="1:6" ht="20.100000000000001" customHeight="1">
      <c r="A56" s="430">
        <v>2</v>
      </c>
      <c r="B56" s="432" t="s">
        <v>276</v>
      </c>
      <c r="C56" s="367" t="s">
        <v>340</v>
      </c>
      <c r="D56" s="434" t="s">
        <v>412</v>
      </c>
      <c r="E56" s="438">
        <v>126000</v>
      </c>
      <c r="F56" s="213"/>
    </row>
    <row r="57" spans="1:6" ht="20.100000000000001" customHeight="1">
      <c r="A57" s="430"/>
      <c r="B57" s="366" t="s">
        <v>15</v>
      </c>
      <c r="C57" s="360">
        <v>2</v>
      </c>
      <c r="D57" s="360"/>
      <c r="E57" s="441">
        <f>SUM(E55:E56)</f>
        <v>396000</v>
      </c>
      <c r="F57" s="213"/>
    </row>
    <row r="58" spans="1:6" ht="20.100000000000001" customHeight="1">
      <c r="A58" s="430"/>
      <c r="B58" s="366"/>
      <c r="C58" s="360"/>
      <c r="D58" s="360"/>
      <c r="E58" s="442"/>
      <c r="F58" s="213"/>
    </row>
    <row r="59" spans="1:6" ht="20.100000000000001" customHeight="1">
      <c r="A59" s="430"/>
      <c r="B59" s="366" t="s">
        <v>461</v>
      </c>
      <c r="C59" s="360"/>
      <c r="D59" s="360"/>
      <c r="E59" s="442"/>
      <c r="F59" s="213"/>
    </row>
    <row r="60" spans="1:6" ht="20.100000000000001" customHeight="1">
      <c r="A60" s="430">
        <v>1</v>
      </c>
      <c r="B60" s="432" t="s">
        <v>277</v>
      </c>
      <c r="C60" s="431" t="s">
        <v>278</v>
      </c>
      <c r="D60" s="430" t="s">
        <v>161</v>
      </c>
      <c r="E60" s="438">
        <v>270000</v>
      </c>
      <c r="F60" s="213"/>
    </row>
    <row r="61" spans="1:6" ht="20.100000000000001" customHeight="1">
      <c r="A61" s="430">
        <v>2</v>
      </c>
      <c r="B61" s="330" t="s">
        <v>332</v>
      </c>
      <c r="C61" s="431" t="s">
        <v>188</v>
      </c>
      <c r="D61" s="434" t="s">
        <v>272</v>
      </c>
      <c r="E61" s="331">
        <v>126000</v>
      </c>
      <c r="F61" s="213"/>
    </row>
    <row r="62" spans="1:6" ht="20.100000000000001" customHeight="1">
      <c r="A62" s="430">
        <v>3</v>
      </c>
      <c r="B62" s="432" t="s">
        <v>189</v>
      </c>
      <c r="C62" s="357" t="s">
        <v>297</v>
      </c>
      <c r="D62" s="430" t="s">
        <v>222</v>
      </c>
      <c r="E62" s="438">
        <v>90000</v>
      </c>
      <c r="F62" s="213"/>
    </row>
    <row r="63" spans="1:6" ht="20.100000000000001" customHeight="1">
      <c r="A63" s="430">
        <v>4</v>
      </c>
      <c r="B63" s="364" t="s">
        <v>448</v>
      </c>
      <c r="C63" s="431" t="s">
        <v>257</v>
      </c>
      <c r="D63" s="434" t="s">
        <v>163</v>
      </c>
      <c r="E63" s="438">
        <v>90000</v>
      </c>
      <c r="F63" s="213"/>
    </row>
    <row r="64" spans="1:6" ht="20.100000000000001" customHeight="1">
      <c r="A64" s="430">
        <v>5</v>
      </c>
      <c r="B64" s="365" t="s">
        <v>229</v>
      </c>
      <c r="C64" s="431" t="s">
        <v>297</v>
      </c>
      <c r="D64" s="434" t="s">
        <v>181</v>
      </c>
      <c r="E64" s="438">
        <v>90000</v>
      </c>
      <c r="F64" s="213"/>
    </row>
    <row r="65" spans="1:6" ht="20.100000000000001" customHeight="1">
      <c r="A65" s="430">
        <v>7</v>
      </c>
      <c r="B65" s="432" t="s">
        <v>117</v>
      </c>
      <c r="C65" s="357" t="s">
        <v>84</v>
      </c>
      <c r="D65" s="430" t="s">
        <v>369</v>
      </c>
      <c r="E65" s="438">
        <v>54000</v>
      </c>
      <c r="F65" s="213"/>
    </row>
    <row r="66" spans="1:6" ht="20.100000000000001" customHeight="1">
      <c r="A66" s="430">
        <v>8</v>
      </c>
      <c r="B66" s="432" t="s">
        <v>424</v>
      </c>
      <c r="C66" s="431" t="s">
        <v>422</v>
      </c>
      <c r="D66" s="434" t="s">
        <v>369</v>
      </c>
      <c r="E66" s="438">
        <v>54000</v>
      </c>
      <c r="F66" s="213"/>
    </row>
    <row r="67" spans="1:6" ht="20.100000000000001" customHeight="1">
      <c r="A67" s="430">
        <v>9</v>
      </c>
      <c r="B67" s="432" t="s">
        <v>423</v>
      </c>
      <c r="C67" s="431" t="s">
        <v>422</v>
      </c>
      <c r="D67" s="434" t="s">
        <v>369</v>
      </c>
      <c r="E67" s="438">
        <v>54000</v>
      </c>
      <c r="F67" s="213"/>
    </row>
    <row r="68" spans="1:6" ht="20.100000000000001" customHeight="1">
      <c r="A68" s="430">
        <v>10</v>
      </c>
      <c r="B68" s="432" t="s">
        <v>242</v>
      </c>
      <c r="C68" s="357" t="s">
        <v>484</v>
      </c>
      <c r="D68" s="430" t="s">
        <v>415</v>
      </c>
      <c r="E68" s="438">
        <v>54000</v>
      </c>
      <c r="F68" s="213"/>
    </row>
    <row r="69" spans="1:6" ht="21.6" customHeight="1">
      <c r="A69" s="430">
        <v>11</v>
      </c>
      <c r="B69" s="432" t="s">
        <v>726</v>
      </c>
      <c r="C69" s="357" t="s">
        <v>84</v>
      </c>
      <c r="D69" s="430" t="s">
        <v>104</v>
      </c>
      <c r="E69" s="438">
        <v>54000</v>
      </c>
    </row>
    <row r="70" spans="1:6" ht="20.100000000000001" customHeight="1">
      <c r="A70" s="430">
        <v>12</v>
      </c>
      <c r="B70" s="432" t="s">
        <v>320</v>
      </c>
      <c r="C70" s="431" t="s">
        <v>115</v>
      </c>
      <c r="D70" s="430" t="s">
        <v>498</v>
      </c>
      <c r="E70" s="438">
        <v>54000</v>
      </c>
      <c r="F70" s="213"/>
    </row>
    <row r="71" spans="1:6" ht="27" customHeight="1">
      <c r="A71" s="430"/>
      <c r="B71" s="366" t="s">
        <v>15</v>
      </c>
      <c r="C71" s="360">
        <v>12</v>
      </c>
      <c r="D71" s="360"/>
      <c r="E71" s="441">
        <f>SUM(E60:E70)</f>
        <v>990000</v>
      </c>
      <c r="F71" s="213"/>
    </row>
    <row r="72" spans="1:6" ht="20.100000000000001" customHeight="1">
      <c r="A72" s="430"/>
      <c r="B72" s="362"/>
      <c r="C72" s="360"/>
      <c r="D72" s="360"/>
      <c r="E72" s="442"/>
      <c r="F72" s="213"/>
    </row>
    <row r="73" spans="1:6" ht="20.100000000000001" customHeight="1">
      <c r="A73" s="430"/>
      <c r="B73" s="366" t="s">
        <v>462</v>
      </c>
      <c r="C73" s="360"/>
      <c r="D73" s="360"/>
      <c r="E73" s="442"/>
      <c r="F73" s="213"/>
    </row>
    <row r="74" spans="1:6" ht="20.100000000000001" customHeight="1">
      <c r="A74" s="430">
        <v>1</v>
      </c>
      <c r="B74" s="432" t="s">
        <v>19</v>
      </c>
      <c r="C74" s="357" t="s">
        <v>201</v>
      </c>
      <c r="D74" s="430" t="s">
        <v>161</v>
      </c>
      <c r="E74" s="438">
        <v>270000</v>
      </c>
      <c r="F74" s="213"/>
    </row>
    <row r="75" spans="1:6" ht="20.100000000000001" customHeight="1">
      <c r="A75" s="430">
        <v>2</v>
      </c>
      <c r="B75" s="365" t="s">
        <v>325</v>
      </c>
      <c r="C75" s="357" t="s">
        <v>245</v>
      </c>
      <c r="D75" s="434" t="s">
        <v>272</v>
      </c>
      <c r="E75" s="331">
        <v>126000</v>
      </c>
      <c r="F75" s="213"/>
    </row>
    <row r="76" spans="1:6" ht="20.100000000000001" customHeight="1">
      <c r="A76" s="430">
        <v>3</v>
      </c>
      <c r="B76" s="364" t="s">
        <v>333</v>
      </c>
      <c r="C76" s="367" t="s">
        <v>387</v>
      </c>
      <c r="D76" s="430" t="s">
        <v>412</v>
      </c>
      <c r="E76" s="331">
        <v>126000</v>
      </c>
      <c r="F76" s="213"/>
    </row>
    <row r="77" spans="1:6" ht="20.100000000000001" customHeight="1">
      <c r="A77" s="430">
        <v>4</v>
      </c>
      <c r="B77" s="432" t="s">
        <v>26</v>
      </c>
      <c r="C77" s="357" t="s">
        <v>707</v>
      </c>
      <c r="D77" s="434" t="s">
        <v>222</v>
      </c>
      <c r="E77" s="438">
        <v>90000</v>
      </c>
      <c r="F77" s="213"/>
    </row>
    <row r="78" spans="1:6" ht="20.100000000000001" customHeight="1">
      <c r="A78" s="430">
        <v>5</v>
      </c>
      <c r="B78" s="432" t="s">
        <v>324</v>
      </c>
      <c r="C78" s="357" t="s">
        <v>243</v>
      </c>
      <c r="D78" s="430" t="s">
        <v>207</v>
      </c>
      <c r="E78" s="438">
        <v>54000</v>
      </c>
      <c r="F78" s="213"/>
    </row>
    <row r="79" spans="1:6" ht="20.100000000000001" customHeight="1">
      <c r="A79" s="430">
        <v>6</v>
      </c>
      <c r="B79" s="432" t="s">
        <v>554</v>
      </c>
      <c r="C79" s="357" t="s">
        <v>243</v>
      </c>
      <c r="D79" s="430" t="s">
        <v>428</v>
      </c>
      <c r="E79" s="438">
        <v>54000</v>
      </c>
      <c r="F79" s="213"/>
    </row>
    <row r="80" spans="1:6" ht="20.100000000000001" customHeight="1">
      <c r="A80" s="430">
        <v>7</v>
      </c>
      <c r="B80" s="432" t="s">
        <v>552</v>
      </c>
      <c r="C80" s="357" t="s">
        <v>553</v>
      </c>
      <c r="D80" s="430" t="s">
        <v>105</v>
      </c>
      <c r="E80" s="438">
        <v>54000</v>
      </c>
      <c r="F80" s="213"/>
    </row>
    <row r="81" spans="1:6" ht="20.100000000000001" customHeight="1">
      <c r="A81" s="430"/>
      <c r="B81" s="366" t="s">
        <v>15</v>
      </c>
      <c r="C81" s="360">
        <v>7</v>
      </c>
      <c r="D81" s="360"/>
      <c r="E81" s="441">
        <f>SUM(E74:E80)</f>
        <v>774000</v>
      </c>
      <c r="F81" s="213"/>
    </row>
    <row r="82" spans="1:6" ht="20.100000000000001" customHeight="1">
      <c r="A82" s="430"/>
      <c r="B82" s="366"/>
      <c r="C82" s="360"/>
      <c r="D82" s="360"/>
      <c r="E82" s="442"/>
      <c r="F82" s="213"/>
    </row>
    <row r="83" spans="1:6" ht="20.100000000000001" customHeight="1">
      <c r="A83" s="430"/>
      <c r="B83" s="366" t="s">
        <v>463</v>
      </c>
      <c r="C83" s="219"/>
      <c r="D83" s="360"/>
      <c r="E83" s="442"/>
      <c r="F83" s="213"/>
    </row>
    <row r="84" spans="1:6" ht="20.100000000000001" customHeight="1">
      <c r="A84" s="430">
        <v>1</v>
      </c>
      <c r="B84" s="432" t="s">
        <v>169</v>
      </c>
      <c r="C84" s="357" t="s">
        <v>258</v>
      </c>
      <c r="D84" s="430" t="s">
        <v>75</v>
      </c>
      <c r="E84" s="438">
        <v>126000</v>
      </c>
      <c r="F84" s="213"/>
    </row>
    <row r="85" spans="1:6" ht="20.100000000000001" customHeight="1">
      <c r="A85" s="430">
        <v>2</v>
      </c>
      <c r="B85" s="432" t="s">
        <v>192</v>
      </c>
      <c r="C85" s="357" t="s">
        <v>258</v>
      </c>
      <c r="D85" s="430" t="s">
        <v>75</v>
      </c>
      <c r="E85" s="438">
        <v>126000</v>
      </c>
      <c r="F85" s="213"/>
    </row>
    <row r="86" spans="1:6" ht="20.100000000000001" customHeight="1">
      <c r="A86" s="430">
        <v>3</v>
      </c>
      <c r="B86" s="365" t="s">
        <v>138</v>
      </c>
      <c r="C86" s="357" t="s">
        <v>258</v>
      </c>
      <c r="D86" s="430" t="s">
        <v>30</v>
      </c>
      <c r="E86" s="438">
        <v>126000</v>
      </c>
      <c r="F86" s="213"/>
    </row>
    <row r="87" spans="1:6" ht="20.100000000000001" customHeight="1">
      <c r="A87" s="430">
        <v>4</v>
      </c>
      <c r="B87" s="432" t="s">
        <v>202</v>
      </c>
      <c r="C87" s="357" t="s">
        <v>258</v>
      </c>
      <c r="D87" s="430" t="s">
        <v>30</v>
      </c>
      <c r="E87" s="438">
        <v>126000</v>
      </c>
      <c r="F87" s="213"/>
    </row>
    <row r="88" spans="1:6" ht="21.6" customHeight="1">
      <c r="A88" s="430">
        <v>5</v>
      </c>
      <c r="B88" s="432" t="s">
        <v>101</v>
      </c>
      <c r="C88" s="357" t="s">
        <v>80</v>
      </c>
      <c r="D88" s="434" t="s">
        <v>170</v>
      </c>
      <c r="E88" s="438">
        <v>90000</v>
      </c>
      <c r="F88" s="213"/>
    </row>
    <row r="89" spans="1:6" ht="21.6" customHeight="1">
      <c r="A89" s="430">
        <v>6</v>
      </c>
      <c r="B89" s="432" t="s">
        <v>336</v>
      </c>
      <c r="C89" s="367" t="s">
        <v>257</v>
      </c>
      <c r="D89" s="434" t="s">
        <v>163</v>
      </c>
      <c r="E89" s="438">
        <v>90000</v>
      </c>
      <c r="F89" s="213"/>
    </row>
    <row r="90" spans="1:6" ht="21.6" customHeight="1">
      <c r="A90" s="430">
        <v>7</v>
      </c>
      <c r="B90" s="432" t="s">
        <v>337</v>
      </c>
      <c r="C90" s="367" t="s">
        <v>297</v>
      </c>
      <c r="D90" s="434" t="s">
        <v>95</v>
      </c>
      <c r="E90" s="438">
        <v>90000</v>
      </c>
      <c r="F90" s="213"/>
    </row>
    <row r="91" spans="1:6" ht="21.6" customHeight="1">
      <c r="A91" s="430">
        <v>8</v>
      </c>
      <c r="B91" s="432" t="s">
        <v>421</v>
      </c>
      <c r="C91" s="431" t="s">
        <v>422</v>
      </c>
      <c r="D91" s="434" t="s">
        <v>369</v>
      </c>
      <c r="E91" s="438">
        <v>54000</v>
      </c>
      <c r="F91" s="213"/>
    </row>
    <row r="92" spans="1:6" ht="21.6" customHeight="1">
      <c r="A92" s="430">
        <v>9</v>
      </c>
      <c r="B92" s="432" t="s">
        <v>556</v>
      </c>
      <c r="C92" s="431" t="s">
        <v>422</v>
      </c>
      <c r="D92" s="434" t="s">
        <v>369</v>
      </c>
      <c r="E92" s="438">
        <v>54000</v>
      </c>
      <c r="F92" s="213"/>
    </row>
    <row r="93" spans="1:6" ht="21.6" customHeight="1">
      <c r="A93" s="430">
        <v>10</v>
      </c>
      <c r="B93" s="432" t="s">
        <v>436</v>
      </c>
      <c r="C93" s="357" t="s">
        <v>470</v>
      </c>
      <c r="D93" s="430" t="s">
        <v>104</v>
      </c>
      <c r="E93" s="438">
        <v>54000</v>
      </c>
      <c r="F93" s="213"/>
    </row>
    <row r="94" spans="1:6" ht="21.6" customHeight="1">
      <c r="A94" s="430">
        <v>11</v>
      </c>
      <c r="B94" s="432" t="s">
        <v>406</v>
      </c>
      <c r="C94" s="431" t="s">
        <v>432</v>
      </c>
      <c r="D94" s="434" t="s">
        <v>176</v>
      </c>
      <c r="E94" s="438">
        <v>54000</v>
      </c>
      <c r="F94" s="213"/>
    </row>
    <row r="95" spans="1:6" ht="20.100000000000001" customHeight="1">
      <c r="A95" s="430"/>
      <c r="B95" s="366" t="s">
        <v>15</v>
      </c>
      <c r="C95" s="360">
        <v>11</v>
      </c>
      <c r="D95" s="360"/>
      <c r="E95" s="441">
        <f>SUM(E84:E94)</f>
        <v>990000</v>
      </c>
      <c r="F95" s="213"/>
    </row>
    <row r="96" spans="1:6" ht="20.100000000000001" customHeight="1">
      <c r="A96" s="430"/>
      <c r="B96" s="362"/>
      <c r="C96" s="360"/>
      <c r="D96" s="360"/>
      <c r="E96" s="442"/>
      <c r="F96" s="213"/>
    </row>
    <row r="97" spans="1:6" ht="20.100000000000001" customHeight="1">
      <c r="A97" s="430"/>
      <c r="B97" s="366" t="s">
        <v>464</v>
      </c>
      <c r="C97" s="360"/>
      <c r="D97" s="360"/>
      <c r="E97" s="442"/>
      <c r="F97" s="213"/>
    </row>
    <row r="98" spans="1:6" ht="20.100000000000001" customHeight="1">
      <c r="A98" s="430">
        <v>1</v>
      </c>
      <c r="B98" s="365" t="s">
        <v>112</v>
      </c>
      <c r="C98" s="357" t="s">
        <v>740</v>
      </c>
      <c r="D98" s="25" t="s">
        <v>221</v>
      </c>
      <c r="E98" s="438">
        <f>180000</f>
        <v>180000</v>
      </c>
      <c r="F98" s="213"/>
    </row>
    <row r="99" spans="1:6" ht="20.100000000000001" customHeight="1">
      <c r="A99" s="430">
        <v>2</v>
      </c>
      <c r="B99" s="432" t="s">
        <v>124</v>
      </c>
      <c r="C99" s="357" t="s">
        <v>373</v>
      </c>
      <c r="D99" s="434" t="s">
        <v>222</v>
      </c>
      <c r="E99" s="438">
        <v>90000</v>
      </c>
      <c r="F99" s="213"/>
    </row>
    <row r="100" spans="1:6" ht="20.100000000000001" customHeight="1">
      <c r="A100" s="430">
        <v>3</v>
      </c>
      <c r="B100" s="432" t="s">
        <v>237</v>
      </c>
      <c r="C100" s="357" t="s">
        <v>483</v>
      </c>
      <c r="D100" s="434" t="s">
        <v>415</v>
      </c>
      <c r="E100" s="438">
        <v>54000</v>
      </c>
      <c r="F100" s="213"/>
    </row>
    <row r="101" spans="1:6" ht="20.100000000000001" customHeight="1">
      <c r="A101" s="430">
        <v>4</v>
      </c>
      <c r="B101" s="432" t="s">
        <v>345</v>
      </c>
      <c r="C101" s="357" t="s">
        <v>709</v>
      </c>
      <c r="D101" s="434" t="s">
        <v>104</v>
      </c>
      <c r="E101" s="438">
        <v>54000</v>
      </c>
      <c r="F101" s="213"/>
    </row>
    <row r="102" spans="1:6" ht="20.100000000000001" customHeight="1">
      <c r="A102" s="357"/>
      <c r="B102" s="366" t="s">
        <v>15</v>
      </c>
      <c r="C102" s="360">
        <v>4</v>
      </c>
      <c r="D102" s="220"/>
      <c r="E102" s="441">
        <f>SUM(E98:E101)</f>
        <v>378000</v>
      </c>
      <c r="F102" s="213"/>
    </row>
    <row r="103" spans="1:6" ht="20.100000000000001" customHeight="1">
      <c r="A103" s="357"/>
      <c r="B103" s="362"/>
      <c r="C103" s="360"/>
      <c r="D103" s="220"/>
      <c r="E103" s="442"/>
      <c r="F103" s="213"/>
    </row>
    <row r="104" spans="1:6" ht="20.100000000000001" customHeight="1">
      <c r="A104" s="357"/>
      <c r="B104" s="366" t="s">
        <v>465</v>
      </c>
      <c r="C104" s="357"/>
      <c r="D104" s="357"/>
      <c r="E104" s="443"/>
      <c r="F104" s="213"/>
    </row>
    <row r="105" spans="1:6" ht="20.100000000000001" customHeight="1">
      <c r="A105" s="357">
        <v>1</v>
      </c>
      <c r="B105" s="432" t="s">
        <v>216</v>
      </c>
      <c r="C105" s="367" t="s">
        <v>217</v>
      </c>
      <c r="D105" s="434" t="s">
        <v>161</v>
      </c>
      <c r="E105" s="438">
        <v>270000</v>
      </c>
      <c r="F105" s="213"/>
    </row>
    <row r="106" spans="1:6" ht="20.100000000000001" customHeight="1">
      <c r="A106" s="357">
        <v>2</v>
      </c>
      <c r="B106" s="432" t="s">
        <v>110</v>
      </c>
      <c r="C106" s="357" t="s">
        <v>259</v>
      </c>
      <c r="D106" s="25" t="s">
        <v>221</v>
      </c>
      <c r="E106" s="438">
        <v>180000</v>
      </c>
      <c r="F106" s="213"/>
    </row>
    <row r="107" spans="1:6" ht="20.100000000000001" customHeight="1">
      <c r="A107" s="357">
        <v>3</v>
      </c>
      <c r="B107" s="432" t="s">
        <v>109</v>
      </c>
      <c r="C107" s="357" t="s">
        <v>311</v>
      </c>
      <c r="D107" s="430" t="s">
        <v>175</v>
      </c>
      <c r="E107" s="438">
        <v>90000</v>
      </c>
      <c r="F107" s="213"/>
    </row>
    <row r="108" spans="1:6" ht="20.100000000000001" customHeight="1">
      <c r="A108" s="357">
        <v>4</v>
      </c>
      <c r="B108" s="432" t="s">
        <v>135</v>
      </c>
      <c r="C108" s="357" t="s">
        <v>311</v>
      </c>
      <c r="D108" s="430" t="s">
        <v>175</v>
      </c>
      <c r="E108" s="438">
        <v>90000</v>
      </c>
      <c r="F108" s="213"/>
    </row>
    <row r="109" spans="1:6" ht="20.100000000000001" customHeight="1">
      <c r="A109" s="357">
        <v>5</v>
      </c>
      <c r="B109" s="432" t="s">
        <v>240</v>
      </c>
      <c r="C109" s="357" t="s">
        <v>338</v>
      </c>
      <c r="D109" s="434" t="s">
        <v>499</v>
      </c>
      <c r="E109" s="439">
        <v>54000</v>
      </c>
      <c r="F109" s="213"/>
    </row>
    <row r="110" spans="1:6" ht="20.100000000000001" customHeight="1">
      <c r="A110" s="357">
        <v>6</v>
      </c>
      <c r="B110" s="364" t="s">
        <v>341</v>
      </c>
      <c r="C110" s="357" t="s">
        <v>338</v>
      </c>
      <c r="D110" s="430" t="s">
        <v>267</v>
      </c>
      <c r="E110" s="439">
        <v>54000</v>
      </c>
      <c r="F110" s="213"/>
    </row>
    <row r="111" spans="1:6" ht="20.100000000000001" customHeight="1">
      <c r="A111" s="357">
        <v>7</v>
      </c>
      <c r="B111" s="364" t="s">
        <v>374</v>
      </c>
      <c r="C111" s="357" t="s">
        <v>338</v>
      </c>
      <c r="D111" s="434" t="s">
        <v>176</v>
      </c>
      <c r="E111" s="439">
        <v>54000</v>
      </c>
      <c r="F111" s="213"/>
    </row>
    <row r="112" spans="1:6" ht="25.5" customHeight="1">
      <c r="A112" s="357"/>
      <c r="B112" s="366" t="s">
        <v>15</v>
      </c>
      <c r="C112" s="360">
        <v>7</v>
      </c>
      <c r="D112" s="357"/>
      <c r="E112" s="444">
        <f>SUM(E105:E111)</f>
        <v>792000</v>
      </c>
      <c r="F112" s="213"/>
    </row>
    <row r="113" spans="1:6" ht="20.100000000000001" customHeight="1">
      <c r="A113" s="357"/>
      <c r="B113" s="366"/>
      <c r="C113" s="360"/>
      <c r="D113" s="357"/>
      <c r="E113" s="444"/>
      <c r="F113" s="213"/>
    </row>
    <row r="114" spans="1:6" ht="20.100000000000001" customHeight="1">
      <c r="A114" s="430"/>
      <c r="B114" s="366" t="s">
        <v>542</v>
      </c>
      <c r="C114" s="360"/>
      <c r="D114" s="360"/>
      <c r="E114" s="442"/>
      <c r="F114" s="213"/>
    </row>
    <row r="115" spans="1:6" ht="18.75" customHeight="1">
      <c r="A115" s="430">
        <v>1</v>
      </c>
      <c r="B115" s="432" t="s">
        <v>247</v>
      </c>
      <c r="C115" s="357" t="s">
        <v>477</v>
      </c>
      <c r="D115" s="434" t="s">
        <v>415</v>
      </c>
      <c r="E115" s="438">
        <v>54000</v>
      </c>
      <c r="F115" s="213"/>
    </row>
    <row r="116" spans="1:6" ht="20.100000000000001" customHeight="1">
      <c r="A116" s="430">
        <v>2</v>
      </c>
      <c r="B116" s="432" t="s">
        <v>141</v>
      </c>
      <c r="C116" s="367" t="s">
        <v>391</v>
      </c>
      <c r="D116" s="434" t="s">
        <v>497</v>
      </c>
      <c r="E116" s="438">
        <v>54000</v>
      </c>
      <c r="F116" s="213"/>
    </row>
    <row r="117" spans="1:6" ht="24.75" customHeight="1">
      <c r="A117" s="357"/>
      <c r="B117" s="366" t="s">
        <v>15</v>
      </c>
      <c r="C117" s="360">
        <v>2</v>
      </c>
      <c r="D117" s="220"/>
      <c r="E117" s="441">
        <f>SUM(E115:E116)</f>
        <v>108000</v>
      </c>
      <c r="F117" s="213"/>
    </row>
    <row r="118" spans="1:6" ht="20.100000000000001" customHeight="1">
      <c r="A118" s="357"/>
      <c r="B118" s="362"/>
      <c r="C118" s="430"/>
      <c r="D118" s="357"/>
      <c r="E118" s="445"/>
      <c r="F118" s="213"/>
    </row>
    <row r="119" spans="1:6" ht="20.100000000000001" customHeight="1">
      <c r="A119" s="357"/>
      <c r="B119" s="366" t="s">
        <v>466</v>
      </c>
      <c r="C119" s="360"/>
      <c r="D119" s="360"/>
      <c r="E119" s="442"/>
      <c r="F119" s="213"/>
    </row>
    <row r="120" spans="1:6" ht="20.100000000000001" customHeight="1">
      <c r="A120" s="357">
        <v>1</v>
      </c>
      <c r="B120" s="432" t="s">
        <v>20</v>
      </c>
      <c r="C120" s="367" t="s">
        <v>250</v>
      </c>
      <c r="D120" s="434" t="s">
        <v>161</v>
      </c>
      <c r="E120" s="438">
        <f>270000</f>
        <v>270000</v>
      </c>
      <c r="F120" s="213"/>
    </row>
    <row r="121" spans="1:6" ht="20.100000000000001" customHeight="1">
      <c r="A121" s="357">
        <v>2</v>
      </c>
      <c r="B121" s="432" t="s">
        <v>153</v>
      </c>
      <c r="C121" s="367" t="s">
        <v>739</v>
      </c>
      <c r="D121" s="434" t="s">
        <v>29</v>
      </c>
      <c r="E121" s="438">
        <v>180000</v>
      </c>
      <c r="F121" s="213"/>
    </row>
    <row r="122" spans="1:6" ht="20.100000000000001" customHeight="1">
      <c r="A122" s="357">
        <v>3</v>
      </c>
      <c r="B122" s="365" t="s">
        <v>142</v>
      </c>
      <c r="C122" s="367" t="s">
        <v>376</v>
      </c>
      <c r="D122" s="434" t="s">
        <v>75</v>
      </c>
      <c r="E122" s="438">
        <v>126000</v>
      </c>
      <c r="F122" s="213"/>
    </row>
    <row r="123" spans="1:6" ht="20.100000000000001" customHeight="1">
      <c r="A123" s="357">
        <v>4</v>
      </c>
      <c r="B123" s="365" t="s">
        <v>363</v>
      </c>
      <c r="C123" s="367" t="s">
        <v>376</v>
      </c>
      <c r="D123" s="434" t="s">
        <v>30</v>
      </c>
      <c r="E123" s="438">
        <v>126000</v>
      </c>
      <c r="F123" s="213"/>
    </row>
    <row r="124" spans="1:6" ht="20.100000000000001" customHeight="1">
      <c r="A124" s="357">
        <v>5</v>
      </c>
      <c r="B124" s="432" t="s">
        <v>108</v>
      </c>
      <c r="C124" s="367" t="s">
        <v>476</v>
      </c>
      <c r="D124" s="434" t="s">
        <v>162</v>
      </c>
      <c r="E124" s="438">
        <v>90000</v>
      </c>
      <c r="F124" s="213"/>
    </row>
    <row r="125" spans="1:6" ht="20.100000000000001" customHeight="1">
      <c r="A125" s="357">
        <v>6</v>
      </c>
      <c r="B125" s="432" t="s">
        <v>178</v>
      </c>
      <c r="C125" s="367" t="s">
        <v>382</v>
      </c>
      <c r="D125" s="434" t="s">
        <v>222</v>
      </c>
      <c r="E125" s="438">
        <v>90000</v>
      </c>
      <c r="F125" s="213"/>
    </row>
    <row r="126" spans="1:6" ht="20.100000000000001" customHeight="1">
      <c r="A126" s="357">
        <v>7</v>
      </c>
      <c r="B126" s="432" t="s">
        <v>134</v>
      </c>
      <c r="C126" s="367" t="s">
        <v>476</v>
      </c>
      <c r="D126" s="434" t="s">
        <v>222</v>
      </c>
      <c r="E126" s="438">
        <v>90000</v>
      </c>
      <c r="F126" s="213"/>
    </row>
    <row r="127" spans="1:6" ht="20.100000000000001" customHeight="1">
      <c r="A127" s="357">
        <v>8</v>
      </c>
      <c r="B127" s="432" t="s">
        <v>443</v>
      </c>
      <c r="C127" s="367" t="s">
        <v>447</v>
      </c>
      <c r="D127" s="430" t="s">
        <v>498</v>
      </c>
      <c r="E127" s="438">
        <v>54000</v>
      </c>
      <c r="F127" s="213"/>
    </row>
    <row r="128" spans="1:6" ht="20.100000000000001" customHeight="1">
      <c r="A128" s="357">
        <v>9</v>
      </c>
      <c r="B128" s="364" t="s">
        <v>439</v>
      </c>
      <c r="C128" s="367" t="s">
        <v>440</v>
      </c>
      <c r="D128" s="434" t="s">
        <v>105</v>
      </c>
      <c r="E128" s="438">
        <v>54000</v>
      </c>
      <c r="F128" s="213"/>
    </row>
    <row r="129" spans="1:6" ht="20.100000000000001" customHeight="1">
      <c r="A129" s="357">
        <v>10</v>
      </c>
      <c r="B129" s="364" t="s">
        <v>535</v>
      </c>
      <c r="C129" s="367" t="s">
        <v>536</v>
      </c>
      <c r="D129" s="434" t="s">
        <v>105</v>
      </c>
      <c r="E129" s="438">
        <v>54000</v>
      </c>
      <c r="F129" s="213"/>
    </row>
    <row r="130" spans="1:6" ht="28.5" customHeight="1">
      <c r="A130" s="357"/>
      <c r="B130" s="366" t="s">
        <v>15</v>
      </c>
      <c r="C130" s="220" t="s">
        <v>543</v>
      </c>
      <c r="D130" s="434"/>
      <c r="E130" s="442">
        <f>SUM(E120:E129)</f>
        <v>1134000</v>
      </c>
      <c r="F130" s="213"/>
    </row>
    <row r="131" spans="1:6" ht="20.100000000000001" customHeight="1">
      <c r="A131" s="357"/>
      <c r="B131" s="362"/>
      <c r="C131" s="220"/>
      <c r="D131" s="434"/>
      <c r="E131" s="442"/>
      <c r="F131" s="213"/>
    </row>
    <row r="132" spans="1:6" ht="20.100000000000001" customHeight="1">
      <c r="A132" s="357"/>
      <c r="B132" s="366" t="s">
        <v>467</v>
      </c>
      <c r="C132" s="367"/>
      <c r="D132" s="434"/>
      <c r="E132" s="438"/>
      <c r="F132" s="213"/>
    </row>
    <row r="133" spans="1:6" ht="20.100000000000001" customHeight="1">
      <c r="A133" s="224">
        <v>1</v>
      </c>
      <c r="B133" s="432" t="s">
        <v>21</v>
      </c>
      <c r="C133" s="367" t="s">
        <v>393</v>
      </c>
      <c r="D133" s="434" t="s">
        <v>161</v>
      </c>
      <c r="E133" s="438">
        <f>270000</f>
        <v>270000</v>
      </c>
      <c r="F133" s="213"/>
    </row>
    <row r="134" spans="1:6" ht="20.100000000000001" customHeight="1">
      <c r="A134" s="224">
        <v>2</v>
      </c>
      <c r="B134" s="432" t="s">
        <v>107</v>
      </c>
      <c r="C134" s="367" t="s">
        <v>394</v>
      </c>
      <c r="D134" s="434" t="s">
        <v>160</v>
      </c>
      <c r="E134" s="438">
        <v>180000</v>
      </c>
      <c r="F134" s="213"/>
    </row>
    <row r="135" spans="1:6" ht="20.100000000000001" customHeight="1">
      <c r="A135" s="224">
        <v>3</v>
      </c>
      <c r="B135" s="365" t="s">
        <v>183</v>
      </c>
      <c r="C135" s="357" t="s">
        <v>486</v>
      </c>
      <c r="D135" s="25" t="s">
        <v>221</v>
      </c>
      <c r="E135" s="438">
        <v>180000</v>
      </c>
      <c r="F135" s="213"/>
    </row>
    <row r="136" spans="1:6" ht="20.100000000000001" customHeight="1">
      <c r="A136" s="224">
        <v>4</v>
      </c>
      <c r="B136" s="432" t="s">
        <v>106</v>
      </c>
      <c r="C136" s="367" t="s">
        <v>381</v>
      </c>
      <c r="D136" s="434" t="s">
        <v>181</v>
      </c>
      <c r="E136" s="438">
        <v>90000</v>
      </c>
      <c r="F136" s="213"/>
    </row>
    <row r="137" spans="1:6" ht="20.100000000000001" customHeight="1">
      <c r="A137" s="224">
        <v>5</v>
      </c>
      <c r="B137" s="432" t="s">
        <v>7</v>
      </c>
      <c r="C137" s="357" t="s">
        <v>385</v>
      </c>
      <c r="D137" s="434" t="s">
        <v>181</v>
      </c>
      <c r="E137" s="438">
        <v>90000</v>
      </c>
      <c r="F137" s="213"/>
    </row>
    <row r="138" spans="1:6" ht="20.100000000000001" customHeight="1">
      <c r="A138" s="224">
        <v>6</v>
      </c>
      <c r="B138" s="432" t="s">
        <v>6</v>
      </c>
      <c r="C138" s="357" t="s">
        <v>385</v>
      </c>
      <c r="D138" s="434" t="s">
        <v>181</v>
      </c>
      <c r="E138" s="438">
        <v>90000</v>
      </c>
      <c r="F138" s="213"/>
    </row>
    <row r="139" spans="1:6" ht="20.100000000000001" customHeight="1">
      <c r="A139" s="224">
        <v>7</v>
      </c>
      <c r="B139" s="432" t="s">
        <v>102</v>
      </c>
      <c r="C139" s="367" t="s">
        <v>395</v>
      </c>
      <c r="D139" s="434" t="s">
        <v>497</v>
      </c>
      <c r="E139" s="438">
        <v>54000</v>
      </c>
      <c r="F139" s="213"/>
    </row>
    <row r="140" spans="1:6" ht="20.100000000000001" customHeight="1">
      <c r="A140" s="224">
        <v>8</v>
      </c>
      <c r="B140" s="432" t="s">
        <v>103</v>
      </c>
      <c r="C140" s="367" t="s">
        <v>395</v>
      </c>
      <c r="D140" s="434" t="s">
        <v>497</v>
      </c>
      <c r="E140" s="438">
        <v>54000</v>
      </c>
      <c r="F140" s="213"/>
    </row>
    <row r="141" spans="1:6" ht="20.100000000000001" customHeight="1">
      <c r="A141" s="224">
        <v>9</v>
      </c>
      <c r="B141" s="432" t="s">
        <v>151</v>
      </c>
      <c r="C141" s="357" t="s">
        <v>235</v>
      </c>
      <c r="D141" s="434" t="s">
        <v>497</v>
      </c>
      <c r="E141" s="438">
        <v>54000</v>
      </c>
      <c r="F141" s="213"/>
    </row>
    <row r="142" spans="1:6" ht="20.100000000000001" customHeight="1">
      <c r="A142" s="224">
        <v>10</v>
      </c>
      <c r="B142" s="432" t="s">
        <v>238</v>
      </c>
      <c r="C142" s="367" t="s">
        <v>546</v>
      </c>
      <c r="D142" s="434" t="s">
        <v>415</v>
      </c>
      <c r="E142" s="438">
        <v>54000</v>
      </c>
      <c r="F142" s="213"/>
    </row>
    <row r="143" spans="1:6" ht="20.100000000000001" customHeight="1">
      <c r="A143" s="224">
        <v>11</v>
      </c>
      <c r="B143" s="432" t="s">
        <v>53</v>
      </c>
      <c r="C143" s="367" t="s">
        <v>711</v>
      </c>
      <c r="D143" s="434" t="s">
        <v>369</v>
      </c>
      <c r="E143" s="438">
        <v>54000</v>
      </c>
      <c r="F143" s="213"/>
    </row>
    <row r="144" spans="1:6" ht="20.100000000000001" customHeight="1">
      <c r="A144" s="224">
        <v>12</v>
      </c>
      <c r="B144" s="432" t="s">
        <v>179</v>
      </c>
      <c r="C144" s="367" t="s">
        <v>479</v>
      </c>
      <c r="D144" s="434" t="s">
        <v>497</v>
      </c>
      <c r="E144" s="438">
        <v>54000</v>
      </c>
      <c r="F144" s="213"/>
    </row>
    <row r="145" spans="1:6" ht="20.100000000000001" customHeight="1">
      <c r="A145" s="224">
        <v>13</v>
      </c>
      <c r="B145" s="364" t="s">
        <v>293</v>
      </c>
      <c r="C145" s="357" t="s">
        <v>712</v>
      </c>
      <c r="D145" s="434" t="s">
        <v>369</v>
      </c>
      <c r="E145" s="438">
        <v>54000</v>
      </c>
      <c r="F145" s="213"/>
    </row>
    <row r="146" spans="1:6" ht="20.100000000000001" customHeight="1">
      <c r="A146" s="224">
        <v>14</v>
      </c>
      <c r="B146" s="432" t="s">
        <v>488</v>
      </c>
      <c r="C146" s="357" t="s">
        <v>239</v>
      </c>
      <c r="D146" s="434" t="s">
        <v>207</v>
      </c>
      <c r="E146" s="438">
        <v>54000</v>
      </c>
      <c r="F146" s="213"/>
    </row>
    <row r="147" spans="1:6" ht="20.100000000000001" customHeight="1">
      <c r="A147" s="224">
        <v>15</v>
      </c>
      <c r="B147" s="432" t="s">
        <v>489</v>
      </c>
      <c r="C147" s="357" t="s">
        <v>239</v>
      </c>
      <c r="D147" s="434" t="s">
        <v>164</v>
      </c>
      <c r="E147" s="438">
        <v>54000</v>
      </c>
      <c r="F147" s="213"/>
    </row>
    <row r="148" spans="1:6" ht="20.100000000000001" customHeight="1">
      <c r="A148" s="224">
        <v>16</v>
      </c>
      <c r="B148" s="432" t="s">
        <v>212</v>
      </c>
      <c r="C148" s="357" t="s">
        <v>239</v>
      </c>
      <c r="D148" s="434" t="s">
        <v>164</v>
      </c>
      <c r="E148" s="438">
        <v>54000</v>
      </c>
      <c r="F148" s="213"/>
    </row>
    <row r="149" spans="1:6" ht="20.100000000000001" customHeight="1">
      <c r="A149" s="224">
        <v>17</v>
      </c>
      <c r="B149" s="432" t="s">
        <v>425</v>
      </c>
      <c r="C149" s="367" t="s">
        <v>430</v>
      </c>
      <c r="D149" s="434" t="s">
        <v>104</v>
      </c>
      <c r="E149" s="438">
        <v>54000</v>
      </c>
      <c r="F149" s="213"/>
    </row>
    <row r="150" spans="1:6" ht="20.100000000000001" customHeight="1">
      <c r="A150" s="224">
        <v>18</v>
      </c>
      <c r="B150" s="432" t="s">
        <v>437</v>
      </c>
      <c r="C150" s="367" t="s">
        <v>438</v>
      </c>
      <c r="D150" s="430" t="s">
        <v>428</v>
      </c>
      <c r="E150" s="438">
        <v>54000</v>
      </c>
      <c r="F150" s="213"/>
    </row>
    <row r="151" spans="1:6" ht="20.100000000000001" customHeight="1">
      <c r="A151" s="224">
        <v>19</v>
      </c>
      <c r="B151" s="432" t="s">
        <v>230</v>
      </c>
      <c r="C151" s="367" t="s">
        <v>485</v>
      </c>
      <c r="D151" s="434" t="s">
        <v>207</v>
      </c>
      <c r="E151" s="438">
        <v>54000</v>
      </c>
      <c r="F151" s="213"/>
    </row>
    <row r="152" spans="1:6" ht="20.100000000000001" customHeight="1">
      <c r="A152" s="224">
        <v>20</v>
      </c>
      <c r="B152" s="432" t="s">
        <v>57</v>
      </c>
      <c r="C152" s="367" t="s">
        <v>481</v>
      </c>
      <c r="D152" s="434" t="s">
        <v>498</v>
      </c>
      <c r="E152" s="438">
        <v>54000</v>
      </c>
      <c r="F152" s="213"/>
    </row>
    <row r="153" spans="1:6" ht="20.100000000000001" customHeight="1">
      <c r="A153" s="224">
        <v>21</v>
      </c>
      <c r="B153" s="432" t="s">
        <v>251</v>
      </c>
      <c r="C153" s="367" t="s">
        <v>482</v>
      </c>
      <c r="D153" s="434" t="s">
        <v>207</v>
      </c>
      <c r="E153" s="438">
        <v>54000</v>
      </c>
      <c r="F153" s="213"/>
    </row>
    <row r="154" spans="1:6" ht="20.100000000000001" customHeight="1">
      <c r="A154" s="224">
        <v>22</v>
      </c>
      <c r="B154" s="432" t="s">
        <v>241</v>
      </c>
      <c r="C154" s="367" t="s">
        <v>348</v>
      </c>
      <c r="D154" s="434" t="s">
        <v>498</v>
      </c>
      <c r="E154" s="438">
        <v>54000</v>
      </c>
      <c r="F154" s="213"/>
    </row>
    <row r="155" spans="1:6" ht="20.100000000000001" customHeight="1">
      <c r="A155" s="224">
        <v>23</v>
      </c>
      <c r="B155" s="364" t="s">
        <v>289</v>
      </c>
      <c r="C155" s="367" t="s">
        <v>713</v>
      </c>
      <c r="D155" s="434" t="s">
        <v>428</v>
      </c>
      <c r="E155" s="438">
        <v>54000</v>
      </c>
      <c r="F155" s="213"/>
    </row>
    <row r="156" spans="1:6" ht="20.100000000000001" customHeight="1">
      <c r="A156" s="224">
        <v>24</v>
      </c>
      <c r="B156" s="364" t="s">
        <v>407</v>
      </c>
      <c r="C156" s="367" t="s">
        <v>131</v>
      </c>
      <c r="D156" s="434" t="s">
        <v>105</v>
      </c>
      <c r="E156" s="438">
        <v>54000</v>
      </c>
      <c r="F156" s="213"/>
    </row>
    <row r="157" spans="1:6" ht="20.100000000000001" customHeight="1">
      <c r="A157" s="224">
        <v>25</v>
      </c>
      <c r="B157" s="364" t="s">
        <v>426</v>
      </c>
      <c r="C157" s="367" t="s">
        <v>290</v>
      </c>
      <c r="D157" s="434" t="s">
        <v>105</v>
      </c>
      <c r="E157" s="438">
        <v>54000</v>
      </c>
      <c r="F157" s="213"/>
    </row>
    <row r="158" spans="1:6" ht="20.100000000000001" customHeight="1">
      <c r="A158" s="224">
        <v>26</v>
      </c>
      <c r="B158" s="364" t="s">
        <v>441</v>
      </c>
      <c r="C158" s="367" t="s">
        <v>442</v>
      </c>
      <c r="D158" s="434" t="s">
        <v>105</v>
      </c>
      <c r="E158" s="438">
        <v>54000</v>
      </c>
      <c r="F158" s="213"/>
    </row>
    <row r="159" spans="1:6" ht="20.100000000000001" customHeight="1">
      <c r="A159" s="224">
        <v>27</v>
      </c>
      <c r="B159" s="364" t="s">
        <v>445</v>
      </c>
      <c r="C159" s="367" t="s">
        <v>446</v>
      </c>
      <c r="D159" s="434" t="s">
        <v>176</v>
      </c>
      <c r="E159" s="438">
        <v>54000</v>
      </c>
      <c r="F159" s="213"/>
    </row>
    <row r="160" spans="1:6" ht="20.100000000000001" customHeight="1">
      <c r="A160" s="224">
        <v>28</v>
      </c>
      <c r="B160" s="364" t="s">
        <v>550</v>
      </c>
      <c r="C160" s="367" t="s">
        <v>290</v>
      </c>
      <c r="D160" s="434" t="s">
        <v>105</v>
      </c>
      <c r="E160" s="438">
        <v>54000</v>
      </c>
      <c r="F160" s="213"/>
    </row>
    <row r="161" spans="1:6" ht="20.100000000000001" customHeight="1">
      <c r="A161" s="224">
        <v>29</v>
      </c>
      <c r="B161" s="432" t="s">
        <v>22</v>
      </c>
      <c r="C161" s="367" t="s">
        <v>302</v>
      </c>
      <c r="D161" s="434" t="s">
        <v>501</v>
      </c>
      <c r="E161" s="446">
        <v>36000</v>
      </c>
      <c r="F161" s="213"/>
    </row>
    <row r="162" spans="1:6" ht="20.100000000000001" customHeight="1">
      <c r="A162" s="224">
        <v>30</v>
      </c>
      <c r="B162" s="432" t="s">
        <v>14</v>
      </c>
      <c r="C162" s="367" t="s">
        <v>302</v>
      </c>
      <c r="D162" s="434" t="s">
        <v>501</v>
      </c>
      <c r="E162" s="446">
        <v>36000</v>
      </c>
      <c r="F162" s="213"/>
    </row>
    <row r="163" spans="1:6" ht="20.100000000000001" customHeight="1">
      <c r="A163" s="224">
        <v>31</v>
      </c>
      <c r="B163" s="432" t="s">
        <v>23</v>
      </c>
      <c r="C163" s="367" t="s">
        <v>302</v>
      </c>
      <c r="D163" s="434" t="s">
        <v>501</v>
      </c>
      <c r="E163" s="446">
        <v>36000</v>
      </c>
      <c r="F163" s="213"/>
    </row>
    <row r="164" spans="1:6" ht="20.100000000000001" customHeight="1">
      <c r="A164" s="224">
        <v>32</v>
      </c>
      <c r="B164" s="432" t="s">
        <v>39</v>
      </c>
      <c r="C164" s="367" t="s">
        <v>302</v>
      </c>
      <c r="D164" s="434" t="s">
        <v>501</v>
      </c>
      <c r="E164" s="446">
        <v>36000</v>
      </c>
      <c r="F164" s="213"/>
    </row>
    <row r="165" spans="1:6" ht="20.100000000000001" customHeight="1">
      <c r="A165" s="224">
        <v>33</v>
      </c>
      <c r="B165" s="432" t="s">
        <v>40</v>
      </c>
      <c r="C165" s="367" t="s">
        <v>302</v>
      </c>
      <c r="D165" s="434" t="s">
        <v>501</v>
      </c>
      <c r="E165" s="446">
        <v>36000</v>
      </c>
      <c r="F165" s="213"/>
    </row>
    <row r="166" spans="1:6" ht="20.100000000000001" customHeight="1">
      <c r="A166" s="224">
        <v>34</v>
      </c>
      <c r="B166" s="432" t="s">
        <v>127</v>
      </c>
      <c r="C166" s="367" t="s">
        <v>302</v>
      </c>
      <c r="D166" s="434" t="s">
        <v>416</v>
      </c>
      <c r="E166" s="446">
        <v>36000</v>
      </c>
      <c r="F166" s="213"/>
    </row>
    <row r="167" spans="1:6" ht="20.100000000000001" customHeight="1">
      <c r="A167" s="224">
        <v>35</v>
      </c>
      <c r="B167" s="432" t="s">
        <v>128</v>
      </c>
      <c r="C167" s="367" t="s">
        <v>302</v>
      </c>
      <c r="D167" s="434" t="s">
        <v>416</v>
      </c>
      <c r="E167" s="446">
        <v>36000</v>
      </c>
      <c r="F167" s="213"/>
    </row>
    <row r="168" spans="1:6" ht="20.100000000000001" customHeight="1">
      <c r="A168" s="224">
        <v>36</v>
      </c>
      <c r="B168" s="365" t="s">
        <v>136</v>
      </c>
      <c r="C168" s="367" t="s">
        <v>302</v>
      </c>
      <c r="D168" s="434" t="s">
        <v>416</v>
      </c>
      <c r="E168" s="446">
        <v>36000</v>
      </c>
      <c r="F168" s="213"/>
    </row>
    <row r="169" spans="1:6" ht="20.100000000000001" customHeight="1">
      <c r="A169" s="224">
        <v>37</v>
      </c>
      <c r="B169" s="432" t="s">
        <v>140</v>
      </c>
      <c r="C169" s="367" t="s">
        <v>302</v>
      </c>
      <c r="D169" s="434" t="s">
        <v>416</v>
      </c>
      <c r="E169" s="446">
        <v>36000</v>
      </c>
      <c r="F169" s="213"/>
    </row>
    <row r="170" spans="1:6" ht="20.100000000000001" customHeight="1">
      <c r="A170" s="224">
        <v>38</v>
      </c>
      <c r="B170" s="364" t="s">
        <v>152</v>
      </c>
      <c r="C170" s="367" t="s">
        <v>302</v>
      </c>
      <c r="D170" s="434" t="s">
        <v>416</v>
      </c>
      <c r="E170" s="446">
        <v>36000</v>
      </c>
      <c r="F170" s="213"/>
    </row>
    <row r="171" spans="1:6" ht="20.100000000000001" customHeight="1">
      <c r="A171" s="224">
        <v>39</v>
      </c>
      <c r="B171" s="364" t="s">
        <v>132</v>
      </c>
      <c r="C171" s="367" t="s">
        <v>302</v>
      </c>
      <c r="D171" s="434" t="s">
        <v>416</v>
      </c>
      <c r="E171" s="446">
        <v>36000</v>
      </c>
      <c r="F171" s="213"/>
    </row>
    <row r="172" spans="1:6" ht="20.100000000000001" customHeight="1">
      <c r="A172" s="224">
        <v>40</v>
      </c>
      <c r="B172" s="432" t="s">
        <v>231</v>
      </c>
      <c r="C172" s="367" t="s">
        <v>714</v>
      </c>
      <c r="D172" s="434" t="s">
        <v>306</v>
      </c>
      <c r="E172" s="446">
        <v>36000</v>
      </c>
      <c r="F172" s="213"/>
    </row>
    <row r="173" spans="1:6" ht="20.100000000000001" customHeight="1">
      <c r="A173" s="224">
        <v>41</v>
      </c>
      <c r="B173" s="432" t="s">
        <v>246</v>
      </c>
      <c r="C173" s="367" t="s">
        <v>714</v>
      </c>
      <c r="D173" s="434" t="s">
        <v>306</v>
      </c>
      <c r="E173" s="446">
        <v>36000</v>
      </c>
      <c r="F173" s="213"/>
    </row>
    <row r="174" spans="1:6" ht="20.100000000000001" customHeight="1">
      <c r="A174" s="224">
        <v>42</v>
      </c>
      <c r="B174" s="364" t="s">
        <v>166</v>
      </c>
      <c r="C174" s="367" t="s">
        <v>714</v>
      </c>
      <c r="D174" s="434" t="s">
        <v>306</v>
      </c>
      <c r="E174" s="446">
        <v>36000</v>
      </c>
      <c r="F174" s="213"/>
    </row>
    <row r="175" spans="1:6" ht="20.100000000000001" customHeight="1">
      <c r="A175" s="224">
        <v>43</v>
      </c>
      <c r="B175" s="432" t="s">
        <v>204</v>
      </c>
      <c r="C175" s="367" t="s">
        <v>167</v>
      </c>
      <c r="D175" s="434" t="s">
        <v>177</v>
      </c>
      <c r="E175" s="446">
        <v>36000</v>
      </c>
      <c r="F175" s="213"/>
    </row>
    <row r="176" spans="1:6" ht="20.100000000000001" customHeight="1">
      <c r="A176" s="224">
        <v>44</v>
      </c>
      <c r="B176" s="432" t="s">
        <v>209</v>
      </c>
      <c r="C176" s="367" t="s">
        <v>13</v>
      </c>
      <c r="D176" s="434" t="s">
        <v>502</v>
      </c>
      <c r="E176" s="446">
        <v>36000</v>
      </c>
      <c r="F176" s="213"/>
    </row>
    <row r="177" spans="1:6" ht="20.100000000000001" customHeight="1">
      <c r="A177" s="224">
        <v>45</v>
      </c>
      <c r="B177" s="432" t="s">
        <v>218</v>
      </c>
      <c r="C177" s="367" t="s">
        <v>13</v>
      </c>
      <c r="D177" s="434" t="s">
        <v>502</v>
      </c>
      <c r="E177" s="446">
        <v>36000</v>
      </c>
      <c r="F177" s="213"/>
    </row>
    <row r="178" spans="1:6" ht="20.100000000000001" customHeight="1">
      <c r="A178" s="224">
        <v>46</v>
      </c>
      <c r="B178" s="432" t="s">
        <v>219</v>
      </c>
      <c r="C178" s="367" t="s">
        <v>13</v>
      </c>
      <c r="D178" s="434" t="s">
        <v>502</v>
      </c>
      <c r="E178" s="446">
        <v>36000</v>
      </c>
      <c r="F178" s="213"/>
    </row>
    <row r="179" spans="1:6" ht="20.100000000000001" customHeight="1">
      <c r="A179" s="224">
        <v>47</v>
      </c>
      <c r="B179" s="432" t="s">
        <v>211</v>
      </c>
      <c r="C179" s="367" t="s">
        <v>13</v>
      </c>
      <c r="D179" s="434" t="s">
        <v>502</v>
      </c>
      <c r="E179" s="446">
        <v>36000</v>
      </c>
      <c r="F179" s="213"/>
    </row>
    <row r="180" spans="1:6" ht="20.100000000000001" customHeight="1">
      <c r="A180" s="224">
        <v>48</v>
      </c>
      <c r="B180" s="432" t="s">
        <v>213</v>
      </c>
      <c r="C180" s="367" t="s">
        <v>13</v>
      </c>
      <c r="D180" s="434" t="s">
        <v>502</v>
      </c>
      <c r="E180" s="446">
        <v>36000</v>
      </c>
      <c r="F180" s="213"/>
    </row>
    <row r="181" spans="1:6" ht="20.100000000000001" customHeight="1">
      <c r="A181" s="224">
        <v>49</v>
      </c>
      <c r="B181" s="364" t="s">
        <v>342</v>
      </c>
      <c r="C181" s="367" t="s">
        <v>13</v>
      </c>
      <c r="D181" s="434" t="s">
        <v>502</v>
      </c>
      <c r="E181" s="446">
        <v>36000</v>
      </c>
      <c r="F181" s="213"/>
    </row>
    <row r="182" spans="1:6" ht="20.100000000000001" customHeight="1">
      <c r="A182" s="224">
        <v>50</v>
      </c>
      <c r="B182" s="364" t="s">
        <v>405</v>
      </c>
      <c r="C182" s="367" t="s">
        <v>13</v>
      </c>
      <c r="D182" s="434" t="s">
        <v>502</v>
      </c>
      <c r="E182" s="446">
        <v>36000</v>
      </c>
      <c r="F182" s="213"/>
    </row>
    <row r="183" spans="1:6" ht="20.100000000000001" customHeight="1">
      <c r="A183" s="224">
        <v>51</v>
      </c>
      <c r="B183" s="432" t="s">
        <v>232</v>
      </c>
      <c r="C183" s="367" t="s">
        <v>167</v>
      </c>
      <c r="D183" s="434" t="s">
        <v>502</v>
      </c>
      <c r="E183" s="446">
        <v>36000</v>
      </c>
      <c r="F183" s="213"/>
    </row>
    <row r="184" spans="1:6" ht="20.100000000000001" customHeight="1">
      <c r="A184" s="224">
        <v>52</v>
      </c>
      <c r="B184" s="432" t="s">
        <v>233</v>
      </c>
      <c r="C184" s="367" t="s">
        <v>167</v>
      </c>
      <c r="D184" s="434" t="s">
        <v>502</v>
      </c>
      <c r="E184" s="446">
        <v>36000</v>
      </c>
      <c r="F184" s="213"/>
    </row>
    <row r="185" spans="1:6" ht="20.100000000000001" customHeight="1">
      <c r="A185" s="224">
        <v>53</v>
      </c>
      <c r="B185" s="364" t="s">
        <v>279</v>
      </c>
      <c r="C185" s="367" t="s">
        <v>715</v>
      </c>
      <c r="D185" s="434" t="s">
        <v>262</v>
      </c>
      <c r="E185" s="446">
        <v>36000</v>
      </c>
      <c r="F185" s="213"/>
    </row>
    <row r="186" spans="1:6" ht="20.100000000000001" customHeight="1">
      <c r="A186" s="224">
        <v>54</v>
      </c>
      <c r="B186" s="364" t="s">
        <v>403</v>
      </c>
      <c r="C186" s="367" t="s">
        <v>13</v>
      </c>
      <c r="D186" s="434" t="s">
        <v>264</v>
      </c>
      <c r="E186" s="446">
        <v>36000</v>
      </c>
      <c r="F186" s="213"/>
    </row>
    <row r="187" spans="1:6" ht="20.100000000000001" customHeight="1">
      <c r="A187" s="224">
        <v>55</v>
      </c>
      <c r="B187" s="364" t="s">
        <v>557</v>
      </c>
      <c r="C187" s="367" t="s">
        <v>558</v>
      </c>
      <c r="D187" s="434" t="s">
        <v>559</v>
      </c>
      <c r="E187" s="446">
        <v>36000</v>
      </c>
      <c r="F187" s="213"/>
    </row>
    <row r="188" spans="1:6" ht="20.100000000000001" customHeight="1">
      <c r="A188" s="224">
        <v>56</v>
      </c>
      <c r="B188" s="364" t="s">
        <v>560</v>
      </c>
      <c r="C188" s="367" t="s">
        <v>558</v>
      </c>
      <c r="D188" s="434" t="s">
        <v>559</v>
      </c>
      <c r="E188" s="446">
        <v>36000</v>
      </c>
      <c r="F188" s="213"/>
    </row>
    <row r="189" spans="1:6" ht="20.100000000000001" customHeight="1">
      <c r="A189" s="224">
        <v>57</v>
      </c>
      <c r="B189" s="364" t="s">
        <v>561</v>
      </c>
      <c r="C189" s="367" t="s">
        <v>558</v>
      </c>
      <c r="D189" s="434" t="s">
        <v>559</v>
      </c>
      <c r="E189" s="446">
        <v>36000</v>
      </c>
      <c r="F189" s="213"/>
    </row>
    <row r="190" spans="1:6" ht="20.100000000000001" customHeight="1">
      <c r="A190" s="224">
        <v>58</v>
      </c>
      <c r="B190" s="364" t="s">
        <v>562</v>
      </c>
      <c r="C190" s="367" t="s">
        <v>563</v>
      </c>
      <c r="D190" s="434" t="s">
        <v>564</v>
      </c>
      <c r="E190" s="446">
        <v>36000</v>
      </c>
      <c r="F190" s="213"/>
    </row>
    <row r="191" spans="1:6" ht="20.100000000000001" customHeight="1">
      <c r="A191" s="224">
        <v>59</v>
      </c>
      <c r="B191" s="364" t="s">
        <v>565</v>
      </c>
      <c r="C191" s="367" t="s">
        <v>563</v>
      </c>
      <c r="D191" s="434" t="s">
        <v>564</v>
      </c>
      <c r="E191" s="446">
        <v>36000</v>
      </c>
      <c r="F191" s="213"/>
    </row>
    <row r="192" spans="1:6" ht="24.75" customHeight="1">
      <c r="A192" s="224"/>
      <c r="B192" s="210" t="s">
        <v>15</v>
      </c>
      <c r="C192" s="226" t="s">
        <v>710</v>
      </c>
      <c r="D192" s="358"/>
      <c r="E192" s="441">
        <f>SUM(E133:E191)</f>
        <v>3204000</v>
      </c>
      <c r="F192" s="213"/>
    </row>
    <row r="193" spans="1:6" ht="20.100000000000001" customHeight="1">
      <c r="A193" s="729"/>
      <c r="B193" s="729"/>
      <c r="C193" s="729"/>
      <c r="D193" s="729"/>
      <c r="E193" s="729"/>
      <c r="F193" s="213"/>
    </row>
    <row r="194" spans="1:6" ht="29.25" customHeight="1">
      <c r="A194" s="357"/>
      <c r="B194" s="227" t="s">
        <v>8</v>
      </c>
      <c r="C194" s="228">
        <f>C31+C37+C52+C57+C71+C81+C95+C102+C112+C130+C192</f>
        <v>151</v>
      </c>
      <c r="D194" s="229"/>
      <c r="E194" s="447">
        <f>E192+E130+E117+E112+E102+E95+E81+E71+E57+E52+E37+E31</f>
        <v>13230000</v>
      </c>
      <c r="F194" s="213"/>
    </row>
    <row r="195" spans="1:6" ht="20.100000000000001" customHeight="1">
      <c r="A195" s="202"/>
      <c r="B195" s="231"/>
      <c r="C195" s="202"/>
      <c r="D195" s="232"/>
      <c r="E195" s="232"/>
      <c r="F195" s="433"/>
    </row>
    <row r="196" spans="1:6" ht="36.75" customHeight="1">
      <c r="A196" s="202"/>
      <c r="B196" s="231"/>
      <c r="C196" s="232"/>
      <c r="D196" s="232"/>
      <c r="E196" s="416"/>
    </row>
    <row r="197" spans="1:6" ht="20.100000000000001" customHeight="1">
      <c r="E197" s="416"/>
    </row>
    <row r="198" spans="1:6" ht="20.100000000000001" customHeight="1">
      <c r="E198" s="416"/>
    </row>
    <row r="199" spans="1:6" ht="20.100000000000001" customHeight="1">
      <c r="E199" s="416"/>
    </row>
    <row r="200" spans="1:6" ht="20.100000000000001" customHeight="1">
      <c r="E200" s="433"/>
    </row>
  </sheetData>
  <mergeCells count="2">
    <mergeCell ref="A1:E1"/>
    <mergeCell ref="A193:E193"/>
  </mergeCells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2" sqref="K22"/>
    </sheetView>
  </sheetViews>
  <sheetFormatPr defaultRowHeight="12.7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8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D118" sqref="D118"/>
    </sheetView>
  </sheetViews>
  <sheetFormatPr defaultColWidth="9.140625" defaultRowHeight="20.100000000000001" customHeight="1"/>
  <cols>
    <col min="1" max="1" width="5.42578125" style="196" customWidth="1"/>
    <col min="2" max="2" width="43.42578125" style="196" customWidth="1"/>
    <col min="3" max="3" width="40.42578125" style="196" customWidth="1"/>
    <col min="4" max="4" width="11.5703125" style="196" customWidth="1"/>
    <col min="5" max="6" width="19.28515625" style="196" customWidth="1"/>
    <col min="7" max="7" width="21.7109375" style="196" customWidth="1"/>
    <col min="8" max="16384" width="9.140625" style="196"/>
  </cols>
  <sheetData>
    <row r="1" spans="1:7" ht="27" customHeight="1">
      <c r="A1" s="197" t="s">
        <v>234</v>
      </c>
      <c r="B1" s="197"/>
      <c r="C1" s="197"/>
      <c r="D1" s="197"/>
    </row>
    <row r="2" spans="1:7" ht="33.75" customHeight="1">
      <c r="A2" s="730" t="s">
        <v>734</v>
      </c>
      <c r="B2" s="730"/>
      <c r="C2" s="730"/>
      <c r="D2" s="730"/>
      <c r="E2" s="730"/>
      <c r="F2" s="730"/>
    </row>
    <row r="3" spans="1:7" ht="9.75" customHeight="1">
      <c r="A3" s="202"/>
      <c r="B3" s="202"/>
      <c r="C3" s="202"/>
      <c r="D3" s="202"/>
    </row>
    <row r="4" spans="1:7" ht="49.5" customHeight="1">
      <c r="A4" s="357"/>
      <c r="B4" s="203" t="s">
        <v>0</v>
      </c>
      <c r="C4" s="204" t="s">
        <v>12</v>
      </c>
      <c r="D4" s="205" t="s">
        <v>309</v>
      </c>
      <c r="E4" s="389" t="s">
        <v>744</v>
      </c>
      <c r="F4" s="254" t="s">
        <v>743</v>
      </c>
    </row>
    <row r="5" spans="1:7" ht="17.25" customHeight="1">
      <c r="C5" s="210"/>
      <c r="D5" s="210"/>
      <c r="E5" s="243" t="s">
        <v>5</v>
      </c>
      <c r="F5" s="249" t="s">
        <v>5</v>
      </c>
    </row>
    <row r="6" spans="1:7" ht="20.100000000000001" customHeight="1">
      <c r="A6" s="209" t="s">
        <v>143</v>
      </c>
      <c r="B6" s="210" t="s">
        <v>433</v>
      </c>
      <c r="C6" s="210"/>
      <c r="D6" s="210"/>
      <c r="E6" s="243"/>
      <c r="F6" s="249"/>
    </row>
    <row r="7" spans="1:7" ht="20.100000000000001" customHeight="1">
      <c r="A7" s="430">
        <v>1</v>
      </c>
      <c r="B7" s="432" t="s">
        <v>224</v>
      </c>
      <c r="C7" s="367" t="s">
        <v>119</v>
      </c>
      <c r="D7" s="367" t="s">
        <v>34</v>
      </c>
      <c r="E7" s="237">
        <v>1158849.8399999999</v>
      </c>
      <c r="F7" s="240">
        <f>E7/2</f>
        <v>579424.91999999993</v>
      </c>
      <c r="G7" s="213"/>
    </row>
    <row r="8" spans="1:7" ht="20.100000000000001" customHeight="1">
      <c r="A8" s="430">
        <v>2</v>
      </c>
      <c r="B8" s="432" t="s">
        <v>315</v>
      </c>
      <c r="C8" s="367" t="s">
        <v>316</v>
      </c>
      <c r="D8" s="430" t="s">
        <v>496</v>
      </c>
      <c r="E8" s="237">
        <v>541465.02474999998</v>
      </c>
      <c r="F8" s="240">
        <f t="shared" ref="F8:F30" si="0">E8/2</f>
        <v>270732.51237499999</v>
      </c>
      <c r="G8" s="213"/>
    </row>
    <row r="9" spans="1:7" ht="20.100000000000001" customHeight="1">
      <c r="A9" s="430">
        <v>3</v>
      </c>
      <c r="B9" s="365" t="s">
        <v>317</v>
      </c>
      <c r="C9" s="357" t="s">
        <v>418</v>
      </c>
      <c r="D9" s="434" t="s">
        <v>221</v>
      </c>
      <c r="E9" s="237">
        <v>727743.99575</v>
      </c>
      <c r="F9" s="240">
        <f t="shared" si="0"/>
        <v>363871.997875</v>
      </c>
      <c r="G9" s="213"/>
    </row>
    <row r="10" spans="1:7" ht="20.100000000000001" customHeight="1">
      <c r="A10" s="430">
        <v>4</v>
      </c>
      <c r="B10" s="432" t="s">
        <v>187</v>
      </c>
      <c r="C10" s="431" t="s">
        <v>474</v>
      </c>
      <c r="D10" s="25" t="s">
        <v>221</v>
      </c>
      <c r="E10" s="237">
        <v>617743.99575</v>
      </c>
      <c r="F10" s="240">
        <f t="shared" si="0"/>
        <v>308871.997875</v>
      </c>
      <c r="G10" s="213"/>
    </row>
    <row r="11" spans="1:7" ht="20.100000000000001" customHeight="1">
      <c r="A11" s="430">
        <v>5</v>
      </c>
      <c r="B11" s="365" t="s">
        <v>203</v>
      </c>
      <c r="C11" s="357" t="s">
        <v>475</v>
      </c>
      <c r="D11" s="25" t="s">
        <v>221</v>
      </c>
      <c r="E11" s="237">
        <v>677743.99575</v>
      </c>
      <c r="F11" s="240">
        <f t="shared" si="0"/>
        <v>338871.997875</v>
      </c>
      <c r="G11" s="213"/>
    </row>
    <row r="12" spans="1:7" ht="20.100000000000001" customHeight="1">
      <c r="A12" s="430">
        <v>6</v>
      </c>
      <c r="B12" s="364" t="s">
        <v>364</v>
      </c>
      <c r="C12" s="430" t="s">
        <v>343</v>
      </c>
      <c r="D12" s="434" t="s">
        <v>221</v>
      </c>
      <c r="E12" s="237">
        <v>627743.99575</v>
      </c>
      <c r="F12" s="240">
        <f t="shared" si="0"/>
        <v>313871.997875</v>
      </c>
      <c r="G12" s="213"/>
    </row>
    <row r="13" spans="1:7" ht="20.100000000000001" customHeight="1">
      <c r="A13" s="430">
        <v>7</v>
      </c>
      <c r="B13" s="432" t="s">
        <v>111</v>
      </c>
      <c r="C13" s="367" t="s">
        <v>468</v>
      </c>
      <c r="D13" s="434" t="s">
        <v>75</v>
      </c>
      <c r="E13" s="237">
        <v>497553.5025</v>
      </c>
      <c r="F13" s="240">
        <f t="shared" si="0"/>
        <v>248776.75125</v>
      </c>
      <c r="G13" s="213"/>
    </row>
    <row r="14" spans="1:7" ht="20.100000000000001" customHeight="1">
      <c r="A14" s="430">
        <v>8</v>
      </c>
      <c r="B14" s="432" t="s">
        <v>185</v>
      </c>
      <c r="C14" s="357" t="s">
        <v>708</v>
      </c>
      <c r="D14" s="430" t="s">
        <v>30</v>
      </c>
      <c r="E14" s="24">
        <v>604729.22200000007</v>
      </c>
      <c r="F14" s="240">
        <f t="shared" si="0"/>
        <v>302364.61100000003</v>
      </c>
      <c r="G14" s="213"/>
    </row>
    <row r="15" spans="1:7" ht="20.100000000000001" customHeight="1">
      <c r="A15" s="430">
        <v>9</v>
      </c>
      <c r="B15" s="432" t="s">
        <v>18</v>
      </c>
      <c r="C15" s="357" t="s">
        <v>389</v>
      </c>
      <c r="D15" s="434" t="s">
        <v>181</v>
      </c>
      <c r="E15" s="237">
        <v>343333.03524999996</v>
      </c>
      <c r="F15" s="240">
        <f t="shared" si="0"/>
        <v>171666.51762499998</v>
      </c>
      <c r="G15" s="213"/>
    </row>
    <row r="16" spans="1:7" ht="20.100000000000001" customHeight="1">
      <c r="A16" s="430">
        <v>10</v>
      </c>
      <c r="B16" s="365" t="s">
        <v>534</v>
      </c>
      <c r="C16" s="431" t="s">
        <v>297</v>
      </c>
      <c r="D16" s="434" t="s">
        <v>162</v>
      </c>
      <c r="E16" s="237">
        <v>455272.06374999997</v>
      </c>
      <c r="F16" s="240">
        <f t="shared" si="0"/>
        <v>227636.03187499999</v>
      </c>
      <c r="G16" s="213"/>
    </row>
    <row r="17" spans="1:7" ht="20.100000000000001" customHeight="1">
      <c r="A17" s="430">
        <v>11</v>
      </c>
      <c r="B17" s="432" t="s">
        <v>724</v>
      </c>
      <c r="C17" s="357" t="s">
        <v>725</v>
      </c>
      <c r="D17" s="430" t="s">
        <v>175</v>
      </c>
      <c r="E17" s="237">
        <v>326663.07749999996</v>
      </c>
      <c r="F17" s="240">
        <f t="shared" si="0"/>
        <v>163331.53874999998</v>
      </c>
    </row>
    <row r="18" spans="1:7" ht="20.100000000000001" customHeight="1">
      <c r="A18" s="430">
        <v>12</v>
      </c>
      <c r="B18" s="432" t="s">
        <v>334</v>
      </c>
      <c r="C18" s="367" t="s">
        <v>351</v>
      </c>
      <c r="D18" s="434" t="s">
        <v>163</v>
      </c>
      <c r="E18" s="237">
        <v>362001.06050000002</v>
      </c>
      <c r="F18" s="240">
        <f t="shared" si="0"/>
        <v>181000.53025000001</v>
      </c>
      <c r="G18" s="213"/>
    </row>
    <row r="19" spans="1:7" ht="20.100000000000001" customHeight="1">
      <c r="A19" s="430">
        <v>13</v>
      </c>
      <c r="B19" s="364" t="s">
        <v>291</v>
      </c>
      <c r="C19" s="357" t="s">
        <v>346</v>
      </c>
      <c r="D19" s="434" t="s">
        <v>413</v>
      </c>
      <c r="E19" s="237">
        <v>454201.02599999995</v>
      </c>
      <c r="F19" s="240">
        <f t="shared" si="0"/>
        <v>227100.51299999998</v>
      </c>
      <c r="G19" s="213"/>
    </row>
    <row r="20" spans="1:7" ht="18.75" customHeight="1">
      <c r="A20" s="430">
        <v>14</v>
      </c>
      <c r="B20" s="432" t="s">
        <v>253</v>
      </c>
      <c r="C20" s="367" t="s">
        <v>478</v>
      </c>
      <c r="D20" s="434" t="s">
        <v>415</v>
      </c>
      <c r="E20" s="237">
        <v>372454.07400000002</v>
      </c>
      <c r="F20" s="240">
        <f t="shared" si="0"/>
        <v>186227.03700000001</v>
      </c>
      <c r="G20" s="213"/>
    </row>
    <row r="21" spans="1:7" ht="20.100000000000001" customHeight="1">
      <c r="A21" s="430">
        <v>15</v>
      </c>
      <c r="B21" s="365" t="s">
        <v>321</v>
      </c>
      <c r="C21" s="431" t="s">
        <v>115</v>
      </c>
      <c r="D21" s="430" t="s">
        <v>369</v>
      </c>
      <c r="E21" s="237">
        <v>400372.07500000001</v>
      </c>
      <c r="F21" s="240">
        <f t="shared" si="0"/>
        <v>200186.03750000001</v>
      </c>
      <c r="G21" s="213"/>
    </row>
    <row r="22" spans="1:7" ht="20.100000000000001" customHeight="1">
      <c r="A22" s="430">
        <v>16</v>
      </c>
      <c r="B22" s="365" t="s">
        <v>741</v>
      </c>
      <c r="C22" s="431" t="s">
        <v>742</v>
      </c>
      <c r="D22" s="430" t="s">
        <v>104</v>
      </c>
      <c r="E22" s="237">
        <v>328602.07775000005</v>
      </c>
      <c r="F22" s="240">
        <f t="shared" si="0"/>
        <v>164301.03887500003</v>
      </c>
      <c r="G22" s="213"/>
    </row>
    <row r="23" spans="1:7" ht="18.75" customHeight="1">
      <c r="A23" s="430">
        <v>17</v>
      </c>
      <c r="B23" s="357" t="s">
        <v>434</v>
      </c>
      <c r="C23" s="357" t="s">
        <v>17</v>
      </c>
      <c r="D23" s="430" t="s">
        <v>498</v>
      </c>
      <c r="E23" s="237">
        <v>205204.0845</v>
      </c>
      <c r="F23" s="240">
        <f t="shared" si="0"/>
        <v>102602.04225</v>
      </c>
      <c r="G23" s="213"/>
    </row>
    <row r="24" spans="1:7" ht="18.75" customHeight="1">
      <c r="A24" s="430">
        <v>18</v>
      </c>
      <c r="B24" s="364" t="s">
        <v>254</v>
      </c>
      <c r="C24" s="367" t="s">
        <v>17</v>
      </c>
      <c r="D24" s="434" t="s">
        <v>498</v>
      </c>
      <c r="E24" s="237">
        <v>209356.04725</v>
      </c>
      <c r="F24" s="240">
        <f t="shared" si="0"/>
        <v>104678.023625</v>
      </c>
      <c r="G24" s="213"/>
    </row>
    <row r="25" spans="1:7" ht="18.75" customHeight="1">
      <c r="A25" s="430">
        <v>19</v>
      </c>
      <c r="B25" s="364" t="s">
        <v>288</v>
      </c>
      <c r="C25" s="367" t="s">
        <v>706</v>
      </c>
      <c r="D25" s="434" t="s">
        <v>428</v>
      </c>
      <c r="E25" s="26">
        <v>205204.0845</v>
      </c>
      <c r="F25" s="240">
        <f t="shared" si="0"/>
        <v>102602.04225</v>
      </c>
      <c r="G25" s="213"/>
    </row>
    <row r="26" spans="1:7" ht="18.75" customHeight="1">
      <c r="A26" s="430">
        <v>20</v>
      </c>
      <c r="B26" s="364" t="s">
        <v>328</v>
      </c>
      <c r="C26" s="357" t="s">
        <v>737</v>
      </c>
      <c r="D26" s="430" t="s">
        <v>428</v>
      </c>
      <c r="E26" s="237">
        <v>205204.08</v>
      </c>
      <c r="F26" s="240">
        <f t="shared" si="0"/>
        <v>102602.04</v>
      </c>
      <c r="G26" s="213"/>
    </row>
    <row r="27" spans="1:7" ht="18.75" customHeight="1">
      <c r="A27" s="430">
        <v>21</v>
      </c>
      <c r="B27" s="364" t="s">
        <v>360</v>
      </c>
      <c r="C27" s="431" t="s">
        <v>372</v>
      </c>
      <c r="D27" s="434" t="s">
        <v>498</v>
      </c>
      <c r="E27" s="237">
        <v>209356.04725</v>
      </c>
      <c r="F27" s="240">
        <f t="shared" si="0"/>
        <v>104678.023625</v>
      </c>
      <c r="G27" s="213"/>
    </row>
    <row r="28" spans="1:7" ht="18.75" customHeight="1">
      <c r="A28" s="430">
        <v>22</v>
      </c>
      <c r="B28" s="364" t="s">
        <v>330</v>
      </c>
      <c r="C28" s="357" t="s">
        <v>533</v>
      </c>
      <c r="D28" s="430" t="s">
        <v>176</v>
      </c>
      <c r="E28" s="237">
        <v>176816.1</v>
      </c>
      <c r="F28" s="240">
        <f t="shared" si="0"/>
        <v>88408.05</v>
      </c>
      <c r="G28" s="213"/>
    </row>
    <row r="29" spans="1:7" ht="18.75" customHeight="1">
      <c r="A29" s="430">
        <v>23</v>
      </c>
      <c r="B29" s="364" t="s">
        <v>274</v>
      </c>
      <c r="C29" s="367" t="s">
        <v>314</v>
      </c>
      <c r="D29" s="434" t="s">
        <v>176</v>
      </c>
      <c r="E29" s="237">
        <v>176816.1</v>
      </c>
      <c r="F29" s="240">
        <f t="shared" si="0"/>
        <v>88408.05</v>
      </c>
      <c r="G29" s="213"/>
    </row>
    <row r="30" spans="1:7" ht="18.75" customHeight="1">
      <c r="A30" s="430">
        <v>24</v>
      </c>
      <c r="B30" s="364" t="s">
        <v>555</v>
      </c>
      <c r="C30" s="367" t="s">
        <v>314</v>
      </c>
      <c r="D30" s="434" t="s">
        <v>105</v>
      </c>
      <c r="E30" s="237">
        <v>173329.04949999999</v>
      </c>
      <c r="F30" s="240">
        <f t="shared" si="0"/>
        <v>86664.524749999997</v>
      </c>
      <c r="G30" s="213"/>
    </row>
    <row r="31" spans="1:7" ht="26.25" customHeight="1">
      <c r="A31" s="430"/>
      <c r="B31" s="366" t="s">
        <v>15</v>
      </c>
      <c r="C31" s="360">
        <v>24</v>
      </c>
      <c r="D31" s="434"/>
      <c r="E31" s="216">
        <v>10062524.349499997</v>
      </c>
      <c r="F31" s="216">
        <f>SUM(F7:F30)</f>
        <v>5028878.8274999987</v>
      </c>
      <c r="G31" s="213"/>
    </row>
    <row r="32" spans="1:7" ht="18.75" customHeight="1">
      <c r="A32" s="430"/>
      <c r="B32" s="362"/>
      <c r="C32" s="357"/>
      <c r="D32" s="434"/>
      <c r="E32" s="244"/>
      <c r="F32" s="250"/>
      <c r="G32" s="213"/>
    </row>
    <row r="33" spans="1:7" ht="18.75" customHeight="1">
      <c r="A33" s="430"/>
      <c r="B33" s="366" t="s">
        <v>284</v>
      </c>
      <c r="C33" s="357"/>
      <c r="D33" s="434"/>
      <c r="E33" s="237"/>
      <c r="F33" s="240"/>
      <c r="G33" s="213"/>
    </row>
    <row r="34" spans="1:7" ht="18.75" customHeight="1">
      <c r="A34" s="430">
        <v>1</v>
      </c>
      <c r="B34" s="364" t="s">
        <v>361</v>
      </c>
      <c r="C34" s="357" t="s">
        <v>362</v>
      </c>
      <c r="D34" s="430" t="s">
        <v>161</v>
      </c>
      <c r="E34" s="237">
        <v>950209.06350000005</v>
      </c>
      <c r="F34" s="240">
        <f>E34/2</f>
        <v>475104.53175000002</v>
      </c>
      <c r="G34" s="213"/>
    </row>
    <row r="35" spans="1:7" ht="18.75" customHeight="1">
      <c r="A35" s="430">
        <v>2</v>
      </c>
      <c r="B35" s="364" t="s">
        <v>419</v>
      </c>
      <c r="C35" s="357" t="s">
        <v>427</v>
      </c>
      <c r="D35" s="430" t="s">
        <v>105</v>
      </c>
      <c r="E35" s="237">
        <v>173329.04949999999</v>
      </c>
      <c r="F35" s="240">
        <f t="shared" ref="F35:F36" si="1">E35/2</f>
        <v>86664.524749999997</v>
      </c>
      <c r="G35" s="213"/>
    </row>
    <row r="36" spans="1:7" ht="18.75" customHeight="1">
      <c r="A36" s="430">
        <v>3</v>
      </c>
      <c r="B36" s="432" t="s">
        <v>720</v>
      </c>
      <c r="C36" s="367" t="s">
        <v>721</v>
      </c>
      <c r="D36" s="434" t="s">
        <v>104</v>
      </c>
      <c r="E36" s="237">
        <v>228602.07775000003</v>
      </c>
      <c r="F36" s="240">
        <f t="shared" si="1"/>
        <v>114301.03887500001</v>
      </c>
      <c r="G36" s="213"/>
    </row>
    <row r="37" spans="1:7" ht="19.5" customHeight="1">
      <c r="A37" s="430"/>
      <c r="B37" s="365"/>
      <c r="C37" s="360">
        <v>3</v>
      </c>
      <c r="D37" s="430"/>
      <c r="E37" s="216">
        <v>1352140.1907500001</v>
      </c>
      <c r="F37" s="216">
        <f>SUM(F34:F36)</f>
        <v>676070.09537500003</v>
      </c>
      <c r="G37" s="213"/>
    </row>
    <row r="38" spans="1:7" ht="20.100000000000001" customHeight="1">
      <c r="A38" s="430"/>
      <c r="B38" s="365"/>
      <c r="C38" s="357"/>
      <c r="D38" s="430"/>
      <c r="E38" s="244"/>
      <c r="F38" s="240"/>
      <c r="G38" s="213"/>
    </row>
    <row r="39" spans="1:7" ht="20.100000000000001" customHeight="1">
      <c r="A39" s="430"/>
      <c r="B39" s="218" t="s">
        <v>56</v>
      </c>
      <c r="C39" s="203"/>
      <c r="D39" s="207"/>
      <c r="E39" s="237"/>
      <c r="F39" s="240"/>
      <c r="G39" s="213"/>
    </row>
    <row r="40" spans="1:7" ht="20.100000000000001" customHeight="1">
      <c r="A40" s="430">
        <v>1</v>
      </c>
      <c r="B40" s="432" t="s">
        <v>255</v>
      </c>
      <c r="C40" s="357" t="s">
        <v>256</v>
      </c>
      <c r="D40" s="430" t="s">
        <v>161</v>
      </c>
      <c r="E40" s="237">
        <v>1050209.0635000002</v>
      </c>
      <c r="F40" s="240">
        <f>E40/2</f>
        <v>525104.53175000008</v>
      </c>
      <c r="G40" s="213"/>
    </row>
    <row r="41" spans="1:7" ht="20.100000000000001" customHeight="1">
      <c r="A41" s="430">
        <v>2</v>
      </c>
      <c r="B41" s="432" t="s">
        <v>158</v>
      </c>
      <c r="C41" s="357" t="s">
        <v>199</v>
      </c>
      <c r="D41" s="430" t="s">
        <v>75</v>
      </c>
      <c r="E41" s="237">
        <v>527553.50249999994</v>
      </c>
      <c r="F41" s="240">
        <f t="shared" ref="F41:F51" si="2">E41/2</f>
        <v>263776.75124999997</v>
      </c>
      <c r="G41" s="213"/>
    </row>
    <row r="42" spans="1:7" ht="20.100000000000001" customHeight="1">
      <c r="A42" s="430">
        <v>3</v>
      </c>
      <c r="B42" s="432" t="s">
        <v>165</v>
      </c>
      <c r="C42" s="357" t="s">
        <v>738</v>
      </c>
      <c r="D42" s="430" t="s">
        <v>29</v>
      </c>
      <c r="E42" s="237">
        <v>604023.32999999996</v>
      </c>
      <c r="F42" s="240">
        <f t="shared" si="2"/>
        <v>302011.66499999998</v>
      </c>
      <c r="G42" s="213"/>
    </row>
    <row r="43" spans="1:7" ht="20.100000000000001" customHeight="1">
      <c r="A43" s="430">
        <v>4</v>
      </c>
      <c r="B43" s="432" t="s">
        <v>159</v>
      </c>
      <c r="C43" s="357" t="s">
        <v>258</v>
      </c>
      <c r="D43" s="430" t="s">
        <v>75</v>
      </c>
      <c r="E43" s="237">
        <v>527553.50249999994</v>
      </c>
      <c r="F43" s="240">
        <f t="shared" si="2"/>
        <v>263776.75124999997</v>
      </c>
      <c r="G43" s="213"/>
    </row>
    <row r="44" spans="1:7" ht="20.100000000000001" customHeight="1">
      <c r="A44" s="430">
        <v>5</v>
      </c>
      <c r="B44" s="432" t="s">
        <v>118</v>
      </c>
      <c r="C44" s="357" t="s">
        <v>258</v>
      </c>
      <c r="D44" s="430" t="s">
        <v>148</v>
      </c>
      <c r="E44" s="237">
        <v>516137.05000000005</v>
      </c>
      <c r="F44" s="240">
        <f t="shared" si="2"/>
        <v>258068.52500000002</v>
      </c>
      <c r="G44" s="213"/>
    </row>
    <row r="45" spans="1:7" ht="20.100000000000001" customHeight="1">
      <c r="A45" s="430">
        <v>6</v>
      </c>
      <c r="B45" s="432" t="s">
        <v>205</v>
      </c>
      <c r="C45" s="357" t="s">
        <v>258</v>
      </c>
      <c r="D45" s="430" t="s">
        <v>30</v>
      </c>
      <c r="E45" s="237">
        <v>504720.04700000002</v>
      </c>
      <c r="F45" s="240">
        <f t="shared" si="2"/>
        <v>252360.02350000001</v>
      </c>
      <c r="G45" s="213"/>
    </row>
    <row r="46" spans="1:7" ht="20.100000000000001" customHeight="1">
      <c r="A46" s="430">
        <v>7</v>
      </c>
      <c r="B46" s="365" t="s">
        <v>173</v>
      </c>
      <c r="C46" s="357" t="s">
        <v>297</v>
      </c>
      <c r="D46" s="25" t="s">
        <v>181</v>
      </c>
      <c r="E46" s="237">
        <v>413333.03525000007</v>
      </c>
      <c r="F46" s="240">
        <f t="shared" si="2"/>
        <v>206666.51762500004</v>
      </c>
      <c r="G46" s="213"/>
    </row>
    <row r="47" spans="1:7" ht="20.100000000000001" customHeight="1">
      <c r="A47" s="430">
        <v>8</v>
      </c>
      <c r="B47" s="432" t="s">
        <v>184</v>
      </c>
      <c r="C47" s="357" t="s">
        <v>78</v>
      </c>
      <c r="D47" s="430" t="s">
        <v>222</v>
      </c>
      <c r="E47" s="24">
        <v>397211.36749999999</v>
      </c>
      <c r="F47" s="240">
        <f t="shared" si="2"/>
        <v>198605.68375</v>
      </c>
      <c r="G47" s="213"/>
    </row>
    <row r="48" spans="1:7" ht="20.100000000000001" customHeight="1">
      <c r="A48" s="430">
        <v>9</v>
      </c>
      <c r="B48" s="432" t="s">
        <v>551</v>
      </c>
      <c r="C48" s="357" t="s">
        <v>84</v>
      </c>
      <c r="D48" s="430" t="s">
        <v>104</v>
      </c>
      <c r="E48" s="237">
        <v>268602.07775000005</v>
      </c>
      <c r="F48" s="240">
        <f t="shared" si="2"/>
        <v>134301.03887500003</v>
      </c>
      <c r="G48" s="213"/>
    </row>
    <row r="49" spans="1:7" ht="20.100000000000001" customHeight="1">
      <c r="A49" s="430">
        <v>10</v>
      </c>
      <c r="B49" s="432" t="s">
        <v>420</v>
      </c>
      <c r="C49" s="357" t="s">
        <v>84</v>
      </c>
      <c r="D49" s="430" t="s">
        <v>428</v>
      </c>
      <c r="E49" s="237">
        <v>245204.0845</v>
      </c>
      <c r="F49" s="240">
        <f t="shared" si="2"/>
        <v>122602.04225</v>
      </c>
      <c r="G49" s="213"/>
    </row>
    <row r="50" spans="1:7" ht="20.100000000000001" customHeight="1">
      <c r="A50" s="430">
        <v>11</v>
      </c>
      <c r="B50" s="432" t="s">
        <v>435</v>
      </c>
      <c r="C50" s="357" t="s">
        <v>84</v>
      </c>
      <c r="D50" s="430" t="s">
        <v>428</v>
      </c>
      <c r="E50" s="237">
        <v>245204.0845</v>
      </c>
      <c r="F50" s="240">
        <f t="shared" si="2"/>
        <v>122602.04225</v>
      </c>
      <c r="G50" s="213"/>
    </row>
    <row r="51" spans="1:7" ht="20.100000000000001" customHeight="1">
      <c r="A51" s="430">
        <v>12</v>
      </c>
      <c r="B51" s="432" t="s">
        <v>452</v>
      </c>
      <c r="C51" s="357" t="s">
        <v>84</v>
      </c>
      <c r="D51" s="430" t="s">
        <v>428</v>
      </c>
      <c r="E51" s="237">
        <v>245204.0845</v>
      </c>
      <c r="F51" s="240">
        <f t="shared" si="2"/>
        <v>122602.04225</v>
      </c>
      <c r="G51" s="213"/>
    </row>
    <row r="52" spans="1:7" ht="25.5" customHeight="1">
      <c r="A52" s="430"/>
      <c r="B52" s="366" t="s">
        <v>15</v>
      </c>
      <c r="C52" s="360">
        <v>12</v>
      </c>
      <c r="D52" s="360"/>
      <c r="E52" s="78">
        <v>6101043.8132499997</v>
      </c>
      <c r="F52" s="390">
        <f>SUM(F40:F51)</f>
        <v>2772477.6147500002</v>
      </c>
      <c r="G52" s="213"/>
    </row>
    <row r="53" spans="1:7" ht="20.100000000000001" customHeight="1">
      <c r="A53" s="430"/>
      <c r="B53" s="362"/>
      <c r="C53" s="360"/>
      <c r="D53" s="360"/>
      <c r="E53" s="245"/>
      <c r="F53" s="251"/>
      <c r="G53" s="213"/>
    </row>
    <row r="54" spans="1:7" ht="20.100000000000001" customHeight="1">
      <c r="A54" s="430"/>
      <c r="B54" s="366" t="s">
        <v>195</v>
      </c>
      <c r="C54" s="360"/>
      <c r="D54" s="360"/>
      <c r="E54" s="245"/>
      <c r="F54" s="251"/>
      <c r="G54" s="213"/>
    </row>
    <row r="55" spans="1:7" ht="20.100000000000001" customHeight="1">
      <c r="A55" s="430">
        <v>1</v>
      </c>
      <c r="B55" s="432" t="s">
        <v>11</v>
      </c>
      <c r="C55" s="367" t="s">
        <v>200</v>
      </c>
      <c r="D55" s="434" t="s">
        <v>161</v>
      </c>
      <c r="E55" s="237">
        <v>1050209.0635000002</v>
      </c>
      <c r="F55" s="240">
        <f>E55/2</f>
        <v>525104.53175000008</v>
      </c>
      <c r="G55" s="213"/>
    </row>
    <row r="56" spans="1:7" ht="20.100000000000001" customHeight="1">
      <c r="A56" s="430">
        <v>2</v>
      </c>
      <c r="B56" s="432" t="s">
        <v>276</v>
      </c>
      <c r="C56" s="367" t="s">
        <v>340</v>
      </c>
      <c r="D56" s="434" t="s">
        <v>412</v>
      </c>
      <c r="E56" s="237">
        <v>436137.05000000005</v>
      </c>
      <c r="F56" s="240">
        <f>E56/2</f>
        <v>218068.52500000002</v>
      </c>
      <c r="G56" s="213"/>
    </row>
    <row r="57" spans="1:7" ht="20.100000000000001" customHeight="1">
      <c r="A57" s="430"/>
      <c r="B57" s="366" t="s">
        <v>15</v>
      </c>
      <c r="C57" s="360">
        <v>2</v>
      </c>
      <c r="D57" s="360"/>
      <c r="E57" s="78">
        <v>1486346.1135000002</v>
      </c>
      <c r="F57" s="390">
        <f>SUM(F55:F56)</f>
        <v>743173.05675000011</v>
      </c>
      <c r="G57" s="213"/>
    </row>
    <row r="58" spans="1:7" ht="20.100000000000001" customHeight="1">
      <c r="A58" s="430"/>
      <c r="B58" s="366"/>
      <c r="C58" s="360"/>
      <c r="D58" s="360"/>
      <c r="E58" s="245"/>
      <c r="F58" s="251"/>
      <c r="G58" s="213"/>
    </row>
    <row r="59" spans="1:7" ht="20.100000000000001" customHeight="1">
      <c r="A59" s="430"/>
      <c r="B59" s="366" t="s">
        <v>461</v>
      </c>
      <c r="C59" s="360"/>
      <c r="D59" s="360"/>
      <c r="E59" s="245"/>
      <c r="F59" s="251"/>
      <c r="G59" s="213"/>
    </row>
    <row r="60" spans="1:7" ht="20.100000000000001" customHeight="1">
      <c r="A60" s="430">
        <v>1</v>
      </c>
      <c r="B60" s="432" t="s">
        <v>277</v>
      </c>
      <c r="C60" s="431" t="s">
        <v>278</v>
      </c>
      <c r="D60" s="430" t="s">
        <v>161</v>
      </c>
      <c r="E60" s="238">
        <v>1050209.0635000002</v>
      </c>
      <c r="F60" s="241">
        <f>E60/2</f>
        <v>525104.53175000008</v>
      </c>
      <c r="G60" s="213"/>
    </row>
    <row r="61" spans="1:7" ht="20.100000000000001" customHeight="1">
      <c r="A61" s="430">
        <v>2</v>
      </c>
      <c r="B61" s="330" t="s">
        <v>332</v>
      </c>
      <c r="C61" s="431" t="s">
        <v>188</v>
      </c>
      <c r="D61" s="434" t="s">
        <v>272</v>
      </c>
      <c r="E61" s="238">
        <v>504720.04700000002</v>
      </c>
      <c r="F61" s="241">
        <f t="shared" ref="F61:F70" si="3">E61/2</f>
        <v>252360.02350000001</v>
      </c>
      <c r="G61" s="213"/>
    </row>
    <row r="62" spans="1:7" ht="20.100000000000001" customHeight="1">
      <c r="A62" s="430">
        <v>3</v>
      </c>
      <c r="B62" s="432" t="s">
        <v>189</v>
      </c>
      <c r="C62" s="357" t="s">
        <v>297</v>
      </c>
      <c r="D62" s="430" t="s">
        <v>222</v>
      </c>
      <c r="E62" s="26">
        <v>397211.36749999999</v>
      </c>
      <c r="F62" s="241">
        <f t="shared" si="3"/>
        <v>198605.68375</v>
      </c>
      <c r="G62" s="213"/>
    </row>
    <row r="63" spans="1:7" ht="20.100000000000001" customHeight="1">
      <c r="A63" s="430">
        <v>4</v>
      </c>
      <c r="B63" s="364" t="s">
        <v>448</v>
      </c>
      <c r="C63" s="431" t="s">
        <v>257</v>
      </c>
      <c r="D63" s="434" t="s">
        <v>163</v>
      </c>
      <c r="E63" s="237">
        <v>362001.06049999996</v>
      </c>
      <c r="F63" s="241">
        <f t="shared" si="3"/>
        <v>181000.53024999998</v>
      </c>
      <c r="G63" s="213"/>
    </row>
    <row r="64" spans="1:7" ht="20.100000000000001" customHeight="1">
      <c r="A64" s="430">
        <v>5</v>
      </c>
      <c r="B64" s="365" t="s">
        <v>229</v>
      </c>
      <c r="C64" s="431" t="s">
        <v>297</v>
      </c>
      <c r="D64" s="434" t="s">
        <v>181</v>
      </c>
      <c r="E64" s="237">
        <v>413333.03525000007</v>
      </c>
      <c r="F64" s="241">
        <f t="shared" si="3"/>
        <v>206666.51762500004</v>
      </c>
      <c r="G64" s="213"/>
    </row>
    <row r="65" spans="1:7" ht="20.100000000000001" customHeight="1">
      <c r="A65" s="430">
        <v>7</v>
      </c>
      <c r="B65" s="432" t="s">
        <v>117</v>
      </c>
      <c r="C65" s="357" t="s">
        <v>84</v>
      </c>
      <c r="D65" s="430" t="s">
        <v>369</v>
      </c>
      <c r="E65" s="237">
        <v>315372.07500000001</v>
      </c>
      <c r="F65" s="241">
        <f t="shared" si="3"/>
        <v>157686.03750000001</v>
      </c>
      <c r="G65" s="213"/>
    </row>
    <row r="66" spans="1:7" ht="20.100000000000001" customHeight="1">
      <c r="A66" s="430">
        <v>8</v>
      </c>
      <c r="B66" s="432" t="s">
        <v>424</v>
      </c>
      <c r="C66" s="431" t="s">
        <v>422</v>
      </c>
      <c r="D66" s="434" t="s">
        <v>369</v>
      </c>
      <c r="E66" s="237">
        <v>315372.07500000001</v>
      </c>
      <c r="F66" s="241">
        <f t="shared" si="3"/>
        <v>157686.03750000001</v>
      </c>
      <c r="G66" s="213"/>
    </row>
    <row r="67" spans="1:7" ht="20.100000000000001" customHeight="1">
      <c r="A67" s="430">
        <v>9</v>
      </c>
      <c r="B67" s="432" t="s">
        <v>423</v>
      </c>
      <c r="C67" s="431" t="s">
        <v>422</v>
      </c>
      <c r="D67" s="434" t="s">
        <v>369</v>
      </c>
      <c r="E67" s="237">
        <v>315372.07500000001</v>
      </c>
      <c r="F67" s="241">
        <f t="shared" si="3"/>
        <v>157686.03750000001</v>
      </c>
      <c r="G67" s="213"/>
    </row>
    <row r="68" spans="1:7" ht="20.100000000000001" customHeight="1">
      <c r="A68" s="430">
        <v>10</v>
      </c>
      <c r="B68" s="432" t="s">
        <v>242</v>
      </c>
      <c r="C68" s="357" t="s">
        <v>484</v>
      </c>
      <c r="D68" s="430" t="s">
        <v>415</v>
      </c>
      <c r="E68" s="237">
        <v>322454.07400000002</v>
      </c>
      <c r="F68" s="241">
        <f t="shared" si="3"/>
        <v>161227.03700000001</v>
      </c>
      <c r="G68" s="213"/>
    </row>
    <row r="69" spans="1:7" ht="21.6" customHeight="1">
      <c r="A69" s="430">
        <v>11</v>
      </c>
      <c r="B69" s="432" t="s">
        <v>726</v>
      </c>
      <c r="C69" s="357" t="s">
        <v>84</v>
      </c>
      <c r="D69" s="430" t="s">
        <v>104</v>
      </c>
      <c r="E69" s="237">
        <v>268602.07775000005</v>
      </c>
      <c r="F69" s="241">
        <f t="shared" si="3"/>
        <v>134301.03887500003</v>
      </c>
    </row>
    <row r="70" spans="1:7" ht="20.100000000000001" customHeight="1">
      <c r="A70" s="430">
        <v>12</v>
      </c>
      <c r="B70" s="432" t="s">
        <v>320</v>
      </c>
      <c r="C70" s="431" t="s">
        <v>115</v>
      </c>
      <c r="D70" s="430" t="s">
        <v>498</v>
      </c>
      <c r="E70" s="237">
        <v>249356.04725</v>
      </c>
      <c r="F70" s="241">
        <f t="shared" si="3"/>
        <v>124678.023625</v>
      </c>
      <c r="G70" s="213"/>
    </row>
    <row r="71" spans="1:7" ht="27" customHeight="1">
      <c r="A71" s="430"/>
      <c r="B71" s="366" t="s">
        <v>15</v>
      </c>
      <c r="C71" s="360">
        <v>12</v>
      </c>
      <c r="D71" s="360"/>
      <c r="E71" s="78">
        <v>4514002.997750001</v>
      </c>
      <c r="F71" s="78">
        <f>SUM(F60:F70)</f>
        <v>2257001.4988750005</v>
      </c>
      <c r="G71" s="213"/>
    </row>
    <row r="72" spans="1:7" ht="20.100000000000001" customHeight="1">
      <c r="A72" s="430"/>
      <c r="B72" s="362"/>
      <c r="C72" s="360"/>
      <c r="D72" s="360"/>
      <c r="E72" s="245"/>
      <c r="F72" s="251"/>
      <c r="G72" s="213"/>
    </row>
    <row r="73" spans="1:7" ht="20.100000000000001" customHeight="1">
      <c r="A73" s="430"/>
      <c r="B73" s="366" t="s">
        <v>462</v>
      </c>
      <c r="C73" s="360"/>
      <c r="D73" s="360"/>
      <c r="E73" s="245"/>
      <c r="F73" s="251"/>
      <c r="G73" s="213"/>
    </row>
    <row r="74" spans="1:7" ht="20.100000000000001" customHeight="1">
      <c r="A74" s="430">
        <v>1</v>
      </c>
      <c r="B74" s="432" t="s">
        <v>19</v>
      </c>
      <c r="C74" s="357" t="s">
        <v>201</v>
      </c>
      <c r="D74" s="430" t="s">
        <v>161</v>
      </c>
      <c r="E74" s="237">
        <v>1050209.0635000002</v>
      </c>
      <c r="F74" s="240">
        <f>E74/2</f>
        <v>525104.53175000008</v>
      </c>
      <c r="G74" s="213"/>
    </row>
    <row r="75" spans="1:7" ht="20.100000000000001" customHeight="1">
      <c r="A75" s="430">
        <v>2</v>
      </c>
      <c r="B75" s="365" t="s">
        <v>325</v>
      </c>
      <c r="C75" s="357" t="s">
        <v>245</v>
      </c>
      <c r="D75" s="434" t="s">
        <v>272</v>
      </c>
      <c r="E75" s="237">
        <v>504720.04700000002</v>
      </c>
      <c r="F75" s="240">
        <f t="shared" ref="F75:F80" si="4">E75/2</f>
        <v>252360.02350000001</v>
      </c>
      <c r="G75" s="213"/>
    </row>
    <row r="76" spans="1:7" ht="20.100000000000001" customHeight="1">
      <c r="A76" s="430">
        <v>3</v>
      </c>
      <c r="B76" s="364" t="s">
        <v>333</v>
      </c>
      <c r="C76" s="367" t="s">
        <v>387</v>
      </c>
      <c r="D76" s="430" t="s">
        <v>412</v>
      </c>
      <c r="E76" s="237">
        <v>436137.05000000005</v>
      </c>
      <c r="F76" s="240">
        <f t="shared" si="4"/>
        <v>218068.52500000002</v>
      </c>
      <c r="G76" s="213"/>
    </row>
    <row r="77" spans="1:7" ht="20.100000000000001" customHeight="1">
      <c r="A77" s="430">
        <v>4</v>
      </c>
      <c r="B77" s="432" t="s">
        <v>26</v>
      </c>
      <c r="C77" s="357" t="s">
        <v>707</v>
      </c>
      <c r="D77" s="434" t="s">
        <v>222</v>
      </c>
      <c r="E77" s="24">
        <v>397211.36749999999</v>
      </c>
      <c r="F77" s="240">
        <f t="shared" si="4"/>
        <v>198605.68375</v>
      </c>
      <c r="G77" s="213"/>
    </row>
    <row r="78" spans="1:7" ht="20.100000000000001" customHeight="1">
      <c r="A78" s="430">
        <v>5</v>
      </c>
      <c r="B78" s="432" t="s">
        <v>324</v>
      </c>
      <c r="C78" s="357" t="s">
        <v>243</v>
      </c>
      <c r="D78" s="430" t="s">
        <v>207</v>
      </c>
      <c r="E78" s="237">
        <v>273169.11749999999</v>
      </c>
      <c r="F78" s="240">
        <f t="shared" si="4"/>
        <v>136584.55875</v>
      </c>
      <c r="G78" s="213"/>
    </row>
    <row r="79" spans="1:7" ht="20.100000000000001" customHeight="1">
      <c r="A79" s="430">
        <v>6</v>
      </c>
      <c r="B79" s="432" t="s">
        <v>554</v>
      </c>
      <c r="C79" s="357" t="s">
        <v>243</v>
      </c>
      <c r="D79" s="430" t="s">
        <v>428</v>
      </c>
      <c r="E79" s="237">
        <v>245204.0845</v>
      </c>
      <c r="F79" s="240">
        <f t="shared" si="4"/>
        <v>122602.04225</v>
      </c>
      <c r="G79" s="213"/>
    </row>
    <row r="80" spans="1:7" ht="20.100000000000001" customHeight="1">
      <c r="A80" s="430">
        <v>7</v>
      </c>
      <c r="B80" s="432" t="s">
        <v>552</v>
      </c>
      <c r="C80" s="357" t="s">
        <v>553</v>
      </c>
      <c r="D80" s="430" t="s">
        <v>105</v>
      </c>
      <c r="E80" s="237">
        <v>223338.22450000001</v>
      </c>
      <c r="F80" s="240">
        <f t="shared" si="4"/>
        <v>111669.11225000001</v>
      </c>
      <c r="G80" s="213"/>
    </row>
    <row r="81" spans="1:7" ht="20.100000000000001" customHeight="1">
      <c r="A81" s="430"/>
      <c r="B81" s="366" t="s">
        <v>15</v>
      </c>
      <c r="C81" s="360">
        <v>7</v>
      </c>
      <c r="D81" s="360"/>
      <c r="E81" s="78">
        <v>3129988.9545000005</v>
      </c>
      <c r="F81" s="390">
        <f>SUM(F74:F80)</f>
        <v>1564994.4772500002</v>
      </c>
      <c r="G81" s="213"/>
    </row>
    <row r="82" spans="1:7" ht="20.100000000000001" customHeight="1">
      <c r="A82" s="430"/>
      <c r="B82" s="366"/>
      <c r="C82" s="360"/>
      <c r="D82" s="360"/>
      <c r="E82" s="246"/>
      <c r="F82" s="240"/>
      <c r="G82" s="213"/>
    </row>
    <row r="83" spans="1:7" ht="20.100000000000001" customHeight="1">
      <c r="A83" s="430"/>
      <c r="B83" s="366" t="s">
        <v>463</v>
      </c>
      <c r="C83" s="219"/>
      <c r="D83" s="360"/>
      <c r="E83" s="246"/>
      <c r="F83" s="240"/>
      <c r="G83" s="213"/>
    </row>
    <row r="84" spans="1:7" ht="20.100000000000001" customHeight="1">
      <c r="A84" s="430">
        <v>1</v>
      </c>
      <c r="B84" s="432" t="s">
        <v>169</v>
      </c>
      <c r="C84" s="357" t="s">
        <v>258</v>
      </c>
      <c r="D84" s="430" t="s">
        <v>75</v>
      </c>
      <c r="E84" s="237">
        <v>627553.50249999994</v>
      </c>
      <c r="F84" s="240">
        <f>E84/2</f>
        <v>313776.75124999997</v>
      </c>
      <c r="G84" s="213"/>
    </row>
    <row r="85" spans="1:7" ht="20.100000000000001" customHeight="1">
      <c r="A85" s="430">
        <v>2</v>
      </c>
      <c r="B85" s="432" t="s">
        <v>192</v>
      </c>
      <c r="C85" s="357" t="s">
        <v>258</v>
      </c>
      <c r="D85" s="430" t="s">
        <v>75</v>
      </c>
      <c r="E85" s="237">
        <v>527553.50249999994</v>
      </c>
      <c r="F85" s="240">
        <f t="shared" ref="F85:F94" si="5">E85/2</f>
        <v>263776.75124999997</v>
      </c>
      <c r="G85" s="213"/>
    </row>
    <row r="86" spans="1:7" ht="20.100000000000001" customHeight="1">
      <c r="A86" s="430">
        <v>3</v>
      </c>
      <c r="B86" s="365" t="s">
        <v>138</v>
      </c>
      <c r="C86" s="357" t="s">
        <v>258</v>
      </c>
      <c r="D86" s="430" t="s">
        <v>30</v>
      </c>
      <c r="E86" s="24">
        <v>504720.04700000002</v>
      </c>
      <c r="F86" s="240">
        <f t="shared" si="5"/>
        <v>252360.02350000001</v>
      </c>
      <c r="G86" s="213"/>
    </row>
    <row r="87" spans="1:7" ht="20.100000000000001" customHeight="1">
      <c r="A87" s="430">
        <v>4</v>
      </c>
      <c r="B87" s="432" t="s">
        <v>202</v>
      </c>
      <c r="C87" s="357" t="s">
        <v>258</v>
      </c>
      <c r="D87" s="430" t="s">
        <v>30</v>
      </c>
      <c r="E87" s="24">
        <v>504729.22200000007</v>
      </c>
      <c r="F87" s="240">
        <f t="shared" si="5"/>
        <v>252364.61100000003</v>
      </c>
      <c r="G87" s="213"/>
    </row>
    <row r="88" spans="1:7" ht="21.6" customHeight="1">
      <c r="A88" s="430">
        <v>5</v>
      </c>
      <c r="B88" s="432" t="s">
        <v>101</v>
      </c>
      <c r="C88" s="357" t="s">
        <v>80</v>
      </c>
      <c r="D88" s="434" t="s">
        <v>170</v>
      </c>
      <c r="E88" s="237">
        <v>369177.65375</v>
      </c>
      <c r="F88" s="240">
        <f t="shared" si="5"/>
        <v>184588.826875</v>
      </c>
      <c r="G88" s="213"/>
    </row>
    <row r="89" spans="1:7" ht="21.6" customHeight="1">
      <c r="A89" s="430">
        <v>6</v>
      </c>
      <c r="B89" s="432" t="s">
        <v>336</v>
      </c>
      <c r="C89" s="367" t="s">
        <v>257</v>
      </c>
      <c r="D89" s="434" t="s">
        <v>163</v>
      </c>
      <c r="E89" s="237">
        <v>362001.06049999996</v>
      </c>
      <c r="F89" s="240">
        <f t="shared" si="5"/>
        <v>181000.53024999998</v>
      </c>
      <c r="G89" s="213"/>
    </row>
    <row r="90" spans="1:7" ht="21.6" customHeight="1">
      <c r="A90" s="430">
        <v>7</v>
      </c>
      <c r="B90" s="432" t="s">
        <v>337</v>
      </c>
      <c r="C90" s="367" t="s">
        <v>297</v>
      </c>
      <c r="D90" s="434" t="s">
        <v>95</v>
      </c>
      <c r="E90" s="24">
        <v>389153.05674999999</v>
      </c>
      <c r="F90" s="240">
        <f t="shared" si="5"/>
        <v>194576.52837499999</v>
      </c>
      <c r="G90" s="213"/>
    </row>
    <row r="91" spans="1:7" ht="21.6" customHeight="1">
      <c r="A91" s="430">
        <v>8</v>
      </c>
      <c r="B91" s="432" t="s">
        <v>421</v>
      </c>
      <c r="C91" s="431" t="s">
        <v>422</v>
      </c>
      <c r="D91" s="434" t="s">
        <v>369</v>
      </c>
      <c r="E91" s="237">
        <v>315372.07500000001</v>
      </c>
      <c r="F91" s="240">
        <f t="shared" si="5"/>
        <v>157686.03750000001</v>
      </c>
      <c r="G91" s="213"/>
    </row>
    <row r="92" spans="1:7" ht="21.6" customHeight="1">
      <c r="A92" s="430">
        <v>9</v>
      </c>
      <c r="B92" s="432" t="s">
        <v>556</v>
      </c>
      <c r="C92" s="431" t="s">
        <v>422</v>
      </c>
      <c r="D92" s="434" t="s">
        <v>369</v>
      </c>
      <c r="E92" s="237">
        <v>315372.07500000001</v>
      </c>
      <c r="F92" s="240">
        <f t="shared" si="5"/>
        <v>157686.03750000001</v>
      </c>
      <c r="G92" s="213"/>
    </row>
    <row r="93" spans="1:7" ht="21.6" customHeight="1">
      <c r="A93" s="430">
        <v>10</v>
      </c>
      <c r="B93" s="432" t="s">
        <v>436</v>
      </c>
      <c r="C93" s="357" t="s">
        <v>470</v>
      </c>
      <c r="D93" s="430" t="s">
        <v>104</v>
      </c>
      <c r="E93" s="237">
        <v>268602.07775000005</v>
      </c>
      <c r="F93" s="240">
        <f t="shared" si="5"/>
        <v>134301.03887500003</v>
      </c>
      <c r="G93" s="213"/>
    </row>
    <row r="94" spans="1:7" ht="21.6" customHeight="1">
      <c r="A94" s="430">
        <v>11</v>
      </c>
      <c r="B94" s="432" t="s">
        <v>406</v>
      </c>
      <c r="C94" s="431" t="s">
        <v>432</v>
      </c>
      <c r="D94" s="434" t="s">
        <v>176</v>
      </c>
      <c r="E94" s="237">
        <v>223709.10949999999</v>
      </c>
      <c r="F94" s="240">
        <f t="shared" si="5"/>
        <v>111854.55475</v>
      </c>
      <c r="G94" s="213"/>
    </row>
    <row r="95" spans="1:7" ht="20.100000000000001" customHeight="1">
      <c r="A95" s="430"/>
      <c r="B95" s="366" t="s">
        <v>15</v>
      </c>
      <c r="C95" s="360">
        <v>11</v>
      </c>
      <c r="D95" s="360"/>
      <c r="E95" s="78">
        <v>4407943.3822500007</v>
      </c>
      <c r="F95" s="390">
        <f>SUM(F84:F94)</f>
        <v>2203971.6911250004</v>
      </c>
      <c r="G95" s="213"/>
    </row>
    <row r="96" spans="1:7" ht="20.100000000000001" customHeight="1">
      <c r="A96" s="430"/>
      <c r="B96" s="362"/>
      <c r="C96" s="360"/>
      <c r="D96" s="360"/>
      <c r="E96" s="245"/>
      <c r="F96" s="251"/>
      <c r="G96" s="213"/>
    </row>
    <row r="97" spans="1:7" ht="20.100000000000001" customHeight="1">
      <c r="A97" s="430"/>
      <c r="B97" s="366" t="s">
        <v>464</v>
      </c>
      <c r="C97" s="360"/>
      <c r="D97" s="360"/>
      <c r="E97" s="245"/>
      <c r="F97" s="251"/>
      <c r="G97" s="213"/>
    </row>
    <row r="98" spans="1:7" ht="20.100000000000001" customHeight="1">
      <c r="A98" s="430">
        <v>1</v>
      </c>
      <c r="B98" s="365" t="s">
        <v>112</v>
      </c>
      <c r="C98" s="357" t="s">
        <v>740</v>
      </c>
      <c r="D98" s="25" t="s">
        <v>221</v>
      </c>
      <c r="E98" s="237">
        <v>527744</v>
      </c>
      <c r="F98" s="240">
        <f>E98/2</f>
        <v>263872</v>
      </c>
      <c r="G98" s="213"/>
    </row>
    <row r="99" spans="1:7" ht="20.100000000000001" customHeight="1">
      <c r="A99" s="430">
        <v>2</v>
      </c>
      <c r="B99" s="432" t="s">
        <v>124</v>
      </c>
      <c r="C99" s="357" t="s">
        <v>373</v>
      </c>
      <c r="D99" s="434" t="s">
        <v>222</v>
      </c>
      <c r="E99" s="24">
        <v>327211.36749999999</v>
      </c>
      <c r="F99" s="240">
        <f t="shared" ref="F99:F101" si="6">E99/2</f>
        <v>163605.68375</v>
      </c>
      <c r="G99" s="213"/>
    </row>
    <row r="100" spans="1:7" ht="20.100000000000001" customHeight="1">
      <c r="A100" s="430">
        <v>3</v>
      </c>
      <c r="B100" s="432" t="s">
        <v>237</v>
      </c>
      <c r="C100" s="357" t="s">
        <v>483</v>
      </c>
      <c r="D100" s="434" t="s">
        <v>415</v>
      </c>
      <c r="E100" s="237">
        <v>272454.07400000002</v>
      </c>
      <c r="F100" s="240">
        <f t="shared" si="6"/>
        <v>136227.03700000001</v>
      </c>
      <c r="G100" s="213"/>
    </row>
    <row r="101" spans="1:7" ht="20.100000000000001" customHeight="1">
      <c r="A101" s="430">
        <v>4</v>
      </c>
      <c r="B101" s="432" t="s">
        <v>345</v>
      </c>
      <c r="C101" s="357" t="s">
        <v>709</v>
      </c>
      <c r="D101" s="434" t="s">
        <v>104</v>
      </c>
      <c r="E101" s="24">
        <v>228602.07775000003</v>
      </c>
      <c r="F101" s="240">
        <f t="shared" si="6"/>
        <v>114301.03887500001</v>
      </c>
      <c r="G101" s="213"/>
    </row>
    <row r="102" spans="1:7" ht="20.100000000000001" customHeight="1">
      <c r="A102" s="357"/>
      <c r="B102" s="366" t="s">
        <v>15</v>
      </c>
      <c r="C102" s="360">
        <v>4</v>
      </c>
      <c r="D102" s="220"/>
      <c r="E102" s="78">
        <v>1813825.6849999998</v>
      </c>
      <c r="F102" s="78">
        <f>SUM(F98:F101)</f>
        <v>678005.75962499995</v>
      </c>
      <c r="G102" s="213"/>
    </row>
    <row r="103" spans="1:7" ht="20.100000000000001" customHeight="1">
      <c r="A103" s="357"/>
      <c r="B103" s="362"/>
      <c r="C103" s="360"/>
      <c r="D103" s="220"/>
      <c r="E103" s="245"/>
      <c r="F103" s="251"/>
      <c r="G103" s="213"/>
    </row>
    <row r="104" spans="1:7" ht="20.100000000000001" customHeight="1">
      <c r="A104" s="357"/>
      <c r="B104" s="366" t="s">
        <v>465</v>
      </c>
      <c r="C104" s="357"/>
      <c r="D104" s="357"/>
      <c r="E104" s="247"/>
      <c r="F104" s="252"/>
      <c r="G104" s="213"/>
    </row>
    <row r="105" spans="1:7" ht="20.100000000000001" customHeight="1">
      <c r="A105" s="357">
        <v>1</v>
      </c>
      <c r="B105" s="432" t="s">
        <v>216</v>
      </c>
      <c r="C105" s="367" t="s">
        <v>217</v>
      </c>
      <c r="D105" s="434" t="s">
        <v>161</v>
      </c>
      <c r="E105" s="237">
        <v>1050209.0635000002</v>
      </c>
      <c r="F105" s="240">
        <f>E105/2</f>
        <v>525104.53175000008</v>
      </c>
      <c r="G105" s="213"/>
    </row>
    <row r="106" spans="1:7" ht="20.100000000000001" customHeight="1">
      <c r="A106" s="357">
        <v>2</v>
      </c>
      <c r="B106" s="432" t="s">
        <v>110</v>
      </c>
      <c r="C106" s="357" t="s">
        <v>259</v>
      </c>
      <c r="D106" s="25" t="s">
        <v>221</v>
      </c>
      <c r="E106" s="237">
        <v>617743.99575</v>
      </c>
      <c r="F106" s="240">
        <f t="shared" ref="F106:F111" si="7">E106/2</f>
        <v>308871.997875</v>
      </c>
      <c r="G106" s="213"/>
    </row>
    <row r="107" spans="1:7" ht="20.100000000000001" customHeight="1">
      <c r="A107" s="357">
        <v>3</v>
      </c>
      <c r="B107" s="432" t="s">
        <v>109</v>
      </c>
      <c r="C107" s="357" t="s">
        <v>311</v>
      </c>
      <c r="D107" s="430" t="s">
        <v>175</v>
      </c>
      <c r="E107" s="237">
        <v>418096.01602499996</v>
      </c>
      <c r="F107" s="240">
        <f t="shared" si="7"/>
        <v>209048.00801249998</v>
      </c>
      <c r="G107" s="213"/>
    </row>
    <row r="108" spans="1:7" ht="20.100000000000001" customHeight="1">
      <c r="A108" s="357">
        <v>4</v>
      </c>
      <c r="B108" s="432" t="s">
        <v>135</v>
      </c>
      <c r="C108" s="357" t="s">
        <v>311</v>
      </c>
      <c r="D108" s="430" t="s">
        <v>175</v>
      </c>
      <c r="E108" s="237">
        <v>416483.19415499998</v>
      </c>
      <c r="F108" s="240">
        <f t="shared" si="7"/>
        <v>208241.59707749999</v>
      </c>
      <c r="G108" s="213"/>
    </row>
    <row r="109" spans="1:7" ht="20.100000000000001" customHeight="1">
      <c r="A109" s="357">
        <v>5</v>
      </c>
      <c r="B109" s="432" t="s">
        <v>240</v>
      </c>
      <c r="C109" s="357" t="s">
        <v>338</v>
      </c>
      <c r="D109" s="434" t="s">
        <v>499</v>
      </c>
      <c r="E109" s="237">
        <v>262612.71747999999</v>
      </c>
      <c r="F109" s="240">
        <f t="shared" si="7"/>
        <v>131306.35874</v>
      </c>
      <c r="G109" s="213"/>
    </row>
    <row r="110" spans="1:7" ht="20.100000000000001" customHeight="1">
      <c r="A110" s="357">
        <v>6</v>
      </c>
      <c r="B110" s="364" t="s">
        <v>341</v>
      </c>
      <c r="C110" s="357" t="s">
        <v>338</v>
      </c>
      <c r="D110" s="430" t="s">
        <v>267</v>
      </c>
      <c r="E110" s="237">
        <v>258740.79775</v>
      </c>
      <c r="F110" s="240">
        <f t="shared" si="7"/>
        <v>129370.398875</v>
      </c>
      <c r="G110" s="213"/>
    </row>
    <row r="111" spans="1:7" ht="20.100000000000001" customHeight="1">
      <c r="A111" s="357">
        <v>7</v>
      </c>
      <c r="B111" s="364" t="s">
        <v>374</v>
      </c>
      <c r="C111" s="357" t="s">
        <v>338</v>
      </c>
      <c r="D111" s="434" t="s">
        <v>176</v>
      </c>
      <c r="E111" s="237">
        <v>251382.295445</v>
      </c>
      <c r="F111" s="240">
        <f t="shared" si="7"/>
        <v>125691.1477225</v>
      </c>
      <c r="G111" s="213"/>
    </row>
    <row r="112" spans="1:7" ht="25.5" customHeight="1">
      <c r="A112" s="357"/>
      <c r="B112" s="366" t="s">
        <v>15</v>
      </c>
      <c r="C112" s="360">
        <v>7</v>
      </c>
      <c r="D112" s="357"/>
      <c r="E112" s="248">
        <v>3275268.0801050002</v>
      </c>
      <c r="F112" s="413">
        <f>SUM(F105:F111)</f>
        <v>1637634.0400525001</v>
      </c>
      <c r="G112" s="213"/>
    </row>
    <row r="113" spans="1:7" ht="20.100000000000001" customHeight="1">
      <c r="A113" s="357"/>
      <c r="B113" s="366"/>
      <c r="C113" s="360"/>
      <c r="D113" s="357"/>
      <c r="E113" s="248"/>
      <c r="F113" s="413"/>
      <c r="G113" s="213"/>
    </row>
    <row r="114" spans="1:7" ht="20.100000000000001" customHeight="1">
      <c r="A114" s="430"/>
      <c r="B114" s="366" t="s">
        <v>542</v>
      </c>
      <c r="C114" s="360"/>
      <c r="D114" s="360"/>
      <c r="E114" s="245"/>
      <c r="F114" s="251"/>
      <c r="G114" s="213"/>
    </row>
    <row r="115" spans="1:7" ht="18.75" customHeight="1">
      <c r="A115" s="430">
        <v>1</v>
      </c>
      <c r="B115" s="432" t="s">
        <v>247</v>
      </c>
      <c r="C115" s="357" t="s">
        <v>477</v>
      </c>
      <c r="D115" s="434" t="s">
        <v>415</v>
      </c>
      <c r="E115" s="237">
        <v>322454.07400000002</v>
      </c>
      <c r="F115" s="435">
        <f t="shared" ref="F115:F116" si="8">E115/2</f>
        <v>161227.03700000001</v>
      </c>
      <c r="G115" s="213"/>
    </row>
    <row r="116" spans="1:7" ht="20.100000000000001" customHeight="1">
      <c r="A116" s="430">
        <v>2</v>
      </c>
      <c r="B116" s="432" t="s">
        <v>141</v>
      </c>
      <c r="C116" s="367" t="s">
        <v>391</v>
      </c>
      <c r="D116" s="434" t="s">
        <v>497</v>
      </c>
      <c r="E116" s="237">
        <v>284536.99849999999</v>
      </c>
      <c r="F116" s="435">
        <f t="shared" si="8"/>
        <v>142268.49924999999</v>
      </c>
      <c r="G116" s="213"/>
    </row>
    <row r="117" spans="1:7" ht="24.75" customHeight="1">
      <c r="A117" s="357"/>
      <c r="B117" s="366" t="s">
        <v>15</v>
      </c>
      <c r="C117" s="360">
        <v>2</v>
      </c>
      <c r="D117" s="220"/>
      <c r="E117" s="78">
        <v>790446.84587096772</v>
      </c>
      <c r="F117" s="390">
        <f>SUM(F115:F116)</f>
        <v>303495.53625</v>
      </c>
      <c r="G117" s="213"/>
    </row>
    <row r="118" spans="1:7" ht="20.100000000000001" customHeight="1">
      <c r="A118" s="357"/>
      <c r="B118" s="362"/>
      <c r="C118" s="430"/>
      <c r="D118" s="357"/>
      <c r="E118" s="239"/>
      <c r="F118" s="242"/>
      <c r="G118" s="213"/>
    </row>
    <row r="119" spans="1:7" ht="20.100000000000001" customHeight="1">
      <c r="A119" s="357"/>
      <c r="B119" s="366" t="s">
        <v>466</v>
      </c>
      <c r="C119" s="360"/>
      <c r="D119" s="360"/>
      <c r="E119" s="246"/>
      <c r="F119" s="240"/>
      <c r="G119" s="213"/>
    </row>
    <row r="120" spans="1:7" ht="20.100000000000001" customHeight="1">
      <c r="A120" s="357">
        <v>1</v>
      </c>
      <c r="B120" s="432" t="s">
        <v>20</v>
      </c>
      <c r="C120" s="367" t="s">
        <v>250</v>
      </c>
      <c r="D120" s="434" t="s">
        <v>161</v>
      </c>
      <c r="E120" s="237">
        <v>1050209.0635000002</v>
      </c>
      <c r="F120" s="240">
        <f>E120/2</f>
        <v>525104.53175000008</v>
      </c>
      <c r="G120" s="213"/>
    </row>
    <row r="121" spans="1:7" ht="20.100000000000001" customHeight="1">
      <c r="A121" s="357">
        <v>2</v>
      </c>
      <c r="B121" s="432" t="s">
        <v>153</v>
      </c>
      <c r="C121" s="367" t="s">
        <v>739</v>
      </c>
      <c r="D121" s="434" t="s">
        <v>29</v>
      </c>
      <c r="E121" s="237">
        <v>614023.32999999996</v>
      </c>
      <c r="F121" s="240">
        <f t="shared" ref="F121:F129" si="9">E121/2</f>
        <v>307011.66499999998</v>
      </c>
      <c r="G121" s="213"/>
    </row>
    <row r="122" spans="1:7" ht="20.100000000000001" customHeight="1">
      <c r="A122" s="357">
        <v>3</v>
      </c>
      <c r="B122" s="365" t="s">
        <v>142</v>
      </c>
      <c r="C122" s="367" t="s">
        <v>376</v>
      </c>
      <c r="D122" s="434" t="s">
        <v>75</v>
      </c>
      <c r="E122" s="237">
        <v>577553.50249999994</v>
      </c>
      <c r="F122" s="240">
        <f t="shared" si="9"/>
        <v>288776.75124999997</v>
      </c>
      <c r="G122" s="213"/>
    </row>
    <row r="123" spans="1:7" ht="20.100000000000001" customHeight="1">
      <c r="A123" s="357">
        <v>4</v>
      </c>
      <c r="B123" s="365" t="s">
        <v>363</v>
      </c>
      <c r="C123" s="367" t="s">
        <v>376</v>
      </c>
      <c r="D123" s="434" t="s">
        <v>30</v>
      </c>
      <c r="E123" s="237">
        <v>424720.04700000002</v>
      </c>
      <c r="F123" s="240">
        <f t="shared" si="9"/>
        <v>212360.02350000001</v>
      </c>
      <c r="G123" s="213"/>
    </row>
    <row r="124" spans="1:7" ht="20.100000000000001" customHeight="1">
      <c r="A124" s="357">
        <v>5</v>
      </c>
      <c r="B124" s="432" t="s">
        <v>108</v>
      </c>
      <c r="C124" s="367" t="s">
        <v>476</v>
      </c>
      <c r="D124" s="434" t="s">
        <v>162</v>
      </c>
      <c r="E124" s="237">
        <v>335272.06374999997</v>
      </c>
      <c r="F124" s="240">
        <f t="shared" si="9"/>
        <v>167636.03187499999</v>
      </c>
      <c r="G124" s="213"/>
    </row>
    <row r="125" spans="1:7" ht="20.100000000000001" customHeight="1">
      <c r="A125" s="357">
        <v>6</v>
      </c>
      <c r="B125" s="432" t="s">
        <v>178</v>
      </c>
      <c r="C125" s="367" t="s">
        <v>382</v>
      </c>
      <c r="D125" s="434" t="s">
        <v>222</v>
      </c>
      <c r="E125" s="237">
        <v>327211.36749999999</v>
      </c>
      <c r="F125" s="240">
        <f t="shared" si="9"/>
        <v>163605.68375</v>
      </c>
      <c r="G125" s="213"/>
    </row>
    <row r="126" spans="1:7" ht="20.100000000000001" customHeight="1">
      <c r="A126" s="357">
        <v>7</v>
      </c>
      <c r="B126" s="432" t="s">
        <v>134</v>
      </c>
      <c r="C126" s="367" t="s">
        <v>476</v>
      </c>
      <c r="D126" s="434" t="s">
        <v>222</v>
      </c>
      <c r="E126" s="24">
        <v>327211.36749999999</v>
      </c>
      <c r="F126" s="240">
        <f t="shared" si="9"/>
        <v>163605.68375</v>
      </c>
      <c r="G126" s="213"/>
    </row>
    <row r="127" spans="1:7" ht="20.100000000000001" customHeight="1">
      <c r="A127" s="357">
        <v>8</v>
      </c>
      <c r="B127" s="432" t="s">
        <v>443</v>
      </c>
      <c r="C127" s="367" t="s">
        <v>447</v>
      </c>
      <c r="D127" s="430" t="s">
        <v>498</v>
      </c>
      <c r="E127" s="237">
        <v>209356.04725</v>
      </c>
      <c r="F127" s="240">
        <f t="shared" si="9"/>
        <v>104678.023625</v>
      </c>
      <c r="G127" s="213"/>
    </row>
    <row r="128" spans="1:7" ht="20.100000000000001" customHeight="1">
      <c r="A128" s="357">
        <v>9</v>
      </c>
      <c r="B128" s="364" t="s">
        <v>439</v>
      </c>
      <c r="C128" s="367" t="s">
        <v>440</v>
      </c>
      <c r="D128" s="434" t="s">
        <v>105</v>
      </c>
      <c r="E128" s="237">
        <v>173338.22450000001</v>
      </c>
      <c r="F128" s="240">
        <f t="shared" si="9"/>
        <v>86669.112250000006</v>
      </c>
      <c r="G128" s="213"/>
    </row>
    <row r="129" spans="1:7" ht="20.100000000000001" customHeight="1">
      <c r="A129" s="357">
        <v>10</v>
      </c>
      <c r="B129" s="364" t="s">
        <v>535</v>
      </c>
      <c r="C129" s="367" t="s">
        <v>536</v>
      </c>
      <c r="D129" s="434" t="s">
        <v>105</v>
      </c>
      <c r="E129" s="237">
        <v>173329.04949999999</v>
      </c>
      <c r="F129" s="240">
        <f t="shared" si="9"/>
        <v>86664.524749999997</v>
      </c>
      <c r="G129" s="213"/>
    </row>
    <row r="130" spans="1:7" ht="28.5" customHeight="1">
      <c r="A130" s="357"/>
      <c r="B130" s="366" t="s">
        <v>15</v>
      </c>
      <c r="C130" s="220" t="s">
        <v>543</v>
      </c>
      <c r="D130" s="434"/>
      <c r="E130" s="31">
        <v>4802897.8959166668</v>
      </c>
      <c r="F130" s="251">
        <f>SUM(F120:F129)</f>
        <v>2106112.0315</v>
      </c>
      <c r="G130" s="213"/>
    </row>
    <row r="131" spans="1:7" ht="20.100000000000001" customHeight="1">
      <c r="A131" s="357"/>
      <c r="B131" s="362"/>
      <c r="C131" s="220"/>
      <c r="D131" s="434"/>
      <c r="E131" s="246"/>
      <c r="F131" s="253"/>
      <c r="G131" s="213"/>
    </row>
    <row r="132" spans="1:7" ht="20.100000000000001" customHeight="1">
      <c r="A132" s="357"/>
      <c r="B132" s="366" t="s">
        <v>467</v>
      </c>
      <c r="C132" s="367"/>
      <c r="D132" s="434"/>
      <c r="E132" s="237"/>
      <c r="F132" s="240"/>
      <c r="G132" s="213"/>
    </row>
    <row r="133" spans="1:7" ht="20.100000000000001" customHeight="1">
      <c r="A133" s="224">
        <v>1</v>
      </c>
      <c r="B133" s="432" t="s">
        <v>21</v>
      </c>
      <c r="C133" s="367" t="s">
        <v>393</v>
      </c>
      <c r="D133" s="434" t="s">
        <v>161</v>
      </c>
      <c r="E133" s="237">
        <v>950209.06350000005</v>
      </c>
      <c r="F133" s="240">
        <f>E133/2</f>
        <v>475104.53175000002</v>
      </c>
      <c r="G133" s="213"/>
    </row>
    <row r="134" spans="1:7" ht="20.100000000000001" customHeight="1">
      <c r="A134" s="224">
        <v>2</v>
      </c>
      <c r="B134" s="432" t="s">
        <v>107</v>
      </c>
      <c r="C134" s="367" t="s">
        <v>394</v>
      </c>
      <c r="D134" s="434" t="s">
        <v>160</v>
      </c>
      <c r="E134" s="237">
        <v>541465.02474999998</v>
      </c>
      <c r="F134" s="240">
        <f t="shared" ref="F134:F191" si="10">E134/2</f>
        <v>270732.51237499999</v>
      </c>
      <c r="G134" s="213"/>
    </row>
    <row r="135" spans="1:7" ht="20.100000000000001" customHeight="1">
      <c r="A135" s="224">
        <v>3</v>
      </c>
      <c r="B135" s="365" t="s">
        <v>183</v>
      </c>
      <c r="C135" s="357" t="s">
        <v>486</v>
      </c>
      <c r="D135" s="25" t="s">
        <v>221</v>
      </c>
      <c r="E135" s="237">
        <v>577743.99575</v>
      </c>
      <c r="F135" s="240">
        <f t="shared" si="10"/>
        <v>288871.997875</v>
      </c>
      <c r="G135" s="213"/>
    </row>
    <row r="136" spans="1:7" ht="20.100000000000001" customHeight="1">
      <c r="A136" s="224">
        <v>4</v>
      </c>
      <c r="B136" s="432" t="s">
        <v>106</v>
      </c>
      <c r="C136" s="367" t="s">
        <v>381</v>
      </c>
      <c r="D136" s="434" t="s">
        <v>181</v>
      </c>
      <c r="E136" s="237">
        <v>343333.03525000007</v>
      </c>
      <c r="F136" s="240">
        <f t="shared" si="10"/>
        <v>171666.51762500004</v>
      </c>
      <c r="G136" s="213"/>
    </row>
    <row r="137" spans="1:7" ht="20.100000000000001" customHeight="1">
      <c r="A137" s="224">
        <v>5</v>
      </c>
      <c r="B137" s="432" t="s">
        <v>7</v>
      </c>
      <c r="C137" s="357" t="s">
        <v>385</v>
      </c>
      <c r="D137" s="434" t="s">
        <v>181</v>
      </c>
      <c r="E137" s="237">
        <v>343333.03525000007</v>
      </c>
      <c r="F137" s="240">
        <f t="shared" si="10"/>
        <v>171666.51762500004</v>
      </c>
      <c r="G137" s="213"/>
    </row>
    <row r="138" spans="1:7" ht="20.100000000000001" customHeight="1">
      <c r="A138" s="224">
        <v>6</v>
      </c>
      <c r="B138" s="432" t="s">
        <v>6</v>
      </c>
      <c r="C138" s="357" t="s">
        <v>385</v>
      </c>
      <c r="D138" s="434" t="s">
        <v>181</v>
      </c>
      <c r="E138" s="237">
        <v>343333.03525000007</v>
      </c>
      <c r="F138" s="240">
        <f t="shared" si="10"/>
        <v>171666.51762500004</v>
      </c>
      <c r="G138" s="213"/>
    </row>
    <row r="139" spans="1:7" ht="20.100000000000001" customHeight="1">
      <c r="A139" s="224">
        <v>7</v>
      </c>
      <c r="B139" s="432" t="s">
        <v>102</v>
      </c>
      <c r="C139" s="367" t="s">
        <v>395</v>
      </c>
      <c r="D139" s="434" t="s">
        <v>497</v>
      </c>
      <c r="E139" s="237">
        <v>284536.99849999999</v>
      </c>
      <c r="F139" s="240">
        <f t="shared" si="10"/>
        <v>142268.49924999999</v>
      </c>
      <c r="G139" s="213"/>
    </row>
    <row r="140" spans="1:7" ht="20.100000000000001" customHeight="1">
      <c r="A140" s="224">
        <v>8</v>
      </c>
      <c r="B140" s="432" t="s">
        <v>103</v>
      </c>
      <c r="C140" s="367" t="s">
        <v>395</v>
      </c>
      <c r="D140" s="434" t="s">
        <v>497</v>
      </c>
      <c r="E140" s="237">
        <v>284536.99849999999</v>
      </c>
      <c r="F140" s="240">
        <f t="shared" si="10"/>
        <v>142268.49924999999</v>
      </c>
      <c r="G140" s="213"/>
    </row>
    <row r="141" spans="1:7" ht="20.100000000000001" customHeight="1">
      <c r="A141" s="224">
        <v>9</v>
      </c>
      <c r="B141" s="432" t="s">
        <v>151</v>
      </c>
      <c r="C141" s="357" t="s">
        <v>235</v>
      </c>
      <c r="D141" s="434" t="s">
        <v>497</v>
      </c>
      <c r="E141" s="237">
        <v>284536.99849999999</v>
      </c>
      <c r="F141" s="240">
        <f t="shared" si="10"/>
        <v>142268.49924999999</v>
      </c>
      <c r="G141" s="213"/>
    </row>
    <row r="142" spans="1:7" ht="20.100000000000001" customHeight="1">
      <c r="A142" s="224">
        <v>10</v>
      </c>
      <c r="B142" s="432" t="s">
        <v>238</v>
      </c>
      <c r="C142" s="367" t="s">
        <v>546</v>
      </c>
      <c r="D142" s="434" t="s">
        <v>415</v>
      </c>
      <c r="E142" s="237">
        <v>272454.07400000002</v>
      </c>
      <c r="F142" s="240">
        <f t="shared" si="10"/>
        <v>136227.03700000001</v>
      </c>
      <c r="G142" s="213"/>
    </row>
    <row r="143" spans="1:7" ht="20.100000000000001" customHeight="1">
      <c r="A143" s="224">
        <v>11</v>
      </c>
      <c r="B143" s="432" t="s">
        <v>53</v>
      </c>
      <c r="C143" s="367" t="s">
        <v>711</v>
      </c>
      <c r="D143" s="434" t="s">
        <v>369</v>
      </c>
      <c r="E143" s="24">
        <v>265372.07499999995</v>
      </c>
      <c r="F143" s="240">
        <f t="shared" si="10"/>
        <v>132686.03749999998</v>
      </c>
      <c r="G143" s="213"/>
    </row>
    <row r="144" spans="1:7" ht="20.100000000000001" customHeight="1">
      <c r="A144" s="224">
        <v>12</v>
      </c>
      <c r="B144" s="432" t="s">
        <v>179</v>
      </c>
      <c r="C144" s="367" t="s">
        <v>479</v>
      </c>
      <c r="D144" s="434" t="s">
        <v>497</v>
      </c>
      <c r="E144" s="237">
        <v>284536.99849999999</v>
      </c>
      <c r="F144" s="240">
        <f t="shared" si="10"/>
        <v>142268.49924999999</v>
      </c>
      <c r="G144" s="213"/>
    </row>
    <row r="145" spans="1:7" ht="20.100000000000001" customHeight="1">
      <c r="A145" s="224">
        <v>13</v>
      </c>
      <c r="B145" s="364" t="s">
        <v>293</v>
      </c>
      <c r="C145" s="357" t="s">
        <v>712</v>
      </c>
      <c r="D145" s="434" t="s">
        <v>369</v>
      </c>
      <c r="E145" s="24">
        <v>265372.07499999995</v>
      </c>
      <c r="F145" s="240">
        <f t="shared" si="10"/>
        <v>132686.03749999998</v>
      </c>
      <c r="G145" s="213"/>
    </row>
    <row r="146" spans="1:7" ht="20.100000000000001" customHeight="1">
      <c r="A146" s="224">
        <v>14</v>
      </c>
      <c r="B146" s="432" t="s">
        <v>488</v>
      </c>
      <c r="C146" s="357" t="s">
        <v>239</v>
      </c>
      <c r="D146" s="434" t="s">
        <v>207</v>
      </c>
      <c r="E146" s="237">
        <v>237734.04699999996</v>
      </c>
      <c r="F146" s="240">
        <f t="shared" si="10"/>
        <v>118867.02349999998</v>
      </c>
      <c r="G146" s="213"/>
    </row>
    <row r="147" spans="1:7" ht="20.100000000000001" customHeight="1">
      <c r="A147" s="224">
        <v>15</v>
      </c>
      <c r="B147" s="432" t="s">
        <v>489</v>
      </c>
      <c r="C147" s="357" t="s">
        <v>239</v>
      </c>
      <c r="D147" s="434" t="s">
        <v>164</v>
      </c>
      <c r="E147" s="237">
        <v>237734.04699999996</v>
      </c>
      <c r="F147" s="240">
        <f t="shared" si="10"/>
        <v>118867.02349999998</v>
      </c>
      <c r="G147" s="213"/>
    </row>
    <row r="148" spans="1:7" ht="20.100000000000001" customHeight="1">
      <c r="A148" s="224">
        <v>16</v>
      </c>
      <c r="B148" s="432" t="s">
        <v>212</v>
      </c>
      <c r="C148" s="357" t="s">
        <v>239</v>
      </c>
      <c r="D148" s="434" t="s">
        <v>164</v>
      </c>
      <c r="E148" s="237">
        <v>237734.04699999996</v>
      </c>
      <c r="F148" s="240">
        <f t="shared" si="10"/>
        <v>118867.02349999998</v>
      </c>
      <c r="G148" s="213"/>
    </row>
    <row r="149" spans="1:7" ht="20.100000000000001" customHeight="1">
      <c r="A149" s="224">
        <v>17</v>
      </c>
      <c r="B149" s="432" t="s">
        <v>425</v>
      </c>
      <c r="C149" s="367" t="s">
        <v>430</v>
      </c>
      <c r="D149" s="434" t="s">
        <v>104</v>
      </c>
      <c r="E149" s="237">
        <v>228602.07775000003</v>
      </c>
      <c r="F149" s="240">
        <f t="shared" si="10"/>
        <v>114301.03887500001</v>
      </c>
      <c r="G149" s="213"/>
    </row>
    <row r="150" spans="1:7" ht="20.100000000000001" customHeight="1">
      <c r="A150" s="224">
        <v>18</v>
      </c>
      <c r="B150" s="432" t="s">
        <v>437</v>
      </c>
      <c r="C150" s="367" t="s">
        <v>438</v>
      </c>
      <c r="D150" s="430" t="s">
        <v>428</v>
      </c>
      <c r="E150" s="237">
        <v>205204.0845</v>
      </c>
      <c r="F150" s="240">
        <f t="shared" si="10"/>
        <v>102602.04225</v>
      </c>
      <c r="G150" s="213"/>
    </row>
    <row r="151" spans="1:7" ht="20.100000000000001" customHeight="1">
      <c r="A151" s="224">
        <v>19</v>
      </c>
      <c r="B151" s="432" t="s">
        <v>230</v>
      </c>
      <c r="C151" s="367" t="s">
        <v>485</v>
      </c>
      <c r="D151" s="434" t="s">
        <v>207</v>
      </c>
      <c r="E151" s="237">
        <v>237734.04699999996</v>
      </c>
      <c r="F151" s="240">
        <f t="shared" si="10"/>
        <v>118867.02349999998</v>
      </c>
      <c r="G151" s="213"/>
    </row>
    <row r="152" spans="1:7" ht="20.100000000000001" customHeight="1">
      <c r="A152" s="224">
        <v>20</v>
      </c>
      <c r="B152" s="432" t="s">
        <v>57</v>
      </c>
      <c r="C152" s="367" t="s">
        <v>481</v>
      </c>
      <c r="D152" s="434" t="s">
        <v>498</v>
      </c>
      <c r="E152" s="237">
        <v>209356.04725</v>
      </c>
      <c r="F152" s="240">
        <f t="shared" si="10"/>
        <v>104678.023625</v>
      </c>
      <c r="G152" s="213"/>
    </row>
    <row r="153" spans="1:7" ht="20.100000000000001" customHeight="1">
      <c r="A153" s="224">
        <v>21</v>
      </c>
      <c r="B153" s="432" t="s">
        <v>251</v>
      </c>
      <c r="C153" s="367" t="s">
        <v>482</v>
      </c>
      <c r="D153" s="434" t="s">
        <v>207</v>
      </c>
      <c r="E153" s="237">
        <v>237734.04699999996</v>
      </c>
      <c r="F153" s="240">
        <f t="shared" si="10"/>
        <v>118867.02349999998</v>
      </c>
      <c r="G153" s="213"/>
    </row>
    <row r="154" spans="1:7" ht="20.100000000000001" customHeight="1">
      <c r="A154" s="224">
        <v>22</v>
      </c>
      <c r="B154" s="432" t="s">
        <v>241</v>
      </c>
      <c r="C154" s="367" t="s">
        <v>348</v>
      </c>
      <c r="D154" s="434" t="s">
        <v>498</v>
      </c>
      <c r="E154" s="237">
        <v>209356.04725</v>
      </c>
      <c r="F154" s="240">
        <f t="shared" si="10"/>
        <v>104678.023625</v>
      </c>
      <c r="G154" s="213"/>
    </row>
    <row r="155" spans="1:7" ht="20.100000000000001" customHeight="1">
      <c r="A155" s="224">
        <v>23</v>
      </c>
      <c r="B155" s="364" t="s">
        <v>289</v>
      </c>
      <c r="C155" s="367" t="s">
        <v>713</v>
      </c>
      <c r="D155" s="434" t="s">
        <v>428</v>
      </c>
      <c r="E155" s="26">
        <v>205204.0845</v>
      </c>
      <c r="F155" s="240">
        <f t="shared" si="10"/>
        <v>102602.04225</v>
      </c>
      <c r="G155" s="213"/>
    </row>
    <row r="156" spans="1:7" ht="20.100000000000001" customHeight="1">
      <c r="A156" s="224">
        <v>24</v>
      </c>
      <c r="B156" s="364" t="s">
        <v>407</v>
      </c>
      <c r="C156" s="367" t="s">
        <v>131</v>
      </c>
      <c r="D156" s="434" t="s">
        <v>105</v>
      </c>
      <c r="E156" s="237">
        <v>173329.04949999999</v>
      </c>
      <c r="F156" s="240">
        <f t="shared" si="10"/>
        <v>86664.524749999997</v>
      </c>
      <c r="G156" s="213"/>
    </row>
    <row r="157" spans="1:7" ht="20.100000000000001" customHeight="1">
      <c r="A157" s="224">
        <v>25</v>
      </c>
      <c r="B157" s="364" t="s">
        <v>426</v>
      </c>
      <c r="C157" s="367" t="s">
        <v>290</v>
      </c>
      <c r="D157" s="434" t="s">
        <v>105</v>
      </c>
      <c r="E157" s="237">
        <v>173338.22450000001</v>
      </c>
      <c r="F157" s="240">
        <f t="shared" si="10"/>
        <v>86669.112250000006</v>
      </c>
      <c r="G157" s="213"/>
    </row>
    <row r="158" spans="1:7" ht="20.100000000000001" customHeight="1">
      <c r="A158" s="224">
        <v>26</v>
      </c>
      <c r="B158" s="364" t="s">
        <v>441</v>
      </c>
      <c r="C158" s="367" t="s">
        <v>442</v>
      </c>
      <c r="D158" s="434" t="s">
        <v>105</v>
      </c>
      <c r="E158" s="237">
        <v>173338.22450000001</v>
      </c>
      <c r="F158" s="240">
        <f t="shared" si="10"/>
        <v>86669.112250000006</v>
      </c>
      <c r="G158" s="213"/>
    </row>
    <row r="159" spans="1:7" ht="20.100000000000001" customHeight="1">
      <c r="A159" s="224">
        <v>27</v>
      </c>
      <c r="B159" s="364" t="s">
        <v>445</v>
      </c>
      <c r="C159" s="367" t="s">
        <v>446</v>
      </c>
      <c r="D159" s="434" t="s">
        <v>176</v>
      </c>
      <c r="E159" s="237">
        <v>176816.09999999998</v>
      </c>
      <c r="F159" s="240">
        <f t="shared" si="10"/>
        <v>88408.049999999988</v>
      </c>
      <c r="G159" s="213"/>
    </row>
    <row r="160" spans="1:7" ht="20.100000000000001" customHeight="1">
      <c r="A160" s="224">
        <v>28</v>
      </c>
      <c r="B160" s="364" t="s">
        <v>550</v>
      </c>
      <c r="C160" s="367" t="s">
        <v>290</v>
      </c>
      <c r="D160" s="434" t="s">
        <v>105</v>
      </c>
      <c r="E160" s="237">
        <v>173339.22450000001</v>
      </c>
      <c r="F160" s="240">
        <f t="shared" si="10"/>
        <v>86669.612250000006</v>
      </c>
      <c r="G160" s="213"/>
    </row>
    <row r="161" spans="1:7" ht="20.100000000000001" customHeight="1">
      <c r="A161" s="224">
        <v>29</v>
      </c>
      <c r="B161" s="432" t="s">
        <v>22</v>
      </c>
      <c r="C161" s="367" t="s">
        <v>302</v>
      </c>
      <c r="D161" s="434" t="s">
        <v>501</v>
      </c>
      <c r="E161" s="237">
        <v>135590.72999999998</v>
      </c>
      <c r="F161" s="240">
        <f t="shared" si="10"/>
        <v>67795.364999999991</v>
      </c>
      <c r="G161" s="213"/>
    </row>
    <row r="162" spans="1:7" ht="20.100000000000001" customHeight="1">
      <c r="A162" s="224">
        <v>30</v>
      </c>
      <c r="B162" s="432" t="s">
        <v>14</v>
      </c>
      <c r="C162" s="367" t="s">
        <v>302</v>
      </c>
      <c r="D162" s="434" t="s">
        <v>501</v>
      </c>
      <c r="E162" s="237">
        <v>138590.72999999998</v>
      </c>
      <c r="F162" s="240">
        <f t="shared" si="10"/>
        <v>69295.364999999991</v>
      </c>
      <c r="G162" s="213"/>
    </row>
    <row r="163" spans="1:7" ht="20.100000000000001" customHeight="1">
      <c r="A163" s="224">
        <v>31</v>
      </c>
      <c r="B163" s="432" t="s">
        <v>23</v>
      </c>
      <c r="C163" s="367" t="s">
        <v>302</v>
      </c>
      <c r="D163" s="434" t="s">
        <v>501</v>
      </c>
      <c r="E163" s="237">
        <v>135590.72999999998</v>
      </c>
      <c r="F163" s="240">
        <f t="shared" si="10"/>
        <v>67795.364999999991</v>
      </c>
      <c r="G163" s="213"/>
    </row>
    <row r="164" spans="1:7" ht="20.100000000000001" customHeight="1">
      <c r="A164" s="224">
        <v>32</v>
      </c>
      <c r="B164" s="432" t="s">
        <v>39</v>
      </c>
      <c r="C164" s="367" t="s">
        <v>302</v>
      </c>
      <c r="D164" s="434" t="s">
        <v>501</v>
      </c>
      <c r="E164" s="237">
        <v>135590.72999999998</v>
      </c>
      <c r="F164" s="240">
        <f t="shared" si="10"/>
        <v>67795.364999999991</v>
      </c>
      <c r="G164" s="213"/>
    </row>
    <row r="165" spans="1:7" ht="20.100000000000001" customHeight="1">
      <c r="A165" s="224">
        <v>33</v>
      </c>
      <c r="B165" s="432" t="s">
        <v>40</v>
      </c>
      <c r="C165" s="367" t="s">
        <v>302</v>
      </c>
      <c r="D165" s="434" t="s">
        <v>501</v>
      </c>
      <c r="E165" s="237">
        <v>135590.72999999998</v>
      </c>
      <c r="F165" s="240">
        <f t="shared" si="10"/>
        <v>67795.364999999991</v>
      </c>
      <c r="G165" s="213"/>
    </row>
    <row r="166" spans="1:7" ht="20.100000000000001" customHeight="1">
      <c r="A166" s="224">
        <v>34</v>
      </c>
      <c r="B166" s="432" t="s">
        <v>127</v>
      </c>
      <c r="C166" s="367" t="s">
        <v>302</v>
      </c>
      <c r="D166" s="434" t="s">
        <v>416</v>
      </c>
      <c r="E166" s="237">
        <v>125035.03449999999</v>
      </c>
      <c r="F166" s="240">
        <f t="shared" si="10"/>
        <v>62517.517249999997</v>
      </c>
      <c r="G166" s="213"/>
    </row>
    <row r="167" spans="1:7" ht="20.100000000000001" customHeight="1">
      <c r="A167" s="224">
        <v>35</v>
      </c>
      <c r="B167" s="432" t="s">
        <v>128</v>
      </c>
      <c r="C167" s="367" t="s">
        <v>302</v>
      </c>
      <c r="D167" s="434" t="s">
        <v>416</v>
      </c>
      <c r="E167" s="237">
        <v>122035.03449999999</v>
      </c>
      <c r="F167" s="240">
        <f t="shared" si="10"/>
        <v>61017.517249999997</v>
      </c>
      <c r="G167" s="213"/>
    </row>
    <row r="168" spans="1:7" ht="20.100000000000001" customHeight="1">
      <c r="A168" s="224">
        <v>36</v>
      </c>
      <c r="B168" s="365" t="s">
        <v>136</v>
      </c>
      <c r="C168" s="367" t="s">
        <v>302</v>
      </c>
      <c r="D168" s="434" t="s">
        <v>416</v>
      </c>
      <c r="E168" s="237">
        <v>125035.03449999999</v>
      </c>
      <c r="F168" s="240">
        <f t="shared" si="10"/>
        <v>62517.517249999997</v>
      </c>
      <c r="G168" s="213"/>
    </row>
    <row r="169" spans="1:7" ht="20.100000000000001" customHeight="1">
      <c r="A169" s="224">
        <v>37</v>
      </c>
      <c r="B169" s="432" t="s">
        <v>140</v>
      </c>
      <c r="C169" s="367" t="s">
        <v>302</v>
      </c>
      <c r="D169" s="434" t="s">
        <v>416</v>
      </c>
      <c r="E169" s="237">
        <v>122035.03449999999</v>
      </c>
      <c r="F169" s="240">
        <f t="shared" si="10"/>
        <v>61017.517249999997</v>
      </c>
      <c r="G169" s="213"/>
    </row>
    <row r="170" spans="1:7" ht="20.100000000000001" customHeight="1">
      <c r="A170" s="224">
        <v>38</v>
      </c>
      <c r="B170" s="364" t="s">
        <v>152</v>
      </c>
      <c r="C170" s="367" t="s">
        <v>302</v>
      </c>
      <c r="D170" s="434" t="s">
        <v>416</v>
      </c>
      <c r="E170" s="237">
        <v>122035.03449999999</v>
      </c>
      <c r="F170" s="240">
        <f t="shared" si="10"/>
        <v>61017.517249999997</v>
      </c>
      <c r="G170" s="213"/>
    </row>
    <row r="171" spans="1:7" ht="20.100000000000001" customHeight="1">
      <c r="A171" s="224">
        <v>39</v>
      </c>
      <c r="B171" s="364" t="s">
        <v>132</v>
      </c>
      <c r="C171" s="367" t="s">
        <v>302</v>
      </c>
      <c r="D171" s="434" t="s">
        <v>416</v>
      </c>
      <c r="E171" s="237">
        <v>125035.03449999999</v>
      </c>
      <c r="F171" s="240">
        <f t="shared" si="10"/>
        <v>62517.517249999997</v>
      </c>
      <c r="G171" s="213"/>
    </row>
    <row r="172" spans="1:7" ht="20.100000000000001" customHeight="1">
      <c r="A172" s="224">
        <v>40</v>
      </c>
      <c r="B172" s="432" t="s">
        <v>231</v>
      </c>
      <c r="C172" s="367" t="s">
        <v>714</v>
      </c>
      <c r="D172" s="434" t="s">
        <v>306</v>
      </c>
      <c r="E172" s="24">
        <v>122104.99825</v>
      </c>
      <c r="F172" s="240">
        <f t="shared" si="10"/>
        <v>61052.499125000002</v>
      </c>
      <c r="G172" s="213"/>
    </row>
    <row r="173" spans="1:7" ht="20.100000000000001" customHeight="1">
      <c r="A173" s="224">
        <v>41</v>
      </c>
      <c r="B173" s="432" t="s">
        <v>246</v>
      </c>
      <c r="C173" s="367" t="s">
        <v>714</v>
      </c>
      <c r="D173" s="434" t="s">
        <v>306</v>
      </c>
      <c r="E173" s="24">
        <v>122104.99825</v>
      </c>
      <c r="F173" s="240">
        <f t="shared" si="10"/>
        <v>61052.499125000002</v>
      </c>
      <c r="G173" s="213"/>
    </row>
    <row r="174" spans="1:7" ht="20.100000000000001" customHeight="1">
      <c r="A174" s="224">
        <v>42</v>
      </c>
      <c r="B174" s="364" t="s">
        <v>166</v>
      </c>
      <c r="C174" s="367" t="s">
        <v>714</v>
      </c>
      <c r="D174" s="434" t="s">
        <v>306</v>
      </c>
      <c r="E174" s="24">
        <v>122104.99825</v>
      </c>
      <c r="F174" s="240">
        <f t="shared" si="10"/>
        <v>61052.499125000002</v>
      </c>
      <c r="G174" s="213"/>
    </row>
    <row r="175" spans="1:7" ht="20.100000000000001" customHeight="1">
      <c r="A175" s="224">
        <v>43</v>
      </c>
      <c r="B175" s="432" t="s">
        <v>204</v>
      </c>
      <c r="C175" s="367" t="s">
        <v>167</v>
      </c>
      <c r="D175" s="434" t="s">
        <v>177</v>
      </c>
      <c r="E175" s="237">
        <v>80237.012000000002</v>
      </c>
      <c r="F175" s="240">
        <f t="shared" si="10"/>
        <v>40118.506000000001</v>
      </c>
      <c r="G175" s="213"/>
    </row>
    <row r="176" spans="1:7" ht="20.100000000000001" customHeight="1">
      <c r="A176" s="224">
        <v>44</v>
      </c>
      <c r="B176" s="432" t="s">
        <v>209</v>
      </c>
      <c r="C176" s="367" t="s">
        <v>13</v>
      </c>
      <c r="D176" s="434" t="s">
        <v>502</v>
      </c>
      <c r="E176" s="237">
        <v>78671.023000000016</v>
      </c>
      <c r="F176" s="240">
        <f t="shared" si="10"/>
        <v>39335.511500000008</v>
      </c>
      <c r="G176" s="213"/>
    </row>
    <row r="177" spans="1:7" ht="20.100000000000001" customHeight="1">
      <c r="A177" s="224">
        <v>45</v>
      </c>
      <c r="B177" s="432" t="s">
        <v>218</v>
      </c>
      <c r="C177" s="367" t="s">
        <v>13</v>
      </c>
      <c r="D177" s="434" t="s">
        <v>502</v>
      </c>
      <c r="E177" s="237">
        <v>75671.023000000016</v>
      </c>
      <c r="F177" s="240">
        <f t="shared" si="10"/>
        <v>37835.511500000008</v>
      </c>
      <c r="G177" s="213"/>
    </row>
    <row r="178" spans="1:7" ht="20.100000000000001" customHeight="1">
      <c r="A178" s="224">
        <v>46</v>
      </c>
      <c r="B178" s="432" t="s">
        <v>219</v>
      </c>
      <c r="C178" s="367" t="s">
        <v>13</v>
      </c>
      <c r="D178" s="434" t="s">
        <v>502</v>
      </c>
      <c r="E178" s="237">
        <v>78671.023000000016</v>
      </c>
      <c r="F178" s="240">
        <f t="shared" si="10"/>
        <v>39335.511500000008</v>
      </c>
      <c r="G178" s="213"/>
    </row>
    <row r="179" spans="1:7" ht="20.100000000000001" customHeight="1">
      <c r="A179" s="224">
        <v>47</v>
      </c>
      <c r="B179" s="432" t="s">
        <v>211</v>
      </c>
      <c r="C179" s="367" t="s">
        <v>13</v>
      </c>
      <c r="D179" s="434" t="s">
        <v>502</v>
      </c>
      <c r="E179" s="237">
        <v>75671.023000000016</v>
      </c>
      <c r="F179" s="240">
        <f t="shared" si="10"/>
        <v>37835.511500000008</v>
      </c>
      <c r="G179" s="213"/>
    </row>
    <row r="180" spans="1:7" ht="20.100000000000001" customHeight="1">
      <c r="A180" s="224">
        <v>48</v>
      </c>
      <c r="B180" s="432" t="s">
        <v>213</v>
      </c>
      <c r="C180" s="367" t="s">
        <v>13</v>
      </c>
      <c r="D180" s="434" t="s">
        <v>502</v>
      </c>
      <c r="E180" s="237">
        <v>78671.023000000016</v>
      </c>
      <c r="F180" s="240">
        <f t="shared" si="10"/>
        <v>39335.511500000008</v>
      </c>
      <c r="G180" s="213"/>
    </row>
    <row r="181" spans="1:7" ht="20.100000000000001" customHeight="1">
      <c r="A181" s="224">
        <v>49</v>
      </c>
      <c r="B181" s="364" t="s">
        <v>342</v>
      </c>
      <c r="C181" s="367" t="s">
        <v>13</v>
      </c>
      <c r="D181" s="434" t="s">
        <v>502</v>
      </c>
      <c r="E181" s="237">
        <v>75671.023000000016</v>
      </c>
      <c r="F181" s="240">
        <f t="shared" si="10"/>
        <v>37835.511500000008</v>
      </c>
      <c r="G181" s="213"/>
    </row>
    <row r="182" spans="1:7" ht="20.100000000000001" customHeight="1">
      <c r="A182" s="224">
        <v>50</v>
      </c>
      <c r="B182" s="364" t="s">
        <v>405</v>
      </c>
      <c r="C182" s="367" t="s">
        <v>13</v>
      </c>
      <c r="D182" s="434" t="s">
        <v>502</v>
      </c>
      <c r="E182" s="237">
        <v>78671.023000000016</v>
      </c>
      <c r="F182" s="240">
        <f t="shared" si="10"/>
        <v>39335.511500000008</v>
      </c>
      <c r="G182" s="213"/>
    </row>
    <row r="183" spans="1:7" ht="20.100000000000001" customHeight="1">
      <c r="A183" s="224">
        <v>51</v>
      </c>
      <c r="B183" s="432" t="s">
        <v>232</v>
      </c>
      <c r="C183" s="367" t="s">
        <v>167</v>
      </c>
      <c r="D183" s="434" t="s">
        <v>502</v>
      </c>
      <c r="E183" s="237">
        <v>78671.023000000001</v>
      </c>
      <c r="F183" s="240">
        <f t="shared" si="10"/>
        <v>39335.511500000001</v>
      </c>
      <c r="G183" s="213"/>
    </row>
    <row r="184" spans="1:7" ht="20.100000000000001" customHeight="1">
      <c r="A184" s="224">
        <v>52</v>
      </c>
      <c r="B184" s="432" t="s">
        <v>233</v>
      </c>
      <c r="C184" s="367" t="s">
        <v>167</v>
      </c>
      <c r="D184" s="434" t="s">
        <v>502</v>
      </c>
      <c r="E184" s="237">
        <v>78671.023000000016</v>
      </c>
      <c r="F184" s="240">
        <f t="shared" si="10"/>
        <v>39335.511500000008</v>
      </c>
      <c r="G184" s="213"/>
    </row>
    <row r="185" spans="1:7" ht="20.100000000000001" customHeight="1">
      <c r="A185" s="224">
        <v>53</v>
      </c>
      <c r="B185" s="364" t="s">
        <v>279</v>
      </c>
      <c r="C185" s="367" t="s">
        <v>715</v>
      </c>
      <c r="D185" s="434" t="s">
        <v>262</v>
      </c>
      <c r="E185" s="24">
        <v>77103.749500000005</v>
      </c>
      <c r="F185" s="240">
        <f t="shared" si="10"/>
        <v>38551.874750000003</v>
      </c>
      <c r="G185" s="213"/>
    </row>
    <row r="186" spans="1:7" ht="20.100000000000001" customHeight="1">
      <c r="A186" s="224">
        <v>54</v>
      </c>
      <c r="B186" s="364" t="s">
        <v>403</v>
      </c>
      <c r="C186" s="367" t="s">
        <v>13</v>
      </c>
      <c r="D186" s="434" t="s">
        <v>264</v>
      </c>
      <c r="E186" s="237">
        <v>67328.070250000004</v>
      </c>
      <c r="F186" s="240">
        <f t="shared" si="10"/>
        <v>33664.035125000002</v>
      </c>
      <c r="G186" s="213"/>
    </row>
    <row r="187" spans="1:7" ht="20.100000000000001" customHeight="1">
      <c r="A187" s="224">
        <v>55</v>
      </c>
      <c r="B187" s="364" t="s">
        <v>557</v>
      </c>
      <c r="C187" s="367" t="s">
        <v>558</v>
      </c>
      <c r="D187" s="434" t="s">
        <v>559</v>
      </c>
      <c r="E187" s="331">
        <v>61631.996500000001</v>
      </c>
      <c r="F187" s="240">
        <f t="shared" si="10"/>
        <v>30815.998250000001</v>
      </c>
      <c r="G187" s="213"/>
    </row>
    <row r="188" spans="1:7" ht="20.100000000000001" customHeight="1">
      <c r="A188" s="224">
        <v>56</v>
      </c>
      <c r="B188" s="364" t="s">
        <v>560</v>
      </c>
      <c r="C188" s="367" t="s">
        <v>558</v>
      </c>
      <c r="D188" s="434" t="s">
        <v>559</v>
      </c>
      <c r="E188" s="331">
        <v>61631.996500000001</v>
      </c>
      <c r="F188" s="240">
        <f t="shared" si="10"/>
        <v>30815.998250000001</v>
      </c>
      <c r="G188" s="213"/>
    </row>
    <row r="189" spans="1:7" ht="20.100000000000001" customHeight="1">
      <c r="A189" s="224">
        <v>57</v>
      </c>
      <c r="B189" s="364" t="s">
        <v>561</v>
      </c>
      <c r="C189" s="367" t="s">
        <v>558</v>
      </c>
      <c r="D189" s="434" t="s">
        <v>559</v>
      </c>
      <c r="E189" s="331">
        <v>61631.996500000001</v>
      </c>
      <c r="F189" s="240">
        <f t="shared" si="10"/>
        <v>30815.998250000001</v>
      </c>
      <c r="G189" s="213"/>
    </row>
    <row r="190" spans="1:7" ht="20.100000000000001" customHeight="1">
      <c r="A190" s="224">
        <v>58</v>
      </c>
      <c r="B190" s="364" t="s">
        <v>562</v>
      </c>
      <c r="C190" s="367" t="s">
        <v>563</v>
      </c>
      <c r="D190" s="434" t="s">
        <v>564</v>
      </c>
      <c r="E190" s="237">
        <v>70538.03575000001</v>
      </c>
      <c r="F190" s="240">
        <f t="shared" si="10"/>
        <v>35269.017875000005</v>
      </c>
      <c r="G190" s="213"/>
    </row>
    <row r="191" spans="1:7" ht="20.100000000000001" customHeight="1">
      <c r="A191" s="224">
        <v>59</v>
      </c>
      <c r="B191" s="364" t="s">
        <v>565</v>
      </c>
      <c r="C191" s="367" t="s">
        <v>563</v>
      </c>
      <c r="D191" s="434" t="s">
        <v>564</v>
      </c>
      <c r="E191" s="237">
        <v>70538.03575000001</v>
      </c>
      <c r="F191" s="240">
        <f t="shared" si="10"/>
        <v>35269.017875000005</v>
      </c>
      <c r="G191" s="213"/>
    </row>
    <row r="192" spans="1:7" ht="20.100000000000001" customHeight="1">
      <c r="A192" s="224"/>
      <c r="B192" s="210" t="s">
        <v>15</v>
      </c>
      <c r="C192" s="226" t="s">
        <v>710</v>
      </c>
      <c r="D192" s="358"/>
      <c r="E192" s="78">
        <v>11195475.758500002</v>
      </c>
      <c r="F192" s="390">
        <f>SUM(F133:F191)</f>
        <v>5597737.8792500012</v>
      </c>
      <c r="G192" s="213"/>
    </row>
    <row r="193" spans="1:7" ht="19.5" customHeight="1">
      <c r="A193" s="357"/>
      <c r="B193" s="227" t="s">
        <v>8</v>
      </c>
      <c r="C193" s="228">
        <f>C31+C37+C52+C57+C71+C81+C95+C102+C112+C130+C192</f>
        <v>151</v>
      </c>
      <c r="D193" s="229"/>
      <c r="E193" s="230">
        <v>52931904.066892639</v>
      </c>
      <c r="F193" s="230">
        <f>F192+F130+F117+F112+F102+F95+F81+F71+F57+F52+F37+F31</f>
        <v>25569552.508302502</v>
      </c>
      <c r="G193" s="213"/>
    </row>
    <row r="194" spans="1:7" ht="20.100000000000001" customHeight="1">
      <c r="A194" s="202"/>
      <c r="B194" s="231"/>
      <c r="C194" s="202"/>
      <c r="D194" s="232"/>
      <c r="E194" s="233"/>
      <c r="F194" s="234"/>
      <c r="G194" s="433"/>
    </row>
    <row r="195" spans="1:7" ht="36.75" customHeight="1">
      <c r="A195" s="202"/>
      <c r="B195" s="231"/>
      <c r="C195" s="232"/>
      <c r="D195" s="232"/>
      <c r="E195" s="233"/>
      <c r="F195" s="433"/>
    </row>
    <row r="198" spans="1:7" ht="20.100000000000001" customHeight="1">
      <c r="E198" s="433"/>
    </row>
  </sheetData>
  <mergeCells count="1">
    <mergeCell ref="A2:F2"/>
  </mergeCells>
  <pageMargins left="0.23622047244094491" right="0.23622047244094491" top="0.98425196850393704" bottom="0.98425196850393704" header="0.51181102362204722" footer="0.51181102362204722"/>
  <pageSetup paperSize="9" scale="71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5" sqref="G25"/>
    </sheetView>
  </sheetViews>
  <sheetFormatPr defaultRowHeight="12.7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zoomScaleNormal="100" zoomScaleSheetLayoutView="50" workbookViewId="0">
      <pane xSplit="3" ySplit="6" topLeftCell="T7" activePane="bottomRight" state="frozen"/>
      <selection pane="topRight" activeCell="E1" sqref="E1"/>
      <selection pane="bottomLeft" activeCell="A10" sqref="A10"/>
      <selection pane="bottomRight" activeCell="B16" sqref="B16"/>
    </sheetView>
  </sheetViews>
  <sheetFormatPr defaultColWidth="9.140625" defaultRowHeight="20.100000000000001" customHeight="1"/>
  <cols>
    <col min="1" max="1" width="5.42578125" style="196" customWidth="1"/>
    <col min="2" max="2" width="39.42578125" style="196" customWidth="1"/>
    <col min="3" max="3" width="26.5703125" style="196" customWidth="1"/>
    <col min="4" max="4" width="14.85546875" style="196" customWidth="1"/>
    <col min="5" max="5" width="17.85546875" style="196" customWidth="1"/>
    <col min="6" max="6" width="19.42578125" style="196" customWidth="1"/>
    <col min="7" max="7" width="16" style="196" customWidth="1"/>
    <col min="8" max="8" width="18.140625" style="196" customWidth="1"/>
    <col min="9" max="9" width="18" style="196" customWidth="1"/>
    <col min="10" max="10" width="20" style="196" customWidth="1"/>
    <col min="11" max="11" width="18.140625" style="196" customWidth="1"/>
    <col min="12" max="12" width="18.28515625" style="196" customWidth="1"/>
    <col min="13" max="13" width="18.140625" style="196" customWidth="1"/>
    <col min="14" max="14" width="15.7109375" style="196" customWidth="1"/>
    <col min="15" max="15" width="18.28515625" style="196" customWidth="1"/>
    <col min="16" max="16" width="17.85546875" style="196" customWidth="1"/>
    <col min="17" max="18" width="19.28515625" style="196" customWidth="1"/>
    <col min="19" max="19" width="20.42578125" style="368" customWidth="1"/>
    <col min="20" max="20" width="16.42578125" style="196" customWidth="1"/>
    <col min="21" max="22" width="17.7109375" style="196" customWidth="1"/>
    <col min="23" max="23" width="14.5703125" style="196" customWidth="1"/>
    <col min="24" max="24" width="17.85546875" style="196" customWidth="1"/>
    <col min="25" max="25" width="21.7109375" style="196" customWidth="1"/>
    <col min="26" max="16384" width="9.140625" style="196"/>
  </cols>
  <sheetData>
    <row r="1" spans="1:25" ht="27" customHeight="1">
      <c r="A1" s="705" t="s">
        <v>234</v>
      </c>
      <c r="B1" s="705"/>
      <c r="C1" s="705"/>
      <c r="D1" s="705"/>
      <c r="E1" s="705"/>
      <c r="F1" s="705"/>
      <c r="G1" s="195">
        <f>'[1]FEB 08'!F8/'[1]FEB 08'!Q8</f>
        <v>0.3</v>
      </c>
      <c r="H1" s="195"/>
      <c r="I1" s="195"/>
      <c r="J1" s="195"/>
      <c r="K1" s="195"/>
      <c r="L1" s="195"/>
      <c r="M1" s="195"/>
      <c r="N1" s="195"/>
      <c r="O1" s="195"/>
      <c r="P1" s="195"/>
    </row>
    <row r="2" spans="1:25" ht="33.75" customHeight="1">
      <c r="A2" s="197" t="s">
        <v>718</v>
      </c>
      <c r="B2" s="198"/>
      <c r="C2" s="197"/>
      <c r="D2" s="197"/>
      <c r="E2" s="199"/>
      <c r="F2" s="199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1"/>
      <c r="R2" s="201"/>
      <c r="S2" s="369"/>
      <c r="T2" s="201"/>
      <c r="U2" s="201"/>
      <c r="V2" s="201"/>
      <c r="W2" s="201"/>
      <c r="X2" s="201"/>
    </row>
    <row r="3" spans="1:25" ht="9.75" customHeight="1">
      <c r="A3" s="202"/>
      <c r="B3" s="202"/>
      <c r="C3" s="202"/>
      <c r="D3" s="202"/>
      <c r="E3" s="195" t="e">
        <f>'[1]FEB 08'!E11/'[1]FEB 08'!M11</f>
        <v>#REF!</v>
      </c>
      <c r="F3" s="195"/>
      <c r="G3" s="195" t="e">
        <f>'[1]FEB 08'!F11/'[1]FEB 08'!Q11</f>
        <v>#REF!</v>
      </c>
      <c r="H3" s="195"/>
      <c r="I3" s="195"/>
      <c r="J3" s="195"/>
      <c r="K3" s="195"/>
      <c r="L3" s="195"/>
      <c r="M3" s="195"/>
      <c r="N3" s="195"/>
      <c r="O3" s="195"/>
      <c r="P3" s="195"/>
    </row>
    <row r="4" spans="1:25" ht="60" customHeight="1">
      <c r="A4" s="357"/>
      <c r="B4" s="204" t="s">
        <v>0</v>
      </c>
      <c r="C4" s="204" t="s">
        <v>12</v>
      </c>
      <c r="D4" s="205" t="s">
        <v>309</v>
      </c>
      <c r="E4" s="206" t="s">
        <v>308</v>
      </c>
      <c r="F4" s="206" t="s">
        <v>460</v>
      </c>
      <c r="G4" s="207" t="s">
        <v>2</v>
      </c>
      <c r="H4" s="207" t="s">
        <v>3</v>
      </c>
      <c r="I4" s="206" t="s">
        <v>32</v>
      </c>
      <c r="J4" s="207" t="s">
        <v>42</v>
      </c>
      <c r="K4" s="207" t="s">
        <v>43</v>
      </c>
      <c r="L4" s="207" t="s">
        <v>46</v>
      </c>
      <c r="M4" s="206" t="s">
        <v>93</v>
      </c>
      <c r="N4" s="206" t="s">
        <v>93</v>
      </c>
      <c r="O4" s="207" t="s">
        <v>33</v>
      </c>
      <c r="P4" s="207" t="s">
        <v>33</v>
      </c>
      <c r="Q4" s="206" t="s">
        <v>49</v>
      </c>
      <c r="R4" s="236" t="s">
        <v>74</v>
      </c>
      <c r="S4" s="207" t="s">
        <v>38</v>
      </c>
      <c r="T4" s="294" t="s">
        <v>459</v>
      </c>
      <c r="U4" s="208" t="s">
        <v>655</v>
      </c>
      <c r="V4" s="254" t="s">
        <v>656</v>
      </c>
      <c r="W4" s="208" t="s">
        <v>511</v>
      </c>
      <c r="X4" s="254" t="s">
        <v>671</v>
      </c>
    </row>
    <row r="5" spans="1:25" ht="17.25" customHeight="1">
      <c r="C5" s="210"/>
      <c r="D5" s="210"/>
      <c r="E5" s="211" t="s">
        <v>5</v>
      </c>
      <c r="F5" s="211" t="s">
        <v>5</v>
      </c>
      <c r="G5" s="211" t="s">
        <v>5</v>
      </c>
      <c r="H5" s="211" t="s">
        <v>5</v>
      </c>
      <c r="I5" s="211" t="s">
        <v>5</v>
      </c>
      <c r="J5" s="211" t="s">
        <v>5</v>
      </c>
      <c r="K5" s="211" t="s">
        <v>5</v>
      </c>
      <c r="L5" s="211" t="s">
        <v>5</v>
      </c>
      <c r="M5" s="211" t="s">
        <v>5</v>
      </c>
      <c r="N5" s="211" t="s">
        <v>5</v>
      </c>
      <c r="O5" s="211" t="s">
        <v>5</v>
      </c>
      <c r="P5" s="211" t="s">
        <v>5</v>
      </c>
      <c r="Q5" s="243" t="s">
        <v>5</v>
      </c>
      <c r="R5" s="210"/>
      <c r="S5" s="370" t="s">
        <v>5</v>
      </c>
      <c r="T5" s="211"/>
      <c r="U5" s="211"/>
      <c r="V5" s="249"/>
      <c r="W5" s="211"/>
      <c r="X5" s="249"/>
    </row>
    <row r="6" spans="1:25" ht="20.100000000000001" customHeight="1">
      <c r="A6" s="209" t="s">
        <v>143</v>
      </c>
      <c r="B6" s="210" t="s">
        <v>433</v>
      </c>
      <c r="C6" s="210"/>
      <c r="D6" s="210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43"/>
      <c r="R6" s="210"/>
      <c r="S6" s="370"/>
      <c r="T6" s="211"/>
      <c r="U6" s="211"/>
      <c r="V6" s="249"/>
      <c r="W6" s="211"/>
      <c r="X6" s="249"/>
    </row>
    <row r="7" spans="1:25" ht="20.100000000000001" customHeight="1">
      <c r="A7" s="357">
        <v>3</v>
      </c>
      <c r="B7" s="363" t="s">
        <v>724</v>
      </c>
      <c r="C7" s="357" t="s">
        <v>725</v>
      </c>
      <c r="D7" s="359" t="s">
        <v>175</v>
      </c>
      <c r="E7" s="26">
        <v>26339.3</v>
      </c>
      <c r="F7" s="26"/>
      <c r="G7" s="26">
        <f>E7*300%</f>
        <v>79017.899999999994</v>
      </c>
      <c r="H7" s="26">
        <f>E7*7.5%</f>
        <v>1975.4474999999998</v>
      </c>
      <c r="I7" s="26">
        <v>0</v>
      </c>
      <c r="J7" s="26">
        <f>E7*50%</f>
        <v>13169.65</v>
      </c>
      <c r="K7" s="26">
        <f>E7*350%</f>
        <v>92187.55</v>
      </c>
      <c r="L7" s="26">
        <f>E7*100%</f>
        <v>26339.3</v>
      </c>
      <c r="M7" s="212">
        <v>70000</v>
      </c>
      <c r="N7" s="212"/>
      <c r="O7" s="26">
        <f>E7*10%</f>
        <v>2633.9300000000003</v>
      </c>
      <c r="P7" s="26">
        <v>15000</v>
      </c>
      <c r="Q7" s="26"/>
      <c r="R7" s="237">
        <f>SUM(E7:Q7)</f>
        <v>326663.07749999996</v>
      </c>
      <c r="S7" s="24">
        <f>42046.06</f>
        <v>42046.06</v>
      </c>
      <c r="T7" s="24">
        <f>42046.06</f>
        <v>42046.06</v>
      </c>
      <c r="U7" s="24"/>
      <c r="V7" s="240">
        <f>R7-T7</f>
        <v>284617.01749999996</v>
      </c>
      <c r="W7" s="213">
        <v>1</v>
      </c>
      <c r="X7" s="416">
        <f>V7*W7</f>
        <v>284617.01749999996</v>
      </c>
    </row>
    <row r="8" spans="1:25" ht="26.25" customHeight="1">
      <c r="A8" s="359"/>
      <c r="B8" s="366" t="s">
        <v>15</v>
      </c>
      <c r="C8" s="360"/>
      <c r="D8" s="214"/>
      <c r="E8" s="216">
        <f t="shared" ref="E8:P8" si="0">SUM(E7:E7)</f>
        <v>26339.3</v>
      </c>
      <c r="F8" s="216">
        <f t="shared" si="0"/>
        <v>0</v>
      </c>
      <c r="G8" s="216">
        <f t="shared" si="0"/>
        <v>79017.899999999994</v>
      </c>
      <c r="H8" s="216">
        <f t="shared" si="0"/>
        <v>1975.4474999999998</v>
      </c>
      <c r="I8" s="216">
        <f t="shared" si="0"/>
        <v>0</v>
      </c>
      <c r="J8" s="216">
        <f t="shared" si="0"/>
        <v>13169.65</v>
      </c>
      <c r="K8" s="216">
        <f t="shared" si="0"/>
        <v>92187.55</v>
      </c>
      <c r="L8" s="216">
        <f t="shared" si="0"/>
        <v>26339.3</v>
      </c>
      <c r="M8" s="216">
        <f t="shared" si="0"/>
        <v>70000</v>
      </c>
      <c r="N8" s="216">
        <f t="shared" si="0"/>
        <v>0</v>
      </c>
      <c r="O8" s="216">
        <f t="shared" si="0"/>
        <v>2633.9300000000003</v>
      </c>
      <c r="P8" s="216">
        <f t="shared" si="0"/>
        <v>15000</v>
      </c>
      <c r="R8" s="414">
        <f>SUM(R7)</f>
        <v>326663.07749999996</v>
      </c>
      <c r="S8" s="216">
        <f>SUM(S7:S7)</f>
        <v>42046.06</v>
      </c>
      <c r="T8" s="216">
        <f>SUM(T7:T7)</f>
        <v>42046.06</v>
      </c>
      <c r="U8" s="216">
        <f>SUM(U7:U7)</f>
        <v>0</v>
      </c>
      <c r="V8" s="250">
        <f>SUM(V7:V7)</f>
        <v>284617.01749999996</v>
      </c>
      <c r="W8" s="216"/>
      <c r="X8" s="250">
        <f>SUM(X7:X7)</f>
        <v>284617.01749999996</v>
      </c>
      <c r="Y8" s="213"/>
    </row>
    <row r="9" spans="1:25" ht="20.100000000000001" customHeight="1">
      <c r="A9" s="359"/>
      <c r="B9" s="365"/>
      <c r="C9" s="357"/>
      <c r="D9" s="359"/>
      <c r="E9" s="216"/>
      <c r="F9" s="216"/>
      <c r="G9" s="216"/>
      <c r="H9" s="216"/>
      <c r="I9" s="216"/>
      <c r="J9" s="216"/>
      <c r="K9" s="216"/>
      <c r="L9" s="212"/>
      <c r="M9" s="212"/>
      <c r="N9" s="216"/>
      <c r="O9" s="216"/>
      <c r="P9" s="216"/>
      <c r="Q9" s="244"/>
      <c r="R9" s="418"/>
      <c r="S9" s="372"/>
      <c r="T9" s="216"/>
      <c r="U9" s="26"/>
      <c r="V9" s="241"/>
      <c r="W9" s="216"/>
      <c r="X9" s="241"/>
      <c r="Y9" s="213"/>
    </row>
    <row r="10" spans="1:25" ht="20.100000000000001" customHeight="1">
      <c r="A10" s="359"/>
      <c r="B10" s="218" t="s">
        <v>723</v>
      </c>
      <c r="C10" s="203"/>
      <c r="D10" s="207"/>
      <c r="E10" s="216"/>
      <c r="F10" s="216"/>
      <c r="G10" s="24"/>
      <c r="H10" s="24"/>
      <c r="I10" s="24"/>
      <c r="J10" s="24"/>
      <c r="K10" s="24"/>
      <c r="L10" s="212"/>
      <c r="M10" s="212"/>
      <c r="N10" s="24"/>
      <c r="O10" s="24"/>
      <c r="P10" s="24"/>
      <c r="Q10" s="237"/>
      <c r="R10" s="207"/>
      <c r="S10" s="373"/>
      <c r="T10" s="24"/>
      <c r="U10" s="26"/>
      <c r="V10" s="241"/>
      <c r="W10" s="24"/>
      <c r="X10" s="241"/>
      <c r="Y10" s="213"/>
    </row>
    <row r="11" spans="1:25" ht="21.6" customHeight="1">
      <c r="A11" s="359">
        <v>10</v>
      </c>
      <c r="B11" s="363" t="s">
        <v>726</v>
      </c>
      <c r="C11" s="357" t="s">
        <v>84</v>
      </c>
      <c r="D11" s="359" t="s">
        <v>104</v>
      </c>
      <c r="E11" s="26">
        <v>17286.330000000002</v>
      </c>
      <c r="F11" s="26"/>
      <c r="G11" s="26">
        <f t="shared" ref="G11" si="1">E11*300%</f>
        <v>51858.990000000005</v>
      </c>
      <c r="H11" s="26">
        <f t="shared" ref="H11" si="2">E11*7.5%</f>
        <v>1296.4747500000001</v>
      </c>
      <c r="I11" s="26"/>
      <c r="J11" s="26">
        <f t="shared" ref="J11" si="3">E11*50%</f>
        <v>8643.1650000000009</v>
      </c>
      <c r="K11" s="26">
        <f t="shared" ref="K11" si="4">E11*350%</f>
        <v>60502.155000000006</v>
      </c>
      <c r="L11" s="26">
        <f t="shared" ref="L11" si="5">E11*100%</f>
        <v>17286.330000000002</v>
      </c>
      <c r="M11" s="212">
        <v>100000</v>
      </c>
      <c r="N11" s="212"/>
      <c r="O11" s="26">
        <f t="shared" ref="O11" si="6">E11*10%</f>
        <v>1728.6330000000003</v>
      </c>
      <c r="P11" s="26">
        <v>10000</v>
      </c>
      <c r="Q11" s="26"/>
      <c r="R11" s="237">
        <f t="shared" ref="R11" si="7">SUM(E11:Q11)</f>
        <v>268602.07775000005</v>
      </c>
      <c r="S11" s="26">
        <f>32291.82</f>
        <v>32291.82</v>
      </c>
      <c r="T11" s="26">
        <f>32291.82</f>
        <v>32291.82</v>
      </c>
      <c r="U11" s="24"/>
      <c r="V11" s="240">
        <f>R11-T11</f>
        <v>236310.25775000005</v>
      </c>
      <c r="W11" s="213">
        <f>(25/31)+2</f>
        <v>2.806451612903226</v>
      </c>
      <c r="X11" s="196">
        <f>V11*W11</f>
        <v>663193.30400806468</v>
      </c>
    </row>
    <row r="12" spans="1:25" ht="25.5" customHeight="1">
      <c r="A12" s="359"/>
      <c r="B12" s="366" t="s">
        <v>15</v>
      </c>
      <c r="C12" s="360"/>
      <c r="D12" s="360"/>
      <c r="E12" s="78">
        <f t="shared" ref="E12:X12" si="8">SUM(E11:E11)</f>
        <v>17286.330000000002</v>
      </c>
      <c r="F12" s="78">
        <f t="shared" si="8"/>
        <v>0</v>
      </c>
      <c r="G12" s="78">
        <f t="shared" si="8"/>
        <v>51858.990000000005</v>
      </c>
      <c r="H12" s="78">
        <f t="shared" si="8"/>
        <v>1296.4747500000001</v>
      </c>
      <c r="I12" s="78">
        <f t="shared" si="8"/>
        <v>0</v>
      </c>
      <c r="J12" s="78">
        <f t="shared" si="8"/>
        <v>8643.1650000000009</v>
      </c>
      <c r="K12" s="78">
        <f t="shared" si="8"/>
        <v>60502.155000000006</v>
      </c>
      <c r="L12" s="78">
        <f t="shared" si="8"/>
        <v>17286.330000000002</v>
      </c>
      <c r="M12" s="78">
        <f t="shared" si="8"/>
        <v>100000</v>
      </c>
      <c r="N12" s="78">
        <f t="shared" si="8"/>
        <v>0</v>
      </c>
      <c r="O12" s="78">
        <f t="shared" si="8"/>
        <v>1728.6330000000003</v>
      </c>
      <c r="P12" s="78">
        <f t="shared" si="8"/>
        <v>10000</v>
      </c>
      <c r="Q12" s="78">
        <f t="shared" si="8"/>
        <v>0</v>
      </c>
      <c r="R12" s="78">
        <f t="shared" si="8"/>
        <v>268602.07775000005</v>
      </c>
      <c r="S12" s="78">
        <f t="shared" si="8"/>
        <v>32291.82</v>
      </c>
      <c r="T12" s="78">
        <f t="shared" si="8"/>
        <v>32291.82</v>
      </c>
      <c r="U12" s="78">
        <f t="shared" si="8"/>
        <v>0</v>
      </c>
      <c r="V12" s="78">
        <f t="shared" si="8"/>
        <v>236310.25775000005</v>
      </c>
      <c r="W12" s="78">
        <f t="shared" si="8"/>
        <v>2.806451612903226</v>
      </c>
      <c r="X12" s="78">
        <f t="shared" si="8"/>
        <v>663193.30400806468</v>
      </c>
      <c r="Y12" s="213"/>
    </row>
    <row r="13" spans="1:25" ht="20.100000000000001" customHeight="1">
      <c r="A13" s="359"/>
      <c r="B13" s="366"/>
      <c r="C13" s="360"/>
      <c r="D13" s="360"/>
      <c r="E13" s="31"/>
      <c r="F13" s="31"/>
      <c r="G13" s="31"/>
      <c r="H13" s="31"/>
      <c r="I13" s="31"/>
      <c r="J13" s="31"/>
      <c r="K13" s="31"/>
      <c r="L13" s="212"/>
      <c r="M13" s="212"/>
      <c r="N13" s="31"/>
      <c r="O13" s="31"/>
      <c r="P13" s="31"/>
      <c r="Q13" s="245"/>
      <c r="R13" s="360"/>
      <c r="S13" s="375"/>
      <c r="T13" s="31"/>
      <c r="U13" s="26"/>
      <c r="V13" s="241"/>
      <c r="W13" s="31"/>
      <c r="X13" s="241"/>
      <c r="Y13" s="213"/>
    </row>
    <row r="14" spans="1:25" ht="19.5" customHeight="1">
      <c r="A14" s="357"/>
      <c r="B14" s="227" t="s">
        <v>8</v>
      </c>
      <c r="C14" s="228"/>
      <c r="D14" s="229"/>
      <c r="E14" s="230">
        <f>E8+E12</f>
        <v>43625.630000000005</v>
      </c>
      <c r="F14" s="230">
        <f t="shared" ref="F14:X14" si="9">F8+F12</f>
        <v>0</v>
      </c>
      <c r="G14" s="230">
        <f t="shared" si="9"/>
        <v>130876.89</v>
      </c>
      <c r="H14" s="230">
        <f t="shared" si="9"/>
        <v>3271.9222499999996</v>
      </c>
      <c r="I14" s="230">
        <f t="shared" si="9"/>
        <v>0</v>
      </c>
      <c r="J14" s="230">
        <f t="shared" si="9"/>
        <v>21812.815000000002</v>
      </c>
      <c r="K14" s="230">
        <f t="shared" si="9"/>
        <v>152689.70500000002</v>
      </c>
      <c r="L14" s="230">
        <f t="shared" si="9"/>
        <v>43625.630000000005</v>
      </c>
      <c r="M14" s="230">
        <f t="shared" si="9"/>
        <v>170000</v>
      </c>
      <c r="N14" s="230">
        <f t="shared" si="9"/>
        <v>0</v>
      </c>
      <c r="O14" s="230">
        <f t="shared" si="9"/>
        <v>4362.5630000000001</v>
      </c>
      <c r="P14" s="230">
        <f t="shared" si="9"/>
        <v>25000</v>
      </c>
      <c r="Q14" s="230">
        <f t="shared" si="9"/>
        <v>0</v>
      </c>
      <c r="R14" s="230">
        <f t="shared" si="9"/>
        <v>595265.15525000007</v>
      </c>
      <c r="S14" s="230">
        <f t="shared" si="9"/>
        <v>74337.88</v>
      </c>
      <c r="T14" s="230">
        <f t="shared" si="9"/>
        <v>74337.88</v>
      </c>
      <c r="U14" s="230">
        <f t="shared" si="9"/>
        <v>0</v>
      </c>
      <c r="V14" s="230">
        <f t="shared" si="9"/>
        <v>520927.27525000001</v>
      </c>
      <c r="W14" s="230"/>
      <c r="X14" s="230">
        <f t="shared" si="9"/>
        <v>947810.32150806463</v>
      </c>
      <c r="Y14" s="213"/>
    </row>
    <row r="15" spans="1:25" ht="20.100000000000001" customHeight="1">
      <c r="A15" s="202"/>
      <c r="B15" s="231"/>
      <c r="C15" s="202"/>
      <c r="D15" s="232"/>
      <c r="E15" s="232"/>
      <c r="F15" s="232"/>
      <c r="G15" s="232"/>
      <c r="H15" s="232"/>
      <c r="I15" s="233"/>
      <c r="J15" s="233"/>
      <c r="K15" s="233"/>
      <c r="L15" s="233"/>
      <c r="M15" s="233"/>
      <c r="N15" s="233"/>
      <c r="O15" s="233"/>
      <c r="P15" s="233"/>
      <c r="Q15" s="233"/>
      <c r="R15" s="233"/>
      <c r="S15" s="377"/>
      <c r="T15" s="234"/>
      <c r="U15" s="234"/>
      <c r="V15" s="234"/>
      <c r="W15" s="234"/>
      <c r="X15" s="234"/>
      <c r="Y15" s="235"/>
    </row>
    <row r="16" spans="1:25" ht="36.75" customHeight="1">
      <c r="A16" s="202"/>
      <c r="B16" s="231"/>
      <c r="C16" s="232"/>
      <c r="D16" s="232"/>
      <c r="E16" s="232"/>
      <c r="F16" s="232"/>
      <c r="G16" s="232"/>
      <c r="H16" s="232"/>
      <c r="I16" s="233"/>
      <c r="J16" s="233"/>
      <c r="K16" s="233"/>
      <c r="L16" s="233"/>
      <c r="M16" s="233"/>
      <c r="N16" s="233"/>
      <c r="O16" s="233"/>
      <c r="Q16" s="233"/>
      <c r="R16" s="233"/>
      <c r="S16" s="377"/>
      <c r="T16" s="234"/>
      <c r="U16" s="234"/>
      <c r="V16" s="234"/>
      <c r="W16" s="234"/>
      <c r="X16" s="234"/>
    </row>
    <row r="19" spans="17:18" ht="20.100000000000001" customHeight="1">
      <c r="Q19" s="235"/>
      <c r="R19" s="235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"/>
  <sheetViews>
    <sheetView zoomScale="90" zoomScaleNormal="90" zoomScaleSheetLayoutView="50" workbookViewId="0">
      <pane xSplit="3" ySplit="6" topLeftCell="Z7" activePane="bottomRight" state="frozen"/>
      <selection pane="topRight" activeCell="E1" sqref="E1"/>
      <selection pane="bottomLeft" activeCell="A10" sqref="A10"/>
      <selection pane="bottomRight" activeCell="AE8" sqref="AE8:AE10"/>
    </sheetView>
  </sheetViews>
  <sheetFormatPr defaultColWidth="9.140625" defaultRowHeight="20.100000000000001" customHeight="1"/>
  <cols>
    <col min="1" max="1" width="5.42578125" style="196" customWidth="1"/>
    <col min="2" max="2" width="37.140625" style="196" customWidth="1"/>
    <col min="3" max="3" width="37.28515625" style="196" customWidth="1"/>
    <col min="4" max="4" width="14.85546875" style="196" customWidth="1"/>
    <col min="5" max="5" width="17.85546875" style="196" customWidth="1"/>
    <col min="6" max="6" width="19.42578125" style="196" customWidth="1"/>
    <col min="7" max="7" width="16" style="196" customWidth="1"/>
    <col min="8" max="8" width="18.140625" style="196" customWidth="1"/>
    <col min="9" max="9" width="18" style="196" customWidth="1"/>
    <col min="10" max="10" width="20" style="196" customWidth="1"/>
    <col min="11" max="11" width="18.140625" style="196" customWidth="1"/>
    <col min="12" max="12" width="18.28515625" style="196" customWidth="1"/>
    <col min="13" max="13" width="18.140625" style="196" customWidth="1"/>
    <col min="14" max="14" width="15.7109375" style="196" customWidth="1"/>
    <col min="15" max="15" width="18.28515625" style="196" customWidth="1"/>
    <col min="16" max="16" width="17.85546875" style="196" customWidth="1"/>
    <col min="17" max="18" width="19.28515625" style="196" customWidth="1"/>
    <col min="19" max="19" width="20.42578125" style="368" customWidth="1"/>
    <col min="20" max="20" width="16.42578125" style="196" customWidth="1"/>
    <col min="21" max="22" width="17.7109375" style="196" customWidth="1"/>
    <col min="23" max="23" width="14.5703125" style="196" customWidth="1"/>
    <col min="24" max="24" width="17.85546875" style="196" customWidth="1"/>
    <col min="25" max="25" width="21.7109375" style="196" customWidth="1"/>
    <col min="26" max="26" width="18.85546875" style="196" customWidth="1"/>
    <col min="27" max="27" width="17.7109375" style="196" customWidth="1"/>
    <col min="28" max="28" width="15.7109375" style="196" customWidth="1"/>
    <col min="29" max="29" width="18.28515625" style="196" customWidth="1"/>
    <col min="30" max="30" width="17.7109375" style="196" customWidth="1"/>
    <col min="31" max="31" width="19.85546875" style="196" customWidth="1"/>
    <col min="32" max="16384" width="9.140625" style="196"/>
  </cols>
  <sheetData>
    <row r="1" spans="1:31" ht="27" customHeight="1">
      <c r="A1" s="705" t="s">
        <v>234</v>
      </c>
      <c r="B1" s="705"/>
      <c r="C1" s="705"/>
      <c r="D1" s="705"/>
      <c r="E1" s="705"/>
      <c r="F1" s="705"/>
      <c r="G1" s="195">
        <f>'[1]FEB 08'!F8/'[1]FEB 08'!Q8</f>
        <v>0.3</v>
      </c>
      <c r="H1" s="195"/>
      <c r="I1" s="195"/>
      <c r="J1" s="195"/>
      <c r="K1" s="195"/>
      <c r="L1" s="195"/>
      <c r="M1" s="195"/>
      <c r="N1" s="195"/>
      <c r="O1" s="195"/>
      <c r="P1" s="195"/>
    </row>
    <row r="2" spans="1:31" ht="33.75" customHeight="1">
      <c r="A2" s="197" t="s">
        <v>718</v>
      </c>
      <c r="B2" s="198"/>
      <c r="C2" s="197"/>
      <c r="D2" s="197"/>
      <c r="E2" s="199"/>
      <c r="F2" s="199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1"/>
      <c r="R2" s="201"/>
      <c r="S2" s="369"/>
      <c r="T2" s="201"/>
      <c r="U2" s="201"/>
      <c r="V2" s="201"/>
      <c r="W2" s="201"/>
      <c r="X2" s="201"/>
    </row>
    <row r="3" spans="1:31" ht="9.75" customHeight="1">
      <c r="A3" s="202"/>
      <c r="B3" s="202"/>
      <c r="C3" s="202"/>
      <c r="D3" s="202"/>
      <c r="E3" s="195" t="e">
        <f>'[1]FEB 08'!E11/'[1]FEB 08'!M11</f>
        <v>#REF!</v>
      </c>
      <c r="F3" s="195"/>
      <c r="G3" s="195" t="e">
        <f>'[1]FEB 08'!F11/'[1]FEB 08'!Q11</f>
        <v>#REF!</v>
      </c>
      <c r="H3" s="195"/>
      <c r="I3" s="195"/>
      <c r="J3" s="195"/>
      <c r="K3" s="195"/>
      <c r="L3" s="195"/>
      <c r="M3" s="195"/>
      <c r="N3" s="195"/>
      <c r="O3" s="195"/>
      <c r="P3" s="195"/>
    </row>
    <row r="4" spans="1:31" ht="62.25" customHeight="1">
      <c r="A4" s="357"/>
      <c r="B4" s="203" t="s">
        <v>0</v>
      </c>
      <c r="C4" s="204" t="s">
        <v>12</v>
      </c>
      <c r="D4" s="205" t="s">
        <v>309</v>
      </c>
      <c r="E4" s="206" t="s">
        <v>308</v>
      </c>
      <c r="F4" s="206" t="s">
        <v>460</v>
      </c>
      <c r="G4" s="207" t="s">
        <v>2</v>
      </c>
      <c r="H4" s="207" t="s">
        <v>3</v>
      </c>
      <c r="I4" s="206" t="s">
        <v>32</v>
      </c>
      <c r="J4" s="207" t="s">
        <v>42</v>
      </c>
      <c r="K4" s="207" t="s">
        <v>43</v>
      </c>
      <c r="L4" s="207" t="s">
        <v>46</v>
      </c>
      <c r="M4" s="206" t="s">
        <v>93</v>
      </c>
      <c r="N4" s="206" t="s">
        <v>93</v>
      </c>
      <c r="O4" s="207" t="s">
        <v>33</v>
      </c>
      <c r="P4" s="207" t="s">
        <v>33</v>
      </c>
      <c r="Q4" s="206" t="s">
        <v>49</v>
      </c>
      <c r="R4" s="236" t="s">
        <v>74</v>
      </c>
      <c r="S4" s="205" t="s">
        <v>664</v>
      </c>
      <c r="T4" s="389" t="s">
        <v>662</v>
      </c>
      <c r="U4" s="208" t="s">
        <v>668</v>
      </c>
      <c r="V4" s="208" t="s">
        <v>666</v>
      </c>
      <c r="W4" s="208" t="s">
        <v>667</v>
      </c>
      <c r="X4" s="208" t="s">
        <v>665</v>
      </c>
      <c r="Y4" s="208" t="s">
        <v>371</v>
      </c>
      <c r="Z4" s="393" t="s">
        <v>669</v>
      </c>
      <c r="AA4" s="394" t="s">
        <v>670</v>
      </c>
      <c r="AB4" s="208" t="s">
        <v>511</v>
      </c>
      <c r="AC4" s="254" t="s">
        <v>671</v>
      </c>
      <c r="AD4" s="254" t="s">
        <v>732</v>
      </c>
      <c r="AE4" s="254" t="s">
        <v>733</v>
      </c>
    </row>
    <row r="5" spans="1:31" ht="17.25" customHeight="1">
      <c r="C5" s="210"/>
      <c r="D5" s="210"/>
      <c r="E5" s="211" t="s">
        <v>5</v>
      </c>
      <c r="F5" s="211" t="s">
        <v>5</v>
      </c>
      <c r="G5" s="211" t="s">
        <v>5</v>
      </c>
      <c r="H5" s="211" t="s">
        <v>5</v>
      </c>
      <c r="I5" s="211" t="s">
        <v>5</v>
      </c>
      <c r="J5" s="211" t="s">
        <v>5</v>
      </c>
      <c r="K5" s="211" t="s">
        <v>5</v>
      </c>
      <c r="L5" s="211" t="s">
        <v>5</v>
      </c>
      <c r="M5" s="211" t="s">
        <v>5</v>
      </c>
      <c r="N5" s="211" t="s">
        <v>5</v>
      </c>
      <c r="O5" s="211" t="s">
        <v>5</v>
      </c>
      <c r="P5" s="211" t="s">
        <v>5</v>
      </c>
      <c r="Q5" s="243" t="s">
        <v>5</v>
      </c>
      <c r="R5" s="210"/>
      <c r="S5" s="370" t="s">
        <v>5</v>
      </c>
      <c r="T5" s="211"/>
      <c r="U5" s="211"/>
      <c r="V5" s="249"/>
      <c r="W5" s="211"/>
      <c r="X5" s="249"/>
    </row>
    <row r="6" spans="1:31" ht="20.100000000000001" customHeight="1">
      <c r="A6" s="209" t="s">
        <v>143</v>
      </c>
      <c r="B6" s="210" t="s">
        <v>731</v>
      </c>
      <c r="C6" s="210"/>
      <c r="D6" s="210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43"/>
      <c r="R6" s="210"/>
      <c r="S6" s="370"/>
      <c r="T6" s="211"/>
      <c r="U6" s="211"/>
      <c r="V6" s="249"/>
      <c r="W6" s="211"/>
      <c r="X6" s="249"/>
    </row>
    <row r="7" spans="1:31" ht="20.100000000000001" customHeight="1">
      <c r="A7" s="357"/>
      <c r="B7" s="363"/>
      <c r="C7" s="357"/>
      <c r="D7" s="359"/>
      <c r="E7" s="26"/>
      <c r="F7" s="26"/>
      <c r="G7" s="26"/>
      <c r="H7" s="26"/>
      <c r="I7" s="26"/>
      <c r="J7" s="26"/>
      <c r="K7" s="26"/>
      <c r="L7" s="26"/>
      <c r="M7" s="212"/>
      <c r="N7" s="212"/>
      <c r="O7" s="26"/>
      <c r="P7" s="26"/>
      <c r="Q7" s="26"/>
      <c r="R7" s="237"/>
      <c r="S7" s="24"/>
      <c r="T7" s="24"/>
      <c r="U7" s="24"/>
      <c r="V7" s="240"/>
      <c r="W7" s="213"/>
      <c r="X7" s="416"/>
    </row>
    <row r="8" spans="1:31" s="386" customFormat="1" ht="20.100000000000001" customHeight="1">
      <c r="A8" s="388">
        <v>40</v>
      </c>
      <c r="B8" s="387" t="s">
        <v>231</v>
      </c>
      <c r="C8" s="380" t="s">
        <v>714</v>
      </c>
      <c r="D8" s="381" t="s">
        <v>306</v>
      </c>
      <c r="E8" s="383">
        <v>5428.12</v>
      </c>
      <c r="F8" s="382"/>
      <c r="G8" s="383">
        <f t="shared" ref="G8:G10" si="0">E8*300%</f>
        <v>16284.36</v>
      </c>
      <c r="H8" s="383">
        <f t="shared" ref="H8:H10" si="1">E8*7.5%</f>
        <v>407.10899999999998</v>
      </c>
      <c r="I8" s="383"/>
      <c r="J8" s="383">
        <f t="shared" ref="J8:J10" si="2">E8*50%</f>
        <v>2714.06</v>
      </c>
      <c r="K8" s="384">
        <f t="shared" ref="K8:K10" si="3">E8*350%</f>
        <v>18998.419999999998</v>
      </c>
      <c r="L8" s="383">
        <f t="shared" ref="L8:L10" si="4">E8*100%</f>
        <v>5428.12</v>
      </c>
      <c r="M8" s="382"/>
      <c r="N8" s="382">
        <f>20000</f>
        <v>20000</v>
      </c>
      <c r="O8" s="383">
        <f t="shared" ref="O8:O10" si="5">E8*10%</f>
        <v>542.81200000000001</v>
      </c>
      <c r="P8" s="383">
        <v>5000</v>
      </c>
      <c r="Q8" s="383">
        <f>7000</f>
        <v>7000</v>
      </c>
      <c r="R8" s="384">
        <f t="shared" ref="R8:R10" si="6">SUM(E8:Q8)</f>
        <v>81803.001000000018</v>
      </c>
      <c r="S8" s="424" t="s">
        <v>306</v>
      </c>
      <c r="T8" s="384">
        <f>122105</f>
        <v>122105</v>
      </c>
      <c r="U8" s="384">
        <f>T8-R8</f>
        <v>40301.998999999982</v>
      </c>
      <c r="V8" s="384"/>
      <c r="W8" s="384"/>
      <c r="X8" s="24">
        <v>4365.3307546666683</v>
      </c>
      <c r="Y8" s="384">
        <f>9152.6</f>
        <v>9152.6</v>
      </c>
      <c r="Z8" s="240">
        <f>Y8-X8</f>
        <v>4787.269245333332</v>
      </c>
      <c r="AA8" s="426">
        <f>U8-Z8</f>
        <v>35514.729754666652</v>
      </c>
      <c r="AB8" s="427">
        <f>(11/31)+3</f>
        <v>3.3548387096774195</v>
      </c>
      <c r="AC8" s="428">
        <f>AA8*AB8</f>
        <v>119146.19014468812</v>
      </c>
      <c r="AD8" s="18">
        <f>66227.57</f>
        <v>66227.570000000007</v>
      </c>
      <c r="AE8" s="425">
        <f>AC8-AD8</f>
        <v>52918.620144688117</v>
      </c>
    </row>
    <row r="9" spans="1:31" s="386" customFormat="1" ht="20.100000000000001" customHeight="1">
      <c r="A9" s="388">
        <v>41</v>
      </c>
      <c r="B9" s="387" t="s">
        <v>246</v>
      </c>
      <c r="C9" s="380" t="s">
        <v>714</v>
      </c>
      <c r="D9" s="381" t="s">
        <v>306</v>
      </c>
      <c r="E9" s="383">
        <v>5428.12</v>
      </c>
      <c r="F9" s="382"/>
      <c r="G9" s="383">
        <f t="shared" si="0"/>
        <v>16284.36</v>
      </c>
      <c r="H9" s="383">
        <f t="shared" si="1"/>
        <v>407.10899999999998</v>
      </c>
      <c r="I9" s="383"/>
      <c r="J9" s="383">
        <f t="shared" si="2"/>
        <v>2714.06</v>
      </c>
      <c r="K9" s="384">
        <f t="shared" si="3"/>
        <v>18998.419999999998</v>
      </c>
      <c r="L9" s="383">
        <f t="shared" si="4"/>
        <v>5428.12</v>
      </c>
      <c r="M9" s="382"/>
      <c r="N9" s="382">
        <f>20000</f>
        <v>20000</v>
      </c>
      <c r="O9" s="383">
        <f t="shared" si="5"/>
        <v>542.81200000000001</v>
      </c>
      <c r="P9" s="383">
        <v>5000</v>
      </c>
      <c r="Q9" s="383">
        <f>7000</f>
        <v>7000</v>
      </c>
      <c r="R9" s="384">
        <f>SUM(E9:Q9)</f>
        <v>81803.001000000018</v>
      </c>
      <c r="S9" s="424" t="s">
        <v>306</v>
      </c>
      <c r="T9" s="384">
        <f t="shared" ref="T9:T10" si="7">122105</f>
        <v>122105</v>
      </c>
      <c r="U9" s="384">
        <f t="shared" ref="U9:U10" si="8">T9-R9</f>
        <v>40301.998999999982</v>
      </c>
      <c r="V9" s="384"/>
      <c r="W9" s="384"/>
      <c r="X9" s="24">
        <f>4365.33075466667</f>
        <v>4365.3307546666701</v>
      </c>
      <c r="Y9" s="384">
        <f t="shared" ref="Y9:Y10" si="9">9152.6</f>
        <v>9152.6</v>
      </c>
      <c r="Z9" s="240">
        <f t="shared" ref="Z9:Z10" si="10">Y9-X9</f>
        <v>4787.2692453333302</v>
      </c>
      <c r="AA9" s="426">
        <f t="shared" ref="AA9:AA10" si="11">U9-Z9</f>
        <v>35514.729754666652</v>
      </c>
      <c r="AB9" s="427">
        <f>(17/31)+2</f>
        <v>2.5483870967741935</v>
      </c>
      <c r="AC9" s="428">
        <f t="shared" ref="AC9:AC10" si="12">AA9*AB9</f>
        <v>90505.279052215017</v>
      </c>
      <c r="AD9" s="241">
        <v>44151.71</v>
      </c>
      <c r="AE9" s="425">
        <f t="shared" ref="AE9:AE10" si="13">AC9-AD9</f>
        <v>46353.569052215018</v>
      </c>
    </row>
    <row r="10" spans="1:31" s="386" customFormat="1" ht="20.100000000000001" customHeight="1">
      <c r="A10" s="388">
        <v>42</v>
      </c>
      <c r="B10" s="379" t="s">
        <v>166</v>
      </c>
      <c r="C10" s="380" t="s">
        <v>714</v>
      </c>
      <c r="D10" s="381" t="s">
        <v>306</v>
      </c>
      <c r="E10" s="383">
        <v>5598.92</v>
      </c>
      <c r="F10" s="382"/>
      <c r="G10" s="383">
        <f t="shared" si="0"/>
        <v>16796.760000000002</v>
      </c>
      <c r="H10" s="383">
        <f t="shared" si="1"/>
        <v>419.91899999999998</v>
      </c>
      <c r="I10" s="383"/>
      <c r="J10" s="383">
        <f t="shared" si="2"/>
        <v>2799.46</v>
      </c>
      <c r="K10" s="384">
        <f t="shared" si="3"/>
        <v>19596.22</v>
      </c>
      <c r="L10" s="383">
        <f t="shared" si="4"/>
        <v>5598.92</v>
      </c>
      <c r="M10" s="382"/>
      <c r="N10" s="382">
        <f>20000</f>
        <v>20000</v>
      </c>
      <c r="O10" s="383">
        <f t="shared" si="5"/>
        <v>559.89200000000005</v>
      </c>
      <c r="P10" s="383">
        <v>5000</v>
      </c>
      <c r="Q10" s="383">
        <f>7000</f>
        <v>7000</v>
      </c>
      <c r="R10" s="384">
        <f t="shared" si="6"/>
        <v>83370.091</v>
      </c>
      <c r="S10" s="424" t="s">
        <v>306</v>
      </c>
      <c r="T10" s="384">
        <f t="shared" si="7"/>
        <v>122105</v>
      </c>
      <c r="U10" s="384">
        <f t="shared" si="8"/>
        <v>38734.909</v>
      </c>
      <c r="V10" s="384"/>
      <c r="W10" s="384"/>
      <c r="X10" s="24">
        <v>4504.4109199999994</v>
      </c>
      <c r="Y10" s="384">
        <f t="shared" si="9"/>
        <v>9152.6</v>
      </c>
      <c r="Z10" s="240">
        <f t="shared" si="10"/>
        <v>4648.189080000001</v>
      </c>
      <c r="AA10" s="426">
        <f t="shared" si="11"/>
        <v>34086.719919999996</v>
      </c>
      <c r="AB10" s="427">
        <v>9</v>
      </c>
      <c r="AC10" s="428">
        <f t="shared" si="12"/>
        <v>306780.47927999997</v>
      </c>
      <c r="AD10" s="241">
        <v>216693.09</v>
      </c>
      <c r="AE10" s="425">
        <f t="shared" si="13"/>
        <v>90087.389279999974</v>
      </c>
    </row>
    <row r="11" spans="1:31" s="386" customFormat="1" ht="20.100000000000001" customHeight="1">
      <c r="A11" s="388"/>
      <c r="B11" s="379"/>
      <c r="C11" s="380"/>
      <c r="D11" s="381"/>
      <c r="E11" s="383"/>
      <c r="F11" s="382"/>
      <c r="G11" s="383"/>
      <c r="H11" s="383"/>
      <c r="I11" s="383"/>
      <c r="J11" s="383"/>
      <c r="K11" s="384"/>
      <c r="L11" s="383"/>
      <c r="M11" s="382"/>
      <c r="N11" s="382"/>
      <c r="O11" s="383"/>
      <c r="P11" s="383"/>
      <c r="Q11" s="383"/>
      <c r="R11" s="384"/>
      <c r="S11" s="384"/>
      <c r="T11" s="384"/>
      <c r="U11" s="384"/>
      <c r="V11" s="384"/>
      <c r="W11" s="421"/>
      <c r="X11" s="422"/>
      <c r="Y11" s="421"/>
      <c r="Z11" s="423"/>
      <c r="AA11" s="385"/>
      <c r="AE11" s="429">
        <f>SUM(AE8:AE10)</f>
        <v>189359.57847690312</v>
      </c>
    </row>
    <row r="12" spans="1:31" ht="21.6" customHeight="1">
      <c r="A12" s="359"/>
      <c r="B12" s="363"/>
      <c r="C12" s="357"/>
      <c r="D12" s="359"/>
      <c r="E12" s="26"/>
      <c r="F12" s="26"/>
      <c r="G12" s="26"/>
      <c r="H12" s="26"/>
      <c r="I12" s="26"/>
      <c r="J12" s="26"/>
      <c r="K12" s="26"/>
      <c r="L12" s="26"/>
      <c r="M12" s="212"/>
      <c r="N12" s="212"/>
      <c r="O12" s="26"/>
      <c r="P12" s="26"/>
      <c r="Q12" s="26"/>
      <c r="R12" s="237"/>
      <c r="S12" s="26"/>
      <c r="T12" s="26"/>
      <c r="U12" s="24"/>
      <c r="V12" s="240"/>
      <c r="W12" s="213"/>
    </row>
    <row r="13" spans="1:31" s="386" customFormat="1" ht="20.100000000000001" customHeight="1">
      <c r="A13" s="388">
        <v>40</v>
      </c>
      <c r="B13" s="387" t="s">
        <v>231</v>
      </c>
      <c r="C13" s="380" t="s">
        <v>714</v>
      </c>
      <c r="D13" s="381" t="s">
        <v>306</v>
      </c>
      <c r="E13" s="383">
        <f>8730.79</f>
        <v>8730.7900000000009</v>
      </c>
      <c r="F13" s="382"/>
      <c r="G13" s="383">
        <f t="shared" ref="G13:G15" si="14">E13*300%</f>
        <v>26192.370000000003</v>
      </c>
      <c r="H13" s="383">
        <f t="shared" ref="H13:H15" si="15">E13*7.5%</f>
        <v>654.80925000000002</v>
      </c>
      <c r="I13" s="383"/>
      <c r="J13" s="383">
        <f t="shared" ref="J13:J15" si="16">E13*50%</f>
        <v>4365.3950000000004</v>
      </c>
      <c r="K13" s="384">
        <f t="shared" ref="K13:K15" si="17">E13*350%</f>
        <v>30557.765000000003</v>
      </c>
      <c r="L13" s="383">
        <f t="shared" ref="L13:L15" si="18">E13*100%</f>
        <v>8730.7900000000009</v>
      </c>
      <c r="M13" s="382"/>
      <c r="N13" s="382">
        <v>30000</v>
      </c>
      <c r="O13" s="383">
        <f t="shared" ref="O13:O15" si="19">E13*10%</f>
        <v>873.07900000000018</v>
      </c>
      <c r="P13" s="383">
        <v>5000</v>
      </c>
      <c r="Q13" s="383">
        <f>7000</f>
        <v>7000</v>
      </c>
      <c r="R13" s="384">
        <f t="shared" ref="R13" si="20">SUM(E13:Q13)</f>
        <v>122104.99825</v>
      </c>
      <c r="S13" s="384"/>
      <c r="T13" s="384">
        <f>10000+5000+5000</f>
        <v>20000</v>
      </c>
      <c r="U13" s="384">
        <f>15625</f>
        <v>15625</v>
      </c>
      <c r="V13" s="384"/>
      <c r="W13" s="384">
        <f>[6]PROMOTIONS!$X$42</f>
        <v>8312.5899999999983</v>
      </c>
      <c r="X13" s="296">
        <f t="shared" ref="X13:X15" si="21">W13+V13+U13+T13+S13</f>
        <v>43937.59</v>
      </c>
      <c r="Y13" s="384">
        <v>106043.96784954835</v>
      </c>
      <c r="Z13" s="240">
        <f t="shared" ref="Z13:Z15" si="22">R13-X13</f>
        <v>78167.408250000008</v>
      </c>
      <c r="AA13" s="385"/>
    </row>
    <row r="14" spans="1:31" s="386" customFormat="1" ht="20.100000000000001" customHeight="1">
      <c r="A14" s="388">
        <v>41</v>
      </c>
      <c r="B14" s="387" t="s">
        <v>246</v>
      </c>
      <c r="C14" s="380" t="s">
        <v>714</v>
      </c>
      <c r="D14" s="381" t="s">
        <v>306</v>
      </c>
      <c r="E14" s="383">
        <f t="shared" ref="E14:E15" si="23">8730.79</f>
        <v>8730.7900000000009</v>
      </c>
      <c r="F14" s="382"/>
      <c r="G14" s="383">
        <f t="shared" si="14"/>
        <v>26192.370000000003</v>
      </c>
      <c r="H14" s="383">
        <f t="shared" si="15"/>
        <v>654.80925000000002</v>
      </c>
      <c r="I14" s="383"/>
      <c r="J14" s="383">
        <f t="shared" si="16"/>
        <v>4365.3950000000004</v>
      </c>
      <c r="K14" s="384">
        <f t="shared" si="17"/>
        <v>30557.765000000003</v>
      </c>
      <c r="L14" s="383">
        <f t="shared" si="18"/>
        <v>8730.7900000000009</v>
      </c>
      <c r="M14" s="382"/>
      <c r="N14" s="382">
        <v>30000</v>
      </c>
      <c r="O14" s="383">
        <f t="shared" si="19"/>
        <v>873.07900000000018</v>
      </c>
      <c r="P14" s="383">
        <v>5000</v>
      </c>
      <c r="Q14" s="383">
        <f>7000</f>
        <v>7000</v>
      </c>
      <c r="R14" s="384">
        <f>SUM(E14:Q14)</f>
        <v>122104.99825</v>
      </c>
      <c r="S14" s="384"/>
      <c r="T14" s="384">
        <v>20000</v>
      </c>
      <c r="U14" s="384">
        <v>18333.330000000002</v>
      </c>
      <c r="V14" s="384"/>
      <c r="W14" s="384">
        <f>[6]PROMOTIONS!$X$42</f>
        <v>8312.5899999999983</v>
      </c>
      <c r="X14" s="296">
        <f t="shared" si="21"/>
        <v>46645.919999999998</v>
      </c>
      <c r="Y14" s="384">
        <v>80609.452233032236</v>
      </c>
      <c r="Z14" s="240">
        <f t="shared" si="22"/>
        <v>75459.078250000006</v>
      </c>
      <c r="AA14" s="385"/>
    </row>
    <row r="15" spans="1:31" s="386" customFormat="1" ht="20.100000000000001" customHeight="1">
      <c r="A15" s="388">
        <v>42</v>
      </c>
      <c r="B15" s="379" t="s">
        <v>166</v>
      </c>
      <c r="C15" s="380" t="s">
        <v>714</v>
      </c>
      <c r="D15" s="381" t="s">
        <v>306</v>
      </c>
      <c r="E15" s="383">
        <f t="shared" si="23"/>
        <v>8730.7900000000009</v>
      </c>
      <c r="F15" s="382"/>
      <c r="G15" s="383">
        <f t="shared" si="14"/>
        <v>26192.370000000003</v>
      </c>
      <c r="H15" s="383">
        <f t="shared" si="15"/>
        <v>654.80925000000002</v>
      </c>
      <c r="I15" s="383"/>
      <c r="J15" s="383">
        <f t="shared" si="16"/>
        <v>4365.3950000000004</v>
      </c>
      <c r="K15" s="384">
        <f t="shared" si="17"/>
        <v>30557.765000000003</v>
      </c>
      <c r="L15" s="383">
        <f t="shared" si="18"/>
        <v>8730.7900000000009</v>
      </c>
      <c r="M15" s="382"/>
      <c r="N15" s="382">
        <v>30000</v>
      </c>
      <c r="O15" s="383">
        <f t="shared" si="19"/>
        <v>873.07900000000018</v>
      </c>
      <c r="P15" s="383">
        <v>5000</v>
      </c>
      <c r="Q15" s="383">
        <f>7000</f>
        <v>7000</v>
      </c>
      <c r="R15" s="384">
        <f t="shared" ref="R15" si="24">SUM(E15:Q15)</f>
        <v>122104.99825</v>
      </c>
      <c r="S15" s="384"/>
      <c r="T15" s="384">
        <f>3000+5000+5000</f>
        <v>13000</v>
      </c>
      <c r="U15" s="384">
        <f>44000</f>
        <v>44000</v>
      </c>
      <c r="V15" s="384"/>
      <c r="W15" s="384">
        <f>[6]PROMOTIONS!$X$42</f>
        <v>8312.5899999999983</v>
      </c>
      <c r="X15" s="296">
        <f t="shared" si="21"/>
        <v>65312.59</v>
      </c>
      <c r="Y15" s="384">
        <v>239903.58369333335</v>
      </c>
      <c r="Z15" s="240">
        <f t="shared" si="22"/>
        <v>56792.408250000008</v>
      </c>
      <c r="AA15" s="385"/>
    </row>
    <row r="16" spans="1:31" ht="19.5" customHeight="1">
      <c r="A16" s="357"/>
      <c r="B16" s="227" t="s">
        <v>8</v>
      </c>
      <c r="C16" s="228"/>
      <c r="D16" s="229"/>
      <c r="E16" s="230">
        <f t="shared" ref="E16:V16" si="25">E8+E14</f>
        <v>14158.91</v>
      </c>
      <c r="F16" s="230">
        <f t="shared" si="25"/>
        <v>0</v>
      </c>
      <c r="G16" s="230">
        <f t="shared" si="25"/>
        <v>42476.73</v>
      </c>
      <c r="H16" s="230">
        <f t="shared" si="25"/>
        <v>1061.9182499999999</v>
      </c>
      <c r="I16" s="230">
        <f t="shared" si="25"/>
        <v>0</v>
      </c>
      <c r="J16" s="230">
        <f t="shared" si="25"/>
        <v>7079.4549999999999</v>
      </c>
      <c r="K16" s="230">
        <f t="shared" si="25"/>
        <v>49556.184999999998</v>
      </c>
      <c r="L16" s="230">
        <f t="shared" si="25"/>
        <v>14158.91</v>
      </c>
      <c r="M16" s="230">
        <f t="shared" si="25"/>
        <v>0</v>
      </c>
      <c r="N16" s="230">
        <f t="shared" si="25"/>
        <v>50000</v>
      </c>
      <c r="O16" s="230">
        <f t="shared" si="25"/>
        <v>1415.8910000000001</v>
      </c>
      <c r="P16" s="230">
        <f t="shared" si="25"/>
        <v>10000</v>
      </c>
      <c r="Q16" s="230">
        <f t="shared" si="25"/>
        <v>14000</v>
      </c>
      <c r="R16" s="230">
        <f t="shared" si="25"/>
        <v>203907.99925000002</v>
      </c>
      <c r="S16" s="230" t="e">
        <f t="shared" si="25"/>
        <v>#VALUE!</v>
      </c>
      <c r="T16" s="230">
        <f t="shared" si="25"/>
        <v>142105</v>
      </c>
      <c r="U16" s="230">
        <f t="shared" si="25"/>
        <v>58635.328999999983</v>
      </c>
      <c r="V16" s="230">
        <f t="shared" si="25"/>
        <v>0</v>
      </c>
      <c r="W16" s="230"/>
      <c r="X16" s="230">
        <f>X8+X14</f>
        <v>51011.250754666667</v>
      </c>
      <c r="Y16" s="213"/>
    </row>
    <row r="17" spans="1:27" ht="20.100000000000001" customHeight="1">
      <c r="A17" s="202"/>
      <c r="B17" s="231"/>
      <c r="C17" s="202"/>
      <c r="D17" s="232"/>
      <c r="E17" s="232"/>
      <c r="F17" s="232"/>
      <c r="G17" s="232"/>
      <c r="H17" s="232"/>
      <c r="I17" s="233"/>
      <c r="J17" s="233"/>
      <c r="K17" s="233"/>
      <c r="L17" s="233"/>
      <c r="M17" s="233"/>
      <c r="N17" s="233"/>
      <c r="O17" s="233"/>
      <c r="P17" s="233"/>
      <c r="Q17" s="233"/>
      <c r="R17" s="233"/>
      <c r="S17" s="377"/>
      <c r="T17" s="234"/>
      <c r="U17" s="234"/>
      <c r="V17" s="234"/>
      <c r="W17" s="234"/>
      <c r="X17" s="234"/>
      <c r="Y17" s="235"/>
    </row>
    <row r="18" spans="1:27" ht="36.75" customHeight="1">
      <c r="A18" s="202"/>
      <c r="B18" s="231"/>
      <c r="C18" s="232"/>
      <c r="D18" s="232"/>
      <c r="E18" s="232"/>
      <c r="F18" s="232"/>
      <c r="G18" s="232"/>
      <c r="H18" s="232"/>
      <c r="I18" s="233"/>
      <c r="J18" s="233"/>
      <c r="K18" s="233"/>
      <c r="L18" s="233"/>
      <c r="M18" s="233"/>
      <c r="N18" s="233"/>
      <c r="O18" s="233"/>
      <c r="Q18" s="233"/>
      <c r="R18" s="233"/>
      <c r="S18" s="377"/>
      <c r="T18" s="234"/>
      <c r="U18" s="234"/>
      <c r="V18" s="234"/>
      <c r="W18" s="234"/>
      <c r="X18" s="234"/>
    </row>
    <row r="21" spans="1:27" s="368" customFormat="1" ht="20.100000000000001" customHeight="1">
      <c r="A21" s="196"/>
      <c r="B21" s="196"/>
      <c r="C21" s="196"/>
      <c r="D21" s="196"/>
      <c r="E21" s="196"/>
      <c r="F21" s="196"/>
      <c r="G21" s="196"/>
      <c r="H21" s="196"/>
      <c r="I21" s="196"/>
      <c r="J21" s="196"/>
      <c r="K21" s="196"/>
      <c r="L21" s="196"/>
      <c r="M21" s="196"/>
      <c r="N21" s="196"/>
      <c r="O21" s="196"/>
      <c r="P21" s="196"/>
      <c r="Q21" s="235"/>
      <c r="R21" s="235"/>
      <c r="T21" s="196"/>
      <c r="U21" s="196"/>
      <c r="V21" s="196"/>
      <c r="W21" s="196"/>
      <c r="X21" s="196"/>
      <c r="Y21" s="196"/>
      <c r="Z21" s="196"/>
      <c r="AA21" s="196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2" sqref="K22"/>
    </sheetView>
  </sheetViews>
  <sheetFormatPr defaultRowHeight="12.7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2"/>
  <sheetViews>
    <sheetView view="pageBreakPreview" zoomScale="50" zoomScaleNormal="100" zoomScaleSheetLayoutView="50" workbookViewId="0">
      <pane xSplit="3" ySplit="6" topLeftCell="D24" activePane="bottomRight" state="frozen"/>
      <selection pane="topRight" activeCell="E1" sqref="E1"/>
      <selection pane="bottomLeft" activeCell="A10" sqref="A10"/>
      <selection pane="bottomRight" activeCell="A42" sqref="A42:XFD44"/>
    </sheetView>
  </sheetViews>
  <sheetFormatPr defaultColWidth="9.140625" defaultRowHeight="20.100000000000001" customHeight="1"/>
  <cols>
    <col min="1" max="1" width="5.42578125" style="196" customWidth="1"/>
    <col min="2" max="2" width="39.42578125" style="196" customWidth="1"/>
    <col min="3" max="3" width="26.5703125" style="196" customWidth="1"/>
    <col min="4" max="4" width="14.85546875" style="196" customWidth="1"/>
    <col min="5" max="5" width="17.85546875" style="196" customWidth="1"/>
    <col min="6" max="6" width="19.42578125" style="196" customWidth="1"/>
    <col min="7" max="7" width="16" style="196" customWidth="1"/>
    <col min="8" max="8" width="18.140625" style="196" customWidth="1"/>
    <col min="9" max="9" width="18" style="196" customWidth="1"/>
    <col min="10" max="10" width="20" style="196" customWidth="1"/>
    <col min="11" max="11" width="18.140625" style="196" customWidth="1"/>
    <col min="12" max="12" width="18.28515625" style="196" customWidth="1"/>
    <col min="13" max="13" width="18.140625" style="196" customWidth="1"/>
    <col min="14" max="14" width="15.7109375" style="196" customWidth="1"/>
    <col min="15" max="15" width="18.28515625" style="196" customWidth="1"/>
    <col min="16" max="16" width="17.85546875" style="196" customWidth="1"/>
    <col min="17" max="20" width="19.28515625" style="196" customWidth="1"/>
    <col min="21" max="21" width="14.85546875" style="196" customWidth="1"/>
    <col min="22" max="22" width="13.5703125" style="196" customWidth="1"/>
    <col min="23" max="23" width="20.42578125" style="368" customWidth="1"/>
    <col min="24" max="24" width="16.42578125" style="196" customWidth="1"/>
    <col min="25" max="26" width="17.7109375" style="196" customWidth="1"/>
    <col min="27" max="27" width="11.140625" style="196" customWidth="1"/>
    <col min="28" max="28" width="17.85546875" style="196" customWidth="1"/>
    <col min="29" max="29" width="21.7109375" style="196" customWidth="1"/>
    <col min="30" max="16384" width="9.140625" style="196"/>
  </cols>
  <sheetData>
    <row r="1" spans="1:29" ht="27" customHeight="1">
      <c r="A1" s="705" t="s">
        <v>234</v>
      </c>
      <c r="B1" s="705"/>
      <c r="C1" s="705"/>
      <c r="D1" s="705"/>
      <c r="E1" s="705"/>
      <c r="F1" s="705"/>
      <c r="G1" s="195">
        <f>'[1]FEB 08'!F8/'[1]FEB 08'!Q8</f>
        <v>0.3</v>
      </c>
      <c r="H1" s="195"/>
      <c r="I1" s="195"/>
      <c r="J1" s="195"/>
      <c r="K1" s="195"/>
      <c r="L1" s="195"/>
      <c r="M1" s="195"/>
      <c r="N1" s="195"/>
      <c r="O1" s="195"/>
      <c r="P1" s="195"/>
    </row>
    <row r="2" spans="1:29" ht="33.75" customHeight="1">
      <c r="A2" s="197" t="s">
        <v>663</v>
      </c>
      <c r="B2" s="198"/>
      <c r="C2" s="197"/>
      <c r="D2" s="197"/>
      <c r="E2" s="199"/>
      <c r="F2" s="199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1"/>
      <c r="R2" s="201"/>
      <c r="S2" s="201"/>
      <c r="T2" s="201"/>
      <c r="U2" s="201"/>
      <c r="V2" s="201"/>
      <c r="W2" s="369"/>
      <c r="X2" s="201"/>
      <c r="Y2" s="201"/>
      <c r="Z2" s="201"/>
      <c r="AA2" s="201"/>
      <c r="AB2" s="201"/>
    </row>
    <row r="3" spans="1:29" ht="9.75" customHeight="1">
      <c r="A3" s="202"/>
      <c r="B3" s="202"/>
      <c r="C3" s="202"/>
      <c r="D3" s="202"/>
      <c r="E3" s="195" t="e">
        <f>'[1]FEB 08'!E11/'[1]FEB 08'!M11</f>
        <v>#REF!</v>
      </c>
      <c r="F3" s="195"/>
      <c r="G3" s="195" t="e">
        <f>'[1]FEB 08'!F11/'[1]FEB 08'!Q11</f>
        <v>#REF!</v>
      </c>
      <c r="H3" s="195"/>
      <c r="I3" s="195"/>
      <c r="J3" s="195"/>
      <c r="K3" s="195"/>
      <c r="L3" s="195"/>
      <c r="M3" s="195"/>
      <c r="N3" s="195"/>
      <c r="O3" s="195"/>
      <c r="P3" s="195"/>
    </row>
    <row r="4" spans="1:29" ht="60" customHeight="1">
      <c r="A4" s="357"/>
      <c r="B4" s="204" t="s">
        <v>0</v>
      </c>
      <c r="C4" s="204" t="s">
        <v>12</v>
      </c>
      <c r="D4" s="205" t="s">
        <v>661</v>
      </c>
      <c r="E4" s="208" t="s">
        <v>308</v>
      </c>
      <c r="F4" s="360" t="s">
        <v>2</v>
      </c>
      <c r="G4" s="360" t="s">
        <v>3</v>
      </c>
      <c r="H4" s="208" t="s">
        <v>32</v>
      </c>
      <c r="I4" s="360" t="s">
        <v>42</v>
      </c>
      <c r="J4" s="360" t="s">
        <v>43</v>
      </c>
      <c r="K4" s="360" t="s">
        <v>46</v>
      </c>
      <c r="L4" s="208" t="s">
        <v>93</v>
      </c>
      <c r="M4" s="208" t="s">
        <v>93</v>
      </c>
      <c r="N4" s="360" t="s">
        <v>33</v>
      </c>
      <c r="O4" s="360" t="s">
        <v>33</v>
      </c>
      <c r="P4" s="208" t="s">
        <v>49</v>
      </c>
      <c r="Q4" s="389" t="s">
        <v>660</v>
      </c>
      <c r="R4" s="205" t="s">
        <v>664</v>
      </c>
      <c r="S4" s="389" t="s">
        <v>662</v>
      </c>
      <c r="T4" s="208" t="s">
        <v>668</v>
      </c>
      <c r="U4" s="208" t="s">
        <v>666</v>
      </c>
      <c r="V4" s="208" t="s">
        <v>667</v>
      </c>
      <c r="W4" s="208" t="s">
        <v>665</v>
      </c>
      <c r="X4" s="208" t="s">
        <v>371</v>
      </c>
      <c r="Y4" s="393" t="s">
        <v>669</v>
      </c>
      <c r="Z4" s="394" t="s">
        <v>670</v>
      </c>
      <c r="AA4" s="208" t="s">
        <v>511</v>
      </c>
      <c r="AB4" s="254" t="s">
        <v>671</v>
      </c>
    </row>
    <row r="5" spans="1:29" ht="17.25" customHeight="1">
      <c r="C5" s="210"/>
      <c r="D5" s="210"/>
      <c r="E5" s="211" t="s">
        <v>5</v>
      </c>
      <c r="F5" s="211" t="s">
        <v>5</v>
      </c>
      <c r="G5" s="211" t="s">
        <v>5</v>
      </c>
      <c r="H5" s="211" t="s">
        <v>5</v>
      </c>
      <c r="I5" s="211" t="s">
        <v>5</v>
      </c>
      <c r="J5" s="211" t="s">
        <v>5</v>
      </c>
      <c r="K5" s="211" t="s">
        <v>5</v>
      </c>
      <c r="L5" s="211" t="s">
        <v>5</v>
      </c>
      <c r="M5" s="211" t="s">
        <v>5</v>
      </c>
      <c r="N5" s="211" t="s">
        <v>5</v>
      </c>
      <c r="O5" s="211" t="s">
        <v>5</v>
      </c>
      <c r="P5" s="211" t="s">
        <v>5</v>
      </c>
      <c r="Q5" s="243" t="s">
        <v>5</v>
      </c>
      <c r="R5" s="210"/>
      <c r="S5" s="243" t="s">
        <v>5</v>
      </c>
      <c r="T5" s="211"/>
      <c r="U5" s="211" t="s">
        <v>5</v>
      </c>
      <c r="V5" s="211"/>
      <c r="W5" s="370" t="s">
        <v>5</v>
      </c>
      <c r="X5" s="211"/>
      <c r="Y5" s="211"/>
      <c r="Z5" s="249"/>
      <c r="AA5" s="211"/>
      <c r="AB5" s="249"/>
    </row>
    <row r="6" spans="1:29" ht="20.100000000000001" customHeight="1">
      <c r="A6" s="209" t="s">
        <v>143</v>
      </c>
      <c r="B6" s="210" t="s">
        <v>433</v>
      </c>
      <c r="C6" s="210"/>
      <c r="D6" s="210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43"/>
      <c r="R6" s="210"/>
      <c r="S6" s="243"/>
      <c r="T6" s="211"/>
      <c r="U6" s="211"/>
      <c r="V6" s="211"/>
      <c r="W6" s="370"/>
      <c r="X6" s="211"/>
      <c r="Y6" s="211"/>
      <c r="Z6" s="249"/>
      <c r="AA6" s="211"/>
      <c r="AB6" s="249"/>
    </row>
    <row r="7" spans="1:29" ht="18.75" customHeight="1">
      <c r="A7" s="359">
        <v>1</v>
      </c>
      <c r="B7" s="364" t="s">
        <v>288</v>
      </c>
      <c r="C7" s="367" t="s">
        <v>249</v>
      </c>
      <c r="D7" s="214" t="s">
        <v>267</v>
      </c>
      <c r="E7" s="212">
        <v>13492.21</v>
      </c>
      <c r="F7" s="26">
        <f>E7*300%</f>
        <v>40476.629999999997</v>
      </c>
      <c r="G7" s="26">
        <f>E7*7.5%</f>
        <v>1011.9157499999999</v>
      </c>
      <c r="H7" s="26"/>
      <c r="I7" s="26">
        <f>E7*50%</f>
        <v>6746.1049999999996</v>
      </c>
      <c r="J7" s="24">
        <f>E7*350%</f>
        <v>47222.735000000001</v>
      </c>
      <c r="K7" s="26">
        <f>E7*100%</f>
        <v>13492.21</v>
      </c>
      <c r="L7" s="212"/>
      <c r="M7" s="212">
        <f>50000</f>
        <v>50000</v>
      </c>
      <c r="N7" s="26">
        <f>E7*10%</f>
        <v>1349.221</v>
      </c>
      <c r="O7" s="26">
        <v>10000</v>
      </c>
      <c r="P7" s="357"/>
      <c r="Q7" s="238">
        <f>SUM(E7:P7)</f>
        <v>183791.02674999999</v>
      </c>
      <c r="R7" s="214" t="s">
        <v>428</v>
      </c>
      <c r="S7" s="238">
        <f>'SALARY STRUCTURE'!H13+60000</f>
        <v>205203.66666666666</v>
      </c>
      <c r="T7" s="24">
        <f t="shared" ref="T7:T45" si="0">S7-Q7</f>
        <v>21412.639916666667</v>
      </c>
      <c r="U7" s="26"/>
      <c r="V7" s="24"/>
      <c r="W7" s="371">
        <v>18102.902732666666</v>
      </c>
      <c r="X7" s="26">
        <f>'[5]October 2023'!$Z$29</f>
        <v>21640.882666666668</v>
      </c>
      <c r="Y7" s="26">
        <f>X7-W7</f>
        <v>3537.9799340000027</v>
      </c>
      <c r="Z7" s="241">
        <f>T7-Y7</f>
        <v>17874.659982666664</v>
      </c>
      <c r="AA7" s="26">
        <f>(19/31)+4</f>
        <v>4.612903225806452</v>
      </c>
      <c r="AB7" s="241">
        <f>Z7*AA7</f>
        <v>82454.076694236559</v>
      </c>
      <c r="AC7" s="213"/>
    </row>
    <row r="8" spans="1:29" ht="26.25" customHeight="1">
      <c r="A8" s="359"/>
      <c r="B8" s="366" t="s">
        <v>15</v>
      </c>
      <c r="C8" s="360">
        <v>1</v>
      </c>
      <c r="D8" s="214"/>
      <c r="E8" s="216">
        <f t="shared" ref="E8:Q8" si="1">SUM(E7:E7)</f>
        <v>13492.21</v>
      </c>
      <c r="F8" s="216">
        <f t="shared" si="1"/>
        <v>40476.629999999997</v>
      </c>
      <c r="G8" s="216">
        <f t="shared" si="1"/>
        <v>1011.9157499999999</v>
      </c>
      <c r="H8" s="216">
        <f t="shared" si="1"/>
        <v>0</v>
      </c>
      <c r="I8" s="216">
        <f t="shared" si="1"/>
        <v>6746.1049999999996</v>
      </c>
      <c r="J8" s="216">
        <f t="shared" si="1"/>
        <v>47222.735000000001</v>
      </c>
      <c r="K8" s="216">
        <f t="shared" si="1"/>
        <v>13492.21</v>
      </c>
      <c r="L8" s="216">
        <f t="shared" si="1"/>
        <v>0</v>
      </c>
      <c r="M8" s="216">
        <f t="shared" si="1"/>
        <v>50000</v>
      </c>
      <c r="N8" s="216">
        <f t="shared" si="1"/>
        <v>1349.221</v>
      </c>
      <c r="O8" s="216">
        <f t="shared" si="1"/>
        <v>10000</v>
      </c>
      <c r="P8" s="216">
        <f t="shared" si="1"/>
        <v>0</v>
      </c>
      <c r="Q8" s="216">
        <f t="shared" si="1"/>
        <v>183791.02674999999</v>
      </c>
      <c r="R8" s="214"/>
      <c r="S8" s="216">
        <f t="shared" ref="S8:Z8" si="2">SUM(S7:S7)</f>
        <v>205203.66666666666</v>
      </c>
      <c r="T8" s="216">
        <f t="shared" si="2"/>
        <v>21412.639916666667</v>
      </c>
      <c r="U8" s="216">
        <f t="shared" si="2"/>
        <v>0</v>
      </c>
      <c r="V8" s="216">
        <f t="shared" si="2"/>
        <v>0</v>
      </c>
      <c r="W8" s="216">
        <f t="shared" si="2"/>
        <v>18102.902732666666</v>
      </c>
      <c r="X8" s="216">
        <f t="shared" si="2"/>
        <v>21640.882666666668</v>
      </c>
      <c r="Y8" s="216">
        <f t="shared" si="2"/>
        <v>3537.9799340000027</v>
      </c>
      <c r="Z8" s="250">
        <f t="shared" si="2"/>
        <v>17874.659982666664</v>
      </c>
      <c r="AA8" s="216"/>
      <c r="AB8" s="250">
        <f>SUM(AB7:AB7)</f>
        <v>82454.076694236559</v>
      </c>
      <c r="AC8" s="213"/>
    </row>
    <row r="9" spans="1:29" ht="20.100000000000001" customHeight="1">
      <c r="A9" s="359"/>
      <c r="B9" s="365"/>
      <c r="C9" s="357"/>
      <c r="D9" s="359"/>
      <c r="E9" s="216"/>
      <c r="F9" s="216"/>
      <c r="G9" s="216"/>
      <c r="H9" s="216"/>
      <c r="I9" s="216"/>
      <c r="J9" s="216"/>
      <c r="K9" s="216"/>
      <c r="L9" s="212"/>
      <c r="M9" s="212"/>
      <c r="N9" s="216"/>
      <c r="O9" s="216"/>
      <c r="P9" s="216"/>
      <c r="Q9" s="244"/>
      <c r="R9" s="359"/>
      <c r="S9" s="244"/>
      <c r="T9" s="24"/>
      <c r="U9" s="216"/>
      <c r="V9" s="216"/>
      <c r="W9" s="372"/>
      <c r="X9" s="216"/>
      <c r="Y9" s="26"/>
      <c r="Z9" s="241"/>
      <c r="AA9" s="216"/>
      <c r="AB9" s="241"/>
      <c r="AC9" s="213"/>
    </row>
    <row r="10" spans="1:29" ht="20.100000000000001" customHeight="1">
      <c r="A10" s="359"/>
      <c r="B10" s="218" t="s">
        <v>56</v>
      </c>
      <c r="C10" s="203"/>
      <c r="D10" s="207"/>
      <c r="E10" s="216"/>
      <c r="F10" s="216"/>
      <c r="G10" s="24"/>
      <c r="H10" s="24"/>
      <c r="I10" s="24"/>
      <c r="J10" s="24"/>
      <c r="K10" s="24"/>
      <c r="L10" s="212"/>
      <c r="M10" s="212"/>
      <c r="N10" s="24"/>
      <c r="O10" s="24"/>
      <c r="P10" s="24"/>
      <c r="Q10" s="237"/>
      <c r="R10" s="207"/>
      <c r="S10" s="237"/>
      <c r="T10" s="24"/>
      <c r="U10" s="24"/>
      <c r="V10" s="24"/>
      <c r="W10" s="373"/>
      <c r="X10" s="24"/>
      <c r="Y10" s="26"/>
      <c r="Z10" s="241"/>
      <c r="AA10" s="24"/>
      <c r="AB10" s="241"/>
      <c r="AC10" s="213"/>
    </row>
    <row r="11" spans="1:29" ht="20.100000000000001" customHeight="1">
      <c r="A11" s="359">
        <v>2</v>
      </c>
      <c r="B11" s="363" t="s">
        <v>184</v>
      </c>
      <c r="C11" s="357" t="s">
        <v>80</v>
      </c>
      <c r="D11" s="359" t="s">
        <v>170</v>
      </c>
      <c r="E11" s="26">
        <v>25523.45</v>
      </c>
      <c r="F11" s="26">
        <f>E11*300%</f>
        <v>76570.350000000006</v>
      </c>
      <c r="G11" s="26">
        <f>E11*7.5%</f>
        <v>1914.25875</v>
      </c>
      <c r="H11" s="26"/>
      <c r="I11" s="26">
        <f>E11*50%</f>
        <v>12761.725</v>
      </c>
      <c r="J11" s="26">
        <f>E11*350%</f>
        <v>89332.074999999997</v>
      </c>
      <c r="K11" s="26">
        <f>E11*100%</f>
        <v>25523.45</v>
      </c>
      <c r="L11" s="212">
        <f t="shared" ref="L11" si="3">120000</f>
        <v>120000</v>
      </c>
      <c r="M11" s="212"/>
      <c r="N11" s="26">
        <f>E11*10%</f>
        <v>2552.3450000000003</v>
      </c>
      <c r="O11" s="26">
        <v>15000</v>
      </c>
      <c r="P11" s="26"/>
      <c r="Q11" s="237">
        <f>SUM(E11:P11)</f>
        <v>369177.65375</v>
      </c>
      <c r="R11" s="359" t="s">
        <v>222</v>
      </c>
      <c r="S11" s="237">
        <f>'SALARY STRUCTURE'!I17+140000</f>
        <v>397211.25</v>
      </c>
      <c r="T11" s="24">
        <f t="shared" si="0"/>
        <v>28033.596250000002</v>
      </c>
      <c r="U11" s="24">
        <v>638.08625000000006</v>
      </c>
      <c r="V11" s="24">
        <f>690.28</f>
        <v>690.28</v>
      </c>
      <c r="W11" s="371">
        <v>49548.776186666662</v>
      </c>
      <c r="X11" s="26">
        <f>'[5]October 2023'!$Z$50</f>
        <v>54812.468586666662</v>
      </c>
      <c r="Y11" s="26">
        <f t="shared" ref="Y11:Y45" si="4">X11-W11</f>
        <v>5263.6923999999999</v>
      </c>
      <c r="Z11" s="241">
        <f t="shared" ref="Z11:Z45" si="5">T11-Y11</f>
        <v>22769.903850000002</v>
      </c>
      <c r="AA11" s="26">
        <f>(18/31)+1</f>
        <v>1.5806451612903225</v>
      </c>
      <c r="AB11" s="241">
        <f t="shared" ref="AB11:AB45" si="6">Z11*AA11</f>
        <v>35991.138343548388</v>
      </c>
      <c r="AC11" s="213"/>
    </row>
    <row r="12" spans="1:29" ht="25.5" customHeight="1">
      <c r="A12" s="359"/>
      <c r="B12" s="366" t="s">
        <v>15</v>
      </c>
      <c r="C12" s="360">
        <v>1</v>
      </c>
      <c r="D12" s="360"/>
      <c r="E12" s="78">
        <f t="shared" ref="E12:Q12" si="7">SUM(E11:E11)</f>
        <v>25523.45</v>
      </c>
      <c r="F12" s="78">
        <f t="shared" si="7"/>
        <v>76570.350000000006</v>
      </c>
      <c r="G12" s="78">
        <f t="shared" si="7"/>
        <v>1914.25875</v>
      </c>
      <c r="H12" s="78">
        <f t="shared" si="7"/>
        <v>0</v>
      </c>
      <c r="I12" s="78">
        <f t="shared" si="7"/>
        <v>12761.725</v>
      </c>
      <c r="J12" s="78">
        <f t="shared" si="7"/>
        <v>89332.074999999997</v>
      </c>
      <c r="K12" s="78">
        <f t="shared" si="7"/>
        <v>25523.45</v>
      </c>
      <c r="L12" s="78">
        <f t="shared" si="7"/>
        <v>120000</v>
      </c>
      <c r="M12" s="78">
        <f t="shared" si="7"/>
        <v>0</v>
      </c>
      <c r="N12" s="78">
        <f t="shared" si="7"/>
        <v>2552.3450000000003</v>
      </c>
      <c r="O12" s="78">
        <f t="shared" si="7"/>
        <v>15000</v>
      </c>
      <c r="P12" s="78">
        <f t="shared" si="7"/>
        <v>0</v>
      </c>
      <c r="Q12" s="78">
        <f t="shared" si="7"/>
        <v>369177.65375</v>
      </c>
      <c r="R12" s="360"/>
      <c r="S12" s="78">
        <f t="shared" ref="S12:Z12" si="8">SUM(S11:S11)</f>
        <v>397211.25</v>
      </c>
      <c r="T12" s="78">
        <f t="shared" si="8"/>
        <v>28033.596250000002</v>
      </c>
      <c r="U12" s="78">
        <f t="shared" si="8"/>
        <v>638.08625000000006</v>
      </c>
      <c r="V12" s="78">
        <f t="shared" si="8"/>
        <v>690.28</v>
      </c>
      <c r="W12" s="78">
        <f t="shared" si="8"/>
        <v>49548.776186666662</v>
      </c>
      <c r="X12" s="78">
        <f t="shared" si="8"/>
        <v>54812.468586666662</v>
      </c>
      <c r="Y12" s="78">
        <f t="shared" si="8"/>
        <v>5263.6923999999999</v>
      </c>
      <c r="Z12" s="390">
        <f t="shared" si="8"/>
        <v>22769.903850000002</v>
      </c>
      <c r="AA12" s="78"/>
      <c r="AB12" s="390">
        <f>SUM(AB11:AB11)</f>
        <v>35991.138343548388</v>
      </c>
      <c r="AC12" s="213"/>
    </row>
    <row r="13" spans="1:29" ht="20.100000000000001" customHeight="1">
      <c r="A13" s="359"/>
      <c r="B13" s="366"/>
      <c r="C13" s="360"/>
      <c r="D13" s="360"/>
      <c r="E13" s="31"/>
      <c r="F13" s="31"/>
      <c r="G13" s="31"/>
      <c r="H13" s="31"/>
      <c r="I13" s="31"/>
      <c r="J13" s="31"/>
      <c r="K13" s="31"/>
      <c r="L13" s="212"/>
      <c r="M13" s="212"/>
      <c r="N13" s="31"/>
      <c r="O13" s="31"/>
      <c r="P13" s="31"/>
      <c r="Q13" s="245"/>
      <c r="R13" s="360"/>
      <c r="S13" s="245"/>
      <c r="T13" s="24">
        <f t="shared" si="0"/>
        <v>0</v>
      </c>
      <c r="U13" s="31"/>
      <c r="V13" s="31"/>
      <c r="W13" s="375"/>
      <c r="X13" s="31"/>
      <c r="Y13" s="26"/>
      <c r="Z13" s="241"/>
      <c r="AA13" s="31"/>
      <c r="AB13" s="241"/>
      <c r="AC13" s="213"/>
    </row>
    <row r="14" spans="1:29" ht="20.100000000000001" customHeight="1">
      <c r="A14" s="359"/>
      <c r="B14" s="366" t="s">
        <v>461</v>
      </c>
      <c r="C14" s="360"/>
      <c r="D14" s="360"/>
      <c r="E14" s="31"/>
      <c r="F14" s="31"/>
      <c r="G14" s="31"/>
      <c r="H14" s="31"/>
      <c r="I14" s="31"/>
      <c r="J14" s="31"/>
      <c r="K14" s="31"/>
      <c r="L14" s="212"/>
      <c r="M14" s="212"/>
      <c r="N14" s="31"/>
      <c r="O14" s="31"/>
      <c r="P14" s="31"/>
      <c r="Q14" s="245"/>
      <c r="R14" s="360"/>
      <c r="S14" s="245"/>
      <c r="T14" s="24">
        <f t="shared" si="0"/>
        <v>0</v>
      </c>
      <c r="U14" s="31"/>
      <c r="V14" s="31"/>
      <c r="W14" s="375"/>
      <c r="X14" s="31"/>
      <c r="Y14" s="26"/>
      <c r="Z14" s="241"/>
      <c r="AA14" s="31"/>
      <c r="AB14" s="241"/>
      <c r="AC14" s="213"/>
    </row>
    <row r="15" spans="1:29" ht="20.100000000000001" customHeight="1">
      <c r="A15" s="359">
        <v>3</v>
      </c>
      <c r="B15" s="365" t="s">
        <v>138</v>
      </c>
      <c r="C15" s="357" t="s">
        <v>297</v>
      </c>
      <c r="D15" s="359" t="s">
        <v>174</v>
      </c>
      <c r="E15" s="26">
        <f>28489.81</f>
        <v>28489.81</v>
      </c>
      <c r="F15" s="26">
        <f>E15*300%</f>
        <v>85469.430000000008</v>
      </c>
      <c r="G15" s="26">
        <f>E15*7.5%</f>
        <v>2136.7357499999998</v>
      </c>
      <c r="H15" s="26"/>
      <c r="I15" s="26">
        <f>E15*50%</f>
        <v>14244.905000000001</v>
      </c>
      <c r="J15" s="24">
        <f>E15*350%</f>
        <v>99714.335000000006</v>
      </c>
      <c r="K15" s="26">
        <f>E15*100%</f>
        <v>28489.81</v>
      </c>
      <c r="L15" s="212">
        <v>140000</v>
      </c>
      <c r="M15" s="212"/>
      <c r="N15" s="26">
        <f>E15*10%</f>
        <v>2848.9810000000002</v>
      </c>
      <c r="O15" s="26">
        <v>20000</v>
      </c>
      <c r="P15" s="26">
        <v>0</v>
      </c>
      <c r="Q15" s="237">
        <f>SUM(E15:P15)</f>
        <v>421394.00675000006</v>
      </c>
      <c r="R15" s="359" t="s">
        <v>30</v>
      </c>
      <c r="S15" s="237">
        <f>'SALARY STRUCTURE'!H18+160000</f>
        <v>504720.16666666669</v>
      </c>
      <c r="T15" s="24">
        <f t="shared" si="0"/>
        <v>83326.159916666627</v>
      </c>
      <c r="U15" s="24">
        <v>712.24525000000006</v>
      </c>
      <c r="V15" s="24">
        <f>837.69</f>
        <v>837.69</v>
      </c>
      <c r="W15" s="373">
        <v>59441.782042666666</v>
      </c>
      <c r="X15" s="24">
        <f>'[5]October 2023'!$Z$85</f>
        <v>75440.404746666667</v>
      </c>
      <c r="Y15" s="26">
        <f t="shared" si="4"/>
        <v>15998.622704000001</v>
      </c>
      <c r="Z15" s="241">
        <f t="shared" si="5"/>
        <v>67327.537212666619</v>
      </c>
      <c r="AA15" s="24">
        <f>9</f>
        <v>9</v>
      </c>
      <c r="AB15" s="241">
        <f t="shared" si="6"/>
        <v>605947.83491399954</v>
      </c>
      <c r="AC15" s="213"/>
    </row>
    <row r="16" spans="1:29" ht="20.100000000000001" customHeight="1">
      <c r="A16" s="359">
        <v>4</v>
      </c>
      <c r="B16" s="363" t="s">
        <v>189</v>
      </c>
      <c r="C16" s="357" t="s">
        <v>257</v>
      </c>
      <c r="D16" s="359" t="s">
        <v>170</v>
      </c>
      <c r="E16" s="26">
        <v>25523.45</v>
      </c>
      <c r="F16" s="26">
        <f>E16*300%</f>
        <v>76570.350000000006</v>
      </c>
      <c r="G16" s="26">
        <f>E16*7.5%</f>
        <v>1914.25875</v>
      </c>
      <c r="H16" s="26"/>
      <c r="I16" s="26">
        <f>E16*50%</f>
        <v>12761.725</v>
      </c>
      <c r="J16" s="26">
        <f>E16*350%</f>
        <v>89332.074999999997</v>
      </c>
      <c r="K16" s="26">
        <f>E16*100%</f>
        <v>25523.45</v>
      </c>
      <c r="L16" s="212">
        <f t="shared" ref="L16" si="9">120000</f>
        <v>120000</v>
      </c>
      <c r="M16" s="212"/>
      <c r="N16" s="26">
        <f>E16*10%</f>
        <v>2552.3450000000003</v>
      </c>
      <c r="O16" s="26">
        <v>15000</v>
      </c>
      <c r="P16" s="26"/>
      <c r="Q16" s="238">
        <f>SUM(E16:P16)</f>
        <v>369177.65375</v>
      </c>
      <c r="R16" s="359" t="s">
        <v>222</v>
      </c>
      <c r="S16" s="238">
        <f>'SALARY STRUCTURE'!I17+140000</f>
        <v>397211.25</v>
      </c>
      <c r="T16" s="24">
        <f t="shared" si="0"/>
        <v>28033.596250000002</v>
      </c>
      <c r="U16" s="26"/>
      <c r="V16" s="26"/>
      <c r="W16" s="371">
        <v>49548.776186666662</v>
      </c>
      <c r="X16" s="26">
        <f>'[5]October 2023'!$Z$62</f>
        <v>54931.226666666662</v>
      </c>
      <c r="Y16" s="26">
        <f t="shared" si="4"/>
        <v>5382.4504799999995</v>
      </c>
      <c r="Z16" s="241">
        <f t="shared" si="5"/>
        <v>22651.145770000003</v>
      </c>
      <c r="AA16" s="26">
        <f>(7/31)+2</f>
        <v>2.225806451612903</v>
      </c>
      <c r="AB16" s="241">
        <f t="shared" si="6"/>
        <v>50417.066391290326</v>
      </c>
      <c r="AC16" s="213"/>
    </row>
    <row r="17" spans="1:29" ht="20.100000000000001" customHeight="1">
      <c r="A17" s="359"/>
      <c r="B17" s="366" t="s">
        <v>15</v>
      </c>
      <c r="C17" s="360">
        <v>2</v>
      </c>
      <c r="D17" s="360"/>
      <c r="E17" s="78">
        <f t="shared" ref="E17:Q17" si="10">SUM(E15:E16)</f>
        <v>54013.26</v>
      </c>
      <c r="F17" s="78">
        <f t="shared" si="10"/>
        <v>162039.78000000003</v>
      </c>
      <c r="G17" s="78">
        <f t="shared" si="10"/>
        <v>4050.9944999999998</v>
      </c>
      <c r="H17" s="78">
        <f t="shared" si="10"/>
        <v>0</v>
      </c>
      <c r="I17" s="78">
        <f t="shared" si="10"/>
        <v>27006.63</v>
      </c>
      <c r="J17" s="78">
        <f t="shared" si="10"/>
        <v>189046.41</v>
      </c>
      <c r="K17" s="78">
        <f t="shared" si="10"/>
        <v>54013.26</v>
      </c>
      <c r="L17" s="78">
        <f t="shared" si="10"/>
        <v>260000</v>
      </c>
      <c r="M17" s="78">
        <f t="shared" si="10"/>
        <v>0</v>
      </c>
      <c r="N17" s="78">
        <f t="shared" si="10"/>
        <v>5401.3260000000009</v>
      </c>
      <c r="O17" s="78">
        <f t="shared" si="10"/>
        <v>35000</v>
      </c>
      <c r="P17" s="78">
        <f t="shared" si="10"/>
        <v>0</v>
      </c>
      <c r="Q17" s="78">
        <f t="shared" si="10"/>
        <v>790571.6605</v>
      </c>
      <c r="R17" s="360"/>
      <c r="S17" s="78">
        <f>SUM(S15:S16)</f>
        <v>901931.41666666674</v>
      </c>
      <c r="T17" s="78">
        <f t="shared" ref="T17:AB17" si="11">SUM(T15:T16)</f>
        <v>111359.75616666663</v>
      </c>
      <c r="U17" s="78">
        <f t="shared" si="11"/>
        <v>712.24525000000006</v>
      </c>
      <c r="V17" s="78">
        <f t="shared" si="11"/>
        <v>837.69</v>
      </c>
      <c r="W17" s="78">
        <f t="shared" si="11"/>
        <v>108990.55822933333</v>
      </c>
      <c r="X17" s="78">
        <f t="shared" si="11"/>
        <v>130371.63141333332</v>
      </c>
      <c r="Y17" s="78">
        <f t="shared" si="11"/>
        <v>21381.073184000001</v>
      </c>
      <c r="Z17" s="390">
        <f t="shared" si="11"/>
        <v>89978.682982666622</v>
      </c>
      <c r="AA17" s="78"/>
      <c r="AB17" s="390">
        <f t="shared" si="11"/>
        <v>656364.90130528982</v>
      </c>
      <c r="AC17" s="213"/>
    </row>
    <row r="18" spans="1:29" ht="20.100000000000001" customHeight="1">
      <c r="A18" s="359"/>
      <c r="B18" s="362"/>
      <c r="C18" s="360"/>
      <c r="D18" s="360"/>
      <c r="E18" s="31"/>
      <c r="F18" s="31"/>
      <c r="G18" s="31"/>
      <c r="H18" s="31"/>
      <c r="I18" s="31"/>
      <c r="J18" s="31"/>
      <c r="K18" s="31"/>
      <c r="L18" s="212"/>
      <c r="M18" s="212"/>
      <c r="N18" s="31"/>
      <c r="O18" s="31"/>
      <c r="P18" s="31"/>
      <c r="Q18" s="245"/>
      <c r="R18" s="360"/>
      <c r="S18" s="245"/>
      <c r="T18" s="24"/>
      <c r="U18" s="31"/>
      <c r="V18" s="31"/>
      <c r="W18" s="375"/>
      <c r="X18" s="31"/>
      <c r="Y18" s="26">
        <f t="shared" si="4"/>
        <v>0</v>
      </c>
      <c r="Z18" s="241">
        <f t="shared" si="5"/>
        <v>0</v>
      </c>
      <c r="AA18" s="31"/>
      <c r="AB18" s="241">
        <f t="shared" si="6"/>
        <v>0</v>
      </c>
      <c r="AC18" s="213"/>
    </row>
    <row r="19" spans="1:29" ht="20.100000000000001" customHeight="1">
      <c r="A19" s="359"/>
      <c r="B19" s="366" t="s">
        <v>462</v>
      </c>
      <c r="C19" s="360"/>
      <c r="D19" s="360"/>
      <c r="E19" s="31"/>
      <c r="F19" s="31"/>
      <c r="G19" s="31"/>
      <c r="H19" s="31"/>
      <c r="I19" s="31"/>
      <c r="J19" s="31"/>
      <c r="K19" s="31"/>
      <c r="L19" s="212"/>
      <c r="M19" s="212"/>
      <c r="N19" s="31"/>
      <c r="O19" s="31"/>
      <c r="P19" s="31"/>
      <c r="Q19" s="245"/>
      <c r="R19" s="360"/>
      <c r="S19" s="245"/>
      <c r="T19" s="24"/>
      <c r="U19" s="31"/>
      <c r="V19" s="31"/>
      <c r="W19" s="375"/>
      <c r="X19" s="31"/>
      <c r="Y19" s="26">
        <f t="shared" si="4"/>
        <v>0</v>
      </c>
      <c r="Z19" s="241">
        <f t="shared" si="5"/>
        <v>0</v>
      </c>
      <c r="AA19" s="31"/>
      <c r="AB19" s="241">
        <f t="shared" si="6"/>
        <v>0</v>
      </c>
      <c r="AC19" s="213"/>
    </row>
    <row r="20" spans="1:29" ht="20.100000000000001" customHeight="1">
      <c r="A20" s="359">
        <v>5</v>
      </c>
      <c r="B20" s="363" t="s">
        <v>26</v>
      </c>
      <c r="C20" s="357" t="s">
        <v>296</v>
      </c>
      <c r="D20" s="214" t="s">
        <v>170</v>
      </c>
      <c r="E20" s="26">
        <v>25523.45</v>
      </c>
      <c r="F20" s="26">
        <f>E20*300%</f>
        <v>76570.350000000006</v>
      </c>
      <c r="G20" s="26">
        <f>E20*7.5%</f>
        <v>1914.25875</v>
      </c>
      <c r="H20" s="26">
        <v>0</v>
      </c>
      <c r="I20" s="26">
        <f>E20*50%</f>
        <v>12761.725</v>
      </c>
      <c r="J20" s="24">
        <f>E20*350%</f>
        <v>89332.074999999997</v>
      </c>
      <c r="K20" s="26">
        <f>E20*100%</f>
        <v>25523.45</v>
      </c>
      <c r="L20" s="212">
        <f>120000</f>
        <v>120000</v>
      </c>
      <c r="M20" s="212"/>
      <c r="N20" s="26">
        <f>E20*10%</f>
        <v>2552.3450000000003</v>
      </c>
      <c r="O20" s="26">
        <v>15000</v>
      </c>
      <c r="P20" s="26">
        <v>0</v>
      </c>
      <c r="Q20" s="237">
        <f>SUM(E20:P20)</f>
        <v>369177.65375</v>
      </c>
      <c r="R20" s="214" t="s">
        <v>222</v>
      </c>
      <c r="S20" s="237">
        <f>'SALARY STRUCTURE'!I17+140000</f>
        <v>397211.25</v>
      </c>
      <c r="T20" s="24">
        <f t="shared" si="0"/>
        <v>28033.596250000002</v>
      </c>
      <c r="U20" s="24">
        <v>638.08625000000006</v>
      </c>
      <c r="V20" s="24"/>
      <c r="W20" s="371">
        <v>49548.776186666662</v>
      </c>
      <c r="X20" s="26">
        <f>'[5]October 2023'!$Z$78</f>
        <v>54931.226666666662</v>
      </c>
      <c r="Y20" s="26">
        <f t="shared" si="4"/>
        <v>5382.4504799999995</v>
      </c>
      <c r="Z20" s="241">
        <f t="shared" si="5"/>
        <v>22651.145770000003</v>
      </c>
      <c r="AA20" s="26">
        <f>9</f>
        <v>9</v>
      </c>
      <c r="AB20" s="241">
        <f t="shared" si="6"/>
        <v>203860.31193000003</v>
      </c>
      <c r="AC20" s="213"/>
    </row>
    <row r="21" spans="1:29" ht="20.100000000000001" customHeight="1">
      <c r="A21" s="359"/>
      <c r="B21" s="366" t="s">
        <v>15</v>
      </c>
      <c r="C21" s="360">
        <v>1</v>
      </c>
      <c r="D21" s="360"/>
      <c r="E21" s="78">
        <f t="shared" ref="E21:Q21" si="12">SUM(E20:E20)</f>
        <v>25523.45</v>
      </c>
      <c r="F21" s="78">
        <f t="shared" si="12"/>
        <v>76570.350000000006</v>
      </c>
      <c r="G21" s="78">
        <f t="shared" si="12"/>
        <v>1914.25875</v>
      </c>
      <c r="H21" s="78">
        <f t="shared" si="12"/>
        <v>0</v>
      </c>
      <c r="I21" s="78">
        <f t="shared" si="12"/>
        <v>12761.725</v>
      </c>
      <c r="J21" s="78">
        <f t="shared" si="12"/>
        <v>89332.074999999997</v>
      </c>
      <c r="K21" s="78">
        <f t="shared" si="12"/>
        <v>25523.45</v>
      </c>
      <c r="L21" s="78">
        <f t="shared" si="12"/>
        <v>120000</v>
      </c>
      <c r="M21" s="78">
        <f t="shared" si="12"/>
        <v>0</v>
      </c>
      <c r="N21" s="78">
        <f t="shared" si="12"/>
        <v>2552.3450000000003</v>
      </c>
      <c r="O21" s="78">
        <f t="shared" si="12"/>
        <v>15000</v>
      </c>
      <c r="P21" s="78">
        <f t="shared" si="12"/>
        <v>0</v>
      </c>
      <c r="Q21" s="78">
        <f t="shared" si="12"/>
        <v>369177.65375</v>
      </c>
      <c r="R21" s="360"/>
      <c r="S21" s="78">
        <f>SUM(S20:S20)</f>
        <v>397211.25</v>
      </c>
      <c r="T21" s="24"/>
      <c r="U21" s="78">
        <f>SUM(U20:U20)</f>
        <v>638.08625000000006</v>
      </c>
      <c r="V21" s="78"/>
      <c r="W21" s="374">
        <f>SUM(W20:W20)</f>
        <v>49548.776186666662</v>
      </c>
      <c r="X21" s="374">
        <f t="shared" ref="X21:AB21" si="13">SUM(X20:X20)</f>
        <v>54931.226666666662</v>
      </c>
      <c r="Y21" s="374">
        <f t="shared" si="13"/>
        <v>5382.4504799999995</v>
      </c>
      <c r="Z21" s="391">
        <f t="shared" si="13"/>
        <v>22651.145770000003</v>
      </c>
      <c r="AA21" s="374"/>
      <c r="AB21" s="391">
        <f t="shared" si="13"/>
        <v>203860.31193000003</v>
      </c>
      <c r="AC21" s="213"/>
    </row>
    <row r="22" spans="1:29" ht="20.100000000000001" customHeight="1">
      <c r="A22" s="359"/>
      <c r="B22" s="366"/>
      <c r="C22" s="360"/>
      <c r="D22" s="360"/>
      <c r="E22" s="31"/>
      <c r="F22" s="31"/>
      <c r="G22" s="31"/>
      <c r="H22" s="31"/>
      <c r="I22" s="31"/>
      <c r="J22" s="31"/>
      <c r="K22" s="31"/>
      <c r="L22" s="212"/>
      <c r="M22" s="212"/>
      <c r="N22" s="31"/>
      <c r="O22" s="31"/>
      <c r="P22" s="31"/>
      <c r="Q22" s="246"/>
      <c r="R22" s="360"/>
      <c r="S22" s="246"/>
      <c r="T22" s="24"/>
      <c r="U22" s="215"/>
      <c r="V22" s="215"/>
      <c r="W22" s="375"/>
      <c r="X22" s="31"/>
      <c r="Y22" s="26">
        <f t="shared" si="4"/>
        <v>0</v>
      </c>
      <c r="Z22" s="241">
        <f t="shared" si="5"/>
        <v>0</v>
      </c>
      <c r="AA22" s="31"/>
      <c r="AB22" s="241">
        <f t="shared" si="6"/>
        <v>0</v>
      </c>
      <c r="AC22" s="213"/>
    </row>
    <row r="23" spans="1:29" ht="20.100000000000001" customHeight="1">
      <c r="A23" s="359"/>
      <c r="B23" s="366" t="s">
        <v>463</v>
      </c>
      <c r="C23" s="219"/>
      <c r="D23" s="360"/>
      <c r="E23" s="31"/>
      <c r="F23" s="31"/>
      <c r="G23" s="31"/>
      <c r="H23" s="31"/>
      <c r="I23" s="31"/>
      <c r="J23" s="31"/>
      <c r="K23" s="31"/>
      <c r="L23" s="212"/>
      <c r="M23" s="212"/>
      <c r="N23" s="31"/>
      <c r="O23" s="31"/>
      <c r="P23" s="31"/>
      <c r="Q23" s="246"/>
      <c r="R23" s="360"/>
      <c r="S23" s="246"/>
      <c r="T23" s="24"/>
      <c r="U23" s="215"/>
      <c r="V23" s="215"/>
      <c r="W23" s="375"/>
      <c r="X23" s="31"/>
      <c r="Y23" s="26">
        <f t="shared" si="4"/>
        <v>0</v>
      </c>
      <c r="Z23" s="241">
        <f t="shared" si="5"/>
        <v>0</v>
      </c>
      <c r="AA23" s="31"/>
      <c r="AB23" s="241">
        <f t="shared" si="6"/>
        <v>0</v>
      </c>
      <c r="AC23" s="213"/>
    </row>
    <row r="24" spans="1:29" ht="20.100000000000001" customHeight="1">
      <c r="A24" s="359">
        <v>6</v>
      </c>
      <c r="B24" s="363" t="s">
        <v>202</v>
      </c>
      <c r="C24" s="357" t="s">
        <v>78</v>
      </c>
      <c r="D24" s="359" t="s">
        <v>181</v>
      </c>
      <c r="E24" s="26">
        <v>27611.23</v>
      </c>
      <c r="F24" s="26">
        <f>E24*300%</f>
        <v>82833.69</v>
      </c>
      <c r="G24" s="26">
        <f>E24*7.5%</f>
        <v>2070.8422499999997</v>
      </c>
      <c r="H24" s="26"/>
      <c r="I24" s="26">
        <f>E24*50%</f>
        <v>13805.615</v>
      </c>
      <c r="J24" s="26">
        <f>E24*350%</f>
        <v>96639.304999999993</v>
      </c>
      <c r="K24" s="26">
        <f>E24*100%</f>
        <v>27611.23</v>
      </c>
      <c r="L24" s="212">
        <v>140000</v>
      </c>
      <c r="M24" s="212"/>
      <c r="N24" s="26">
        <f>E24*10%</f>
        <v>2761.123</v>
      </c>
      <c r="O24" s="26">
        <v>20000</v>
      </c>
      <c r="P24" s="26"/>
      <c r="Q24" s="237">
        <f>SUM(E24:P24)</f>
        <v>413333.03525000007</v>
      </c>
      <c r="R24" s="359" t="s">
        <v>30</v>
      </c>
      <c r="S24" s="237">
        <f>'SALARY STRUCTURE'!H18+160000</f>
        <v>504720.16666666669</v>
      </c>
      <c r="T24" s="24">
        <f t="shared" si="0"/>
        <v>91387.131416666612</v>
      </c>
      <c r="U24" s="24"/>
      <c r="V24" s="24"/>
      <c r="W24" s="373">
        <v>58026.609434666672</v>
      </c>
      <c r="X24" s="24">
        <f>'[5]October 2023'!$Z$86</f>
        <v>75572.938666666669</v>
      </c>
      <c r="Y24" s="26">
        <f t="shared" si="4"/>
        <v>17546.329231999996</v>
      </c>
      <c r="Z24" s="241">
        <f t="shared" si="5"/>
        <v>73840.802184666623</v>
      </c>
      <c r="AA24" s="24">
        <v>1</v>
      </c>
      <c r="AB24" s="241">
        <f t="shared" si="6"/>
        <v>73840.802184666623</v>
      </c>
      <c r="AC24" s="213"/>
    </row>
    <row r="25" spans="1:29" ht="21.6" customHeight="1">
      <c r="A25" s="359">
        <v>7</v>
      </c>
      <c r="B25" s="363" t="s">
        <v>337</v>
      </c>
      <c r="C25" s="367" t="s">
        <v>257</v>
      </c>
      <c r="D25" s="214" t="s">
        <v>163</v>
      </c>
      <c r="E25" s="26">
        <v>24741.26</v>
      </c>
      <c r="F25" s="26">
        <f>E25*300%</f>
        <v>74223.78</v>
      </c>
      <c r="G25" s="26">
        <f>E25*7.5%</f>
        <v>1855.5944999999997</v>
      </c>
      <c r="H25" s="26">
        <v>0</v>
      </c>
      <c r="I25" s="26">
        <f>E25*50%</f>
        <v>12370.63</v>
      </c>
      <c r="J25" s="24">
        <f>E25*350%</f>
        <v>86594.409999999989</v>
      </c>
      <c r="K25" s="26">
        <f>E25*100%</f>
        <v>24741.26</v>
      </c>
      <c r="L25" s="212">
        <f t="shared" ref="L25" si="14">120000</f>
        <v>120000</v>
      </c>
      <c r="M25" s="212"/>
      <c r="N25" s="26">
        <f>E25*10%</f>
        <v>2474.1260000000002</v>
      </c>
      <c r="O25" s="26">
        <v>15000</v>
      </c>
      <c r="P25" s="26">
        <v>0</v>
      </c>
      <c r="Q25" s="237">
        <f>SUM(E25:P25)</f>
        <v>362001.06049999996</v>
      </c>
      <c r="R25" s="214" t="s">
        <v>95</v>
      </c>
      <c r="S25" s="237">
        <f>'SALARY STRUCTURE'!H17+140000</f>
        <v>389153.41666666663</v>
      </c>
      <c r="T25" s="24">
        <f t="shared" si="0"/>
        <v>27152.356166666665</v>
      </c>
      <c r="U25" s="24"/>
      <c r="V25" s="24"/>
      <c r="W25" s="371">
        <v>48170.870282666663</v>
      </c>
      <c r="X25" s="26">
        <f>'[5]October 2023'!$Z$89</f>
        <v>53384.122666666663</v>
      </c>
      <c r="Y25" s="26">
        <f t="shared" si="4"/>
        <v>5213.2523839999994</v>
      </c>
      <c r="Z25" s="241">
        <f t="shared" si="5"/>
        <v>21939.103782666665</v>
      </c>
      <c r="AA25" s="26">
        <f>(19/31)+2</f>
        <v>2.6129032258064515</v>
      </c>
      <c r="AB25" s="241">
        <f t="shared" si="6"/>
        <v>57324.755045032252</v>
      </c>
      <c r="AC25" s="213"/>
    </row>
    <row r="26" spans="1:29" ht="20.100000000000001" customHeight="1">
      <c r="A26" s="359"/>
      <c r="B26" s="366" t="s">
        <v>15</v>
      </c>
      <c r="C26" s="360">
        <v>2</v>
      </c>
      <c r="D26" s="360"/>
      <c r="E26" s="78">
        <f t="shared" ref="E26:Q26" si="15">SUM(E24:E25)</f>
        <v>52352.49</v>
      </c>
      <c r="F26" s="78">
        <f t="shared" si="15"/>
        <v>157057.47</v>
      </c>
      <c r="G26" s="78">
        <f t="shared" si="15"/>
        <v>3926.4367499999994</v>
      </c>
      <c r="H26" s="78">
        <f t="shared" si="15"/>
        <v>0</v>
      </c>
      <c r="I26" s="78">
        <f t="shared" si="15"/>
        <v>26176.244999999999</v>
      </c>
      <c r="J26" s="78">
        <f t="shared" si="15"/>
        <v>183233.71499999997</v>
      </c>
      <c r="K26" s="78">
        <f t="shared" si="15"/>
        <v>52352.49</v>
      </c>
      <c r="L26" s="78">
        <f t="shared" si="15"/>
        <v>260000</v>
      </c>
      <c r="M26" s="78">
        <f t="shared" si="15"/>
        <v>0</v>
      </c>
      <c r="N26" s="78">
        <f t="shared" si="15"/>
        <v>5235.2489999999998</v>
      </c>
      <c r="O26" s="78">
        <f t="shared" si="15"/>
        <v>35000</v>
      </c>
      <c r="P26" s="78">
        <f t="shared" si="15"/>
        <v>0</v>
      </c>
      <c r="Q26" s="78">
        <f t="shared" si="15"/>
        <v>775334.09575000009</v>
      </c>
      <c r="R26" s="360"/>
      <c r="S26" s="78">
        <f>SUM(S24:S25)</f>
        <v>893873.58333333326</v>
      </c>
      <c r="T26" s="78">
        <f t="shared" ref="T26:AB26" si="16">SUM(T24:T25)</f>
        <v>118539.48758333328</v>
      </c>
      <c r="U26" s="78">
        <f t="shared" si="16"/>
        <v>0</v>
      </c>
      <c r="V26" s="78">
        <f t="shared" si="16"/>
        <v>0</v>
      </c>
      <c r="W26" s="78">
        <f t="shared" si="16"/>
        <v>106197.47971733334</v>
      </c>
      <c r="X26" s="78">
        <f t="shared" si="16"/>
        <v>128957.06133333333</v>
      </c>
      <c r="Y26" s="78">
        <f t="shared" si="16"/>
        <v>22759.581615999996</v>
      </c>
      <c r="Z26" s="390">
        <f t="shared" si="16"/>
        <v>95779.905967333296</v>
      </c>
      <c r="AA26" s="78"/>
      <c r="AB26" s="390">
        <f t="shared" si="16"/>
        <v>131165.55722969887</v>
      </c>
      <c r="AC26" s="213"/>
    </row>
    <row r="27" spans="1:29" ht="20.100000000000001" customHeight="1">
      <c r="A27" s="359"/>
      <c r="B27" s="362"/>
      <c r="C27" s="360"/>
      <c r="D27" s="360"/>
      <c r="E27" s="31"/>
      <c r="F27" s="31"/>
      <c r="G27" s="31"/>
      <c r="H27" s="31"/>
      <c r="I27" s="31"/>
      <c r="J27" s="31"/>
      <c r="K27" s="31"/>
      <c r="L27" s="212"/>
      <c r="M27" s="212"/>
      <c r="N27" s="31"/>
      <c r="O27" s="31"/>
      <c r="P27" s="31"/>
      <c r="Q27" s="245"/>
      <c r="R27" s="360"/>
      <c r="S27" s="245"/>
      <c r="T27" s="24">
        <f t="shared" si="0"/>
        <v>0</v>
      </c>
      <c r="U27" s="31"/>
      <c r="V27" s="31"/>
      <c r="W27" s="375"/>
      <c r="X27" s="31"/>
      <c r="Y27" s="26">
        <f t="shared" si="4"/>
        <v>0</v>
      </c>
      <c r="Z27" s="241">
        <f t="shared" si="5"/>
        <v>0</v>
      </c>
      <c r="AA27" s="31"/>
      <c r="AB27" s="241">
        <f t="shared" si="6"/>
        <v>0</v>
      </c>
      <c r="AC27" s="213"/>
    </row>
    <row r="28" spans="1:29" ht="20.100000000000001" customHeight="1">
      <c r="A28" s="359"/>
      <c r="B28" s="366" t="s">
        <v>464</v>
      </c>
      <c r="C28" s="360"/>
      <c r="D28" s="360"/>
      <c r="E28" s="31"/>
      <c r="F28" s="31"/>
      <c r="G28" s="31"/>
      <c r="H28" s="31"/>
      <c r="I28" s="31"/>
      <c r="J28" s="31"/>
      <c r="K28" s="31"/>
      <c r="L28" s="212"/>
      <c r="M28" s="212"/>
      <c r="N28" s="31"/>
      <c r="O28" s="31"/>
      <c r="P28" s="31"/>
      <c r="Q28" s="245"/>
      <c r="R28" s="360"/>
      <c r="S28" s="245"/>
      <c r="T28" s="24">
        <f t="shared" si="0"/>
        <v>0</v>
      </c>
      <c r="U28" s="31"/>
      <c r="V28" s="31"/>
      <c r="W28" s="375"/>
      <c r="X28" s="31"/>
      <c r="Y28" s="26">
        <f t="shared" si="4"/>
        <v>0</v>
      </c>
      <c r="Z28" s="241">
        <f t="shared" si="5"/>
        <v>0</v>
      </c>
      <c r="AA28" s="31"/>
      <c r="AB28" s="241">
        <f t="shared" si="6"/>
        <v>0</v>
      </c>
      <c r="AC28" s="213"/>
    </row>
    <row r="29" spans="1:29" ht="20.100000000000001" customHeight="1">
      <c r="A29" s="359">
        <v>8</v>
      </c>
      <c r="B29" s="363" t="s">
        <v>185</v>
      </c>
      <c r="C29" s="357" t="s">
        <v>373</v>
      </c>
      <c r="D29" s="359" t="s">
        <v>181</v>
      </c>
      <c r="E29" s="26">
        <v>27611.23</v>
      </c>
      <c r="F29" s="26">
        <f>E29*300%</f>
        <v>82833.69</v>
      </c>
      <c r="G29" s="26">
        <f>E29*7.5%</f>
        <v>2070.8422499999997</v>
      </c>
      <c r="H29" s="26"/>
      <c r="I29" s="26">
        <f>E29*50%</f>
        <v>13805.615</v>
      </c>
      <c r="J29" s="26">
        <f>E29*350%</f>
        <v>96639.304999999993</v>
      </c>
      <c r="K29" s="26">
        <f>E29*100%</f>
        <v>27611.23</v>
      </c>
      <c r="L29" s="212">
        <v>140000</v>
      </c>
      <c r="M29" s="212"/>
      <c r="N29" s="26">
        <f>E29*10%</f>
        <v>2761.123</v>
      </c>
      <c r="O29" s="26">
        <v>20000</v>
      </c>
      <c r="P29" s="26">
        <f>100000</f>
        <v>100000</v>
      </c>
      <c r="Q29" s="237">
        <f>SUM(E29:P29)</f>
        <v>513333.03525000007</v>
      </c>
      <c r="R29" s="359" t="s">
        <v>30</v>
      </c>
      <c r="S29" s="237">
        <f>'SALARY STRUCTURE'!H18+160000+100000</f>
        <v>604720.16666666674</v>
      </c>
      <c r="T29" s="24">
        <f t="shared" si="0"/>
        <v>91387.131416666671</v>
      </c>
      <c r="U29" s="24">
        <v>690.28075000000001</v>
      </c>
      <c r="V29" s="24">
        <f>837.69</f>
        <v>837.69</v>
      </c>
      <c r="W29" s="373">
        <f>77098.29</f>
        <v>77098.289999999994</v>
      </c>
      <c r="X29" s="24">
        <f>'[5]October 2023'!$Z$97</f>
        <v>94644.621866666668</v>
      </c>
      <c r="Y29" s="26">
        <f t="shared" si="4"/>
        <v>17546.331866666675</v>
      </c>
      <c r="Z29" s="241">
        <f t="shared" si="5"/>
        <v>73840.799549999996</v>
      </c>
      <c r="AA29" s="24">
        <f>3</f>
        <v>3</v>
      </c>
      <c r="AB29" s="241">
        <f t="shared" si="6"/>
        <v>221522.39864999999</v>
      </c>
      <c r="AC29" s="213"/>
    </row>
    <row r="30" spans="1:29" ht="20.100000000000001" customHeight="1">
      <c r="A30" s="359">
        <v>9</v>
      </c>
      <c r="B30" s="363" t="s">
        <v>124</v>
      </c>
      <c r="C30" s="357" t="s">
        <v>235</v>
      </c>
      <c r="D30" s="214" t="s">
        <v>170</v>
      </c>
      <c r="E30" s="26">
        <v>25523.45</v>
      </c>
      <c r="F30" s="26">
        <f>E30*300%</f>
        <v>76570.350000000006</v>
      </c>
      <c r="G30" s="26">
        <f>E30*7.5%</f>
        <v>1914.25875</v>
      </c>
      <c r="H30" s="24">
        <v>0</v>
      </c>
      <c r="I30" s="26">
        <f>E30*50%</f>
        <v>12761.725</v>
      </c>
      <c r="J30" s="24">
        <f>E30*350%</f>
        <v>89332.074999999997</v>
      </c>
      <c r="K30" s="26">
        <f>E30*100%</f>
        <v>25523.45</v>
      </c>
      <c r="L30" s="212"/>
      <c r="M30" s="212">
        <v>70000</v>
      </c>
      <c r="N30" s="26">
        <f>E30*10%</f>
        <v>2552.3450000000003</v>
      </c>
      <c r="O30" s="26">
        <v>15000</v>
      </c>
      <c r="P30" s="26">
        <v>0</v>
      </c>
      <c r="Q30" s="237">
        <f>SUM(E30:P30)</f>
        <v>319177.65375</v>
      </c>
      <c r="R30" s="214" t="s">
        <v>222</v>
      </c>
      <c r="S30" s="237">
        <f>'SALARY STRUCTURE'!I17+70000</f>
        <v>327211.25</v>
      </c>
      <c r="T30" s="24">
        <f t="shared" si="0"/>
        <v>8033.5962500000023</v>
      </c>
      <c r="U30" s="24"/>
      <c r="V30" s="24"/>
      <c r="W30" s="371">
        <v>40698.124856666655</v>
      </c>
      <c r="X30" s="26">
        <f>'[5]October 2023'!$Z$129</f>
        <v>42047.769026666661</v>
      </c>
      <c r="Y30" s="26">
        <f t="shared" si="4"/>
        <v>1349.6441700000069</v>
      </c>
      <c r="Z30" s="241">
        <f t="shared" si="5"/>
        <v>6683.9520799999955</v>
      </c>
      <c r="AA30" s="26">
        <v>7</v>
      </c>
      <c r="AB30" s="241">
        <f t="shared" si="6"/>
        <v>46787.664559999968</v>
      </c>
      <c r="AC30" s="213"/>
    </row>
    <row r="31" spans="1:29" ht="20.100000000000001" customHeight="1">
      <c r="A31" s="359">
        <v>10</v>
      </c>
      <c r="B31" s="363" t="s">
        <v>345</v>
      </c>
      <c r="C31" s="357" t="s">
        <v>541</v>
      </c>
      <c r="D31" s="214" t="s">
        <v>267</v>
      </c>
      <c r="E31" s="26">
        <v>13492.21</v>
      </c>
      <c r="F31" s="26">
        <v>40476.629999999997</v>
      </c>
      <c r="G31" s="26">
        <v>1011.9157499999999</v>
      </c>
      <c r="H31" s="26"/>
      <c r="I31" s="26">
        <v>6746.1049999999996</v>
      </c>
      <c r="J31" s="24">
        <v>47222.735000000001</v>
      </c>
      <c r="K31" s="26">
        <v>13492.21</v>
      </c>
      <c r="L31" s="212"/>
      <c r="M31" s="212">
        <v>50000</v>
      </c>
      <c r="N31" s="26">
        <v>1349.221</v>
      </c>
      <c r="O31" s="26">
        <v>10000</v>
      </c>
      <c r="P31" s="26"/>
      <c r="Q31" s="237">
        <v>183791.02674999999</v>
      </c>
      <c r="R31" s="214" t="s">
        <v>104</v>
      </c>
      <c r="S31" s="237">
        <f>'SALARY STRUCTURE'!H14+60000</f>
        <v>228601.58333333334</v>
      </c>
      <c r="T31" s="24">
        <f t="shared" si="0"/>
        <v>44810.556583333353</v>
      </c>
      <c r="U31" s="24"/>
      <c r="V31" s="24"/>
      <c r="W31" s="371">
        <v>18102.902732666666</v>
      </c>
      <c r="X31" s="26">
        <f>'[5]October 2023'!$Z$30</f>
        <v>25571.732666666667</v>
      </c>
      <c r="Y31" s="26">
        <f t="shared" si="4"/>
        <v>7468.8299340000012</v>
      </c>
      <c r="Z31" s="241">
        <f t="shared" si="5"/>
        <v>37341.726649333352</v>
      </c>
      <c r="AA31" s="26">
        <v>1</v>
      </c>
      <c r="AB31" s="241">
        <f t="shared" si="6"/>
        <v>37341.726649333352</v>
      </c>
      <c r="AC31" s="213"/>
    </row>
    <row r="32" spans="1:29" ht="20.100000000000001" customHeight="1">
      <c r="A32" s="357"/>
      <c r="B32" s="366" t="s">
        <v>15</v>
      </c>
      <c r="C32" s="360">
        <v>3</v>
      </c>
      <c r="D32" s="220"/>
      <c r="E32" s="78">
        <f t="shared" ref="E32:Q32" si="17">SUM(E29:E31)</f>
        <v>66626.89</v>
      </c>
      <c r="F32" s="78">
        <f t="shared" si="17"/>
        <v>199880.67</v>
      </c>
      <c r="G32" s="78">
        <f t="shared" si="17"/>
        <v>4997.0167499999998</v>
      </c>
      <c r="H32" s="78">
        <f t="shared" si="17"/>
        <v>0</v>
      </c>
      <c r="I32" s="78">
        <f t="shared" si="17"/>
        <v>33313.445</v>
      </c>
      <c r="J32" s="78">
        <f t="shared" si="17"/>
        <v>233194.11499999999</v>
      </c>
      <c r="K32" s="78">
        <f t="shared" si="17"/>
        <v>66626.89</v>
      </c>
      <c r="L32" s="78">
        <f t="shared" si="17"/>
        <v>140000</v>
      </c>
      <c r="M32" s="78">
        <f t="shared" si="17"/>
        <v>120000</v>
      </c>
      <c r="N32" s="78">
        <f t="shared" si="17"/>
        <v>6662.6890000000003</v>
      </c>
      <c r="O32" s="78">
        <f t="shared" si="17"/>
        <v>45000</v>
      </c>
      <c r="P32" s="78">
        <f t="shared" si="17"/>
        <v>100000</v>
      </c>
      <c r="Q32" s="78">
        <f t="shared" si="17"/>
        <v>1016301.71575</v>
      </c>
      <c r="R32" s="220"/>
      <c r="S32" s="78">
        <f>SUM(S29:S31)</f>
        <v>1160533</v>
      </c>
      <c r="T32" s="24">
        <f t="shared" si="0"/>
        <v>144231.28425000003</v>
      </c>
      <c r="U32" s="78">
        <f>SUM(U29:U31)</f>
        <v>690.28075000000001</v>
      </c>
      <c r="V32" s="78"/>
      <c r="W32" s="374">
        <f>SUM(W29:W31)</f>
        <v>135899.31758933331</v>
      </c>
      <c r="X32" s="374">
        <f t="shared" ref="X32:AB32" si="18">SUM(X29:X31)</f>
        <v>162264.12356000001</v>
      </c>
      <c r="Y32" s="374">
        <f t="shared" si="18"/>
        <v>26364.805970666683</v>
      </c>
      <c r="Z32" s="391">
        <f t="shared" si="18"/>
        <v>117866.47827933333</v>
      </c>
      <c r="AA32" s="374"/>
      <c r="AB32" s="391">
        <f t="shared" si="18"/>
        <v>305651.78985933331</v>
      </c>
      <c r="AC32" s="213"/>
    </row>
    <row r="33" spans="1:29" ht="20.100000000000001" customHeight="1">
      <c r="A33" s="357"/>
      <c r="B33" s="362"/>
      <c r="C33" s="359"/>
      <c r="D33" s="357"/>
      <c r="E33" s="222"/>
      <c r="F33" s="222"/>
      <c r="G33" s="222"/>
      <c r="H33" s="222"/>
      <c r="I33" s="222"/>
      <c r="J33" s="222"/>
      <c r="K33" s="222"/>
      <c r="L33" s="212"/>
      <c r="M33" s="212"/>
      <c r="N33" s="222"/>
      <c r="O33" s="222"/>
      <c r="P33" s="222"/>
      <c r="Q33" s="239"/>
      <c r="R33" s="357"/>
      <c r="S33" s="239"/>
      <c r="T33" s="24"/>
      <c r="U33" s="222"/>
      <c r="V33" s="222"/>
      <c r="W33" s="376"/>
      <c r="X33" s="222"/>
      <c r="Y33" s="26">
        <f t="shared" si="4"/>
        <v>0</v>
      </c>
      <c r="Z33" s="241">
        <f t="shared" si="5"/>
        <v>0</v>
      </c>
      <c r="AA33" s="222"/>
      <c r="AB33" s="241">
        <f t="shared" si="6"/>
        <v>0</v>
      </c>
      <c r="AC33" s="213"/>
    </row>
    <row r="34" spans="1:29" ht="20.100000000000001" customHeight="1">
      <c r="A34" s="357"/>
      <c r="B34" s="366" t="s">
        <v>466</v>
      </c>
      <c r="C34" s="360"/>
      <c r="D34" s="360"/>
      <c r="E34" s="31"/>
      <c r="F34" s="31"/>
      <c r="G34" s="31"/>
      <c r="H34" s="31"/>
      <c r="I34" s="31"/>
      <c r="J34" s="31"/>
      <c r="K34" s="31"/>
      <c r="L34" s="212"/>
      <c r="M34" s="212"/>
      <c r="N34" s="31"/>
      <c r="O34" s="31"/>
      <c r="P34" s="31"/>
      <c r="Q34" s="246"/>
      <c r="R34" s="360"/>
      <c r="S34" s="246"/>
      <c r="T34" s="24"/>
      <c r="U34" s="215"/>
      <c r="V34" s="215"/>
      <c r="W34" s="375"/>
      <c r="X34" s="31"/>
      <c r="Y34" s="26">
        <f t="shared" si="4"/>
        <v>0</v>
      </c>
      <c r="Z34" s="241">
        <f t="shared" si="5"/>
        <v>0</v>
      </c>
      <c r="AA34" s="31"/>
      <c r="AB34" s="241">
        <f t="shared" si="6"/>
        <v>0</v>
      </c>
      <c r="AC34" s="213"/>
    </row>
    <row r="35" spans="1:29" ht="20.100000000000001" customHeight="1">
      <c r="A35" s="357">
        <v>11</v>
      </c>
      <c r="B35" s="363" t="s">
        <v>134</v>
      </c>
      <c r="C35" s="367" t="s">
        <v>384</v>
      </c>
      <c r="D35" s="214" t="s">
        <v>170</v>
      </c>
      <c r="E35" s="26">
        <v>25523.45</v>
      </c>
      <c r="F35" s="26">
        <f>E35*300%</f>
        <v>76570.350000000006</v>
      </c>
      <c r="G35" s="26">
        <f>E35*7.5%</f>
        <v>1914.25875</v>
      </c>
      <c r="H35" s="26"/>
      <c r="I35" s="26">
        <f>E35*50%</f>
        <v>12761.725</v>
      </c>
      <c r="J35" s="24">
        <f>E35*350%</f>
        <v>89332.074999999997</v>
      </c>
      <c r="K35" s="26">
        <f>E35*100%</f>
        <v>25523.45</v>
      </c>
      <c r="L35" s="212"/>
      <c r="M35" s="212">
        <f t="shared" ref="M35" si="19">70000</f>
        <v>70000</v>
      </c>
      <c r="N35" s="26">
        <f>E35*10%</f>
        <v>2552.3450000000003</v>
      </c>
      <c r="O35" s="26">
        <v>15000</v>
      </c>
      <c r="P35" s="26"/>
      <c r="Q35" s="237">
        <f>SUM(E35:P35)</f>
        <v>319177.65375</v>
      </c>
      <c r="R35" s="214" t="s">
        <v>222</v>
      </c>
      <c r="S35" s="237">
        <f>'SALARY STRUCTURE'!I17+70000</f>
        <v>327211.25</v>
      </c>
      <c r="T35" s="24">
        <f t="shared" si="0"/>
        <v>8033.5962500000023</v>
      </c>
      <c r="U35" s="24">
        <v>638.08625000000006</v>
      </c>
      <c r="V35" s="24">
        <f>690.28</f>
        <v>690.28</v>
      </c>
      <c r="W35" s="371">
        <v>40684.599176666663</v>
      </c>
      <c r="X35" s="26">
        <f>'[5]October 2023'!$Z$118</f>
        <v>42034.243346666663</v>
      </c>
      <c r="Y35" s="26">
        <f t="shared" si="4"/>
        <v>1349.6441699999996</v>
      </c>
      <c r="Z35" s="241">
        <f t="shared" si="5"/>
        <v>6683.9520800000028</v>
      </c>
      <c r="AA35" s="26">
        <f>9</f>
        <v>9</v>
      </c>
      <c r="AB35" s="241">
        <f t="shared" si="6"/>
        <v>60155.568720000025</v>
      </c>
      <c r="AC35" s="213"/>
    </row>
    <row r="36" spans="1:29" ht="28.5" customHeight="1">
      <c r="A36" s="357"/>
      <c r="B36" s="366" t="s">
        <v>15</v>
      </c>
      <c r="C36" s="220" t="s">
        <v>716</v>
      </c>
      <c r="D36" s="214"/>
      <c r="E36" s="31">
        <f t="shared" ref="E36:Q36" si="20">SUM(E35:E35)</f>
        <v>25523.45</v>
      </c>
      <c r="F36" s="31">
        <f t="shared" si="20"/>
        <v>76570.350000000006</v>
      </c>
      <c r="G36" s="31">
        <f t="shared" si="20"/>
        <v>1914.25875</v>
      </c>
      <c r="H36" s="31">
        <f t="shared" si="20"/>
        <v>0</v>
      </c>
      <c r="I36" s="31">
        <f t="shared" si="20"/>
        <v>12761.725</v>
      </c>
      <c r="J36" s="31">
        <f t="shared" si="20"/>
        <v>89332.074999999997</v>
      </c>
      <c r="K36" s="31">
        <f t="shared" si="20"/>
        <v>25523.45</v>
      </c>
      <c r="L36" s="31">
        <f t="shared" si="20"/>
        <v>0</v>
      </c>
      <c r="M36" s="31">
        <f t="shared" si="20"/>
        <v>70000</v>
      </c>
      <c r="N36" s="31">
        <f t="shared" si="20"/>
        <v>2552.3450000000003</v>
      </c>
      <c r="O36" s="31">
        <f t="shared" si="20"/>
        <v>15000</v>
      </c>
      <c r="P36" s="31">
        <f t="shared" si="20"/>
        <v>0</v>
      </c>
      <c r="Q36" s="31">
        <f t="shared" si="20"/>
        <v>319177.65375</v>
      </c>
      <c r="R36" s="214"/>
      <c r="S36" s="31">
        <f t="shared" ref="S36:Z36" si="21">SUM(S35:S35)</f>
        <v>327211.25</v>
      </c>
      <c r="T36" s="31">
        <f t="shared" si="21"/>
        <v>8033.5962500000023</v>
      </c>
      <c r="U36" s="31">
        <f t="shared" si="21"/>
        <v>638.08625000000006</v>
      </c>
      <c r="V36" s="31">
        <f t="shared" si="21"/>
        <v>690.28</v>
      </c>
      <c r="W36" s="31">
        <f t="shared" si="21"/>
        <v>40684.599176666663</v>
      </c>
      <c r="X36" s="31">
        <f t="shared" si="21"/>
        <v>42034.243346666663</v>
      </c>
      <c r="Y36" s="31">
        <f t="shared" si="21"/>
        <v>1349.6441699999996</v>
      </c>
      <c r="Z36" s="251">
        <f t="shared" si="21"/>
        <v>6683.9520800000028</v>
      </c>
      <c r="AA36" s="31"/>
      <c r="AB36" s="251">
        <f>SUM(AB35:AB35)</f>
        <v>60155.568720000025</v>
      </c>
      <c r="AC36" s="213"/>
    </row>
    <row r="37" spans="1:29" ht="20.100000000000001" customHeight="1">
      <c r="A37" s="357"/>
      <c r="B37" s="362"/>
      <c r="C37" s="220"/>
      <c r="D37" s="214"/>
      <c r="E37" s="31"/>
      <c r="F37" s="31"/>
      <c r="G37" s="31"/>
      <c r="H37" s="31"/>
      <c r="I37" s="31"/>
      <c r="J37" s="215"/>
      <c r="K37" s="31"/>
      <c r="L37" s="212">
        <f>226713.38+70000</f>
        <v>296713.38</v>
      </c>
      <c r="M37" s="212"/>
      <c r="N37" s="31"/>
      <c r="O37" s="31"/>
      <c r="P37" s="31"/>
      <c r="Q37" s="246"/>
      <c r="R37" s="214"/>
      <c r="S37" s="246"/>
      <c r="T37" s="24"/>
      <c r="U37" s="215"/>
      <c r="V37" s="215"/>
      <c r="W37" s="375"/>
      <c r="X37" s="31"/>
      <c r="Y37" s="26"/>
      <c r="Z37" s="241"/>
      <c r="AA37" s="31"/>
      <c r="AB37" s="241"/>
      <c r="AC37" s="213"/>
    </row>
    <row r="38" spans="1:29" ht="20.100000000000001" customHeight="1">
      <c r="A38" s="357"/>
      <c r="B38" s="366" t="s">
        <v>467</v>
      </c>
      <c r="C38" s="367"/>
      <c r="D38" s="214"/>
      <c r="E38" s="26"/>
      <c r="F38" s="26"/>
      <c r="G38" s="26"/>
      <c r="H38" s="26"/>
      <c r="I38" s="26"/>
      <c r="J38" s="24"/>
      <c r="K38" s="26"/>
      <c r="L38" s="212"/>
      <c r="M38" s="212"/>
      <c r="N38" s="26"/>
      <c r="O38" s="26"/>
      <c r="P38" s="26"/>
      <c r="Q38" s="237"/>
      <c r="R38" s="214"/>
      <c r="S38" s="237"/>
      <c r="T38" s="24"/>
      <c r="U38" s="24"/>
      <c r="V38" s="24"/>
      <c r="W38" s="371"/>
      <c r="X38" s="26"/>
      <c r="Y38" s="26"/>
      <c r="Z38" s="241"/>
      <c r="AA38" s="26"/>
      <c r="AB38" s="241"/>
      <c r="AC38" s="213"/>
    </row>
    <row r="39" spans="1:29" ht="20.100000000000001" customHeight="1">
      <c r="A39" s="224">
        <v>12</v>
      </c>
      <c r="B39" s="363" t="s">
        <v>53</v>
      </c>
      <c r="C39" s="367" t="s">
        <v>300</v>
      </c>
      <c r="D39" s="214" t="s">
        <v>27</v>
      </c>
      <c r="E39" s="212">
        <v>18779.3</v>
      </c>
      <c r="F39" s="26">
        <f t="shared" ref="F39:F45" si="22">E39*300%</f>
        <v>56337.899999999994</v>
      </c>
      <c r="G39" s="26">
        <f t="shared" ref="G39:G45" si="23">E39*7.5%</f>
        <v>1408.4475</v>
      </c>
      <c r="H39" s="26"/>
      <c r="I39" s="26">
        <f t="shared" ref="I39:I45" si="24">E39*50%</f>
        <v>9389.65</v>
      </c>
      <c r="J39" s="24">
        <f t="shared" ref="J39:J45" si="25">E39*350%</f>
        <v>65727.55</v>
      </c>
      <c r="K39" s="26">
        <f t="shared" ref="K39:K45" si="26">E39*100%</f>
        <v>18779.3</v>
      </c>
      <c r="L39" s="212"/>
      <c r="M39" s="212">
        <f>60000</f>
        <v>60000</v>
      </c>
      <c r="N39" s="26">
        <f t="shared" ref="N39:N45" si="27">E39*10%</f>
        <v>1877.93</v>
      </c>
      <c r="O39" s="26">
        <v>10000</v>
      </c>
      <c r="P39" s="26"/>
      <c r="Q39" s="237">
        <f t="shared" ref="Q39:Q45" si="28">SUM(E39:P39)</f>
        <v>242300.07749999996</v>
      </c>
      <c r="R39" s="214" t="s">
        <v>369</v>
      </c>
      <c r="S39" s="237">
        <f>'SALARY STRUCTURE'!H15+60000</f>
        <v>265371.75</v>
      </c>
      <c r="T39" s="24">
        <f t="shared" si="0"/>
        <v>23071.672500000044</v>
      </c>
      <c r="U39" s="24">
        <v>469.48250000000002</v>
      </c>
      <c r="V39" s="24">
        <f>570.95</f>
        <v>570.95000000000005</v>
      </c>
      <c r="W39" s="371">
        <v>27794.206626666662</v>
      </c>
      <c r="X39" s="26">
        <f>'[5]October 2023'!$Z$134</f>
        <v>31653.201066666661</v>
      </c>
      <c r="Y39" s="26">
        <f t="shared" si="4"/>
        <v>3858.9944399999986</v>
      </c>
      <c r="Z39" s="241">
        <f t="shared" si="5"/>
        <v>19212.678060000046</v>
      </c>
      <c r="AA39" s="26">
        <v>9</v>
      </c>
      <c r="AB39" s="241">
        <f t="shared" si="6"/>
        <v>172914.1025400004</v>
      </c>
      <c r="AC39" s="213"/>
    </row>
    <row r="40" spans="1:29" ht="20.100000000000001" customHeight="1">
      <c r="A40" s="224">
        <v>13</v>
      </c>
      <c r="B40" s="364" t="s">
        <v>293</v>
      </c>
      <c r="C40" s="357" t="s">
        <v>438</v>
      </c>
      <c r="D40" s="214" t="s">
        <v>27</v>
      </c>
      <c r="E40" s="26">
        <f>18779.3</f>
        <v>18779.3</v>
      </c>
      <c r="F40" s="26">
        <f t="shared" si="22"/>
        <v>56337.899999999994</v>
      </c>
      <c r="G40" s="26">
        <f t="shared" si="23"/>
        <v>1408.4475</v>
      </c>
      <c r="H40" s="26"/>
      <c r="I40" s="26">
        <f t="shared" si="24"/>
        <v>9389.65</v>
      </c>
      <c r="J40" s="26">
        <f t="shared" si="25"/>
        <v>65727.55</v>
      </c>
      <c r="K40" s="26">
        <f t="shared" si="26"/>
        <v>18779.3</v>
      </c>
      <c r="L40" s="212"/>
      <c r="M40" s="212">
        <v>60000</v>
      </c>
      <c r="N40" s="26">
        <f t="shared" si="27"/>
        <v>1877.93</v>
      </c>
      <c r="O40" s="26">
        <v>10000</v>
      </c>
      <c r="P40" s="26"/>
      <c r="Q40" s="237">
        <f t="shared" si="28"/>
        <v>242300.07749999996</v>
      </c>
      <c r="R40" s="214" t="s">
        <v>369</v>
      </c>
      <c r="S40" s="237">
        <f>'SALARY STRUCTURE'!H15+60000</f>
        <v>265371.75</v>
      </c>
      <c r="T40" s="24">
        <f t="shared" si="0"/>
        <v>23071.672500000044</v>
      </c>
      <c r="U40" s="24">
        <v>0</v>
      </c>
      <c r="V40" s="24"/>
      <c r="W40" s="371">
        <v>27873.079686666664</v>
      </c>
      <c r="X40" s="26">
        <f>'[5]October 2023'!$Z$24</f>
        <v>31749.120666666666</v>
      </c>
      <c r="Y40" s="26">
        <f t="shared" si="4"/>
        <v>3876.0409800000016</v>
      </c>
      <c r="Z40" s="241">
        <f t="shared" si="5"/>
        <v>19195.631520000043</v>
      </c>
      <c r="AA40" s="26">
        <v>1</v>
      </c>
      <c r="AB40" s="241">
        <f t="shared" si="6"/>
        <v>19195.631520000043</v>
      </c>
      <c r="AC40" s="213"/>
    </row>
    <row r="41" spans="1:29" ht="20.100000000000001" customHeight="1">
      <c r="A41" s="224">
        <v>14</v>
      </c>
      <c r="B41" s="364" t="s">
        <v>289</v>
      </c>
      <c r="C41" s="367" t="s">
        <v>290</v>
      </c>
      <c r="D41" s="214" t="s">
        <v>267</v>
      </c>
      <c r="E41" s="212">
        <v>13492.21</v>
      </c>
      <c r="F41" s="26">
        <f t="shared" si="22"/>
        <v>40476.629999999997</v>
      </c>
      <c r="G41" s="26">
        <f t="shared" si="23"/>
        <v>1011.9157499999999</v>
      </c>
      <c r="H41" s="26"/>
      <c r="I41" s="26">
        <f t="shared" si="24"/>
        <v>6746.1049999999996</v>
      </c>
      <c r="J41" s="24">
        <f t="shared" si="25"/>
        <v>47222.735000000001</v>
      </c>
      <c r="K41" s="26">
        <f t="shared" si="26"/>
        <v>13492.21</v>
      </c>
      <c r="L41" s="212"/>
      <c r="M41" s="212">
        <f>50000</f>
        <v>50000</v>
      </c>
      <c r="N41" s="26">
        <f t="shared" si="27"/>
        <v>1349.221</v>
      </c>
      <c r="O41" s="26">
        <v>10000</v>
      </c>
      <c r="P41" s="357"/>
      <c r="Q41" s="238">
        <f t="shared" si="28"/>
        <v>183791.02674999999</v>
      </c>
      <c r="R41" s="214" t="s">
        <v>428</v>
      </c>
      <c r="S41" s="238">
        <f>'SALARY STRUCTURE'!H13+60000</f>
        <v>205203.66666666666</v>
      </c>
      <c r="T41" s="24">
        <f t="shared" si="0"/>
        <v>21412.639916666667</v>
      </c>
      <c r="U41" s="24"/>
      <c r="V41" s="24"/>
      <c r="W41" s="371">
        <v>18102.902732666666</v>
      </c>
      <c r="X41" s="26">
        <f>'[5]October 2023'!$Z$145</f>
        <v>21640.882666666668</v>
      </c>
      <c r="Y41" s="26">
        <f t="shared" si="4"/>
        <v>3537.9799340000027</v>
      </c>
      <c r="Z41" s="241">
        <f t="shared" si="5"/>
        <v>17874.659982666664</v>
      </c>
      <c r="AA41" s="26">
        <v>2</v>
      </c>
      <c r="AB41" s="241">
        <f t="shared" si="6"/>
        <v>35749.319965333329</v>
      </c>
      <c r="AC41" s="213"/>
    </row>
    <row r="42" spans="1:29" ht="20.100000000000001" customHeight="1">
      <c r="A42" s="224">
        <v>15</v>
      </c>
      <c r="B42" s="363" t="s">
        <v>231</v>
      </c>
      <c r="C42" s="367" t="s">
        <v>167</v>
      </c>
      <c r="D42" s="214" t="s">
        <v>263</v>
      </c>
      <c r="E42" s="26">
        <v>5428.12</v>
      </c>
      <c r="F42" s="26">
        <f t="shared" si="22"/>
        <v>16284.36</v>
      </c>
      <c r="G42" s="26">
        <f t="shared" si="23"/>
        <v>407.10899999999998</v>
      </c>
      <c r="H42" s="26"/>
      <c r="I42" s="26">
        <f t="shared" si="24"/>
        <v>2714.06</v>
      </c>
      <c r="J42" s="24">
        <f t="shared" si="25"/>
        <v>18998.419999999998</v>
      </c>
      <c r="K42" s="26">
        <f t="shared" si="26"/>
        <v>5428.12</v>
      </c>
      <c r="L42" s="212"/>
      <c r="M42" s="212">
        <f>20000</f>
        <v>20000</v>
      </c>
      <c r="N42" s="26">
        <f t="shared" si="27"/>
        <v>542.81200000000001</v>
      </c>
      <c r="O42" s="26">
        <v>5000</v>
      </c>
      <c r="P42" s="26">
        <f>7000</f>
        <v>7000</v>
      </c>
      <c r="Q42" s="237">
        <f t="shared" si="28"/>
        <v>81803.001000000018</v>
      </c>
      <c r="R42" s="214" t="s">
        <v>306</v>
      </c>
      <c r="S42" s="237">
        <f>'SALARY STRUCTURE'!D11+30000</f>
        <v>115104.91666666667</v>
      </c>
      <c r="T42" s="24">
        <f t="shared" si="0"/>
        <v>33301.915666666653</v>
      </c>
      <c r="U42" s="24"/>
      <c r="V42" s="24"/>
      <c r="W42" s="373">
        <v>4365.3307546666683</v>
      </c>
      <c r="X42" s="24">
        <f>'[5]October 2023'!$Z$164</f>
        <v>8312.5899999999983</v>
      </c>
      <c r="Y42" s="26">
        <f t="shared" si="4"/>
        <v>3947.25924533333</v>
      </c>
      <c r="Z42" s="241">
        <f t="shared" si="5"/>
        <v>29354.656421333322</v>
      </c>
      <c r="AA42" s="24">
        <f>(10/31)+2</f>
        <v>2.3225806451612905</v>
      </c>
      <c r="AB42" s="241">
        <f t="shared" si="6"/>
        <v>68178.55684954836</v>
      </c>
      <c r="AC42" s="213"/>
    </row>
    <row r="43" spans="1:29" s="410" customFormat="1" ht="20.100000000000001" customHeight="1">
      <c r="A43" s="403">
        <v>16</v>
      </c>
      <c r="B43" s="404" t="s">
        <v>246</v>
      </c>
      <c r="C43" s="405" t="s">
        <v>167</v>
      </c>
      <c r="D43" s="406" t="s">
        <v>263</v>
      </c>
      <c r="E43" s="18">
        <v>5428.12</v>
      </c>
      <c r="F43" s="18">
        <f t="shared" si="22"/>
        <v>16284.36</v>
      </c>
      <c r="G43" s="18">
        <f t="shared" si="23"/>
        <v>407.10899999999998</v>
      </c>
      <c r="H43" s="18"/>
      <c r="I43" s="18">
        <f t="shared" si="24"/>
        <v>2714.06</v>
      </c>
      <c r="J43" s="16">
        <f t="shared" si="25"/>
        <v>18998.419999999998</v>
      </c>
      <c r="K43" s="18">
        <f t="shared" si="26"/>
        <v>5428.12</v>
      </c>
      <c r="L43" s="407"/>
      <c r="M43" s="407">
        <f>20000</f>
        <v>20000</v>
      </c>
      <c r="N43" s="18">
        <f t="shared" si="27"/>
        <v>542.81200000000001</v>
      </c>
      <c r="O43" s="18">
        <v>5000</v>
      </c>
      <c r="P43" s="18">
        <f>7000</f>
        <v>7000</v>
      </c>
      <c r="Q43" s="16">
        <f t="shared" si="28"/>
        <v>81803.001000000018</v>
      </c>
      <c r="R43" s="406" t="s">
        <v>306</v>
      </c>
      <c r="S43" s="16">
        <f>'SALARY STRUCTURE'!D11+30000</f>
        <v>115104.91666666667</v>
      </c>
      <c r="T43" s="16">
        <f t="shared" si="0"/>
        <v>33301.915666666653</v>
      </c>
      <c r="U43" s="16"/>
      <c r="V43" s="16"/>
      <c r="W43" s="408">
        <f>4365.33075466667</f>
        <v>4365.3307546666701</v>
      </c>
      <c r="X43" s="16">
        <f>'[5]October 2023'!$Z$164</f>
        <v>8312.5899999999983</v>
      </c>
      <c r="Y43" s="18">
        <f t="shared" si="4"/>
        <v>3947.2592453333282</v>
      </c>
      <c r="Z43" s="18">
        <f t="shared" si="5"/>
        <v>29354.656421333326</v>
      </c>
      <c r="AA43" s="16">
        <f>(17/31)+1</f>
        <v>1.5483870967741935</v>
      </c>
      <c r="AB43" s="18">
        <f t="shared" si="6"/>
        <v>45452.371233032245</v>
      </c>
      <c r="AC43" s="409"/>
    </row>
    <row r="44" spans="1:29" ht="20.100000000000001" customHeight="1">
      <c r="A44" s="224">
        <v>17</v>
      </c>
      <c r="B44" s="364" t="s">
        <v>166</v>
      </c>
      <c r="C44" s="367" t="s">
        <v>167</v>
      </c>
      <c r="D44" s="214" t="s">
        <v>223</v>
      </c>
      <c r="E44" s="26">
        <f>5598.92</f>
        <v>5598.92</v>
      </c>
      <c r="F44" s="26">
        <f t="shared" si="22"/>
        <v>16796.760000000002</v>
      </c>
      <c r="G44" s="26">
        <f t="shared" si="23"/>
        <v>419.91899999999998</v>
      </c>
      <c r="H44" s="26"/>
      <c r="I44" s="26">
        <f t="shared" si="24"/>
        <v>2799.46</v>
      </c>
      <c r="J44" s="24">
        <f t="shared" si="25"/>
        <v>19596.22</v>
      </c>
      <c r="K44" s="26">
        <f t="shared" si="26"/>
        <v>5598.92</v>
      </c>
      <c r="L44" s="212"/>
      <c r="M44" s="212">
        <f>20000</f>
        <v>20000</v>
      </c>
      <c r="N44" s="26">
        <f t="shared" si="27"/>
        <v>559.89200000000005</v>
      </c>
      <c r="O44" s="26">
        <v>5000</v>
      </c>
      <c r="P44" s="26">
        <f>7000</f>
        <v>7000</v>
      </c>
      <c r="Q44" s="237">
        <f t="shared" si="28"/>
        <v>83370.091</v>
      </c>
      <c r="R44" s="214" t="s">
        <v>306</v>
      </c>
      <c r="S44" s="237">
        <v>115104.91666666667</v>
      </c>
      <c r="T44" s="24">
        <f t="shared" si="0"/>
        <v>31734.825666666671</v>
      </c>
      <c r="U44" s="24"/>
      <c r="V44" s="24"/>
      <c r="W44" s="373">
        <v>4504.4109199999994</v>
      </c>
      <c r="X44" s="24">
        <f>'[5]October 2023'!$Z$164</f>
        <v>8312.5899999999983</v>
      </c>
      <c r="Y44" s="26">
        <f t="shared" si="4"/>
        <v>3808.179079999999</v>
      </c>
      <c r="Z44" s="241">
        <f t="shared" si="5"/>
        <v>27926.646586666673</v>
      </c>
      <c r="AA44" s="24">
        <v>8</v>
      </c>
      <c r="AB44" s="241">
        <f t="shared" si="6"/>
        <v>223413.17269333338</v>
      </c>
      <c r="AC44" s="213"/>
    </row>
    <row r="45" spans="1:29" ht="20.100000000000001" customHeight="1">
      <c r="A45" s="224">
        <v>18</v>
      </c>
      <c r="B45" s="364" t="s">
        <v>279</v>
      </c>
      <c r="C45" s="367" t="s">
        <v>13</v>
      </c>
      <c r="D45" s="214" t="s">
        <v>503</v>
      </c>
      <c r="E45" s="26">
        <f>4689.38</f>
        <v>4689.38</v>
      </c>
      <c r="F45" s="26">
        <f t="shared" si="22"/>
        <v>14068.14</v>
      </c>
      <c r="G45" s="26">
        <f t="shared" si="23"/>
        <v>351.70350000000002</v>
      </c>
      <c r="H45" s="26"/>
      <c r="I45" s="26">
        <f t="shared" si="24"/>
        <v>2344.69</v>
      </c>
      <c r="J45" s="24">
        <f t="shared" si="25"/>
        <v>16412.830000000002</v>
      </c>
      <c r="K45" s="26">
        <f t="shared" si="26"/>
        <v>4689.38</v>
      </c>
      <c r="L45" s="212"/>
      <c r="M45" s="212">
        <f>15000</f>
        <v>15000</v>
      </c>
      <c r="N45" s="26">
        <f t="shared" si="27"/>
        <v>468.93800000000005</v>
      </c>
      <c r="O45" s="26">
        <v>5000</v>
      </c>
      <c r="P45" s="26">
        <f>4000</f>
        <v>4000</v>
      </c>
      <c r="Q45" s="237">
        <f t="shared" si="28"/>
        <v>67025.061499999996</v>
      </c>
      <c r="R45" s="214" t="s">
        <v>262</v>
      </c>
      <c r="S45" s="237">
        <f>'SALARY STRUCTURE'!I9+20000+7000</f>
        <v>77104.416666666657</v>
      </c>
      <c r="T45" s="24">
        <f t="shared" si="0"/>
        <v>10079.355166666661</v>
      </c>
      <c r="U45" s="24"/>
      <c r="V45" s="24"/>
      <c r="W45" s="373">
        <v>3064.8720786666654</v>
      </c>
      <c r="X45" s="24">
        <f>'[5]October 2023'!$Z$177</f>
        <v>3951.8553333333325</v>
      </c>
      <c r="Y45" s="26">
        <f t="shared" si="4"/>
        <v>886.98325466666711</v>
      </c>
      <c r="Z45" s="241">
        <f t="shared" si="5"/>
        <v>9192.3719119999932</v>
      </c>
      <c r="AA45" s="24">
        <f>(23/31)+6</f>
        <v>6.741935483870968</v>
      </c>
      <c r="AB45" s="241">
        <f t="shared" si="6"/>
        <v>61974.378374451568</v>
      </c>
      <c r="AC45" s="213"/>
    </row>
    <row r="46" spans="1:29" ht="20.100000000000001" customHeight="1">
      <c r="A46" s="224"/>
      <c r="B46" s="210" t="s">
        <v>15</v>
      </c>
      <c r="C46" s="226" t="s">
        <v>659</v>
      </c>
      <c r="D46" s="358"/>
      <c r="E46" s="78">
        <f t="shared" ref="E46:Q46" si="29">SUM(E39:E45)</f>
        <v>72195.350000000006</v>
      </c>
      <c r="F46" s="78">
        <f t="shared" si="29"/>
        <v>216586.05</v>
      </c>
      <c r="G46" s="78">
        <f t="shared" si="29"/>
        <v>5414.6512499999999</v>
      </c>
      <c r="H46" s="78">
        <f t="shared" si="29"/>
        <v>0</v>
      </c>
      <c r="I46" s="78">
        <f t="shared" si="29"/>
        <v>36097.675000000003</v>
      </c>
      <c r="J46" s="78">
        <f t="shared" si="29"/>
        <v>252683.72499999998</v>
      </c>
      <c r="K46" s="78">
        <f t="shared" si="29"/>
        <v>72195.350000000006</v>
      </c>
      <c r="L46" s="78">
        <f t="shared" si="29"/>
        <v>0</v>
      </c>
      <c r="M46" s="78">
        <f t="shared" si="29"/>
        <v>245000</v>
      </c>
      <c r="N46" s="78">
        <f t="shared" si="29"/>
        <v>7219.5349999999999</v>
      </c>
      <c r="O46" s="78">
        <f t="shared" si="29"/>
        <v>50000</v>
      </c>
      <c r="P46" s="78">
        <f t="shared" si="29"/>
        <v>25000</v>
      </c>
      <c r="Q46" s="78">
        <f t="shared" si="29"/>
        <v>982392.33624999993</v>
      </c>
      <c r="R46" s="358"/>
      <c r="S46" s="78">
        <f>SUM(S39:S45)</f>
        <v>1158366.3333333333</v>
      </c>
      <c r="T46" s="78">
        <f t="shared" ref="T46:AB46" si="30">SUM(T39:T45)</f>
        <v>175973.99708333338</v>
      </c>
      <c r="U46" s="78">
        <f t="shared" si="30"/>
        <v>469.48250000000002</v>
      </c>
      <c r="V46" s="78">
        <f t="shared" si="30"/>
        <v>570.95000000000005</v>
      </c>
      <c r="W46" s="78">
        <f t="shared" si="30"/>
        <v>90070.133554</v>
      </c>
      <c r="X46" s="78">
        <f t="shared" si="30"/>
        <v>113932.82973333332</v>
      </c>
      <c r="Y46" s="78">
        <f t="shared" si="30"/>
        <v>23862.696179333325</v>
      </c>
      <c r="Z46" s="390">
        <f t="shared" si="30"/>
        <v>152111.30090400006</v>
      </c>
      <c r="AA46" s="78"/>
      <c r="AB46" s="390">
        <f t="shared" si="30"/>
        <v>626877.5331756993</v>
      </c>
      <c r="AC46" s="213"/>
    </row>
    <row r="47" spans="1:29" ht="19.5" customHeight="1">
      <c r="A47" s="357"/>
      <c r="B47" s="227" t="s">
        <v>8</v>
      </c>
      <c r="C47" s="228">
        <f>C46+C36+C32+C26+C21+C17+C12+C8</f>
        <v>18</v>
      </c>
      <c r="D47" s="229"/>
      <c r="E47" s="230">
        <f t="shared" ref="E47:AB47" si="31">E46+E36+E32+E26+E21+E17+E12+E8</f>
        <v>335250.55000000005</v>
      </c>
      <c r="F47" s="230">
        <f t="shared" si="31"/>
        <v>1005751.65</v>
      </c>
      <c r="G47" s="230">
        <f t="shared" si="31"/>
        <v>25143.791249999998</v>
      </c>
      <c r="H47" s="230">
        <f t="shared" si="31"/>
        <v>0</v>
      </c>
      <c r="I47" s="230">
        <f t="shared" si="31"/>
        <v>167625.27500000002</v>
      </c>
      <c r="J47" s="230">
        <f t="shared" si="31"/>
        <v>1173376.925</v>
      </c>
      <c r="K47" s="230">
        <f t="shared" si="31"/>
        <v>335250.55000000005</v>
      </c>
      <c r="L47" s="230">
        <f t="shared" si="31"/>
        <v>900000</v>
      </c>
      <c r="M47" s="230">
        <f t="shared" si="31"/>
        <v>485000</v>
      </c>
      <c r="N47" s="230">
        <f t="shared" si="31"/>
        <v>33525.055000000008</v>
      </c>
      <c r="O47" s="230">
        <f t="shared" si="31"/>
        <v>220000</v>
      </c>
      <c r="P47" s="230">
        <f t="shared" si="31"/>
        <v>125000</v>
      </c>
      <c r="Q47" s="230">
        <f t="shared" si="31"/>
        <v>4805923.7962499997</v>
      </c>
      <c r="R47" s="230">
        <f t="shared" si="31"/>
        <v>0</v>
      </c>
      <c r="S47" s="230">
        <f t="shared" si="31"/>
        <v>5441541.75</v>
      </c>
      <c r="T47" s="230">
        <f t="shared" si="31"/>
        <v>607584.35750000004</v>
      </c>
      <c r="U47" s="230">
        <f t="shared" si="31"/>
        <v>3786.2672500000008</v>
      </c>
      <c r="V47" s="230">
        <f t="shared" si="31"/>
        <v>2789.2</v>
      </c>
      <c r="W47" s="230">
        <f t="shared" si="31"/>
        <v>599042.5433726667</v>
      </c>
      <c r="X47" s="230">
        <f t="shared" si="31"/>
        <v>708944.46730666654</v>
      </c>
      <c r="Y47" s="230">
        <f t="shared" si="31"/>
        <v>109901.92393400002</v>
      </c>
      <c r="Z47" s="392">
        <f t="shared" si="31"/>
        <v>525716.02981600002</v>
      </c>
      <c r="AA47" s="230">
        <f t="shared" si="31"/>
        <v>0</v>
      </c>
      <c r="AB47" s="392">
        <f t="shared" si="31"/>
        <v>2102520.8772578062</v>
      </c>
      <c r="AC47" s="213"/>
    </row>
    <row r="48" spans="1:29" ht="20.100000000000001" customHeight="1">
      <c r="A48" s="202"/>
      <c r="B48" s="231"/>
      <c r="C48" s="202"/>
      <c r="D48" s="232"/>
      <c r="E48" s="232"/>
      <c r="F48" s="232"/>
      <c r="G48" s="232"/>
      <c r="H48" s="232"/>
      <c r="I48" s="233"/>
      <c r="J48" s="233"/>
      <c r="K48" s="233"/>
      <c r="L48" s="233"/>
      <c r="M48" s="233"/>
      <c r="N48" s="233"/>
      <c r="O48" s="233"/>
      <c r="P48" s="233"/>
      <c r="Q48" s="233"/>
      <c r="R48" s="233"/>
      <c r="S48" s="233"/>
      <c r="T48" s="233"/>
      <c r="U48" s="233"/>
      <c r="V48" s="233"/>
      <c r="W48" s="377"/>
      <c r="X48" s="234"/>
      <c r="Y48" s="234"/>
      <c r="Z48" s="234"/>
      <c r="AA48" s="234"/>
      <c r="AB48" s="234"/>
      <c r="AC48" s="235"/>
    </row>
    <row r="49" spans="1:28" ht="36.75" customHeight="1">
      <c r="A49" s="202"/>
      <c r="B49" s="231"/>
      <c r="C49" s="232"/>
      <c r="D49" s="232"/>
      <c r="E49" s="232"/>
      <c r="F49" s="232"/>
      <c r="G49" s="232"/>
      <c r="H49" s="232"/>
      <c r="I49" s="233"/>
      <c r="J49" s="233"/>
      <c r="K49" s="233"/>
      <c r="L49" s="233"/>
      <c r="M49" s="233"/>
      <c r="N49" s="233"/>
      <c r="O49" s="233"/>
      <c r="Q49" s="233"/>
      <c r="R49" s="233"/>
      <c r="S49" s="233"/>
      <c r="T49" s="233"/>
      <c r="U49" s="233"/>
      <c r="V49" s="233"/>
      <c r="W49" s="377"/>
      <c r="X49" s="234"/>
      <c r="Y49" s="234"/>
      <c r="Z49" s="234"/>
      <c r="AA49" s="234"/>
      <c r="AB49" s="234"/>
    </row>
    <row r="52" spans="1:28" ht="20.100000000000001" customHeight="1">
      <c r="Q52" s="235"/>
      <c r="R52" s="235"/>
      <c r="S52" s="235"/>
      <c r="T52" s="235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Views>
    <sheetView workbookViewId="0">
      <selection activeCell="H14" sqref="H14"/>
    </sheetView>
  </sheetViews>
  <sheetFormatPr defaultRowHeight="12.75"/>
  <cols>
    <col min="2" max="2" width="11.28515625" customWidth="1"/>
    <col min="3" max="3" width="12.140625" customWidth="1"/>
    <col min="4" max="6" width="11.28515625" customWidth="1"/>
    <col min="7" max="7" width="11" customWidth="1"/>
    <col min="8" max="8" width="13.5703125" style="378" customWidth="1"/>
    <col min="9" max="9" width="11.28515625" customWidth="1"/>
    <col min="10" max="10" width="13.28515625" customWidth="1"/>
    <col min="11" max="12" width="11" customWidth="1"/>
    <col min="13" max="13" width="12.42578125" customWidth="1"/>
    <col min="14" max="14" width="11.140625" customWidth="1"/>
    <col min="15" max="15" width="11.28515625" customWidth="1"/>
    <col min="16" max="16" width="11.42578125" customWidth="1"/>
  </cols>
  <sheetData>
    <row r="1" spans="1:18">
      <c r="A1" s="341" t="s">
        <v>672</v>
      </c>
      <c r="B1" s="341"/>
      <c r="C1" s="341"/>
      <c r="D1" s="341"/>
      <c r="E1" s="341"/>
      <c r="F1" s="341"/>
      <c r="G1" s="341"/>
      <c r="H1" s="401"/>
      <c r="I1" s="341"/>
      <c r="J1" s="341"/>
      <c r="K1" s="341"/>
      <c r="L1" s="341"/>
      <c r="M1" s="341"/>
      <c r="N1" s="341"/>
      <c r="O1" s="341"/>
      <c r="P1" s="341"/>
      <c r="Q1" s="397"/>
      <c r="R1" s="397"/>
    </row>
    <row r="2" spans="1:18">
      <c r="A2" s="341" t="s">
        <v>673</v>
      </c>
      <c r="B2" s="341"/>
      <c r="C2" s="341"/>
      <c r="D2" s="341"/>
      <c r="E2" s="341"/>
      <c r="F2" s="341"/>
      <c r="G2" s="341"/>
      <c r="H2" s="402"/>
      <c r="I2" s="341"/>
      <c r="J2" s="341"/>
      <c r="K2" s="341"/>
      <c r="L2" s="341"/>
      <c r="M2" s="341"/>
      <c r="N2" s="341"/>
      <c r="O2" s="341"/>
      <c r="P2" s="341"/>
      <c r="Q2" s="397"/>
      <c r="R2" s="397"/>
    </row>
    <row r="3" spans="1:18">
      <c r="A3" s="341"/>
      <c r="B3" s="341" t="s">
        <v>674</v>
      </c>
      <c r="C3" s="341" t="s">
        <v>675</v>
      </c>
      <c r="D3" s="341" t="s">
        <v>676</v>
      </c>
      <c r="E3" s="341" t="s">
        <v>677</v>
      </c>
      <c r="F3" s="341" t="s">
        <v>678</v>
      </c>
      <c r="G3" s="341" t="s">
        <v>679</v>
      </c>
      <c r="H3" s="402" t="s">
        <v>680</v>
      </c>
      <c r="I3" s="341" t="s">
        <v>681</v>
      </c>
      <c r="J3" s="341" t="s">
        <v>682</v>
      </c>
      <c r="K3" s="341" t="s">
        <v>683</v>
      </c>
      <c r="L3" s="341" t="s">
        <v>684</v>
      </c>
      <c r="M3" s="341" t="s">
        <v>685</v>
      </c>
      <c r="N3" s="341" t="s">
        <v>686</v>
      </c>
      <c r="O3" s="341" t="s">
        <v>687</v>
      </c>
      <c r="P3" s="341" t="s">
        <v>688</v>
      </c>
      <c r="Q3" s="397"/>
      <c r="R3" s="397"/>
    </row>
    <row r="4" spans="1:18">
      <c r="A4" s="341" t="s">
        <v>689</v>
      </c>
      <c r="B4" s="341" t="s">
        <v>5</v>
      </c>
      <c r="C4" s="341" t="s">
        <v>5</v>
      </c>
      <c r="D4" s="341" t="s">
        <v>5</v>
      </c>
      <c r="E4" s="341" t="s">
        <v>5</v>
      </c>
      <c r="F4" s="341" t="s">
        <v>5</v>
      </c>
      <c r="G4" s="341" t="s">
        <v>5</v>
      </c>
      <c r="H4" s="402" t="s">
        <v>5</v>
      </c>
      <c r="I4" s="341" t="s">
        <v>5</v>
      </c>
      <c r="J4" s="341" t="s">
        <v>5</v>
      </c>
      <c r="K4" s="341" t="s">
        <v>5</v>
      </c>
      <c r="L4" s="341" t="s">
        <v>5</v>
      </c>
      <c r="M4" s="341" t="s">
        <v>5</v>
      </c>
      <c r="N4" s="341" t="s">
        <v>5</v>
      </c>
      <c r="O4" s="341" t="s">
        <v>5</v>
      </c>
      <c r="P4" s="341" t="s">
        <v>5</v>
      </c>
      <c r="Q4" s="397"/>
      <c r="R4" s="397"/>
    </row>
    <row r="5" spans="1:18" ht="14.25">
      <c r="A5" s="399" t="s">
        <v>690</v>
      </c>
      <c r="B5" s="399">
        <v>32012.166666666668</v>
      </c>
      <c r="C5" s="399">
        <v>32710.5</v>
      </c>
      <c r="D5" s="399">
        <v>33408.75</v>
      </c>
      <c r="E5" s="399">
        <v>34107.083333333336</v>
      </c>
      <c r="F5" s="399">
        <v>34805.5</v>
      </c>
      <c r="G5" s="399">
        <v>35503.75</v>
      </c>
      <c r="H5" s="400">
        <v>36202.083333333336</v>
      </c>
      <c r="I5" s="399">
        <v>36900.333333333336</v>
      </c>
      <c r="J5" s="399">
        <v>37598.666666666664</v>
      </c>
      <c r="K5" s="399">
        <v>38297.083333333336</v>
      </c>
      <c r="L5" s="399">
        <v>38995.333333333336</v>
      </c>
      <c r="M5" s="399">
        <v>39693.666666666664</v>
      </c>
      <c r="N5" s="399">
        <v>40391.916666666664</v>
      </c>
      <c r="O5" s="399">
        <v>41090.166666666664</v>
      </c>
      <c r="P5" s="399">
        <v>41788.666666666664</v>
      </c>
      <c r="Q5" s="397"/>
      <c r="R5" s="397"/>
    </row>
    <row r="6" spans="1:18" ht="14.25">
      <c r="A6" s="399" t="s">
        <v>691</v>
      </c>
      <c r="B6" s="399">
        <v>32532.166666666668</v>
      </c>
      <c r="C6" s="399">
        <v>33445.166666666664</v>
      </c>
      <c r="D6" s="399">
        <v>34358.333333333336</v>
      </c>
      <c r="E6" s="399">
        <v>35271.25</v>
      </c>
      <c r="F6" s="399">
        <v>36184.25</v>
      </c>
      <c r="G6" s="399">
        <v>37097.416666666664</v>
      </c>
      <c r="H6" s="400">
        <v>38010.333333333336</v>
      </c>
      <c r="I6" s="399">
        <v>38923.416666666664</v>
      </c>
      <c r="J6" s="399">
        <v>39836.416666666664</v>
      </c>
      <c r="K6" s="399">
        <v>40749.416666666664</v>
      </c>
      <c r="L6" s="399">
        <v>41662.5</v>
      </c>
      <c r="M6" s="399">
        <v>42575.5</v>
      </c>
      <c r="N6" s="399">
        <v>43488.666666666664</v>
      </c>
      <c r="O6" s="399">
        <v>44401.583333333336</v>
      </c>
      <c r="P6" s="399">
        <v>45314.583333333336</v>
      </c>
      <c r="Q6" s="397"/>
      <c r="R6" s="397"/>
    </row>
    <row r="7" spans="1:18" ht="14.25">
      <c r="A7" s="399" t="s">
        <v>692</v>
      </c>
      <c r="B7" s="399">
        <v>32976.25</v>
      </c>
      <c r="C7" s="399">
        <v>34098.416666666664</v>
      </c>
      <c r="D7" s="399">
        <v>35220.666666666664</v>
      </c>
      <c r="E7" s="399">
        <v>36343</v>
      </c>
      <c r="F7" s="399">
        <v>37465.166666666664</v>
      </c>
      <c r="G7" s="399">
        <v>38587.416666666664</v>
      </c>
      <c r="H7" s="400">
        <v>39709.666666666664</v>
      </c>
      <c r="I7" s="399">
        <v>40823.583333333336</v>
      </c>
      <c r="J7" s="399">
        <v>41954.083333333336</v>
      </c>
      <c r="K7" s="399">
        <v>43076.416666666664</v>
      </c>
      <c r="L7" s="399">
        <v>44198.666666666664</v>
      </c>
      <c r="M7" s="399">
        <v>45445.833333333336</v>
      </c>
      <c r="N7" s="399">
        <v>46443.166666666664</v>
      </c>
      <c r="O7" s="399">
        <v>47565.333333333336</v>
      </c>
      <c r="P7" s="399">
        <v>48687.5</v>
      </c>
      <c r="Q7" s="397"/>
      <c r="R7" s="397"/>
    </row>
    <row r="8" spans="1:18" ht="14.25">
      <c r="A8" s="399" t="s">
        <v>693</v>
      </c>
      <c r="B8" s="399">
        <v>34542.5</v>
      </c>
      <c r="C8" s="399">
        <v>35890.833333333336</v>
      </c>
      <c r="D8" s="399">
        <v>37238.916666666664</v>
      </c>
      <c r="E8" s="399">
        <v>38587.166666666664</v>
      </c>
      <c r="F8" s="399">
        <v>39935.5</v>
      </c>
      <c r="G8" s="399">
        <v>41283.75</v>
      </c>
      <c r="H8" s="400">
        <v>42631.916666666664</v>
      </c>
      <c r="I8" s="399">
        <v>43980</v>
      </c>
      <c r="J8" s="399">
        <v>45328.333333333336</v>
      </c>
      <c r="K8" s="399">
        <v>46676.416666666664</v>
      </c>
      <c r="L8" s="399">
        <v>48024.666666666664</v>
      </c>
      <c r="M8" s="399">
        <v>49373</v>
      </c>
      <c r="N8" s="399">
        <v>50721.166666666664</v>
      </c>
      <c r="O8" s="399">
        <v>52069.416666666664</v>
      </c>
      <c r="P8" s="399">
        <v>53417.5</v>
      </c>
      <c r="Q8" s="397"/>
      <c r="R8" s="397"/>
    </row>
    <row r="9" spans="1:18" ht="14.25">
      <c r="A9" s="399" t="s">
        <v>694</v>
      </c>
      <c r="B9" s="399">
        <v>39140.333333333336</v>
      </c>
      <c r="C9" s="399">
        <v>40706.583333333336</v>
      </c>
      <c r="D9" s="399">
        <v>42272.833333333336</v>
      </c>
      <c r="E9" s="399">
        <v>43839.083333333336</v>
      </c>
      <c r="F9" s="399">
        <v>45405.5</v>
      </c>
      <c r="G9" s="399">
        <v>46971.75</v>
      </c>
      <c r="H9" s="400">
        <v>48538</v>
      </c>
      <c r="I9" s="399">
        <v>50104.416666666664</v>
      </c>
      <c r="J9" s="399">
        <v>51670.666666666664</v>
      </c>
      <c r="K9" s="399">
        <v>53236.916666666664</v>
      </c>
      <c r="L9" s="399">
        <v>54803.166666666664</v>
      </c>
      <c r="M9" s="399">
        <v>56369.583333333336</v>
      </c>
      <c r="N9" s="399">
        <v>57936</v>
      </c>
      <c r="O9" s="399">
        <v>59502.083333333336</v>
      </c>
      <c r="P9" s="399">
        <v>61068.333333333336</v>
      </c>
      <c r="Q9" s="397"/>
      <c r="R9" s="397"/>
    </row>
    <row r="10" spans="1:18" ht="14.25">
      <c r="A10" s="399" t="s">
        <v>695</v>
      </c>
      <c r="B10" s="399">
        <v>47723.333333333336</v>
      </c>
      <c r="C10" s="399">
        <v>49632.5</v>
      </c>
      <c r="D10" s="399">
        <v>51541.75</v>
      </c>
      <c r="E10" s="399">
        <v>53450.916666666664</v>
      </c>
      <c r="F10" s="399">
        <v>55360.166666666664</v>
      </c>
      <c r="G10" s="399">
        <v>57269.416666666664</v>
      </c>
      <c r="H10" s="400">
        <v>59178.666666666664</v>
      </c>
      <c r="I10" s="399">
        <v>61087.833333333336</v>
      </c>
      <c r="J10" s="399">
        <v>62997.083333333336</v>
      </c>
      <c r="K10" s="399">
        <v>64906.25</v>
      </c>
      <c r="L10" s="399">
        <v>66815.5</v>
      </c>
      <c r="M10" s="399">
        <v>68724.666666666672</v>
      </c>
      <c r="N10" s="399">
        <v>70633.916666666672</v>
      </c>
      <c r="O10" s="399">
        <v>72543.166666666672</v>
      </c>
      <c r="P10" s="399">
        <v>74452.416666666672</v>
      </c>
      <c r="Q10" s="397"/>
      <c r="R10" s="397"/>
    </row>
    <row r="11" spans="1:18" ht="14.25">
      <c r="A11" s="399" t="s">
        <v>696</v>
      </c>
      <c r="B11" s="399">
        <v>79244.583333333328</v>
      </c>
      <c r="C11" s="399">
        <v>82174.666666666672</v>
      </c>
      <c r="D11" s="399">
        <v>85104.916666666672</v>
      </c>
      <c r="E11" s="399">
        <v>88034.916666666672</v>
      </c>
      <c r="F11" s="399">
        <v>106590</v>
      </c>
      <c r="G11" s="399">
        <v>93895</v>
      </c>
      <c r="H11" s="400">
        <v>96825.166666666672</v>
      </c>
      <c r="I11" s="399">
        <v>99755.166666666672</v>
      </c>
      <c r="J11" s="399">
        <v>102685.33333333333</v>
      </c>
      <c r="K11" s="399">
        <v>105615.33333333333</v>
      </c>
      <c r="L11" s="399">
        <v>108545.5</v>
      </c>
      <c r="M11" s="399">
        <v>111468</v>
      </c>
      <c r="N11" s="399">
        <v>114405.66666666667</v>
      </c>
      <c r="O11" s="399">
        <v>117335.83333333333</v>
      </c>
      <c r="P11" s="399">
        <v>120265.83333333333</v>
      </c>
      <c r="Q11" s="397"/>
      <c r="R11" s="397"/>
    </row>
    <row r="12" spans="1:18" ht="14.25">
      <c r="A12" s="399" t="s">
        <v>697</v>
      </c>
      <c r="B12" s="399">
        <v>102403.75</v>
      </c>
      <c r="C12" s="399">
        <v>105891.25</v>
      </c>
      <c r="D12" s="399">
        <v>109378.75</v>
      </c>
      <c r="E12" s="399">
        <v>112866.25</v>
      </c>
      <c r="F12" s="399">
        <v>116353.66666666667</v>
      </c>
      <c r="G12" s="399">
        <v>119841.16666666667</v>
      </c>
      <c r="H12" s="400">
        <v>123328.66666666667</v>
      </c>
      <c r="I12" s="399">
        <v>126816.16666666667</v>
      </c>
      <c r="J12" s="399">
        <v>130303.66666666667</v>
      </c>
      <c r="K12" s="399">
        <v>133791.16666666666</v>
      </c>
      <c r="L12" s="399">
        <v>137278.66666666666</v>
      </c>
      <c r="M12" s="399">
        <v>140766.16666666666</v>
      </c>
      <c r="N12" s="399">
        <v>144253.66666666666</v>
      </c>
      <c r="O12" s="399">
        <v>147741.16666666666</v>
      </c>
      <c r="P12" s="399">
        <v>151228.66666666666</v>
      </c>
      <c r="Q12" s="397"/>
      <c r="R12" s="397"/>
    </row>
    <row r="13" spans="1:18" ht="14.25">
      <c r="A13" s="399" t="s">
        <v>698</v>
      </c>
      <c r="B13" s="399">
        <v>120290</v>
      </c>
      <c r="C13" s="399">
        <v>124442.16666666667</v>
      </c>
      <c r="D13" s="399">
        <v>128594.58333333333</v>
      </c>
      <c r="E13" s="399">
        <v>132746.75</v>
      </c>
      <c r="F13" s="399">
        <v>136899.08333333334</v>
      </c>
      <c r="G13" s="399">
        <v>141051.25</v>
      </c>
      <c r="H13" s="400">
        <v>145203.66666666666</v>
      </c>
      <c r="I13" s="399">
        <v>149355.83333333334</v>
      </c>
      <c r="J13" s="399">
        <v>153508</v>
      </c>
      <c r="K13" s="399">
        <v>157660.33333333334</v>
      </c>
      <c r="L13" s="399">
        <v>161812.5</v>
      </c>
      <c r="M13" s="399">
        <v>165964.91666666666</v>
      </c>
      <c r="N13" s="399">
        <v>170117.08333333334</v>
      </c>
      <c r="O13" s="399">
        <v>174269.41666666666</v>
      </c>
      <c r="P13" s="399">
        <v>178421.58333333334</v>
      </c>
      <c r="Q13" s="397"/>
      <c r="R13" s="397"/>
    </row>
    <row r="14" spans="1:18" ht="14.25">
      <c r="A14" s="399" t="s">
        <v>699</v>
      </c>
      <c r="B14" s="399">
        <v>141204.91666666666</v>
      </c>
      <c r="C14" s="399">
        <v>145770.91666666666</v>
      </c>
      <c r="D14" s="399">
        <v>150337.08333333334</v>
      </c>
      <c r="E14" s="399">
        <v>154903.33333333334</v>
      </c>
      <c r="F14" s="399">
        <v>159469.41666666666</v>
      </c>
      <c r="G14" s="399">
        <v>164035.5</v>
      </c>
      <c r="H14" s="400">
        <v>168601.58333333334</v>
      </c>
      <c r="I14" s="399">
        <v>173167.66666666666</v>
      </c>
      <c r="J14" s="399">
        <v>177733.75</v>
      </c>
      <c r="K14" s="399">
        <v>182299.91666666666</v>
      </c>
      <c r="L14" s="399">
        <v>186865.91666666666</v>
      </c>
      <c r="M14" s="399">
        <v>191432.16666666666</v>
      </c>
      <c r="N14" s="399">
        <v>195998.33333333334</v>
      </c>
      <c r="O14" s="399">
        <v>200564.41666666666</v>
      </c>
      <c r="P14" s="399">
        <v>205130.5</v>
      </c>
      <c r="Q14" s="397"/>
      <c r="R14" s="397"/>
    </row>
    <row r="15" spans="1:18" ht="14.25">
      <c r="A15" s="399" t="s">
        <v>700</v>
      </c>
      <c r="B15" s="399">
        <v>162876.25</v>
      </c>
      <c r="C15" s="399">
        <v>169958.91666666666</v>
      </c>
      <c r="D15" s="399">
        <v>177039.91666666666</v>
      </c>
      <c r="E15" s="399">
        <v>184124.08333333334</v>
      </c>
      <c r="F15" s="399">
        <v>191206.58333333334</v>
      </c>
      <c r="G15" s="399">
        <v>198289.25</v>
      </c>
      <c r="H15" s="400">
        <v>205371.75</v>
      </c>
      <c r="I15" s="399">
        <v>212454.41666666666</v>
      </c>
      <c r="J15" s="399">
        <v>219536.91666666666</v>
      </c>
      <c r="K15" s="399">
        <v>226619.58333333334</v>
      </c>
      <c r="L15" s="399">
        <v>233702.08333333334</v>
      </c>
      <c r="M15" s="399"/>
      <c r="N15" s="399"/>
      <c r="O15" s="399"/>
      <c r="P15" s="399"/>
      <c r="Q15" s="397"/>
      <c r="R15" s="397"/>
    </row>
    <row r="16" spans="1:18" ht="14.25">
      <c r="A16" s="399" t="s">
        <v>701</v>
      </c>
      <c r="B16" s="399">
        <v>181786.41666666666</v>
      </c>
      <c r="C16" s="399">
        <v>189274.25</v>
      </c>
      <c r="D16" s="399">
        <v>198324.58333333334</v>
      </c>
      <c r="E16" s="399">
        <v>204249.91666666666</v>
      </c>
      <c r="F16" s="399">
        <v>211737.66666666666</v>
      </c>
      <c r="G16" s="399">
        <v>219225.5</v>
      </c>
      <c r="H16" s="400">
        <v>226713.33333333334</v>
      </c>
      <c r="I16" s="399">
        <v>234201.16666666666</v>
      </c>
      <c r="J16" s="399">
        <v>242001.41666666666</v>
      </c>
      <c r="K16" s="399">
        <v>249176.75</v>
      </c>
      <c r="L16" s="399">
        <v>256664.58333333334</v>
      </c>
      <c r="M16" s="399"/>
      <c r="N16" s="399"/>
      <c r="O16" s="399"/>
      <c r="P16" s="399"/>
      <c r="Q16" s="397"/>
      <c r="R16" s="397"/>
    </row>
    <row r="17" spans="1:18" ht="14.25">
      <c r="A17" s="399" t="s">
        <v>702</v>
      </c>
      <c r="B17" s="399">
        <v>200784.08333333334</v>
      </c>
      <c r="C17" s="399">
        <v>208845.16666666666</v>
      </c>
      <c r="D17" s="399">
        <v>216904.66666666666</v>
      </c>
      <c r="E17" s="399">
        <v>224967.16666666666</v>
      </c>
      <c r="F17" s="399">
        <v>233028.33333333334</v>
      </c>
      <c r="G17" s="399">
        <v>241089.25</v>
      </c>
      <c r="H17" s="400">
        <v>249153.41666666666</v>
      </c>
      <c r="I17" s="399">
        <v>257211.25</v>
      </c>
      <c r="J17" s="399">
        <v>265272.41666666669</v>
      </c>
      <c r="K17" s="399">
        <v>273333.41666666669</v>
      </c>
      <c r="L17" s="399">
        <v>281394.41666666669</v>
      </c>
      <c r="M17" s="399"/>
      <c r="N17" s="399"/>
      <c r="O17" s="399"/>
      <c r="P17" s="399"/>
      <c r="Q17" s="397"/>
      <c r="R17" s="397"/>
    </row>
    <row r="18" spans="1:18" ht="14.25">
      <c r="A18" s="399" t="s">
        <v>703</v>
      </c>
      <c r="B18" s="399">
        <v>276221.25</v>
      </c>
      <c r="C18" s="399">
        <v>287637.83333333331</v>
      </c>
      <c r="D18" s="399">
        <v>299054.25</v>
      </c>
      <c r="E18" s="399">
        <v>312760.25</v>
      </c>
      <c r="F18" s="399">
        <v>321887.16666666669</v>
      </c>
      <c r="G18" s="399">
        <v>333303.75</v>
      </c>
      <c r="H18" s="400">
        <v>344720.16666666669</v>
      </c>
      <c r="I18" s="399">
        <v>356136.75</v>
      </c>
      <c r="J18" s="399">
        <v>367553.16666666669</v>
      </c>
      <c r="K18" s="399"/>
      <c r="L18" s="399"/>
      <c r="M18" s="399"/>
      <c r="N18" s="399"/>
      <c r="O18" s="399"/>
      <c r="P18" s="399"/>
      <c r="Q18" s="397"/>
      <c r="R18" s="397"/>
    </row>
    <row r="19" spans="1:18" ht="14.25">
      <c r="A19" s="399" t="s">
        <v>704</v>
      </c>
      <c r="B19" s="399">
        <v>341699.58333333331</v>
      </c>
      <c r="C19" s="399">
        <v>355420.16666666669</v>
      </c>
      <c r="D19" s="399">
        <v>369154.91666666669</v>
      </c>
      <c r="E19" s="399">
        <v>382861.41666666669</v>
      </c>
      <c r="F19" s="399">
        <v>396582.08333333331</v>
      </c>
      <c r="G19" s="399">
        <v>410302.66666666669</v>
      </c>
      <c r="H19" s="400">
        <v>424023.33333333331</v>
      </c>
      <c r="I19" s="399">
        <v>437743.91666666669</v>
      </c>
      <c r="J19" s="399">
        <v>451464.58333333331</v>
      </c>
      <c r="K19" s="399"/>
      <c r="L19" s="399"/>
      <c r="M19" s="399"/>
      <c r="N19" s="399"/>
      <c r="O19" s="399"/>
      <c r="P19" s="399"/>
      <c r="Q19" s="397"/>
      <c r="R19" s="397"/>
    </row>
    <row r="20" spans="1:18" ht="14.25">
      <c r="A20" s="399" t="s">
        <v>705</v>
      </c>
      <c r="B20" s="399">
        <v>652000</v>
      </c>
      <c r="C20" s="399">
        <v>676776.16666666663</v>
      </c>
      <c r="D20" s="399">
        <v>701552.16666666663</v>
      </c>
      <c r="E20" s="399">
        <v>726328.33333333337</v>
      </c>
      <c r="F20" s="399">
        <v>751104.41666666663</v>
      </c>
      <c r="G20" s="399">
        <v>775880.5</v>
      </c>
      <c r="H20" s="400">
        <v>800656.58333333337</v>
      </c>
      <c r="I20" s="399">
        <v>825432.66666666663</v>
      </c>
      <c r="J20" s="399">
        <v>850208.75</v>
      </c>
      <c r="K20" s="399"/>
      <c r="L20" s="399"/>
      <c r="M20" s="399"/>
      <c r="N20" s="399"/>
      <c r="O20" s="399"/>
      <c r="P20" s="399"/>
      <c r="Q20" s="397"/>
      <c r="R20" s="397"/>
    </row>
    <row r="21" spans="1:18" ht="14.25">
      <c r="A21" s="399"/>
      <c r="B21" s="399"/>
      <c r="C21" s="399"/>
      <c r="D21" s="399"/>
      <c r="E21" s="399"/>
      <c r="F21" s="399"/>
      <c r="G21" s="399"/>
      <c r="H21" s="400"/>
      <c r="I21" s="399"/>
      <c r="J21" s="399"/>
      <c r="K21" s="399"/>
      <c r="L21" s="399"/>
      <c r="M21" s="399"/>
      <c r="N21" s="399"/>
      <c r="O21" s="399"/>
      <c r="P21" s="399"/>
      <c r="Q21" s="397"/>
      <c r="R21" s="397"/>
    </row>
    <row r="22" spans="1:18">
      <c r="A22" s="397"/>
      <c r="B22" s="397"/>
      <c r="C22" s="397"/>
      <c r="D22" s="397"/>
      <c r="E22" s="397"/>
      <c r="F22" s="397"/>
      <c r="G22" s="397"/>
      <c r="H22" s="398"/>
      <c r="I22" s="397"/>
      <c r="J22" s="292"/>
      <c r="K22" s="397"/>
      <c r="L22" s="397"/>
      <c r="M22" s="397"/>
      <c r="N22" s="397"/>
      <c r="O22" s="397"/>
      <c r="P22" s="397"/>
      <c r="Q22" s="397"/>
      <c r="R22" s="397"/>
    </row>
    <row r="23" spans="1:18">
      <c r="D23" s="36"/>
      <c r="F23" s="36"/>
      <c r="H23" s="396"/>
    </row>
    <row r="24" spans="1:18">
      <c r="H24" s="396"/>
    </row>
    <row r="25" spans="1:18">
      <c r="H25" s="396"/>
    </row>
    <row r="26" spans="1:18">
      <c r="H26" s="396"/>
    </row>
    <row r="27" spans="1:18">
      <c r="H27" s="396"/>
    </row>
    <row r="28" spans="1:18">
      <c r="H28" s="396"/>
    </row>
    <row r="29" spans="1:18">
      <c r="H29" s="396"/>
    </row>
    <row r="30" spans="1:18">
      <c r="H30" s="396"/>
    </row>
    <row r="31" spans="1:18">
      <c r="H31" s="396"/>
    </row>
    <row r="32" spans="1:18">
      <c r="H32" s="396"/>
    </row>
    <row r="33" spans="8:8">
      <c r="H33" s="396"/>
    </row>
    <row r="34" spans="8:8">
      <c r="H34" s="396"/>
    </row>
    <row r="35" spans="8:8">
      <c r="H35" s="396"/>
    </row>
    <row r="36" spans="8:8">
      <c r="H36" s="396"/>
    </row>
    <row r="37" spans="8:8">
      <c r="H37" s="396"/>
    </row>
    <row r="38" spans="8:8">
      <c r="H38" s="396"/>
    </row>
    <row r="39" spans="8:8">
      <c r="H39" s="396"/>
    </row>
    <row r="40" spans="8:8">
      <c r="H40" s="396"/>
    </row>
    <row r="41" spans="8:8">
      <c r="H41" s="396"/>
    </row>
    <row r="42" spans="8:8">
      <c r="H42" s="396"/>
    </row>
    <row r="43" spans="8:8">
      <c r="H43" s="396"/>
    </row>
    <row r="44" spans="8:8">
      <c r="H44" s="396"/>
    </row>
    <row r="45" spans="8:8">
      <c r="H45" s="396"/>
    </row>
    <row r="46" spans="8:8">
      <c r="H46" s="396"/>
    </row>
    <row r="47" spans="8:8">
      <c r="H47" s="396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opLeftCell="A158" zoomScaleNormal="100" workbookViewId="0">
      <selection activeCell="L173" sqref="L173"/>
    </sheetView>
  </sheetViews>
  <sheetFormatPr defaultRowHeight="12.75"/>
  <cols>
    <col min="1" max="1" width="5.42578125" style="10" customWidth="1"/>
    <col min="2" max="2" width="33.28515625" style="10" customWidth="1"/>
    <col min="3" max="3" width="28.28515625" style="10" customWidth="1"/>
    <col min="4" max="4" width="8.28515625" style="10" customWidth="1"/>
    <col min="5" max="5" width="9.42578125" style="10" customWidth="1"/>
    <col min="6" max="6" width="9.140625" style="10" customWidth="1"/>
    <col min="7" max="7" width="8.7109375" style="10" customWidth="1"/>
    <col min="8" max="8" width="9.28515625" style="10" customWidth="1"/>
    <col min="9" max="9" width="11.7109375" style="10" customWidth="1"/>
    <col min="10" max="16384" width="9.140625" style="10"/>
  </cols>
  <sheetData>
    <row r="1" spans="1:11" ht="14.25">
      <c r="A1" s="731" t="s">
        <v>234</v>
      </c>
      <c r="B1" s="731"/>
      <c r="C1" s="731"/>
      <c r="D1" s="731"/>
      <c r="E1" s="731"/>
      <c r="F1" s="731"/>
      <c r="G1" s="731"/>
      <c r="H1" s="731"/>
      <c r="I1" s="731"/>
      <c r="J1" s="338"/>
      <c r="K1" s="338"/>
    </row>
    <row r="2" spans="1:11" ht="14.25">
      <c r="A2" s="731" t="s">
        <v>567</v>
      </c>
      <c r="B2" s="731"/>
      <c r="C2" s="731"/>
      <c r="D2" s="731"/>
      <c r="E2" s="731"/>
      <c r="F2" s="731"/>
      <c r="G2" s="731"/>
      <c r="H2" s="731"/>
      <c r="I2" s="731"/>
      <c r="J2" s="336"/>
      <c r="K2" s="336"/>
    </row>
    <row r="3" spans="1:11" ht="23.25" customHeight="1">
      <c r="A3" s="732" t="s">
        <v>568</v>
      </c>
      <c r="B3" s="732"/>
      <c r="C3" s="732"/>
      <c r="D3" s="732"/>
      <c r="E3" s="732"/>
      <c r="F3" s="732"/>
      <c r="G3" s="732"/>
      <c r="H3" s="732"/>
      <c r="I3" s="732"/>
    </row>
    <row r="5" spans="1:11" ht="42.75" customHeight="1">
      <c r="A5" s="339" t="s">
        <v>143</v>
      </c>
      <c r="B5" s="339" t="s">
        <v>0</v>
      </c>
      <c r="C5" s="339" t="s">
        <v>12</v>
      </c>
      <c r="D5" s="340" t="s">
        <v>309</v>
      </c>
      <c r="E5" s="340" t="s">
        <v>584</v>
      </c>
      <c r="F5" s="340" t="s">
        <v>585</v>
      </c>
      <c r="G5" s="340" t="s">
        <v>586</v>
      </c>
      <c r="H5" s="340" t="s">
        <v>587</v>
      </c>
      <c r="I5" s="343" t="s">
        <v>583</v>
      </c>
    </row>
    <row r="6" spans="1:11">
      <c r="B6" s="341" t="s">
        <v>433</v>
      </c>
    </row>
    <row r="7" spans="1:11">
      <c r="A7" s="350">
        <v>1</v>
      </c>
      <c r="B7" s="350" t="s">
        <v>224</v>
      </c>
      <c r="C7" s="350" t="s">
        <v>119</v>
      </c>
      <c r="D7" s="350" t="s">
        <v>582</v>
      </c>
      <c r="E7" s="351">
        <v>35000</v>
      </c>
      <c r="F7" s="351">
        <v>35000</v>
      </c>
      <c r="G7" s="351">
        <v>35000</v>
      </c>
      <c r="H7" s="351">
        <v>35000</v>
      </c>
      <c r="I7" s="351">
        <f>E7+F7+G7+H7</f>
        <v>140000</v>
      </c>
    </row>
    <row r="8" spans="1:11">
      <c r="A8" s="350">
        <v>2</v>
      </c>
      <c r="B8" s="352" t="s">
        <v>137</v>
      </c>
      <c r="C8" s="350" t="s">
        <v>540</v>
      </c>
      <c r="D8" s="350" t="s">
        <v>160</v>
      </c>
      <c r="E8" s="351">
        <v>35000</v>
      </c>
      <c r="F8" s="351">
        <v>35000</v>
      </c>
      <c r="G8" s="351">
        <v>35000</v>
      </c>
      <c r="H8" s="351">
        <v>35000</v>
      </c>
      <c r="I8" s="351">
        <f t="shared" ref="I8:I27" si="0">E8+F8+G8+H8</f>
        <v>140000</v>
      </c>
    </row>
    <row r="9" spans="1:11">
      <c r="A9" s="350">
        <v>3</v>
      </c>
      <c r="B9" s="350" t="s">
        <v>315</v>
      </c>
      <c r="C9" s="350" t="s">
        <v>316</v>
      </c>
      <c r="D9" s="350" t="s">
        <v>496</v>
      </c>
      <c r="E9" s="351">
        <v>35000</v>
      </c>
      <c r="F9" s="351">
        <v>35000</v>
      </c>
      <c r="G9" s="351">
        <v>35000</v>
      </c>
      <c r="H9" s="351">
        <v>35000</v>
      </c>
      <c r="I9" s="351">
        <f t="shared" si="0"/>
        <v>140000</v>
      </c>
    </row>
    <row r="10" spans="1:11">
      <c r="A10" s="350">
        <v>4</v>
      </c>
      <c r="B10" s="350" t="s">
        <v>317</v>
      </c>
      <c r="C10" s="350" t="s">
        <v>418</v>
      </c>
      <c r="D10" s="350" t="s">
        <v>221</v>
      </c>
      <c r="E10" s="351">
        <v>35000</v>
      </c>
      <c r="F10" s="351">
        <v>35000</v>
      </c>
      <c r="G10" s="351">
        <v>35000</v>
      </c>
      <c r="H10" s="351">
        <v>35000</v>
      </c>
      <c r="I10" s="351">
        <f t="shared" si="0"/>
        <v>140000</v>
      </c>
    </row>
    <row r="11" spans="1:11">
      <c r="A11" s="350">
        <v>5</v>
      </c>
      <c r="B11" s="350" t="s">
        <v>112</v>
      </c>
      <c r="C11" s="350" t="s">
        <v>473</v>
      </c>
      <c r="D11" s="350" t="s">
        <v>221</v>
      </c>
      <c r="E11" s="351">
        <v>35000</v>
      </c>
      <c r="F11" s="351">
        <v>35000</v>
      </c>
      <c r="G11" s="351">
        <v>35000</v>
      </c>
      <c r="H11" s="351">
        <v>35000</v>
      </c>
      <c r="I11" s="351">
        <f t="shared" si="0"/>
        <v>140000</v>
      </c>
    </row>
    <row r="12" spans="1:11">
      <c r="A12" s="350">
        <v>6</v>
      </c>
      <c r="B12" s="350" t="s">
        <v>187</v>
      </c>
      <c r="C12" s="350" t="s">
        <v>474</v>
      </c>
      <c r="D12" s="350" t="s">
        <v>221</v>
      </c>
      <c r="E12" s="351">
        <v>35000</v>
      </c>
      <c r="F12" s="351">
        <v>35000</v>
      </c>
      <c r="G12" s="351">
        <v>35000</v>
      </c>
      <c r="H12" s="351">
        <v>35000</v>
      </c>
      <c r="I12" s="351">
        <f t="shared" si="0"/>
        <v>140000</v>
      </c>
    </row>
    <row r="13" spans="1:11">
      <c r="A13" s="350">
        <v>7</v>
      </c>
      <c r="B13" s="350" t="s">
        <v>203</v>
      </c>
      <c r="C13" s="350" t="s">
        <v>475</v>
      </c>
      <c r="D13" s="350" t="s">
        <v>221</v>
      </c>
      <c r="E13" s="351">
        <v>35000</v>
      </c>
      <c r="F13" s="351">
        <v>35000</v>
      </c>
      <c r="G13" s="351">
        <v>35000</v>
      </c>
      <c r="H13" s="351">
        <v>35000</v>
      </c>
      <c r="I13" s="351">
        <f t="shared" si="0"/>
        <v>140000</v>
      </c>
    </row>
    <row r="14" spans="1:11">
      <c r="A14" s="350">
        <v>8</v>
      </c>
      <c r="B14" s="350" t="s">
        <v>111</v>
      </c>
      <c r="C14" s="350" t="s">
        <v>468</v>
      </c>
      <c r="D14" s="350" t="s">
        <v>75</v>
      </c>
      <c r="E14" s="351">
        <v>35000</v>
      </c>
      <c r="F14" s="351">
        <v>35000</v>
      </c>
      <c r="G14" s="351">
        <v>35000</v>
      </c>
      <c r="H14" s="351">
        <v>35000</v>
      </c>
      <c r="I14" s="351">
        <f t="shared" si="0"/>
        <v>140000</v>
      </c>
    </row>
    <row r="15" spans="1:11">
      <c r="A15" s="350">
        <v>9</v>
      </c>
      <c r="B15" s="350" t="s">
        <v>144</v>
      </c>
      <c r="C15" s="350" t="s">
        <v>389</v>
      </c>
      <c r="D15" s="350" t="s">
        <v>181</v>
      </c>
      <c r="E15" s="351">
        <v>35000</v>
      </c>
      <c r="F15" s="351">
        <v>35000</v>
      </c>
      <c r="G15" s="351">
        <v>35000</v>
      </c>
      <c r="H15" s="351">
        <v>35000</v>
      </c>
      <c r="I15" s="351">
        <f t="shared" si="0"/>
        <v>140000</v>
      </c>
    </row>
    <row r="16" spans="1:11">
      <c r="A16" s="350">
        <v>11</v>
      </c>
      <c r="B16" s="350" t="s">
        <v>18</v>
      </c>
      <c r="C16" s="350" t="s">
        <v>389</v>
      </c>
      <c r="D16" s="350" t="s">
        <v>181</v>
      </c>
      <c r="E16" s="351">
        <v>35000</v>
      </c>
      <c r="F16" s="351">
        <v>35000</v>
      </c>
      <c r="G16" s="351">
        <v>35000</v>
      </c>
      <c r="H16" s="351">
        <v>35000</v>
      </c>
      <c r="I16" s="351">
        <f t="shared" si="0"/>
        <v>140000</v>
      </c>
    </row>
    <row r="17" spans="1:9">
      <c r="A17" s="350">
        <v>12</v>
      </c>
      <c r="B17" s="350" t="s">
        <v>334</v>
      </c>
      <c r="C17" s="350" t="s">
        <v>351</v>
      </c>
      <c r="D17" s="350" t="s">
        <v>163</v>
      </c>
      <c r="E17" s="351">
        <v>35000</v>
      </c>
      <c r="F17" s="351">
        <v>35000</v>
      </c>
      <c r="G17" s="351">
        <v>35000</v>
      </c>
      <c r="H17" s="351">
        <v>35000</v>
      </c>
      <c r="I17" s="351">
        <f t="shared" si="0"/>
        <v>140000</v>
      </c>
    </row>
    <row r="18" spans="1:9">
      <c r="A18" s="350">
        <v>13</v>
      </c>
      <c r="B18" s="350" t="s">
        <v>291</v>
      </c>
      <c r="C18" s="350" t="s">
        <v>346</v>
      </c>
      <c r="D18" s="350" t="s">
        <v>413</v>
      </c>
      <c r="E18" s="351">
        <v>35000</v>
      </c>
      <c r="F18" s="351">
        <v>35000</v>
      </c>
      <c r="G18" s="351">
        <v>35000</v>
      </c>
      <c r="H18" s="351">
        <v>35000</v>
      </c>
      <c r="I18" s="351">
        <f t="shared" si="0"/>
        <v>140000</v>
      </c>
    </row>
    <row r="19" spans="1:9">
      <c r="A19" s="350">
        <v>14</v>
      </c>
      <c r="B19" s="350" t="s">
        <v>253</v>
      </c>
      <c r="C19" s="350" t="s">
        <v>478</v>
      </c>
      <c r="D19" s="350" t="s">
        <v>415</v>
      </c>
      <c r="E19" s="351">
        <v>35000</v>
      </c>
      <c r="F19" s="351">
        <v>35000</v>
      </c>
      <c r="G19" s="351">
        <v>35000</v>
      </c>
      <c r="H19" s="351">
        <v>35000</v>
      </c>
      <c r="I19" s="351">
        <f t="shared" si="0"/>
        <v>140000</v>
      </c>
    </row>
    <row r="20" spans="1:9">
      <c r="A20" s="350">
        <v>16</v>
      </c>
      <c r="B20" s="350" t="s">
        <v>254</v>
      </c>
      <c r="C20" s="350" t="s">
        <v>17</v>
      </c>
      <c r="D20" s="350" t="s">
        <v>498</v>
      </c>
      <c r="E20" s="351">
        <v>35000</v>
      </c>
      <c r="F20" s="351">
        <v>35000</v>
      </c>
      <c r="G20" s="351">
        <v>35000</v>
      </c>
      <c r="H20" s="351">
        <v>35000</v>
      </c>
      <c r="I20" s="351">
        <f t="shared" si="0"/>
        <v>140000</v>
      </c>
    </row>
    <row r="21" spans="1:9">
      <c r="A21" s="350">
        <v>17</v>
      </c>
      <c r="B21" s="350" t="s">
        <v>248</v>
      </c>
      <c r="C21" s="350" t="s">
        <v>480</v>
      </c>
      <c r="D21" s="350" t="s">
        <v>498</v>
      </c>
      <c r="E21" s="351">
        <v>35000</v>
      </c>
      <c r="F21" s="351">
        <v>35000</v>
      </c>
      <c r="G21" s="351">
        <v>35000</v>
      </c>
      <c r="H21" s="351">
        <v>35000</v>
      </c>
      <c r="I21" s="351">
        <f t="shared" si="0"/>
        <v>140000</v>
      </c>
    </row>
    <row r="22" spans="1:9">
      <c r="A22" s="350">
        <v>18</v>
      </c>
      <c r="B22" s="350" t="s">
        <v>288</v>
      </c>
      <c r="C22" s="350" t="s">
        <v>249</v>
      </c>
      <c r="D22" s="350" t="s">
        <v>267</v>
      </c>
      <c r="E22" s="351">
        <v>35000</v>
      </c>
      <c r="F22" s="351">
        <v>35000</v>
      </c>
      <c r="G22" s="351">
        <v>35000</v>
      </c>
      <c r="H22" s="351">
        <v>35000</v>
      </c>
      <c r="I22" s="351">
        <f t="shared" si="0"/>
        <v>140000</v>
      </c>
    </row>
    <row r="23" spans="1:9">
      <c r="A23" s="350">
        <v>19</v>
      </c>
      <c r="B23" s="350" t="s">
        <v>328</v>
      </c>
      <c r="C23" s="350" t="s">
        <v>329</v>
      </c>
      <c r="D23" s="350" t="s">
        <v>267</v>
      </c>
      <c r="E23" s="351">
        <v>35000</v>
      </c>
      <c r="F23" s="351">
        <v>35000</v>
      </c>
      <c r="G23" s="351">
        <v>35000</v>
      </c>
      <c r="H23" s="351">
        <v>35000</v>
      </c>
      <c r="I23" s="351">
        <f t="shared" si="0"/>
        <v>140000</v>
      </c>
    </row>
    <row r="24" spans="1:9">
      <c r="A24" s="350">
        <v>20</v>
      </c>
      <c r="B24" s="350" t="s">
        <v>360</v>
      </c>
      <c r="C24" s="350" t="s">
        <v>372</v>
      </c>
      <c r="D24" s="350" t="s">
        <v>498</v>
      </c>
      <c r="E24" s="351">
        <v>35000</v>
      </c>
      <c r="F24" s="351">
        <v>35000</v>
      </c>
      <c r="G24" s="351">
        <v>35000</v>
      </c>
      <c r="H24" s="351">
        <v>35000</v>
      </c>
      <c r="I24" s="351">
        <f t="shared" si="0"/>
        <v>140000</v>
      </c>
    </row>
    <row r="25" spans="1:9">
      <c r="A25" s="350">
        <v>21</v>
      </c>
      <c r="B25" s="350" t="s">
        <v>330</v>
      </c>
      <c r="C25" s="350" t="s">
        <v>533</v>
      </c>
      <c r="D25" s="350" t="s">
        <v>176</v>
      </c>
      <c r="E25" s="351">
        <v>35000</v>
      </c>
      <c r="F25" s="351">
        <v>35000</v>
      </c>
      <c r="G25" s="351">
        <v>35000</v>
      </c>
      <c r="H25" s="351">
        <v>35000</v>
      </c>
      <c r="I25" s="351">
        <f t="shared" si="0"/>
        <v>140000</v>
      </c>
    </row>
    <row r="26" spans="1:9">
      <c r="A26" s="350">
        <v>22</v>
      </c>
      <c r="B26" s="350" t="s">
        <v>274</v>
      </c>
      <c r="C26" s="350" t="s">
        <v>314</v>
      </c>
      <c r="D26" s="350" t="s">
        <v>176</v>
      </c>
      <c r="E26" s="351">
        <v>35000</v>
      </c>
      <c r="F26" s="351">
        <v>35000</v>
      </c>
      <c r="G26" s="351">
        <v>35000</v>
      </c>
      <c r="H26" s="351">
        <v>35000</v>
      </c>
      <c r="I26" s="351">
        <f t="shared" si="0"/>
        <v>140000</v>
      </c>
    </row>
    <row r="27" spans="1:9">
      <c r="A27" s="350">
        <v>23</v>
      </c>
      <c r="B27" s="350" t="s">
        <v>555</v>
      </c>
      <c r="C27" s="350" t="s">
        <v>314</v>
      </c>
      <c r="D27" s="350" t="s">
        <v>105</v>
      </c>
      <c r="E27" s="353">
        <v>35000</v>
      </c>
      <c r="F27" s="353">
        <v>35000</v>
      </c>
      <c r="G27" s="353">
        <v>35000</v>
      </c>
      <c r="H27" s="353">
        <v>35000</v>
      </c>
      <c r="I27" s="353">
        <f t="shared" si="0"/>
        <v>140000</v>
      </c>
    </row>
    <row r="28" spans="1:9">
      <c r="A28" s="350"/>
      <c r="B28" s="354" t="s">
        <v>569</v>
      </c>
      <c r="C28" s="350"/>
      <c r="D28" s="350"/>
      <c r="E28" s="355">
        <f>SUM(E7:E27)</f>
        <v>735000</v>
      </c>
      <c r="F28" s="355">
        <f>SUM(F7:F27)</f>
        <v>735000</v>
      </c>
      <c r="G28" s="355">
        <f>SUM(G7:G27)</f>
        <v>735000</v>
      </c>
      <c r="H28" s="355">
        <f>SUM(H7:H27)</f>
        <v>735000</v>
      </c>
      <c r="I28" s="355">
        <f>SUM(I7:I27)</f>
        <v>2940000</v>
      </c>
    </row>
    <row r="29" spans="1:9">
      <c r="E29" s="337"/>
      <c r="F29" s="337"/>
      <c r="G29" s="337"/>
      <c r="H29" s="337"/>
      <c r="I29" s="337"/>
    </row>
    <row r="30" spans="1:9">
      <c r="B30" s="341" t="s">
        <v>284</v>
      </c>
      <c r="E30" s="337"/>
      <c r="F30" s="337"/>
      <c r="G30" s="337"/>
      <c r="H30" s="337"/>
      <c r="I30" s="337"/>
    </row>
    <row r="31" spans="1:9">
      <c r="A31" s="350">
        <v>1</v>
      </c>
      <c r="B31" s="350" t="s">
        <v>361</v>
      </c>
      <c r="C31" s="350" t="s">
        <v>362</v>
      </c>
      <c r="D31" s="350" t="s">
        <v>161</v>
      </c>
      <c r="E31" s="351">
        <v>35000</v>
      </c>
      <c r="F31" s="351">
        <v>35000</v>
      </c>
      <c r="G31" s="351">
        <v>35000</v>
      </c>
      <c r="H31" s="351">
        <v>35000</v>
      </c>
      <c r="I31" s="351">
        <f>E31+F31+G31+H31</f>
        <v>140000</v>
      </c>
    </row>
    <row r="32" spans="1:9">
      <c r="A32" s="350">
        <v>2</v>
      </c>
      <c r="B32" s="350" t="s">
        <v>419</v>
      </c>
      <c r="C32" s="350" t="s">
        <v>427</v>
      </c>
      <c r="D32" s="350" t="s">
        <v>105</v>
      </c>
      <c r="E32" s="353">
        <v>35000</v>
      </c>
      <c r="F32" s="353">
        <v>35000</v>
      </c>
      <c r="G32" s="353">
        <v>35000</v>
      </c>
      <c r="H32" s="353">
        <v>35000</v>
      </c>
      <c r="I32" s="351">
        <f>E32+F32+G32+H32</f>
        <v>140000</v>
      </c>
    </row>
    <row r="33" spans="1:9">
      <c r="A33" s="350"/>
      <c r="B33" s="354" t="s">
        <v>570</v>
      </c>
      <c r="C33" s="350"/>
      <c r="D33" s="350"/>
      <c r="E33" s="355">
        <f>SUM(E31:E32)</f>
        <v>70000</v>
      </c>
      <c r="F33" s="355">
        <f t="shared" ref="F33:H33" si="1">SUM(F31:F32)</f>
        <v>70000</v>
      </c>
      <c r="G33" s="355">
        <f t="shared" si="1"/>
        <v>70000</v>
      </c>
      <c r="H33" s="355">
        <f t="shared" si="1"/>
        <v>70000</v>
      </c>
      <c r="I33" s="355">
        <f>SUM(I31:I32)</f>
        <v>280000</v>
      </c>
    </row>
    <row r="34" spans="1:9">
      <c r="E34" s="337"/>
      <c r="F34" s="337"/>
      <c r="G34" s="337"/>
      <c r="H34" s="337"/>
      <c r="I34" s="337"/>
    </row>
    <row r="35" spans="1:9">
      <c r="B35" s="341" t="s">
        <v>56</v>
      </c>
      <c r="E35" s="337"/>
      <c r="F35" s="337"/>
      <c r="G35" s="337"/>
      <c r="H35" s="337"/>
      <c r="I35" s="337"/>
    </row>
    <row r="36" spans="1:9">
      <c r="A36" s="350">
        <v>1</v>
      </c>
      <c r="B36" s="350" t="s">
        <v>255</v>
      </c>
      <c r="C36" s="350" t="s">
        <v>256</v>
      </c>
      <c r="D36" s="350" t="s">
        <v>161</v>
      </c>
      <c r="E36" s="351">
        <v>35000</v>
      </c>
      <c r="F36" s="351">
        <v>35000</v>
      </c>
      <c r="G36" s="351">
        <v>35000</v>
      </c>
      <c r="H36" s="351">
        <v>35000</v>
      </c>
      <c r="I36" s="351">
        <f>E36+F36+G36+H36</f>
        <v>140000</v>
      </c>
    </row>
    <row r="37" spans="1:9">
      <c r="A37" s="350">
        <v>2</v>
      </c>
      <c r="B37" s="350" t="s">
        <v>158</v>
      </c>
      <c r="C37" s="350" t="s">
        <v>199</v>
      </c>
      <c r="D37" s="350" t="s">
        <v>75</v>
      </c>
      <c r="E37" s="351">
        <v>35000</v>
      </c>
      <c r="F37" s="351">
        <v>35000</v>
      </c>
      <c r="G37" s="351">
        <v>35000</v>
      </c>
      <c r="H37" s="351">
        <v>35000</v>
      </c>
      <c r="I37" s="351">
        <f t="shared" ref="I37:I48" si="2">E37+F37+G37+H37</f>
        <v>140000</v>
      </c>
    </row>
    <row r="38" spans="1:9">
      <c r="A38" s="350">
        <v>3</v>
      </c>
      <c r="B38" s="350" t="s">
        <v>165</v>
      </c>
      <c r="C38" s="350" t="s">
        <v>258</v>
      </c>
      <c r="D38" s="350" t="s">
        <v>75</v>
      </c>
      <c r="E38" s="351">
        <v>35000</v>
      </c>
      <c r="F38" s="351">
        <v>35000</v>
      </c>
      <c r="G38" s="351">
        <v>35000</v>
      </c>
      <c r="H38" s="351">
        <v>35000</v>
      </c>
      <c r="I38" s="351">
        <f t="shared" si="2"/>
        <v>140000</v>
      </c>
    </row>
    <row r="39" spans="1:9">
      <c r="A39" s="350">
        <v>4</v>
      </c>
      <c r="B39" s="350" t="s">
        <v>159</v>
      </c>
      <c r="C39" s="350" t="s">
        <v>258</v>
      </c>
      <c r="D39" s="350" t="s">
        <v>75</v>
      </c>
      <c r="E39" s="351">
        <v>35000</v>
      </c>
      <c r="F39" s="351">
        <v>35000</v>
      </c>
      <c r="G39" s="351">
        <v>35000</v>
      </c>
      <c r="H39" s="351">
        <v>35000</v>
      </c>
      <c r="I39" s="351">
        <f t="shared" si="2"/>
        <v>140000</v>
      </c>
    </row>
    <row r="40" spans="1:9">
      <c r="A40" s="350">
        <v>5</v>
      </c>
      <c r="B40" s="350" t="s">
        <v>118</v>
      </c>
      <c r="C40" s="350" t="s">
        <v>258</v>
      </c>
      <c r="D40" s="350" t="s">
        <v>148</v>
      </c>
      <c r="E40" s="351">
        <v>35000</v>
      </c>
      <c r="F40" s="351">
        <v>35000</v>
      </c>
      <c r="G40" s="351">
        <v>35000</v>
      </c>
      <c r="H40" s="351">
        <v>35000</v>
      </c>
      <c r="I40" s="351">
        <f t="shared" si="2"/>
        <v>140000</v>
      </c>
    </row>
    <row r="41" spans="1:9">
      <c r="A41" s="350">
        <v>6</v>
      </c>
      <c r="B41" s="350" t="s">
        <v>205</v>
      </c>
      <c r="C41" s="350" t="s">
        <v>78</v>
      </c>
      <c r="D41" s="350" t="s">
        <v>181</v>
      </c>
      <c r="E41" s="351">
        <v>35000</v>
      </c>
      <c r="F41" s="351">
        <v>35000</v>
      </c>
      <c r="G41" s="351">
        <v>35000</v>
      </c>
      <c r="H41" s="351">
        <v>35000</v>
      </c>
      <c r="I41" s="351">
        <f t="shared" si="2"/>
        <v>140000</v>
      </c>
    </row>
    <row r="42" spans="1:9">
      <c r="A42" s="350">
        <v>7</v>
      </c>
      <c r="B42" s="350" t="s">
        <v>173</v>
      </c>
      <c r="C42" s="350" t="s">
        <v>297</v>
      </c>
      <c r="D42" s="350" t="s">
        <v>181</v>
      </c>
      <c r="E42" s="351">
        <v>35000</v>
      </c>
      <c r="F42" s="351">
        <v>35000</v>
      </c>
      <c r="G42" s="351">
        <v>35000</v>
      </c>
      <c r="H42" s="351">
        <v>35000</v>
      </c>
      <c r="I42" s="351">
        <f t="shared" si="2"/>
        <v>140000</v>
      </c>
    </row>
    <row r="43" spans="1:9">
      <c r="A43" s="350">
        <v>8</v>
      </c>
      <c r="B43" s="350" t="s">
        <v>116</v>
      </c>
      <c r="C43" s="350" t="s">
        <v>297</v>
      </c>
      <c r="D43" s="350" t="s">
        <v>162</v>
      </c>
      <c r="E43" s="351">
        <v>35000</v>
      </c>
      <c r="F43" s="351">
        <v>35000</v>
      </c>
      <c r="G43" s="351">
        <v>35000</v>
      </c>
      <c r="H43" s="351">
        <v>35000</v>
      </c>
      <c r="I43" s="351">
        <f t="shared" si="2"/>
        <v>140000</v>
      </c>
    </row>
    <row r="44" spans="1:9">
      <c r="A44" s="350">
        <v>9</v>
      </c>
      <c r="B44" s="350" t="s">
        <v>184</v>
      </c>
      <c r="C44" s="350" t="s">
        <v>80</v>
      </c>
      <c r="D44" s="350" t="s">
        <v>170</v>
      </c>
      <c r="E44" s="351">
        <v>35000</v>
      </c>
      <c r="F44" s="351">
        <v>35000</v>
      </c>
      <c r="G44" s="351">
        <v>35000</v>
      </c>
      <c r="H44" s="351">
        <v>35000</v>
      </c>
      <c r="I44" s="351">
        <f t="shared" si="2"/>
        <v>140000</v>
      </c>
    </row>
    <row r="45" spans="1:9">
      <c r="A45" s="350">
        <v>10</v>
      </c>
      <c r="B45" s="350" t="s">
        <v>551</v>
      </c>
      <c r="C45" s="350" t="s">
        <v>84</v>
      </c>
      <c r="D45" s="350" t="s">
        <v>104</v>
      </c>
      <c r="E45" s="351">
        <v>35000</v>
      </c>
      <c r="F45" s="351">
        <v>35000</v>
      </c>
      <c r="G45" s="351">
        <v>35000</v>
      </c>
      <c r="H45" s="351">
        <v>35000</v>
      </c>
      <c r="I45" s="351">
        <f t="shared" si="2"/>
        <v>140000</v>
      </c>
    </row>
    <row r="46" spans="1:9">
      <c r="A46" s="350">
        <v>11</v>
      </c>
      <c r="B46" s="350" t="s">
        <v>420</v>
      </c>
      <c r="C46" s="350" t="s">
        <v>84</v>
      </c>
      <c r="D46" s="350" t="s">
        <v>428</v>
      </c>
      <c r="E46" s="351">
        <v>35000</v>
      </c>
      <c r="F46" s="351">
        <v>35000</v>
      </c>
      <c r="G46" s="351">
        <v>35000</v>
      </c>
      <c r="H46" s="351">
        <v>35000</v>
      </c>
      <c r="I46" s="351">
        <f t="shared" si="2"/>
        <v>140000</v>
      </c>
    </row>
    <row r="47" spans="1:9">
      <c r="A47" s="350">
        <v>12</v>
      </c>
      <c r="B47" s="350" t="s">
        <v>435</v>
      </c>
      <c r="C47" s="350" t="s">
        <v>84</v>
      </c>
      <c r="D47" s="350" t="s">
        <v>428</v>
      </c>
      <c r="E47" s="351">
        <v>35000</v>
      </c>
      <c r="F47" s="351">
        <v>35000</v>
      </c>
      <c r="G47" s="351">
        <v>35000</v>
      </c>
      <c r="H47" s="351">
        <v>35000</v>
      </c>
      <c r="I47" s="351">
        <f t="shared" si="2"/>
        <v>140000</v>
      </c>
    </row>
    <row r="48" spans="1:9">
      <c r="A48" s="350">
        <v>13</v>
      </c>
      <c r="B48" s="350" t="s">
        <v>452</v>
      </c>
      <c r="C48" s="350" t="s">
        <v>84</v>
      </c>
      <c r="D48" s="350" t="s">
        <v>428</v>
      </c>
      <c r="E48" s="353">
        <v>35000</v>
      </c>
      <c r="F48" s="353">
        <v>35000</v>
      </c>
      <c r="G48" s="353">
        <v>35000</v>
      </c>
      <c r="H48" s="353">
        <v>35000</v>
      </c>
      <c r="I48" s="353">
        <f t="shared" si="2"/>
        <v>140000</v>
      </c>
    </row>
    <row r="49" spans="1:9">
      <c r="A49" s="350"/>
      <c r="B49" s="354" t="s">
        <v>571</v>
      </c>
      <c r="C49" s="350"/>
      <c r="D49" s="350"/>
      <c r="E49" s="355">
        <f>SUM(E36:E48)</f>
        <v>455000</v>
      </c>
      <c r="F49" s="355">
        <f t="shared" ref="F49:H49" si="3">SUM(F36:F48)</f>
        <v>455000</v>
      </c>
      <c r="G49" s="355">
        <f t="shared" si="3"/>
        <v>455000</v>
      </c>
      <c r="H49" s="355">
        <f t="shared" si="3"/>
        <v>455000</v>
      </c>
      <c r="I49" s="355">
        <f>SUM(I36:I48)</f>
        <v>1820000</v>
      </c>
    </row>
    <row r="50" spans="1:9">
      <c r="E50" s="337"/>
      <c r="F50" s="337"/>
      <c r="G50" s="337"/>
      <c r="H50" s="337"/>
      <c r="I50" s="337"/>
    </row>
    <row r="51" spans="1:9">
      <c r="B51" s="341" t="s">
        <v>195</v>
      </c>
      <c r="E51" s="337"/>
      <c r="F51" s="337"/>
      <c r="G51" s="337"/>
      <c r="H51" s="337"/>
      <c r="I51" s="337"/>
    </row>
    <row r="52" spans="1:9">
      <c r="A52" s="350">
        <v>1</v>
      </c>
      <c r="B52" s="352" t="s">
        <v>11</v>
      </c>
      <c r="C52" s="350" t="s">
        <v>200</v>
      </c>
      <c r="D52" s="350" t="s">
        <v>161</v>
      </c>
      <c r="E52" s="351">
        <v>35000</v>
      </c>
      <c r="F52" s="351">
        <v>35000</v>
      </c>
      <c r="G52" s="351">
        <v>35000</v>
      </c>
      <c r="H52" s="351">
        <v>35000</v>
      </c>
      <c r="I52" s="351">
        <f>E52+F52+G52+H52</f>
        <v>140000</v>
      </c>
    </row>
    <row r="53" spans="1:9">
      <c r="A53" s="350">
        <v>2</v>
      </c>
      <c r="B53" s="350" t="s">
        <v>276</v>
      </c>
      <c r="C53" s="350" t="s">
        <v>340</v>
      </c>
      <c r="D53" s="350" t="s">
        <v>412</v>
      </c>
      <c r="E53" s="353">
        <v>35000</v>
      </c>
      <c r="F53" s="353">
        <v>35000</v>
      </c>
      <c r="G53" s="353">
        <v>35000</v>
      </c>
      <c r="H53" s="353">
        <v>35000</v>
      </c>
      <c r="I53" s="353">
        <f>E53+F53+G53+H53</f>
        <v>140000</v>
      </c>
    </row>
    <row r="54" spans="1:9">
      <c r="A54" s="350"/>
      <c r="B54" s="354" t="s">
        <v>572</v>
      </c>
      <c r="C54" s="350"/>
      <c r="D54" s="350"/>
      <c r="E54" s="355">
        <f>SUM(E52:E53)</f>
        <v>70000</v>
      </c>
      <c r="F54" s="355">
        <f t="shared" ref="F54:H54" si="4">SUM(F52:F53)</f>
        <v>70000</v>
      </c>
      <c r="G54" s="355">
        <f t="shared" si="4"/>
        <v>70000</v>
      </c>
      <c r="H54" s="355">
        <f t="shared" si="4"/>
        <v>70000</v>
      </c>
      <c r="I54" s="355">
        <f>SUM(I52:I53)</f>
        <v>280000</v>
      </c>
    </row>
    <row r="55" spans="1:9">
      <c r="E55" s="337"/>
      <c r="F55" s="337"/>
      <c r="G55" s="337"/>
      <c r="H55" s="337"/>
      <c r="I55" s="337"/>
    </row>
    <row r="56" spans="1:9">
      <c r="B56" s="341" t="s">
        <v>461</v>
      </c>
      <c r="E56" s="337"/>
      <c r="F56" s="337"/>
      <c r="G56" s="337"/>
      <c r="H56" s="337"/>
      <c r="I56" s="337"/>
    </row>
    <row r="57" spans="1:9">
      <c r="A57" s="350">
        <v>1</v>
      </c>
      <c r="B57" s="350" t="s">
        <v>277</v>
      </c>
      <c r="C57" s="350" t="s">
        <v>278</v>
      </c>
      <c r="D57" s="350" t="s">
        <v>161</v>
      </c>
      <c r="E57" s="351">
        <v>35000</v>
      </c>
      <c r="F57" s="351">
        <v>35000</v>
      </c>
      <c r="G57" s="351">
        <v>35000</v>
      </c>
      <c r="H57" s="351">
        <v>35000</v>
      </c>
      <c r="I57" s="351">
        <f>E57+F57+G57+H57</f>
        <v>140000</v>
      </c>
    </row>
    <row r="58" spans="1:9">
      <c r="A58" s="350">
        <v>2</v>
      </c>
      <c r="B58" s="350" t="s">
        <v>332</v>
      </c>
      <c r="C58" s="350" t="s">
        <v>188</v>
      </c>
      <c r="D58" s="350" t="s">
        <v>272</v>
      </c>
      <c r="E58" s="351">
        <v>35000</v>
      </c>
      <c r="F58" s="351">
        <v>35000</v>
      </c>
      <c r="G58" s="351">
        <v>35000</v>
      </c>
      <c r="H58" s="351">
        <v>35000</v>
      </c>
      <c r="I58" s="351">
        <f t="shared" ref="I58:I68" si="5">E58+F58+G58+H58</f>
        <v>140000</v>
      </c>
    </row>
    <row r="59" spans="1:9">
      <c r="A59" s="350">
        <v>3</v>
      </c>
      <c r="B59" s="350" t="s">
        <v>189</v>
      </c>
      <c r="C59" s="350" t="s">
        <v>257</v>
      </c>
      <c r="D59" s="350" t="s">
        <v>170</v>
      </c>
      <c r="E59" s="351">
        <v>35000</v>
      </c>
      <c r="F59" s="351">
        <v>35000</v>
      </c>
      <c r="G59" s="351">
        <v>35000</v>
      </c>
      <c r="H59" s="351">
        <v>35000</v>
      </c>
      <c r="I59" s="351">
        <f t="shared" si="5"/>
        <v>140000</v>
      </c>
    </row>
    <row r="60" spans="1:9">
      <c r="A60" s="350">
        <v>4</v>
      </c>
      <c r="B60" s="350" t="s">
        <v>448</v>
      </c>
      <c r="C60" s="350" t="s">
        <v>257</v>
      </c>
      <c r="D60" s="350" t="s">
        <v>163</v>
      </c>
      <c r="E60" s="351">
        <v>35000</v>
      </c>
      <c r="F60" s="351">
        <v>35000</v>
      </c>
      <c r="G60" s="351">
        <v>35000</v>
      </c>
      <c r="H60" s="351">
        <v>35000</v>
      </c>
      <c r="I60" s="351">
        <f t="shared" si="5"/>
        <v>140000</v>
      </c>
    </row>
    <row r="61" spans="1:9">
      <c r="A61" s="350">
        <v>5</v>
      </c>
      <c r="B61" s="350" t="s">
        <v>229</v>
      </c>
      <c r="C61" s="350" t="s">
        <v>297</v>
      </c>
      <c r="D61" s="350" t="s">
        <v>181</v>
      </c>
      <c r="E61" s="351">
        <v>35000</v>
      </c>
      <c r="F61" s="351">
        <v>35000</v>
      </c>
      <c r="G61" s="351">
        <v>35000</v>
      </c>
      <c r="H61" s="351">
        <v>35000</v>
      </c>
      <c r="I61" s="351">
        <f t="shared" si="5"/>
        <v>140000</v>
      </c>
    </row>
    <row r="62" spans="1:9">
      <c r="A62" s="350">
        <v>6</v>
      </c>
      <c r="B62" s="350" t="s">
        <v>534</v>
      </c>
      <c r="C62" s="350" t="s">
        <v>297</v>
      </c>
      <c r="D62" s="350" t="s">
        <v>162</v>
      </c>
      <c r="E62" s="351">
        <v>35000</v>
      </c>
      <c r="F62" s="351">
        <v>35000</v>
      </c>
      <c r="G62" s="351">
        <v>35000</v>
      </c>
      <c r="H62" s="351">
        <v>35000</v>
      </c>
      <c r="I62" s="351">
        <f t="shared" si="5"/>
        <v>140000</v>
      </c>
    </row>
    <row r="63" spans="1:9">
      <c r="A63" s="350">
        <v>7</v>
      </c>
      <c r="B63" s="350" t="s">
        <v>117</v>
      </c>
      <c r="C63" s="350" t="s">
        <v>84</v>
      </c>
      <c r="D63" s="350" t="s">
        <v>369</v>
      </c>
      <c r="E63" s="351">
        <v>35000</v>
      </c>
      <c r="F63" s="351">
        <v>35000</v>
      </c>
      <c r="G63" s="351">
        <v>35000</v>
      </c>
      <c r="H63" s="351">
        <v>35000</v>
      </c>
      <c r="I63" s="351">
        <f t="shared" si="5"/>
        <v>140000</v>
      </c>
    </row>
    <row r="64" spans="1:9">
      <c r="A64" s="350">
        <v>8</v>
      </c>
      <c r="B64" s="350" t="s">
        <v>424</v>
      </c>
      <c r="C64" s="350" t="s">
        <v>422</v>
      </c>
      <c r="D64" s="350" t="s">
        <v>369</v>
      </c>
      <c r="E64" s="351">
        <v>35000</v>
      </c>
      <c r="F64" s="351">
        <v>35000</v>
      </c>
      <c r="G64" s="351">
        <v>35000</v>
      </c>
      <c r="H64" s="351">
        <v>35000</v>
      </c>
      <c r="I64" s="351">
        <f t="shared" si="5"/>
        <v>140000</v>
      </c>
    </row>
    <row r="65" spans="1:9">
      <c r="A65" s="350">
        <v>9</v>
      </c>
      <c r="B65" s="350" t="s">
        <v>423</v>
      </c>
      <c r="C65" s="350" t="s">
        <v>422</v>
      </c>
      <c r="D65" s="350" t="s">
        <v>369</v>
      </c>
      <c r="E65" s="351">
        <v>35000</v>
      </c>
      <c r="F65" s="351">
        <v>35000</v>
      </c>
      <c r="G65" s="351">
        <v>35000</v>
      </c>
      <c r="H65" s="351">
        <v>35000</v>
      </c>
      <c r="I65" s="351">
        <f t="shared" si="5"/>
        <v>140000</v>
      </c>
    </row>
    <row r="66" spans="1:9">
      <c r="A66" s="350">
        <v>10</v>
      </c>
      <c r="B66" s="350" t="s">
        <v>242</v>
      </c>
      <c r="C66" s="350" t="s">
        <v>484</v>
      </c>
      <c r="D66" s="350" t="s">
        <v>415</v>
      </c>
      <c r="E66" s="351">
        <v>35000</v>
      </c>
      <c r="F66" s="351">
        <v>35000</v>
      </c>
      <c r="G66" s="351">
        <v>35000</v>
      </c>
      <c r="H66" s="351">
        <v>35000</v>
      </c>
      <c r="I66" s="351">
        <f t="shared" si="5"/>
        <v>140000</v>
      </c>
    </row>
    <row r="67" spans="1:9">
      <c r="A67" s="350">
        <v>11</v>
      </c>
      <c r="B67" s="350" t="s">
        <v>320</v>
      </c>
      <c r="C67" s="350" t="s">
        <v>115</v>
      </c>
      <c r="D67" s="350" t="s">
        <v>498</v>
      </c>
      <c r="E67" s="351">
        <v>35000</v>
      </c>
      <c r="F67" s="351">
        <v>35000</v>
      </c>
      <c r="G67" s="351">
        <v>35000</v>
      </c>
      <c r="H67" s="351">
        <v>35000</v>
      </c>
      <c r="I67" s="351">
        <f t="shared" si="5"/>
        <v>140000</v>
      </c>
    </row>
    <row r="68" spans="1:9">
      <c r="A68" s="350">
        <v>12</v>
      </c>
      <c r="B68" s="350" t="s">
        <v>321</v>
      </c>
      <c r="C68" s="350" t="s">
        <v>115</v>
      </c>
      <c r="D68" s="350" t="s">
        <v>176</v>
      </c>
      <c r="E68" s="353">
        <v>35000</v>
      </c>
      <c r="F68" s="353">
        <v>35000</v>
      </c>
      <c r="G68" s="353">
        <v>35000</v>
      </c>
      <c r="H68" s="353">
        <v>35000</v>
      </c>
      <c r="I68" s="353">
        <f t="shared" si="5"/>
        <v>140000</v>
      </c>
    </row>
    <row r="69" spans="1:9">
      <c r="A69" s="350"/>
      <c r="B69" s="354" t="s">
        <v>573</v>
      </c>
      <c r="C69" s="350"/>
      <c r="D69" s="350"/>
      <c r="E69" s="355">
        <f>SUM(E57:E68)</f>
        <v>420000</v>
      </c>
      <c r="F69" s="355">
        <f t="shared" ref="F69:H69" si="6">SUM(F57:F68)</f>
        <v>420000</v>
      </c>
      <c r="G69" s="355">
        <f t="shared" si="6"/>
        <v>420000</v>
      </c>
      <c r="H69" s="355">
        <f t="shared" si="6"/>
        <v>420000</v>
      </c>
      <c r="I69" s="355">
        <f>SUM(I57:I68)</f>
        <v>1680000</v>
      </c>
    </row>
    <row r="70" spans="1:9">
      <c r="E70" s="337"/>
      <c r="F70" s="337"/>
      <c r="G70" s="337"/>
      <c r="H70" s="337"/>
      <c r="I70" s="337"/>
    </row>
    <row r="71" spans="1:9">
      <c r="B71" s="341" t="s">
        <v>462</v>
      </c>
      <c r="E71" s="337"/>
      <c r="F71" s="337"/>
      <c r="G71" s="337"/>
      <c r="H71" s="337"/>
      <c r="I71" s="337"/>
    </row>
    <row r="72" spans="1:9">
      <c r="A72" s="350">
        <v>1</v>
      </c>
      <c r="B72" s="350" t="s">
        <v>19</v>
      </c>
      <c r="C72" s="350" t="s">
        <v>201</v>
      </c>
      <c r="D72" s="350" t="s">
        <v>161</v>
      </c>
      <c r="E72" s="351">
        <v>35000</v>
      </c>
      <c r="F72" s="351">
        <v>35000</v>
      </c>
      <c r="G72" s="351">
        <v>35000</v>
      </c>
      <c r="H72" s="351">
        <v>35000</v>
      </c>
      <c r="I72" s="351">
        <f>E72+F72+G72+H72</f>
        <v>140000</v>
      </c>
    </row>
    <row r="73" spans="1:9">
      <c r="A73" s="350">
        <v>2</v>
      </c>
      <c r="B73" s="350" t="s">
        <v>325</v>
      </c>
      <c r="C73" s="350" t="s">
        <v>245</v>
      </c>
      <c r="D73" s="350" t="s">
        <v>272</v>
      </c>
      <c r="E73" s="351">
        <v>35000</v>
      </c>
      <c r="F73" s="351">
        <v>35000</v>
      </c>
      <c r="G73" s="351">
        <v>35000</v>
      </c>
      <c r="H73" s="351">
        <v>35000</v>
      </c>
      <c r="I73" s="351">
        <f t="shared" ref="I73:I78" si="7">E73+F73+G73+H73</f>
        <v>140000</v>
      </c>
    </row>
    <row r="74" spans="1:9">
      <c r="A74" s="350">
        <v>3</v>
      </c>
      <c r="B74" s="350" t="s">
        <v>333</v>
      </c>
      <c r="C74" s="350" t="s">
        <v>387</v>
      </c>
      <c r="D74" s="350" t="s">
        <v>412</v>
      </c>
      <c r="E74" s="351">
        <v>35000</v>
      </c>
      <c r="F74" s="351">
        <v>35000</v>
      </c>
      <c r="G74" s="351">
        <v>35000</v>
      </c>
      <c r="H74" s="351">
        <v>35000</v>
      </c>
      <c r="I74" s="351">
        <f t="shared" si="7"/>
        <v>140000</v>
      </c>
    </row>
    <row r="75" spans="1:9">
      <c r="A75" s="350">
        <v>4</v>
      </c>
      <c r="B75" s="350" t="s">
        <v>26</v>
      </c>
      <c r="C75" s="350" t="s">
        <v>296</v>
      </c>
      <c r="D75" s="350" t="s">
        <v>170</v>
      </c>
      <c r="E75" s="351">
        <v>35000</v>
      </c>
      <c r="F75" s="351">
        <v>35000</v>
      </c>
      <c r="G75" s="351">
        <v>35000</v>
      </c>
      <c r="H75" s="351">
        <v>35000</v>
      </c>
      <c r="I75" s="351">
        <f t="shared" si="7"/>
        <v>140000</v>
      </c>
    </row>
    <row r="76" spans="1:9">
      <c r="A76" s="350">
        <v>5</v>
      </c>
      <c r="B76" s="350" t="s">
        <v>324</v>
      </c>
      <c r="C76" s="350" t="s">
        <v>243</v>
      </c>
      <c r="D76" s="350" t="s">
        <v>207</v>
      </c>
      <c r="E76" s="351">
        <v>35000</v>
      </c>
      <c r="F76" s="351">
        <v>35000</v>
      </c>
      <c r="G76" s="351">
        <v>35000</v>
      </c>
      <c r="H76" s="351">
        <v>35000</v>
      </c>
      <c r="I76" s="351">
        <f t="shared" si="7"/>
        <v>140000</v>
      </c>
    </row>
    <row r="77" spans="1:9">
      <c r="A77" s="350">
        <v>6</v>
      </c>
      <c r="B77" s="350" t="s">
        <v>554</v>
      </c>
      <c r="C77" s="350" t="s">
        <v>243</v>
      </c>
      <c r="D77" s="350" t="s">
        <v>428</v>
      </c>
      <c r="E77" s="351">
        <v>35000</v>
      </c>
      <c r="F77" s="351">
        <v>35000</v>
      </c>
      <c r="G77" s="351">
        <v>35000</v>
      </c>
      <c r="H77" s="351">
        <v>35000</v>
      </c>
      <c r="I77" s="351">
        <f t="shared" si="7"/>
        <v>140000</v>
      </c>
    </row>
    <row r="78" spans="1:9">
      <c r="A78" s="350">
        <v>7</v>
      </c>
      <c r="B78" s="350" t="s">
        <v>552</v>
      </c>
      <c r="C78" s="350" t="s">
        <v>553</v>
      </c>
      <c r="D78" s="350" t="s">
        <v>105</v>
      </c>
      <c r="E78" s="353">
        <v>35000</v>
      </c>
      <c r="F78" s="353">
        <v>35000</v>
      </c>
      <c r="G78" s="353">
        <v>35000</v>
      </c>
      <c r="H78" s="353">
        <v>35000</v>
      </c>
      <c r="I78" s="353">
        <f t="shared" si="7"/>
        <v>140000</v>
      </c>
    </row>
    <row r="79" spans="1:9">
      <c r="A79" s="350"/>
      <c r="B79" s="354" t="s">
        <v>574</v>
      </c>
      <c r="C79" s="350"/>
      <c r="D79" s="350"/>
      <c r="E79" s="355">
        <f>SUM(E72:E78)</f>
        <v>245000</v>
      </c>
      <c r="F79" s="355">
        <f t="shared" ref="F79:H79" si="8">SUM(F72:F78)</f>
        <v>245000</v>
      </c>
      <c r="G79" s="355">
        <f t="shared" si="8"/>
        <v>245000</v>
      </c>
      <c r="H79" s="355">
        <f t="shared" si="8"/>
        <v>245000</v>
      </c>
      <c r="I79" s="355">
        <f>SUM(I72:I78)</f>
        <v>980000</v>
      </c>
    </row>
    <row r="80" spans="1:9">
      <c r="E80" s="337"/>
      <c r="F80" s="337"/>
      <c r="G80" s="337"/>
      <c r="H80" s="337"/>
      <c r="I80" s="337"/>
    </row>
    <row r="81" spans="1:9">
      <c r="B81" s="341" t="s">
        <v>463</v>
      </c>
      <c r="E81" s="337"/>
      <c r="F81" s="337"/>
      <c r="G81" s="337"/>
      <c r="H81" s="337"/>
      <c r="I81" s="337"/>
    </row>
    <row r="82" spans="1:9">
      <c r="A82" s="350">
        <v>1</v>
      </c>
      <c r="B82" s="350" t="s">
        <v>169</v>
      </c>
      <c r="C82" s="350" t="s">
        <v>258</v>
      </c>
      <c r="D82" s="350" t="s">
        <v>75</v>
      </c>
      <c r="E82" s="351">
        <v>35000</v>
      </c>
      <c r="F82" s="351">
        <v>35000</v>
      </c>
      <c r="G82" s="351">
        <v>35000</v>
      </c>
      <c r="H82" s="351">
        <v>35000</v>
      </c>
      <c r="I82" s="351">
        <f t="shared" ref="I82:I92" si="9">35000*4</f>
        <v>140000</v>
      </c>
    </row>
    <row r="83" spans="1:9">
      <c r="A83" s="350">
        <v>2</v>
      </c>
      <c r="B83" s="350" t="s">
        <v>192</v>
      </c>
      <c r="C83" s="350" t="s">
        <v>258</v>
      </c>
      <c r="D83" s="350" t="s">
        <v>75</v>
      </c>
      <c r="E83" s="351">
        <v>35000</v>
      </c>
      <c r="F83" s="351">
        <v>35000</v>
      </c>
      <c r="G83" s="351">
        <v>35000</v>
      </c>
      <c r="H83" s="351">
        <v>35000</v>
      </c>
      <c r="I83" s="351">
        <f t="shared" si="9"/>
        <v>140000</v>
      </c>
    </row>
    <row r="84" spans="1:9">
      <c r="A84" s="350">
        <v>3</v>
      </c>
      <c r="B84" s="350" t="s">
        <v>138</v>
      </c>
      <c r="C84" s="350" t="s">
        <v>297</v>
      </c>
      <c r="D84" s="350" t="s">
        <v>174</v>
      </c>
      <c r="E84" s="351">
        <v>35000</v>
      </c>
      <c r="F84" s="351">
        <v>35000</v>
      </c>
      <c r="G84" s="351">
        <v>35000</v>
      </c>
      <c r="H84" s="351">
        <v>35000</v>
      </c>
      <c r="I84" s="351">
        <f t="shared" si="9"/>
        <v>140000</v>
      </c>
    </row>
    <row r="85" spans="1:9">
      <c r="A85" s="350">
        <v>4</v>
      </c>
      <c r="B85" s="350" t="s">
        <v>202</v>
      </c>
      <c r="C85" s="350" t="s">
        <v>78</v>
      </c>
      <c r="D85" s="350" t="s">
        <v>181</v>
      </c>
      <c r="E85" s="351">
        <v>35000</v>
      </c>
      <c r="F85" s="351">
        <v>35000</v>
      </c>
      <c r="G85" s="351">
        <v>35000</v>
      </c>
      <c r="H85" s="351">
        <v>35000</v>
      </c>
      <c r="I85" s="351">
        <f t="shared" si="9"/>
        <v>140000</v>
      </c>
    </row>
    <row r="86" spans="1:9">
      <c r="A86" s="350">
        <v>5</v>
      </c>
      <c r="B86" s="350" t="s">
        <v>101</v>
      </c>
      <c r="C86" s="350" t="s">
        <v>80</v>
      </c>
      <c r="D86" s="350" t="s">
        <v>170</v>
      </c>
      <c r="E86" s="351">
        <v>35000</v>
      </c>
      <c r="F86" s="351">
        <v>35000</v>
      </c>
      <c r="G86" s="351">
        <v>35000</v>
      </c>
      <c r="H86" s="351">
        <v>35000</v>
      </c>
      <c r="I86" s="351">
        <f t="shared" si="9"/>
        <v>140000</v>
      </c>
    </row>
    <row r="87" spans="1:9">
      <c r="A87" s="350">
        <v>6</v>
      </c>
      <c r="B87" s="350" t="s">
        <v>336</v>
      </c>
      <c r="C87" s="350" t="s">
        <v>257</v>
      </c>
      <c r="D87" s="350" t="s">
        <v>163</v>
      </c>
      <c r="E87" s="351">
        <v>35000</v>
      </c>
      <c r="F87" s="351">
        <v>35000</v>
      </c>
      <c r="G87" s="351">
        <v>35000</v>
      </c>
      <c r="H87" s="351">
        <v>35000</v>
      </c>
      <c r="I87" s="351">
        <f t="shared" si="9"/>
        <v>140000</v>
      </c>
    </row>
    <row r="88" spans="1:9">
      <c r="A88" s="350">
        <v>7</v>
      </c>
      <c r="B88" s="350" t="s">
        <v>337</v>
      </c>
      <c r="C88" s="350" t="s">
        <v>257</v>
      </c>
      <c r="D88" s="350" t="s">
        <v>163</v>
      </c>
      <c r="E88" s="351">
        <v>35000</v>
      </c>
      <c r="F88" s="351">
        <v>35000</v>
      </c>
      <c r="G88" s="351">
        <v>35000</v>
      </c>
      <c r="H88" s="351">
        <v>35000</v>
      </c>
      <c r="I88" s="351">
        <f t="shared" si="9"/>
        <v>140000</v>
      </c>
    </row>
    <row r="89" spans="1:9">
      <c r="A89" s="350">
        <v>8</v>
      </c>
      <c r="B89" s="350" t="s">
        <v>421</v>
      </c>
      <c r="C89" s="350" t="s">
        <v>422</v>
      </c>
      <c r="D89" s="350" t="s">
        <v>369</v>
      </c>
      <c r="E89" s="351">
        <v>35000</v>
      </c>
      <c r="F89" s="351">
        <v>35000</v>
      </c>
      <c r="G89" s="351">
        <v>35000</v>
      </c>
      <c r="H89" s="351">
        <v>35000</v>
      </c>
      <c r="I89" s="351">
        <f t="shared" si="9"/>
        <v>140000</v>
      </c>
    </row>
    <row r="90" spans="1:9">
      <c r="A90" s="350">
        <v>9</v>
      </c>
      <c r="B90" s="350" t="s">
        <v>556</v>
      </c>
      <c r="C90" s="350" t="s">
        <v>422</v>
      </c>
      <c r="D90" s="350" t="s">
        <v>369</v>
      </c>
      <c r="E90" s="351">
        <v>35000</v>
      </c>
      <c r="F90" s="351">
        <v>35000</v>
      </c>
      <c r="G90" s="351">
        <v>35000</v>
      </c>
      <c r="H90" s="351">
        <v>35000</v>
      </c>
      <c r="I90" s="351">
        <f t="shared" si="9"/>
        <v>140000</v>
      </c>
    </row>
    <row r="91" spans="1:9">
      <c r="A91" s="350">
        <v>10</v>
      </c>
      <c r="B91" s="350" t="s">
        <v>436</v>
      </c>
      <c r="C91" s="350" t="s">
        <v>470</v>
      </c>
      <c r="D91" s="350" t="s">
        <v>104</v>
      </c>
      <c r="E91" s="351">
        <v>35000</v>
      </c>
      <c r="F91" s="351">
        <v>35000</v>
      </c>
      <c r="G91" s="351">
        <v>35000</v>
      </c>
      <c r="H91" s="351">
        <v>35000</v>
      </c>
      <c r="I91" s="351">
        <f t="shared" si="9"/>
        <v>140000</v>
      </c>
    </row>
    <row r="92" spans="1:9">
      <c r="A92" s="350">
        <v>11</v>
      </c>
      <c r="B92" s="350" t="s">
        <v>406</v>
      </c>
      <c r="C92" s="350" t="s">
        <v>432</v>
      </c>
      <c r="D92" s="350" t="s">
        <v>176</v>
      </c>
      <c r="E92" s="353">
        <v>35000</v>
      </c>
      <c r="F92" s="353">
        <v>35000</v>
      </c>
      <c r="G92" s="353">
        <v>35000</v>
      </c>
      <c r="H92" s="353">
        <v>35000</v>
      </c>
      <c r="I92" s="353">
        <f t="shared" si="9"/>
        <v>140000</v>
      </c>
    </row>
    <row r="93" spans="1:9">
      <c r="A93" s="350"/>
      <c r="B93" s="354" t="s">
        <v>575</v>
      </c>
      <c r="C93" s="350"/>
      <c r="D93" s="350"/>
      <c r="E93" s="355">
        <f>SUM(E82:E92)</f>
        <v>385000</v>
      </c>
      <c r="F93" s="355">
        <f t="shared" ref="F93:H93" si="10">SUM(F82:F92)</f>
        <v>385000</v>
      </c>
      <c r="G93" s="355">
        <f t="shared" si="10"/>
        <v>385000</v>
      </c>
      <c r="H93" s="355">
        <f t="shared" si="10"/>
        <v>385000</v>
      </c>
      <c r="I93" s="355">
        <f>SUM(I82:I92)</f>
        <v>1540000</v>
      </c>
    </row>
    <row r="94" spans="1:9">
      <c r="E94" s="337"/>
      <c r="F94" s="337"/>
      <c r="G94" s="337"/>
      <c r="H94" s="337"/>
      <c r="I94" s="337"/>
    </row>
    <row r="95" spans="1:9">
      <c r="B95" s="341" t="s">
        <v>464</v>
      </c>
      <c r="E95" s="337"/>
      <c r="F95" s="337"/>
      <c r="G95" s="337"/>
      <c r="H95" s="337"/>
      <c r="I95" s="337"/>
    </row>
    <row r="96" spans="1:9">
      <c r="A96" s="350">
        <v>1</v>
      </c>
      <c r="B96" s="350" t="s">
        <v>364</v>
      </c>
      <c r="C96" s="350" t="s">
        <v>343</v>
      </c>
      <c r="D96" s="350" t="s">
        <v>221</v>
      </c>
      <c r="E96" s="351">
        <v>35000</v>
      </c>
      <c r="F96" s="351">
        <v>35000</v>
      </c>
      <c r="G96" s="351">
        <v>35000</v>
      </c>
      <c r="H96" s="351">
        <v>35000</v>
      </c>
      <c r="I96" s="351">
        <f>E96+F96+G96+H96</f>
        <v>140000</v>
      </c>
    </row>
    <row r="97" spans="1:9">
      <c r="A97" s="350">
        <v>2</v>
      </c>
      <c r="B97" s="350" t="s">
        <v>185</v>
      </c>
      <c r="C97" s="350" t="s">
        <v>373</v>
      </c>
      <c r="D97" s="350" t="s">
        <v>181</v>
      </c>
      <c r="E97" s="351">
        <v>35000</v>
      </c>
      <c r="F97" s="351">
        <v>35000</v>
      </c>
      <c r="G97" s="351">
        <v>35000</v>
      </c>
      <c r="H97" s="351">
        <v>35000</v>
      </c>
      <c r="I97" s="351">
        <f t="shared" ref="I97:I99" si="11">E97+F97+G97+H97</f>
        <v>140000</v>
      </c>
    </row>
    <row r="98" spans="1:9">
      <c r="A98" s="350">
        <v>3</v>
      </c>
      <c r="B98" s="350" t="s">
        <v>237</v>
      </c>
      <c r="C98" s="350" t="s">
        <v>483</v>
      </c>
      <c r="D98" s="350" t="s">
        <v>415</v>
      </c>
      <c r="E98" s="351">
        <v>35000</v>
      </c>
      <c r="F98" s="351">
        <v>35000</v>
      </c>
      <c r="G98" s="351">
        <v>35000</v>
      </c>
      <c r="H98" s="351">
        <v>35000</v>
      </c>
      <c r="I98" s="351">
        <f t="shared" si="11"/>
        <v>140000</v>
      </c>
    </row>
    <row r="99" spans="1:9">
      <c r="A99" s="350">
        <v>4</v>
      </c>
      <c r="B99" s="350" t="s">
        <v>345</v>
      </c>
      <c r="C99" s="350" t="s">
        <v>541</v>
      </c>
      <c r="D99" s="350" t="s">
        <v>267</v>
      </c>
      <c r="E99" s="353">
        <v>35000</v>
      </c>
      <c r="F99" s="353">
        <v>35000</v>
      </c>
      <c r="G99" s="353">
        <v>35000</v>
      </c>
      <c r="H99" s="353">
        <v>35000</v>
      </c>
      <c r="I99" s="353">
        <f t="shared" si="11"/>
        <v>140000</v>
      </c>
    </row>
    <row r="100" spans="1:9">
      <c r="A100" s="350"/>
      <c r="B100" s="354" t="s">
        <v>576</v>
      </c>
      <c r="C100" s="350"/>
      <c r="D100" s="350"/>
      <c r="E100" s="355">
        <f>SUM(E96:E99)</f>
        <v>140000</v>
      </c>
      <c r="F100" s="355">
        <f t="shared" ref="F100:H100" si="12">SUM(F96:F99)</f>
        <v>140000</v>
      </c>
      <c r="G100" s="355">
        <f t="shared" si="12"/>
        <v>140000</v>
      </c>
      <c r="H100" s="355">
        <f t="shared" si="12"/>
        <v>140000</v>
      </c>
      <c r="I100" s="355">
        <f>SUM(I96:I99)</f>
        <v>560000</v>
      </c>
    </row>
    <row r="101" spans="1:9">
      <c r="E101" s="337"/>
      <c r="F101" s="337"/>
      <c r="G101" s="337"/>
      <c r="H101" s="337"/>
      <c r="I101" s="337"/>
    </row>
    <row r="102" spans="1:9">
      <c r="B102" s="341" t="s">
        <v>465</v>
      </c>
      <c r="E102" s="337"/>
      <c r="F102" s="337"/>
      <c r="G102" s="337"/>
      <c r="H102" s="337"/>
      <c r="I102" s="337"/>
    </row>
    <row r="103" spans="1:9">
      <c r="A103" s="350">
        <v>1</v>
      </c>
      <c r="B103" s="350" t="s">
        <v>216</v>
      </c>
      <c r="C103" s="350" t="s">
        <v>217</v>
      </c>
      <c r="D103" s="350" t="s">
        <v>161</v>
      </c>
      <c r="E103" s="351">
        <f>35000</f>
        <v>35000</v>
      </c>
      <c r="F103" s="351">
        <f>35000</f>
        <v>35000</v>
      </c>
      <c r="G103" s="351">
        <f>35000</f>
        <v>35000</v>
      </c>
      <c r="H103" s="351">
        <f>35000</f>
        <v>35000</v>
      </c>
      <c r="I103" s="351">
        <f>E103+F103+G103+H103</f>
        <v>140000</v>
      </c>
    </row>
    <row r="104" spans="1:9">
      <c r="A104" s="350">
        <v>2</v>
      </c>
      <c r="B104" s="350" t="s">
        <v>110</v>
      </c>
      <c r="C104" s="350" t="s">
        <v>259</v>
      </c>
      <c r="D104" s="350" t="s">
        <v>221</v>
      </c>
      <c r="E104" s="351">
        <f>35000</f>
        <v>35000</v>
      </c>
      <c r="F104" s="351">
        <f>35000</f>
        <v>35000</v>
      </c>
      <c r="G104" s="351">
        <f>35000</f>
        <v>35000</v>
      </c>
      <c r="H104" s="351">
        <f>35000</f>
        <v>35000</v>
      </c>
      <c r="I104" s="351">
        <f t="shared" ref="I104:I109" si="13">E104+F104+G104+H104</f>
        <v>140000</v>
      </c>
    </row>
    <row r="105" spans="1:9">
      <c r="A105" s="350">
        <v>3</v>
      </c>
      <c r="B105" s="350" t="s">
        <v>109</v>
      </c>
      <c r="C105" s="350" t="s">
        <v>311</v>
      </c>
      <c r="D105" s="350" t="s">
        <v>175</v>
      </c>
      <c r="E105" s="351">
        <f>35000</f>
        <v>35000</v>
      </c>
      <c r="F105" s="351">
        <f>35000</f>
        <v>35000</v>
      </c>
      <c r="G105" s="351">
        <f>35000</f>
        <v>35000</v>
      </c>
      <c r="H105" s="351">
        <f>35000</f>
        <v>35000</v>
      </c>
      <c r="I105" s="351">
        <f t="shared" si="13"/>
        <v>140000</v>
      </c>
    </row>
    <row r="106" spans="1:9">
      <c r="A106" s="350">
        <v>4</v>
      </c>
      <c r="B106" s="350" t="s">
        <v>135</v>
      </c>
      <c r="C106" s="350" t="s">
        <v>311</v>
      </c>
      <c r="D106" s="350" t="s">
        <v>175</v>
      </c>
      <c r="E106" s="351">
        <f>35000</f>
        <v>35000</v>
      </c>
      <c r="F106" s="351">
        <f>35000</f>
        <v>35000</v>
      </c>
      <c r="G106" s="351">
        <f>35000</f>
        <v>35000</v>
      </c>
      <c r="H106" s="351">
        <f>35000</f>
        <v>35000</v>
      </c>
      <c r="I106" s="351">
        <f t="shared" si="13"/>
        <v>140000</v>
      </c>
    </row>
    <row r="107" spans="1:9">
      <c r="A107" s="350">
        <v>5</v>
      </c>
      <c r="B107" s="350" t="s">
        <v>240</v>
      </c>
      <c r="C107" s="350" t="s">
        <v>338</v>
      </c>
      <c r="D107" s="350" t="s">
        <v>499</v>
      </c>
      <c r="E107" s="351">
        <f>35000</f>
        <v>35000</v>
      </c>
      <c r="F107" s="351">
        <f>35000</f>
        <v>35000</v>
      </c>
      <c r="G107" s="351">
        <f>35000</f>
        <v>35000</v>
      </c>
      <c r="H107" s="351">
        <f>35000</f>
        <v>35000</v>
      </c>
      <c r="I107" s="351">
        <f t="shared" si="13"/>
        <v>140000</v>
      </c>
    </row>
    <row r="108" spans="1:9">
      <c r="A108" s="350">
        <v>6</v>
      </c>
      <c r="B108" s="350" t="s">
        <v>341</v>
      </c>
      <c r="C108" s="350" t="s">
        <v>338</v>
      </c>
      <c r="D108" s="350" t="s">
        <v>267</v>
      </c>
      <c r="E108" s="351">
        <f>35000</f>
        <v>35000</v>
      </c>
      <c r="F108" s="351">
        <f>35000</f>
        <v>35000</v>
      </c>
      <c r="G108" s="351">
        <f>35000</f>
        <v>35000</v>
      </c>
      <c r="H108" s="351">
        <f>35000</f>
        <v>35000</v>
      </c>
      <c r="I108" s="351">
        <f t="shared" si="13"/>
        <v>140000</v>
      </c>
    </row>
    <row r="109" spans="1:9">
      <c r="A109" s="350">
        <v>7</v>
      </c>
      <c r="B109" s="350" t="s">
        <v>374</v>
      </c>
      <c r="C109" s="350" t="s">
        <v>338</v>
      </c>
      <c r="D109" s="350" t="s">
        <v>176</v>
      </c>
      <c r="E109" s="353">
        <f>35000</f>
        <v>35000</v>
      </c>
      <c r="F109" s="353">
        <f>35000</f>
        <v>35000</v>
      </c>
      <c r="G109" s="353">
        <f>35000</f>
        <v>35000</v>
      </c>
      <c r="H109" s="353">
        <f>35000</f>
        <v>35000</v>
      </c>
      <c r="I109" s="353">
        <f t="shared" si="13"/>
        <v>140000</v>
      </c>
    </row>
    <row r="110" spans="1:9">
      <c r="A110" s="350"/>
      <c r="B110" s="354" t="s">
        <v>577</v>
      </c>
      <c r="C110" s="350"/>
      <c r="D110" s="350"/>
      <c r="E110" s="355">
        <f>SUM(E103:E109)</f>
        <v>245000</v>
      </c>
      <c r="F110" s="355">
        <f t="shared" ref="F110:H110" si="14">SUM(F103:F109)</f>
        <v>245000</v>
      </c>
      <c r="G110" s="355">
        <f t="shared" si="14"/>
        <v>245000</v>
      </c>
      <c r="H110" s="355">
        <f t="shared" si="14"/>
        <v>245000</v>
      </c>
      <c r="I110" s="355">
        <f>SUM(I103:I109)</f>
        <v>980000</v>
      </c>
    </row>
    <row r="111" spans="1:9">
      <c r="I111" s="344"/>
    </row>
    <row r="112" spans="1:9">
      <c r="B112" s="341" t="s">
        <v>542</v>
      </c>
      <c r="E112" s="337"/>
      <c r="F112" s="337"/>
      <c r="G112" s="337"/>
      <c r="H112" s="337"/>
      <c r="I112" s="337"/>
    </row>
    <row r="113" spans="1:9">
      <c r="A113" s="350">
        <v>1</v>
      </c>
      <c r="B113" s="350" t="s">
        <v>182</v>
      </c>
      <c r="C113" s="350" t="s">
        <v>422</v>
      </c>
      <c r="D113" s="350" t="s">
        <v>497</v>
      </c>
      <c r="E113" s="351">
        <v>35000</v>
      </c>
      <c r="F113" s="351">
        <v>35000</v>
      </c>
      <c r="G113" s="351">
        <v>35000</v>
      </c>
      <c r="H113" s="351">
        <v>35000</v>
      </c>
      <c r="I113" s="351">
        <f>E113+F113+G113+H113</f>
        <v>140000</v>
      </c>
    </row>
    <row r="114" spans="1:9">
      <c r="A114" s="350">
        <v>2</v>
      </c>
      <c r="B114" s="350" t="s">
        <v>247</v>
      </c>
      <c r="C114" s="350" t="s">
        <v>477</v>
      </c>
      <c r="D114" s="350" t="s">
        <v>415</v>
      </c>
      <c r="E114" s="351">
        <v>35000</v>
      </c>
      <c r="F114" s="351">
        <v>35000</v>
      </c>
      <c r="G114" s="351">
        <v>35000</v>
      </c>
      <c r="H114" s="351">
        <v>35000</v>
      </c>
      <c r="I114" s="351">
        <f t="shared" ref="I114:I115" si="15">E114+F114+G114+H114</f>
        <v>140000</v>
      </c>
    </row>
    <row r="115" spans="1:9">
      <c r="A115" s="350">
        <v>3</v>
      </c>
      <c r="B115" s="350" t="s">
        <v>141</v>
      </c>
      <c r="C115" s="350" t="s">
        <v>391</v>
      </c>
      <c r="D115" s="350" t="s">
        <v>497</v>
      </c>
      <c r="E115" s="353">
        <v>35000</v>
      </c>
      <c r="F115" s="353">
        <v>35000</v>
      </c>
      <c r="G115" s="353">
        <v>35000</v>
      </c>
      <c r="H115" s="353">
        <v>35000</v>
      </c>
      <c r="I115" s="353">
        <f t="shared" si="15"/>
        <v>140000</v>
      </c>
    </row>
    <row r="116" spans="1:9">
      <c r="A116" s="350"/>
      <c r="B116" s="354" t="s">
        <v>578</v>
      </c>
      <c r="C116" s="350"/>
      <c r="D116" s="350"/>
      <c r="E116" s="355">
        <f>SUM(E113:E115)</f>
        <v>105000</v>
      </c>
      <c r="F116" s="355">
        <f t="shared" ref="F116:H116" si="16">SUM(F113:F115)</f>
        <v>105000</v>
      </c>
      <c r="G116" s="355">
        <f t="shared" si="16"/>
        <v>105000</v>
      </c>
      <c r="H116" s="355">
        <f t="shared" si="16"/>
        <v>105000</v>
      </c>
      <c r="I116" s="355">
        <f>SUM(I113:I115)</f>
        <v>420000</v>
      </c>
    </row>
    <row r="117" spans="1:9">
      <c r="E117" s="342"/>
      <c r="F117" s="342"/>
      <c r="G117" s="342"/>
      <c r="H117" s="342"/>
      <c r="I117" s="342"/>
    </row>
    <row r="118" spans="1:9">
      <c r="B118" s="341" t="s">
        <v>466</v>
      </c>
      <c r="E118" s="337"/>
      <c r="F118" s="337"/>
      <c r="G118" s="337"/>
      <c r="H118" s="337"/>
      <c r="I118" s="337"/>
    </row>
    <row r="119" spans="1:9">
      <c r="A119" s="350">
        <v>1</v>
      </c>
      <c r="B119" s="350" t="s">
        <v>20</v>
      </c>
      <c r="C119" s="350" t="s">
        <v>250</v>
      </c>
      <c r="D119" s="350" t="s">
        <v>161</v>
      </c>
      <c r="E119" s="351">
        <v>35000</v>
      </c>
      <c r="F119" s="351">
        <v>35000</v>
      </c>
      <c r="G119" s="351">
        <v>35000</v>
      </c>
      <c r="H119" s="351">
        <v>35000</v>
      </c>
      <c r="I119" s="351">
        <f>E119+F119+G119+H119</f>
        <v>140000</v>
      </c>
    </row>
    <row r="120" spans="1:9">
      <c r="A120" s="350">
        <v>2</v>
      </c>
      <c r="B120" s="350" t="s">
        <v>153</v>
      </c>
      <c r="C120" s="350" t="s">
        <v>376</v>
      </c>
      <c r="D120" s="350" t="s">
        <v>75</v>
      </c>
      <c r="E120" s="351">
        <v>35000</v>
      </c>
      <c r="F120" s="351">
        <v>35000</v>
      </c>
      <c r="G120" s="351">
        <v>35000</v>
      </c>
      <c r="H120" s="351">
        <v>35000</v>
      </c>
      <c r="I120" s="351">
        <f t="shared" ref="I120:I127" si="17">E120+F120+G120+H120</f>
        <v>140000</v>
      </c>
    </row>
    <row r="121" spans="1:9">
      <c r="A121" s="350">
        <v>3</v>
      </c>
      <c r="B121" s="350" t="s">
        <v>142</v>
      </c>
      <c r="C121" s="350" t="s">
        <v>376</v>
      </c>
      <c r="D121" s="350" t="s">
        <v>75</v>
      </c>
      <c r="E121" s="351">
        <v>35000</v>
      </c>
      <c r="F121" s="351">
        <v>35000</v>
      </c>
      <c r="G121" s="351">
        <v>35000</v>
      </c>
      <c r="H121" s="351">
        <v>35000</v>
      </c>
      <c r="I121" s="351">
        <f t="shared" si="17"/>
        <v>140000</v>
      </c>
    </row>
    <row r="122" spans="1:9">
      <c r="A122" s="350">
        <v>5</v>
      </c>
      <c r="B122" s="350" t="s">
        <v>108</v>
      </c>
      <c r="C122" s="350" t="s">
        <v>476</v>
      </c>
      <c r="D122" s="350" t="s">
        <v>162</v>
      </c>
      <c r="E122" s="351">
        <v>35000</v>
      </c>
      <c r="F122" s="351">
        <v>35000</v>
      </c>
      <c r="G122" s="351">
        <v>35000</v>
      </c>
      <c r="H122" s="351">
        <v>35000</v>
      </c>
      <c r="I122" s="351">
        <f t="shared" si="17"/>
        <v>140000</v>
      </c>
    </row>
    <row r="123" spans="1:9">
      <c r="A123" s="350">
        <v>6</v>
      </c>
      <c r="B123" s="350" t="s">
        <v>178</v>
      </c>
      <c r="C123" s="350" t="s">
        <v>382</v>
      </c>
      <c r="D123" s="350" t="s">
        <v>170</v>
      </c>
      <c r="E123" s="351">
        <v>35000</v>
      </c>
      <c r="F123" s="351">
        <v>35000</v>
      </c>
      <c r="G123" s="351">
        <v>35000</v>
      </c>
      <c r="H123" s="351">
        <v>35000</v>
      </c>
      <c r="I123" s="351">
        <f t="shared" si="17"/>
        <v>140000</v>
      </c>
    </row>
    <row r="124" spans="1:9">
      <c r="A124" s="350">
        <v>7</v>
      </c>
      <c r="B124" s="350" t="s">
        <v>134</v>
      </c>
      <c r="C124" s="350" t="s">
        <v>384</v>
      </c>
      <c r="D124" s="350" t="s">
        <v>170</v>
      </c>
      <c r="E124" s="351">
        <v>35000</v>
      </c>
      <c r="F124" s="351">
        <v>35000</v>
      </c>
      <c r="G124" s="351">
        <v>35000</v>
      </c>
      <c r="H124" s="351">
        <v>35000</v>
      </c>
      <c r="I124" s="351">
        <f t="shared" si="17"/>
        <v>140000</v>
      </c>
    </row>
    <row r="125" spans="1:9">
      <c r="A125" s="350">
        <v>8</v>
      </c>
      <c r="B125" s="350" t="s">
        <v>443</v>
      </c>
      <c r="C125" s="350" t="s">
        <v>447</v>
      </c>
      <c r="D125" s="350" t="s">
        <v>498</v>
      </c>
      <c r="E125" s="351">
        <v>35000</v>
      </c>
      <c r="F125" s="351">
        <v>35000</v>
      </c>
      <c r="G125" s="351">
        <v>35000</v>
      </c>
      <c r="H125" s="351">
        <v>35000</v>
      </c>
      <c r="I125" s="351">
        <f t="shared" si="17"/>
        <v>140000</v>
      </c>
    </row>
    <row r="126" spans="1:9">
      <c r="A126" s="350">
        <v>9</v>
      </c>
      <c r="B126" s="350" t="s">
        <v>439</v>
      </c>
      <c r="C126" s="350" t="s">
        <v>440</v>
      </c>
      <c r="D126" s="350" t="s">
        <v>105</v>
      </c>
      <c r="E126" s="351">
        <v>35000</v>
      </c>
      <c r="F126" s="351">
        <v>35000</v>
      </c>
      <c r="G126" s="351">
        <v>35000</v>
      </c>
      <c r="H126" s="351">
        <v>35000</v>
      </c>
      <c r="I126" s="351">
        <f t="shared" si="17"/>
        <v>140000</v>
      </c>
    </row>
    <row r="127" spans="1:9">
      <c r="A127" s="350">
        <v>10</v>
      </c>
      <c r="B127" s="350" t="s">
        <v>535</v>
      </c>
      <c r="C127" s="350" t="s">
        <v>536</v>
      </c>
      <c r="D127" s="350" t="s">
        <v>105</v>
      </c>
      <c r="E127" s="353">
        <v>35000</v>
      </c>
      <c r="F127" s="353">
        <v>35000</v>
      </c>
      <c r="G127" s="353">
        <v>35000</v>
      </c>
      <c r="H127" s="353">
        <v>35000</v>
      </c>
      <c r="I127" s="353">
        <f t="shared" si="17"/>
        <v>140000</v>
      </c>
    </row>
    <row r="128" spans="1:9">
      <c r="A128" s="350"/>
      <c r="B128" s="354" t="s">
        <v>579</v>
      </c>
      <c r="C128" s="350"/>
      <c r="D128" s="350"/>
      <c r="E128" s="355">
        <f>SUM(E119:E127)</f>
        <v>315000</v>
      </c>
      <c r="F128" s="355">
        <f>SUM(F119:F127)</f>
        <v>315000</v>
      </c>
      <c r="G128" s="355">
        <f>SUM(G119:G127)</f>
        <v>315000</v>
      </c>
      <c r="H128" s="355">
        <f>SUM(H119:H127)</f>
        <v>315000</v>
      </c>
      <c r="I128" s="355">
        <f>SUM(I119:I127)</f>
        <v>1260000</v>
      </c>
    </row>
    <row r="129" spans="1:9">
      <c r="E129" s="337"/>
      <c r="F129" s="337"/>
      <c r="G129" s="337"/>
      <c r="H129" s="337"/>
      <c r="I129" s="337"/>
    </row>
    <row r="130" spans="1:9">
      <c r="B130" s="341" t="s">
        <v>467</v>
      </c>
      <c r="E130" s="337"/>
      <c r="F130" s="337"/>
      <c r="G130" s="337"/>
      <c r="H130" s="337"/>
      <c r="I130" s="337"/>
    </row>
    <row r="131" spans="1:9">
      <c r="A131" s="350">
        <v>1</v>
      </c>
      <c r="B131" s="350" t="s">
        <v>21</v>
      </c>
      <c r="C131" s="350" t="s">
        <v>393</v>
      </c>
      <c r="D131" s="350" t="s">
        <v>161</v>
      </c>
      <c r="E131" s="351">
        <v>35000</v>
      </c>
      <c r="F131" s="351">
        <v>35000</v>
      </c>
      <c r="G131" s="351">
        <v>35000</v>
      </c>
      <c r="H131" s="351">
        <v>35000</v>
      </c>
      <c r="I131" s="351">
        <f>E131+F131+G131+H131</f>
        <v>140000</v>
      </c>
    </row>
    <row r="132" spans="1:9">
      <c r="A132" s="350">
        <v>3</v>
      </c>
      <c r="B132" s="350" t="s">
        <v>183</v>
      </c>
      <c r="C132" s="350" t="s">
        <v>486</v>
      </c>
      <c r="D132" s="350" t="s">
        <v>221</v>
      </c>
      <c r="E132" s="351">
        <v>35000</v>
      </c>
      <c r="F132" s="351">
        <v>35000</v>
      </c>
      <c r="G132" s="351">
        <v>35000</v>
      </c>
      <c r="H132" s="351">
        <v>35000</v>
      </c>
      <c r="I132" s="351">
        <f t="shared" ref="I132:I189" si="18">E132+F132+G132+H132</f>
        <v>140000</v>
      </c>
    </row>
    <row r="133" spans="1:9">
      <c r="A133" s="350">
        <v>4</v>
      </c>
      <c r="B133" s="350" t="s">
        <v>106</v>
      </c>
      <c r="C133" s="350" t="s">
        <v>381</v>
      </c>
      <c r="D133" s="350" t="s">
        <v>181</v>
      </c>
      <c r="E133" s="351">
        <v>35000</v>
      </c>
      <c r="F133" s="351">
        <v>35000</v>
      </c>
      <c r="G133" s="351">
        <v>35000</v>
      </c>
      <c r="H133" s="351">
        <v>35000</v>
      </c>
      <c r="I133" s="351">
        <f t="shared" si="18"/>
        <v>140000</v>
      </c>
    </row>
    <row r="134" spans="1:9">
      <c r="A134" s="350">
        <v>5</v>
      </c>
      <c r="B134" s="350" t="s">
        <v>7</v>
      </c>
      <c r="C134" s="350" t="s">
        <v>385</v>
      </c>
      <c r="D134" s="350" t="s">
        <v>181</v>
      </c>
      <c r="E134" s="351">
        <v>35000</v>
      </c>
      <c r="F134" s="351">
        <v>35000</v>
      </c>
      <c r="G134" s="351">
        <v>35000</v>
      </c>
      <c r="H134" s="351">
        <v>35000</v>
      </c>
      <c r="I134" s="351">
        <f t="shared" si="18"/>
        <v>140000</v>
      </c>
    </row>
    <row r="135" spans="1:9">
      <c r="A135" s="350">
        <v>6</v>
      </c>
      <c r="B135" s="350" t="s">
        <v>6</v>
      </c>
      <c r="C135" s="350" t="s">
        <v>385</v>
      </c>
      <c r="D135" s="350" t="s">
        <v>181</v>
      </c>
      <c r="E135" s="351">
        <v>35000</v>
      </c>
      <c r="F135" s="351">
        <v>35000</v>
      </c>
      <c r="G135" s="351">
        <v>35000</v>
      </c>
      <c r="H135" s="351">
        <v>35000</v>
      </c>
      <c r="I135" s="351">
        <f t="shared" si="18"/>
        <v>140000</v>
      </c>
    </row>
    <row r="136" spans="1:9">
      <c r="A136" s="350">
        <v>7</v>
      </c>
      <c r="B136" s="350" t="s">
        <v>124</v>
      </c>
      <c r="C136" s="350" t="s">
        <v>235</v>
      </c>
      <c r="D136" s="350" t="s">
        <v>170</v>
      </c>
      <c r="E136" s="351">
        <v>35000</v>
      </c>
      <c r="F136" s="351">
        <v>35000</v>
      </c>
      <c r="G136" s="351">
        <v>35000</v>
      </c>
      <c r="H136" s="351">
        <v>35000</v>
      </c>
      <c r="I136" s="351">
        <f t="shared" si="18"/>
        <v>140000</v>
      </c>
    </row>
    <row r="137" spans="1:9">
      <c r="A137" s="350">
        <v>8</v>
      </c>
      <c r="B137" s="350" t="s">
        <v>102</v>
      </c>
      <c r="C137" s="350" t="s">
        <v>395</v>
      </c>
      <c r="D137" s="350" t="s">
        <v>497</v>
      </c>
      <c r="E137" s="351">
        <v>35000</v>
      </c>
      <c r="F137" s="351">
        <v>35000</v>
      </c>
      <c r="G137" s="351">
        <v>35000</v>
      </c>
      <c r="H137" s="351">
        <v>35000</v>
      </c>
      <c r="I137" s="351">
        <f t="shared" si="18"/>
        <v>140000</v>
      </c>
    </row>
    <row r="138" spans="1:9">
      <c r="A138" s="350">
        <v>9</v>
      </c>
      <c r="B138" s="350" t="s">
        <v>103</v>
      </c>
      <c r="C138" s="350" t="s">
        <v>395</v>
      </c>
      <c r="D138" s="350" t="s">
        <v>497</v>
      </c>
      <c r="E138" s="351">
        <v>35000</v>
      </c>
      <c r="F138" s="351">
        <v>35000</v>
      </c>
      <c r="G138" s="351">
        <v>35000</v>
      </c>
      <c r="H138" s="351">
        <v>35000</v>
      </c>
      <c r="I138" s="351">
        <f t="shared" si="18"/>
        <v>140000</v>
      </c>
    </row>
    <row r="139" spans="1:9">
      <c r="A139" s="350">
        <v>10</v>
      </c>
      <c r="B139" s="350" t="s">
        <v>151</v>
      </c>
      <c r="C139" s="350" t="s">
        <v>235</v>
      </c>
      <c r="D139" s="350" t="s">
        <v>497</v>
      </c>
      <c r="E139" s="351">
        <v>35000</v>
      </c>
      <c r="F139" s="351">
        <v>35000</v>
      </c>
      <c r="G139" s="351">
        <v>35000</v>
      </c>
      <c r="H139" s="351">
        <v>35000</v>
      </c>
      <c r="I139" s="351">
        <f t="shared" si="18"/>
        <v>140000</v>
      </c>
    </row>
    <row r="140" spans="1:9">
      <c r="A140" s="350">
        <v>11</v>
      </c>
      <c r="B140" s="350" t="s">
        <v>238</v>
      </c>
      <c r="C140" s="350" t="s">
        <v>546</v>
      </c>
      <c r="D140" s="350" t="s">
        <v>415</v>
      </c>
      <c r="E140" s="351">
        <v>35000</v>
      </c>
      <c r="F140" s="351">
        <v>35000</v>
      </c>
      <c r="G140" s="351">
        <v>35000</v>
      </c>
      <c r="H140" s="351">
        <v>35000</v>
      </c>
      <c r="I140" s="351">
        <f t="shared" si="18"/>
        <v>140000</v>
      </c>
    </row>
    <row r="141" spans="1:9">
      <c r="A141" s="350">
        <v>12</v>
      </c>
      <c r="B141" s="350" t="s">
        <v>53</v>
      </c>
      <c r="C141" s="350" t="s">
        <v>300</v>
      </c>
      <c r="D141" s="350" t="s">
        <v>27</v>
      </c>
      <c r="E141" s="351">
        <v>35000</v>
      </c>
      <c r="F141" s="351">
        <v>35000</v>
      </c>
      <c r="G141" s="351">
        <v>35000</v>
      </c>
      <c r="H141" s="351">
        <v>35000</v>
      </c>
      <c r="I141" s="351">
        <f t="shared" si="18"/>
        <v>140000</v>
      </c>
    </row>
    <row r="142" spans="1:9">
      <c r="A142" s="350">
        <v>13</v>
      </c>
      <c r="B142" s="350" t="s">
        <v>179</v>
      </c>
      <c r="C142" s="350" t="s">
        <v>479</v>
      </c>
      <c r="D142" s="350" t="s">
        <v>497</v>
      </c>
      <c r="E142" s="351">
        <v>35000</v>
      </c>
      <c r="F142" s="351">
        <v>35000</v>
      </c>
      <c r="G142" s="351">
        <v>35000</v>
      </c>
      <c r="H142" s="351">
        <v>35000</v>
      </c>
      <c r="I142" s="351">
        <f t="shared" si="18"/>
        <v>140000</v>
      </c>
    </row>
    <row r="143" spans="1:9">
      <c r="A143" s="350">
        <v>14</v>
      </c>
      <c r="B143" s="350" t="s">
        <v>293</v>
      </c>
      <c r="C143" s="350" t="s">
        <v>438</v>
      </c>
      <c r="D143" s="350" t="s">
        <v>27</v>
      </c>
      <c r="E143" s="351">
        <v>35000</v>
      </c>
      <c r="F143" s="351">
        <v>35000</v>
      </c>
      <c r="G143" s="351">
        <v>35000</v>
      </c>
      <c r="H143" s="351">
        <v>35000</v>
      </c>
      <c r="I143" s="351">
        <f t="shared" si="18"/>
        <v>140000</v>
      </c>
    </row>
    <row r="144" spans="1:9">
      <c r="A144" s="350">
        <v>15</v>
      </c>
      <c r="B144" s="350" t="s">
        <v>488</v>
      </c>
      <c r="C144" s="350" t="s">
        <v>239</v>
      </c>
      <c r="D144" s="350" t="s">
        <v>207</v>
      </c>
      <c r="E144" s="351">
        <v>35000</v>
      </c>
      <c r="F144" s="351">
        <v>35000</v>
      </c>
      <c r="G144" s="351">
        <v>35000</v>
      </c>
      <c r="H144" s="351">
        <v>35000</v>
      </c>
      <c r="I144" s="351">
        <f t="shared" si="18"/>
        <v>140000</v>
      </c>
    </row>
    <row r="145" spans="1:9">
      <c r="A145" s="350">
        <v>16</v>
      </c>
      <c r="B145" s="350" t="s">
        <v>489</v>
      </c>
      <c r="C145" s="350" t="s">
        <v>239</v>
      </c>
      <c r="D145" s="350" t="s">
        <v>164</v>
      </c>
      <c r="E145" s="351">
        <v>35000</v>
      </c>
      <c r="F145" s="351">
        <v>35000</v>
      </c>
      <c r="G145" s="351">
        <v>35000</v>
      </c>
      <c r="H145" s="351">
        <v>35000</v>
      </c>
      <c r="I145" s="351">
        <f t="shared" si="18"/>
        <v>140000</v>
      </c>
    </row>
    <row r="146" spans="1:9">
      <c r="A146" s="350">
        <v>17</v>
      </c>
      <c r="B146" s="350" t="s">
        <v>212</v>
      </c>
      <c r="C146" s="350" t="s">
        <v>239</v>
      </c>
      <c r="D146" s="350" t="s">
        <v>164</v>
      </c>
      <c r="E146" s="351">
        <v>35000</v>
      </c>
      <c r="F146" s="351">
        <v>35000</v>
      </c>
      <c r="G146" s="351">
        <v>35000</v>
      </c>
      <c r="H146" s="351">
        <v>35000</v>
      </c>
      <c r="I146" s="351">
        <f t="shared" si="18"/>
        <v>140000</v>
      </c>
    </row>
    <row r="147" spans="1:9">
      <c r="A147" s="350">
        <v>18</v>
      </c>
      <c r="B147" s="350" t="s">
        <v>425</v>
      </c>
      <c r="C147" s="350" t="s">
        <v>430</v>
      </c>
      <c r="D147" s="350" t="s">
        <v>104</v>
      </c>
      <c r="E147" s="351">
        <v>35000</v>
      </c>
      <c r="F147" s="351">
        <v>35000</v>
      </c>
      <c r="G147" s="351">
        <v>35000</v>
      </c>
      <c r="H147" s="351">
        <v>35000</v>
      </c>
      <c r="I147" s="351">
        <f t="shared" si="18"/>
        <v>140000</v>
      </c>
    </row>
    <row r="148" spans="1:9">
      <c r="A148" s="350">
        <v>19</v>
      </c>
      <c r="B148" s="350" t="s">
        <v>437</v>
      </c>
      <c r="C148" s="350" t="s">
        <v>438</v>
      </c>
      <c r="D148" s="350" t="s">
        <v>428</v>
      </c>
      <c r="E148" s="351">
        <v>35000</v>
      </c>
      <c r="F148" s="351">
        <v>35000</v>
      </c>
      <c r="G148" s="351">
        <v>35000</v>
      </c>
      <c r="H148" s="351">
        <v>35000</v>
      </c>
      <c r="I148" s="351">
        <f t="shared" si="18"/>
        <v>140000</v>
      </c>
    </row>
    <row r="149" spans="1:9">
      <c r="A149" s="350">
        <v>20</v>
      </c>
      <c r="B149" s="350" t="s">
        <v>230</v>
      </c>
      <c r="C149" s="350" t="s">
        <v>485</v>
      </c>
      <c r="D149" s="350" t="s">
        <v>207</v>
      </c>
      <c r="E149" s="351">
        <v>35000</v>
      </c>
      <c r="F149" s="351">
        <v>35000</v>
      </c>
      <c r="G149" s="351">
        <v>35000</v>
      </c>
      <c r="H149" s="351">
        <v>35000</v>
      </c>
      <c r="I149" s="351">
        <f t="shared" si="18"/>
        <v>140000</v>
      </c>
    </row>
    <row r="150" spans="1:9">
      <c r="A150" s="350">
        <v>21</v>
      </c>
      <c r="B150" s="350" t="s">
        <v>57</v>
      </c>
      <c r="C150" s="350" t="s">
        <v>481</v>
      </c>
      <c r="D150" s="350" t="s">
        <v>498</v>
      </c>
      <c r="E150" s="351">
        <v>35000</v>
      </c>
      <c r="F150" s="351">
        <v>35000</v>
      </c>
      <c r="G150" s="351">
        <v>35000</v>
      </c>
      <c r="H150" s="351">
        <v>35000</v>
      </c>
      <c r="I150" s="351">
        <f t="shared" si="18"/>
        <v>140000</v>
      </c>
    </row>
    <row r="151" spans="1:9">
      <c r="A151" s="350">
        <v>22</v>
      </c>
      <c r="B151" s="350" t="s">
        <v>251</v>
      </c>
      <c r="C151" s="350" t="s">
        <v>482</v>
      </c>
      <c r="D151" s="350" t="s">
        <v>207</v>
      </c>
      <c r="E151" s="351">
        <v>35000</v>
      </c>
      <c r="F151" s="351">
        <v>35000</v>
      </c>
      <c r="G151" s="351">
        <v>35000</v>
      </c>
      <c r="H151" s="351">
        <v>35000</v>
      </c>
      <c r="I151" s="351">
        <f t="shared" si="18"/>
        <v>140000</v>
      </c>
    </row>
    <row r="152" spans="1:9">
      <c r="A152" s="350">
        <v>23</v>
      </c>
      <c r="B152" s="350" t="s">
        <v>241</v>
      </c>
      <c r="C152" s="350" t="s">
        <v>348</v>
      </c>
      <c r="D152" s="350" t="s">
        <v>498</v>
      </c>
      <c r="E152" s="351">
        <v>35000</v>
      </c>
      <c r="F152" s="351">
        <v>35000</v>
      </c>
      <c r="G152" s="351">
        <v>35000</v>
      </c>
      <c r="H152" s="351">
        <v>35000</v>
      </c>
      <c r="I152" s="351">
        <f t="shared" si="18"/>
        <v>140000</v>
      </c>
    </row>
    <row r="153" spans="1:9">
      <c r="A153" s="350">
        <v>24</v>
      </c>
      <c r="B153" s="350" t="s">
        <v>289</v>
      </c>
      <c r="C153" s="350" t="s">
        <v>290</v>
      </c>
      <c r="D153" s="350" t="s">
        <v>267</v>
      </c>
      <c r="E153" s="351">
        <v>35000</v>
      </c>
      <c r="F153" s="351">
        <v>35000</v>
      </c>
      <c r="G153" s="351">
        <v>35000</v>
      </c>
      <c r="H153" s="351">
        <v>35000</v>
      </c>
      <c r="I153" s="351">
        <f t="shared" si="18"/>
        <v>140000</v>
      </c>
    </row>
    <row r="154" spans="1:9">
      <c r="A154" s="350">
        <v>25</v>
      </c>
      <c r="B154" s="350" t="s">
        <v>407</v>
      </c>
      <c r="C154" s="350" t="s">
        <v>131</v>
      </c>
      <c r="D154" s="350" t="s">
        <v>105</v>
      </c>
      <c r="E154" s="351">
        <v>35000</v>
      </c>
      <c r="F154" s="351">
        <v>35000</v>
      </c>
      <c r="G154" s="351">
        <v>35000</v>
      </c>
      <c r="H154" s="351">
        <v>35000</v>
      </c>
      <c r="I154" s="351">
        <f t="shared" si="18"/>
        <v>140000</v>
      </c>
    </row>
    <row r="155" spans="1:9">
      <c r="A155" s="350">
        <v>26</v>
      </c>
      <c r="B155" s="350" t="s">
        <v>426</v>
      </c>
      <c r="C155" s="350" t="s">
        <v>290</v>
      </c>
      <c r="D155" s="350" t="s">
        <v>105</v>
      </c>
      <c r="E155" s="351">
        <v>35000</v>
      </c>
      <c r="F155" s="351">
        <v>35000</v>
      </c>
      <c r="G155" s="351">
        <v>35000</v>
      </c>
      <c r="H155" s="351">
        <v>35000</v>
      </c>
      <c r="I155" s="351">
        <f t="shared" si="18"/>
        <v>140000</v>
      </c>
    </row>
    <row r="156" spans="1:9">
      <c r="A156" s="350">
        <v>27</v>
      </c>
      <c r="B156" s="350" t="s">
        <v>441</v>
      </c>
      <c r="C156" s="350" t="s">
        <v>442</v>
      </c>
      <c r="D156" s="350" t="s">
        <v>105</v>
      </c>
      <c r="E156" s="351">
        <v>35000</v>
      </c>
      <c r="F156" s="351">
        <v>35000</v>
      </c>
      <c r="G156" s="351">
        <v>35000</v>
      </c>
      <c r="H156" s="351">
        <v>35000</v>
      </c>
      <c r="I156" s="351">
        <f t="shared" si="18"/>
        <v>140000</v>
      </c>
    </row>
    <row r="157" spans="1:9">
      <c r="A157" s="350">
        <v>28</v>
      </c>
      <c r="B157" s="350" t="s">
        <v>445</v>
      </c>
      <c r="C157" s="350" t="s">
        <v>446</v>
      </c>
      <c r="D157" s="350" t="s">
        <v>176</v>
      </c>
      <c r="E157" s="351">
        <v>35000</v>
      </c>
      <c r="F157" s="351">
        <v>35000</v>
      </c>
      <c r="G157" s="351">
        <v>35000</v>
      </c>
      <c r="H157" s="351">
        <v>35000</v>
      </c>
      <c r="I157" s="351">
        <f t="shared" si="18"/>
        <v>140000</v>
      </c>
    </row>
    <row r="158" spans="1:9">
      <c r="A158" s="350">
        <v>29</v>
      </c>
      <c r="B158" s="350" t="s">
        <v>550</v>
      </c>
      <c r="C158" s="350" t="s">
        <v>290</v>
      </c>
      <c r="D158" s="350" t="s">
        <v>105</v>
      </c>
      <c r="E158" s="351">
        <v>35000</v>
      </c>
      <c r="F158" s="351">
        <v>35000</v>
      </c>
      <c r="G158" s="351">
        <v>35000</v>
      </c>
      <c r="H158" s="351">
        <v>35000</v>
      </c>
      <c r="I158" s="351">
        <f t="shared" si="18"/>
        <v>140000</v>
      </c>
    </row>
    <row r="159" spans="1:9">
      <c r="A159" s="350">
        <v>30</v>
      </c>
      <c r="B159" s="350" t="s">
        <v>22</v>
      </c>
      <c r="C159" s="350" t="s">
        <v>302</v>
      </c>
      <c r="D159" s="350" t="s">
        <v>501</v>
      </c>
      <c r="E159" s="351">
        <v>35000</v>
      </c>
      <c r="F159" s="351">
        <v>35000</v>
      </c>
      <c r="G159" s="351">
        <v>35000</v>
      </c>
      <c r="H159" s="351">
        <v>35000</v>
      </c>
      <c r="I159" s="351">
        <f t="shared" si="18"/>
        <v>140000</v>
      </c>
    </row>
    <row r="160" spans="1:9">
      <c r="A160" s="350">
        <v>31</v>
      </c>
      <c r="B160" s="350" t="s">
        <v>14</v>
      </c>
      <c r="C160" s="350" t="s">
        <v>302</v>
      </c>
      <c r="D160" s="350" t="s">
        <v>501</v>
      </c>
      <c r="E160" s="351">
        <v>35000</v>
      </c>
      <c r="F160" s="351">
        <v>35000</v>
      </c>
      <c r="G160" s="351">
        <v>35000</v>
      </c>
      <c r="H160" s="351">
        <v>35000</v>
      </c>
      <c r="I160" s="351">
        <f t="shared" si="18"/>
        <v>140000</v>
      </c>
    </row>
    <row r="161" spans="1:9">
      <c r="A161" s="350">
        <v>32</v>
      </c>
      <c r="B161" s="350" t="s">
        <v>23</v>
      </c>
      <c r="C161" s="350" t="s">
        <v>302</v>
      </c>
      <c r="D161" s="350" t="s">
        <v>501</v>
      </c>
      <c r="E161" s="351">
        <v>35000</v>
      </c>
      <c r="F161" s="351">
        <v>35000</v>
      </c>
      <c r="G161" s="351">
        <v>35000</v>
      </c>
      <c r="H161" s="351">
        <v>35000</v>
      </c>
      <c r="I161" s="351">
        <f t="shared" si="18"/>
        <v>140000</v>
      </c>
    </row>
    <row r="162" spans="1:9">
      <c r="A162" s="350">
        <v>33</v>
      </c>
      <c r="B162" s="350" t="s">
        <v>39</v>
      </c>
      <c r="C162" s="350" t="s">
        <v>302</v>
      </c>
      <c r="D162" s="350" t="s">
        <v>501</v>
      </c>
      <c r="E162" s="351">
        <v>35000</v>
      </c>
      <c r="F162" s="351">
        <v>35000</v>
      </c>
      <c r="G162" s="351">
        <v>35000</v>
      </c>
      <c r="H162" s="351">
        <v>35000</v>
      </c>
      <c r="I162" s="351">
        <f t="shared" si="18"/>
        <v>140000</v>
      </c>
    </row>
    <row r="163" spans="1:9">
      <c r="A163" s="350">
        <v>34</v>
      </c>
      <c r="B163" s="350" t="s">
        <v>40</v>
      </c>
      <c r="C163" s="350" t="s">
        <v>302</v>
      </c>
      <c r="D163" s="350" t="s">
        <v>501</v>
      </c>
      <c r="E163" s="351">
        <v>35000</v>
      </c>
      <c r="F163" s="351">
        <v>35000</v>
      </c>
      <c r="G163" s="351">
        <v>35000</v>
      </c>
      <c r="H163" s="351">
        <v>35000</v>
      </c>
      <c r="I163" s="351">
        <f t="shared" si="18"/>
        <v>140000</v>
      </c>
    </row>
    <row r="164" spans="1:9">
      <c r="A164" s="350">
        <v>35</v>
      </c>
      <c r="B164" s="350" t="s">
        <v>127</v>
      </c>
      <c r="C164" s="350" t="s">
        <v>302</v>
      </c>
      <c r="D164" s="350" t="s">
        <v>416</v>
      </c>
      <c r="E164" s="351">
        <v>35000</v>
      </c>
      <c r="F164" s="351">
        <v>35000</v>
      </c>
      <c r="G164" s="351">
        <v>35000</v>
      </c>
      <c r="H164" s="351">
        <v>35000</v>
      </c>
      <c r="I164" s="351">
        <f t="shared" si="18"/>
        <v>140000</v>
      </c>
    </row>
    <row r="165" spans="1:9">
      <c r="A165" s="350">
        <v>36</v>
      </c>
      <c r="B165" s="350" t="s">
        <v>128</v>
      </c>
      <c r="C165" s="350" t="s">
        <v>302</v>
      </c>
      <c r="D165" s="350" t="s">
        <v>416</v>
      </c>
      <c r="E165" s="351">
        <v>35000</v>
      </c>
      <c r="F165" s="351">
        <v>35000</v>
      </c>
      <c r="G165" s="351">
        <v>35000</v>
      </c>
      <c r="H165" s="351">
        <v>35000</v>
      </c>
      <c r="I165" s="351">
        <f t="shared" si="18"/>
        <v>140000</v>
      </c>
    </row>
    <row r="166" spans="1:9">
      <c r="A166" s="350">
        <v>37</v>
      </c>
      <c r="B166" s="350" t="s">
        <v>136</v>
      </c>
      <c r="C166" s="350" t="s">
        <v>302</v>
      </c>
      <c r="D166" s="350" t="s">
        <v>416</v>
      </c>
      <c r="E166" s="351">
        <v>35000</v>
      </c>
      <c r="F166" s="351">
        <v>35000</v>
      </c>
      <c r="G166" s="351">
        <v>35000</v>
      </c>
      <c r="H166" s="351">
        <v>35000</v>
      </c>
      <c r="I166" s="351">
        <f t="shared" si="18"/>
        <v>140000</v>
      </c>
    </row>
    <row r="167" spans="1:9">
      <c r="A167" s="350">
        <v>38</v>
      </c>
      <c r="B167" s="350" t="s">
        <v>140</v>
      </c>
      <c r="C167" s="350" t="s">
        <v>302</v>
      </c>
      <c r="D167" s="350" t="s">
        <v>416</v>
      </c>
      <c r="E167" s="351">
        <v>35000</v>
      </c>
      <c r="F167" s="351">
        <v>35000</v>
      </c>
      <c r="G167" s="351">
        <v>35000</v>
      </c>
      <c r="H167" s="351">
        <v>35000</v>
      </c>
      <c r="I167" s="351">
        <f t="shared" si="18"/>
        <v>140000</v>
      </c>
    </row>
    <row r="168" spans="1:9">
      <c r="A168" s="350">
        <v>39</v>
      </c>
      <c r="B168" s="350" t="s">
        <v>152</v>
      </c>
      <c r="C168" s="350" t="s">
        <v>302</v>
      </c>
      <c r="D168" s="350" t="s">
        <v>416</v>
      </c>
      <c r="E168" s="351">
        <v>35000</v>
      </c>
      <c r="F168" s="351">
        <v>35000</v>
      </c>
      <c r="G168" s="351">
        <v>35000</v>
      </c>
      <c r="H168" s="351">
        <v>35000</v>
      </c>
      <c r="I168" s="351">
        <f t="shared" si="18"/>
        <v>140000</v>
      </c>
    </row>
    <row r="169" spans="1:9">
      <c r="A169" s="350">
        <v>40</v>
      </c>
      <c r="B169" s="350" t="s">
        <v>132</v>
      </c>
      <c r="C169" s="350" t="s">
        <v>302</v>
      </c>
      <c r="D169" s="350" t="s">
        <v>416</v>
      </c>
      <c r="E169" s="351">
        <v>35000</v>
      </c>
      <c r="F169" s="351">
        <v>35000</v>
      </c>
      <c r="G169" s="351">
        <v>35000</v>
      </c>
      <c r="H169" s="351">
        <v>35000</v>
      </c>
      <c r="I169" s="351">
        <f t="shared" si="18"/>
        <v>140000</v>
      </c>
    </row>
    <row r="170" spans="1:9">
      <c r="A170" s="350">
        <v>41</v>
      </c>
      <c r="B170" s="350" t="s">
        <v>231</v>
      </c>
      <c r="C170" s="350" t="s">
        <v>167</v>
      </c>
      <c r="D170" s="350" t="s">
        <v>263</v>
      </c>
      <c r="E170" s="351">
        <v>35000</v>
      </c>
      <c r="F170" s="351">
        <v>35000</v>
      </c>
      <c r="G170" s="351">
        <v>35000</v>
      </c>
      <c r="H170" s="351">
        <v>35000</v>
      </c>
      <c r="I170" s="351">
        <f t="shared" si="18"/>
        <v>140000</v>
      </c>
    </row>
    <row r="171" spans="1:9">
      <c r="A171" s="350">
        <v>42</v>
      </c>
      <c r="B171" s="350" t="s">
        <v>246</v>
      </c>
      <c r="C171" s="350" t="s">
        <v>167</v>
      </c>
      <c r="D171" s="350" t="s">
        <v>263</v>
      </c>
      <c r="E171" s="351">
        <v>35000</v>
      </c>
      <c r="F171" s="351">
        <v>35000</v>
      </c>
      <c r="G171" s="351">
        <v>35000</v>
      </c>
      <c r="H171" s="351">
        <v>35000</v>
      </c>
      <c r="I171" s="351">
        <f t="shared" si="18"/>
        <v>140000</v>
      </c>
    </row>
    <row r="172" spans="1:9">
      <c r="A172" s="350">
        <v>43</v>
      </c>
      <c r="B172" s="350" t="s">
        <v>166</v>
      </c>
      <c r="C172" s="350" t="s">
        <v>167</v>
      </c>
      <c r="D172" s="350" t="s">
        <v>223</v>
      </c>
      <c r="E172" s="351">
        <v>35000</v>
      </c>
      <c r="F172" s="351">
        <v>35000</v>
      </c>
      <c r="G172" s="351">
        <v>35000</v>
      </c>
      <c r="H172" s="351">
        <v>35000</v>
      </c>
      <c r="I172" s="351">
        <f t="shared" si="18"/>
        <v>140000</v>
      </c>
    </row>
    <row r="173" spans="1:9">
      <c r="A173" s="350">
        <v>44</v>
      </c>
      <c r="B173" s="350" t="s">
        <v>204</v>
      </c>
      <c r="C173" s="350" t="s">
        <v>167</v>
      </c>
      <c r="D173" s="350" t="s">
        <v>177</v>
      </c>
      <c r="E173" s="351">
        <v>35000</v>
      </c>
      <c r="F173" s="351">
        <v>35000</v>
      </c>
      <c r="G173" s="351">
        <v>35000</v>
      </c>
      <c r="H173" s="351">
        <v>35000</v>
      </c>
      <c r="I173" s="351">
        <f t="shared" si="18"/>
        <v>140000</v>
      </c>
    </row>
    <row r="174" spans="1:9">
      <c r="A174" s="350">
        <v>45</v>
      </c>
      <c r="B174" s="350" t="s">
        <v>209</v>
      </c>
      <c r="C174" s="350" t="s">
        <v>13</v>
      </c>
      <c r="D174" s="350" t="s">
        <v>502</v>
      </c>
      <c r="E174" s="351">
        <v>35000</v>
      </c>
      <c r="F174" s="351">
        <v>35000</v>
      </c>
      <c r="G174" s="351">
        <v>35000</v>
      </c>
      <c r="H174" s="351">
        <v>35000</v>
      </c>
      <c r="I174" s="351">
        <f t="shared" si="18"/>
        <v>140000</v>
      </c>
    </row>
    <row r="175" spans="1:9">
      <c r="A175" s="350">
        <v>46</v>
      </c>
      <c r="B175" s="350" t="s">
        <v>218</v>
      </c>
      <c r="C175" s="350" t="s">
        <v>13</v>
      </c>
      <c r="D175" s="350" t="s">
        <v>502</v>
      </c>
      <c r="E175" s="351">
        <v>35000</v>
      </c>
      <c r="F175" s="351">
        <v>35000</v>
      </c>
      <c r="G175" s="351">
        <v>35000</v>
      </c>
      <c r="H175" s="351">
        <v>35000</v>
      </c>
      <c r="I175" s="351">
        <f t="shared" si="18"/>
        <v>140000</v>
      </c>
    </row>
    <row r="176" spans="1:9">
      <c r="A176" s="350">
        <v>47</v>
      </c>
      <c r="B176" s="350" t="s">
        <v>219</v>
      </c>
      <c r="C176" s="350" t="s">
        <v>13</v>
      </c>
      <c r="D176" s="350" t="s">
        <v>502</v>
      </c>
      <c r="E176" s="351">
        <v>35000</v>
      </c>
      <c r="F176" s="351">
        <v>35000</v>
      </c>
      <c r="G176" s="351">
        <v>35000</v>
      </c>
      <c r="H176" s="351">
        <v>35000</v>
      </c>
      <c r="I176" s="351">
        <f t="shared" si="18"/>
        <v>140000</v>
      </c>
    </row>
    <row r="177" spans="1:9">
      <c r="A177" s="350">
        <v>48</v>
      </c>
      <c r="B177" s="350" t="s">
        <v>211</v>
      </c>
      <c r="C177" s="350" t="s">
        <v>13</v>
      </c>
      <c r="D177" s="350" t="s">
        <v>502</v>
      </c>
      <c r="E177" s="351">
        <v>35000</v>
      </c>
      <c r="F177" s="351">
        <v>35000</v>
      </c>
      <c r="G177" s="351">
        <v>35000</v>
      </c>
      <c r="H177" s="351">
        <v>35000</v>
      </c>
      <c r="I177" s="351">
        <f t="shared" si="18"/>
        <v>140000</v>
      </c>
    </row>
    <row r="178" spans="1:9">
      <c r="A178" s="350">
        <v>49</v>
      </c>
      <c r="B178" s="350" t="s">
        <v>213</v>
      </c>
      <c r="C178" s="350" t="s">
        <v>13</v>
      </c>
      <c r="D178" s="350" t="s">
        <v>502</v>
      </c>
      <c r="E178" s="351">
        <v>35000</v>
      </c>
      <c r="F178" s="351">
        <v>35000</v>
      </c>
      <c r="G178" s="351">
        <v>35000</v>
      </c>
      <c r="H178" s="351">
        <v>35000</v>
      </c>
      <c r="I178" s="351">
        <f t="shared" si="18"/>
        <v>140000</v>
      </c>
    </row>
    <row r="179" spans="1:9">
      <c r="A179" s="350">
        <v>50</v>
      </c>
      <c r="B179" s="350" t="s">
        <v>342</v>
      </c>
      <c r="C179" s="350" t="s">
        <v>13</v>
      </c>
      <c r="D179" s="350" t="s">
        <v>502</v>
      </c>
      <c r="E179" s="351">
        <v>35000</v>
      </c>
      <c r="F179" s="351">
        <v>35000</v>
      </c>
      <c r="G179" s="351">
        <v>35000</v>
      </c>
      <c r="H179" s="351">
        <v>35000</v>
      </c>
      <c r="I179" s="351">
        <f t="shared" si="18"/>
        <v>140000</v>
      </c>
    </row>
    <row r="180" spans="1:9">
      <c r="A180" s="350">
        <v>51</v>
      </c>
      <c r="B180" s="350" t="s">
        <v>405</v>
      </c>
      <c r="C180" s="350" t="s">
        <v>13</v>
      </c>
      <c r="D180" s="350" t="s">
        <v>502</v>
      </c>
      <c r="E180" s="351">
        <v>35000</v>
      </c>
      <c r="F180" s="351">
        <v>35000</v>
      </c>
      <c r="G180" s="351">
        <v>35000</v>
      </c>
      <c r="H180" s="351">
        <v>35000</v>
      </c>
      <c r="I180" s="351">
        <f t="shared" si="18"/>
        <v>140000</v>
      </c>
    </row>
    <row r="181" spans="1:9">
      <c r="A181" s="350">
        <v>52</v>
      </c>
      <c r="B181" s="350" t="s">
        <v>232</v>
      </c>
      <c r="C181" s="350" t="s">
        <v>167</v>
      </c>
      <c r="D181" s="350" t="s">
        <v>502</v>
      </c>
      <c r="E181" s="351">
        <v>35000</v>
      </c>
      <c r="F181" s="351">
        <v>35000</v>
      </c>
      <c r="G181" s="351">
        <v>35000</v>
      </c>
      <c r="H181" s="351">
        <v>35000</v>
      </c>
      <c r="I181" s="351">
        <f t="shared" si="18"/>
        <v>140000</v>
      </c>
    </row>
    <row r="182" spans="1:9">
      <c r="A182" s="350">
        <v>53</v>
      </c>
      <c r="B182" s="350" t="s">
        <v>233</v>
      </c>
      <c r="C182" s="350" t="s">
        <v>167</v>
      </c>
      <c r="D182" s="350" t="s">
        <v>502</v>
      </c>
      <c r="E182" s="351">
        <v>35000</v>
      </c>
      <c r="F182" s="351">
        <v>35000</v>
      </c>
      <c r="G182" s="351">
        <v>35000</v>
      </c>
      <c r="H182" s="351">
        <v>35000</v>
      </c>
      <c r="I182" s="351">
        <f t="shared" si="18"/>
        <v>140000</v>
      </c>
    </row>
    <row r="183" spans="1:9">
      <c r="A183" s="350">
        <v>54</v>
      </c>
      <c r="B183" s="350" t="s">
        <v>279</v>
      </c>
      <c r="C183" s="350" t="s">
        <v>13</v>
      </c>
      <c r="D183" s="350" t="s">
        <v>503</v>
      </c>
      <c r="E183" s="351">
        <v>35000</v>
      </c>
      <c r="F183" s="351">
        <v>35000</v>
      </c>
      <c r="G183" s="351">
        <v>35000</v>
      </c>
      <c r="H183" s="351">
        <v>35000</v>
      </c>
      <c r="I183" s="351">
        <f t="shared" si="18"/>
        <v>140000</v>
      </c>
    </row>
    <row r="184" spans="1:9">
      <c r="A184" s="350">
        <v>55</v>
      </c>
      <c r="B184" s="350" t="s">
        <v>403</v>
      </c>
      <c r="C184" s="350" t="s">
        <v>13</v>
      </c>
      <c r="D184" s="350" t="s">
        <v>264</v>
      </c>
      <c r="E184" s="351">
        <v>35000</v>
      </c>
      <c r="F184" s="351">
        <v>35000</v>
      </c>
      <c r="G184" s="351">
        <v>35000</v>
      </c>
      <c r="H184" s="351">
        <v>35000</v>
      </c>
      <c r="I184" s="351">
        <f t="shared" si="18"/>
        <v>140000</v>
      </c>
    </row>
    <row r="185" spans="1:9">
      <c r="A185" s="350">
        <v>56</v>
      </c>
      <c r="B185" s="350" t="s">
        <v>557</v>
      </c>
      <c r="C185" s="350" t="s">
        <v>558</v>
      </c>
      <c r="D185" s="350" t="s">
        <v>559</v>
      </c>
      <c r="E185" s="351">
        <v>35000</v>
      </c>
      <c r="F185" s="351">
        <v>35000</v>
      </c>
      <c r="G185" s="351">
        <v>35000</v>
      </c>
      <c r="H185" s="351">
        <v>35000</v>
      </c>
      <c r="I185" s="351">
        <f t="shared" si="18"/>
        <v>140000</v>
      </c>
    </row>
    <row r="186" spans="1:9">
      <c r="A186" s="350">
        <v>57</v>
      </c>
      <c r="B186" s="350" t="s">
        <v>560</v>
      </c>
      <c r="C186" s="350" t="s">
        <v>558</v>
      </c>
      <c r="D186" s="350" t="s">
        <v>559</v>
      </c>
      <c r="E186" s="351">
        <v>35000</v>
      </c>
      <c r="F186" s="351">
        <v>35000</v>
      </c>
      <c r="G186" s="351">
        <v>35000</v>
      </c>
      <c r="H186" s="351">
        <v>35000</v>
      </c>
      <c r="I186" s="351">
        <f t="shared" si="18"/>
        <v>140000</v>
      </c>
    </row>
    <row r="187" spans="1:9">
      <c r="A187" s="350">
        <v>58</v>
      </c>
      <c r="B187" s="350" t="s">
        <v>561</v>
      </c>
      <c r="C187" s="350" t="s">
        <v>558</v>
      </c>
      <c r="D187" s="350" t="s">
        <v>559</v>
      </c>
      <c r="E187" s="351">
        <v>35000</v>
      </c>
      <c r="F187" s="351">
        <v>35000</v>
      </c>
      <c r="G187" s="351">
        <v>35000</v>
      </c>
      <c r="H187" s="351">
        <v>35000</v>
      </c>
      <c r="I187" s="351">
        <f t="shared" si="18"/>
        <v>140000</v>
      </c>
    </row>
    <row r="188" spans="1:9">
      <c r="A188" s="350">
        <v>59</v>
      </c>
      <c r="B188" s="350" t="s">
        <v>562</v>
      </c>
      <c r="C188" s="350" t="s">
        <v>563</v>
      </c>
      <c r="D188" s="350" t="s">
        <v>564</v>
      </c>
      <c r="E188" s="351">
        <v>35000</v>
      </c>
      <c r="F188" s="351">
        <v>35000</v>
      </c>
      <c r="G188" s="351">
        <v>35000</v>
      </c>
      <c r="H188" s="351">
        <v>35000</v>
      </c>
      <c r="I188" s="351">
        <f t="shared" si="18"/>
        <v>140000</v>
      </c>
    </row>
    <row r="189" spans="1:9">
      <c r="A189" s="350">
        <v>60</v>
      </c>
      <c r="B189" s="350" t="s">
        <v>565</v>
      </c>
      <c r="C189" s="350" t="s">
        <v>563</v>
      </c>
      <c r="D189" s="350" t="s">
        <v>564</v>
      </c>
      <c r="E189" s="353">
        <v>35000</v>
      </c>
      <c r="F189" s="353">
        <v>35000</v>
      </c>
      <c r="G189" s="353">
        <v>35000</v>
      </c>
      <c r="H189" s="353">
        <v>35000</v>
      </c>
      <c r="I189" s="353">
        <f t="shared" si="18"/>
        <v>140000</v>
      </c>
    </row>
    <row r="190" spans="1:9">
      <c r="A190" s="350"/>
      <c r="B190" s="354" t="s">
        <v>580</v>
      </c>
      <c r="C190" s="350"/>
      <c r="D190" s="350"/>
      <c r="E190" s="355">
        <f>SUM(E131:E189)</f>
        <v>2065000</v>
      </c>
      <c r="F190" s="355">
        <f t="shared" ref="F190:H190" si="19">SUM(F131:F189)</f>
        <v>2065000</v>
      </c>
      <c r="G190" s="355">
        <f t="shared" si="19"/>
        <v>2065000</v>
      </c>
      <c r="H190" s="355">
        <f t="shared" si="19"/>
        <v>2065000</v>
      </c>
      <c r="I190" s="355">
        <f>SUM(I131:I189)</f>
        <v>8260000</v>
      </c>
    </row>
    <row r="191" spans="1:9">
      <c r="E191" s="337"/>
      <c r="F191" s="337"/>
      <c r="G191" s="337"/>
      <c r="H191" s="337"/>
      <c r="I191" s="342"/>
    </row>
    <row r="192" spans="1:9" ht="24" customHeight="1">
      <c r="A192" s="350"/>
      <c r="B192" s="733" t="s">
        <v>581</v>
      </c>
      <c r="C192" s="733"/>
      <c r="D192" s="733"/>
      <c r="E192" s="733"/>
      <c r="F192" s="733"/>
      <c r="G192" s="733"/>
      <c r="H192" s="733"/>
      <c r="I192" s="356">
        <f>I190+I116+I110+I100+I93+I79+I69+I54+I49+I33+I28</f>
        <v>19740000</v>
      </c>
    </row>
    <row r="193" spans="5:8">
      <c r="E193" s="337"/>
      <c r="F193" s="337"/>
      <c r="G193" s="337"/>
      <c r="H193" s="337"/>
    </row>
  </sheetData>
  <mergeCells count="4">
    <mergeCell ref="A1:I1"/>
    <mergeCell ref="A2:I2"/>
    <mergeCell ref="A3:I3"/>
    <mergeCell ref="B192:H192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  <rowBreaks count="3" manualBreakCount="3">
    <brk id="34" max="8" man="1"/>
    <brk id="69" max="8" man="1"/>
    <brk id="101" max="8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zoomScaleNormal="100" workbookViewId="0">
      <selection activeCell="L13" sqref="L13"/>
    </sheetView>
  </sheetViews>
  <sheetFormatPr defaultRowHeight="12.75"/>
  <cols>
    <col min="1" max="1" width="4" style="10" customWidth="1"/>
    <col min="2" max="2" width="28.28515625" style="10" customWidth="1"/>
    <col min="3" max="3" width="20.140625" style="10" customWidth="1"/>
    <col min="4" max="4" width="15.5703125" style="10" customWidth="1"/>
    <col min="5" max="5" width="13" style="10" customWidth="1"/>
    <col min="6" max="6" width="14.85546875" style="10" customWidth="1"/>
    <col min="7" max="7" width="14.5703125" style="10" customWidth="1"/>
    <col min="8" max="8" width="13" style="10" customWidth="1"/>
    <col min="9" max="16384" width="9.140625" style="10"/>
  </cols>
  <sheetData>
    <row r="1" spans="1:10" ht="20.25">
      <c r="A1" s="726" t="s">
        <v>234</v>
      </c>
      <c r="B1" s="726"/>
      <c r="C1" s="726"/>
      <c r="D1" s="726"/>
      <c r="E1" s="726"/>
      <c r="F1" s="726"/>
      <c r="G1" s="726"/>
      <c r="H1" s="726"/>
      <c r="I1" s="338"/>
      <c r="J1" s="338"/>
    </row>
    <row r="2" spans="1:10" ht="18.75">
      <c r="A2" s="734" t="s">
        <v>567</v>
      </c>
      <c r="B2" s="734"/>
      <c r="C2" s="734"/>
      <c r="D2" s="734"/>
      <c r="E2" s="734"/>
      <c r="F2" s="734"/>
      <c r="G2" s="734"/>
      <c r="H2" s="734"/>
      <c r="I2" s="336"/>
      <c r="J2" s="336"/>
    </row>
    <row r="3" spans="1:10" ht="37.5" customHeight="1">
      <c r="A3" s="735" t="s">
        <v>568</v>
      </c>
      <c r="B3" s="735"/>
      <c r="C3" s="735"/>
      <c r="D3" s="735"/>
      <c r="E3" s="735"/>
      <c r="F3" s="735"/>
      <c r="G3" s="735"/>
      <c r="H3" s="735"/>
    </row>
    <row r="5" spans="1:10" ht="42.75" customHeight="1">
      <c r="A5" s="346" t="s">
        <v>143</v>
      </c>
      <c r="B5" s="335" t="s">
        <v>0</v>
      </c>
      <c r="C5" s="335" t="s">
        <v>12</v>
      </c>
      <c r="D5" s="347" t="s">
        <v>566</v>
      </c>
      <c r="E5" s="347" t="s">
        <v>655</v>
      </c>
      <c r="F5" s="347" t="s">
        <v>656</v>
      </c>
      <c r="G5" s="347" t="s">
        <v>657</v>
      </c>
      <c r="H5" s="348" t="s">
        <v>583</v>
      </c>
      <c r="I5" s="1"/>
    </row>
    <row r="6" spans="1:10" ht="18.75">
      <c r="A6" s="33">
        <v>1</v>
      </c>
      <c r="B6" s="33" t="s">
        <v>658</v>
      </c>
      <c r="C6" s="33" t="s">
        <v>590</v>
      </c>
      <c r="D6" s="333">
        <v>35000</v>
      </c>
      <c r="E6" s="333">
        <v>35000</v>
      </c>
      <c r="F6" s="333">
        <v>35000</v>
      </c>
      <c r="G6" s="333">
        <v>35000</v>
      </c>
      <c r="H6" s="333">
        <f t="shared" ref="H6" si="0">D6+E6+F6+G6</f>
        <v>140000</v>
      </c>
      <c r="I6" s="1"/>
    </row>
    <row r="7" spans="1:10" ht="18.75">
      <c r="A7" s="33">
        <v>2</v>
      </c>
      <c r="B7" s="33" t="s">
        <v>589</v>
      </c>
      <c r="C7" s="33" t="s">
        <v>590</v>
      </c>
      <c r="D7" s="333">
        <v>35000</v>
      </c>
      <c r="E7" s="333">
        <v>35000</v>
      </c>
      <c r="F7" s="333">
        <v>35000</v>
      </c>
      <c r="G7" s="333">
        <v>35000</v>
      </c>
      <c r="H7" s="333">
        <f t="shared" ref="H7" si="1">D7+E7+F7+G7</f>
        <v>140000</v>
      </c>
      <c r="I7" s="1"/>
    </row>
    <row r="8" spans="1:10" ht="18.75">
      <c r="A8" s="33">
        <v>3</v>
      </c>
      <c r="B8" s="33" t="s">
        <v>650</v>
      </c>
      <c r="C8" s="33" t="s">
        <v>588</v>
      </c>
      <c r="D8" s="333">
        <v>35000</v>
      </c>
      <c r="E8" s="333">
        <v>35000</v>
      </c>
      <c r="F8" s="333">
        <v>35000</v>
      </c>
      <c r="G8" s="333">
        <v>35000</v>
      </c>
      <c r="H8" s="333">
        <f>D8+E8+F8+G8</f>
        <v>140000</v>
      </c>
      <c r="I8" s="1"/>
    </row>
    <row r="9" spans="1:10" ht="18.75">
      <c r="A9" s="33">
        <v>4</v>
      </c>
      <c r="B9" s="33" t="s">
        <v>589</v>
      </c>
      <c r="C9" s="33" t="s">
        <v>590</v>
      </c>
      <c r="D9" s="333">
        <v>35000</v>
      </c>
      <c r="E9" s="333">
        <v>35000</v>
      </c>
      <c r="F9" s="333">
        <v>35000</v>
      </c>
      <c r="G9" s="333">
        <v>35000</v>
      </c>
      <c r="H9" s="333">
        <f t="shared" ref="H9:H58" si="2">D9+E9+F9+G9</f>
        <v>140000</v>
      </c>
      <c r="I9" s="1"/>
    </row>
    <row r="10" spans="1:10" ht="18.75">
      <c r="A10" s="33">
        <v>5</v>
      </c>
      <c r="B10" s="33" t="s">
        <v>591</v>
      </c>
      <c r="C10" s="33" t="s">
        <v>592</v>
      </c>
      <c r="D10" s="333">
        <v>35000</v>
      </c>
      <c r="E10" s="333">
        <v>35000</v>
      </c>
      <c r="F10" s="333">
        <v>35000</v>
      </c>
      <c r="G10" s="333">
        <v>35000</v>
      </c>
      <c r="H10" s="333">
        <f t="shared" si="2"/>
        <v>140000</v>
      </c>
      <c r="I10" s="1"/>
    </row>
    <row r="11" spans="1:10" ht="18.75">
      <c r="A11" s="33">
        <v>6</v>
      </c>
      <c r="B11" s="33" t="s">
        <v>593</v>
      </c>
      <c r="C11" s="33" t="s">
        <v>594</v>
      </c>
      <c r="D11" s="333">
        <v>35000</v>
      </c>
      <c r="E11" s="333">
        <v>35000</v>
      </c>
      <c r="F11" s="333">
        <v>35000</v>
      </c>
      <c r="G11" s="333">
        <v>35000</v>
      </c>
      <c r="H11" s="333">
        <f t="shared" si="2"/>
        <v>140000</v>
      </c>
      <c r="I11" s="1"/>
    </row>
    <row r="12" spans="1:10" ht="18.75">
      <c r="A12" s="33">
        <v>7</v>
      </c>
      <c r="B12" s="33" t="s">
        <v>595</v>
      </c>
      <c r="C12" s="33" t="s">
        <v>596</v>
      </c>
      <c r="D12" s="333">
        <v>35000</v>
      </c>
      <c r="E12" s="333">
        <v>35000</v>
      </c>
      <c r="F12" s="333">
        <v>35000</v>
      </c>
      <c r="G12" s="333">
        <v>35000</v>
      </c>
      <c r="H12" s="333">
        <f t="shared" si="2"/>
        <v>140000</v>
      </c>
      <c r="I12" s="1"/>
    </row>
    <row r="13" spans="1:10" ht="18.75">
      <c r="A13" s="33">
        <v>8</v>
      </c>
      <c r="B13" s="33" t="s">
        <v>597</v>
      </c>
      <c r="C13" s="33" t="s">
        <v>598</v>
      </c>
      <c r="D13" s="333">
        <v>35000</v>
      </c>
      <c r="E13" s="333">
        <v>35000</v>
      </c>
      <c r="F13" s="333">
        <v>35000</v>
      </c>
      <c r="G13" s="333">
        <v>35000</v>
      </c>
      <c r="H13" s="333">
        <f t="shared" si="2"/>
        <v>140000</v>
      </c>
      <c r="I13" s="1"/>
    </row>
    <row r="14" spans="1:10" ht="18.75">
      <c r="A14" s="33">
        <v>9</v>
      </c>
      <c r="B14" s="33" t="s">
        <v>599</v>
      </c>
      <c r="C14" s="33" t="s">
        <v>598</v>
      </c>
      <c r="D14" s="333">
        <v>35000</v>
      </c>
      <c r="E14" s="333">
        <v>35000</v>
      </c>
      <c r="F14" s="333">
        <v>35000</v>
      </c>
      <c r="G14" s="333">
        <v>35000</v>
      </c>
      <c r="H14" s="333">
        <f t="shared" si="2"/>
        <v>140000</v>
      </c>
      <c r="I14" s="1"/>
    </row>
    <row r="15" spans="1:10" ht="18.75">
      <c r="A15" s="33">
        <v>10</v>
      </c>
      <c r="B15" s="33" t="s">
        <v>600</v>
      </c>
      <c r="C15" s="33" t="s">
        <v>596</v>
      </c>
      <c r="D15" s="333">
        <v>35000</v>
      </c>
      <c r="E15" s="333">
        <v>35000</v>
      </c>
      <c r="F15" s="333">
        <v>35000</v>
      </c>
      <c r="G15" s="333">
        <v>35000</v>
      </c>
      <c r="H15" s="333">
        <f t="shared" si="2"/>
        <v>140000</v>
      </c>
      <c r="I15" s="1"/>
    </row>
    <row r="16" spans="1:10" ht="18.75">
      <c r="A16" s="33">
        <v>11</v>
      </c>
      <c r="B16" s="33" t="s">
        <v>601</v>
      </c>
      <c r="C16" s="33" t="s">
        <v>602</v>
      </c>
      <c r="D16" s="333">
        <v>35000</v>
      </c>
      <c r="E16" s="333">
        <v>35000</v>
      </c>
      <c r="F16" s="333">
        <v>35000</v>
      </c>
      <c r="G16" s="333">
        <v>35000</v>
      </c>
      <c r="H16" s="333">
        <f t="shared" si="2"/>
        <v>140000</v>
      </c>
      <c r="I16" s="1"/>
    </row>
    <row r="17" spans="1:9" ht="18.75">
      <c r="A17" s="33">
        <v>12</v>
      </c>
      <c r="B17" s="33" t="s">
        <v>603</v>
      </c>
      <c r="C17" s="33" t="s">
        <v>588</v>
      </c>
      <c r="D17" s="333">
        <v>35000</v>
      </c>
      <c r="E17" s="333">
        <v>35000</v>
      </c>
      <c r="F17" s="333">
        <v>35000</v>
      </c>
      <c r="G17" s="333">
        <v>35000</v>
      </c>
      <c r="H17" s="333">
        <f t="shared" si="2"/>
        <v>140000</v>
      </c>
      <c r="I17" s="1"/>
    </row>
    <row r="18" spans="1:9" ht="18.75">
      <c r="A18" s="33">
        <v>13</v>
      </c>
      <c r="B18" s="33" t="s">
        <v>604</v>
      </c>
      <c r="C18" s="33" t="s">
        <v>605</v>
      </c>
      <c r="D18" s="333">
        <v>35000</v>
      </c>
      <c r="E18" s="333">
        <v>35000</v>
      </c>
      <c r="F18" s="333">
        <v>35000</v>
      </c>
      <c r="G18" s="333">
        <v>35000</v>
      </c>
      <c r="H18" s="333">
        <f t="shared" si="2"/>
        <v>140000</v>
      </c>
      <c r="I18" s="1"/>
    </row>
    <row r="19" spans="1:9" ht="18.75">
      <c r="A19" s="33">
        <v>14</v>
      </c>
      <c r="B19" s="33" t="s">
        <v>606</v>
      </c>
      <c r="C19" s="33" t="s">
        <v>592</v>
      </c>
      <c r="D19" s="333">
        <v>35000</v>
      </c>
      <c r="E19" s="333">
        <v>35000</v>
      </c>
      <c r="F19" s="333">
        <v>35000</v>
      </c>
      <c r="G19" s="333">
        <v>35000</v>
      </c>
      <c r="H19" s="333">
        <f t="shared" si="2"/>
        <v>140000</v>
      </c>
      <c r="I19" s="1"/>
    </row>
    <row r="20" spans="1:9" ht="18.75">
      <c r="A20" s="33">
        <v>15</v>
      </c>
      <c r="B20" s="33" t="s">
        <v>607</v>
      </c>
      <c r="C20" s="33" t="s">
        <v>608</v>
      </c>
      <c r="D20" s="333">
        <v>35000</v>
      </c>
      <c r="E20" s="333">
        <v>35000</v>
      </c>
      <c r="F20" s="333">
        <v>35000</v>
      </c>
      <c r="G20" s="333">
        <v>35000</v>
      </c>
      <c r="H20" s="333">
        <f t="shared" si="2"/>
        <v>140000</v>
      </c>
      <c r="I20" s="1"/>
    </row>
    <row r="21" spans="1:9" ht="18.75">
      <c r="A21" s="33">
        <v>16</v>
      </c>
      <c r="B21" s="33" t="s">
        <v>609</v>
      </c>
      <c r="C21" s="33" t="s">
        <v>610</v>
      </c>
      <c r="D21" s="333">
        <v>35000</v>
      </c>
      <c r="E21" s="333">
        <v>35000</v>
      </c>
      <c r="F21" s="333">
        <v>35000</v>
      </c>
      <c r="G21" s="333">
        <v>35000</v>
      </c>
      <c r="H21" s="333">
        <f t="shared" si="2"/>
        <v>140000</v>
      </c>
      <c r="I21" s="1"/>
    </row>
    <row r="22" spans="1:9" ht="18.75">
      <c r="A22" s="33">
        <v>17</v>
      </c>
      <c r="B22" s="33" t="s">
        <v>611</v>
      </c>
      <c r="C22" s="33" t="s">
        <v>592</v>
      </c>
      <c r="D22" s="333">
        <v>35000</v>
      </c>
      <c r="E22" s="333">
        <v>35000</v>
      </c>
      <c r="F22" s="333">
        <v>35000</v>
      </c>
      <c r="G22" s="333">
        <v>35000</v>
      </c>
      <c r="H22" s="333">
        <f t="shared" si="2"/>
        <v>140000</v>
      </c>
      <c r="I22" s="1"/>
    </row>
    <row r="23" spans="1:9" ht="18.75">
      <c r="A23" s="33">
        <v>18</v>
      </c>
      <c r="B23" s="33" t="s">
        <v>612</v>
      </c>
      <c r="C23" s="33" t="s">
        <v>613</v>
      </c>
      <c r="D23" s="333">
        <v>35000</v>
      </c>
      <c r="E23" s="333">
        <v>35000</v>
      </c>
      <c r="F23" s="333">
        <v>35000</v>
      </c>
      <c r="G23" s="333">
        <v>35000</v>
      </c>
      <c r="H23" s="333">
        <f t="shared" si="2"/>
        <v>140000</v>
      </c>
      <c r="I23" s="1"/>
    </row>
    <row r="24" spans="1:9" ht="18.75">
      <c r="A24" s="33">
        <v>19</v>
      </c>
      <c r="B24" s="33" t="s">
        <v>651</v>
      </c>
      <c r="C24" s="33" t="s">
        <v>613</v>
      </c>
      <c r="D24" s="333">
        <v>35000</v>
      </c>
      <c r="E24" s="333">
        <v>35000</v>
      </c>
      <c r="F24" s="333">
        <v>35000</v>
      </c>
      <c r="G24" s="333">
        <v>35000</v>
      </c>
      <c r="H24" s="333">
        <f t="shared" si="2"/>
        <v>140000</v>
      </c>
      <c r="I24" s="1"/>
    </row>
    <row r="25" spans="1:9" ht="18.75">
      <c r="A25" s="33">
        <v>20</v>
      </c>
      <c r="B25" s="33" t="s">
        <v>652</v>
      </c>
      <c r="C25" s="33" t="s">
        <v>613</v>
      </c>
      <c r="D25" s="333">
        <v>35000</v>
      </c>
      <c r="E25" s="333">
        <v>35000</v>
      </c>
      <c r="F25" s="333">
        <v>35000</v>
      </c>
      <c r="G25" s="333">
        <v>35000</v>
      </c>
      <c r="H25" s="333">
        <f t="shared" si="2"/>
        <v>140000</v>
      </c>
      <c r="I25" s="1"/>
    </row>
    <row r="26" spans="1:9" ht="18.75">
      <c r="A26" s="33">
        <v>21</v>
      </c>
      <c r="B26" s="33" t="s">
        <v>614</v>
      </c>
      <c r="C26" s="33" t="s">
        <v>613</v>
      </c>
      <c r="D26" s="333">
        <v>35000</v>
      </c>
      <c r="E26" s="333">
        <v>35000</v>
      </c>
      <c r="F26" s="333">
        <v>35000</v>
      </c>
      <c r="G26" s="333">
        <v>35000</v>
      </c>
      <c r="H26" s="333">
        <f t="shared" si="2"/>
        <v>140000</v>
      </c>
      <c r="I26" s="1"/>
    </row>
    <row r="27" spans="1:9" ht="18.75">
      <c r="A27" s="33">
        <v>22</v>
      </c>
      <c r="B27" s="33" t="s">
        <v>615</v>
      </c>
      <c r="C27" s="33" t="s">
        <v>616</v>
      </c>
      <c r="D27" s="333">
        <v>35000</v>
      </c>
      <c r="E27" s="333">
        <v>35000</v>
      </c>
      <c r="F27" s="333">
        <v>35000</v>
      </c>
      <c r="G27" s="333">
        <v>35000</v>
      </c>
      <c r="H27" s="333">
        <f t="shared" si="2"/>
        <v>140000</v>
      </c>
      <c r="I27" s="1"/>
    </row>
    <row r="28" spans="1:9" ht="18.75">
      <c r="A28" s="33">
        <v>23</v>
      </c>
      <c r="B28" s="33" t="s">
        <v>617</v>
      </c>
      <c r="C28" s="33" t="s">
        <v>618</v>
      </c>
      <c r="D28" s="333">
        <v>35000</v>
      </c>
      <c r="E28" s="333">
        <v>35000</v>
      </c>
      <c r="F28" s="333">
        <v>35000</v>
      </c>
      <c r="G28" s="333">
        <v>35000</v>
      </c>
      <c r="H28" s="333">
        <f t="shared" si="2"/>
        <v>140000</v>
      </c>
      <c r="I28" s="1"/>
    </row>
    <row r="29" spans="1:9" ht="18.75">
      <c r="A29" s="33">
        <v>24</v>
      </c>
      <c r="B29" s="33" t="s">
        <v>619</v>
      </c>
      <c r="C29" s="33" t="s">
        <v>620</v>
      </c>
      <c r="D29" s="333">
        <v>35000</v>
      </c>
      <c r="E29" s="333">
        <v>35000</v>
      </c>
      <c r="F29" s="333">
        <v>35000</v>
      </c>
      <c r="G29" s="333">
        <v>35000</v>
      </c>
      <c r="H29" s="333">
        <f t="shared" si="2"/>
        <v>140000</v>
      </c>
      <c r="I29" s="1"/>
    </row>
    <row r="30" spans="1:9" ht="18.75">
      <c r="A30" s="33">
        <v>25</v>
      </c>
      <c r="B30" s="33" t="s">
        <v>621</v>
      </c>
      <c r="C30" s="33" t="s">
        <v>602</v>
      </c>
      <c r="D30" s="333">
        <v>35000</v>
      </c>
      <c r="E30" s="333">
        <v>35000</v>
      </c>
      <c r="F30" s="333">
        <v>35000</v>
      </c>
      <c r="G30" s="333">
        <v>35000</v>
      </c>
      <c r="H30" s="333">
        <f t="shared" si="2"/>
        <v>140000</v>
      </c>
      <c r="I30" s="1"/>
    </row>
    <row r="31" spans="1:9" ht="18.75">
      <c r="A31" s="33">
        <v>26</v>
      </c>
      <c r="B31" s="33" t="s">
        <v>622</v>
      </c>
      <c r="C31" s="33" t="s">
        <v>613</v>
      </c>
      <c r="D31" s="333">
        <v>35000</v>
      </c>
      <c r="E31" s="333">
        <v>35000</v>
      </c>
      <c r="F31" s="333">
        <v>35000</v>
      </c>
      <c r="G31" s="333">
        <v>35000</v>
      </c>
      <c r="H31" s="333">
        <f t="shared" si="2"/>
        <v>140000</v>
      </c>
      <c r="I31" s="1"/>
    </row>
    <row r="32" spans="1:9" ht="18.75">
      <c r="A32" s="33">
        <v>27</v>
      </c>
      <c r="B32" s="33" t="s">
        <v>623</v>
      </c>
      <c r="C32" s="33" t="s">
        <v>588</v>
      </c>
      <c r="D32" s="333">
        <v>35000</v>
      </c>
      <c r="E32" s="333">
        <v>35000</v>
      </c>
      <c r="F32" s="333">
        <v>35000</v>
      </c>
      <c r="G32" s="333">
        <v>35000</v>
      </c>
      <c r="H32" s="333">
        <f t="shared" si="2"/>
        <v>140000</v>
      </c>
      <c r="I32" s="1"/>
    </row>
    <row r="33" spans="1:9" ht="18.75">
      <c r="A33" s="33">
        <v>28</v>
      </c>
      <c r="B33" s="33" t="s">
        <v>624</v>
      </c>
      <c r="C33" s="33" t="s">
        <v>588</v>
      </c>
      <c r="D33" s="333">
        <v>35000</v>
      </c>
      <c r="E33" s="333">
        <v>35000</v>
      </c>
      <c r="F33" s="333">
        <v>35000</v>
      </c>
      <c r="G33" s="333">
        <v>35000</v>
      </c>
      <c r="H33" s="333">
        <f t="shared" si="2"/>
        <v>140000</v>
      </c>
      <c r="I33" s="1"/>
    </row>
    <row r="34" spans="1:9" ht="18.75">
      <c r="A34" s="33">
        <v>29</v>
      </c>
      <c r="B34" s="33" t="s">
        <v>625</v>
      </c>
      <c r="C34" s="33" t="s">
        <v>613</v>
      </c>
      <c r="D34" s="333">
        <v>35000</v>
      </c>
      <c r="E34" s="333">
        <v>35000</v>
      </c>
      <c r="F34" s="333">
        <v>35000</v>
      </c>
      <c r="G34" s="333">
        <v>35000</v>
      </c>
      <c r="H34" s="333">
        <f t="shared" si="2"/>
        <v>140000</v>
      </c>
      <c r="I34" s="1"/>
    </row>
    <row r="35" spans="1:9" ht="18.75">
      <c r="A35" s="33">
        <v>30</v>
      </c>
      <c r="B35" s="33" t="s">
        <v>626</v>
      </c>
      <c r="C35" s="33" t="s">
        <v>613</v>
      </c>
      <c r="D35" s="333">
        <v>35000</v>
      </c>
      <c r="E35" s="333">
        <v>35000</v>
      </c>
      <c r="F35" s="333">
        <v>35000</v>
      </c>
      <c r="G35" s="333">
        <v>35000</v>
      </c>
      <c r="H35" s="333">
        <f t="shared" si="2"/>
        <v>140000</v>
      </c>
      <c r="I35" s="1"/>
    </row>
    <row r="36" spans="1:9" ht="18.75">
      <c r="A36" s="33">
        <v>31</v>
      </c>
      <c r="B36" s="33" t="s">
        <v>627</v>
      </c>
      <c r="C36" s="33" t="s">
        <v>628</v>
      </c>
      <c r="D36" s="333">
        <v>35000</v>
      </c>
      <c r="E36" s="333">
        <v>35000</v>
      </c>
      <c r="F36" s="333">
        <v>35000</v>
      </c>
      <c r="G36" s="333">
        <v>35000</v>
      </c>
      <c r="H36" s="333">
        <f t="shared" si="2"/>
        <v>140000</v>
      </c>
      <c r="I36" s="1"/>
    </row>
    <row r="37" spans="1:9" ht="18.75">
      <c r="A37" s="33">
        <v>32</v>
      </c>
      <c r="B37" s="33" t="s">
        <v>629</v>
      </c>
      <c r="C37" s="33" t="s">
        <v>613</v>
      </c>
      <c r="D37" s="333">
        <v>35000</v>
      </c>
      <c r="E37" s="333">
        <v>35000</v>
      </c>
      <c r="F37" s="333">
        <v>35000</v>
      </c>
      <c r="G37" s="333">
        <v>35000</v>
      </c>
      <c r="H37" s="333">
        <f t="shared" si="2"/>
        <v>140000</v>
      </c>
      <c r="I37" s="1"/>
    </row>
    <row r="38" spans="1:9" ht="18.75">
      <c r="A38" s="33">
        <v>33</v>
      </c>
      <c r="B38" s="33" t="s">
        <v>630</v>
      </c>
      <c r="C38" s="33" t="s">
        <v>649</v>
      </c>
      <c r="D38" s="333">
        <v>35000</v>
      </c>
      <c r="E38" s="333">
        <v>35000</v>
      </c>
      <c r="F38" s="333">
        <v>35000</v>
      </c>
      <c r="G38" s="333">
        <v>35000</v>
      </c>
      <c r="H38" s="333">
        <f t="shared" si="2"/>
        <v>140000</v>
      </c>
      <c r="I38" s="1"/>
    </row>
    <row r="39" spans="1:9" ht="18.75">
      <c r="A39" s="33">
        <v>34</v>
      </c>
      <c r="B39" s="33" t="s">
        <v>631</v>
      </c>
      <c r="C39" s="33" t="s">
        <v>613</v>
      </c>
      <c r="D39" s="333">
        <v>35000</v>
      </c>
      <c r="E39" s="333">
        <v>35000</v>
      </c>
      <c r="F39" s="333">
        <v>35000</v>
      </c>
      <c r="G39" s="333">
        <v>35000</v>
      </c>
      <c r="H39" s="333">
        <f t="shared" si="2"/>
        <v>140000</v>
      </c>
      <c r="I39" s="1"/>
    </row>
    <row r="40" spans="1:9" ht="18.75">
      <c r="A40" s="33">
        <v>35</v>
      </c>
      <c r="B40" s="33" t="s">
        <v>632</v>
      </c>
      <c r="C40" s="33" t="s">
        <v>613</v>
      </c>
      <c r="D40" s="333">
        <v>35000</v>
      </c>
      <c r="E40" s="333">
        <v>35000</v>
      </c>
      <c r="F40" s="333">
        <v>35000</v>
      </c>
      <c r="G40" s="333">
        <v>35000</v>
      </c>
      <c r="H40" s="333">
        <f t="shared" si="2"/>
        <v>140000</v>
      </c>
      <c r="I40" s="1"/>
    </row>
    <row r="41" spans="1:9" ht="18.75">
      <c r="A41" s="33">
        <v>36</v>
      </c>
      <c r="B41" s="33" t="s">
        <v>633</v>
      </c>
      <c r="C41" s="33" t="s">
        <v>592</v>
      </c>
      <c r="D41" s="333">
        <v>35000</v>
      </c>
      <c r="E41" s="333">
        <v>35000</v>
      </c>
      <c r="F41" s="333">
        <v>35000</v>
      </c>
      <c r="G41" s="333">
        <v>35000</v>
      </c>
      <c r="H41" s="333">
        <f t="shared" si="2"/>
        <v>140000</v>
      </c>
      <c r="I41" s="1"/>
    </row>
    <row r="42" spans="1:9" ht="18.75">
      <c r="A42" s="33">
        <v>37</v>
      </c>
      <c r="B42" s="33" t="s">
        <v>634</v>
      </c>
      <c r="C42" s="33" t="s">
        <v>592</v>
      </c>
      <c r="D42" s="333">
        <v>35000</v>
      </c>
      <c r="E42" s="333">
        <v>35000</v>
      </c>
      <c r="F42" s="333">
        <v>35000</v>
      </c>
      <c r="G42" s="333">
        <v>35000</v>
      </c>
      <c r="H42" s="333">
        <f t="shared" si="2"/>
        <v>140000</v>
      </c>
      <c r="I42" s="1"/>
    </row>
    <row r="43" spans="1:9" ht="18.75">
      <c r="A43" s="33">
        <v>38</v>
      </c>
      <c r="B43" s="33" t="s">
        <v>635</v>
      </c>
      <c r="C43" s="33" t="s">
        <v>592</v>
      </c>
      <c r="D43" s="333">
        <v>35000</v>
      </c>
      <c r="E43" s="333">
        <v>35000</v>
      </c>
      <c r="F43" s="333">
        <v>35000</v>
      </c>
      <c r="G43" s="333">
        <v>35000</v>
      </c>
      <c r="H43" s="333">
        <f t="shared" si="2"/>
        <v>140000</v>
      </c>
      <c r="I43" s="1"/>
    </row>
    <row r="44" spans="1:9" ht="18.75">
      <c r="A44" s="33">
        <v>39</v>
      </c>
      <c r="B44" s="33" t="s">
        <v>636</v>
      </c>
      <c r="C44" s="33" t="s">
        <v>592</v>
      </c>
      <c r="D44" s="333">
        <v>35000</v>
      </c>
      <c r="E44" s="333">
        <v>35000</v>
      </c>
      <c r="F44" s="333">
        <v>35000</v>
      </c>
      <c r="G44" s="333">
        <v>35000</v>
      </c>
      <c r="H44" s="333">
        <f t="shared" si="2"/>
        <v>140000</v>
      </c>
      <c r="I44" s="1"/>
    </row>
    <row r="45" spans="1:9" ht="18.75">
      <c r="A45" s="33">
        <v>40</v>
      </c>
      <c r="B45" s="33" t="s">
        <v>637</v>
      </c>
      <c r="C45" s="33" t="s">
        <v>592</v>
      </c>
      <c r="D45" s="333">
        <v>35000</v>
      </c>
      <c r="E45" s="333">
        <v>35000</v>
      </c>
      <c r="F45" s="333">
        <v>35000</v>
      </c>
      <c r="G45" s="333">
        <v>35000</v>
      </c>
      <c r="H45" s="333">
        <f t="shared" si="2"/>
        <v>140000</v>
      </c>
      <c r="I45" s="1"/>
    </row>
    <row r="46" spans="1:9" ht="18.75">
      <c r="A46" s="33">
        <v>41</v>
      </c>
      <c r="B46" s="33" t="s">
        <v>638</v>
      </c>
      <c r="C46" s="33" t="s">
        <v>592</v>
      </c>
      <c r="D46" s="333">
        <v>35000</v>
      </c>
      <c r="E46" s="333">
        <v>35000</v>
      </c>
      <c r="F46" s="333">
        <v>35000</v>
      </c>
      <c r="G46" s="333">
        <v>35000</v>
      </c>
      <c r="H46" s="333">
        <f t="shared" si="2"/>
        <v>140000</v>
      </c>
      <c r="I46" s="1"/>
    </row>
    <row r="47" spans="1:9" ht="18.75">
      <c r="A47" s="33">
        <v>42</v>
      </c>
      <c r="B47" s="33" t="s">
        <v>639</v>
      </c>
      <c r="C47" s="33" t="s">
        <v>613</v>
      </c>
      <c r="D47" s="333">
        <v>35000</v>
      </c>
      <c r="E47" s="333">
        <v>35000</v>
      </c>
      <c r="F47" s="333">
        <v>35000</v>
      </c>
      <c r="G47" s="333">
        <v>35000</v>
      </c>
      <c r="H47" s="333">
        <f t="shared" si="2"/>
        <v>140000</v>
      </c>
      <c r="I47" s="1"/>
    </row>
    <row r="48" spans="1:9" ht="18.75">
      <c r="A48" s="33">
        <v>43</v>
      </c>
      <c r="B48" s="33" t="s">
        <v>640</v>
      </c>
      <c r="C48" s="33" t="s">
        <v>592</v>
      </c>
      <c r="D48" s="333">
        <v>35000</v>
      </c>
      <c r="E48" s="333">
        <v>35000</v>
      </c>
      <c r="F48" s="333">
        <v>35000</v>
      </c>
      <c r="G48" s="333">
        <v>35000</v>
      </c>
      <c r="H48" s="333">
        <f t="shared" si="2"/>
        <v>140000</v>
      </c>
      <c r="I48" s="1"/>
    </row>
    <row r="49" spans="1:9" ht="18.75">
      <c r="A49" s="33">
        <v>44</v>
      </c>
      <c r="B49" s="33" t="s">
        <v>641</v>
      </c>
      <c r="C49" s="33" t="s">
        <v>592</v>
      </c>
      <c r="D49" s="333">
        <v>35000</v>
      </c>
      <c r="E49" s="333">
        <v>35000</v>
      </c>
      <c r="F49" s="333">
        <v>35000</v>
      </c>
      <c r="G49" s="333">
        <v>35000</v>
      </c>
      <c r="H49" s="333">
        <f t="shared" si="2"/>
        <v>140000</v>
      </c>
      <c r="I49" s="1"/>
    </row>
    <row r="50" spans="1:9" ht="18.75">
      <c r="A50" s="33">
        <v>45</v>
      </c>
      <c r="B50" s="33" t="s">
        <v>642</v>
      </c>
      <c r="C50" s="33" t="s">
        <v>613</v>
      </c>
      <c r="D50" s="333">
        <v>35000</v>
      </c>
      <c r="E50" s="333">
        <v>35000</v>
      </c>
      <c r="F50" s="333">
        <v>35000</v>
      </c>
      <c r="G50" s="333">
        <v>35000</v>
      </c>
      <c r="H50" s="333">
        <f t="shared" si="2"/>
        <v>140000</v>
      </c>
      <c r="I50" s="1"/>
    </row>
    <row r="51" spans="1:9" ht="18.75">
      <c r="A51" s="33">
        <v>46</v>
      </c>
      <c r="B51" s="33" t="s">
        <v>643</v>
      </c>
      <c r="C51" s="33" t="s">
        <v>592</v>
      </c>
      <c r="D51" s="333">
        <v>35000</v>
      </c>
      <c r="E51" s="333">
        <v>35000</v>
      </c>
      <c r="F51" s="333">
        <v>35000</v>
      </c>
      <c r="G51" s="333">
        <v>35000</v>
      </c>
      <c r="H51" s="333">
        <f t="shared" si="2"/>
        <v>140000</v>
      </c>
      <c r="I51" s="1"/>
    </row>
    <row r="52" spans="1:9" ht="18.75">
      <c r="A52" s="33">
        <v>47</v>
      </c>
      <c r="B52" s="33" t="s">
        <v>644</v>
      </c>
      <c r="C52" s="33" t="s">
        <v>592</v>
      </c>
      <c r="D52" s="333">
        <v>35000</v>
      </c>
      <c r="E52" s="333">
        <v>35000</v>
      </c>
      <c r="F52" s="333">
        <v>35000</v>
      </c>
      <c r="G52" s="333">
        <v>35000</v>
      </c>
      <c r="H52" s="333">
        <f t="shared" si="2"/>
        <v>140000</v>
      </c>
      <c r="I52" s="1"/>
    </row>
    <row r="53" spans="1:9" ht="18.75">
      <c r="A53" s="33">
        <v>48</v>
      </c>
      <c r="B53" s="33" t="s">
        <v>645</v>
      </c>
      <c r="C53" s="33" t="s">
        <v>613</v>
      </c>
      <c r="D53" s="333">
        <v>35000</v>
      </c>
      <c r="E53" s="333">
        <v>35000</v>
      </c>
      <c r="F53" s="333">
        <v>35000</v>
      </c>
      <c r="G53" s="333">
        <v>35000</v>
      </c>
      <c r="H53" s="333">
        <f t="shared" si="2"/>
        <v>140000</v>
      </c>
      <c r="I53" s="1"/>
    </row>
    <row r="54" spans="1:9" ht="18.75">
      <c r="A54" s="33">
        <v>49</v>
      </c>
      <c r="B54" s="33" t="s">
        <v>646</v>
      </c>
      <c r="C54" s="33" t="s">
        <v>613</v>
      </c>
      <c r="D54" s="333">
        <v>35000</v>
      </c>
      <c r="E54" s="333">
        <v>35000</v>
      </c>
      <c r="F54" s="333">
        <v>35000</v>
      </c>
      <c r="G54" s="333">
        <v>35000</v>
      </c>
      <c r="H54" s="333">
        <f t="shared" si="2"/>
        <v>140000</v>
      </c>
      <c r="I54" s="1"/>
    </row>
    <row r="55" spans="1:9" ht="18.75">
      <c r="A55" s="33">
        <v>50</v>
      </c>
      <c r="B55" s="33" t="s">
        <v>647</v>
      </c>
      <c r="C55" s="33" t="s">
        <v>613</v>
      </c>
      <c r="D55" s="333">
        <v>35000</v>
      </c>
      <c r="E55" s="333">
        <v>35000</v>
      </c>
      <c r="F55" s="333">
        <v>35000</v>
      </c>
      <c r="G55" s="333">
        <v>35000</v>
      </c>
      <c r="H55" s="333">
        <f t="shared" si="2"/>
        <v>140000</v>
      </c>
      <c r="I55" s="1"/>
    </row>
    <row r="56" spans="1:9" ht="18.75">
      <c r="A56" s="33">
        <v>51</v>
      </c>
      <c r="B56" s="33" t="s">
        <v>648</v>
      </c>
      <c r="C56" s="33" t="s">
        <v>613</v>
      </c>
      <c r="D56" s="333">
        <v>35000</v>
      </c>
      <c r="E56" s="333">
        <v>35000</v>
      </c>
      <c r="F56" s="333">
        <v>35000</v>
      </c>
      <c r="G56" s="333">
        <v>35000</v>
      </c>
      <c r="H56" s="333">
        <f t="shared" si="2"/>
        <v>140000</v>
      </c>
      <c r="I56" s="1"/>
    </row>
    <row r="57" spans="1:9" ht="18.75">
      <c r="A57" s="33">
        <v>52</v>
      </c>
      <c r="B57" s="33" t="s">
        <v>653</v>
      </c>
      <c r="C57" s="33" t="s">
        <v>592</v>
      </c>
      <c r="D57" s="333">
        <v>35000</v>
      </c>
      <c r="E57" s="333">
        <v>35000</v>
      </c>
      <c r="F57" s="333">
        <v>35000</v>
      </c>
      <c r="G57" s="333">
        <v>35000</v>
      </c>
      <c r="H57" s="333">
        <f t="shared" si="2"/>
        <v>140000</v>
      </c>
      <c r="I57" s="1"/>
    </row>
    <row r="58" spans="1:9" ht="18.75">
      <c r="A58" s="33">
        <v>53</v>
      </c>
      <c r="B58" s="33" t="s">
        <v>654</v>
      </c>
      <c r="C58" s="33" t="s">
        <v>592</v>
      </c>
      <c r="D58" s="333">
        <v>35000</v>
      </c>
      <c r="E58" s="333">
        <v>35000</v>
      </c>
      <c r="F58" s="333">
        <v>35000</v>
      </c>
      <c r="G58" s="333">
        <v>35000</v>
      </c>
      <c r="H58" s="333">
        <f t="shared" si="2"/>
        <v>140000</v>
      </c>
      <c r="I58" s="1"/>
    </row>
    <row r="59" spans="1:9" ht="18.75">
      <c r="A59" s="22"/>
      <c r="B59" s="33"/>
      <c r="C59" s="33"/>
      <c r="D59" s="349">
        <f>SUM(D8:D58)</f>
        <v>1785000</v>
      </c>
      <c r="E59" s="349">
        <f>SUM(E8:E58)</f>
        <v>1785000</v>
      </c>
      <c r="F59" s="349">
        <f>SUM(F8:F58)</f>
        <v>1785000</v>
      </c>
      <c r="G59" s="349">
        <f>SUM(G8:G58)</f>
        <v>1785000</v>
      </c>
      <c r="H59" s="349">
        <f>SUM(H8:H58)</f>
        <v>7140000</v>
      </c>
      <c r="I59" s="1"/>
    </row>
    <row r="60" spans="1:9">
      <c r="D60" s="337"/>
      <c r="E60" s="337"/>
      <c r="F60" s="337"/>
      <c r="G60" s="337"/>
      <c r="H60" s="337"/>
    </row>
    <row r="61" spans="1:9">
      <c r="D61" s="337"/>
      <c r="E61" s="337"/>
      <c r="F61" s="337"/>
      <c r="G61" s="337"/>
      <c r="H61" s="342"/>
    </row>
    <row r="62" spans="1:9">
      <c r="A62" s="341"/>
      <c r="B62" s="341"/>
      <c r="C62" s="341"/>
      <c r="D62" s="342"/>
      <c r="E62" s="342"/>
      <c r="F62" s="342"/>
      <c r="G62" s="342"/>
      <c r="H62" s="345"/>
    </row>
    <row r="63" spans="1:9">
      <c r="D63" s="337"/>
      <c r="E63" s="337"/>
      <c r="F63" s="337"/>
      <c r="G63" s="337"/>
    </row>
  </sheetData>
  <mergeCells count="3">
    <mergeCell ref="A1:H1"/>
    <mergeCell ref="A2:H2"/>
    <mergeCell ref="A3:H3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>
      <selection activeCell="H6" sqref="H6"/>
    </sheetView>
  </sheetViews>
  <sheetFormatPr defaultRowHeight="12.75"/>
  <cols>
    <col min="2" max="2" width="34.42578125" customWidth="1"/>
    <col min="3" max="3" width="42.28515625" customWidth="1"/>
    <col min="4" max="4" width="16.5703125" customWidth="1"/>
    <col min="5" max="5" width="14.5703125" customWidth="1"/>
    <col min="6" max="6" width="14.7109375" customWidth="1"/>
  </cols>
  <sheetData>
    <row r="1" spans="1:10" ht="45" customHeight="1">
      <c r="A1" s="90" t="s">
        <v>727</v>
      </c>
      <c r="B1" s="1"/>
      <c r="C1" s="1"/>
      <c r="D1" s="1"/>
      <c r="E1" s="1"/>
      <c r="F1" s="1"/>
      <c r="G1" s="1"/>
      <c r="H1" s="1"/>
      <c r="I1" s="1"/>
      <c r="J1" s="1"/>
    </row>
    <row r="2" spans="1:10" ht="50.25" customHeight="1">
      <c r="A2" s="8" t="s">
        <v>143</v>
      </c>
      <c r="B2" s="22" t="s">
        <v>487</v>
      </c>
      <c r="C2" s="22" t="s">
        <v>12</v>
      </c>
      <c r="D2" s="332" t="s">
        <v>730</v>
      </c>
      <c r="E2" s="332" t="s">
        <v>38</v>
      </c>
      <c r="F2" s="332" t="s">
        <v>717</v>
      </c>
      <c r="G2" s="1"/>
      <c r="H2" s="1"/>
      <c r="I2" s="1"/>
      <c r="J2" s="1"/>
    </row>
    <row r="3" spans="1:10" ht="35.1" customHeight="1">
      <c r="A3" s="3">
        <v>1</v>
      </c>
      <c r="B3" s="33" t="s">
        <v>726</v>
      </c>
      <c r="C3" s="33" t="s">
        <v>84</v>
      </c>
      <c r="D3" s="333">
        <f>20000*28</f>
        <v>560000</v>
      </c>
      <c r="E3" s="395">
        <f>86186.67</f>
        <v>86186.67</v>
      </c>
      <c r="F3" s="333">
        <f>D3-E3</f>
        <v>473813.33</v>
      </c>
      <c r="G3" s="1"/>
      <c r="H3" s="1"/>
      <c r="I3" s="1"/>
      <c r="J3" s="1"/>
    </row>
    <row r="4" spans="1:10" ht="39.75" customHeight="1">
      <c r="A4" s="3">
        <v>2</v>
      </c>
      <c r="B4" s="419" t="s">
        <v>728</v>
      </c>
      <c r="C4" s="33" t="s">
        <v>729</v>
      </c>
      <c r="D4" s="333">
        <f>20000*28</f>
        <v>560000</v>
      </c>
      <c r="E4" s="395">
        <f>86186.67</f>
        <v>86186.67</v>
      </c>
      <c r="F4" s="333">
        <f t="shared" ref="F4" si="0">D4-E4</f>
        <v>473813.33</v>
      </c>
      <c r="G4" s="1"/>
      <c r="H4" s="1"/>
      <c r="I4" s="1"/>
      <c r="J4" s="1"/>
    </row>
    <row r="5" spans="1:10" ht="36" customHeight="1">
      <c r="A5" s="33"/>
      <c r="B5" s="22" t="s">
        <v>15</v>
      </c>
      <c r="C5" s="22"/>
      <c r="D5" s="334">
        <f>SUM(D3:D4)</f>
        <v>1120000</v>
      </c>
      <c r="E5" s="334">
        <f>SUM(E3:E4)</f>
        <v>172373.34</v>
      </c>
      <c r="F5" s="334">
        <f>SUM(F3:F4)</f>
        <v>947626.66</v>
      </c>
      <c r="G5" s="1"/>
      <c r="H5" s="1"/>
      <c r="I5" s="1"/>
      <c r="J5" s="1"/>
    </row>
    <row r="6" spans="1:10" ht="18.7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8.7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8.7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8.7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8.7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8.7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8.7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8.7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8.7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8.7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8.7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8.7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8.7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8.7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8.7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8.7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8.7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8.7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8.7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8.7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8.7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8.7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8.7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8.7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8.7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8.7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8.7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8.7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8.7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8.7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8.7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8.7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8.7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8.7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8.7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8.7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8.7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8.7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8.7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8.7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8.7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8.7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8.7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8.7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8.7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8.7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8.7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8.7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8.7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8.7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8.7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8.7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8.7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8.7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8.7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8.7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8.7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8.7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8.7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8.7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8.7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8.7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8.7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8.7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8.7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8.7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8.7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8.7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8.7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8.7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8.7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8.7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8.7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8.7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8.7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8.7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8.7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8.7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8.7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8.7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8.7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8.7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8.7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8.7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8.7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8.7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8.7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8.7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8.7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8.7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8.7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8.7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8.7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8.7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8.7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8.7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8.7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8.7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8.7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8.7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8.7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8.7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8.7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8.7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8.7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8.7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8.7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8.7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8.7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8.7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8.7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8.7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8.7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8.7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8.7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8.7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8.7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8.7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8.7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8.7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8.7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8.7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8.7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8.7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8.7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8.7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8.7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8.7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8.7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8.7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8.7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8.7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8.7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8.7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8.7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8.7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8.7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8.7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8.7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8.7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8.7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8.7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8.7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8.7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8.7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8.7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8.7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8.7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8.7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8.7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8.7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8.7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8.7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8.7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8.75">
      <c r="A160" s="1"/>
      <c r="B160" s="1"/>
      <c r="C160" s="1"/>
      <c r="D160" s="1"/>
      <c r="E160" s="1"/>
      <c r="F160" s="1"/>
      <c r="G160" s="1"/>
      <c r="H160" s="1"/>
      <c r="I160" s="1"/>
      <c r="J160" s="1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0"/>
  <sheetViews>
    <sheetView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42" sqref="F42"/>
    </sheetView>
  </sheetViews>
  <sheetFormatPr defaultColWidth="9.140625" defaultRowHeight="20.100000000000001" customHeight="1"/>
  <cols>
    <col min="1" max="1" width="5.42578125" style="196" customWidth="1"/>
    <col min="2" max="2" width="42.85546875" style="196" customWidth="1"/>
    <col min="3" max="3" width="38" style="196" customWidth="1"/>
    <col min="4" max="4" width="12.42578125" style="196" customWidth="1"/>
    <col min="5" max="5" width="21.85546875" style="196" customWidth="1"/>
    <col min="6" max="6" width="21.7109375" style="196" customWidth="1"/>
    <col min="7" max="16384" width="9.140625" style="196"/>
  </cols>
  <sheetData>
    <row r="1" spans="1:6" ht="27" customHeight="1">
      <c r="A1" s="308" t="s">
        <v>234</v>
      </c>
      <c r="B1" s="308"/>
      <c r="C1" s="308"/>
      <c r="D1" s="308"/>
      <c r="E1" s="309"/>
    </row>
    <row r="2" spans="1:6" ht="33.75" customHeight="1">
      <c r="A2" s="308" t="s">
        <v>537</v>
      </c>
      <c r="B2" s="198"/>
      <c r="C2" s="197"/>
      <c r="D2" s="197"/>
      <c r="E2" s="201"/>
    </row>
    <row r="3" spans="1:6" ht="9.75" customHeight="1">
      <c r="A3" s="202"/>
      <c r="B3" s="202"/>
      <c r="C3" s="202"/>
      <c r="D3" s="202"/>
    </row>
    <row r="4" spans="1:6" ht="49.5" customHeight="1">
      <c r="A4" s="303"/>
      <c r="B4" s="310" t="s">
        <v>0</v>
      </c>
      <c r="C4" s="311" t="s">
        <v>12</v>
      </c>
      <c r="D4" s="312" t="s">
        <v>309</v>
      </c>
      <c r="E4" s="313" t="s">
        <v>120</v>
      </c>
    </row>
    <row r="5" spans="1:6" ht="17.25" customHeight="1">
      <c r="C5" s="210"/>
      <c r="D5" s="210"/>
      <c r="E5" s="249" t="s">
        <v>5</v>
      </c>
    </row>
    <row r="6" spans="1:6" ht="20.100000000000001" customHeight="1">
      <c r="A6" s="209" t="s">
        <v>143</v>
      </c>
      <c r="B6" s="210" t="s">
        <v>433</v>
      </c>
      <c r="C6" s="210"/>
      <c r="D6" s="210"/>
      <c r="E6" s="249"/>
    </row>
    <row r="7" spans="1:6" ht="20.100000000000001" customHeight="1">
      <c r="A7" s="29">
        <v>1</v>
      </c>
      <c r="B7" s="188" t="s">
        <v>224</v>
      </c>
      <c r="C7" s="287" t="s">
        <v>119</v>
      </c>
      <c r="D7" s="287" t="s">
        <v>34</v>
      </c>
      <c r="E7" s="314">
        <v>450000</v>
      </c>
      <c r="F7" s="213"/>
    </row>
    <row r="8" spans="1:6" ht="20.100000000000001" customHeight="1">
      <c r="A8" s="29">
        <v>2</v>
      </c>
      <c r="B8" s="188" t="s">
        <v>137</v>
      </c>
      <c r="C8" s="21" t="s">
        <v>472</v>
      </c>
      <c r="D8" s="29" t="s">
        <v>160</v>
      </c>
      <c r="E8" s="314">
        <v>150000</v>
      </c>
      <c r="F8" s="213"/>
    </row>
    <row r="9" spans="1:6" ht="20.100000000000001" customHeight="1">
      <c r="A9" s="29">
        <v>3</v>
      </c>
      <c r="B9" s="190" t="s">
        <v>225</v>
      </c>
      <c r="C9" s="21" t="s">
        <v>226</v>
      </c>
      <c r="D9" s="29" t="s">
        <v>160</v>
      </c>
      <c r="E9" s="314">
        <v>150000</v>
      </c>
      <c r="F9" s="213"/>
    </row>
    <row r="10" spans="1:6" ht="20.100000000000001" customHeight="1">
      <c r="A10" s="29">
        <v>4</v>
      </c>
      <c r="B10" s="188" t="s">
        <v>315</v>
      </c>
      <c r="C10" s="287" t="s">
        <v>316</v>
      </c>
      <c r="D10" s="29" t="s">
        <v>496</v>
      </c>
      <c r="E10" s="314">
        <v>150000</v>
      </c>
      <c r="F10" s="213"/>
    </row>
    <row r="11" spans="1:6" ht="20.100000000000001" customHeight="1">
      <c r="A11" s="29">
        <v>5</v>
      </c>
      <c r="B11" s="190" t="s">
        <v>317</v>
      </c>
      <c r="C11" s="21" t="s">
        <v>418</v>
      </c>
      <c r="D11" s="214" t="s">
        <v>221</v>
      </c>
      <c r="E11" s="314">
        <v>150000</v>
      </c>
      <c r="F11" s="213"/>
    </row>
    <row r="12" spans="1:6" ht="20.100000000000001" customHeight="1">
      <c r="A12" s="29">
        <v>6</v>
      </c>
      <c r="B12" s="190" t="s">
        <v>112</v>
      </c>
      <c r="C12" s="21" t="s">
        <v>473</v>
      </c>
      <c r="D12" s="25" t="s">
        <v>221</v>
      </c>
      <c r="E12" s="314">
        <v>150000</v>
      </c>
      <c r="F12" s="213"/>
    </row>
    <row r="13" spans="1:6" ht="20.100000000000001" customHeight="1">
      <c r="A13" s="29">
        <v>7</v>
      </c>
      <c r="B13" s="188" t="s">
        <v>187</v>
      </c>
      <c r="C13" s="155" t="s">
        <v>474</v>
      </c>
      <c r="D13" s="25" t="s">
        <v>221</v>
      </c>
      <c r="E13" s="314">
        <v>150000</v>
      </c>
      <c r="F13" s="213"/>
    </row>
    <row r="14" spans="1:6" ht="20.100000000000001" customHeight="1">
      <c r="A14" s="29">
        <v>8</v>
      </c>
      <c r="B14" s="190" t="s">
        <v>203</v>
      </c>
      <c r="C14" s="21" t="s">
        <v>475</v>
      </c>
      <c r="D14" s="25" t="s">
        <v>221</v>
      </c>
      <c r="E14" s="314">
        <v>150000</v>
      </c>
      <c r="F14" s="213"/>
    </row>
    <row r="15" spans="1:6" ht="20.100000000000001" customHeight="1">
      <c r="A15" s="29">
        <v>9</v>
      </c>
      <c r="B15" s="188" t="s">
        <v>111</v>
      </c>
      <c r="C15" s="287" t="s">
        <v>468</v>
      </c>
      <c r="D15" s="214" t="s">
        <v>75</v>
      </c>
      <c r="E15" s="314">
        <v>105000</v>
      </c>
      <c r="F15" s="213"/>
    </row>
    <row r="16" spans="1:6" ht="20.100000000000001" customHeight="1">
      <c r="A16" s="29">
        <v>10</v>
      </c>
      <c r="B16" s="189" t="s">
        <v>333</v>
      </c>
      <c r="C16" s="287" t="s">
        <v>387</v>
      </c>
      <c r="D16" s="29" t="s">
        <v>412</v>
      </c>
      <c r="E16" s="314">
        <v>105000</v>
      </c>
      <c r="F16" s="213"/>
    </row>
    <row r="17" spans="1:6" ht="20.100000000000001" customHeight="1">
      <c r="A17" s="29">
        <v>11</v>
      </c>
      <c r="B17" s="192" t="s">
        <v>220</v>
      </c>
      <c r="C17" s="21" t="s">
        <v>388</v>
      </c>
      <c r="D17" s="25" t="s">
        <v>181</v>
      </c>
      <c r="E17" s="314">
        <v>75000</v>
      </c>
      <c r="F17" s="213"/>
    </row>
    <row r="18" spans="1:6" ht="19.5" customHeight="1">
      <c r="A18" s="29">
        <v>12</v>
      </c>
      <c r="B18" s="190" t="s">
        <v>144</v>
      </c>
      <c r="C18" s="21" t="s">
        <v>389</v>
      </c>
      <c r="D18" s="29" t="s">
        <v>181</v>
      </c>
      <c r="E18" s="314">
        <v>75000</v>
      </c>
      <c r="F18" s="213"/>
    </row>
    <row r="19" spans="1:6" ht="19.5" customHeight="1">
      <c r="A19" s="29">
        <v>13</v>
      </c>
      <c r="B19" s="190" t="s">
        <v>139</v>
      </c>
      <c r="C19" s="21" t="s">
        <v>386</v>
      </c>
      <c r="D19" s="29" t="s">
        <v>181</v>
      </c>
      <c r="E19" s="314">
        <v>75000</v>
      </c>
      <c r="F19" s="213"/>
    </row>
    <row r="20" spans="1:6" ht="20.100000000000001" customHeight="1">
      <c r="A20" s="29">
        <v>14</v>
      </c>
      <c r="B20" s="188" t="s">
        <v>18</v>
      </c>
      <c r="C20" s="21" t="s">
        <v>389</v>
      </c>
      <c r="D20" s="214" t="s">
        <v>181</v>
      </c>
      <c r="E20" s="314">
        <v>75000</v>
      </c>
      <c r="F20" s="213"/>
    </row>
    <row r="21" spans="1:6" ht="20.100000000000001" customHeight="1">
      <c r="A21" s="29">
        <v>15</v>
      </c>
      <c r="B21" s="188" t="s">
        <v>334</v>
      </c>
      <c r="C21" s="287" t="s">
        <v>351</v>
      </c>
      <c r="D21" s="214" t="s">
        <v>163</v>
      </c>
      <c r="E21" s="314">
        <v>75000</v>
      </c>
      <c r="F21" s="213"/>
    </row>
    <row r="22" spans="1:6" ht="20.100000000000001" customHeight="1">
      <c r="A22" s="29">
        <v>16</v>
      </c>
      <c r="B22" s="189" t="s">
        <v>291</v>
      </c>
      <c r="C22" s="21" t="s">
        <v>346</v>
      </c>
      <c r="D22" s="214" t="s">
        <v>413</v>
      </c>
      <c r="E22" s="314">
        <v>75000</v>
      </c>
      <c r="F22" s="213"/>
    </row>
    <row r="23" spans="1:6" ht="20.100000000000001" customHeight="1">
      <c r="A23" s="29">
        <v>17</v>
      </c>
      <c r="B23" s="188" t="s">
        <v>141</v>
      </c>
      <c r="C23" s="287" t="s">
        <v>391</v>
      </c>
      <c r="D23" s="214" t="s">
        <v>497</v>
      </c>
      <c r="E23" s="314">
        <v>45000</v>
      </c>
      <c r="F23" s="213"/>
    </row>
    <row r="24" spans="1:6" ht="18.75" customHeight="1">
      <c r="A24" s="29">
        <v>18</v>
      </c>
      <c r="B24" s="188" t="s">
        <v>253</v>
      </c>
      <c r="C24" s="287" t="s">
        <v>478</v>
      </c>
      <c r="D24" s="214" t="s">
        <v>415</v>
      </c>
      <c r="E24" s="314">
        <v>45000</v>
      </c>
      <c r="F24" s="213"/>
    </row>
    <row r="25" spans="1:6" ht="18.75" customHeight="1">
      <c r="A25" s="29">
        <v>19</v>
      </c>
      <c r="B25" s="188" t="s">
        <v>247</v>
      </c>
      <c r="C25" s="21" t="s">
        <v>477</v>
      </c>
      <c r="D25" s="214" t="s">
        <v>415</v>
      </c>
      <c r="E25" s="314">
        <v>45000</v>
      </c>
      <c r="F25" s="213"/>
    </row>
    <row r="26" spans="1:6" ht="18.75" customHeight="1">
      <c r="A26" s="29">
        <v>20</v>
      </c>
      <c r="B26" s="189" t="s">
        <v>275</v>
      </c>
      <c r="C26" s="287" t="s">
        <v>314</v>
      </c>
      <c r="D26" s="214" t="s">
        <v>164</v>
      </c>
      <c r="E26" s="314">
        <v>45000</v>
      </c>
      <c r="F26" s="213"/>
    </row>
    <row r="27" spans="1:6" ht="18.75" customHeight="1">
      <c r="A27" s="29">
        <v>21</v>
      </c>
      <c r="B27" s="21" t="s">
        <v>434</v>
      </c>
      <c r="C27" s="21" t="s">
        <v>17</v>
      </c>
      <c r="D27" s="29" t="s">
        <v>498</v>
      </c>
      <c r="E27" s="314">
        <v>45000</v>
      </c>
      <c r="F27" s="213"/>
    </row>
    <row r="28" spans="1:6" ht="18.75" customHeight="1">
      <c r="A28" s="29">
        <v>22</v>
      </c>
      <c r="B28" s="189" t="s">
        <v>254</v>
      </c>
      <c r="C28" s="287" t="s">
        <v>17</v>
      </c>
      <c r="D28" s="214" t="s">
        <v>498</v>
      </c>
      <c r="E28" s="314">
        <v>45000</v>
      </c>
      <c r="F28" s="213"/>
    </row>
    <row r="29" spans="1:6" ht="18.75" customHeight="1">
      <c r="A29" s="29">
        <v>23</v>
      </c>
      <c r="B29" s="188" t="s">
        <v>248</v>
      </c>
      <c r="C29" s="287" t="s">
        <v>480</v>
      </c>
      <c r="D29" s="214" t="s">
        <v>498</v>
      </c>
      <c r="E29" s="314">
        <v>45000</v>
      </c>
      <c r="F29" s="213"/>
    </row>
    <row r="30" spans="1:6" ht="18.75" customHeight="1">
      <c r="A30" s="29">
        <v>24</v>
      </c>
      <c r="B30" s="189" t="s">
        <v>288</v>
      </c>
      <c r="C30" s="287" t="s">
        <v>249</v>
      </c>
      <c r="D30" s="214" t="s">
        <v>267</v>
      </c>
      <c r="E30" s="314">
        <v>45000</v>
      </c>
      <c r="F30" s="213"/>
    </row>
    <row r="31" spans="1:6" ht="18.75" customHeight="1">
      <c r="A31" s="29">
        <v>25</v>
      </c>
      <c r="B31" s="189" t="s">
        <v>328</v>
      </c>
      <c r="C31" s="21" t="s">
        <v>329</v>
      </c>
      <c r="D31" s="29" t="s">
        <v>267</v>
      </c>
      <c r="E31" s="314">
        <v>45000</v>
      </c>
      <c r="F31" s="213"/>
    </row>
    <row r="32" spans="1:6" ht="18.75" customHeight="1">
      <c r="A32" s="29">
        <v>26</v>
      </c>
      <c r="B32" s="189" t="s">
        <v>360</v>
      </c>
      <c r="C32" s="155" t="s">
        <v>372</v>
      </c>
      <c r="D32" s="214" t="s">
        <v>498</v>
      </c>
      <c r="E32" s="314">
        <v>45000</v>
      </c>
      <c r="F32" s="213"/>
    </row>
    <row r="33" spans="1:6" ht="18.75" customHeight="1">
      <c r="A33" s="29">
        <v>27</v>
      </c>
      <c r="B33" s="189" t="s">
        <v>330</v>
      </c>
      <c r="C33" s="21" t="s">
        <v>533</v>
      </c>
      <c r="D33" s="29" t="s">
        <v>176</v>
      </c>
      <c r="E33" s="314">
        <v>45000</v>
      </c>
      <c r="F33" s="213"/>
    </row>
    <row r="34" spans="1:6" ht="18.75" customHeight="1">
      <c r="A34" s="29">
        <v>28</v>
      </c>
      <c r="B34" s="189" t="s">
        <v>274</v>
      </c>
      <c r="C34" s="287" t="s">
        <v>314</v>
      </c>
      <c r="D34" s="214" t="s">
        <v>176</v>
      </c>
      <c r="E34" s="314">
        <v>45000</v>
      </c>
      <c r="F34" s="213"/>
    </row>
    <row r="35" spans="1:6" ht="18.75" customHeight="1">
      <c r="A35" s="29">
        <v>29</v>
      </c>
      <c r="B35" s="189" t="s">
        <v>453</v>
      </c>
      <c r="C35" s="287" t="s">
        <v>314</v>
      </c>
      <c r="D35" s="214" t="s">
        <v>176</v>
      </c>
      <c r="E35" s="314">
        <v>45000</v>
      </c>
      <c r="F35" s="213"/>
    </row>
    <row r="36" spans="1:6" ht="18.75" customHeight="1">
      <c r="A36" s="29">
        <v>30</v>
      </c>
      <c r="B36" s="189" t="s">
        <v>535</v>
      </c>
      <c r="C36" s="287" t="s">
        <v>536</v>
      </c>
      <c r="D36" s="214" t="s">
        <v>105</v>
      </c>
      <c r="E36" s="314">
        <v>45000</v>
      </c>
      <c r="F36" s="213"/>
    </row>
    <row r="37" spans="1:6" ht="26.25" customHeight="1">
      <c r="A37" s="29"/>
      <c r="B37" s="191" t="s">
        <v>15</v>
      </c>
      <c r="C37" s="30">
        <v>30</v>
      </c>
      <c r="D37" s="214"/>
      <c r="E37" s="315">
        <f>SUM(E7:E36)</f>
        <v>2790000</v>
      </c>
      <c r="F37" s="213"/>
    </row>
    <row r="38" spans="1:6" ht="18.75" customHeight="1">
      <c r="A38" s="29"/>
      <c r="B38" s="141"/>
      <c r="C38" s="21"/>
      <c r="D38" s="214"/>
      <c r="E38" s="316"/>
      <c r="F38" s="213"/>
    </row>
    <row r="39" spans="1:6" ht="18.75" customHeight="1">
      <c r="A39" s="29"/>
      <c r="B39" s="191" t="s">
        <v>284</v>
      </c>
      <c r="C39" s="21"/>
      <c r="D39" s="214"/>
      <c r="E39" s="314"/>
      <c r="F39" s="213"/>
    </row>
    <row r="40" spans="1:6" ht="18.75" customHeight="1">
      <c r="A40" s="29">
        <v>1</v>
      </c>
      <c r="B40" s="189" t="s">
        <v>361</v>
      </c>
      <c r="C40" s="21" t="s">
        <v>362</v>
      </c>
      <c r="D40" s="29" t="s">
        <v>161</v>
      </c>
      <c r="E40" s="314">
        <v>225000</v>
      </c>
      <c r="F40" s="213"/>
    </row>
    <row r="41" spans="1:6" ht="18.75" customHeight="1">
      <c r="A41" s="29">
        <v>2</v>
      </c>
      <c r="B41" s="189" t="s">
        <v>419</v>
      </c>
      <c r="C41" s="21" t="s">
        <v>427</v>
      </c>
      <c r="D41" s="29" t="s">
        <v>105</v>
      </c>
      <c r="E41" s="314">
        <v>45000</v>
      </c>
      <c r="F41" s="213"/>
    </row>
    <row r="42" spans="1:6" ht="19.5" customHeight="1">
      <c r="A42" s="29"/>
      <c r="B42" s="190"/>
      <c r="C42" s="30">
        <v>2</v>
      </c>
      <c r="D42" s="29"/>
      <c r="E42" s="315">
        <f>SUM(E40:E41)</f>
        <v>270000</v>
      </c>
      <c r="F42" s="213"/>
    </row>
    <row r="43" spans="1:6" ht="20.100000000000001" customHeight="1">
      <c r="A43" s="29"/>
      <c r="B43" s="190"/>
      <c r="C43" s="21"/>
      <c r="D43" s="29"/>
      <c r="E43" s="314"/>
      <c r="F43" s="213"/>
    </row>
    <row r="44" spans="1:6" ht="20.100000000000001" customHeight="1">
      <c r="A44" s="29"/>
      <c r="B44" s="218" t="s">
        <v>56</v>
      </c>
      <c r="C44" s="203"/>
      <c r="D44" s="207"/>
      <c r="E44" s="314"/>
      <c r="F44" s="213"/>
    </row>
    <row r="45" spans="1:6" ht="20.100000000000001" customHeight="1">
      <c r="A45" s="29">
        <v>1</v>
      </c>
      <c r="B45" s="188" t="s">
        <v>255</v>
      </c>
      <c r="C45" s="21" t="s">
        <v>256</v>
      </c>
      <c r="D45" s="29" t="s">
        <v>161</v>
      </c>
      <c r="E45" s="314">
        <v>225000</v>
      </c>
      <c r="F45" s="213"/>
    </row>
    <row r="46" spans="1:6" ht="20.100000000000001" customHeight="1">
      <c r="A46" s="29">
        <v>2</v>
      </c>
      <c r="B46" s="188" t="s">
        <v>158</v>
      </c>
      <c r="C46" s="21" t="s">
        <v>199</v>
      </c>
      <c r="D46" s="29" t="s">
        <v>75</v>
      </c>
      <c r="E46" s="314">
        <v>105000</v>
      </c>
      <c r="F46" s="213"/>
    </row>
    <row r="47" spans="1:6" ht="20.100000000000001" customHeight="1">
      <c r="A47" s="29">
        <v>3</v>
      </c>
      <c r="B47" s="188" t="s">
        <v>165</v>
      </c>
      <c r="C47" s="21" t="s">
        <v>258</v>
      </c>
      <c r="D47" s="29" t="s">
        <v>75</v>
      </c>
      <c r="E47" s="314">
        <v>105000</v>
      </c>
      <c r="F47" s="213"/>
    </row>
    <row r="48" spans="1:6" ht="20.100000000000001" customHeight="1">
      <c r="A48" s="29">
        <v>4</v>
      </c>
      <c r="B48" s="188" t="s">
        <v>159</v>
      </c>
      <c r="C48" s="21" t="s">
        <v>258</v>
      </c>
      <c r="D48" s="29" t="s">
        <v>75</v>
      </c>
      <c r="E48" s="314">
        <v>105000</v>
      </c>
      <c r="F48" s="213"/>
    </row>
    <row r="49" spans="1:6" ht="20.100000000000001" customHeight="1">
      <c r="A49" s="29">
        <v>5</v>
      </c>
      <c r="B49" s="188" t="s">
        <v>118</v>
      </c>
      <c r="C49" s="21" t="s">
        <v>258</v>
      </c>
      <c r="D49" s="29" t="s">
        <v>148</v>
      </c>
      <c r="E49" s="314">
        <v>105000</v>
      </c>
      <c r="F49" s="213"/>
    </row>
    <row r="50" spans="1:6" ht="20.100000000000001" customHeight="1">
      <c r="A50" s="29">
        <v>6</v>
      </c>
      <c r="B50" s="188" t="s">
        <v>205</v>
      </c>
      <c r="C50" s="21" t="s">
        <v>78</v>
      </c>
      <c r="D50" s="29" t="s">
        <v>181</v>
      </c>
      <c r="E50" s="314">
        <v>75000</v>
      </c>
      <c r="F50" s="213"/>
    </row>
    <row r="51" spans="1:6" ht="20.100000000000001" customHeight="1">
      <c r="A51" s="29">
        <v>7</v>
      </c>
      <c r="B51" s="190" t="s">
        <v>173</v>
      </c>
      <c r="C51" s="21" t="s">
        <v>297</v>
      </c>
      <c r="D51" s="25" t="s">
        <v>181</v>
      </c>
      <c r="E51" s="314">
        <v>75000</v>
      </c>
      <c r="F51" s="213"/>
    </row>
    <row r="52" spans="1:6" ht="20.100000000000001" customHeight="1">
      <c r="A52" s="29">
        <v>8</v>
      </c>
      <c r="B52" s="188" t="s">
        <v>116</v>
      </c>
      <c r="C52" s="21" t="s">
        <v>297</v>
      </c>
      <c r="D52" s="29" t="s">
        <v>162</v>
      </c>
      <c r="E52" s="314">
        <v>75000</v>
      </c>
      <c r="F52" s="213"/>
    </row>
    <row r="53" spans="1:6" ht="20.100000000000001" customHeight="1">
      <c r="A53" s="29">
        <v>9</v>
      </c>
      <c r="B53" s="188" t="s">
        <v>184</v>
      </c>
      <c r="C53" s="21" t="s">
        <v>80</v>
      </c>
      <c r="D53" s="29" t="s">
        <v>170</v>
      </c>
      <c r="E53" s="314">
        <v>75000</v>
      </c>
      <c r="F53" s="213"/>
    </row>
    <row r="54" spans="1:6" ht="20.100000000000001" customHeight="1">
      <c r="A54" s="29">
        <v>10</v>
      </c>
      <c r="B54" s="188" t="s">
        <v>420</v>
      </c>
      <c r="C54" s="21" t="s">
        <v>84</v>
      </c>
      <c r="D54" s="29" t="s">
        <v>428</v>
      </c>
      <c r="E54" s="314">
        <v>45000</v>
      </c>
      <c r="F54" s="213"/>
    </row>
    <row r="55" spans="1:6" ht="20.100000000000001" customHeight="1">
      <c r="A55" s="29">
        <v>11</v>
      </c>
      <c r="B55" s="188" t="s">
        <v>435</v>
      </c>
      <c r="C55" s="21" t="s">
        <v>84</v>
      </c>
      <c r="D55" s="29" t="s">
        <v>428</v>
      </c>
      <c r="E55" s="314">
        <v>45000</v>
      </c>
      <c r="F55" s="213"/>
    </row>
    <row r="56" spans="1:6" ht="20.100000000000001" customHeight="1">
      <c r="A56" s="29">
        <v>12</v>
      </c>
      <c r="B56" s="188" t="s">
        <v>452</v>
      </c>
      <c r="C56" s="21" t="s">
        <v>84</v>
      </c>
      <c r="D56" s="29" t="s">
        <v>428</v>
      </c>
      <c r="E56" s="314">
        <v>45000</v>
      </c>
      <c r="F56" s="213"/>
    </row>
    <row r="57" spans="1:6" ht="25.5" customHeight="1">
      <c r="A57" s="29"/>
      <c r="B57" s="191" t="s">
        <v>15</v>
      </c>
      <c r="C57" s="30">
        <v>12</v>
      </c>
      <c r="D57" s="30"/>
      <c r="E57" s="317">
        <f>SUM(E45:E56)</f>
        <v>1080000</v>
      </c>
      <c r="F57" s="213"/>
    </row>
    <row r="58" spans="1:6" ht="20.100000000000001" customHeight="1">
      <c r="A58" s="29"/>
      <c r="B58" s="141"/>
      <c r="C58" s="30"/>
      <c r="D58" s="30"/>
      <c r="E58" s="318"/>
      <c r="F58" s="213"/>
    </row>
    <row r="59" spans="1:6" ht="20.100000000000001" customHeight="1">
      <c r="A59" s="29"/>
      <c r="B59" s="191" t="s">
        <v>195</v>
      </c>
      <c r="C59" s="30"/>
      <c r="D59" s="30"/>
      <c r="E59" s="318"/>
      <c r="F59" s="213"/>
    </row>
    <row r="60" spans="1:6" ht="20.100000000000001" customHeight="1">
      <c r="A60" s="29">
        <v>1</v>
      </c>
      <c r="B60" s="188" t="s">
        <v>11</v>
      </c>
      <c r="C60" s="287" t="s">
        <v>200</v>
      </c>
      <c r="D60" s="214" t="s">
        <v>161</v>
      </c>
      <c r="E60" s="314">
        <v>225000</v>
      </c>
      <c r="F60" s="213"/>
    </row>
    <row r="61" spans="1:6" ht="20.100000000000001" customHeight="1">
      <c r="A61" s="29">
        <v>2</v>
      </c>
      <c r="B61" s="188" t="s">
        <v>276</v>
      </c>
      <c r="C61" s="287" t="s">
        <v>340</v>
      </c>
      <c r="D61" s="214" t="s">
        <v>412</v>
      </c>
      <c r="E61" s="314">
        <v>105000</v>
      </c>
      <c r="F61" s="213"/>
    </row>
    <row r="62" spans="1:6" ht="20.100000000000001" customHeight="1">
      <c r="A62" s="29"/>
      <c r="B62" s="191" t="s">
        <v>15</v>
      </c>
      <c r="C62" s="30">
        <v>2</v>
      </c>
      <c r="D62" s="30"/>
      <c r="E62" s="317">
        <f>SUM(E60:E61)</f>
        <v>330000</v>
      </c>
      <c r="F62" s="213"/>
    </row>
    <row r="63" spans="1:6" ht="20.100000000000001" customHeight="1">
      <c r="A63" s="29"/>
      <c r="B63" s="191"/>
      <c r="C63" s="30"/>
      <c r="D63" s="30"/>
      <c r="E63" s="318"/>
      <c r="F63" s="213"/>
    </row>
    <row r="64" spans="1:6" ht="20.100000000000001" customHeight="1">
      <c r="A64" s="29"/>
      <c r="B64" s="191" t="s">
        <v>461</v>
      </c>
      <c r="C64" s="30"/>
      <c r="D64" s="30"/>
      <c r="E64" s="318"/>
      <c r="F64" s="213"/>
    </row>
    <row r="65" spans="1:6" ht="20.100000000000001" customHeight="1">
      <c r="A65" s="29">
        <v>1</v>
      </c>
      <c r="B65" s="188" t="s">
        <v>277</v>
      </c>
      <c r="C65" s="155" t="s">
        <v>278</v>
      </c>
      <c r="D65" s="29" t="s">
        <v>161</v>
      </c>
      <c r="E65" s="319">
        <v>225000</v>
      </c>
      <c r="F65" s="213"/>
    </row>
    <row r="66" spans="1:6" ht="20.100000000000001" customHeight="1">
      <c r="A66" s="29">
        <v>2</v>
      </c>
      <c r="B66" s="189" t="s">
        <v>332</v>
      </c>
      <c r="C66" s="155" t="s">
        <v>188</v>
      </c>
      <c r="D66" s="214" t="s">
        <v>272</v>
      </c>
      <c r="E66" s="314">
        <v>105000</v>
      </c>
      <c r="F66" s="213"/>
    </row>
    <row r="67" spans="1:6" ht="20.100000000000001" customHeight="1">
      <c r="A67" s="29">
        <v>3</v>
      </c>
      <c r="B67" s="188" t="s">
        <v>189</v>
      </c>
      <c r="C67" s="21" t="s">
        <v>257</v>
      </c>
      <c r="D67" s="29" t="s">
        <v>170</v>
      </c>
      <c r="E67" s="319">
        <v>75000</v>
      </c>
      <c r="F67" s="213"/>
    </row>
    <row r="68" spans="1:6" ht="20.100000000000001" customHeight="1">
      <c r="A68" s="29">
        <v>4</v>
      </c>
      <c r="B68" s="189" t="s">
        <v>448</v>
      </c>
      <c r="C68" s="155" t="s">
        <v>257</v>
      </c>
      <c r="D68" s="214" t="s">
        <v>163</v>
      </c>
      <c r="E68" s="319">
        <v>75000</v>
      </c>
      <c r="F68" s="213"/>
    </row>
    <row r="69" spans="1:6" ht="20.100000000000001" customHeight="1">
      <c r="A69" s="29">
        <v>5</v>
      </c>
      <c r="B69" s="190" t="s">
        <v>229</v>
      </c>
      <c r="C69" s="155" t="s">
        <v>297</v>
      </c>
      <c r="D69" s="214" t="s">
        <v>181</v>
      </c>
      <c r="E69" s="319">
        <v>75000</v>
      </c>
      <c r="F69" s="213"/>
    </row>
    <row r="70" spans="1:6" ht="20.100000000000001" customHeight="1">
      <c r="A70" s="29">
        <v>6</v>
      </c>
      <c r="B70" s="190" t="s">
        <v>534</v>
      </c>
      <c r="C70" s="155" t="s">
        <v>297</v>
      </c>
      <c r="D70" s="214" t="s">
        <v>162</v>
      </c>
      <c r="E70" s="319">
        <v>75000</v>
      </c>
      <c r="F70" s="213"/>
    </row>
    <row r="71" spans="1:6" ht="20.100000000000001" customHeight="1">
      <c r="A71" s="29">
        <v>7</v>
      </c>
      <c r="B71" s="188" t="s">
        <v>117</v>
      </c>
      <c r="C71" s="21" t="s">
        <v>84</v>
      </c>
      <c r="D71" s="29" t="s">
        <v>369</v>
      </c>
      <c r="E71" s="314">
        <v>45000</v>
      </c>
      <c r="F71" s="213"/>
    </row>
    <row r="72" spans="1:6" ht="20.100000000000001" customHeight="1">
      <c r="A72" s="29">
        <v>8</v>
      </c>
      <c r="B72" s="188" t="s">
        <v>182</v>
      </c>
      <c r="C72" s="155" t="s">
        <v>422</v>
      </c>
      <c r="D72" s="214" t="s">
        <v>497</v>
      </c>
      <c r="E72" s="314">
        <v>45000</v>
      </c>
      <c r="F72" s="213"/>
    </row>
    <row r="73" spans="1:6" ht="20.100000000000001" customHeight="1">
      <c r="A73" s="29">
        <v>9</v>
      </c>
      <c r="B73" s="188" t="s">
        <v>424</v>
      </c>
      <c r="C73" s="155" t="s">
        <v>422</v>
      </c>
      <c r="D73" s="214" t="s">
        <v>369</v>
      </c>
      <c r="E73" s="314">
        <v>45000</v>
      </c>
      <c r="F73" s="213"/>
    </row>
    <row r="74" spans="1:6" ht="20.100000000000001" customHeight="1">
      <c r="A74" s="29">
        <v>10</v>
      </c>
      <c r="B74" s="188" t="s">
        <v>423</v>
      </c>
      <c r="C74" s="155" t="s">
        <v>422</v>
      </c>
      <c r="D74" s="214" t="s">
        <v>369</v>
      </c>
      <c r="E74" s="314">
        <v>45000</v>
      </c>
      <c r="F74" s="213"/>
    </row>
    <row r="75" spans="1:6" ht="20.100000000000001" customHeight="1">
      <c r="A75" s="29">
        <v>11</v>
      </c>
      <c r="B75" s="188" t="s">
        <v>242</v>
      </c>
      <c r="C75" s="21" t="s">
        <v>484</v>
      </c>
      <c r="D75" s="29" t="s">
        <v>415</v>
      </c>
      <c r="E75" s="314">
        <v>45000</v>
      </c>
      <c r="F75" s="213"/>
    </row>
    <row r="76" spans="1:6" ht="20.100000000000001" customHeight="1">
      <c r="A76" s="29">
        <v>12</v>
      </c>
      <c r="B76" s="188" t="s">
        <v>322</v>
      </c>
      <c r="C76" s="155" t="s">
        <v>84</v>
      </c>
      <c r="D76" s="29" t="s">
        <v>207</v>
      </c>
      <c r="E76" s="314">
        <v>45000</v>
      </c>
      <c r="F76" s="213"/>
    </row>
    <row r="77" spans="1:6" ht="20.100000000000001" customHeight="1">
      <c r="A77" s="29">
        <v>13</v>
      </c>
      <c r="B77" s="188" t="s">
        <v>320</v>
      </c>
      <c r="C77" s="155" t="s">
        <v>115</v>
      </c>
      <c r="D77" s="29" t="s">
        <v>498</v>
      </c>
      <c r="E77" s="314">
        <v>45000</v>
      </c>
      <c r="F77" s="213"/>
    </row>
    <row r="78" spans="1:6" ht="20.100000000000001" customHeight="1">
      <c r="A78" s="29">
        <v>14</v>
      </c>
      <c r="B78" s="190" t="s">
        <v>321</v>
      </c>
      <c r="C78" s="155" t="s">
        <v>115</v>
      </c>
      <c r="D78" s="29" t="s">
        <v>176</v>
      </c>
      <c r="E78" s="314">
        <v>45000</v>
      </c>
      <c r="F78" s="213"/>
    </row>
    <row r="79" spans="1:6" ht="20.100000000000001" customHeight="1">
      <c r="A79" s="29"/>
      <c r="B79" s="191" t="s">
        <v>15</v>
      </c>
      <c r="C79" s="30">
        <v>14</v>
      </c>
      <c r="D79" s="30"/>
      <c r="E79" s="317">
        <f>SUM(E65:E78)</f>
        <v>990000</v>
      </c>
      <c r="F79" s="213"/>
    </row>
    <row r="80" spans="1:6" ht="20.100000000000001" customHeight="1">
      <c r="A80" s="29"/>
      <c r="B80" s="141"/>
      <c r="C80" s="30"/>
      <c r="D80" s="30"/>
      <c r="E80" s="318"/>
      <c r="F80" s="213"/>
    </row>
    <row r="81" spans="1:6" ht="20.100000000000001" customHeight="1">
      <c r="A81" s="29"/>
      <c r="B81" s="191" t="s">
        <v>462</v>
      </c>
      <c r="C81" s="30"/>
      <c r="D81" s="30"/>
      <c r="E81" s="318"/>
      <c r="F81" s="213"/>
    </row>
    <row r="82" spans="1:6" ht="20.100000000000001" customHeight="1">
      <c r="A82" s="29">
        <v>1</v>
      </c>
      <c r="B82" s="188" t="s">
        <v>19</v>
      </c>
      <c r="C82" s="21" t="s">
        <v>201</v>
      </c>
      <c r="D82" s="29" t="s">
        <v>161</v>
      </c>
      <c r="E82" s="314">
        <v>225000</v>
      </c>
      <c r="F82" s="213"/>
    </row>
    <row r="83" spans="1:6" ht="20.100000000000001" customHeight="1">
      <c r="A83" s="29">
        <v>2</v>
      </c>
      <c r="B83" s="190" t="s">
        <v>325</v>
      </c>
      <c r="C83" s="21" t="s">
        <v>245</v>
      </c>
      <c r="D83" s="214" t="s">
        <v>272</v>
      </c>
      <c r="E83" s="314">
        <v>105000</v>
      </c>
      <c r="F83" s="213"/>
    </row>
    <row r="84" spans="1:6" ht="20.100000000000001" customHeight="1">
      <c r="A84" s="29">
        <v>3</v>
      </c>
      <c r="B84" s="190" t="s">
        <v>326</v>
      </c>
      <c r="C84" s="21" t="s">
        <v>327</v>
      </c>
      <c r="D84" s="214" t="s">
        <v>272</v>
      </c>
      <c r="E84" s="314">
        <v>105000</v>
      </c>
      <c r="F84" s="213"/>
    </row>
    <row r="85" spans="1:6" ht="20.100000000000001" customHeight="1">
      <c r="A85" s="29">
        <v>4</v>
      </c>
      <c r="B85" s="188" t="s">
        <v>26</v>
      </c>
      <c r="C85" s="21" t="s">
        <v>296</v>
      </c>
      <c r="D85" s="214" t="s">
        <v>170</v>
      </c>
      <c r="E85" s="314">
        <v>75000</v>
      </c>
      <c r="F85" s="213"/>
    </row>
    <row r="86" spans="1:6" ht="20.100000000000001" customHeight="1">
      <c r="A86" s="29">
        <v>5</v>
      </c>
      <c r="B86" s="188" t="s">
        <v>324</v>
      </c>
      <c r="C86" s="21" t="s">
        <v>243</v>
      </c>
      <c r="D86" s="29" t="s">
        <v>207</v>
      </c>
      <c r="E86" s="314">
        <v>45000</v>
      </c>
      <c r="F86" s="213"/>
    </row>
    <row r="87" spans="1:6" ht="20.100000000000001" customHeight="1">
      <c r="A87" s="29"/>
      <c r="B87" s="191" t="s">
        <v>15</v>
      </c>
      <c r="C87" s="30">
        <v>5</v>
      </c>
      <c r="D87" s="30"/>
      <c r="E87" s="317">
        <f>SUM(E82:E86)</f>
        <v>555000</v>
      </c>
      <c r="F87" s="213"/>
    </row>
    <row r="88" spans="1:6" ht="20.100000000000001" customHeight="1">
      <c r="A88" s="29"/>
      <c r="B88" s="191"/>
      <c r="C88" s="30"/>
      <c r="D88" s="30"/>
      <c r="E88" s="314"/>
      <c r="F88" s="213"/>
    </row>
    <row r="89" spans="1:6" ht="20.100000000000001" customHeight="1">
      <c r="A89" s="29"/>
      <c r="B89" s="191" t="s">
        <v>463</v>
      </c>
      <c r="C89" s="219"/>
      <c r="D89" s="30"/>
      <c r="E89" s="314"/>
      <c r="F89" s="213"/>
    </row>
    <row r="90" spans="1:6" ht="20.100000000000001" customHeight="1">
      <c r="A90" s="29">
        <v>1</v>
      </c>
      <c r="B90" s="188" t="s">
        <v>169</v>
      </c>
      <c r="C90" s="21" t="s">
        <v>258</v>
      </c>
      <c r="D90" s="29" t="s">
        <v>75</v>
      </c>
      <c r="E90" s="314">
        <v>105000</v>
      </c>
      <c r="F90" s="213"/>
    </row>
    <row r="91" spans="1:6" ht="20.100000000000001" customHeight="1">
      <c r="A91" s="29">
        <v>2</v>
      </c>
      <c r="B91" s="188" t="s">
        <v>192</v>
      </c>
      <c r="C91" s="21" t="s">
        <v>258</v>
      </c>
      <c r="D91" s="29" t="s">
        <v>75</v>
      </c>
      <c r="E91" s="314">
        <v>105000</v>
      </c>
      <c r="F91" s="213"/>
    </row>
    <row r="92" spans="1:6" ht="20.100000000000001" customHeight="1">
      <c r="A92" s="29">
        <v>3</v>
      </c>
      <c r="B92" s="190" t="s">
        <v>138</v>
      </c>
      <c r="C92" s="21" t="s">
        <v>297</v>
      </c>
      <c r="D92" s="29" t="s">
        <v>174</v>
      </c>
      <c r="E92" s="319">
        <v>75000</v>
      </c>
      <c r="F92" s="213"/>
    </row>
    <row r="93" spans="1:6" ht="20.100000000000001" customHeight="1">
      <c r="A93" s="29">
        <v>4</v>
      </c>
      <c r="B93" s="188" t="s">
        <v>202</v>
      </c>
      <c r="C93" s="21" t="s">
        <v>78</v>
      </c>
      <c r="D93" s="29" t="s">
        <v>181</v>
      </c>
      <c r="E93" s="319">
        <v>75000</v>
      </c>
      <c r="F93" s="213"/>
    </row>
    <row r="94" spans="1:6" ht="21.6" customHeight="1">
      <c r="A94" s="29">
        <v>5</v>
      </c>
      <c r="B94" s="188" t="s">
        <v>101</v>
      </c>
      <c r="C94" s="21" t="s">
        <v>80</v>
      </c>
      <c r="D94" s="214" t="s">
        <v>170</v>
      </c>
      <c r="E94" s="319">
        <v>75000</v>
      </c>
      <c r="F94" s="213"/>
    </row>
    <row r="95" spans="1:6" ht="21.6" customHeight="1">
      <c r="A95" s="29">
        <v>6</v>
      </c>
      <c r="B95" s="188" t="s">
        <v>336</v>
      </c>
      <c r="C95" s="287" t="s">
        <v>257</v>
      </c>
      <c r="D95" s="214" t="s">
        <v>163</v>
      </c>
      <c r="E95" s="319">
        <v>75000</v>
      </c>
      <c r="F95" s="213"/>
    </row>
    <row r="96" spans="1:6" ht="21.6" customHeight="1">
      <c r="A96" s="29">
        <v>7</v>
      </c>
      <c r="B96" s="188" t="s">
        <v>337</v>
      </c>
      <c r="C96" s="287" t="s">
        <v>257</v>
      </c>
      <c r="D96" s="214" t="s">
        <v>163</v>
      </c>
      <c r="E96" s="319">
        <v>75000</v>
      </c>
      <c r="F96" s="213"/>
    </row>
    <row r="97" spans="1:6" ht="21.6" customHeight="1">
      <c r="A97" s="29">
        <v>8</v>
      </c>
      <c r="B97" s="188" t="s">
        <v>421</v>
      </c>
      <c r="C97" s="155" t="s">
        <v>422</v>
      </c>
      <c r="D97" s="214" t="s">
        <v>369</v>
      </c>
      <c r="E97" s="314">
        <v>45000</v>
      </c>
      <c r="F97" s="213"/>
    </row>
    <row r="98" spans="1:6" ht="21.6" customHeight="1">
      <c r="A98" s="29">
        <v>9</v>
      </c>
      <c r="B98" s="188" t="s">
        <v>436</v>
      </c>
      <c r="C98" s="21" t="s">
        <v>470</v>
      </c>
      <c r="D98" s="29" t="s">
        <v>104</v>
      </c>
      <c r="E98" s="314">
        <v>45000</v>
      </c>
      <c r="F98" s="213"/>
    </row>
    <row r="99" spans="1:6" ht="21.6" customHeight="1">
      <c r="A99" s="29">
        <v>10</v>
      </c>
      <c r="B99" s="188" t="s">
        <v>406</v>
      </c>
      <c r="C99" s="155" t="s">
        <v>432</v>
      </c>
      <c r="D99" s="214" t="s">
        <v>176</v>
      </c>
      <c r="E99" s="314">
        <v>45000</v>
      </c>
      <c r="F99" s="213"/>
    </row>
    <row r="100" spans="1:6" ht="20.100000000000001" customHeight="1">
      <c r="A100" s="29"/>
      <c r="B100" s="191" t="s">
        <v>15</v>
      </c>
      <c r="C100" s="30">
        <v>10</v>
      </c>
      <c r="D100" s="30"/>
      <c r="E100" s="317">
        <f>SUM(E90:E99)</f>
        <v>720000</v>
      </c>
      <c r="F100" s="213"/>
    </row>
    <row r="101" spans="1:6" ht="20.100000000000001" customHeight="1">
      <c r="A101" s="29"/>
      <c r="B101" s="141"/>
      <c r="C101" s="30"/>
      <c r="D101" s="30"/>
      <c r="E101" s="318"/>
      <c r="F101" s="213"/>
    </row>
    <row r="102" spans="1:6" ht="20.100000000000001" customHeight="1">
      <c r="A102" s="29"/>
      <c r="B102" s="191" t="s">
        <v>464</v>
      </c>
      <c r="C102" s="30"/>
      <c r="D102" s="30"/>
      <c r="E102" s="318"/>
      <c r="F102" s="213"/>
    </row>
    <row r="103" spans="1:6" ht="20.100000000000001" customHeight="1">
      <c r="A103" s="29">
        <v>1</v>
      </c>
      <c r="B103" s="189" t="s">
        <v>364</v>
      </c>
      <c r="C103" s="29" t="s">
        <v>343</v>
      </c>
      <c r="D103" s="214" t="s">
        <v>221</v>
      </c>
      <c r="E103" s="314">
        <v>150000</v>
      </c>
      <c r="F103" s="213"/>
    </row>
    <row r="104" spans="1:6" ht="20.100000000000001" customHeight="1">
      <c r="A104" s="29">
        <v>2</v>
      </c>
      <c r="B104" s="188" t="s">
        <v>185</v>
      </c>
      <c r="C104" s="21" t="s">
        <v>373</v>
      </c>
      <c r="D104" s="29" t="s">
        <v>181</v>
      </c>
      <c r="E104" s="314">
        <v>75000</v>
      </c>
      <c r="F104" s="213"/>
    </row>
    <row r="105" spans="1:6" ht="20.100000000000001" customHeight="1">
      <c r="A105" s="29">
        <v>3</v>
      </c>
      <c r="B105" s="188" t="s">
        <v>237</v>
      </c>
      <c r="C105" s="21" t="s">
        <v>483</v>
      </c>
      <c r="D105" s="214" t="s">
        <v>415</v>
      </c>
      <c r="E105" s="314">
        <v>45000</v>
      </c>
      <c r="F105" s="213"/>
    </row>
    <row r="106" spans="1:6" ht="20.100000000000001" customHeight="1">
      <c r="A106" s="29">
        <v>4</v>
      </c>
      <c r="B106" s="188" t="s">
        <v>538</v>
      </c>
      <c r="C106" s="21" t="s">
        <v>539</v>
      </c>
      <c r="D106" s="214" t="s">
        <v>267</v>
      </c>
      <c r="E106" s="314">
        <v>45000</v>
      </c>
      <c r="F106" s="213"/>
    </row>
    <row r="107" spans="1:6" ht="20.100000000000001" customHeight="1">
      <c r="A107" s="21"/>
      <c r="B107" s="191" t="s">
        <v>15</v>
      </c>
      <c r="C107" s="30">
        <v>3</v>
      </c>
      <c r="D107" s="220"/>
      <c r="E107" s="317">
        <f>SUM(E103:E106)</f>
        <v>315000</v>
      </c>
      <c r="F107" s="213"/>
    </row>
    <row r="108" spans="1:6" ht="20.100000000000001" customHeight="1">
      <c r="A108" s="21"/>
      <c r="B108" s="141"/>
      <c r="C108" s="30"/>
      <c r="D108" s="220"/>
      <c r="E108" s="318"/>
      <c r="F108" s="213"/>
    </row>
    <row r="109" spans="1:6" ht="20.100000000000001" customHeight="1">
      <c r="A109" s="21"/>
      <c r="B109" s="191" t="s">
        <v>465</v>
      </c>
      <c r="C109" s="21"/>
      <c r="D109" s="21"/>
      <c r="E109" s="320"/>
      <c r="F109" s="213"/>
    </row>
    <row r="110" spans="1:6" ht="20.100000000000001" customHeight="1">
      <c r="A110" s="21">
        <v>1</v>
      </c>
      <c r="B110" s="188" t="s">
        <v>216</v>
      </c>
      <c r="C110" s="287" t="s">
        <v>217</v>
      </c>
      <c r="D110" s="214" t="s">
        <v>161</v>
      </c>
      <c r="E110" s="314">
        <v>225000</v>
      </c>
      <c r="F110" s="213"/>
    </row>
    <row r="111" spans="1:6" ht="20.100000000000001" customHeight="1">
      <c r="A111" s="21">
        <v>2</v>
      </c>
      <c r="B111" s="188" t="s">
        <v>110</v>
      </c>
      <c r="C111" s="21" t="s">
        <v>259</v>
      </c>
      <c r="D111" s="25" t="s">
        <v>221</v>
      </c>
      <c r="E111" s="314">
        <v>150000</v>
      </c>
      <c r="F111" s="213"/>
    </row>
    <row r="112" spans="1:6" ht="20.100000000000001" customHeight="1">
      <c r="A112" s="21">
        <v>3</v>
      </c>
      <c r="B112" s="188" t="s">
        <v>109</v>
      </c>
      <c r="C112" s="21" t="s">
        <v>311</v>
      </c>
      <c r="D112" s="29" t="s">
        <v>175</v>
      </c>
      <c r="E112" s="314">
        <v>75000</v>
      </c>
      <c r="F112" s="213"/>
    </row>
    <row r="113" spans="1:6" ht="20.100000000000001" customHeight="1">
      <c r="A113" s="21">
        <v>4</v>
      </c>
      <c r="B113" s="188" t="s">
        <v>135</v>
      </c>
      <c r="C113" s="21" t="s">
        <v>311</v>
      </c>
      <c r="D113" s="29" t="s">
        <v>175</v>
      </c>
      <c r="E113" s="314">
        <v>75000</v>
      </c>
      <c r="F113" s="213"/>
    </row>
    <row r="114" spans="1:6" ht="20.100000000000001" customHeight="1">
      <c r="A114" s="21">
        <v>5</v>
      </c>
      <c r="B114" s="188" t="s">
        <v>240</v>
      </c>
      <c r="C114" s="21" t="s">
        <v>338</v>
      </c>
      <c r="D114" s="214" t="s">
        <v>499</v>
      </c>
      <c r="E114" s="314">
        <v>45000</v>
      </c>
      <c r="F114" s="213"/>
    </row>
    <row r="115" spans="1:6" ht="20.100000000000001" customHeight="1">
      <c r="A115" s="21">
        <v>6</v>
      </c>
      <c r="B115" s="189" t="s">
        <v>341</v>
      </c>
      <c r="C115" s="21" t="s">
        <v>338</v>
      </c>
      <c r="D115" s="29" t="s">
        <v>267</v>
      </c>
      <c r="E115" s="314">
        <v>45000</v>
      </c>
      <c r="F115" s="213"/>
    </row>
    <row r="116" spans="1:6" ht="20.100000000000001" customHeight="1">
      <c r="A116" s="21">
        <v>7</v>
      </c>
      <c r="B116" s="189" t="s">
        <v>374</v>
      </c>
      <c r="C116" s="21" t="s">
        <v>338</v>
      </c>
      <c r="D116" s="214" t="s">
        <v>176</v>
      </c>
      <c r="E116" s="314">
        <v>45000</v>
      </c>
      <c r="F116" s="213"/>
    </row>
    <row r="117" spans="1:6" ht="20.100000000000001" customHeight="1">
      <c r="A117" s="21"/>
      <c r="B117" s="191" t="s">
        <v>15</v>
      </c>
      <c r="C117" s="30">
        <v>7</v>
      </c>
      <c r="D117" s="21"/>
      <c r="E117" s="321">
        <f>SUM(E110:E116)</f>
        <v>660000</v>
      </c>
      <c r="F117" s="213"/>
    </row>
    <row r="118" spans="1:6" ht="20.100000000000001" customHeight="1">
      <c r="A118" s="21"/>
      <c r="B118" s="141"/>
      <c r="C118" s="29"/>
      <c r="D118" s="21"/>
      <c r="E118" s="322"/>
      <c r="F118" s="213"/>
    </row>
    <row r="119" spans="1:6" ht="20.100000000000001" customHeight="1">
      <c r="A119" s="21"/>
      <c r="B119" s="191" t="s">
        <v>466</v>
      </c>
      <c r="C119" s="30"/>
      <c r="D119" s="30"/>
      <c r="E119" s="314"/>
      <c r="F119" s="213"/>
    </row>
    <row r="120" spans="1:6" ht="20.100000000000001" customHeight="1">
      <c r="A120" s="21">
        <v>1</v>
      </c>
      <c r="B120" s="188" t="s">
        <v>20</v>
      </c>
      <c r="C120" s="287" t="s">
        <v>250</v>
      </c>
      <c r="D120" s="214" t="s">
        <v>161</v>
      </c>
      <c r="E120" s="314">
        <v>225000</v>
      </c>
      <c r="F120" s="213"/>
    </row>
    <row r="121" spans="1:6" ht="20.100000000000001" customHeight="1">
      <c r="A121" s="21">
        <v>2</v>
      </c>
      <c r="B121" s="188" t="s">
        <v>153</v>
      </c>
      <c r="C121" s="287" t="s">
        <v>376</v>
      </c>
      <c r="D121" s="214" t="s">
        <v>75</v>
      </c>
      <c r="E121" s="314">
        <v>105000</v>
      </c>
      <c r="F121" s="213"/>
    </row>
    <row r="122" spans="1:6" ht="20.100000000000001" customHeight="1">
      <c r="A122" s="21">
        <v>3</v>
      </c>
      <c r="B122" s="190" t="s">
        <v>142</v>
      </c>
      <c r="C122" s="287" t="s">
        <v>376</v>
      </c>
      <c r="D122" s="214" t="s">
        <v>75</v>
      </c>
      <c r="E122" s="314">
        <v>105000</v>
      </c>
      <c r="F122" s="213"/>
    </row>
    <row r="123" spans="1:6" ht="20.100000000000001" customHeight="1">
      <c r="A123" s="21">
        <v>4</v>
      </c>
      <c r="B123" s="190" t="s">
        <v>363</v>
      </c>
      <c r="C123" s="287" t="s">
        <v>376</v>
      </c>
      <c r="D123" s="214" t="s">
        <v>30</v>
      </c>
      <c r="E123" s="314">
        <v>105000</v>
      </c>
      <c r="F123" s="213"/>
    </row>
    <row r="124" spans="1:6" ht="20.100000000000001" customHeight="1">
      <c r="A124" s="21">
        <v>5</v>
      </c>
      <c r="B124" s="188" t="s">
        <v>108</v>
      </c>
      <c r="C124" s="287" t="s">
        <v>476</v>
      </c>
      <c r="D124" s="214" t="s">
        <v>162</v>
      </c>
      <c r="E124" s="314">
        <v>75000</v>
      </c>
      <c r="F124" s="213"/>
    </row>
    <row r="125" spans="1:6" ht="20.100000000000001" customHeight="1">
      <c r="A125" s="21">
        <v>6</v>
      </c>
      <c r="B125" s="188" t="s">
        <v>178</v>
      </c>
      <c r="C125" s="287" t="s">
        <v>382</v>
      </c>
      <c r="D125" s="214" t="s">
        <v>170</v>
      </c>
      <c r="E125" s="314">
        <v>75000</v>
      </c>
      <c r="F125" s="213"/>
    </row>
    <row r="126" spans="1:6" ht="20.100000000000001" customHeight="1">
      <c r="A126" s="21">
        <v>7</v>
      </c>
      <c r="B126" s="188" t="s">
        <v>134</v>
      </c>
      <c r="C126" s="287" t="s">
        <v>384</v>
      </c>
      <c r="D126" s="214" t="s">
        <v>170</v>
      </c>
      <c r="E126" s="314">
        <v>75000</v>
      </c>
      <c r="F126" s="213"/>
    </row>
    <row r="127" spans="1:6" ht="20.100000000000001" customHeight="1">
      <c r="A127" s="21">
        <v>8</v>
      </c>
      <c r="B127" s="188" t="s">
        <v>443</v>
      </c>
      <c r="C127" s="287" t="s">
        <v>447</v>
      </c>
      <c r="D127" s="29" t="s">
        <v>498</v>
      </c>
      <c r="E127" s="314">
        <v>45000</v>
      </c>
      <c r="F127" s="213"/>
    </row>
    <row r="128" spans="1:6" ht="20.100000000000001" customHeight="1">
      <c r="A128" s="21">
        <v>9</v>
      </c>
      <c r="B128" s="189" t="s">
        <v>439</v>
      </c>
      <c r="C128" s="287" t="s">
        <v>440</v>
      </c>
      <c r="D128" s="214" t="s">
        <v>176</v>
      </c>
      <c r="E128" s="314">
        <v>45000</v>
      </c>
      <c r="F128" s="213"/>
    </row>
    <row r="129" spans="1:6" ht="20.100000000000001" customHeight="1">
      <c r="A129" s="21"/>
      <c r="B129" s="191" t="s">
        <v>15</v>
      </c>
      <c r="C129" s="220" t="s">
        <v>377</v>
      </c>
      <c r="D129" s="214"/>
      <c r="E129" s="323">
        <f>SUM(E120:E128)</f>
        <v>855000</v>
      </c>
      <c r="F129" s="213"/>
    </row>
    <row r="130" spans="1:6" ht="20.100000000000001" customHeight="1">
      <c r="A130" s="21"/>
      <c r="B130" s="141"/>
      <c r="C130" s="220"/>
      <c r="D130" s="214"/>
      <c r="E130" s="324"/>
      <c r="F130" s="213"/>
    </row>
    <row r="131" spans="1:6" ht="20.100000000000001" customHeight="1">
      <c r="A131" s="21"/>
      <c r="B131" s="191" t="s">
        <v>467</v>
      </c>
      <c r="C131" s="287"/>
      <c r="D131" s="214"/>
      <c r="E131" s="314"/>
      <c r="F131" s="213"/>
    </row>
    <row r="132" spans="1:6" ht="20.100000000000001" customHeight="1">
      <c r="A132" s="224">
        <v>1</v>
      </c>
      <c r="B132" s="188" t="s">
        <v>21</v>
      </c>
      <c r="C132" s="287" t="s">
        <v>393</v>
      </c>
      <c r="D132" s="214" t="s">
        <v>161</v>
      </c>
      <c r="E132" s="314">
        <v>225000</v>
      </c>
      <c r="F132" s="213"/>
    </row>
    <row r="133" spans="1:6" ht="20.100000000000001" customHeight="1">
      <c r="A133" s="224">
        <v>2</v>
      </c>
      <c r="B133" s="188" t="s">
        <v>107</v>
      </c>
      <c r="C133" s="287" t="s">
        <v>394</v>
      </c>
      <c r="D133" s="214" t="s">
        <v>160</v>
      </c>
      <c r="E133" s="314">
        <v>150000</v>
      </c>
      <c r="F133" s="213"/>
    </row>
    <row r="134" spans="1:6" ht="20.100000000000001" customHeight="1">
      <c r="A134" s="224">
        <v>3</v>
      </c>
      <c r="B134" s="190" t="s">
        <v>183</v>
      </c>
      <c r="C134" s="21" t="s">
        <v>486</v>
      </c>
      <c r="D134" s="25" t="s">
        <v>221</v>
      </c>
      <c r="E134" s="314">
        <v>150000</v>
      </c>
      <c r="F134" s="213"/>
    </row>
    <row r="135" spans="1:6" ht="20.100000000000001" customHeight="1">
      <c r="A135" s="224">
        <v>4</v>
      </c>
      <c r="B135" s="188" t="s">
        <v>106</v>
      </c>
      <c r="C135" s="287" t="s">
        <v>381</v>
      </c>
      <c r="D135" s="214" t="s">
        <v>181</v>
      </c>
      <c r="E135" s="314">
        <v>75000</v>
      </c>
      <c r="F135" s="213"/>
    </row>
    <row r="136" spans="1:6" ht="20.100000000000001" customHeight="1">
      <c r="A136" s="224">
        <v>5</v>
      </c>
      <c r="B136" s="188" t="s">
        <v>7</v>
      </c>
      <c r="C136" s="21" t="s">
        <v>385</v>
      </c>
      <c r="D136" s="214" t="s">
        <v>181</v>
      </c>
      <c r="E136" s="314">
        <v>75000</v>
      </c>
      <c r="F136" s="213"/>
    </row>
    <row r="137" spans="1:6" ht="20.100000000000001" customHeight="1">
      <c r="A137" s="224">
        <v>6</v>
      </c>
      <c r="B137" s="188" t="s">
        <v>124</v>
      </c>
      <c r="C137" s="21" t="s">
        <v>235</v>
      </c>
      <c r="D137" s="214" t="s">
        <v>170</v>
      </c>
      <c r="E137" s="314">
        <v>75000</v>
      </c>
      <c r="F137" s="213"/>
    </row>
    <row r="138" spans="1:6" ht="20.100000000000001" customHeight="1">
      <c r="A138" s="224">
        <v>7</v>
      </c>
      <c r="B138" s="188" t="s">
        <v>102</v>
      </c>
      <c r="C138" s="287" t="s">
        <v>395</v>
      </c>
      <c r="D138" s="214" t="s">
        <v>497</v>
      </c>
      <c r="E138" s="314">
        <v>45000</v>
      </c>
      <c r="F138" s="213"/>
    </row>
    <row r="139" spans="1:6" ht="20.100000000000001" customHeight="1">
      <c r="A139" s="224">
        <v>8</v>
      </c>
      <c r="B139" s="188" t="s">
        <v>103</v>
      </c>
      <c r="C139" s="287" t="s">
        <v>395</v>
      </c>
      <c r="D139" s="214" t="s">
        <v>497</v>
      </c>
      <c r="E139" s="314">
        <v>45000</v>
      </c>
      <c r="F139" s="213"/>
    </row>
    <row r="140" spans="1:6" ht="20.100000000000001" customHeight="1">
      <c r="A140" s="224">
        <v>9</v>
      </c>
      <c r="B140" s="188" t="s">
        <v>151</v>
      </c>
      <c r="C140" s="21" t="s">
        <v>235</v>
      </c>
      <c r="D140" s="214" t="s">
        <v>497</v>
      </c>
      <c r="E140" s="314">
        <v>45000</v>
      </c>
      <c r="F140" s="213"/>
    </row>
    <row r="141" spans="1:6" ht="20.100000000000001" customHeight="1">
      <c r="A141" s="224">
        <v>10</v>
      </c>
      <c r="B141" s="188" t="s">
        <v>238</v>
      </c>
      <c r="C141" s="287" t="s">
        <v>479</v>
      </c>
      <c r="D141" s="214" t="s">
        <v>415</v>
      </c>
      <c r="E141" s="314">
        <v>45000</v>
      </c>
      <c r="F141" s="213"/>
    </row>
    <row r="142" spans="1:6" ht="20.100000000000001" customHeight="1">
      <c r="A142" s="224">
        <v>11</v>
      </c>
      <c r="B142" s="188" t="s">
        <v>53</v>
      </c>
      <c r="C142" s="287" t="s">
        <v>300</v>
      </c>
      <c r="D142" s="214" t="s">
        <v>27</v>
      </c>
      <c r="E142" s="314">
        <v>45000</v>
      </c>
      <c r="F142" s="213"/>
    </row>
    <row r="143" spans="1:6" ht="20.100000000000001" customHeight="1">
      <c r="A143" s="224">
        <v>12</v>
      </c>
      <c r="B143" s="188" t="s">
        <v>179</v>
      </c>
      <c r="C143" s="287" t="s">
        <v>479</v>
      </c>
      <c r="D143" s="214" t="s">
        <v>497</v>
      </c>
      <c r="E143" s="314">
        <v>45000</v>
      </c>
      <c r="F143" s="213"/>
    </row>
    <row r="144" spans="1:6" ht="20.100000000000001" customHeight="1">
      <c r="A144" s="224">
        <v>13</v>
      </c>
      <c r="B144" s="189" t="s">
        <v>293</v>
      </c>
      <c r="C144" s="21" t="s">
        <v>438</v>
      </c>
      <c r="D144" s="214" t="s">
        <v>27</v>
      </c>
      <c r="E144" s="314">
        <v>45000</v>
      </c>
      <c r="F144" s="213"/>
    </row>
    <row r="145" spans="1:6" ht="20.100000000000001" customHeight="1">
      <c r="A145" s="224">
        <v>14</v>
      </c>
      <c r="B145" s="188" t="s">
        <v>488</v>
      </c>
      <c r="C145" s="21" t="s">
        <v>239</v>
      </c>
      <c r="D145" s="214" t="s">
        <v>207</v>
      </c>
      <c r="E145" s="314">
        <v>45000</v>
      </c>
      <c r="F145" s="213"/>
    </row>
    <row r="146" spans="1:6" ht="20.100000000000001" customHeight="1">
      <c r="A146" s="224">
        <v>15</v>
      </c>
      <c r="B146" s="188" t="s">
        <v>489</v>
      </c>
      <c r="C146" s="21" t="s">
        <v>239</v>
      </c>
      <c r="D146" s="214" t="s">
        <v>164</v>
      </c>
      <c r="E146" s="314">
        <v>45000</v>
      </c>
      <c r="F146" s="213"/>
    </row>
    <row r="147" spans="1:6" ht="20.100000000000001" customHeight="1">
      <c r="A147" s="224">
        <v>16</v>
      </c>
      <c r="B147" s="188" t="s">
        <v>212</v>
      </c>
      <c r="C147" s="21" t="s">
        <v>239</v>
      </c>
      <c r="D147" s="214" t="s">
        <v>164</v>
      </c>
      <c r="E147" s="314">
        <v>45000</v>
      </c>
      <c r="F147" s="213"/>
    </row>
    <row r="148" spans="1:6" ht="20.100000000000001" customHeight="1">
      <c r="A148" s="224">
        <v>17</v>
      </c>
      <c r="B148" s="188" t="s">
        <v>425</v>
      </c>
      <c r="C148" s="287" t="s">
        <v>430</v>
      </c>
      <c r="D148" s="214" t="s">
        <v>104</v>
      </c>
      <c r="E148" s="314">
        <v>45000</v>
      </c>
      <c r="F148" s="213"/>
    </row>
    <row r="149" spans="1:6" ht="20.100000000000001" customHeight="1">
      <c r="A149" s="224">
        <v>18</v>
      </c>
      <c r="B149" s="188" t="s">
        <v>437</v>
      </c>
      <c r="C149" s="287" t="s">
        <v>438</v>
      </c>
      <c r="D149" s="29" t="s">
        <v>428</v>
      </c>
      <c r="E149" s="314">
        <v>45000</v>
      </c>
      <c r="F149" s="213"/>
    </row>
    <row r="150" spans="1:6" ht="20.100000000000001" customHeight="1">
      <c r="A150" s="224">
        <v>19</v>
      </c>
      <c r="B150" s="188" t="s">
        <v>230</v>
      </c>
      <c r="C150" s="287" t="s">
        <v>485</v>
      </c>
      <c r="D150" s="214" t="s">
        <v>207</v>
      </c>
      <c r="E150" s="314">
        <v>45000</v>
      </c>
      <c r="F150" s="213"/>
    </row>
    <row r="151" spans="1:6" ht="20.100000000000001" customHeight="1">
      <c r="A151" s="224">
        <v>20</v>
      </c>
      <c r="B151" s="188" t="s">
        <v>57</v>
      </c>
      <c r="C151" s="287" t="s">
        <v>481</v>
      </c>
      <c r="D151" s="214" t="s">
        <v>498</v>
      </c>
      <c r="E151" s="314">
        <v>45000</v>
      </c>
      <c r="F151" s="213"/>
    </row>
    <row r="152" spans="1:6" ht="20.100000000000001" customHeight="1">
      <c r="A152" s="224">
        <v>21</v>
      </c>
      <c r="B152" s="188" t="s">
        <v>251</v>
      </c>
      <c r="C152" s="287" t="s">
        <v>482</v>
      </c>
      <c r="D152" s="214" t="s">
        <v>207</v>
      </c>
      <c r="E152" s="314">
        <v>45000</v>
      </c>
      <c r="F152" s="213"/>
    </row>
    <row r="153" spans="1:6" ht="20.100000000000001" customHeight="1">
      <c r="A153" s="224">
        <v>22</v>
      </c>
      <c r="B153" s="188" t="s">
        <v>241</v>
      </c>
      <c r="C153" s="287" t="s">
        <v>348</v>
      </c>
      <c r="D153" s="214" t="s">
        <v>498</v>
      </c>
      <c r="E153" s="314">
        <v>45000</v>
      </c>
      <c r="F153" s="213"/>
    </row>
    <row r="154" spans="1:6" ht="20.100000000000001" customHeight="1">
      <c r="A154" s="224">
        <v>23</v>
      </c>
      <c r="B154" s="189" t="s">
        <v>289</v>
      </c>
      <c r="C154" s="287" t="s">
        <v>290</v>
      </c>
      <c r="D154" s="214" t="s">
        <v>267</v>
      </c>
      <c r="E154" s="314">
        <v>45000</v>
      </c>
      <c r="F154" s="213"/>
    </row>
    <row r="155" spans="1:6" ht="20.100000000000001" customHeight="1">
      <c r="A155" s="224">
        <v>24</v>
      </c>
      <c r="B155" s="189" t="s">
        <v>407</v>
      </c>
      <c r="C155" s="287" t="s">
        <v>131</v>
      </c>
      <c r="D155" s="214" t="s">
        <v>105</v>
      </c>
      <c r="E155" s="314">
        <v>45000</v>
      </c>
      <c r="F155" s="213"/>
    </row>
    <row r="156" spans="1:6" ht="20.100000000000001" customHeight="1">
      <c r="A156" s="224">
        <v>25</v>
      </c>
      <c r="B156" s="189" t="s">
        <v>426</v>
      </c>
      <c r="C156" s="287" t="s">
        <v>290</v>
      </c>
      <c r="D156" s="214" t="s">
        <v>105</v>
      </c>
      <c r="E156" s="314">
        <v>45000</v>
      </c>
      <c r="F156" s="213"/>
    </row>
    <row r="157" spans="1:6" ht="20.100000000000001" customHeight="1">
      <c r="A157" s="224">
        <v>26</v>
      </c>
      <c r="B157" s="189" t="s">
        <v>441</v>
      </c>
      <c r="C157" s="287" t="s">
        <v>442</v>
      </c>
      <c r="D157" s="214" t="s">
        <v>176</v>
      </c>
      <c r="E157" s="314">
        <v>45000</v>
      </c>
      <c r="F157" s="213"/>
    </row>
    <row r="158" spans="1:6" ht="20.100000000000001" customHeight="1">
      <c r="A158" s="224">
        <v>27</v>
      </c>
      <c r="B158" s="189" t="s">
        <v>445</v>
      </c>
      <c r="C158" s="287" t="s">
        <v>446</v>
      </c>
      <c r="D158" s="214" t="s">
        <v>176</v>
      </c>
      <c r="E158" s="314">
        <v>45000</v>
      </c>
      <c r="F158" s="213"/>
    </row>
    <row r="159" spans="1:6" ht="20.100000000000001" customHeight="1">
      <c r="A159" s="224">
        <v>28</v>
      </c>
      <c r="B159" s="188" t="s">
        <v>22</v>
      </c>
      <c r="C159" s="287" t="s">
        <v>302</v>
      </c>
      <c r="D159" s="214" t="s">
        <v>501</v>
      </c>
      <c r="E159" s="314">
        <v>30000</v>
      </c>
      <c r="F159" s="213"/>
    </row>
    <row r="160" spans="1:6" ht="20.100000000000001" customHeight="1">
      <c r="A160" s="224">
        <v>29</v>
      </c>
      <c r="B160" s="188" t="s">
        <v>14</v>
      </c>
      <c r="C160" s="287" t="s">
        <v>302</v>
      </c>
      <c r="D160" s="214" t="s">
        <v>501</v>
      </c>
      <c r="E160" s="314">
        <v>30000</v>
      </c>
      <c r="F160" s="213"/>
    </row>
    <row r="161" spans="1:6" ht="20.100000000000001" customHeight="1">
      <c r="A161" s="224">
        <v>30</v>
      </c>
      <c r="B161" s="188" t="s">
        <v>23</v>
      </c>
      <c r="C161" s="287" t="s">
        <v>302</v>
      </c>
      <c r="D161" s="214" t="s">
        <v>501</v>
      </c>
      <c r="E161" s="314">
        <v>30000</v>
      </c>
      <c r="F161" s="213"/>
    </row>
    <row r="162" spans="1:6" ht="20.100000000000001" customHeight="1">
      <c r="A162" s="224">
        <v>32</v>
      </c>
      <c r="B162" s="188" t="s">
        <v>39</v>
      </c>
      <c r="C162" s="287" t="s">
        <v>302</v>
      </c>
      <c r="D162" s="214" t="s">
        <v>501</v>
      </c>
      <c r="E162" s="314">
        <v>30000</v>
      </c>
      <c r="F162" s="213"/>
    </row>
    <row r="163" spans="1:6" ht="20.100000000000001" customHeight="1">
      <c r="A163" s="224">
        <v>33</v>
      </c>
      <c r="B163" s="188" t="s">
        <v>40</v>
      </c>
      <c r="C163" s="287" t="s">
        <v>302</v>
      </c>
      <c r="D163" s="214" t="s">
        <v>501</v>
      </c>
      <c r="E163" s="314">
        <v>30000</v>
      </c>
      <c r="F163" s="213"/>
    </row>
    <row r="164" spans="1:6" ht="20.100000000000001" customHeight="1">
      <c r="A164" s="224">
        <v>34</v>
      </c>
      <c r="B164" s="188" t="s">
        <v>127</v>
      </c>
      <c r="C164" s="287" t="s">
        <v>302</v>
      </c>
      <c r="D164" s="214" t="s">
        <v>416</v>
      </c>
      <c r="E164" s="314">
        <v>30000</v>
      </c>
      <c r="F164" s="213"/>
    </row>
    <row r="165" spans="1:6" ht="20.100000000000001" customHeight="1">
      <c r="A165" s="224">
        <v>35</v>
      </c>
      <c r="B165" s="188" t="s">
        <v>128</v>
      </c>
      <c r="C165" s="287" t="s">
        <v>302</v>
      </c>
      <c r="D165" s="214" t="s">
        <v>416</v>
      </c>
      <c r="E165" s="314">
        <v>30000</v>
      </c>
      <c r="F165" s="213"/>
    </row>
    <row r="166" spans="1:6" ht="20.100000000000001" customHeight="1">
      <c r="A166" s="224">
        <v>36</v>
      </c>
      <c r="B166" s="188" t="s">
        <v>129</v>
      </c>
      <c r="C166" s="287" t="s">
        <v>302</v>
      </c>
      <c r="D166" s="214" t="s">
        <v>416</v>
      </c>
      <c r="E166" s="314">
        <v>30000</v>
      </c>
      <c r="F166" s="213"/>
    </row>
    <row r="167" spans="1:6" ht="20.100000000000001" customHeight="1">
      <c r="A167" s="224">
        <v>37</v>
      </c>
      <c r="B167" s="190" t="s">
        <v>136</v>
      </c>
      <c r="C167" s="287" t="s">
        <v>302</v>
      </c>
      <c r="D167" s="214" t="s">
        <v>416</v>
      </c>
      <c r="E167" s="314">
        <v>30000</v>
      </c>
      <c r="F167" s="213"/>
    </row>
    <row r="168" spans="1:6" ht="20.100000000000001" customHeight="1">
      <c r="A168" s="224">
        <v>38</v>
      </c>
      <c r="B168" s="188" t="s">
        <v>140</v>
      </c>
      <c r="C168" s="287" t="s">
        <v>302</v>
      </c>
      <c r="D168" s="214" t="s">
        <v>416</v>
      </c>
      <c r="E168" s="314">
        <v>30000</v>
      </c>
      <c r="F168" s="213"/>
    </row>
    <row r="169" spans="1:6" ht="20.100000000000001" customHeight="1">
      <c r="A169" s="224">
        <v>39</v>
      </c>
      <c r="B169" s="189" t="s">
        <v>152</v>
      </c>
      <c r="C169" s="287" t="s">
        <v>302</v>
      </c>
      <c r="D169" s="214" t="s">
        <v>416</v>
      </c>
      <c r="E169" s="314">
        <v>30000</v>
      </c>
      <c r="F169" s="213"/>
    </row>
    <row r="170" spans="1:6" ht="20.100000000000001" customHeight="1">
      <c r="A170" s="224">
        <v>40</v>
      </c>
      <c r="B170" s="189" t="s">
        <v>132</v>
      </c>
      <c r="C170" s="287" t="s">
        <v>302</v>
      </c>
      <c r="D170" s="214" t="s">
        <v>416</v>
      </c>
      <c r="E170" s="314">
        <v>30000</v>
      </c>
      <c r="F170" s="213"/>
    </row>
    <row r="171" spans="1:6" ht="20.100000000000001" customHeight="1">
      <c r="A171" s="224">
        <v>41</v>
      </c>
      <c r="B171" s="188" t="s">
        <v>231</v>
      </c>
      <c r="C171" s="287" t="s">
        <v>167</v>
      </c>
      <c r="D171" s="214" t="s">
        <v>263</v>
      </c>
      <c r="E171" s="314">
        <v>30000</v>
      </c>
      <c r="F171" s="213"/>
    </row>
    <row r="172" spans="1:6" ht="20.100000000000001" customHeight="1">
      <c r="A172" s="224">
        <v>42</v>
      </c>
      <c r="B172" s="188" t="s">
        <v>246</v>
      </c>
      <c r="C172" s="287" t="s">
        <v>167</v>
      </c>
      <c r="D172" s="214" t="s">
        <v>263</v>
      </c>
      <c r="E172" s="314">
        <v>30000</v>
      </c>
      <c r="F172" s="213"/>
    </row>
    <row r="173" spans="1:6" ht="20.100000000000001" customHeight="1">
      <c r="A173" s="224">
        <v>43</v>
      </c>
      <c r="B173" s="189" t="s">
        <v>166</v>
      </c>
      <c r="C173" s="287" t="s">
        <v>167</v>
      </c>
      <c r="D173" s="214" t="s">
        <v>223</v>
      </c>
      <c r="E173" s="314">
        <v>30000</v>
      </c>
      <c r="F173" s="213"/>
    </row>
    <row r="174" spans="1:6" ht="20.100000000000001" customHeight="1">
      <c r="A174" s="224">
        <v>44</v>
      </c>
      <c r="B174" s="188" t="s">
        <v>204</v>
      </c>
      <c r="C174" s="287" t="s">
        <v>167</v>
      </c>
      <c r="D174" s="214" t="s">
        <v>177</v>
      </c>
      <c r="E174" s="314">
        <v>30000</v>
      </c>
      <c r="F174" s="213"/>
    </row>
    <row r="175" spans="1:6" ht="20.100000000000001" customHeight="1">
      <c r="A175" s="224">
        <v>45</v>
      </c>
      <c r="B175" s="188" t="s">
        <v>209</v>
      </c>
      <c r="C175" s="287" t="s">
        <v>13</v>
      </c>
      <c r="D175" s="214" t="s">
        <v>502</v>
      </c>
      <c r="E175" s="314">
        <v>30000</v>
      </c>
      <c r="F175" s="213"/>
    </row>
    <row r="176" spans="1:6" ht="20.100000000000001" customHeight="1">
      <c r="A176" s="224">
        <v>46</v>
      </c>
      <c r="B176" s="188" t="s">
        <v>218</v>
      </c>
      <c r="C176" s="287" t="s">
        <v>13</v>
      </c>
      <c r="D176" s="214" t="s">
        <v>502</v>
      </c>
      <c r="E176" s="314">
        <v>30000</v>
      </c>
      <c r="F176" s="213"/>
    </row>
    <row r="177" spans="1:6" ht="20.100000000000001" customHeight="1">
      <c r="A177" s="224">
        <v>47</v>
      </c>
      <c r="B177" s="188" t="s">
        <v>219</v>
      </c>
      <c r="C177" s="287" t="s">
        <v>13</v>
      </c>
      <c r="D177" s="214" t="s">
        <v>502</v>
      </c>
      <c r="E177" s="314">
        <v>30000</v>
      </c>
      <c r="F177" s="213"/>
    </row>
    <row r="178" spans="1:6" ht="20.100000000000001" customHeight="1">
      <c r="A178" s="224">
        <v>48</v>
      </c>
      <c r="B178" s="188" t="s">
        <v>211</v>
      </c>
      <c r="C178" s="287" t="s">
        <v>13</v>
      </c>
      <c r="D178" s="214" t="s">
        <v>502</v>
      </c>
      <c r="E178" s="314">
        <v>30000</v>
      </c>
      <c r="F178" s="213"/>
    </row>
    <row r="179" spans="1:6" ht="20.100000000000001" customHeight="1">
      <c r="A179" s="224">
        <v>49</v>
      </c>
      <c r="B179" s="188" t="s">
        <v>213</v>
      </c>
      <c r="C179" s="287" t="s">
        <v>13</v>
      </c>
      <c r="D179" s="214" t="s">
        <v>502</v>
      </c>
      <c r="E179" s="314">
        <v>30000</v>
      </c>
      <c r="F179" s="213"/>
    </row>
    <row r="180" spans="1:6" ht="20.100000000000001" customHeight="1">
      <c r="A180" s="224">
        <v>50</v>
      </c>
      <c r="B180" s="189" t="s">
        <v>342</v>
      </c>
      <c r="C180" s="287" t="s">
        <v>13</v>
      </c>
      <c r="D180" s="214" t="s">
        <v>502</v>
      </c>
      <c r="E180" s="314">
        <v>30000</v>
      </c>
      <c r="F180" s="213"/>
    </row>
    <row r="181" spans="1:6" ht="20.100000000000001" customHeight="1">
      <c r="A181" s="224">
        <v>51</v>
      </c>
      <c r="B181" s="189" t="s">
        <v>405</v>
      </c>
      <c r="C181" s="287" t="s">
        <v>13</v>
      </c>
      <c r="D181" s="214" t="s">
        <v>502</v>
      </c>
      <c r="E181" s="314">
        <v>30000</v>
      </c>
      <c r="F181" s="213"/>
    </row>
    <row r="182" spans="1:6" ht="20.100000000000001" customHeight="1">
      <c r="A182" s="224">
        <v>52</v>
      </c>
      <c r="B182" s="188" t="s">
        <v>232</v>
      </c>
      <c r="C182" s="287" t="s">
        <v>167</v>
      </c>
      <c r="D182" s="214" t="s">
        <v>502</v>
      </c>
      <c r="E182" s="314">
        <v>30000</v>
      </c>
      <c r="F182" s="213"/>
    </row>
    <row r="183" spans="1:6" ht="20.100000000000001" customHeight="1">
      <c r="A183" s="224">
        <v>53</v>
      </c>
      <c r="B183" s="188" t="s">
        <v>233</v>
      </c>
      <c r="C183" s="287" t="s">
        <v>167</v>
      </c>
      <c r="D183" s="214" t="s">
        <v>502</v>
      </c>
      <c r="E183" s="314">
        <v>30000</v>
      </c>
      <c r="F183" s="213"/>
    </row>
    <row r="184" spans="1:6" ht="20.100000000000001" customHeight="1">
      <c r="A184" s="224">
        <v>54</v>
      </c>
      <c r="B184" s="189" t="s">
        <v>279</v>
      </c>
      <c r="C184" s="287" t="s">
        <v>13</v>
      </c>
      <c r="D184" s="214" t="s">
        <v>503</v>
      </c>
      <c r="E184" s="314">
        <v>30000</v>
      </c>
      <c r="F184" s="213"/>
    </row>
    <row r="185" spans="1:6" ht="20.100000000000001" customHeight="1">
      <c r="A185" s="224">
        <v>55</v>
      </c>
      <c r="B185" s="189" t="s">
        <v>403</v>
      </c>
      <c r="C185" s="287" t="s">
        <v>13</v>
      </c>
      <c r="D185" s="214" t="s">
        <v>264</v>
      </c>
      <c r="E185" s="314">
        <v>30000</v>
      </c>
      <c r="F185" s="213"/>
    </row>
    <row r="186" spans="1:6" ht="20.100000000000001" customHeight="1">
      <c r="A186" s="224"/>
      <c r="B186" s="210" t="s">
        <v>15</v>
      </c>
      <c r="C186" s="226" t="s">
        <v>408</v>
      </c>
      <c r="D186" s="23"/>
      <c r="E186" s="325">
        <f>SUM(E132:E185)</f>
        <v>2505000</v>
      </c>
      <c r="F186" s="213"/>
    </row>
    <row r="187" spans="1:6" ht="9" customHeight="1">
      <c r="A187" s="224"/>
      <c r="B187" s="210"/>
      <c r="C187" s="226"/>
      <c r="D187" s="23"/>
      <c r="E187" s="325"/>
      <c r="F187" s="213"/>
    </row>
    <row r="188" spans="1:6" ht="30" customHeight="1">
      <c r="A188" s="21"/>
      <c r="B188" s="304" t="s">
        <v>8</v>
      </c>
      <c r="C188" s="305">
        <f>C37+C42+C57+C62+C79+C87+C100+C107+C117+C129+C186</f>
        <v>149</v>
      </c>
      <c r="D188" s="306"/>
      <c r="E188" s="307">
        <f>E186+E129+E117+E107+E100+E87+E79+E62+E57+E42+E37</f>
        <v>11070000</v>
      </c>
      <c r="F188" s="213"/>
    </row>
    <row r="189" spans="1:6" ht="20.100000000000001" customHeight="1">
      <c r="A189" s="202"/>
      <c r="B189" s="231"/>
      <c r="C189" s="202"/>
      <c r="D189" s="232"/>
      <c r="E189" s="283"/>
      <c r="F189" s="235"/>
    </row>
    <row r="190" spans="1:6" ht="65.25" customHeight="1">
      <c r="A190" s="202"/>
      <c r="B190" s="231"/>
      <c r="C190" s="232"/>
      <c r="D190" s="232"/>
      <c r="E190" s="284"/>
    </row>
  </sheetData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5"/>
  <sheetViews>
    <sheetView view="pageBreakPreview" zoomScaleNormal="100" zoomScaleSheetLayoutView="100" workbookViewId="0">
      <pane xSplit="3" ySplit="7" topLeftCell="D19" activePane="bottomRight" state="frozen"/>
      <selection pane="topRight" activeCell="E1" sqref="E1"/>
      <selection pane="bottomLeft" activeCell="A10" sqref="A10"/>
      <selection pane="bottomRight" activeCell="I6" sqref="I6"/>
    </sheetView>
  </sheetViews>
  <sheetFormatPr defaultColWidth="9.140625" defaultRowHeight="20.100000000000001" customHeight="1"/>
  <cols>
    <col min="1" max="1" width="5.42578125" style="196" customWidth="1"/>
    <col min="2" max="2" width="44.5703125" style="196" customWidth="1"/>
    <col min="3" max="3" width="38" style="196" customWidth="1"/>
    <col min="4" max="4" width="12.42578125" style="196" customWidth="1"/>
    <col min="5" max="5" width="21.85546875" style="196" customWidth="1"/>
    <col min="6" max="6" width="21.7109375" style="196" customWidth="1"/>
    <col min="7" max="16384" width="9.140625" style="196"/>
  </cols>
  <sheetData>
    <row r="1" spans="1:6" ht="27" customHeight="1">
      <c r="A1" s="308" t="s">
        <v>234</v>
      </c>
      <c r="B1" s="308"/>
      <c r="C1" s="308"/>
      <c r="D1" s="308"/>
      <c r="E1" s="309"/>
    </row>
    <row r="2" spans="1:6" ht="33.75" customHeight="1">
      <c r="A2" s="308" t="s">
        <v>537</v>
      </c>
      <c r="B2" s="198"/>
      <c r="C2" s="197"/>
      <c r="D2" s="197"/>
      <c r="E2" s="201"/>
    </row>
    <row r="3" spans="1:6" ht="9.75" customHeight="1">
      <c r="A3" s="202"/>
      <c r="B3" s="202"/>
      <c r="C3" s="202"/>
      <c r="D3" s="202"/>
    </row>
    <row r="4" spans="1:6" ht="49.5" customHeight="1">
      <c r="A4" s="303"/>
      <c r="B4" s="310" t="s">
        <v>0</v>
      </c>
      <c r="C4" s="311" t="s">
        <v>12</v>
      </c>
      <c r="D4" s="312" t="s">
        <v>309</v>
      </c>
      <c r="E4" s="313" t="s">
        <v>120</v>
      </c>
    </row>
    <row r="5" spans="1:6" ht="17.25" customHeight="1">
      <c r="C5" s="210"/>
      <c r="D5" s="210"/>
      <c r="E5" s="249" t="s">
        <v>5</v>
      </c>
    </row>
    <row r="6" spans="1:6" ht="20.100000000000001" customHeight="1">
      <c r="A6" s="209" t="s">
        <v>143</v>
      </c>
      <c r="B6" s="210" t="s">
        <v>433</v>
      </c>
      <c r="C6" s="210"/>
      <c r="D6" s="210"/>
      <c r="E6" s="249"/>
    </row>
    <row r="7" spans="1:6" ht="20.100000000000001" customHeight="1">
      <c r="A7" s="29">
        <v>1</v>
      </c>
      <c r="B7" s="188" t="s">
        <v>224</v>
      </c>
      <c r="C7" s="287" t="s">
        <v>119</v>
      </c>
      <c r="D7" s="287" t="s">
        <v>34</v>
      </c>
      <c r="E7" s="314">
        <v>450000</v>
      </c>
      <c r="F7" s="213"/>
    </row>
    <row r="8" spans="1:6" ht="20.100000000000001" customHeight="1">
      <c r="A8" s="29">
        <v>2</v>
      </c>
      <c r="B8" s="188" t="s">
        <v>137</v>
      </c>
      <c r="C8" s="21" t="s">
        <v>472</v>
      </c>
      <c r="D8" s="29" t="s">
        <v>160</v>
      </c>
      <c r="E8" s="314">
        <v>150000</v>
      </c>
      <c r="F8" s="213"/>
    </row>
    <row r="9" spans="1:6" ht="20.100000000000001" customHeight="1">
      <c r="A9" s="29">
        <v>3</v>
      </c>
      <c r="B9" s="190" t="s">
        <v>225</v>
      </c>
      <c r="C9" s="21" t="s">
        <v>226</v>
      </c>
      <c r="D9" s="29" t="s">
        <v>160</v>
      </c>
      <c r="E9" s="314">
        <v>150000</v>
      </c>
      <c r="F9" s="213"/>
    </row>
    <row r="10" spans="1:6" ht="20.100000000000001" customHeight="1">
      <c r="A10" s="29">
        <v>4</v>
      </c>
      <c r="B10" s="188" t="s">
        <v>315</v>
      </c>
      <c r="C10" s="287" t="s">
        <v>316</v>
      </c>
      <c r="D10" s="29" t="s">
        <v>496</v>
      </c>
      <c r="E10" s="314">
        <v>150000</v>
      </c>
      <c r="F10" s="213"/>
    </row>
    <row r="11" spans="1:6" ht="20.100000000000001" customHeight="1">
      <c r="A11" s="29">
        <v>5</v>
      </c>
      <c r="B11" s="190" t="s">
        <v>317</v>
      </c>
      <c r="C11" s="21" t="s">
        <v>418</v>
      </c>
      <c r="D11" s="214" t="s">
        <v>221</v>
      </c>
      <c r="E11" s="314">
        <v>150000</v>
      </c>
      <c r="F11" s="213"/>
    </row>
    <row r="12" spans="1:6" ht="20.100000000000001" customHeight="1">
      <c r="A12" s="29">
        <v>6</v>
      </c>
      <c r="B12" s="190" t="s">
        <v>112</v>
      </c>
      <c r="C12" s="21" t="s">
        <v>473</v>
      </c>
      <c r="D12" s="25" t="s">
        <v>221</v>
      </c>
      <c r="E12" s="314">
        <v>150000</v>
      </c>
      <c r="F12" s="213"/>
    </row>
    <row r="13" spans="1:6" ht="20.100000000000001" customHeight="1">
      <c r="A13" s="29">
        <v>7</v>
      </c>
      <c r="B13" s="188" t="s">
        <v>187</v>
      </c>
      <c r="C13" s="155" t="s">
        <v>474</v>
      </c>
      <c r="D13" s="25" t="s">
        <v>221</v>
      </c>
      <c r="E13" s="314">
        <v>150000</v>
      </c>
      <c r="F13" s="213"/>
    </row>
    <row r="14" spans="1:6" ht="20.100000000000001" customHeight="1">
      <c r="A14" s="29">
        <v>8</v>
      </c>
      <c r="B14" s="190" t="s">
        <v>203</v>
      </c>
      <c r="C14" s="21" t="s">
        <v>475</v>
      </c>
      <c r="D14" s="25" t="s">
        <v>221</v>
      </c>
      <c r="E14" s="314">
        <v>150000</v>
      </c>
      <c r="F14" s="213"/>
    </row>
    <row r="15" spans="1:6" ht="20.100000000000001" customHeight="1">
      <c r="A15" s="29">
        <v>9</v>
      </c>
      <c r="B15" s="188" t="s">
        <v>111</v>
      </c>
      <c r="C15" s="287" t="s">
        <v>468</v>
      </c>
      <c r="D15" s="214" t="s">
        <v>75</v>
      </c>
      <c r="E15" s="314">
        <v>105000</v>
      </c>
      <c r="F15" s="213"/>
    </row>
    <row r="16" spans="1:6" ht="20.100000000000001" customHeight="1">
      <c r="A16" s="29">
        <v>10</v>
      </c>
      <c r="B16" s="189" t="s">
        <v>333</v>
      </c>
      <c r="C16" s="287" t="s">
        <v>387</v>
      </c>
      <c r="D16" s="29" t="s">
        <v>412</v>
      </c>
      <c r="E16" s="314">
        <v>105000</v>
      </c>
      <c r="F16" s="213"/>
    </row>
    <row r="17" spans="1:6" ht="20.100000000000001" customHeight="1">
      <c r="A17" s="29">
        <v>11</v>
      </c>
      <c r="B17" s="192" t="s">
        <v>220</v>
      </c>
      <c r="C17" s="21" t="s">
        <v>388</v>
      </c>
      <c r="D17" s="25" t="s">
        <v>181</v>
      </c>
      <c r="E17" s="314">
        <v>75000</v>
      </c>
      <c r="F17" s="213"/>
    </row>
    <row r="18" spans="1:6" ht="19.5" customHeight="1">
      <c r="A18" s="29">
        <v>12</v>
      </c>
      <c r="B18" s="190" t="s">
        <v>144</v>
      </c>
      <c r="C18" s="21" t="s">
        <v>389</v>
      </c>
      <c r="D18" s="29" t="s">
        <v>181</v>
      </c>
      <c r="E18" s="314">
        <v>75000</v>
      </c>
      <c r="F18" s="213"/>
    </row>
    <row r="19" spans="1:6" ht="19.5" customHeight="1">
      <c r="A19" s="29">
        <v>13</v>
      </c>
      <c r="B19" s="190" t="s">
        <v>139</v>
      </c>
      <c r="C19" s="21" t="s">
        <v>386</v>
      </c>
      <c r="D19" s="29" t="s">
        <v>181</v>
      </c>
      <c r="E19" s="314">
        <v>75000</v>
      </c>
      <c r="F19" s="213"/>
    </row>
    <row r="20" spans="1:6" ht="20.100000000000001" customHeight="1">
      <c r="A20" s="29">
        <v>14</v>
      </c>
      <c r="B20" s="188" t="s">
        <v>18</v>
      </c>
      <c r="C20" s="21" t="s">
        <v>389</v>
      </c>
      <c r="D20" s="214" t="s">
        <v>181</v>
      </c>
      <c r="E20" s="314">
        <v>75000</v>
      </c>
      <c r="F20" s="213"/>
    </row>
    <row r="21" spans="1:6" ht="20.100000000000001" customHeight="1">
      <c r="A21" s="29">
        <v>15</v>
      </c>
      <c r="B21" s="188" t="s">
        <v>334</v>
      </c>
      <c r="C21" s="287" t="s">
        <v>351</v>
      </c>
      <c r="D21" s="214" t="s">
        <v>163</v>
      </c>
      <c r="E21" s="314">
        <v>75000</v>
      </c>
      <c r="F21" s="213"/>
    </row>
    <row r="22" spans="1:6" ht="20.100000000000001" customHeight="1">
      <c r="A22" s="29">
        <v>16</v>
      </c>
      <c r="B22" s="189" t="s">
        <v>291</v>
      </c>
      <c r="C22" s="21" t="s">
        <v>346</v>
      </c>
      <c r="D22" s="214" t="s">
        <v>413</v>
      </c>
      <c r="E22" s="314">
        <v>75000</v>
      </c>
      <c r="F22" s="213"/>
    </row>
    <row r="23" spans="1:6" ht="20.100000000000001" customHeight="1">
      <c r="A23" s="29">
        <v>17</v>
      </c>
      <c r="B23" s="188" t="s">
        <v>141</v>
      </c>
      <c r="C23" s="287" t="s">
        <v>391</v>
      </c>
      <c r="D23" s="214" t="s">
        <v>497</v>
      </c>
      <c r="E23" s="314">
        <v>45000</v>
      </c>
      <c r="F23" s="213"/>
    </row>
    <row r="24" spans="1:6" ht="18.75" customHeight="1">
      <c r="A24" s="29">
        <v>18</v>
      </c>
      <c r="B24" s="188" t="s">
        <v>253</v>
      </c>
      <c r="C24" s="287" t="s">
        <v>478</v>
      </c>
      <c r="D24" s="214" t="s">
        <v>415</v>
      </c>
      <c r="E24" s="314">
        <v>45000</v>
      </c>
      <c r="F24" s="213"/>
    </row>
    <row r="25" spans="1:6" ht="18.75" customHeight="1">
      <c r="A25" s="29">
        <v>19</v>
      </c>
      <c r="B25" s="189" t="s">
        <v>275</v>
      </c>
      <c r="C25" s="287" t="s">
        <v>314</v>
      </c>
      <c r="D25" s="214" t="s">
        <v>164</v>
      </c>
      <c r="E25" s="314">
        <v>45000</v>
      </c>
      <c r="F25" s="213"/>
    </row>
    <row r="26" spans="1:6" ht="18.75" customHeight="1">
      <c r="A26" s="29">
        <v>20</v>
      </c>
      <c r="B26" s="21" t="s">
        <v>434</v>
      </c>
      <c r="C26" s="21" t="s">
        <v>17</v>
      </c>
      <c r="D26" s="29" t="s">
        <v>498</v>
      </c>
      <c r="E26" s="314">
        <v>45000</v>
      </c>
      <c r="F26" s="213"/>
    </row>
    <row r="27" spans="1:6" ht="18.75" customHeight="1">
      <c r="A27" s="29">
        <v>21</v>
      </c>
      <c r="B27" s="189" t="s">
        <v>254</v>
      </c>
      <c r="C27" s="287" t="s">
        <v>17</v>
      </c>
      <c r="D27" s="214" t="s">
        <v>498</v>
      </c>
      <c r="E27" s="314">
        <v>45000</v>
      </c>
      <c r="F27" s="213"/>
    </row>
    <row r="28" spans="1:6" ht="18.75" customHeight="1">
      <c r="A28" s="29">
        <v>22</v>
      </c>
      <c r="B28" s="188" t="s">
        <v>248</v>
      </c>
      <c r="C28" s="287" t="s">
        <v>480</v>
      </c>
      <c r="D28" s="214" t="s">
        <v>498</v>
      </c>
      <c r="E28" s="314">
        <v>45000</v>
      </c>
      <c r="F28" s="213"/>
    </row>
    <row r="29" spans="1:6" ht="18.75" customHeight="1">
      <c r="A29" s="29">
        <v>23</v>
      </c>
      <c r="B29" s="189" t="s">
        <v>288</v>
      </c>
      <c r="C29" s="287" t="s">
        <v>249</v>
      </c>
      <c r="D29" s="214" t="s">
        <v>267</v>
      </c>
      <c r="E29" s="314">
        <v>45000</v>
      </c>
      <c r="F29" s="213"/>
    </row>
    <row r="30" spans="1:6" ht="18.75" customHeight="1">
      <c r="A30" s="29">
        <v>24</v>
      </c>
      <c r="B30" s="189" t="s">
        <v>328</v>
      </c>
      <c r="C30" s="21" t="s">
        <v>329</v>
      </c>
      <c r="D30" s="29" t="s">
        <v>267</v>
      </c>
      <c r="E30" s="314">
        <v>45000</v>
      </c>
      <c r="F30" s="213"/>
    </row>
    <row r="31" spans="1:6" ht="18.75" customHeight="1">
      <c r="A31" s="29">
        <v>25</v>
      </c>
      <c r="B31" s="189" t="s">
        <v>360</v>
      </c>
      <c r="C31" s="155" t="s">
        <v>372</v>
      </c>
      <c r="D31" s="214" t="s">
        <v>498</v>
      </c>
      <c r="E31" s="314">
        <v>45000</v>
      </c>
      <c r="F31" s="213"/>
    </row>
    <row r="32" spans="1:6" ht="18.75" customHeight="1">
      <c r="A32" s="29">
        <v>26</v>
      </c>
      <c r="B32" s="189" t="s">
        <v>330</v>
      </c>
      <c r="C32" s="21" t="s">
        <v>533</v>
      </c>
      <c r="D32" s="29" t="s">
        <v>176</v>
      </c>
      <c r="E32" s="314">
        <v>45000</v>
      </c>
      <c r="F32" s="213"/>
    </row>
    <row r="33" spans="1:6" ht="18.75" customHeight="1">
      <c r="A33" s="29">
        <v>27</v>
      </c>
      <c r="B33" s="189" t="s">
        <v>274</v>
      </c>
      <c r="C33" s="287" t="s">
        <v>314</v>
      </c>
      <c r="D33" s="214" t="s">
        <v>176</v>
      </c>
      <c r="E33" s="314">
        <v>45000</v>
      </c>
      <c r="F33" s="213"/>
    </row>
    <row r="34" spans="1:6" ht="18.75" customHeight="1">
      <c r="A34" s="29">
        <v>28</v>
      </c>
      <c r="B34" s="189" t="s">
        <v>453</v>
      </c>
      <c r="C34" s="287" t="s">
        <v>314</v>
      </c>
      <c r="D34" s="214" t="s">
        <v>176</v>
      </c>
      <c r="E34" s="314">
        <v>45000</v>
      </c>
      <c r="F34" s="213"/>
    </row>
    <row r="35" spans="1:6" ht="18.75" customHeight="1">
      <c r="A35" s="29">
        <v>29</v>
      </c>
      <c r="B35" s="189" t="s">
        <v>535</v>
      </c>
      <c r="C35" s="287" t="s">
        <v>536</v>
      </c>
      <c r="D35" s="214" t="s">
        <v>105</v>
      </c>
      <c r="E35" s="314">
        <v>45000</v>
      </c>
      <c r="F35" s="213"/>
    </row>
    <row r="36" spans="1:6" ht="26.25" customHeight="1">
      <c r="A36" s="29"/>
      <c r="B36" s="191" t="s">
        <v>15</v>
      </c>
      <c r="C36" s="30">
        <v>29</v>
      </c>
      <c r="D36" s="214"/>
      <c r="E36" s="315">
        <f>SUM(E7:E35)</f>
        <v>2745000</v>
      </c>
      <c r="F36" s="213"/>
    </row>
    <row r="37" spans="1:6" ht="18.75" customHeight="1">
      <c r="A37" s="29"/>
      <c r="B37" s="141"/>
      <c r="C37" s="21"/>
      <c r="D37" s="214"/>
      <c r="E37" s="316"/>
      <c r="F37" s="213"/>
    </row>
    <row r="38" spans="1:6" ht="18.75" customHeight="1">
      <c r="A38" s="29"/>
      <c r="B38" s="191" t="s">
        <v>284</v>
      </c>
      <c r="C38" s="21"/>
      <c r="D38" s="214"/>
      <c r="E38" s="314"/>
      <c r="F38" s="213"/>
    </row>
    <row r="39" spans="1:6" ht="18.75" customHeight="1">
      <c r="A39" s="29">
        <v>1</v>
      </c>
      <c r="B39" s="189" t="s">
        <v>361</v>
      </c>
      <c r="C39" s="21" t="s">
        <v>362</v>
      </c>
      <c r="D39" s="29" t="s">
        <v>161</v>
      </c>
      <c r="E39" s="314">
        <v>225000</v>
      </c>
      <c r="F39" s="213"/>
    </row>
    <row r="40" spans="1:6" ht="18.75" customHeight="1">
      <c r="A40" s="29">
        <v>2</v>
      </c>
      <c r="B40" s="189" t="s">
        <v>419</v>
      </c>
      <c r="C40" s="21" t="s">
        <v>427</v>
      </c>
      <c r="D40" s="29" t="s">
        <v>105</v>
      </c>
      <c r="E40" s="314">
        <v>45000</v>
      </c>
      <c r="F40" s="213"/>
    </row>
    <row r="41" spans="1:6" ht="19.5" customHeight="1">
      <c r="A41" s="29"/>
      <c r="B41" s="190"/>
      <c r="C41" s="30">
        <v>2</v>
      </c>
      <c r="D41" s="29"/>
      <c r="E41" s="315">
        <f>SUM(E39:E40)</f>
        <v>270000</v>
      </c>
      <c r="F41" s="213"/>
    </row>
    <row r="42" spans="1:6" ht="20.100000000000001" customHeight="1">
      <c r="A42" s="29"/>
      <c r="B42" s="190"/>
      <c r="C42" s="21"/>
      <c r="D42" s="29"/>
      <c r="E42" s="314"/>
      <c r="F42" s="213"/>
    </row>
    <row r="43" spans="1:6" ht="20.100000000000001" customHeight="1">
      <c r="A43" s="29"/>
      <c r="B43" s="218" t="s">
        <v>56</v>
      </c>
      <c r="C43" s="203"/>
      <c r="D43" s="207"/>
      <c r="E43" s="314"/>
      <c r="F43" s="213"/>
    </row>
    <row r="44" spans="1:6" ht="20.100000000000001" customHeight="1">
      <c r="A44" s="29">
        <v>1</v>
      </c>
      <c r="B44" s="188" t="s">
        <v>255</v>
      </c>
      <c r="C44" s="21" t="s">
        <v>256</v>
      </c>
      <c r="D44" s="29" t="s">
        <v>161</v>
      </c>
      <c r="E44" s="314">
        <v>225000</v>
      </c>
      <c r="F44" s="213"/>
    </row>
    <row r="45" spans="1:6" ht="20.100000000000001" customHeight="1">
      <c r="A45" s="29">
        <v>2</v>
      </c>
      <c r="B45" s="188" t="s">
        <v>158</v>
      </c>
      <c r="C45" s="21" t="s">
        <v>199</v>
      </c>
      <c r="D45" s="29" t="s">
        <v>75</v>
      </c>
      <c r="E45" s="314">
        <v>105000</v>
      </c>
      <c r="F45" s="213"/>
    </row>
    <row r="46" spans="1:6" ht="20.100000000000001" customHeight="1">
      <c r="A46" s="29">
        <v>3</v>
      </c>
      <c r="B46" s="188" t="s">
        <v>165</v>
      </c>
      <c r="C46" s="21" t="s">
        <v>258</v>
      </c>
      <c r="D46" s="29" t="s">
        <v>75</v>
      </c>
      <c r="E46" s="314">
        <v>105000</v>
      </c>
      <c r="F46" s="213"/>
    </row>
    <row r="47" spans="1:6" ht="20.100000000000001" customHeight="1">
      <c r="A47" s="29">
        <v>4</v>
      </c>
      <c r="B47" s="188" t="s">
        <v>159</v>
      </c>
      <c r="C47" s="21" t="s">
        <v>258</v>
      </c>
      <c r="D47" s="29" t="s">
        <v>75</v>
      </c>
      <c r="E47" s="314">
        <v>105000</v>
      </c>
      <c r="F47" s="213"/>
    </row>
    <row r="48" spans="1:6" ht="20.100000000000001" customHeight="1">
      <c r="A48" s="29">
        <v>5</v>
      </c>
      <c r="B48" s="188" t="s">
        <v>118</v>
      </c>
      <c r="C48" s="21" t="s">
        <v>258</v>
      </c>
      <c r="D48" s="29" t="s">
        <v>148</v>
      </c>
      <c r="E48" s="314">
        <v>105000</v>
      </c>
      <c r="F48" s="213"/>
    </row>
    <row r="49" spans="1:6" ht="20.100000000000001" customHeight="1">
      <c r="A49" s="29">
        <v>6</v>
      </c>
      <c r="B49" s="188" t="s">
        <v>205</v>
      </c>
      <c r="C49" s="21" t="s">
        <v>78</v>
      </c>
      <c r="D49" s="29" t="s">
        <v>181</v>
      </c>
      <c r="E49" s="314">
        <v>75000</v>
      </c>
      <c r="F49" s="213"/>
    </row>
    <row r="50" spans="1:6" ht="20.100000000000001" customHeight="1">
      <c r="A50" s="29">
        <v>7</v>
      </c>
      <c r="B50" s="190" t="s">
        <v>173</v>
      </c>
      <c r="C50" s="21" t="s">
        <v>297</v>
      </c>
      <c r="D50" s="25" t="s">
        <v>181</v>
      </c>
      <c r="E50" s="314">
        <v>75000</v>
      </c>
      <c r="F50" s="213"/>
    </row>
    <row r="51" spans="1:6" ht="20.100000000000001" customHeight="1">
      <c r="A51" s="29">
        <v>8</v>
      </c>
      <c r="B51" s="188" t="s">
        <v>116</v>
      </c>
      <c r="C51" s="21" t="s">
        <v>297</v>
      </c>
      <c r="D51" s="29" t="s">
        <v>162</v>
      </c>
      <c r="E51" s="314">
        <v>75000</v>
      </c>
      <c r="F51" s="213"/>
    </row>
    <row r="52" spans="1:6" ht="20.100000000000001" customHeight="1">
      <c r="A52" s="29">
        <v>9</v>
      </c>
      <c r="B52" s="188" t="s">
        <v>184</v>
      </c>
      <c r="C52" s="21" t="s">
        <v>80</v>
      </c>
      <c r="D52" s="29" t="s">
        <v>170</v>
      </c>
      <c r="E52" s="314">
        <v>75000</v>
      </c>
      <c r="F52" s="213"/>
    </row>
    <row r="53" spans="1:6" ht="20.100000000000001" customHeight="1">
      <c r="A53" s="29">
        <v>10</v>
      </c>
      <c r="B53" s="188" t="s">
        <v>420</v>
      </c>
      <c r="C53" s="21" t="s">
        <v>84</v>
      </c>
      <c r="D53" s="29" t="s">
        <v>428</v>
      </c>
      <c r="E53" s="314">
        <v>45000</v>
      </c>
      <c r="F53" s="213"/>
    </row>
    <row r="54" spans="1:6" ht="20.100000000000001" customHeight="1">
      <c r="A54" s="29">
        <v>11</v>
      </c>
      <c r="B54" s="188" t="s">
        <v>435</v>
      </c>
      <c r="C54" s="21" t="s">
        <v>84</v>
      </c>
      <c r="D54" s="29" t="s">
        <v>428</v>
      </c>
      <c r="E54" s="314">
        <v>45000</v>
      </c>
      <c r="F54" s="213"/>
    </row>
    <row r="55" spans="1:6" ht="20.100000000000001" customHeight="1">
      <c r="A55" s="29">
        <v>12</v>
      </c>
      <c r="B55" s="188" t="s">
        <v>452</v>
      </c>
      <c r="C55" s="21" t="s">
        <v>84</v>
      </c>
      <c r="D55" s="29" t="s">
        <v>428</v>
      </c>
      <c r="E55" s="314">
        <v>45000</v>
      </c>
      <c r="F55" s="213"/>
    </row>
    <row r="56" spans="1:6" ht="25.5" customHeight="1">
      <c r="A56" s="29"/>
      <c r="B56" s="191" t="s">
        <v>15</v>
      </c>
      <c r="C56" s="30">
        <v>12</v>
      </c>
      <c r="D56" s="30"/>
      <c r="E56" s="317">
        <f>SUM(E44:E55)</f>
        <v>1080000</v>
      </c>
      <c r="F56" s="213"/>
    </row>
    <row r="57" spans="1:6" ht="20.100000000000001" customHeight="1">
      <c r="A57" s="29"/>
      <c r="B57" s="141"/>
      <c r="C57" s="30"/>
      <c r="D57" s="30"/>
      <c r="E57" s="318"/>
      <c r="F57" s="213"/>
    </row>
    <row r="58" spans="1:6" ht="20.100000000000001" customHeight="1">
      <c r="A58" s="29"/>
      <c r="B58" s="191" t="s">
        <v>195</v>
      </c>
      <c r="C58" s="30"/>
      <c r="D58" s="30"/>
      <c r="E58" s="318"/>
      <c r="F58" s="213"/>
    </row>
    <row r="59" spans="1:6" ht="20.100000000000001" customHeight="1">
      <c r="A59" s="29">
        <v>1</v>
      </c>
      <c r="B59" s="188" t="s">
        <v>11</v>
      </c>
      <c r="C59" s="287" t="s">
        <v>200</v>
      </c>
      <c r="D59" s="214" t="s">
        <v>161</v>
      </c>
      <c r="E59" s="314">
        <v>225000</v>
      </c>
      <c r="F59" s="213"/>
    </row>
    <row r="60" spans="1:6" ht="20.100000000000001" customHeight="1">
      <c r="A60" s="29">
        <v>2</v>
      </c>
      <c r="B60" s="188" t="s">
        <v>276</v>
      </c>
      <c r="C60" s="287" t="s">
        <v>340</v>
      </c>
      <c r="D60" s="214" t="s">
        <v>412</v>
      </c>
      <c r="E60" s="314">
        <v>105000</v>
      </c>
      <c r="F60" s="213"/>
    </row>
    <row r="61" spans="1:6" ht="20.100000000000001" customHeight="1">
      <c r="A61" s="29"/>
      <c r="B61" s="191" t="s">
        <v>15</v>
      </c>
      <c r="C61" s="30">
        <v>2</v>
      </c>
      <c r="D61" s="30"/>
      <c r="E61" s="317">
        <f>SUM(E59:E60)</f>
        <v>330000</v>
      </c>
      <c r="F61" s="213"/>
    </row>
    <row r="62" spans="1:6" ht="20.100000000000001" customHeight="1">
      <c r="A62" s="29"/>
      <c r="B62" s="191"/>
      <c r="C62" s="30"/>
      <c r="D62" s="30"/>
      <c r="E62" s="318"/>
      <c r="F62" s="213"/>
    </row>
    <row r="63" spans="1:6" ht="20.100000000000001" customHeight="1">
      <c r="A63" s="29"/>
      <c r="B63" s="191" t="s">
        <v>461</v>
      </c>
      <c r="C63" s="30"/>
      <c r="D63" s="30"/>
      <c r="E63" s="318"/>
      <c r="F63" s="213"/>
    </row>
    <row r="64" spans="1:6" ht="20.100000000000001" customHeight="1">
      <c r="A64" s="29">
        <v>1</v>
      </c>
      <c r="B64" s="188" t="s">
        <v>277</v>
      </c>
      <c r="C64" s="155" t="s">
        <v>278</v>
      </c>
      <c r="D64" s="29" t="s">
        <v>161</v>
      </c>
      <c r="E64" s="319">
        <v>225000</v>
      </c>
      <c r="F64" s="213"/>
    </row>
    <row r="65" spans="1:6" ht="20.100000000000001" customHeight="1">
      <c r="A65" s="29">
        <v>2</v>
      </c>
      <c r="B65" s="189" t="s">
        <v>332</v>
      </c>
      <c r="C65" s="155" t="s">
        <v>188</v>
      </c>
      <c r="D65" s="214" t="s">
        <v>272</v>
      </c>
      <c r="E65" s="314">
        <v>105000</v>
      </c>
      <c r="F65" s="213"/>
    </row>
    <row r="66" spans="1:6" ht="20.100000000000001" customHeight="1">
      <c r="A66" s="29">
        <v>3</v>
      </c>
      <c r="B66" s="188" t="s">
        <v>189</v>
      </c>
      <c r="C66" s="21" t="s">
        <v>257</v>
      </c>
      <c r="D66" s="29" t="s">
        <v>170</v>
      </c>
      <c r="E66" s="319">
        <v>75000</v>
      </c>
      <c r="F66" s="213"/>
    </row>
    <row r="67" spans="1:6" ht="20.100000000000001" customHeight="1">
      <c r="A67" s="29">
        <v>4</v>
      </c>
      <c r="B67" s="189" t="s">
        <v>448</v>
      </c>
      <c r="C67" s="155" t="s">
        <v>257</v>
      </c>
      <c r="D67" s="214" t="s">
        <v>163</v>
      </c>
      <c r="E67" s="319">
        <v>75000</v>
      </c>
      <c r="F67" s="213"/>
    </row>
    <row r="68" spans="1:6" ht="20.100000000000001" customHeight="1">
      <c r="A68" s="29">
        <v>5</v>
      </c>
      <c r="B68" s="190" t="s">
        <v>229</v>
      </c>
      <c r="C68" s="155" t="s">
        <v>297</v>
      </c>
      <c r="D68" s="214" t="s">
        <v>181</v>
      </c>
      <c r="E68" s="319">
        <v>75000</v>
      </c>
      <c r="F68" s="213"/>
    </row>
    <row r="69" spans="1:6" ht="20.100000000000001" customHeight="1">
      <c r="A69" s="29">
        <v>6</v>
      </c>
      <c r="B69" s="190" t="s">
        <v>534</v>
      </c>
      <c r="C69" s="155" t="s">
        <v>297</v>
      </c>
      <c r="D69" s="214" t="s">
        <v>162</v>
      </c>
      <c r="E69" s="319">
        <v>75000</v>
      </c>
      <c r="F69" s="213"/>
    </row>
    <row r="70" spans="1:6" ht="20.100000000000001" customHeight="1">
      <c r="A70" s="29">
        <v>7</v>
      </c>
      <c r="B70" s="188" t="s">
        <v>117</v>
      </c>
      <c r="C70" s="21" t="s">
        <v>84</v>
      </c>
      <c r="D70" s="29" t="s">
        <v>369</v>
      </c>
      <c r="E70" s="314">
        <v>45000</v>
      </c>
      <c r="F70" s="213"/>
    </row>
    <row r="71" spans="1:6" ht="20.100000000000001" customHeight="1">
      <c r="A71" s="29">
        <v>8</v>
      </c>
      <c r="B71" s="188" t="s">
        <v>424</v>
      </c>
      <c r="C71" s="155" t="s">
        <v>422</v>
      </c>
      <c r="D71" s="214" t="s">
        <v>369</v>
      </c>
      <c r="E71" s="314">
        <v>45000</v>
      </c>
      <c r="F71" s="213"/>
    </row>
    <row r="72" spans="1:6" ht="20.100000000000001" customHeight="1">
      <c r="A72" s="29">
        <v>9</v>
      </c>
      <c r="B72" s="188" t="s">
        <v>423</v>
      </c>
      <c r="C72" s="155" t="s">
        <v>422</v>
      </c>
      <c r="D72" s="214" t="s">
        <v>369</v>
      </c>
      <c r="E72" s="314">
        <v>45000</v>
      </c>
      <c r="F72" s="213"/>
    </row>
    <row r="73" spans="1:6" ht="20.100000000000001" customHeight="1">
      <c r="A73" s="29">
        <v>10</v>
      </c>
      <c r="B73" s="188" t="s">
        <v>242</v>
      </c>
      <c r="C73" s="21" t="s">
        <v>484</v>
      </c>
      <c r="D73" s="29" t="s">
        <v>415</v>
      </c>
      <c r="E73" s="314">
        <v>45000</v>
      </c>
      <c r="F73" s="213"/>
    </row>
    <row r="74" spans="1:6" ht="20.100000000000001" customHeight="1">
      <c r="A74" s="29">
        <v>11</v>
      </c>
      <c r="B74" s="188" t="s">
        <v>322</v>
      </c>
      <c r="C74" s="155" t="s">
        <v>84</v>
      </c>
      <c r="D74" s="29" t="s">
        <v>207</v>
      </c>
      <c r="E74" s="314">
        <v>45000</v>
      </c>
      <c r="F74" s="213"/>
    </row>
    <row r="75" spans="1:6" ht="20.100000000000001" customHeight="1">
      <c r="A75" s="29">
        <v>12</v>
      </c>
      <c r="B75" s="188" t="s">
        <v>320</v>
      </c>
      <c r="C75" s="155" t="s">
        <v>115</v>
      </c>
      <c r="D75" s="29" t="s">
        <v>498</v>
      </c>
      <c r="E75" s="314">
        <v>45000</v>
      </c>
      <c r="F75" s="213"/>
    </row>
    <row r="76" spans="1:6" ht="20.100000000000001" customHeight="1">
      <c r="A76" s="29">
        <v>13</v>
      </c>
      <c r="B76" s="190" t="s">
        <v>321</v>
      </c>
      <c r="C76" s="155" t="s">
        <v>115</v>
      </c>
      <c r="D76" s="29" t="s">
        <v>176</v>
      </c>
      <c r="E76" s="314">
        <v>45000</v>
      </c>
      <c r="F76" s="213"/>
    </row>
    <row r="77" spans="1:6" ht="20.100000000000001" customHeight="1">
      <c r="A77" s="29"/>
      <c r="B77" s="191" t="s">
        <v>15</v>
      </c>
      <c r="C77" s="30">
        <v>13</v>
      </c>
      <c r="D77" s="30"/>
      <c r="E77" s="317">
        <f>SUM(E64:E76)</f>
        <v>945000</v>
      </c>
      <c r="F77" s="213"/>
    </row>
    <row r="78" spans="1:6" ht="20.100000000000001" customHeight="1">
      <c r="A78" s="29"/>
      <c r="B78" s="141"/>
      <c r="C78" s="30"/>
      <c r="D78" s="30"/>
      <c r="E78" s="318"/>
      <c r="F78" s="213"/>
    </row>
    <row r="79" spans="1:6" ht="20.100000000000001" customHeight="1">
      <c r="A79" s="29"/>
      <c r="B79" s="191" t="s">
        <v>462</v>
      </c>
      <c r="C79" s="30"/>
      <c r="D79" s="30"/>
      <c r="E79" s="318"/>
      <c r="F79" s="213"/>
    </row>
    <row r="80" spans="1:6" ht="20.100000000000001" customHeight="1">
      <c r="A80" s="29">
        <v>1</v>
      </c>
      <c r="B80" s="188" t="s">
        <v>19</v>
      </c>
      <c r="C80" s="21" t="s">
        <v>201</v>
      </c>
      <c r="D80" s="29" t="s">
        <v>161</v>
      </c>
      <c r="E80" s="314">
        <v>225000</v>
      </c>
      <c r="F80" s="213"/>
    </row>
    <row r="81" spans="1:6" ht="20.100000000000001" customHeight="1">
      <c r="A81" s="29">
        <v>2</v>
      </c>
      <c r="B81" s="190" t="s">
        <v>325</v>
      </c>
      <c r="C81" s="21" t="s">
        <v>245</v>
      </c>
      <c r="D81" s="214" t="s">
        <v>272</v>
      </c>
      <c r="E81" s="314">
        <v>105000</v>
      </c>
      <c r="F81" s="213"/>
    </row>
    <row r="82" spans="1:6" ht="20.100000000000001" customHeight="1">
      <c r="A82" s="29">
        <v>3</v>
      </c>
      <c r="B82" s="190" t="s">
        <v>326</v>
      </c>
      <c r="C82" s="21" t="s">
        <v>327</v>
      </c>
      <c r="D82" s="214" t="s">
        <v>272</v>
      </c>
      <c r="E82" s="314">
        <v>105000</v>
      </c>
      <c r="F82" s="213"/>
    </row>
    <row r="83" spans="1:6" ht="20.100000000000001" customHeight="1">
      <c r="A83" s="29">
        <v>4</v>
      </c>
      <c r="B83" s="188" t="s">
        <v>26</v>
      </c>
      <c r="C83" s="21" t="s">
        <v>296</v>
      </c>
      <c r="D83" s="214" t="s">
        <v>170</v>
      </c>
      <c r="E83" s="314">
        <v>75000</v>
      </c>
      <c r="F83" s="213"/>
    </row>
    <row r="84" spans="1:6" ht="20.100000000000001" customHeight="1">
      <c r="A84" s="29">
        <v>5</v>
      </c>
      <c r="B84" s="188" t="s">
        <v>324</v>
      </c>
      <c r="C84" s="21" t="s">
        <v>243</v>
      </c>
      <c r="D84" s="29" t="s">
        <v>207</v>
      </c>
      <c r="E84" s="314">
        <v>45000</v>
      </c>
      <c r="F84" s="213"/>
    </row>
    <row r="85" spans="1:6" ht="20.100000000000001" customHeight="1">
      <c r="A85" s="29"/>
      <c r="B85" s="191" t="s">
        <v>15</v>
      </c>
      <c r="C85" s="30">
        <v>5</v>
      </c>
      <c r="D85" s="30"/>
      <c r="E85" s="317">
        <f>SUM(E80:E84)</f>
        <v>555000</v>
      </c>
      <c r="F85" s="213"/>
    </row>
    <row r="86" spans="1:6" ht="20.100000000000001" customHeight="1">
      <c r="A86" s="29"/>
      <c r="B86" s="191"/>
      <c r="C86" s="30"/>
      <c r="D86" s="30"/>
      <c r="E86" s="314"/>
      <c r="F86" s="213"/>
    </row>
    <row r="87" spans="1:6" ht="20.100000000000001" customHeight="1">
      <c r="A87" s="29"/>
      <c r="B87" s="191" t="s">
        <v>463</v>
      </c>
      <c r="C87" s="219"/>
      <c r="D87" s="30"/>
      <c r="E87" s="314"/>
      <c r="F87" s="213"/>
    </row>
    <row r="88" spans="1:6" ht="20.100000000000001" customHeight="1">
      <c r="A88" s="29">
        <v>1</v>
      </c>
      <c r="B88" s="188" t="s">
        <v>169</v>
      </c>
      <c r="C88" s="21" t="s">
        <v>258</v>
      </c>
      <c r="D88" s="29" t="s">
        <v>75</v>
      </c>
      <c r="E88" s="314">
        <v>105000</v>
      </c>
      <c r="F88" s="213"/>
    </row>
    <row r="89" spans="1:6" ht="20.100000000000001" customHeight="1">
      <c r="A89" s="29">
        <v>2</v>
      </c>
      <c r="B89" s="188" t="s">
        <v>192</v>
      </c>
      <c r="C89" s="21" t="s">
        <v>258</v>
      </c>
      <c r="D89" s="29" t="s">
        <v>75</v>
      </c>
      <c r="E89" s="314">
        <v>105000</v>
      </c>
      <c r="F89" s="213"/>
    </row>
    <row r="90" spans="1:6" ht="20.100000000000001" customHeight="1">
      <c r="A90" s="29">
        <v>3</v>
      </c>
      <c r="B90" s="190" t="s">
        <v>138</v>
      </c>
      <c r="C90" s="21" t="s">
        <v>297</v>
      </c>
      <c r="D90" s="29" t="s">
        <v>174</v>
      </c>
      <c r="E90" s="319">
        <v>75000</v>
      </c>
      <c r="F90" s="213"/>
    </row>
    <row r="91" spans="1:6" ht="20.100000000000001" customHeight="1">
      <c r="A91" s="29">
        <v>4</v>
      </c>
      <c r="B91" s="188" t="s">
        <v>202</v>
      </c>
      <c r="C91" s="21" t="s">
        <v>78</v>
      </c>
      <c r="D91" s="29" t="s">
        <v>181</v>
      </c>
      <c r="E91" s="319">
        <v>75000</v>
      </c>
      <c r="F91" s="213"/>
    </row>
    <row r="92" spans="1:6" ht="21.6" customHeight="1">
      <c r="A92" s="29">
        <v>5</v>
      </c>
      <c r="B92" s="188" t="s">
        <v>101</v>
      </c>
      <c r="C92" s="21" t="s">
        <v>80</v>
      </c>
      <c r="D92" s="214" t="s">
        <v>170</v>
      </c>
      <c r="E92" s="319">
        <v>75000</v>
      </c>
      <c r="F92" s="213"/>
    </row>
    <row r="93" spans="1:6" ht="21.6" customHeight="1">
      <c r="A93" s="29">
        <v>6</v>
      </c>
      <c r="B93" s="188" t="s">
        <v>336</v>
      </c>
      <c r="C93" s="287" t="s">
        <v>257</v>
      </c>
      <c r="D93" s="214" t="s">
        <v>163</v>
      </c>
      <c r="E93" s="319">
        <v>75000</v>
      </c>
      <c r="F93" s="213"/>
    </row>
    <row r="94" spans="1:6" ht="21.6" customHeight="1">
      <c r="A94" s="29">
        <v>7</v>
      </c>
      <c r="B94" s="188" t="s">
        <v>337</v>
      </c>
      <c r="C94" s="287" t="s">
        <v>257</v>
      </c>
      <c r="D94" s="214" t="s">
        <v>163</v>
      </c>
      <c r="E94" s="319">
        <v>75000</v>
      </c>
      <c r="F94" s="213"/>
    </row>
    <row r="95" spans="1:6" ht="21.6" customHeight="1">
      <c r="A95" s="29">
        <v>8</v>
      </c>
      <c r="B95" s="188" t="s">
        <v>421</v>
      </c>
      <c r="C95" s="155" t="s">
        <v>422</v>
      </c>
      <c r="D95" s="214" t="s">
        <v>369</v>
      </c>
      <c r="E95" s="314">
        <v>45000</v>
      </c>
      <c r="F95" s="213"/>
    </row>
    <row r="96" spans="1:6" ht="21.6" customHeight="1">
      <c r="A96" s="29">
        <v>9</v>
      </c>
      <c r="B96" s="188" t="s">
        <v>436</v>
      </c>
      <c r="C96" s="21" t="s">
        <v>470</v>
      </c>
      <c r="D96" s="29" t="s">
        <v>104</v>
      </c>
      <c r="E96" s="314">
        <v>45000</v>
      </c>
      <c r="F96" s="213"/>
    </row>
    <row r="97" spans="1:6" ht="21.6" customHeight="1">
      <c r="A97" s="29">
        <v>10</v>
      </c>
      <c r="B97" s="188" t="s">
        <v>406</v>
      </c>
      <c r="C97" s="155" t="s">
        <v>432</v>
      </c>
      <c r="D97" s="214" t="s">
        <v>176</v>
      </c>
      <c r="E97" s="314">
        <v>45000</v>
      </c>
      <c r="F97" s="213"/>
    </row>
    <row r="98" spans="1:6" ht="20.100000000000001" customHeight="1">
      <c r="A98" s="29"/>
      <c r="B98" s="191" t="s">
        <v>15</v>
      </c>
      <c r="C98" s="30">
        <v>10</v>
      </c>
      <c r="D98" s="30"/>
      <c r="E98" s="317">
        <f>SUM(E88:E97)</f>
        <v>720000</v>
      </c>
      <c r="F98" s="213"/>
    </row>
    <row r="99" spans="1:6" ht="20.100000000000001" customHeight="1">
      <c r="A99" s="29"/>
      <c r="B99" s="141"/>
      <c r="C99" s="30"/>
      <c r="D99" s="30"/>
      <c r="E99" s="318"/>
      <c r="F99" s="213"/>
    </row>
    <row r="100" spans="1:6" ht="20.100000000000001" customHeight="1">
      <c r="A100" s="29"/>
      <c r="B100" s="191" t="s">
        <v>464</v>
      </c>
      <c r="C100" s="30"/>
      <c r="D100" s="30"/>
      <c r="E100" s="318"/>
      <c r="F100" s="213"/>
    </row>
    <row r="101" spans="1:6" ht="20.100000000000001" customHeight="1">
      <c r="A101" s="29">
        <v>1</v>
      </c>
      <c r="B101" s="189" t="s">
        <v>364</v>
      </c>
      <c r="C101" s="29" t="s">
        <v>343</v>
      </c>
      <c r="D101" s="214" t="s">
        <v>221</v>
      </c>
      <c r="E101" s="314">
        <v>150000</v>
      </c>
      <c r="F101" s="213"/>
    </row>
    <row r="102" spans="1:6" ht="20.100000000000001" customHeight="1">
      <c r="A102" s="29">
        <v>2</v>
      </c>
      <c r="B102" s="188" t="s">
        <v>185</v>
      </c>
      <c r="C102" s="21" t="s">
        <v>373</v>
      </c>
      <c r="D102" s="29" t="s">
        <v>181</v>
      </c>
      <c r="E102" s="314">
        <v>75000</v>
      </c>
      <c r="F102" s="213"/>
    </row>
    <row r="103" spans="1:6" ht="20.100000000000001" customHeight="1">
      <c r="A103" s="29">
        <v>3</v>
      </c>
      <c r="B103" s="188" t="s">
        <v>237</v>
      </c>
      <c r="C103" s="21" t="s">
        <v>483</v>
      </c>
      <c r="D103" s="214" t="s">
        <v>415</v>
      </c>
      <c r="E103" s="314">
        <v>45000</v>
      </c>
      <c r="F103" s="213"/>
    </row>
    <row r="104" spans="1:6" ht="20.100000000000001" customHeight="1">
      <c r="A104" s="29">
        <v>4</v>
      </c>
      <c r="B104" s="188" t="s">
        <v>538</v>
      </c>
      <c r="C104" s="21" t="s">
        <v>539</v>
      </c>
      <c r="D104" s="214" t="s">
        <v>267</v>
      </c>
      <c r="E104" s="314">
        <v>45000</v>
      </c>
      <c r="F104" s="213"/>
    </row>
    <row r="105" spans="1:6" ht="20.100000000000001" customHeight="1">
      <c r="A105" s="21"/>
      <c r="B105" s="191" t="s">
        <v>15</v>
      </c>
      <c r="C105" s="30">
        <v>3</v>
      </c>
      <c r="D105" s="220"/>
      <c r="E105" s="317">
        <f>SUM(E101:E104)</f>
        <v>315000</v>
      </c>
      <c r="F105" s="213"/>
    </row>
    <row r="106" spans="1:6" ht="20.100000000000001" customHeight="1">
      <c r="A106" s="21"/>
      <c r="B106" s="141"/>
      <c r="C106" s="30"/>
      <c r="D106" s="220"/>
      <c r="E106" s="318"/>
      <c r="F106" s="213"/>
    </row>
    <row r="107" spans="1:6" ht="20.100000000000001" customHeight="1">
      <c r="A107" s="21"/>
      <c r="B107" s="191" t="s">
        <v>465</v>
      </c>
      <c r="C107" s="21"/>
      <c r="D107" s="21"/>
      <c r="E107" s="320"/>
      <c r="F107" s="213"/>
    </row>
    <row r="108" spans="1:6" ht="20.100000000000001" customHeight="1">
      <c r="A108" s="21">
        <v>1</v>
      </c>
      <c r="B108" s="188" t="s">
        <v>216</v>
      </c>
      <c r="C108" s="287" t="s">
        <v>217</v>
      </c>
      <c r="D108" s="214" t="s">
        <v>161</v>
      </c>
      <c r="E108" s="314">
        <v>225000</v>
      </c>
      <c r="F108" s="213"/>
    </row>
    <row r="109" spans="1:6" ht="20.100000000000001" customHeight="1">
      <c r="A109" s="21">
        <v>2</v>
      </c>
      <c r="B109" s="188" t="s">
        <v>110</v>
      </c>
      <c r="C109" s="21" t="s">
        <v>259</v>
      </c>
      <c r="D109" s="25" t="s">
        <v>221</v>
      </c>
      <c r="E109" s="314">
        <v>150000</v>
      </c>
      <c r="F109" s="213"/>
    </row>
    <row r="110" spans="1:6" ht="20.100000000000001" customHeight="1">
      <c r="A110" s="21">
        <v>3</v>
      </c>
      <c r="B110" s="188" t="s">
        <v>109</v>
      </c>
      <c r="C110" s="21" t="s">
        <v>311</v>
      </c>
      <c r="D110" s="29" t="s">
        <v>175</v>
      </c>
      <c r="E110" s="314">
        <v>75000</v>
      </c>
      <c r="F110" s="213"/>
    </row>
    <row r="111" spans="1:6" ht="20.100000000000001" customHeight="1">
      <c r="A111" s="21">
        <v>4</v>
      </c>
      <c r="B111" s="188" t="s">
        <v>135</v>
      </c>
      <c r="C111" s="21" t="s">
        <v>311</v>
      </c>
      <c r="D111" s="29" t="s">
        <v>175</v>
      </c>
      <c r="E111" s="314">
        <v>75000</v>
      </c>
      <c r="F111" s="213"/>
    </row>
    <row r="112" spans="1:6" ht="20.100000000000001" customHeight="1">
      <c r="A112" s="21">
        <v>5</v>
      </c>
      <c r="B112" s="188" t="s">
        <v>240</v>
      </c>
      <c r="C112" s="21" t="s">
        <v>338</v>
      </c>
      <c r="D112" s="214" t="s">
        <v>499</v>
      </c>
      <c r="E112" s="314">
        <v>45000</v>
      </c>
      <c r="F112" s="213"/>
    </row>
    <row r="113" spans="1:6" ht="20.100000000000001" customHeight="1">
      <c r="A113" s="21">
        <v>6</v>
      </c>
      <c r="B113" s="189" t="s">
        <v>341</v>
      </c>
      <c r="C113" s="21" t="s">
        <v>338</v>
      </c>
      <c r="D113" s="29" t="s">
        <v>267</v>
      </c>
      <c r="E113" s="314">
        <v>45000</v>
      </c>
      <c r="F113" s="213"/>
    </row>
    <row r="114" spans="1:6" ht="20.100000000000001" customHeight="1">
      <c r="A114" s="21">
        <v>7</v>
      </c>
      <c r="B114" s="189" t="s">
        <v>374</v>
      </c>
      <c r="C114" s="21" t="s">
        <v>338</v>
      </c>
      <c r="D114" s="214" t="s">
        <v>176</v>
      </c>
      <c r="E114" s="314">
        <v>45000</v>
      </c>
      <c r="F114" s="213"/>
    </row>
    <row r="115" spans="1:6" ht="20.100000000000001" customHeight="1">
      <c r="A115" s="21"/>
      <c r="B115" s="191" t="s">
        <v>15</v>
      </c>
      <c r="C115" s="30">
        <v>7</v>
      </c>
      <c r="D115" s="21"/>
      <c r="E115" s="321">
        <f>SUM(E108:E114)</f>
        <v>660000</v>
      </c>
      <c r="F115" s="213"/>
    </row>
    <row r="116" spans="1:6" ht="20.100000000000001" customHeight="1">
      <c r="A116" s="21"/>
      <c r="B116" s="191"/>
      <c r="C116" s="30"/>
      <c r="D116" s="21"/>
      <c r="E116" s="321"/>
      <c r="F116" s="213"/>
    </row>
    <row r="117" spans="1:6" ht="48.75" customHeight="1">
      <c r="A117" s="29"/>
      <c r="B117" s="191" t="s">
        <v>545</v>
      </c>
      <c r="C117" s="30"/>
      <c r="D117" s="30"/>
      <c r="E117" s="321"/>
      <c r="F117" s="213"/>
    </row>
    <row r="118" spans="1:6" ht="27" customHeight="1">
      <c r="A118" s="29">
        <v>1</v>
      </c>
      <c r="B118" s="188" t="s">
        <v>182</v>
      </c>
      <c r="C118" s="155" t="s">
        <v>422</v>
      </c>
      <c r="D118" s="214" t="s">
        <v>497</v>
      </c>
      <c r="E118" s="314">
        <v>45000</v>
      </c>
      <c r="F118" s="213"/>
    </row>
    <row r="119" spans="1:6" ht="27" customHeight="1">
      <c r="A119" s="29">
        <v>2</v>
      </c>
      <c r="B119" s="188" t="s">
        <v>247</v>
      </c>
      <c r="C119" s="21" t="s">
        <v>477</v>
      </c>
      <c r="D119" s="214" t="s">
        <v>415</v>
      </c>
      <c r="E119" s="314">
        <v>45000</v>
      </c>
      <c r="F119" s="213"/>
    </row>
    <row r="120" spans="1:6" ht="27" customHeight="1">
      <c r="A120" s="21"/>
      <c r="B120" s="191" t="s">
        <v>15</v>
      </c>
      <c r="C120" s="30">
        <v>2</v>
      </c>
      <c r="D120" s="220"/>
      <c r="E120" s="321">
        <f>SUM(E118:E119)</f>
        <v>90000</v>
      </c>
      <c r="F120" s="213"/>
    </row>
    <row r="121" spans="1:6" ht="20.100000000000001" customHeight="1">
      <c r="A121" s="21"/>
      <c r="B121" s="141"/>
      <c r="C121" s="29"/>
      <c r="D121" s="21"/>
      <c r="E121" s="322"/>
      <c r="F121" s="213"/>
    </row>
    <row r="122" spans="1:6" ht="20.100000000000001" customHeight="1">
      <c r="A122" s="21"/>
      <c r="B122" s="191" t="s">
        <v>466</v>
      </c>
      <c r="C122" s="30"/>
      <c r="D122" s="30"/>
      <c r="E122" s="314"/>
      <c r="F122" s="213"/>
    </row>
    <row r="123" spans="1:6" ht="20.100000000000001" customHeight="1">
      <c r="A123" s="21">
        <v>1</v>
      </c>
      <c r="B123" s="188" t="s">
        <v>20</v>
      </c>
      <c r="C123" s="287" t="s">
        <v>250</v>
      </c>
      <c r="D123" s="214" t="s">
        <v>161</v>
      </c>
      <c r="E123" s="314">
        <v>225000</v>
      </c>
      <c r="F123" s="213"/>
    </row>
    <row r="124" spans="1:6" ht="20.100000000000001" customHeight="1">
      <c r="A124" s="21">
        <v>2</v>
      </c>
      <c r="B124" s="188" t="s">
        <v>153</v>
      </c>
      <c r="C124" s="287" t="s">
        <v>376</v>
      </c>
      <c r="D124" s="214" t="s">
        <v>75</v>
      </c>
      <c r="E124" s="314">
        <v>105000</v>
      </c>
      <c r="F124" s="213"/>
    </row>
    <row r="125" spans="1:6" ht="20.100000000000001" customHeight="1">
      <c r="A125" s="21">
        <v>3</v>
      </c>
      <c r="B125" s="190" t="s">
        <v>142</v>
      </c>
      <c r="C125" s="287" t="s">
        <v>376</v>
      </c>
      <c r="D125" s="214" t="s">
        <v>75</v>
      </c>
      <c r="E125" s="314">
        <v>105000</v>
      </c>
      <c r="F125" s="213"/>
    </row>
    <row r="126" spans="1:6" ht="20.100000000000001" customHeight="1">
      <c r="A126" s="21">
        <v>4</v>
      </c>
      <c r="B126" s="190" t="s">
        <v>363</v>
      </c>
      <c r="C126" s="287" t="s">
        <v>376</v>
      </c>
      <c r="D126" s="214" t="s">
        <v>30</v>
      </c>
      <c r="E126" s="314">
        <v>105000</v>
      </c>
      <c r="F126" s="213"/>
    </row>
    <row r="127" spans="1:6" ht="20.100000000000001" customHeight="1">
      <c r="A127" s="21">
        <v>5</v>
      </c>
      <c r="B127" s="188" t="s">
        <v>108</v>
      </c>
      <c r="C127" s="287" t="s">
        <v>476</v>
      </c>
      <c r="D127" s="214" t="s">
        <v>162</v>
      </c>
      <c r="E127" s="314">
        <v>75000</v>
      </c>
      <c r="F127" s="213"/>
    </row>
    <row r="128" spans="1:6" ht="20.100000000000001" customHeight="1">
      <c r="A128" s="21">
        <v>6</v>
      </c>
      <c r="B128" s="188" t="s">
        <v>178</v>
      </c>
      <c r="C128" s="287" t="s">
        <v>382</v>
      </c>
      <c r="D128" s="214" t="s">
        <v>170</v>
      </c>
      <c r="E128" s="314">
        <v>75000</v>
      </c>
      <c r="F128" s="213"/>
    </row>
    <row r="129" spans="1:6" ht="20.100000000000001" customHeight="1">
      <c r="A129" s="21">
        <v>7</v>
      </c>
      <c r="B129" s="188" t="s">
        <v>134</v>
      </c>
      <c r="C129" s="287" t="s">
        <v>384</v>
      </c>
      <c r="D129" s="214" t="s">
        <v>170</v>
      </c>
      <c r="E129" s="314">
        <v>75000</v>
      </c>
      <c r="F129" s="213"/>
    </row>
    <row r="130" spans="1:6" ht="20.100000000000001" customHeight="1">
      <c r="A130" s="21">
        <v>8</v>
      </c>
      <c r="B130" s="188" t="s">
        <v>443</v>
      </c>
      <c r="C130" s="287" t="s">
        <v>447</v>
      </c>
      <c r="D130" s="29" t="s">
        <v>498</v>
      </c>
      <c r="E130" s="314">
        <v>45000</v>
      </c>
      <c r="F130" s="213"/>
    </row>
    <row r="131" spans="1:6" ht="20.100000000000001" customHeight="1">
      <c r="A131" s="21">
        <v>9</v>
      </c>
      <c r="B131" s="189" t="s">
        <v>439</v>
      </c>
      <c r="C131" s="287" t="s">
        <v>440</v>
      </c>
      <c r="D131" s="214" t="s">
        <v>176</v>
      </c>
      <c r="E131" s="314">
        <v>45000</v>
      </c>
      <c r="F131" s="213"/>
    </row>
    <row r="132" spans="1:6" ht="20.100000000000001" customHeight="1">
      <c r="A132" s="21"/>
      <c r="B132" s="191" t="s">
        <v>15</v>
      </c>
      <c r="C132" s="220" t="s">
        <v>377</v>
      </c>
      <c r="D132" s="214"/>
      <c r="E132" s="323">
        <f>SUM(E123:E131)</f>
        <v>855000</v>
      </c>
      <c r="F132" s="213"/>
    </row>
    <row r="133" spans="1:6" ht="20.100000000000001" customHeight="1">
      <c r="A133" s="21"/>
      <c r="B133" s="141"/>
      <c r="C133" s="220"/>
      <c r="D133" s="214"/>
      <c r="E133" s="324"/>
      <c r="F133" s="213"/>
    </row>
    <row r="134" spans="1:6" ht="20.100000000000001" customHeight="1">
      <c r="A134" s="21"/>
      <c r="B134" s="191" t="s">
        <v>467</v>
      </c>
      <c r="C134" s="287"/>
      <c r="D134" s="214"/>
      <c r="E134" s="314"/>
      <c r="F134" s="213"/>
    </row>
    <row r="135" spans="1:6" ht="20.100000000000001" customHeight="1">
      <c r="A135" s="224">
        <v>1</v>
      </c>
      <c r="B135" s="188" t="s">
        <v>21</v>
      </c>
      <c r="C135" s="287" t="s">
        <v>393</v>
      </c>
      <c r="D135" s="214" t="s">
        <v>161</v>
      </c>
      <c r="E135" s="314">
        <v>225000</v>
      </c>
      <c r="F135" s="213"/>
    </row>
    <row r="136" spans="1:6" ht="20.100000000000001" customHeight="1">
      <c r="A136" s="224">
        <v>2</v>
      </c>
      <c r="B136" s="188" t="s">
        <v>107</v>
      </c>
      <c r="C136" s="287" t="s">
        <v>394</v>
      </c>
      <c r="D136" s="214" t="s">
        <v>160</v>
      </c>
      <c r="E136" s="314">
        <v>150000</v>
      </c>
      <c r="F136" s="213"/>
    </row>
    <row r="137" spans="1:6" ht="20.100000000000001" customHeight="1">
      <c r="A137" s="224">
        <v>3</v>
      </c>
      <c r="B137" s="190" t="s">
        <v>183</v>
      </c>
      <c r="C137" s="21" t="s">
        <v>486</v>
      </c>
      <c r="D137" s="25" t="s">
        <v>221</v>
      </c>
      <c r="E137" s="314">
        <v>150000</v>
      </c>
      <c r="F137" s="213"/>
    </row>
    <row r="138" spans="1:6" ht="20.100000000000001" customHeight="1">
      <c r="A138" s="224">
        <v>4</v>
      </c>
      <c r="B138" s="188" t="s">
        <v>106</v>
      </c>
      <c r="C138" s="287" t="s">
        <v>381</v>
      </c>
      <c r="D138" s="214" t="s">
        <v>181</v>
      </c>
      <c r="E138" s="314">
        <v>75000</v>
      </c>
      <c r="F138" s="213"/>
    </row>
    <row r="139" spans="1:6" ht="20.100000000000001" customHeight="1">
      <c r="A139" s="224">
        <v>5</v>
      </c>
      <c r="B139" s="188" t="s">
        <v>7</v>
      </c>
      <c r="C139" s="21" t="s">
        <v>385</v>
      </c>
      <c r="D139" s="214" t="s">
        <v>181</v>
      </c>
      <c r="E139" s="314">
        <v>75000</v>
      </c>
      <c r="F139" s="213"/>
    </row>
    <row r="140" spans="1:6" ht="20.100000000000001" customHeight="1">
      <c r="A140" s="224">
        <v>6</v>
      </c>
      <c r="B140" s="188" t="s">
        <v>124</v>
      </c>
      <c r="C140" s="21" t="s">
        <v>235</v>
      </c>
      <c r="D140" s="214" t="s">
        <v>170</v>
      </c>
      <c r="E140" s="314">
        <v>75000</v>
      </c>
      <c r="F140" s="213"/>
    </row>
    <row r="141" spans="1:6" ht="20.100000000000001" customHeight="1">
      <c r="A141" s="224">
        <v>7</v>
      </c>
      <c r="B141" s="188" t="s">
        <v>102</v>
      </c>
      <c r="C141" s="287" t="s">
        <v>395</v>
      </c>
      <c r="D141" s="214" t="s">
        <v>497</v>
      </c>
      <c r="E141" s="314">
        <v>45000</v>
      </c>
      <c r="F141" s="213"/>
    </row>
    <row r="142" spans="1:6" ht="20.100000000000001" customHeight="1">
      <c r="A142" s="224">
        <v>8</v>
      </c>
      <c r="B142" s="188" t="s">
        <v>103</v>
      </c>
      <c r="C142" s="287" t="s">
        <v>395</v>
      </c>
      <c r="D142" s="214" t="s">
        <v>497</v>
      </c>
      <c r="E142" s="314">
        <v>45000</v>
      </c>
      <c r="F142" s="213"/>
    </row>
    <row r="143" spans="1:6" ht="20.100000000000001" customHeight="1">
      <c r="A143" s="224">
        <v>9</v>
      </c>
      <c r="B143" s="188" t="s">
        <v>151</v>
      </c>
      <c r="C143" s="21" t="s">
        <v>235</v>
      </c>
      <c r="D143" s="214" t="s">
        <v>497</v>
      </c>
      <c r="E143" s="314">
        <v>45000</v>
      </c>
      <c r="F143" s="213"/>
    </row>
    <row r="144" spans="1:6" ht="20.100000000000001" customHeight="1">
      <c r="A144" s="224">
        <v>10</v>
      </c>
      <c r="B144" s="188" t="s">
        <v>238</v>
      </c>
      <c r="C144" s="287" t="s">
        <v>479</v>
      </c>
      <c r="D144" s="214" t="s">
        <v>415</v>
      </c>
      <c r="E144" s="314">
        <v>45000</v>
      </c>
      <c r="F144" s="213"/>
    </row>
    <row r="145" spans="1:6" ht="20.100000000000001" customHeight="1">
      <c r="A145" s="224">
        <v>11</v>
      </c>
      <c r="B145" s="188" t="s">
        <v>53</v>
      </c>
      <c r="C145" s="287" t="s">
        <v>300</v>
      </c>
      <c r="D145" s="214" t="s">
        <v>27</v>
      </c>
      <c r="E145" s="314">
        <v>45000</v>
      </c>
      <c r="F145" s="213"/>
    </row>
    <row r="146" spans="1:6" ht="20.100000000000001" customHeight="1">
      <c r="A146" s="224">
        <v>12</v>
      </c>
      <c r="B146" s="188" t="s">
        <v>179</v>
      </c>
      <c r="C146" s="287" t="s">
        <v>479</v>
      </c>
      <c r="D146" s="214" t="s">
        <v>497</v>
      </c>
      <c r="E146" s="314">
        <v>45000</v>
      </c>
      <c r="F146" s="213"/>
    </row>
    <row r="147" spans="1:6" ht="20.100000000000001" customHeight="1">
      <c r="A147" s="224">
        <v>13</v>
      </c>
      <c r="B147" s="189" t="s">
        <v>293</v>
      </c>
      <c r="C147" s="21" t="s">
        <v>438</v>
      </c>
      <c r="D147" s="214" t="s">
        <v>27</v>
      </c>
      <c r="E147" s="314">
        <v>45000</v>
      </c>
      <c r="F147" s="213"/>
    </row>
    <row r="148" spans="1:6" ht="20.100000000000001" customHeight="1">
      <c r="A148" s="224">
        <v>14</v>
      </c>
      <c r="B148" s="188" t="s">
        <v>488</v>
      </c>
      <c r="C148" s="21" t="s">
        <v>239</v>
      </c>
      <c r="D148" s="214" t="s">
        <v>207</v>
      </c>
      <c r="E148" s="314">
        <v>45000</v>
      </c>
      <c r="F148" s="213"/>
    </row>
    <row r="149" spans="1:6" ht="20.100000000000001" customHeight="1">
      <c r="A149" s="224">
        <v>15</v>
      </c>
      <c r="B149" s="188" t="s">
        <v>489</v>
      </c>
      <c r="C149" s="21" t="s">
        <v>239</v>
      </c>
      <c r="D149" s="214" t="s">
        <v>164</v>
      </c>
      <c r="E149" s="314">
        <v>45000</v>
      </c>
      <c r="F149" s="213"/>
    </row>
    <row r="150" spans="1:6" ht="20.100000000000001" customHeight="1">
      <c r="A150" s="224">
        <v>16</v>
      </c>
      <c r="B150" s="188" t="s">
        <v>212</v>
      </c>
      <c r="C150" s="21" t="s">
        <v>239</v>
      </c>
      <c r="D150" s="214" t="s">
        <v>164</v>
      </c>
      <c r="E150" s="314">
        <v>45000</v>
      </c>
      <c r="F150" s="213"/>
    </row>
    <row r="151" spans="1:6" ht="20.100000000000001" customHeight="1">
      <c r="A151" s="224">
        <v>17</v>
      </c>
      <c r="B151" s="188" t="s">
        <v>425</v>
      </c>
      <c r="C151" s="287" t="s">
        <v>430</v>
      </c>
      <c r="D151" s="214" t="s">
        <v>104</v>
      </c>
      <c r="E151" s="314">
        <v>45000</v>
      </c>
      <c r="F151" s="213"/>
    </row>
    <row r="152" spans="1:6" ht="20.100000000000001" customHeight="1">
      <c r="A152" s="224">
        <v>18</v>
      </c>
      <c r="B152" s="188" t="s">
        <v>437</v>
      </c>
      <c r="C152" s="287" t="s">
        <v>438</v>
      </c>
      <c r="D152" s="29" t="s">
        <v>428</v>
      </c>
      <c r="E152" s="314">
        <v>45000</v>
      </c>
      <c r="F152" s="213"/>
    </row>
    <row r="153" spans="1:6" ht="20.100000000000001" customHeight="1">
      <c r="A153" s="224">
        <v>19</v>
      </c>
      <c r="B153" s="188" t="s">
        <v>230</v>
      </c>
      <c r="C153" s="287" t="s">
        <v>485</v>
      </c>
      <c r="D153" s="214" t="s">
        <v>207</v>
      </c>
      <c r="E153" s="314">
        <v>45000</v>
      </c>
      <c r="F153" s="213"/>
    </row>
    <row r="154" spans="1:6" ht="20.100000000000001" customHeight="1">
      <c r="A154" s="224">
        <v>20</v>
      </c>
      <c r="B154" s="188" t="s">
        <v>57</v>
      </c>
      <c r="C154" s="287" t="s">
        <v>481</v>
      </c>
      <c r="D154" s="214" t="s">
        <v>498</v>
      </c>
      <c r="E154" s="314">
        <v>45000</v>
      </c>
      <c r="F154" s="213"/>
    </row>
    <row r="155" spans="1:6" ht="20.100000000000001" customHeight="1">
      <c r="A155" s="224">
        <v>21</v>
      </c>
      <c r="B155" s="188" t="s">
        <v>251</v>
      </c>
      <c r="C155" s="287" t="s">
        <v>482</v>
      </c>
      <c r="D155" s="214" t="s">
        <v>207</v>
      </c>
      <c r="E155" s="314">
        <v>45000</v>
      </c>
      <c r="F155" s="213"/>
    </row>
    <row r="156" spans="1:6" ht="20.100000000000001" customHeight="1">
      <c r="A156" s="224">
        <v>22</v>
      </c>
      <c r="B156" s="188" t="s">
        <v>241</v>
      </c>
      <c r="C156" s="287" t="s">
        <v>348</v>
      </c>
      <c r="D156" s="214" t="s">
        <v>498</v>
      </c>
      <c r="E156" s="314">
        <v>45000</v>
      </c>
      <c r="F156" s="213"/>
    </row>
    <row r="157" spans="1:6" ht="20.100000000000001" customHeight="1">
      <c r="A157" s="224">
        <v>23</v>
      </c>
      <c r="B157" s="189" t="s">
        <v>289</v>
      </c>
      <c r="C157" s="287" t="s">
        <v>290</v>
      </c>
      <c r="D157" s="214" t="s">
        <v>267</v>
      </c>
      <c r="E157" s="314">
        <v>45000</v>
      </c>
      <c r="F157" s="213"/>
    </row>
    <row r="158" spans="1:6" ht="20.100000000000001" customHeight="1">
      <c r="A158" s="224">
        <v>24</v>
      </c>
      <c r="B158" s="189" t="s">
        <v>407</v>
      </c>
      <c r="C158" s="287" t="s">
        <v>131</v>
      </c>
      <c r="D158" s="214" t="s">
        <v>105</v>
      </c>
      <c r="E158" s="314">
        <v>45000</v>
      </c>
      <c r="F158" s="213"/>
    </row>
    <row r="159" spans="1:6" ht="20.100000000000001" customHeight="1">
      <c r="A159" s="224">
        <v>25</v>
      </c>
      <c r="B159" s="189" t="s">
        <v>426</v>
      </c>
      <c r="C159" s="287" t="s">
        <v>290</v>
      </c>
      <c r="D159" s="214" t="s">
        <v>105</v>
      </c>
      <c r="E159" s="314">
        <v>45000</v>
      </c>
      <c r="F159" s="213"/>
    </row>
    <row r="160" spans="1:6" ht="20.100000000000001" customHeight="1">
      <c r="A160" s="224">
        <v>26</v>
      </c>
      <c r="B160" s="189" t="s">
        <v>441</v>
      </c>
      <c r="C160" s="287" t="s">
        <v>442</v>
      </c>
      <c r="D160" s="214" t="s">
        <v>176</v>
      </c>
      <c r="E160" s="314">
        <v>45000</v>
      </c>
      <c r="F160" s="213"/>
    </row>
    <row r="161" spans="1:6" ht="20.100000000000001" customHeight="1">
      <c r="A161" s="224">
        <v>27</v>
      </c>
      <c r="B161" s="189" t="s">
        <v>445</v>
      </c>
      <c r="C161" s="287" t="s">
        <v>446</v>
      </c>
      <c r="D161" s="214" t="s">
        <v>176</v>
      </c>
      <c r="E161" s="314">
        <v>45000</v>
      </c>
      <c r="F161" s="213"/>
    </row>
    <row r="162" spans="1:6" ht="20.100000000000001" customHeight="1">
      <c r="A162" s="224">
        <v>28</v>
      </c>
      <c r="B162" s="188" t="s">
        <v>22</v>
      </c>
      <c r="C162" s="287" t="s">
        <v>302</v>
      </c>
      <c r="D162" s="214" t="s">
        <v>501</v>
      </c>
      <c r="E162" s="314">
        <v>30000</v>
      </c>
      <c r="F162" s="213"/>
    </row>
    <row r="163" spans="1:6" ht="20.100000000000001" customHeight="1">
      <c r="A163" s="224">
        <v>29</v>
      </c>
      <c r="B163" s="188" t="s">
        <v>14</v>
      </c>
      <c r="C163" s="287" t="s">
        <v>302</v>
      </c>
      <c r="D163" s="214" t="s">
        <v>501</v>
      </c>
      <c r="E163" s="314">
        <v>30000</v>
      </c>
      <c r="F163" s="213"/>
    </row>
    <row r="164" spans="1:6" ht="20.100000000000001" customHeight="1">
      <c r="A164" s="224">
        <v>30</v>
      </c>
      <c r="B164" s="188" t="s">
        <v>23</v>
      </c>
      <c r="C164" s="287" t="s">
        <v>302</v>
      </c>
      <c r="D164" s="214" t="s">
        <v>501</v>
      </c>
      <c r="E164" s="314">
        <v>30000</v>
      </c>
      <c r="F164" s="213"/>
    </row>
    <row r="165" spans="1:6" ht="20.100000000000001" customHeight="1">
      <c r="A165" s="224">
        <v>32</v>
      </c>
      <c r="B165" s="188" t="s">
        <v>39</v>
      </c>
      <c r="C165" s="287" t="s">
        <v>302</v>
      </c>
      <c r="D165" s="214" t="s">
        <v>501</v>
      </c>
      <c r="E165" s="314">
        <v>30000</v>
      </c>
      <c r="F165" s="213"/>
    </row>
    <row r="166" spans="1:6" ht="20.100000000000001" customHeight="1">
      <c r="A166" s="224">
        <v>33</v>
      </c>
      <c r="B166" s="188" t="s">
        <v>40</v>
      </c>
      <c r="C166" s="287" t="s">
        <v>302</v>
      </c>
      <c r="D166" s="214" t="s">
        <v>501</v>
      </c>
      <c r="E166" s="314">
        <v>30000</v>
      </c>
      <c r="F166" s="213"/>
    </row>
    <row r="167" spans="1:6" ht="20.100000000000001" customHeight="1">
      <c r="A167" s="224">
        <v>34</v>
      </c>
      <c r="B167" s="188" t="s">
        <v>127</v>
      </c>
      <c r="C167" s="287" t="s">
        <v>302</v>
      </c>
      <c r="D167" s="214" t="s">
        <v>416</v>
      </c>
      <c r="E167" s="314">
        <v>30000</v>
      </c>
      <c r="F167" s="213"/>
    </row>
    <row r="168" spans="1:6" ht="20.100000000000001" customHeight="1">
      <c r="A168" s="224">
        <v>35</v>
      </c>
      <c r="B168" s="188" t="s">
        <v>128</v>
      </c>
      <c r="C168" s="287" t="s">
        <v>302</v>
      </c>
      <c r="D168" s="214" t="s">
        <v>416</v>
      </c>
      <c r="E168" s="314">
        <v>30000</v>
      </c>
      <c r="F168" s="213"/>
    </row>
    <row r="169" spans="1:6" ht="20.100000000000001" customHeight="1">
      <c r="A169" s="224">
        <v>36</v>
      </c>
      <c r="B169" s="190" t="s">
        <v>136</v>
      </c>
      <c r="C169" s="287" t="s">
        <v>302</v>
      </c>
      <c r="D169" s="214" t="s">
        <v>416</v>
      </c>
      <c r="E169" s="314">
        <v>30000</v>
      </c>
      <c r="F169" s="213"/>
    </row>
    <row r="170" spans="1:6" ht="20.100000000000001" customHeight="1">
      <c r="A170" s="224">
        <v>37</v>
      </c>
      <c r="B170" s="188" t="s">
        <v>140</v>
      </c>
      <c r="C170" s="287" t="s">
        <v>302</v>
      </c>
      <c r="D170" s="214" t="s">
        <v>416</v>
      </c>
      <c r="E170" s="314">
        <v>30000</v>
      </c>
      <c r="F170" s="213"/>
    </row>
    <row r="171" spans="1:6" ht="20.100000000000001" customHeight="1">
      <c r="A171" s="224">
        <v>38</v>
      </c>
      <c r="B171" s="189" t="s">
        <v>152</v>
      </c>
      <c r="C171" s="287" t="s">
        <v>302</v>
      </c>
      <c r="D171" s="214" t="s">
        <v>416</v>
      </c>
      <c r="E171" s="314">
        <v>30000</v>
      </c>
      <c r="F171" s="213"/>
    </row>
    <row r="172" spans="1:6" ht="20.100000000000001" customHeight="1">
      <c r="A172" s="224">
        <v>39</v>
      </c>
      <c r="B172" s="189" t="s">
        <v>132</v>
      </c>
      <c r="C172" s="287" t="s">
        <v>302</v>
      </c>
      <c r="D172" s="214" t="s">
        <v>416</v>
      </c>
      <c r="E172" s="314">
        <v>30000</v>
      </c>
      <c r="F172" s="213"/>
    </row>
    <row r="173" spans="1:6" ht="20.100000000000001" customHeight="1">
      <c r="A173" s="224">
        <v>40</v>
      </c>
      <c r="B173" s="188" t="s">
        <v>231</v>
      </c>
      <c r="C173" s="287" t="s">
        <v>167</v>
      </c>
      <c r="D173" s="214" t="s">
        <v>263</v>
      </c>
      <c r="E173" s="314">
        <v>30000</v>
      </c>
      <c r="F173" s="213"/>
    </row>
    <row r="174" spans="1:6" ht="20.100000000000001" customHeight="1">
      <c r="A174" s="224">
        <v>41</v>
      </c>
      <c r="B174" s="188" t="s">
        <v>246</v>
      </c>
      <c r="C174" s="287" t="s">
        <v>167</v>
      </c>
      <c r="D174" s="214" t="s">
        <v>263</v>
      </c>
      <c r="E174" s="314">
        <v>30000</v>
      </c>
      <c r="F174" s="213"/>
    </row>
    <row r="175" spans="1:6" ht="20.100000000000001" customHeight="1">
      <c r="A175" s="224">
        <v>42</v>
      </c>
      <c r="B175" s="189" t="s">
        <v>166</v>
      </c>
      <c r="C175" s="287" t="s">
        <v>167</v>
      </c>
      <c r="D175" s="214" t="s">
        <v>223</v>
      </c>
      <c r="E175" s="314">
        <v>30000</v>
      </c>
      <c r="F175" s="213"/>
    </row>
    <row r="176" spans="1:6" ht="20.100000000000001" customHeight="1">
      <c r="A176" s="224">
        <v>43</v>
      </c>
      <c r="B176" s="188" t="s">
        <v>204</v>
      </c>
      <c r="C176" s="287" t="s">
        <v>167</v>
      </c>
      <c r="D176" s="214" t="s">
        <v>177</v>
      </c>
      <c r="E176" s="314">
        <v>30000</v>
      </c>
      <c r="F176" s="213"/>
    </row>
    <row r="177" spans="1:6" ht="20.100000000000001" customHeight="1">
      <c r="A177" s="224">
        <v>44</v>
      </c>
      <c r="B177" s="188" t="s">
        <v>209</v>
      </c>
      <c r="C177" s="287" t="s">
        <v>13</v>
      </c>
      <c r="D177" s="214" t="s">
        <v>502</v>
      </c>
      <c r="E177" s="314">
        <v>30000</v>
      </c>
      <c r="F177" s="213"/>
    </row>
    <row r="178" spans="1:6" ht="20.100000000000001" customHeight="1">
      <c r="A178" s="224">
        <v>45</v>
      </c>
      <c r="B178" s="188" t="s">
        <v>218</v>
      </c>
      <c r="C178" s="287" t="s">
        <v>13</v>
      </c>
      <c r="D178" s="214" t="s">
        <v>502</v>
      </c>
      <c r="E178" s="314">
        <v>30000</v>
      </c>
      <c r="F178" s="213"/>
    </row>
    <row r="179" spans="1:6" ht="20.100000000000001" customHeight="1">
      <c r="A179" s="224">
        <v>46</v>
      </c>
      <c r="B179" s="188" t="s">
        <v>219</v>
      </c>
      <c r="C179" s="287" t="s">
        <v>13</v>
      </c>
      <c r="D179" s="214" t="s">
        <v>502</v>
      </c>
      <c r="E179" s="314">
        <v>30000</v>
      </c>
      <c r="F179" s="213"/>
    </row>
    <row r="180" spans="1:6" ht="20.100000000000001" customHeight="1">
      <c r="A180" s="224">
        <v>47</v>
      </c>
      <c r="B180" s="188" t="s">
        <v>211</v>
      </c>
      <c r="C180" s="287" t="s">
        <v>13</v>
      </c>
      <c r="D180" s="214" t="s">
        <v>502</v>
      </c>
      <c r="E180" s="314">
        <v>30000</v>
      </c>
      <c r="F180" s="213"/>
    </row>
    <row r="181" spans="1:6" ht="20.100000000000001" customHeight="1">
      <c r="A181" s="224">
        <v>48</v>
      </c>
      <c r="B181" s="188" t="s">
        <v>213</v>
      </c>
      <c r="C181" s="287" t="s">
        <v>13</v>
      </c>
      <c r="D181" s="214" t="s">
        <v>502</v>
      </c>
      <c r="E181" s="314">
        <v>30000</v>
      </c>
      <c r="F181" s="213"/>
    </row>
    <row r="182" spans="1:6" ht="20.100000000000001" customHeight="1">
      <c r="A182" s="224">
        <v>49</v>
      </c>
      <c r="B182" s="189" t="s">
        <v>342</v>
      </c>
      <c r="C182" s="287" t="s">
        <v>13</v>
      </c>
      <c r="D182" s="214" t="s">
        <v>502</v>
      </c>
      <c r="E182" s="314">
        <v>30000</v>
      </c>
      <c r="F182" s="213"/>
    </row>
    <row r="183" spans="1:6" ht="20.100000000000001" customHeight="1">
      <c r="A183" s="224">
        <v>50</v>
      </c>
      <c r="B183" s="189" t="s">
        <v>405</v>
      </c>
      <c r="C183" s="287" t="s">
        <v>13</v>
      </c>
      <c r="D183" s="214" t="s">
        <v>502</v>
      </c>
      <c r="E183" s="314">
        <v>30000</v>
      </c>
      <c r="F183" s="213"/>
    </row>
    <row r="184" spans="1:6" ht="20.100000000000001" customHeight="1">
      <c r="A184" s="224">
        <v>51</v>
      </c>
      <c r="B184" s="188" t="s">
        <v>232</v>
      </c>
      <c r="C184" s="287" t="s">
        <v>167</v>
      </c>
      <c r="D184" s="214" t="s">
        <v>502</v>
      </c>
      <c r="E184" s="314">
        <v>30000</v>
      </c>
      <c r="F184" s="213"/>
    </row>
    <row r="185" spans="1:6" ht="20.100000000000001" customHeight="1">
      <c r="A185" s="224">
        <v>52</v>
      </c>
      <c r="B185" s="188" t="s">
        <v>233</v>
      </c>
      <c r="C185" s="287" t="s">
        <v>167</v>
      </c>
      <c r="D185" s="214" t="s">
        <v>502</v>
      </c>
      <c r="E185" s="314">
        <v>30000</v>
      </c>
      <c r="F185" s="213"/>
    </row>
    <row r="186" spans="1:6" ht="20.100000000000001" customHeight="1">
      <c r="A186" s="224">
        <v>53</v>
      </c>
      <c r="B186" s="189" t="s">
        <v>279</v>
      </c>
      <c r="C186" s="287" t="s">
        <v>13</v>
      </c>
      <c r="D186" s="214" t="s">
        <v>503</v>
      </c>
      <c r="E186" s="314">
        <v>30000</v>
      </c>
      <c r="F186" s="213"/>
    </row>
    <row r="187" spans="1:6" ht="20.100000000000001" customHeight="1">
      <c r="A187" s="224">
        <v>54</v>
      </c>
      <c r="B187" s="189" t="s">
        <v>403</v>
      </c>
      <c r="C187" s="287" t="s">
        <v>13</v>
      </c>
      <c r="D187" s="214" t="s">
        <v>264</v>
      </c>
      <c r="E187" s="314">
        <v>30000</v>
      </c>
      <c r="F187" s="213"/>
    </row>
    <row r="188" spans="1:6" ht="20.100000000000001" customHeight="1">
      <c r="A188" s="224"/>
      <c r="B188" s="210" t="s">
        <v>15</v>
      </c>
      <c r="C188" s="226" t="s">
        <v>544</v>
      </c>
      <c r="D188" s="23"/>
      <c r="E188" s="325">
        <f>SUM(E135:E187)</f>
        <v>2475000</v>
      </c>
      <c r="F188" s="213"/>
    </row>
    <row r="189" spans="1:6" ht="9" customHeight="1">
      <c r="A189" s="224"/>
      <c r="B189" s="210"/>
      <c r="C189" s="226"/>
      <c r="D189" s="23"/>
      <c r="E189" s="325"/>
      <c r="F189" s="213"/>
    </row>
    <row r="190" spans="1:6" ht="30" customHeight="1">
      <c r="A190" s="21"/>
      <c r="B190" s="304" t="s">
        <v>8</v>
      </c>
      <c r="C190" s="305">
        <f>C36+C41+C56+C61+C77+C85+C98+C105+C115+C132+C188</f>
        <v>146</v>
      </c>
      <c r="D190" s="306"/>
      <c r="E190" s="307">
        <f>E188+E132+E120+E115+E105+E98+E85+E77+E61+E56+E41+E36</f>
        <v>11040000</v>
      </c>
      <c r="F190" s="213"/>
    </row>
    <row r="191" spans="1:6" ht="20.100000000000001" customHeight="1">
      <c r="A191" s="202"/>
      <c r="B191" s="231"/>
      <c r="C191" s="202"/>
      <c r="D191" s="232"/>
      <c r="E191" s="283"/>
      <c r="F191" s="235"/>
    </row>
    <row r="192" spans="1:6" ht="65.25" customHeight="1">
      <c r="A192" s="202"/>
      <c r="B192" s="231"/>
      <c r="C192" s="232"/>
      <c r="D192" s="232"/>
      <c r="E192" s="284"/>
      <c r="F192" s="327">
        <f>'[7]Sallah Welfare June 2023 '!$D$73</f>
        <v>2842500</v>
      </c>
    </row>
    <row r="193" spans="6:6" ht="20.100000000000001" customHeight="1">
      <c r="F193" s="327">
        <v>830000</v>
      </c>
    </row>
    <row r="194" spans="6:6" ht="20.100000000000001" customHeight="1">
      <c r="F194" s="327">
        <f>E190</f>
        <v>11040000</v>
      </c>
    </row>
    <row r="195" spans="6:6" ht="20.100000000000001" customHeight="1">
      <c r="F195" s="327">
        <f>SUM(F192:F194)</f>
        <v>14712500</v>
      </c>
    </row>
  </sheetData>
  <pageMargins left="0.23622047244094491" right="0.23622047244094491" top="0.98425196850393704" bottom="0.98425196850393704" header="0.51181102362204722" footer="0.51181102362204722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4"/>
  <sheetViews>
    <sheetView view="pageBreakPreview"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169" sqref="F169"/>
    </sheetView>
  </sheetViews>
  <sheetFormatPr defaultColWidth="9.140625" defaultRowHeight="20.100000000000001" customHeight="1"/>
  <cols>
    <col min="1" max="1" width="5.42578125" style="196" customWidth="1"/>
    <col min="2" max="2" width="44.5703125" style="196" customWidth="1"/>
    <col min="3" max="3" width="37.5703125" style="196" customWidth="1"/>
    <col min="4" max="4" width="12.42578125" style="196" customWidth="1"/>
    <col min="5" max="5" width="21.5703125" style="196" customWidth="1"/>
    <col min="6" max="6" width="21.7109375" style="196" customWidth="1"/>
    <col min="7" max="10" width="9.140625" style="196"/>
    <col min="11" max="11" width="8.42578125" style="196" customWidth="1"/>
    <col min="12" max="16384" width="9.140625" style="196"/>
  </cols>
  <sheetData>
    <row r="1" spans="1:6" ht="27" customHeight="1">
      <c r="A1" s="308" t="s">
        <v>234</v>
      </c>
      <c r="B1" s="308"/>
      <c r="C1" s="308"/>
      <c r="D1" s="308"/>
      <c r="E1" s="308"/>
    </row>
    <row r="2" spans="1:6" ht="33.75" customHeight="1">
      <c r="A2" s="308" t="s">
        <v>537</v>
      </c>
      <c r="B2" s="198"/>
      <c r="C2" s="197"/>
      <c r="D2" s="197"/>
      <c r="E2" s="197"/>
    </row>
    <row r="3" spans="1:6" ht="9.75" customHeight="1">
      <c r="A3" s="202"/>
      <c r="B3" s="202"/>
      <c r="C3" s="202"/>
      <c r="D3" s="202"/>
      <c r="E3" s="202"/>
    </row>
    <row r="4" spans="1:6" ht="49.5" customHeight="1">
      <c r="A4" s="303"/>
      <c r="B4" s="310" t="s">
        <v>0</v>
      </c>
      <c r="C4" s="311" t="s">
        <v>12</v>
      </c>
      <c r="D4" s="312" t="s">
        <v>309</v>
      </c>
      <c r="E4" s="313" t="s">
        <v>120</v>
      </c>
    </row>
    <row r="5" spans="1:6" ht="17.25" customHeight="1">
      <c r="C5" s="210"/>
      <c r="D5" s="210"/>
      <c r="E5" s="249" t="s">
        <v>5</v>
      </c>
    </row>
    <row r="6" spans="1:6" ht="20.100000000000001" customHeight="1">
      <c r="A6" s="209" t="s">
        <v>143</v>
      </c>
      <c r="B6" s="210" t="s">
        <v>433</v>
      </c>
      <c r="C6" s="210"/>
      <c r="D6" s="210"/>
      <c r="E6" s="249"/>
    </row>
    <row r="7" spans="1:6" ht="20.100000000000001" customHeight="1">
      <c r="A7" s="29">
        <v>1</v>
      </c>
      <c r="B7" s="188" t="s">
        <v>224</v>
      </c>
      <c r="C7" s="287" t="s">
        <v>119</v>
      </c>
      <c r="D7" s="287" t="s">
        <v>34</v>
      </c>
      <c r="E7" s="314">
        <v>540000</v>
      </c>
      <c r="F7" s="213"/>
    </row>
    <row r="8" spans="1:6" ht="20.100000000000001" customHeight="1">
      <c r="A8" s="29">
        <v>2</v>
      </c>
      <c r="B8" s="188" t="s">
        <v>137</v>
      </c>
      <c r="C8" s="21" t="s">
        <v>472</v>
      </c>
      <c r="D8" s="29" t="s">
        <v>160</v>
      </c>
      <c r="E8" s="314">
        <v>180000</v>
      </c>
      <c r="F8" s="213"/>
    </row>
    <row r="9" spans="1:6" ht="20.100000000000001" customHeight="1">
      <c r="A9" s="29">
        <v>3</v>
      </c>
      <c r="B9" s="188" t="s">
        <v>315</v>
      </c>
      <c r="C9" s="287" t="s">
        <v>316</v>
      </c>
      <c r="D9" s="29" t="s">
        <v>496</v>
      </c>
      <c r="E9" s="314">
        <v>180000</v>
      </c>
      <c r="F9" s="213"/>
    </row>
    <row r="10" spans="1:6" ht="20.100000000000001" customHeight="1">
      <c r="A10" s="29">
        <v>4</v>
      </c>
      <c r="B10" s="190" t="s">
        <v>317</v>
      </c>
      <c r="C10" s="21" t="s">
        <v>418</v>
      </c>
      <c r="D10" s="214" t="s">
        <v>221</v>
      </c>
      <c r="E10" s="314">
        <v>180000</v>
      </c>
      <c r="F10" s="213"/>
    </row>
    <row r="11" spans="1:6" ht="20.100000000000001" customHeight="1">
      <c r="A11" s="29">
        <v>5</v>
      </c>
      <c r="B11" s="190" t="s">
        <v>112</v>
      </c>
      <c r="C11" s="21" t="s">
        <v>473</v>
      </c>
      <c r="D11" s="25" t="s">
        <v>221</v>
      </c>
      <c r="E11" s="314">
        <v>180000</v>
      </c>
      <c r="F11" s="213"/>
    </row>
    <row r="12" spans="1:6" ht="20.100000000000001" customHeight="1">
      <c r="A12" s="29">
        <v>6</v>
      </c>
      <c r="B12" s="188" t="s">
        <v>187</v>
      </c>
      <c r="C12" s="155" t="s">
        <v>474</v>
      </c>
      <c r="D12" s="25" t="s">
        <v>221</v>
      </c>
      <c r="E12" s="314">
        <v>180000</v>
      </c>
      <c r="F12" s="213"/>
    </row>
    <row r="13" spans="1:6" ht="20.100000000000001" customHeight="1">
      <c r="A13" s="29">
        <v>7</v>
      </c>
      <c r="B13" s="190" t="s">
        <v>203</v>
      </c>
      <c r="C13" s="21" t="s">
        <v>475</v>
      </c>
      <c r="D13" s="25" t="s">
        <v>221</v>
      </c>
      <c r="E13" s="314">
        <v>180000</v>
      </c>
      <c r="F13" s="213"/>
    </row>
    <row r="14" spans="1:6" ht="20.100000000000001" customHeight="1">
      <c r="A14" s="29">
        <v>8</v>
      </c>
      <c r="B14" s="188" t="s">
        <v>111</v>
      </c>
      <c r="C14" s="287" t="s">
        <v>468</v>
      </c>
      <c r="D14" s="214" t="s">
        <v>75</v>
      </c>
      <c r="E14" s="314">
        <v>126000</v>
      </c>
      <c r="F14" s="213"/>
    </row>
    <row r="15" spans="1:6" ht="20.100000000000001" customHeight="1">
      <c r="A15" s="29">
        <v>9</v>
      </c>
      <c r="B15" s="189" t="s">
        <v>333</v>
      </c>
      <c r="C15" s="287" t="s">
        <v>387</v>
      </c>
      <c r="D15" s="29" t="s">
        <v>412</v>
      </c>
      <c r="E15" s="314">
        <v>126000</v>
      </c>
      <c r="F15" s="213"/>
    </row>
    <row r="16" spans="1:6" ht="20.100000000000001" customHeight="1">
      <c r="A16" s="29">
        <v>10</v>
      </c>
      <c r="B16" s="192" t="s">
        <v>220</v>
      </c>
      <c r="C16" s="21" t="s">
        <v>388</v>
      </c>
      <c r="D16" s="25" t="s">
        <v>181</v>
      </c>
      <c r="E16" s="314">
        <v>90000</v>
      </c>
      <c r="F16" s="213"/>
    </row>
    <row r="17" spans="1:6" ht="19.5" customHeight="1">
      <c r="A17" s="29">
        <v>11</v>
      </c>
      <c r="B17" s="190" t="s">
        <v>144</v>
      </c>
      <c r="C17" s="21" t="s">
        <v>389</v>
      </c>
      <c r="D17" s="29" t="s">
        <v>181</v>
      </c>
      <c r="E17" s="314">
        <v>90000</v>
      </c>
      <c r="F17" s="213"/>
    </row>
    <row r="18" spans="1:6" ht="19.5" customHeight="1">
      <c r="A18" s="29">
        <v>12</v>
      </c>
      <c r="B18" s="190" t="s">
        <v>139</v>
      </c>
      <c r="C18" s="21" t="s">
        <v>386</v>
      </c>
      <c r="D18" s="29" t="s">
        <v>181</v>
      </c>
      <c r="E18" s="314">
        <v>90000</v>
      </c>
      <c r="F18" s="213"/>
    </row>
    <row r="19" spans="1:6" ht="20.100000000000001" customHeight="1">
      <c r="A19" s="29">
        <v>13</v>
      </c>
      <c r="B19" s="188" t="s">
        <v>18</v>
      </c>
      <c r="C19" s="21" t="s">
        <v>389</v>
      </c>
      <c r="D19" s="214" t="s">
        <v>181</v>
      </c>
      <c r="E19" s="314">
        <v>90000</v>
      </c>
      <c r="F19" s="213"/>
    </row>
    <row r="20" spans="1:6" ht="20.100000000000001" customHeight="1">
      <c r="A20" s="29">
        <v>14</v>
      </c>
      <c r="B20" s="188" t="s">
        <v>334</v>
      </c>
      <c r="C20" s="287" t="s">
        <v>351</v>
      </c>
      <c r="D20" s="214" t="s">
        <v>163</v>
      </c>
      <c r="E20" s="314">
        <v>90000</v>
      </c>
      <c r="F20" s="213"/>
    </row>
    <row r="21" spans="1:6" ht="20.100000000000001" customHeight="1">
      <c r="A21" s="29">
        <v>15</v>
      </c>
      <c r="B21" s="189" t="s">
        <v>291</v>
      </c>
      <c r="C21" s="21" t="s">
        <v>346</v>
      </c>
      <c r="D21" s="214" t="s">
        <v>413</v>
      </c>
      <c r="E21" s="314">
        <v>90000</v>
      </c>
      <c r="F21" s="213"/>
    </row>
    <row r="22" spans="1:6" ht="20.100000000000001" customHeight="1">
      <c r="A22" s="29">
        <v>16</v>
      </c>
      <c r="B22" s="188" t="s">
        <v>141</v>
      </c>
      <c r="C22" s="287" t="s">
        <v>391</v>
      </c>
      <c r="D22" s="214" t="s">
        <v>497</v>
      </c>
      <c r="E22" s="314">
        <v>54000</v>
      </c>
      <c r="F22" s="213"/>
    </row>
    <row r="23" spans="1:6" ht="18.75" customHeight="1">
      <c r="A23" s="29">
        <v>17</v>
      </c>
      <c r="B23" s="188" t="s">
        <v>253</v>
      </c>
      <c r="C23" s="287" t="s">
        <v>478</v>
      </c>
      <c r="D23" s="214" t="s">
        <v>415</v>
      </c>
      <c r="E23" s="314">
        <v>54000</v>
      </c>
      <c r="F23" s="213"/>
    </row>
    <row r="24" spans="1:6" ht="18.75" customHeight="1">
      <c r="A24" s="29">
        <v>18</v>
      </c>
      <c r="B24" s="189" t="s">
        <v>275</v>
      </c>
      <c r="C24" s="287" t="s">
        <v>314</v>
      </c>
      <c r="D24" s="214" t="s">
        <v>164</v>
      </c>
      <c r="E24" s="314">
        <v>54000</v>
      </c>
      <c r="F24" s="213"/>
    </row>
    <row r="25" spans="1:6" ht="18.75" customHeight="1">
      <c r="A25" s="29">
        <v>19</v>
      </c>
      <c r="B25" s="21" t="s">
        <v>434</v>
      </c>
      <c r="C25" s="21" t="s">
        <v>17</v>
      </c>
      <c r="D25" s="29" t="s">
        <v>498</v>
      </c>
      <c r="E25" s="314">
        <v>54000</v>
      </c>
      <c r="F25" s="213"/>
    </row>
    <row r="26" spans="1:6" ht="18.75" customHeight="1">
      <c r="A26" s="29">
        <v>20</v>
      </c>
      <c r="B26" s="189" t="s">
        <v>254</v>
      </c>
      <c r="C26" s="287" t="s">
        <v>17</v>
      </c>
      <c r="D26" s="214" t="s">
        <v>498</v>
      </c>
      <c r="E26" s="314">
        <v>54000</v>
      </c>
      <c r="F26" s="213"/>
    </row>
    <row r="27" spans="1:6" ht="18.75" customHeight="1">
      <c r="A27" s="29">
        <v>21</v>
      </c>
      <c r="B27" s="188" t="s">
        <v>248</v>
      </c>
      <c r="C27" s="287" t="s">
        <v>480</v>
      </c>
      <c r="D27" s="214" t="s">
        <v>498</v>
      </c>
      <c r="E27" s="314">
        <v>54000</v>
      </c>
      <c r="F27" s="213"/>
    </row>
    <row r="28" spans="1:6" ht="18.75" customHeight="1">
      <c r="A28" s="29">
        <v>22</v>
      </c>
      <c r="B28" s="189" t="s">
        <v>288</v>
      </c>
      <c r="C28" s="287" t="s">
        <v>249</v>
      </c>
      <c r="D28" s="214" t="s">
        <v>267</v>
      </c>
      <c r="E28" s="314">
        <v>54000</v>
      </c>
      <c r="F28" s="213"/>
    </row>
    <row r="29" spans="1:6" ht="18.75" customHeight="1">
      <c r="A29" s="29">
        <v>23</v>
      </c>
      <c r="B29" s="189" t="s">
        <v>328</v>
      </c>
      <c r="C29" s="21" t="s">
        <v>329</v>
      </c>
      <c r="D29" s="29" t="s">
        <v>267</v>
      </c>
      <c r="E29" s="314">
        <v>54000</v>
      </c>
      <c r="F29" s="213"/>
    </row>
    <row r="30" spans="1:6" ht="18.75" customHeight="1">
      <c r="A30" s="29">
        <v>24</v>
      </c>
      <c r="B30" s="189" t="s">
        <v>360</v>
      </c>
      <c r="C30" s="155" t="s">
        <v>372</v>
      </c>
      <c r="D30" s="214" t="s">
        <v>498</v>
      </c>
      <c r="E30" s="314">
        <v>54000</v>
      </c>
      <c r="F30" s="213"/>
    </row>
    <row r="31" spans="1:6" ht="18.75" customHeight="1">
      <c r="A31" s="29">
        <v>25</v>
      </c>
      <c r="B31" s="189" t="s">
        <v>330</v>
      </c>
      <c r="C31" s="21" t="s">
        <v>533</v>
      </c>
      <c r="D31" s="29" t="s">
        <v>176</v>
      </c>
      <c r="E31" s="314">
        <v>54000</v>
      </c>
      <c r="F31" s="213"/>
    </row>
    <row r="32" spans="1:6" ht="18.75" customHeight="1">
      <c r="A32" s="29">
        <v>26</v>
      </c>
      <c r="B32" s="189" t="s">
        <v>274</v>
      </c>
      <c r="C32" s="287" t="s">
        <v>314</v>
      </c>
      <c r="D32" s="214" t="s">
        <v>176</v>
      </c>
      <c r="E32" s="314">
        <v>54000</v>
      </c>
      <c r="F32" s="213"/>
    </row>
    <row r="33" spans="1:6" ht="18.75" customHeight="1">
      <c r="A33" s="29">
        <v>27</v>
      </c>
      <c r="B33" s="189" t="s">
        <v>453</v>
      </c>
      <c r="C33" s="287" t="s">
        <v>314</v>
      </c>
      <c r="D33" s="214" t="s">
        <v>176</v>
      </c>
      <c r="E33" s="314">
        <v>54000</v>
      </c>
      <c r="F33" s="213"/>
    </row>
    <row r="34" spans="1:6" ht="18.75" customHeight="1">
      <c r="A34" s="29">
        <v>28</v>
      </c>
      <c r="B34" s="189" t="s">
        <v>535</v>
      </c>
      <c r="C34" s="287" t="s">
        <v>536</v>
      </c>
      <c r="D34" s="214" t="s">
        <v>105</v>
      </c>
      <c r="E34" s="314">
        <v>54000</v>
      </c>
      <c r="F34" s="213"/>
    </row>
    <row r="35" spans="1:6" ht="26.25" customHeight="1">
      <c r="A35" s="29"/>
      <c r="B35" s="191" t="s">
        <v>15</v>
      </c>
      <c r="C35" s="30">
        <v>28</v>
      </c>
      <c r="D35" s="214"/>
      <c r="E35" s="315">
        <f>SUM(E7:E34)</f>
        <v>3114000</v>
      </c>
      <c r="F35" s="213"/>
    </row>
    <row r="36" spans="1:6" ht="18.75" customHeight="1">
      <c r="A36" s="29"/>
      <c r="B36" s="141"/>
      <c r="C36" s="21"/>
      <c r="D36" s="214"/>
      <c r="E36" s="316"/>
      <c r="F36" s="213"/>
    </row>
    <row r="37" spans="1:6" ht="18.75" customHeight="1">
      <c r="A37" s="29"/>
      <c r="B37" s="191" t="s">
        <v>284</v>
      </c>
      <c r="C37" s="21"/>
      <c r="D37" s="214"/>
      <c r="E37" s="314"/>
      <c r="F37" s="213"/>
    </row>
    <row r="38" spans="1:6" ht="18.75" customHeight="1">
      <c r="A38" s="29">
        <v>1</v>
      </c>
      <c r="B38" s="189" t="s">
        <v>361</v>
      </c>
      <c r="C38" s="21" t="s">
        <v>362</v>
      </c>
      <c r="D38" s="29" t="s">
        <v>161</v>
      </c>
      <c r="E38" s="314">
        <v>270000</v>
      </c>
      <c r="F38" s="213"/>
    </row>
    <row r="39" spans="1:6" ht="18.75" customHeight="1">
      <c r="A39" s="29">
        <v>2</v>
      </c>
      <c r="B39" s="189" t="s">
        <v>419</v>
      </c>
      <c r="C39" s="21" t="s">
        <v>427</v>
      </c>
      <c r="D39" s="29" t="s">
        <v>105</v>
      </c>
      <c r="E39" s="314">
        <v>54000</v>
      </c>
      <c r="F39" s="213"/>
    </row>
    <row r="40" spans="1:6" ht="19.5" customHeight="1">
      <c r="A40" s="29"/>
      <c r="B40" s="190"/>
      <c r="C40" s="30">
        <v>2</v>
      </c>
      <c r="D40" s="29"/>
      <c r="E40" s="315">
        <v>324000</v>
      </c>
      <c r="F40" s="213"/>
    </row>
    <row r="41" spans="1:6" ht="20.100000000000001" customHeight="1">
      <c r="A41" s="29"/>
      <c r="B41" s="190"/>
      <c r="C41" s="21"/>
      <c r="D41" s="29"/>
      <c r="E41" s="314"/>
      <c r="F41" s="213"/>
    </row>
    <row r="42" spans="1:6" ht="20.100000000000001" customHeight="1">
      <c r="A42" s="29"/>
      <c r="B42" s="218" t="s">
        <v>56</v>
      </c>
      <c r="C42" s="203"/>
      <c r="D42" s="207"/>
      <c r="E42" s="314"/>
      <c r="F42" s="213"/>
    </row>
    <row r="43" spans="1:6" ht="20.100000000000001" customHeight="1">
      <c r="A43" s="29">
        <v>1</v>
      </c>
      <c r="B43" s="188" t="s">
        <v>255</v>
      </c>
      <c r="C43" s="21" t="s">
        <v>256</v>
      </c>
      <c r="D43" s="29" t="s">
        <v>161</v>
      </c>
      <c r="E43" s="314">
        <v>270000</v>
      </c>
      <c r="F43" s="213"/>
    </row>
    <row r="44" spans="1:6" ht="20.100000000000001" customHeight="1">
      <c r="A44" s="29">
        <v>2</v>
      </c>
      <c r="B44" s="188" t="s">
        <v>158</v>
      </c>
      <c r="C44" s="21" t="s">
        <v>199</v>
      </c>
      <c r="D44" s="29" t="s">
        <v>75</v>
      </c>
      <c r="E44" s="314">
        <v>126000</v>
      </c>
      <c r="F44" s="213"/>
    </row>
    <row r="45" spans="1:6" ht="20.100000000000001" customHeight="1">
      <c r="A45" s="29">
        <v>3</v>
      </c>
      <c r="B45" s="188" t="s">
        <v>165</v>
      </c>
      <c r="C45" s="21" t="s">
        <v>258</v>
      </c>
      <c r="D45" s="29" t="s">
        <v>75</v>
      </c>
      <c r="E45" s="314">
        <v>126000</v>
      </c>
      <c r="F45" s="213"/>
    </row>
    <row r="46" spans="1:6" ht="20.100000000000001" customHeight="1">
      <c r="A46" s="29">
        <v>4</v>
      </c>
      <c r="B46" s="188" t="s">
        <v>159</v>
      </c>
      <c r="C46" s="21" t="s">
        <v>258</v>
      </c>
      <c r="D46" s="29" t="s">
        <v>75</v>
      </c>
      <c r="E46" s="314">
        <v>126000</v>
      </c>
      <c r="F46" s="213"/>
    </row>
    <row r="47" spans="1:6" ht="20.100000000000001" customHeight="1">
      <c r="A47" s="29">
        <v>5</v>
      </c>
      <c r="B47" s="188" t="s">
        <v>118</v>
      </c>
      <c r="C47" s="21" t="s">
        <v>258</v>
      </c>
      <c r="D47" s="29" t="s">
        <v>148</v>
      </c>
      <c r="E47" s="314">
        <v>126000</v>
      </c>
      <c r="F47" s="213"/>
    </row>
    <row r="48" spans="1:6" ht="20.100000000000001" customHeight="1">
      <c r="A48" s="29">
        <v>6</v>
      </c>
      <c r="B48" s="188" t="s">
        <v>205</v>
      </c>
      <c r="C48" s="21" t="s">
        <v>78</v>
      </c>
      <c r="D48" s="29" t="s">
        <v>181</v>
      </c>
      <c r="E48" s="314">
        <v>90000</v>
      </c>
      <c r="F48" s="213"/>
    </row>
    <row r="49" spans="1:6" ht="20.100000000000001" customHeight="1">
      <c r="A49" s="29">
        <v>7</v>
      </c>
      <c r="B49" s="190" t="s">
        <v>173</v>
      </c>
      <c r="C49" s="21" t="s">
        <v>297</v>
      </c>
      <c r="D49" s="25" t="s">
        <v>181</v>
      </c>
      <c r="E49" s="314">
        <v>90000</v>
      </c>
      <c r="F49" s="213"/>
    </row>
    <row r="50" spans="1:6" ht="20.100000000000001" customHeight="1">
      <c r="A50" s="29">
        <v>8</v>
      </c>
      <c r="B50" s="188" t="s">
        <v>116</v>
      </c>
      <c r="C50" s="21" t="s">
        <v>297</v>
      </c>
      <c r="D50" s="29" t="s">
        <v>162</v>
      </c>
      <c r="E50" s="314">
        <v>90000</v>
      </c>
      <c r="F50" s="213"/>
    </row>
    <row r="51" spans="1:6" ht="20.100000000000001" customHeight="1">
      <c r="A51" s="29">
        <v>9</v>
      </c>
      <c r="B51" s="188" t="s">
        <v>184</v>
      </c>
      <c r="C51" s="21" t="s">
        <v>80</v>
      </c>
      <c r="D51" s="29" t="s">
        <v>170</v>
      </c>
      <c r="E51" s="314">
        <v>90000</v>
      </c>
      <c r="F51" s="213"/>
    </row>
    <row r="52" spans="1:6" ht="20.100000000000001" customHeight="1">
      <c r="A52" s="29">
        <v>10</v>
      </c>
      <c r="B52" s="188" t="s">
        <v>420</v>
      </c>
      <c r="C52" s="21" t="s">
        <v>84</v>
      </c>
      <c r="D52" s="29" t="s">
        <v>428</v>
      </c>
      <c r="E52" s="314">
        <v>54000</v>
      </c>
      <c r="F52" s="213"/>
    </row>
    <row r="53" spans="1:6" ht="20.100000000000001" customHeight="1">
      <c r="A53" s="29">
        <v>11</v>
      </c>
      <c r="B53" s="188" t="s">
        <v>435</v>
      </c>
      <c r="C53" s="21" t="s">
        <v>84</v>
      </c>
      <c r="D53" s="29" t="s">
        <v>428</v>
      </c>
      <c r="E53" s="314">
        <v>54000</v>
      </c>
      <c r="F53" s="213"/>
    </row>
    <row r="54" spans="1:6" ht="20.100000000000001" customHeight="1">
      <c r="A54" s="29">
        <v>12</v>
      </c>
      <c r="B54" s="188" t="s">
        <v>452</v>
      </c>
      <c r="C54" s="21" t="s">
        <v>84</v>
      </c>
      <c r="D54" s="29" t="s">
        <v>428</v>
      </c>
      <c r="E54" s="314">
        <v>54000</v>
      </c>
      <c r="F54" s="213"/>
    </row>
    <row r="55" spans="1:6" ht="25.5" customHeight="1">
      <c r="A55" s="29"/>
      <c r="B55" s="191" t="s">
        <v>15</v>
      </c>
      <c r="C55" s="30">
        <v>12</v>
      </c>
      <c r="D55" s="30"/>
      <c r="E55" s="317">
        <v>1296000</v>
      </c>
      <c r="F55" s="213"/>
    </row>
    <row r="56" spans="1:6" ht="20.100000000000001" customHeight="1">
      <c r="A56" s="29"/>
      <c r="B56" s="141"/>
      <c r="C56" s="30"/>
      <c r="D56" s="30"/>
      <c r="E56" s="318"/>
      <c r="F56" s="213"/>
    </row>
    <row r="57" spans="1:6" ht="20.100000000000001" customHeight="1">
      <c r="A57" s="29"/>
      <c r="B57" s="191" t="s">
        <v>195</v>
      </c>
      <c r="C57" s="30"/>
      <c r="D57" s="30"/>
      <c r="E57" s="318"/>
      <c r="F57" s="213"/>
    </row>
    <row r="58" spans="1:6" ht="20.100000000000001" customHeight="1">
      <c r="A58" s="29">
        <v>1</v>
      </c>
      <c r="B58" s="188" t="s">
        <v>11</v>
      </c>
      <c r="C58" s="287" t="s">
        <v>200</v>
      </c>
      <c r="D58" s="214" t="s">
        <v>161</v>
      </c>
      <c r="E58" s="314">
        <v>270000</v>
      </c>
      <c r="F58" s="213"/>
    </row>
    <row r="59" spans="1:6" ht="20.100000000000001" customHeight="1">
      <c r="A59" s="29">
        <v>2</v>
      </c>
      <c r="B59" s="188" t="s">
        <v>276</v>
      </c>
      <c r="C59" s="287" t="s">
        <v>340</v>
      </c>
      <c r="D59" s="214" t="s">
        <v>412</v>
      </c>
      <c r="E59" s="314">
        <v>126000</v>
      </c>
      <c r="F59" s="213"/>
    </row>
    <row r="60" spans="1:6" ht="20.100000000000001" customHeight="1">
      <c r="A60" s="29"/>
      <c r="B60" s="191" t="s">
        <v>15</v>
      </c>
      <c r="C60" s="30">
        <v>2</v>
      </c>
      <c r="D60" s="30"/>
      <c r="E60" s="317">
        <v>396000</v>
      </c>
      <c r="F60" s="213"/>
    </row>
    <row r="61" spans="1:6" ht="20.100000000000001" customHeight="1">
      <c r="A61" s="29"/>
      <c r="B61" s="191"/>
      <c r="C61" s="30"/>
      <c r="D61" s="30"/>
      <c r="E61" s="318"/>
      <c r="F61" s="213"/>
    </row>
    <row r="62" spans="1:6" ht="20.100000000000001" customHeight="1">
      <c r="A62" s="29"/>
      <c r="B62" s="191" t="s">
        <v>461</v>
      </c>
      <c r="C62" s="30"/>
      <c r="D62" s="30"/>
      <c r="E62" s="318"/>
      <c r="F62" s="213"/>
    </row>
    <row r="63" spans="1:6" ht="20.100000000000001" customHeight="1">
      <c r="A63" s="29">
        <v>1</v>
      </c>
      <c r="B63" s="188" t="s">
        <v>277</v>
      </c>
      <c r="C63" s="155" t="s">
        <v>278</v>
      </c>
      <c r="D63" s="29" t="s">
        <v>161</v>
      </c>
      <c r="E63" s="319">
        <v>270000</v>
      </c>
      <c r="F63" s="213"/>
    </row>
    <row r="64" spans="1:6" ht="20.100000000000001" customHeight="1">
      <c r="A64" s="29">
        <v>2</v>
      </c>
      <c r="B64" s="189" t="s">
        <v>332</v>
      </c>
      <c r="C64" s="155" t="s">
        <v>188</v>
      </c>
      <c r="D64" s="214" t="s">
        <v>272</v>
      </c>
      <c r="E64" s="314">
        <v>126000</v>
      </c>
      <c r="F64" s="213"/>
    </row>
    <row r="65" spans="1:6" ht="20.100000000000001" customHeight="1">
      <c r="A65" s="29">
        <v>3</v>
      </c>
      <c r="B65" s="188" t="s">
        <v>189</v>
      </c>
      <c r="C65" s="21" t="s">
        <v>257</v>
      </c>
      <c r="D65" s="29" t="s">
        <v>170</v>
      </c>
      <c r="E65" s="319">
        <v>90000</v>
      </c>
      <c r="F65" s="213"/>
    </row>
    <row r="66" spans="1:6" ht="20.100000000000001" customHeight="1">
      <c r="A66" s="29">
        <v>4</v>
      </c>
      <c r="B66" s="189" t="s">
        <v>448</v>
      </c>
      <c r="C66" s="155" t="s">
        <v>257</v>
      </c>
      <c r="D66" s="214" t="s">
        <v>163</v>
      </c>
      <c r="E66" s="319">
        <v>90000</v>
      </c>
      <c r="F66" s="213"/>
    </row>
    <row r="67" spans="1:6" ht="20.100000000000001" customHeight="1">
      <c r="A67" s="29">
        <v>5</v>
      </c>
      <c r="B67" s="190" t="s">
        <v>229</v>
      </c>
      <c r="C67" s="155" t="s">
        <v>297</v>
      </c>
      <c r="D67" s="214" t="s">
        <v>181</v>
      </c>
      <c r="E67" s="319">
        <v>90000</v>
      </c>
      <c r="F67" s="213"/>
    </row>
    <row r="68" spans="1:6" ht="20.100000000000001" customHeight="1">
      <c r="A68" s="29">
        <v>6</v>
      </c>
      <c r="B68" s="190" t="s">
        <v>534</v>
      </c>
      <c r="C68" s="155" t="s">
        <v>297</v>
      </c>
      <c r="D68" s="214" t="s">
        <v>162</v>
      </c>
      <c r="E68" s="319">
        <v>90000</v>
      </c>
      <c r="F68" s="213"/>
    </row>
    <row r="69" spans="1:6" ht="20.100000000000001" customHeight="1">
      <c r="A69" s="29">
        <v>7</v>
      </c>
      <c r="B69" s="188" t="s">
        <v>117</v>
      </c>
      <c r="C69" s="21" t="s">
        <v>84</v>
      </c>
      <c r="D69" s="29" t="s">
        <v>369</v>
      </c>
      <c r="E69" s="314">
        <v>54000</v>
      </c>
      <c r="F69" s="213"/>
    </row>
    <row r="70" spans="1:6" ht="20.100000000000001" customHeight="1">
      <c r="A70" s="29">
        <v>8</v>
      </c>
      <c r="B70" s="188" t="s">
        <v>424</v>
      </c>
      <c r="C70" s="155" t="s">
        <v>422</v>
      </c>
      <c r="D70" s="214" t="s">
        <v>369</v>
      </c>
      <c r="E70" s="314">
        <v>54000</v>
      </c>
      <c r="F70" s="213"/>
    </row>
    <row r="71" spans="1:6" ht="20.100000000000001" customHeight="1">
      <c r="A71" s="29">
        <v>9</v>
      </c>
      <c r="B71" s="188" t="s">
        <v>423</v>
      </c>
      <c r="C71" s="155" t="s">
        <v>422</v>
      </c>
      <c r="D71" s="214" t="s">
        <v>369</v>
      </c>
      <c r="E71" s="314">
        <v>54000</v>
      </c>
      <c r="F71" s="213"/>
    </row>
    <row r="72" spans="1:6" ht="20.100000000000001" customHeight="1">
      <c r="A72" s="29">
        <v>10</v>
      </c>
      <c r="B72" s="188" t="s">
        <v>242</v>
      </c>
      <c r="C72" s="21" t="s">
        <v>484</v>
      </c>
      <c r="D72" s="29" t="s">
        <v>415</v>
      </c>
      <c r="E72" s="314">
        <v>54000</v>
      </c>
      <c r="F72" s="213"/>
    </row>
    <row r="73" spans="1:6" ht="20.100000000000001" customHeight="1">
      <c r="A73" s="29">
        <v>11</v>
      </c>
      <c r="B73" s="188" t="s">
        <v>322</v>
      </c>
      <c r="C73" s="155" t="s">
        <v>84</v>
      </c>
      <c r="D73" s="29" t="s">
        <v>207</v>
      </c>
      <c r="E73" s="314">
        <v>54000</v>
      </c>
      <c r="F73" s="213"/>
    </row>
    <row r="74" spans="1:6" ht="20.100000000000001" customHeight="1">
      <c r="A74" s="29">
        <v>12</v>
      </c>
      <c r="B74" s="188" t="s">
        <v>320</v>
      </c>
      <c r="C74" s="155" t="s">
        <v>115</v>
      </c>
      <c r="D74" s="29" t="s">
        <v>498</v>
      </c>
      <c r="E74" s="314">
        <v>54000</v>
      </c>
      <c r="F74" s="213"/>
    </row>
    <row r="75" spans="1:6" ht="20.100000000000001" customHeight="1">
      <c r="A75" s="29">
        <v>13</v>
      </c>
      <c r="B75" s="190" t="s">
        <v>321</v>
      </c>
      <c r="C75" s="155" t="s">
        <v>115</v>
      </c>
      <c r="D75" s="29" t="s">
        <v>176</v>
      </c>
      <c r="E75" s="314">
        <v>54000</v>
      </c>
      <c r="F75" s="213"/>
    </row>
    <row r="76" spans="1:6" ht="20.100000000000001" customHeight="1">
      <c r="A76" s="29"/>
      <c r="B76" s="191" t="s">
        <v>15</v>
      </c>
      <c r="C76" s="30">
        <v>13</v>
      </c>
      <c r="D76" s="30"/>
      <c r="E76" s="317">
        <v>1134000</v>
      </c>
      <c r="F76" s="213"/>
    </row>
    <row r="77" spans="1:6" ht="20.100000000000001" customHeight="1">
      <c r="A77" s="29"/>
      <c r="B77" s="141"/>
      <c r="C77" s="30"/>
      <c r="D77" s="30"/>
      <c r="E77" s="318"/>
      <c r="F77" s="213"/>
    </row>
    <row r="78" spans="1:6" ht="20.100000000000001" customHeight="1">
      <c r="A78" s="29"/>
      <c r="B78" s="191" t="s">
        <v>462</v>
      </c>
      <c r="C78" s="30"/>
      <c r="D78" s="30"/>
      <c r="E78" s="318"/>
      <c r="F78" s="213"/>
    </row>
    <row r="79" spans="1:6" ht="20.100000000000001" customHeight="1">
      <c r="A79" s="29">
        <v>1</v>
      </c>
      <c r="B79" s="188" t="s">
        <v>19</v>
      </c>
      <c r="C79" s="21" t="s">
        <v>201</v>
      </c>
      <c r="D79" s="29" t="s">
        <v>161</v>
      </c>
      <c r="E79" s="314">
        <v>270000</v>
      </c>
      <c r="F79" s="213"/>
    </row>
    <row r="80" spans="1:6" ht="20.100000000000001" customHeight="1">
      <c r="A80" s="29">
        <v>2</v>
      </c>
      <c r="B80" s="190" t="s">
        <v>325</v>
      </c>
      <c r="C80" s="21" t="s">
        <v>245</v>
      </c>
      <c r="D80" s="214" t="s">
        <v>272</v>
      </c>
      <c r="E80" s="314">
        <v>126000</v>
      </c>
      <c r="F80" s="213"/>
    </row>
    <row r="81" spans="1:6" ht="20.100000000000001" customHeight="1">
      <c r="A81" s="29">
        <v>3</v>
      </c>
      <c r="B81" s="190" t="s">
        <v>326</v>
      </c>
      <c r="C81" s="21" t="s">
        <v>327</v>
      </c>
      <c r="D81" s="214" t="s">
        <v>272</v>
      </c>
      <c r="E81" s="314">
        <v>126000</v>
      </c>
      <c r="F81" s="213"/>
    </row>
    <row r="82" spans="1:6" ht="20.100000000000001" customHeight="1">
      <c r="A82" s="29">
        <v>4</v>
      </c>
      <c r="B82" s="188" t="s">
        <v>26</v>
      </c>
      <c r="C82" s="21" t="s">
        <v>296</v>
      </c>
      <c r="D82" s="214" t="s">
        <v>170</v>
      </c>
      <c r="E82" s="314">
        <v>90000</v>
      </c>
      <c r="F82" s="213"/>
    </row>
    <row r="83" spans="1:6" ht="20.100000000000001" customHeight="1">
      <c r="A83" s="29">
        <v>5</v>
      </c>
      <c r="B83" s="188" t="s">
        <v>324</v>
      </c>
      <c r="C83" s="21" t="s">
        <v>243</v>
      </c>
      <c r="D83" s="29" t="s">
        <v>207</v>
      </c>
      <c r="E83" s="314">
        <v>54000</v>
      </c>
      <c r="F83" s="213"/>
    </row>
    <row r="84" spans="1:6" ht="20.100000000000001" customHeight="1">
      <c r="A84" s="29"/>
      <c r="B84" s="191" t="s">
        <v>15</v>
      </c>
      <c r="C84" s="30">
        <v>5</v>
      </c>
      <c r="D84" s="30"/>
      <c r="E84" s="317">
        <v>666000</v>
      </c>
      <c r="F84" s="213"/>
    </row>
    <row r="85" spans="1:6" ht="20.100000000000001" customHeight="1">
      <c r="A85" s="29"/>
      <c r="B85" s="191"/>
      <c r="C85" s="30"/>
      <c r="D85" s="30"/>
      <c r="E85" s="314"/>
      <c r="F85" s="213"/>
    </row>
    <row r="86" spans="1:6" ht="20.100000000000001" customHeight="1">
      <c r="A86" s="29"/>
      <c r="B86" s="191" t="s">
        <v>463</v>
      </c>
      <c r="C86" s="219"/>
      <c r="D86" s="30"/>
      <c r="E86" s="314"/>
      <c r="F86" s="213"/>
    </row>
    <row r="87" spans="1:6" ht="20.100000000000001" customHeight="1">
      <c r="A87" s="29">
        <v>1</v>
      </c>
      <c r="B87" s="188" t="s">
        <v>169</v>
      </c>
      <c r="C87" s="21" t="s">
        <v>258</v>
      </c>
      <c r="D87" s="29" t="s">
        <v>75</v>
      </c>
      <c r="E87" s="314">
        <v>126000</v>
      </c>
      <c r="F87" s="213"/>
    </row>
    <row r="88" spans="1:6" ht="20.100000000000001" customHeight="1">
      <c r="A88" s="29">
        <v>2</v>
      </c>
      <c r="B88" s="188" t="s">
        <v>192</v>
      </c>
      <c r="C88" s="21" t="s">
        <v>258</v>
      </c>
      <c r="D88" s="29" t="s">
        <v>75</v>
      </c>
      <c r="E88" s="314">
        <v>126000</v>
      </c>
      <c r="F88" s="213"/>
    </row>
    <row r="89" spans="1:6" ht="20.100000000000001" customHeight="1">
      <c r="A89" s="29">
        <v>3</v>
      </c>
      <c r="B89" s="190" t="s">
        <v>138</v>
      </c>
      <c r="C89" s="21" t="s">
        <v>297</v>
      </c>
      <c r="D89" s="29" t="s">
        <v>174</v>
      </c>
      <c r="E89" s="319">
        <v>90000</v>
      </c>
      <c r="F89" s="213"/>
    </row>
    <row r="90" spans="1:6" ht="20.100000000000001" customHeight="1">
      <c r="A90" s="29">
        <v>4</v>
      </c>
      <c r="B90" s="188" t="s">
        <v>202</v>
      </c>
      <c r="C90" s="21" t="s">
        <v>78</v>
      </c>
      <c r="D90" s="29" t="s">
        <v>181</v>
      </c>
      <c r="E90" s="319">
        <v>90000</v>
      </c>
      <c r="F90" s="213"/>
    </row>
    <row r="91" spans="1:6" ht="21.6" customHeight="1">
      <c r="A91" s="29">
        <v>5</v>
      </c>
      <c r="B91" s="188" t="s">
        <v>101</v>
      </c>
      <c r="C91" s="21" t="s">
        <v>80</v>
      </c>
      <c r="D91" s="214" t="s">
        <v>170</v>
      </c>
      <c r="E91" s="319">
        <v>90000</v>
      </c>
      <c r="F91" s="213"/>
    </row>
    <row r="92" spans="1:6" ht="21.6" customHeight="1">
      <c r="A92" s="29">
        <v>6</v>
      </c>
      <c r="B92" s="188" t="s">
        <v>336</v>
      </c>
      <c r="C92" s="287" t="s">
        <v>257</v>
      </c>
      <c r="D92" s="214" t="s">
        <v>163</v>
      </c>
      <c r="E92" s="319">
        <v>90000</v>
      </c>
      <c r="F92" s="213"/>
    </row>
    <row r="93" spans="1:6" ht="21.6" customHeight="1">
      <c r="A93" s="29">
        <v>7</v>
      </c>
      <c r="B93" s="188" t="s">
        <v>337</v>
      </c>
      <c r="C93" s="287" t="s">
        <v>257</v>
      </c>
      <c r="D93" s="214" t="s">
        <v>163</v>
      </c>
      <c r="E93" s="319">
        <v>90000</v>
      </c>
      <c r="F93" s="213"/>
    </row>
    <row r="94" spans="1:6" ht="21.6" customHeight="1">
      <c r="A94" s="29">
        <v>8</v>
      </c>
      <c r="B94" s="188" t="s">
        <v>421</v>
      </c>
      <c r="C94" s="155" t="s">
        <v>422</v>
      </c>
      <c r="D94" s="214" t="s">
        <v>369</v>
      </c>
      <c r="E94" s="314">
        <v>54000</v>
      </c>
      <c r="F94" s="213"/>
    </row>
    <row r="95" spans="1:6" ht="21.6" customHeight="1">
      <c r="A95" s="29">
        <v>9</v>
      </c>
      <c r="B95" s="188" t="s">
        <v>436</v>
      </c>
      <c r="C95" s="21" t="s">
        <v>470</v>
      </c>
      <c r="D95" s="29" t="s">
        <v>104</v>
      </c>
      <c r="E95" s="314">
        <v>54000</v>
      </c>
      <c r="F95" s="213"/>
    </row>
    <row r="96" spans="1:6" ht="21.6" customHeight="1">
      <c r="A96" s="29">
        <v>10</v>
      </c>
      <c r="B96" s="188" t="s">
        <v>406</v>
      </c>
      <c r="C96" s="155" t="s">
        <v>432</v>
      </c>
      <c r="D96" s="214" t="s">
        <v>176</v>
      </c>
      <c r="E96" s="314">
        <v>54000</v>
      </c>
      <c r="F96" s="213"/>
    </row>
    <row r="97" spans="1:6" ht="20.100000000000001" customHeight="1">
      <c r="A97" s="29"/>
      <c r="B97" s="191" t="s">
        <v>15</v>
      </c>
      <c r="C97" s="30">
        <v>10</v>
      </c>
      <c r="D97" s="30"/>
      <c r="E97" s="317">
        <v>864000</v>
      </c>
      <c r="F97" s="213"/>
    </row>
    <row r="98" spans="1:6" ht="20.100000000000001" customHeight="1">
      <c r="A98" s="29"/>
      <c r="B98" s="141"/>
      <c r="C98" s="30"/>
      <c r="D98" s="30"/>
      <c r="E98" s="318"/>
      <c r="F98" s="213"/>
    </row>
    <row r="99" spans="1:6" ht="20.100000000000001" customHeight="1">
      <c r="A99" s="29"/>
      <c r="B99" s="191" t="s">
        <v>464</v>
      </c>
      <c r="C99" s="30"/>
      <c r="D99" s="30"/>
      <c r="E99" s="318"/>
      <c r="F99" s="213"/>
    </row>
    <row r="100" spans="1:6" ht="20.100000000000001" customHeight="1">
      <c r="A100" s="29">
        <v>1</v>
      </c>
      <c r="B100" s="189" t="s">
        <v>364</v>
      </c>
      <c r="C100" s="29" t="s">
        <v>343</v>
      </c>
      <c r="D100" s="214" t="s">
        <v>221</v>
      </c>
      <c r="E100" s="314">
        <v>180000</v>
      </c>
      <c r="F100" s="213"/>
    </row>
    <row r="101" spans="1:6" ht="20.100000000000001" customHeight="1">
      <c r="A101" s="29">
        <v>2</v>
      </c>
      <c r="B101" s="188" t="s">
        <v>185</v>
      </c>
      <c r="C101" s="21" t="s">
        <v>373</v>
      </c>
      <c r="D101" s="29" t="s">
        <v>181</v>
      </c>
      <c r="E101" s="314">
        <v>90000</v>
      </c>
      <c r="F101" s="213"/>
    </row>
    <row r="102" spans="1:6" ht="20.100000000000001" customHeight="1">
      <c r="A102" s="29">
        <v>3</v>
      </c>
      <c r="B102" s="188" t="s">
        <v>237</v>
      </c>
      <c r="C102" s="21" t="s">
        <v>483</v>
      </c>
      <c r="D102" s="214" t="s">
        <v>415</v>
      </c>
      <c r="E102" s="314">
        <v>54000</v>
      </c>
      <c r="F102" s="213"/>
    </row>
    <row r="103" spans="1:6" ht="20.100000000000001" customHeight="1">
      <c r="A103" s="29">
        <v>4</v>
      </c>
      <c r="B103" s="188" t="s">
        <v>538</v>
      </c>
      <c r="C103" s="21" t="s">
        <v>539</v>
      </c>
      <c r="D103" s="214" t="s">
        <v>267</v>
      </c>
      <c r="E103" s="314">
        <v>54000</v>
      </c>
      <c r="F103" s="213"/>
    </row>
    <row r="104" spans="1:6" ht="20.100000000000001" customHeight="1">
      <c r="A104" s="21"/>
      <c r="B104" s="191" t="s">
        <v>15</v>
      </c>
      <c r="C104" s="30">
        <v>3</v>
      </c>
      <c r="D104" s="220"/>
      <c r="E104" s="317">
        <v>378000</v>
      </c>
      <c r="F104" s="213"/>
    </row>
    <row r="105" spans="1:6" ht="20.100000000000001" customHeight="1">
      <c r="A105" s="21"/>
      <c r="B105" s="141"/>
      <c r="C105" s="30"/>
      <c r="D105" s="220"/>
      <c r="E105" s="318"/>
      <c r="F105" s="213"/>
    </row>
    <row r="106" spans="1:6" ht="20.100000000000001" customHeight="1">
      <c r="A106" s="21"/>
      <c r="B106" s="191" t="s">
        <v>465</v>
      </c>
      <c r="C106" s="21"/>
      <c r="D106" s="21"/>
      <c r="E106" s="320"/>
      <c r="F106" s="213"/>
    </row>
    <row r="107" spans="1:6" ht="20.100000000000001" customHeight="1">
      <c r="A107" s="21">
        <v>1</v>
      </c>
      <c r="B107" s="188" t="s">
        <v>216</v>
      </c>
      <c r="C107" s="287" t="s">
        <v>217</v>
      </c>
      <c r="D107" s="214" t="s">
        <v>161</v>
      </c>
      <c r="E107" s="314">
        <v>270000</v>
      </c>
      <c r="F107" s="213"/>
    </row>
    <row r="108" spans="1:6" ht="20.100000000000001" customHeight="1">
      <c r="A108" s="21">
        <v>2</v>
      </c>
      <c r="B108" s="188" t="s">
        <v>110</v>
      </c>
      <c r="C108" s="21" t="s">
        <v>259</v>
      </c>
      <c r="D108" s="25" t="s">
        <v>221</v>
      </c>
      <c r="E108" s="314">
        <v>180000</v>
      </c>
      <c r="F108" s="213"/>
    </row>
    <row r="109" spans="1:6" ht="20.100000000000001" customHeight="1">
      <c r="A109" s="21">
        <v>3</v>
      </c>
      <c r="B109" s="188" t="s">
        <v>109</v>
      </c>
      <c r="C109" s="21" t="s">
        <v>311</v>
      </c>
      <c r="D109" s="29" t="s">
        <v>175</v>
      </c>
      <c r="E109" s="314">
        <v>90000</v>
      </c>
      <c r="F109" s="213"/>
    </row>
    <row r="110" spans="1:6" ht="20.100000000000001" customHeight="1">
      <c r="A110" s="21">
        <v>4</v>
      </c>
      <c r="B110" s="188" t="s">
        <v>135</v>
      </c>
      <c r="C110" s="21" t="s">
        <v>311</v>
      </c>
      <c r="D110" s="29" t="s">
        <v>175</v>
      </c>
      <c r="E110" s="314">
        <v>90000</v>
      </c>
      <c r="F110" s="213"/>
    </row>
    <row r="111" spans="1:6" ht="20.100000000000001" customHeight="1">
      <c r="A111" s="21">
        <v>5</v>
      </c>
      <c r="B111" s="188" t="s">
        <v>240</v>
      </c>
      <c r="C111" s="21" t="s">
        <v>338</v>
      </c>
      <c r="D111" s="214" t="s">
        <v>499</v>
      </c>
      <c r="E111" s="314">
        <v>54000</v>
      </c>
      <c r="F111" s="213"/>
    </row>
    <row r="112" spans="1:6" ht="20.100000000000001" customHeight="1">
      <c r="A112" s="21">
        <v>6</v>
      </c>
      <c r="B112" s="189" t="s">
        <v>341</v>
      </c>
      <c r="C112" s="21" t="s">
        <v>338</v>
      </c>
      <c r="D112" s="29" t="s">
        <v>267</v>
      </c>
      <c r="E112" s="314">
        <v>54000</v>
      </c>
      <c r="F112" s="213"/>
    </row>
    <row r="113" spans="1:6" ht="20.100000000000001" customHeight="1">
      <c r="A113" s="21">
        <v>7</v>
      </c>
      <c r="B113" s="189" t="s">
        <v>374</v>
      </c>
      <c r="C113" s="21" t="s">
        <v>338</v>
      </c>
      <c r="D113" s="214" t="s">
        <v>176</v>
      </c>
      <c r="E113" s="314">
        <v>54000</v>
      </c>
      <c r="F113" s="213"/>
    </row>
    <row r="114" spans="1:6" ht="20.100000000000001" customHeight="1">
      <c r="A114" s="21"/>
      <c r="B114" s="191" t="s">
        <v>15</v>
      </c>
      <c r="C114" s="30">
        <v>7</v>
      </c>
      <c r="D114" s="21"/>
      <c r="E114" s="321">
        <v>792000</v>
      </c>
      <c r="F114" s="213"/>
    </row>
    <row r="115" spans="1:6" ht="20.100000000000001" customHeight="1">
      <c r="A115" s="21"/>
      <c r="B115" s="191"/>
      <c r="C115" s="30"/>
      <c r="D115" s="21"/>
      <c r="E115" s="321"/>
      <c r="F115" s="213"/>
    </row>
    <row r="116" spans="1:6" ht="43.5" customHeight="1">
      <c r="A116" s="29"/>
      <c r="B116" s="191" t="s">
        <v>547</v>
      </c>
      <c r="C116" s="30"/>
      <c r="D116" s="30"/>
      <c r="E116" s="321"/>
      <c r="F116" s="213"/>
    </row>
    <row r="117" spans="1:6" ht="27" customHeight="1">
      <c r="A117" s="29">
        <v>1</v>
      </c>
      <c r="B117" s="188" t="s">
        <v>182</v>
      </c>
      <c r="C117" s="155" t="s">
        <v>422</v>
      </c>
      <c r="D117" s="214" t="s">
        <v>497</v>
      </c>
      <c r="E117" s="314">
        <v>54000</v>
      </c>
      <c r="F117" s="213"/>
    </row>
    <row r="118" spans="1:6" ht="27" customHeight="1">
      <c r="A118" s="29">
        <v>2</v>
      </c>
      <c r="B118" s="188" t="s">
        <v>247</v>
      </c>
      <c r="C118" s="21" t="s">
        <v>477</v>
      </c>
      <c r="D118" s="214" t="s">
        <v>415</v>
      </c>
      <c r="E118" s="314">
        <v>54000</v>
      </c>
      <c r="F118" s="213"/>
    </row>
    <row r="119" spans="1:6" ht="27" customHeight="1">
      <c r="A119" s="21"/>
      <c r="B119" s="191" t="s">
        <v>15</v>
      </c>
      <c r="C119" s="30">
        <v>2</v>
      </c>
      <c r="D119" s="220"/>
      <c r="E119" s="321">
        <v>108000</v>
      </c>
      <c r="F119" s="213"/>
    </row>
    <row r="120" spans="1:6" ht="20.100000000000001" customHeight="1">
      <c r="A120" s="21"/>
      <c r="B120" s="141"/>
      <c r="C120" s="29"/>
      <c r="D120" s="21"/>
      <c r="E120" s="322"/>
      <c r="F120" s="213"/>
    </row>
    <row r="121" spans="1:6" ht="20.100000000000001" customHeight="1">
      <c r="A121" s="21"/>
      <c r="B121" s="191" t="s">
        <v>466</v>
      </c>
      <c r="C121" s="30"/>
      <c r="D121" s="30"/>
      <c r="E121" s="314"/>
      <c r="F121" s="213"/>
    </row>
    <row r="122" spans="1:6" ht="20.100000000000001" customHeight="1">
      <c r="A122" s="21">
        <v>1</v>
      </c>
      <c r="B122" s="188" t="s">
        <v>20</v>
      </c>
      <c r="C122" s="287" t="s">
        <v>250</v>
      </c>
      <c r="D122" s="214" t="s">
        <v>161</v>
      </c>
      <c r="E122" s="314">
        <v>270000</v>
      </c>
      <c r="F122" s="213"/>
    </row>
    <row r="123" spans="1:6" ht="20.100000000000001" customHeight="1">
      <c r="A123" s="21">
        <v>2</v>
      </c>
      <c r="B123" s="188" t="s">
        <v>153</v>
      </c>
      <c r="C123" s="287" t="s">
        <v>376</v>
      </c>
      <c r="D123" s="214" t="s">
        <v>75</v>
      </c>
      <c r="E123" s="314">
        <v>126000</v>
      </c>
      <c r="F123" s="213"/>
    </row>
    <row r="124" spans="1:6" ht="20.100000000000001" customHeight="1">
      <c r="A124" s="21">
        <v>3</v>
      </c>
      <c r="B124" s="190" t="s">
        <v>142</v>
      </c>
      <c r="C124" s="287" t="s">
        <v>376</v>
      </c>
      <c r="D124" s="214" t="s">
        <v>75</v>
      </c>
      <c r="E124" s="314">
        <v>126000</v>
      </c>
      <c r="F124" s="213"/>
    </row>
    <row r="125" spans="1:6" ht="20.100000000000001" customHeight="1">
      <c r="A125" s="21">
        <v>4</v>
      </c>
      <c r="B125" s="190" t="s">
        <v>363</v>
      </c>
      <c r="C125" s="287" t="s">
        <v>376</v>
      </c>
      <c r="D125" s="214" t="s">
        <v>30</v>
      </c>
      <c r="E125" s="314">
        <v>126000</v>
      </c>
      <c r="F125" s="213"/>
    </row>
    <row r="126" spans="1:6" ht="20.100000000000001" customHeight="1">
      <c r="A126" s="21">
        <v>5</v>
      </c>
      <c r="B126" s="188" t="s">
        <v>108</v>
      </c>
      <c r="C126" s="287" t="s">
        <v>476</v>
      </c>
      <c r="D126" s="214" t="s">
        <v>162</v>
      </c>
      <c r="E126" s="314">
        <v>90000</v>
      </c>
      <c r="F126" s="213"/>
    </row>
    <row r="127" spans="1:6" ht="20.100000000000001" customHeight="1">
      <c r="A127" s="21">
        <v>6</v>
      </c>
      <c r="B127" s="188" t="s">
        <v>178</v>
      </c>
      <c r="C127" s="287" t="s">
        <v>382</v>
      </c>
      <c r="D127" s="214" t="s">
        <v>170</v>
      </c>
      <c r="E127" s="314">
        <v>90000</v>
      </c>
      <c r="F127" s="213"/>
    </row>
    <row r="128" spans="1:6" ht="20.100000000000001" customHeight="1">
      <c r="A128" s="21">
        <v>7</v>
      </c>
      <c r="B128" s="188" t="s">
        <v>134</v>
      </c>
      <c r="C128" s="287" t="s">
        <v>384</v>
      </c>
      <c r="D128" s="214" t="s">
        <v>170</v>
      </c>
      <c r="E128" s="314">
        <v>90000</v>
      </c>
      <c r="F128" s="213"/>
    </row>
    <row r="129" spans="1:6" ht="20.100000000000001" customHeight="1">
      <c r="A129" s="21">
        <v>8</v>
      </c>
      <c r="B129" s="188" t="s">
        <v>443</v>
      </c>
      <c r="C129" s="287" t="s">
        <v>447</v>
      </c>
      <c r="D129" s="29" t="s">
        <v>498</v>
      </c>
      <c r="E129" s="314">
        <v>54000</v>
      </c>
      <c r="F129" s="213"/>
    </row>
    <row r="130" spans="1:6" ht="20.100000000000001" customHeight="1">
      <c r="A130" s="21">
        <v>9</v>
      </c>
      <c r="B130" s="189" t="s">
        <v>439</v>
      </c>
      <c r="C130" s="287" t="s">
        <v>440</v>
      </c>
      <c r="D130" s="214" t="s">
        <v>176</v>
      </c>
      <c r="E130" s="314">
        <v>54000</v>
      </c>
      <c r="F130" s="213"/>
    </row>
    <row r="131" spans="1:6" ht="20.100000000000001" customHeight="1">
      <c r="A131" s="21"/>
      <c r="B131" s="191" t="s">
        <v>15</v>
      </c>
      <c r="C131" s="220" t="s">
        <v>377</v>
      </c>
      <c r="D131" s="214"/>
      <c r="E131" s="323">
        <v>1026000</v>
      </c>
      <c r="F131" s="213"/>
    </row>
    <row r="132" spans="1:6" ht="20.100000000000001" customHeight="1">
      <c r="A132" s="21"/>
      <c r="B132" s="141"/>
      <c r="C132" s="220"/>
      <c r="D132" s="214"/>
      <c r="E132" s="324"/>
      <c r="F132" s="213"/>
    </row>
    <row r="133" spans="1:6" ht="20.100000000000001" customHeight="1">
      <c r="A133" s="21"/>
      <c r="B133" s="191" t="s">
        <v>467</v>
      </c>
      <c r="C133" s="287"/>
      <c r="D133" s="214"/>
      <c r="E133" s="314"/>
      <c r="F133" s="213"/>
    </row>
    <row r="134" spans="1:6" ht="20.100000000000001" customHeight="1">
      <c r="A134" s="224">
        <v>1</v>
      </c>
      <c r="B134" s="188" t="s">
        <v>21</v>
      </c>
      <c r="C134" s="287" t="s">
        <v>393</v>
      </c>
      <c r="D134" s="214" t="s">
        <v>161</v>
      </c>
      <c r="E134" s="314">
        <v>270000</v>
      </c>
      <c r="F134" s="213"/>
    </row>
    <row r="135" spans="1:6" ht="20.100000000000001" customHeight="1">
      <c r="A135" s="224">
        <v>2</v>
      </c>
      <c r="B135" s="188" t="s">
        <v>107</v>
      </c>
      <c r="C135" s="287" t="s">
        <v>394</v>
      </c>
      <c r="D135" s="214" t="s">
        <v>160</v>
      </c>
      <c r="E135" s="314">
        <v>180000</v>
      </c>
      <c r="F135" s="213"/>
    </row>
    <row r="136" spans="1:6" ht="20.100000000000001" customHeight="1">
      <c r="A136" s="224">
        <v>3</v>
      </c>
      <c r="B136" s="190" t="s">
        <v>183</v>
      </c>
      <c r="C136" s="21" t="s">
        <v>486</v>
      </c>
      <c r="D136" s="25" t="s">
        <v>221</v>
      </c>
      <c r="E136" s="314">
        <v>180000</v>
      </c>
      <c r="F136" s="213"/>
    </row>
    <row r="137" spans="1:6" ht="20.100000000000001" customHeight="1">
      <c r="A137" s="224">
        <v>4</v>
      </c>
      <c r="B137" s="188" t="s">
        <v>106</v>
      </c>
      <c r="C137" s="287" t="s">
        <v>381</v>
      </c>
      <c r="D137" s="214" t="s">
        <v>181</v>
      </c>
      <c r="E137" s="314">
        <v>90000</v>
      </c>
      <c r="F137" s="213"/>
    </row>
    <row r="138" spans="1:6" ht="20.100000000000001" customHeight="1">
      <c r="A138" s="224">
        <v>5</v>
      </c>
      <c r="B138" s="188" t="s">
        <v>7</v>
      </c>
      <c r="C138" s="21" t="s">
        <v>385</v>
      </c>
      <c r="D138" s="214" t="s">
        <v>181</v>
      </c>
      <c r="E138" s="314">
        <v>90000</v>
      </c>
      <c r="F138" s="213"/>
    </row>
    <row r="139" spans="1:6" ht="20.100000000000001" customHeight="1">
      <c r="A139" s="224">
        <v>6</v>
      </c>
      <c r="B139" s="188" t="s">
        <v>124</v>
      </c>
      <c r="C139" s="21" t="s">
        <v>235</v>
      </c>
      <c r="D139" s="214" t="s">
        <v>170</v>
      </c>
      <c r="E139" s="314">
        <v>90000</v>
      </c>
      <c r="F139" s="213"/>
    </row>
    <row r="140" spans="1:6" ht="20.100000000000001" customHeight="1">
      <c r="A140" s="224">
        <v>7</v>
      </c>
      <c r="B140" s="188" t="s">
        <v>102</v>
      </c>
      <c r="C140" s="287" t="s">
        <v>395</v>
      </c>
      <c r="D140" s="214" t="s">
        <v>497</v>
      </c>
      <c r="E140" s="314">
        <v>54000</v>
      </c>
      <c r="F140" s="213"/>
    </row>
    <row r="141" spans="1:6" ht="20.100000000000001" customHeight="1">
      <c r="A141" s="224">
        <v>8</v>
      </c>
      <c r="B141" s="188" t="s">
        <v>103</v>
      </c>
      <c r="C141" s="287" t="s">
        <v>395</v>
      </c>
      <c r="D141" s="214" t="s">
        <v>497</v>
      </c>
      <c r="E141" s="314">
        <v>54000</v>
      </c>
      <c r="F141" s="213"/>
    </row>
    <row r="142" spans="1:6" ht="20.100000000000001" customHeight="1">
      <c r="A142" s="224">
        <v>9</v>
      </c>
      <c r="B142" s="188" t="s">
        <v>151</v>
      </c>
      <c r="C142" s="21" t="s">
        <v>235</v>
      </c>
      <c r="D142" s="214" t="s">
        <v>497</v>
      </c>
      <c r="E142" s="314">
        <v>54000</v>
      </c>
      <c r="F142" s="213"/>
    </row>
    <row r="143" spans="1:6" ht="20.100000000000001" customHeight="1">
      <c r="A143" s="224">
        <v>10</v>
      </c>
      <c r="B143" s="188" t="s">
        <v>238</v>
      </c>
      <c r="C143" s="287" t="s">
        <v>479</v>
      </c>
      <c r="D143" s="214" t="s">
        <v>415</v>
      </c>
      <c r="E143" s="314">
        <v>54000</v>
      </c>
      <c r="F143" s="213"/>
    </row>
    <row r="144" spans="1:6" ht="20.100000000000001" customHeight="1">
      <c r="A144" s="224">
        <v>11</v>
      </c>
      <c r="B144" s="188" t="s">
        <v>53</v>
      </c>
      <c r="C144" s="287" t="s">
        <v>300</v>
      </c>
      <c r="D144" s="214" t="s">
        <v>27</v>
      </c>
      <c r="E144" s="314">
        <v>54000</v>
      </c>
      <c r="F144" s="213"/>
    </row>
    <row r="145" spans="1:6" ht="20.100000000000001" customHeight="1">
      <c r="A145" s="224">
        <v>12</v>
      </c>
      <c r="B145" s="188" t="s">
        <v>179</v>
      </c>
      <c r="C145" s="287" t="s">
        <v>479</v>
      </c>
      <c r="D145" s="214" t="s">
        <v>497</v>
      </c>
      <c r="E145" s="314">
        <v>54000</v>
      </c>
      <c r="F145" s="213"/>
    </row>
    <row r="146" spans="1:6" ht="20.100000000000001" customHeight="1">
      <c r="A146" s="224">
        <v>13</v>
      </c>
      <c r="B146" s="189" t="s">
        <v>293</v>
      </c>
      <c r="C146" s="21" t="s">
        <v>438</v>
      </c>
      <c r="D146" s="214" t="s">
        <v>27</v>
      </c>
      <c r="E146" s="314">
        <v>54000</v>
      </c>
      <c r="F146" s="213"/>
    </row>
    <row r="147" spans="1:6" ht="20.100000000000001" customHeight="1">
      <c r="A147" s="224">
        <v>14</v>
      </c>
      <c r="B147" s="188" t="s">
        <v>488</v>
      </c>
      <c r="C147" s="21" t="s">
        <v>239</v>
      </c>
      <c r="D147" s="214" t="s">
        <v>207</v>
      </c>
      <c r="E147" s="314">
        <v>54000</v>
      </c>
      <c r="F147" s="213"/>
    </row>
    <row r="148" spans="1:6" ht="20.100000000000001" customHeight="1">
      <c r="A148" s="224">
        <v>15</v>
      </c>
      <c r="B148" s="188" t="s">
        <v>489</v>
      </c>
      <c r="C148" s="21" t="s">
        <v>239</v>
      </c>
      <c r="D148" s="214" t="s">
        <v>164</v>
      </c>
      <c r="E148" s="314">
        <v>54000</v>
      </c>
      <c r="F148" s="213"/>
    </row>
    <row r="149" spans="1:6" ht="20.100000000000001" customHeight="1">
      <c r="A149" s="224">
        <v>16</v>
      </c>
      <c r="B149" s="188" t="s">
        <v>212</v>
      </c>
      <c r="C149" s="21" t="s">
        <v>239</v>
      </c>
      <c r="D149" s="214" t="s">
        <v>164</v>
      </c>
      <c r="E149" s="314">
        <v>54000</v>
      </c>
      <c r="F149" s="213"/>
    </row>
    <row r="150" spans="1:6" ht="20.100000000000001" customHeight="1">
      <c r="A150" s="224">
        <v>17</v>
      </c>
      <c r="B150" s="188" t="s">
        <v>425</v>
      </c>
      <c r="C150" s="287" t="s">
        <v>430</v>
      </c>
      <c r="D150" s="214" t="s">
        <v>104</v>
      </c>
      <c r="E150" s="314">
        <v>54000</v>
      </c>
      <c r="F150" s="213"/>
    </row>
    <row r="151" spans="1:6" ht="20.100000000000001" customHeight="1">
      <c r="A151" s="224">
        <v>18</v>
      </c>
      <c r="B151" s="188" t="s">
        <v>437</v>
      </c>
      <c r="C151" s="287" t="s">
        <v>438</v>
      </c>
      <c r="D151" s="29" t="s">
        <v>428</v>
      </c>
      <c r="E151" s="314">
        <v>54000</v>
      </c>
      <c r="F151" s="213"/>
    </row>
    <row r="152" spans="1:6" ht="20.100000000000001" customHeight="1">
      <c r="A152" s="224">
        <v>19</v>
      </c>
      <c r="B152" s="188" t="s">
        <v>230</v>
      </c>
      <c r="C152" s="287" t="s">
        <v>485</v>
      </c>
      <c r="D152" s="214" t="s">
        <v>207</v>
      </c>
      <c r="E152" s="314">
        <v>54000</v>
      </c>
      <c r="F152" s="213"/>
    </row>
    <row r="153" spans="1:6" ht="20.100000000000001" customHeight="1">
      <c r="A153" s="224">
        <v>20</v>
      </c>
      <c r="B153" s="188" t="s">
        <v>57</v>
      </c>
      <c r="C153" s="287" t="s">
        <v>481</v>
      </c>
      <c r="D153" s="214" t="s">
        <v>498</v>
      </c>
      <c r="E153" s="314">
        <v>54000</v>
      </c>
      <c r="F153" s="213"/>
    </row>
    <row r="154" spans="1:6" ht="20.100000000000001" customHeight="1">
      <c r="A154" s="224">
        <v>21</v>
      </c>
      <c r="B154" s="188" t="s">
        <v>251</v>
      </c>
      <c r="C154" s="287" t="s">
        <v>482</v>
      </c>
      <c r="D154" s="214" t="s">
        <v>207</v>
      </c>
      <c r="E154" s="314">
        <v>54000</v>
      </c>
      <c r="F154" s="213"/>
    </row>
    <row r="155" spans="1:6" ht="20.100000000000001" customHeight="1">
      <c r="A155" s="224">
        <v>22</v>
      </c>
      <c r="B155" s="188" t="s">
        <v>241</v>
      </c>
      <c r="C155" s="287" t="s">
        <v>348</v>
      </c>
      <c r="D155" s="214" t="s">
        <v>498</v>
      </c>
      <c r="E155" s="314">
        <v>54000</v>
      </c>
      <c r="F155" s="213"/>
    </row>
    <row r="156" spans="1:6" ht="20.100000000000001" customHeight="1">
      <c r="A156" s="224">
        <v>23</v>
      </c>
      <c r="B156" s="189" t="s">
        <v>289</v>
      </c>
      <c r="C156" s="287" t="s">
        <v>290</v>
      </c>
      <c r="D156" s="214" t="s">
        <v>267</v>
      </c>
      <c r="E156" s="314">
        <v>54000</v>
      </c>
      <c r="F156" s="213"/>
    </row>
    <row r="157" spans="1:6" ht="20.100000000000001" customHeight="1">
      <c r="A157" s="224">
        <v>24</v>
      </c>
      <c r="B157" s="189" t="s">
        <v>407</v>
      </c>
      <c r="C157" s="287" t="s">
        <v>131</v>
      </c>
      <c r="D157" s="214" t="s">
        <v>105</v>
      </c>
      <c r="E157" s="314">
        <v>54000</v>
      </c>
      <c r="F157" s="213"/>
    </row>
    <row r="158" spans="1:6" ht="20.100000000000001" customHeight="1">
      <c r="A158" s="224">
        <v>25</v>
      </c>
      <c r="B158" s="189" t="s">
        <v>426</v>
      </c>
      <c r="C158" s="287" t="s">
        <v>290</v>
      </c>
      <c r="D158" s="214" t="s">
        <v>105</v>
      </c>
      <c r="E158" s="314">
        <v>54000</v>
      </c>
      <c r="F158" s="213"/>
    </row>
    <row r="159" spans="1:6" ht="20.100000000000001" customHeight="1">
      <c r="A159" s="224">
        <v>26</v>
      </c>
      <c r="B159" s="189" t="s">
        <v>441</v>
      </c>
      <c r="C159" s="287" t="s">
        <v>442</v>
      </c>
      <c r="D159" s="214" t="s">
        <v>176</v>
      </c>
      <c r="E159" s="314">
        <v>54000</v>
      </c>
      <c r="F159" s="213"/>
    </row>
    <row r="160" spans="1:6" ht="20.100000000000001" customHeight="1">
      <c r="A160" s="224">
        <v>27</v>
      </c>
      <c r="B160" s="189" t="s">
        <v>445</v>
      </c>
      <c r="C160" s="287" t="s">
        <v>446</v>
      </c>
      <c r="D160" s="214" t="s">
        <v>176</v>
      </c>
      <c r="E160" s="314">
        <v>54000</v>
      </c>
      <c r="F160" s="213"/>
    </row>
    <row r="161" spans="1:6" ht="20.100000000000001" customHeight="1">
      <c r="A161" s="224">
        <v>28</v>
      </c>
      <c r="B161" s="188" t="s">
        <v>22</v>
      </c>
      <c r="C161" s="287" t="s">
        <v>302</v>
      </c>
      <c r="D161" s="214" t="s">
        <v>501</v>
      </c>
      <c r="E161" s="314">
        <v>36000</v>
      </c>
      <c r="F161" s="213"/>
    </row>
    <row r="162" spans="1:6" ht="20.100000000000001" customHeight="1">
      <c r="A162" s="224">
        <v>29</v>
      </c>
      <c r="B162" s="188" t="s">
        <v>14</v>
      </c>
      <c r="C162" s="287" t="s">
        <v>302</v>
      </c>
      <c r="D162" s="214" t="s">
        <v>501</v>
      </c>
      <c r="E162" s="314">
        <v>36000</v>
      </c>
      <c r="F162" s="213"/>
    </row>
    <row r="163" spans="1:6" ht="20.100000000000001" customHeight="1">
      <c r="A163" s="224">
        <v>30</v>
      </c>
      <c r="B163" s="188" t="s">
        <v>23</v>
      </c>
      <c r="C163" s="287" t="s">
        <v>302</v>
      </c>
      <c r="D163" s="214" t="s">
        <v>501</v>
      </c>
      <c r="E163" s="314">
        <v>36000</v>
      </c>
      <c r="F163" s="213"/>
    </row>
    <row r="164" spans="1:6" ht="20.100000000000001" customHeight="1">
      <c r="A164" s="224">
        <v>32</v>
      </c>
      <c r="B164" s="188" t="s">
        <v>39</v>
      </c>
      <c r="C164" s="287" t="s">
        <v>302</v>
      </c>
      <c r="D164" s="214" t="s">
        <v>501</v>
      </c>
      <c r="E164" s="314">
        <v>36000</v>
      </c>
      <c r="F164" s="213"/>
    </row>
    <row r="165" spans="1:6" ht="20.100000000000001" customHeight="1">
      <c r="A165" s="224">
        <v>33</v>
      </c>
      <c r="B165" s="188" t="s">
        <v>40</v>
      </c>
      <c r="C165" s="287" t="s">
        <v>302</v>
      </c>
      <c r="D165" s="214" t="s">
        <v>501</v>
      </c>
      <c r="E165" s="314">
        <v>36000</v>
      </c>
      <c r="F165" s="213"/>
    </row>
    <row r="166" spans="1:6" ht="20.100000000000001" customHeight="1">
      <c r="A166" s="224">
        <v>34</v>
      </c>
      <c r="B166" s="188" t="s">
        <v>127</v>
      </c>
      <c r="C166" s="287" t="s">
        <v>302</v>
      </c>
      <c r="D166" s="214" t="s">
        <v>416</v>
      </c>
      <c r="E166" s="314">
        <v>36000</v>
      </c>
      <c r="F166" s="213"/>
    </row>
    <row r="167" spans="1:6" ht="20.100000000000001" customHeight="1">
      <c r="A167" s="224">
        <v>35</v>
      </c>
      <c r="B167" s="188" t="s">
        <v>128</v>
      </c>
      <c r="C167" s="287" t="s">
        <v>302</v>
      </c>
      <c r="D167" s="214" t="s">
        <v>416</v>
      </c>
      <c r="E167" s="314">
        <v>36000</v>
      </c>
      <c r="F167" s="213"/>
    </row>
    <row r="168" spans="1:6" ht="20.100000000000001" customHeight="1">
      <c r="A168" s="224">
        <v>36</v>
      </c>
      <c r="B168" s="190" t="s">
        <v>136</v>
      </c>
      <c r="C168" s="287" t="s">
        <v>302</v>
      </c>
      <c r="D168" s="214" t="s">
        <v>416</v>
      </c>
      <c r="E168" s="314">
        <v>36000</v>
      </c>
      <c r="F168" s="213"/>
    </row>
    <row r="169" spans="1:6" ht="20.100000000000001" customHeight="1">
      <c r="A169" s="224">
        <v>37</v>
      </c>
      <c r="B169" s="188" t="s">
        <v>140</v>
      </c>
      <c r="C169" s="287" t="s">
        <v>302</v>
      </c>
      <c r="D169" s="214" t="s">
        <v>416</v>
      </c>
      <c r="E169" s="314">
        <v>36000</v>
      </c>
      <c r="F169" s="213"/>
    </row>
    <row r="170" spans="1:6" ht="20.100000000000001" customHeight="1">
      <c r="A170" s="224">
        <v>38</v>
      </c>
      <c r="B170" s="189" t="s">
        <v>152</v>
      </c>
      <c r="C170" s="287" t="s">
        <v>302</v>
      </c>
      <c r="D170" s="214" t="s">
        <v>416</v>
      </c>
      <c r="E170" s="314">
        <v>36000</v>
      </c>
      <c r="F170" s="213"/>
    </row>
    <row r="171" spans="1:6" ht="20.100000000000001" customHeight="1">
      <c r="A171" s="224">
        <v>39</v>
      </c>
      <c r="B171" s="189" t="s">
        <v>132</v>
      </c>
      <c r="C171" s="287" t="s">
        <v>302</v>
      </c>
      <c r="D171" s="214" t="s">
        <v>416</v>
      </c>
      <c r="E171" s="314">
        <v>36000</v>
      </c>
      <c r="F171" s="213"/>
    </row>
    <row r="172" spans="1:6" ht="20.100000000000001" customHeight="1">
      <c r="A172" s="224">
        <v>40</v>
      </c>
      <c r="B172" s="188" t="s">
        <v>231</v>
      </c>
      <c r="C172" s="287" t="s">
        <v>167</v>
      </c>
      <c r="D172" s="214" t="s">
        <v>263</v>
      </c>
      <c r="E172" s="314">
        <v>36000</v>
      </c>
      <c r="F172" s="213"/>
    </row>
    <row r="173" spans="1:6" ht="20.100000000000001" customHeight="1">
      <c r="A173" s="224">
        <v>41</v>
      </c>
      <c r="B173" s="188" t="s">
        <v>246</v>
      </c>
      <c r="C173" s="287" t="s">
        <v>167</v>
      </c>
      <c r="D173" s="214" t="s">
        <v>263</v>
      </c>
      <c r="E173" s="314">
        <v>36000</v>
      </c>
      <c r="F173" s="213"/>
    </row>
    <row r="174" spans="1:6" ht="20.100000000000001" customHeight="1">
      <c r="A174" s="224">
        <v>42</v>
      </c>
      <c r="B174" s="189" t="s">
        <v>166</v>
      </c>
      <c r="C174" s="287" t="s">
        <v>167</v>
      </c>
      <c r="D174" s="214" t="s">
        <v>223</v>
      </c>
      <c r="E174" s="314">
        <v>36000</v>
      </c>
      <c r="F174" s="213"/>
    </row>
    <row r="175" spans="1:6" ht="20.100000000000001" customHeight="1">
      <c r="A175" s="224">
        <v>43</v>
      </c>
      <c r="B175" s="188" t="s">
        <v>204</v>
      </c>
      <c r="C175" s="287" t="s">
        <v>167</v>
      </c>
      <c r="D175" s="214" t="s">
        <v>177</v>
      </c>
      <c r="E175" s="314">
        <v>36000</v>
      </c>
      <c r="F175" s="213"/>
    </row>
    <row r="176" spans="1:6" ht="20.100000000000001" customHeight="1">
      <c r="A176" s="224">
        <v>44</v>
      </c>
      <c r="B176" s="188" t="s">
        <v>209</v>
      </c>
      <c r="C176" s="287" t="s">
        <v>13</v>
      </c>
      <c r="D176" s="214" t="s">
        <v>502</v>
      </c>
      <c r="E176" s="314">
        <v>36000</v>
      </c>
      <c r="F176" s="213"/>
    </row>
    <row r="177" spans="1:6" ht="20.100000000000001" customHeight="1">
      <c r="A177" s="224">
        <v>45</v>
      </c>
      <c r="B177" s="188" t="s">
        <v>218</v>
      </c>
      <c r="C177" s="287" t="s">
        <v>13</v>
      </c>
      <c r="D177" s="214" t="s">
        <v>502</v>
      </c>
      <c r="E177" s="314">
        <v>36000</v>
      </c>
      <c r="F177" s="213"/>
    </row>
    <row r="178" spans="1:6" ht="20.100000000000001" customHeight="1">
      <c r="A178" s="224">
        <v>46</v>
      </c>
      <c r="B178" s="188" t="s">
        <v>219</v>
      </c>
      <c r="C178" s="287" t="s">
        <v>13</v>
      </c>
      <c r="D178" s="214" t="s">
        <v>502</v>
      </c>
      <c r="E178" s="314">
        <v>36000</v>
      </c>
      <c r="F178" s="213"/>
    </row>
    <row r="179" spans="1:6" ht="20.100000000000001" customHeight="1">
      <c r="A179" s="224">
        <v>47</v>
      </c>
      <c r="B179" s="188" t="s">
        <v>211</v>
      </c>
      <c r="C179" s="287" t="s">
        <v>13</v>
      </c>
      <c r="D179" s="214" t="s">
        <v>502</v>
      </c>
      <c r="E179" s="314">
        <v>36000</v>
      </c>
      <c r="F179" s="213"/>
    </row>
    <row r="180" spans="1:6" ht="20.100000000000001" customHeight="1">
      <c r="A180" s="224">
        <v>48</v>
      </c>
      <c r="B180" s="188" t="s">
        <v>213</v>
      </c>
      <c r="C180" s="287" t="s">
        <v>13</v>
      </c>
      <c r="D180" s="214" t="s">
        <v>502</v>
      </c>
      <c r="E180" s="314">
        <v>36000</v>
      </c>
      <c r="F180" s="213"/>
    </row>
    <row r="181" spans="1:6" ht="20.100000000000001" customHeight="1">
      <c r="A181" s="224">
        <v>49</v>
      </c>
      <c r="B181" s="189" t="s">
        <v>342</v>
      </c>
      <c r="C181" s="287" t="s">
        <v>13</v>
      </c>
      <c r="D181" s="214" t="s">
        <v>502</v>
      </c>
      <c r="E181" s="314">
        <v>36000</v>
      </c>
      <c r="F181" s="213"/>
    </row>
    <row r="182" spans="1:6" ht="20.100000000000001" customHeight="1">
      <c r="A182" s="224">
        <v>50</v>
      </c>
      <c r="B182" s="189" t="s">
        <v>405</v>
      </c>
      <c r="C182" s="287" t="s">
        <v>13</v>
      </c>
      <c r="D182" s="214" t="s">
        <v>502</v>
      </c>
      <c r="E182" s="314">
        <v>36000</v>
      </c>
      <c r="F182" s="213"/>
    </row>
    <row r="183" spans="1:6" ht="20.100000000000001" customHeight="1">
      <c r="A183" s="224">
        <v>51</v>
      </c>
      <c r="B183" s="188" t="s">
        <v>232</v>
      </c>
      <c r="C183" s="287" t="s">
        <v>167</v>
      </c>
      <c r="D183" s="214" t="s">
        <v>502</v>
      </c>
      <c r="E183" s="314">
        <v>36000</v>
      </c>
      <c r="F183" s="213"/>
    </row>
    <row r="184" spans="1:6" ht="20.100000000000001" customHeight="1">
      <c r="A184" s="224">
        <v>52</v>
      </c>
      <c r="B184" s="188" t="s">
        <v>233</v>
      </c>
      <c r="C184" s="287" t="s">
        <v>167</v>
      </c>
      <c r="D184" s="214" t="s">
        <v>502</v>
      </c>
      <c r="E184" s="314">
        <v>36000</v>
      </c>
      <c r="F184" s="213"/>
    </row>
    <row r="185" spans="1:6" ht="20.100000000000001" customHeight="1">
      <c r="A185" s="224">
        <v>53</v>
      </c>
      <c r="B185" s="189" t="s">
        <v>279</v>
      </c>
      <c r="C185" s="287" t="s">
        <v>13</v>
      </c>
      <c r="D185" s="214" t="s">
        <v>503</v>
      </c>
      <c r="E185" s="314">
        <v>36000</v>
      </c>
      <c r="F185" s="213"/>
    </row>
    <row r="186" spans="1:6" ht="20.100000000000001" customHeight="1">
      <c r="A186" s="224">
        <v>54</v>
      </c>
      <c r="B186" s="189" t="s">
        <v>403</v>
      </c>
      <c r="C186" s="287" t="s">
        <v>13</v>
      </c>
      <c r="D186" s="214" t="s">
        <v>264</v>
      </c>
      <c r="E186" s="314">
        <v>36000</v>
      </c>
      <c r="F186" s="213"/>
    </row>
    <row r="187" spans="1:6" ht="20.100000000000001" customHeight="1">
      <c r="A187" s="224"/>
      <c r="B187" s="210" t="s">
        <v>15</v>
      </c>
      <c r="C187" s="226" t="s">
        <v>544</v>
      </c>
      <c r="D187" s="23"/>
      <c r="E187" s="325">
        <v>2970000</v>
      </c>
      <c r="F187" s="213"/>
    </row>
    <row r="188" spans="1:6" ht="9" customHeight="1">
      <c r="A188" s="224"/>
      <c r="B188" s="210"/>
      <c r="C188" s="226"/>
      <c r="D188" s="23"/>
      <c r="E188" s="325"/>
      <c r="F188" s="213"/>
    </row>
    <row r="189" spans="1:6" ht="40.5" customHeight="1">
      <c r="A189" s="21"/>
      <c r="B189" s="304" t="s">
        <v>8</v>
      </c>
      <c r="C189" s="305">
        <f>C35+C40+C55+C60+C76+C84+C97+C104+C114+C131+C187</f>
        <v>145</v>
      </c>
      <c r="D189" s="306"/>
      <c r="E189" s="307">
        <f>E187+E131+E119+E114+E104+E97+E84+E76+E60+E55+E40+E35</f>
        <v>13068000</v>
      </c>
      <c r="F189" s="213"/>
    </row>
    <row r="190" spans="1:6" ht="20.100000000000001" customHeight="1">
      <c r="A190" s="202"/>
      <c r="B190" s="231"/>
      <c r="C190" s="202"/>
      <c r="D190" s="232"/>
      <c r="E190" s="232"/>
      <c r="F190" s="235"/>
    </row>
    <row r="191" spans="1:6" ht="65.25" customHeight="1">
      <c r="A191" s="202"/>
      <c r="B191" s="231"/>
      <c r="C191" s="232"/>
      <c r="D191" s="232"/>
      <c r="E191" s="232"/>
      <c r="F191" s="327"/>
    </row>
    <row r="192" spans="1:6" ht="20.100000000000001" customHeight="1">
      <c r="F192" s="327"/>
    </row>
    <row r="193" spans="6:6" ht="20.100000000000001" customHeight="1">
      <c r="F193" s="327"/>
    </row>
    <row r="194" spans="6:6" ht="20.100000000000001" customHeight="1">
      <c r="F194" s="327">
        <f>SUM(F191:F193)</f>
        <v>0</v>
      </c>
    </row>
  </sheetData>
  <pageMargins left="0.23622047244094491" right="0.23622047244094491" top="0.98425196850393704" bottom="0.98425196850393704" header="0.51181102362204722" footer="0.51181102362204722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zoomScaleSheetLayoutView="100" workbookViewId="0">
      <pane xSplit="3" ySplit="6" topLeftCell="D28" activePane="bottomRight" state="frozen"/>
      <selection pane="topRight" activeCell="E1" sqref="E1"/>
      <selection pane="bottomLeft" activeCell="A10" sqref="A10"/>
      <selection pane="bottomRight" activeCell="E49" sqref="E49"/>
    </sheetView>
  </sheetViews>
  <sheetFormatPr defaultColWidth="9.140625" defaultRowHeight="20.100000000000001" customHeight="1"/>
  <cols>
    <col min="1" max="1" width="5.42578125" style="196" customWidth="1"/>
    <col min="2" max="2" width="43.85546875" style="196" customWidth="1"/>
    <col min="3" max="3" width="40.42578125" style="196" customWidth="1"/>
    <col min="4" max="4" width="11.5703125" style="196" customWidth="1"/>
    <col min="5" max="5" width="17.7109375" style="196" customWidth="1"/>
    <col min="6" max="6" width="20.42578125" style="196" customWidth="1"/>
    <col min="7" max="7" width="19.5703125" style="196" customWidth="1"/>
    <col min="8" max="8" width="20.140625" style="196" customWidth="1"/>
    <col min="9" max="9" width="21.7109375" style="196" customWidth="1"/>
    <col min="10" max="16384" width="9.140625" style="196"/>
  </cols>
  <sheetData>
    <row r="1" spans="1:9" ht="27" customHeight="1">
      <c r="A1" s="705" t="s">
        <v>234</v>
      </c>
      <c r="B1" s="705"/>
      <c r="C1" s="705"/>
      <c r="D1" s="705"/>
    </row>
    <row r="2" spans="1:9" ht="33.75" customHeight="1">
      <c r="A2" s="197" t="s">
        <v>495</v>
      </c>
      <c r="B2" s="198"/>
      <c r="C2" s="197"/>
      <c r="D2" s="197"/>
      <c r="E2" s="201"/>
      <c r="F2" s="201"/>
      <c r="G2" s="201"/>
    </row>
    <row r="3" spans="1:9" ht="9.75" customHeight="1">
      <c r="A3" s="202"/>
      <c r="B3" s="202"/>
      <c r="C3" s="202"/>
      <c r="D3" s="202"/>
    </row>
    <row r="4" spans="1:9" ht="45" customHeight="1">
      <c r="A4" s="21"/>
      <c r="B4" s="203" t="s">
        <v>0</v>
      </c>
      <c r="C4" s="204" t="s">
        <v>12</v>
      </c>
      <c r="D4" s="205" t="s">
        <v>309</v>
      </c>
      <c r="E4" s="207" t="s">
        <v>370</v>
      </c>
      <c r="F4" s="207" t="s">
        <v>371</v>
      </c>
      <c r="G4" s="208" t="s">
        <v>508</v>
      </c>
    </row>
    <row r="5" spans="1:9" ht="20.100000000000001" customHeight="1">
      <c r="A5" s="209" t="s">
        <v>143</v>
      </c>
      <c r="B5" s="210" t="s">
        <v>433</v>
      </c>
      <c r="C5" s="210"/>
      <c r="D5" s="210"/>
      <c r="E5" s="211" t="s">
        <v>5</v>
      </c>
      <c r="F5" s="249" t="s">
        <v>5</v>
      </c>
      <c r="G5" s="211" t="s">
        <v>5</v>
      </c>
    </row>
    <row r="6" spans="1:9" ht="20.100000000000001" customHeight="1">
      <c r="A6" s="29">
        <v>1</v>
      </c>
      <c r="B6" s="188" t="s">
        <v>224</v>
      </c>
      <c r="C6" s="287" t="s">
        <v>119</v>
      </c>
      <c r="D6" s="287" t="s">
        <v>34</v>
      </c>
      <c r="E6" s="24">
        <f>201165.84</f>
        <v>201165.84</v>
      </c>
      <c r="F6" s="240">
        <v>201165.83594666663</v>
      </c>
      <c r="G6" s="24">
        <v>0</v>
      </c>
      <c r="H6" s="213"/>
      <c r="I6" s="213"/>
    </row>
    <row r="7" spans="1:9" ht="20.100000000000001" customHeight="1">
      <c r="A7" s="29">
        <v>2</v>
      </c>
      <c r="B7" s="188" t="s">
        <v>137</v>
      </c>
      <c r="C7" s="21" t="s">
        <v>472</v>
      </c>
      <c r="D7" s="29" t="s">
        <v>160</v>
      </c>
      <c r="E7" s="26" t="e">
        <f>#REF!</f>
        <v>#REF!</v>
      </c>
      <c r="F7" s="240">
        <v>128510.39445866668</v>
      </c>
      <c r="G7" s="24" t="e">
        <f>F7-E7</f>
        <v>#REF!</v>
      </c>
      <c r="H7" s="213"/>
      <c r="I7" s="213"/>
    </row>
    <row r="8" spans="1:9" ht="20.100000000000001" customHeight="1">
      <c r="A8" s="29">
        <v>3</v>
      </c>
      <c r="B8" s="190" t="s">
        <v>225</v>
      </c>
      <c r="C8" s="21" t="s">
        <v>226</v>
      </c>
      <c r="D8" s="29" t="s">
        <v>160</v>
      </c>
      <c r="E8" s="24">
        <f>116473.51</f>
        <v>116473.51</v>
      </c>
      <c r="F8" s="240">
        <v>119107.95141866668</v>
      </c>
      <c r="G8" s="24">
        <f t="shared" ref="G8:G36" si="0">F8-E8</f>
        <v>2634.4414186666836</v>
      </c>
      <c r="H8" s="213"/>
      <c r="I8" s="213"/>
    </row>
    <row r="9" spans="1:9" ht="20.100000000000001" customHeight="1">
      <c r="A9" s="29">
        <v>4</v>
      </c>
      <c r="B9" s="188" t="s">
        <v>315</v>
      </c>
      <c r="C9" s="287" t="s">
        <v>316</v>
      </c>
      <c r="D9" s="29" t="s">
        <v>496</v>
      </c>
      <c r="E9" s="24">
        <f>79993.51</f>
        <v>79993.509999999995</v>
      </c>
      <c r="F9" s="240">
        <v>82627.951418666678</v>
      </c>
      <c r="G9" s="24">
        <f t="shared" si="0"/>
        <v>2634.4414186666836</v>
      </c>
      <c r="H9" s="213"/>
      <c r="I9" s="213"/>
    </row>
    <row r="10" spans="1:9" ht="20.100000000000001" customHeight="1">
      <c r="A10" s="29">
        <v>5</v>
      </c>
      <c r="B10" s="190" t="s">
        <v>317</v>
      </c>
      <c r="C10" s="21" t="s">
        <v>418</v>
      </c>
      <c r="D10" s="214" t="s">
        <v>221</v>
      </c>
      <c r="E10" s="26">
        <f>107095.69</f>
        <v>107095.69</v>
      </c>
      <c r="F10" s="240">
        <v>109730.05337066665</v>
      </c>
      <c r="G10" s="24">
        <f t="shared" si="0"/>
        <v>2634.3633706666442</v>
      </c>
      <c r="H10" s="213"/>
      <c r="I10" s="213"/>
    </row>
    <row r="11" spans="1:9" ht="20.100000000000001" customHeight="1">
      <c r="A11" s="29">
        <v>6</v>
      </c>
      <c r="B11" s="190" t="s">
        <v>112</v>
      </c>
      <c r="C11" s="21" t="s">
        <v>473</v>
      </c>
      <c r="D11" s="25" t="s">
        <v>221</v>
      </c>
      <c r="E11" s="24" t="e">
        <f>#REF!</f>
        <v>#REF!</v>
      </c>
      <c r="F11" s="240">
        <v>99032.677850666674</v>
      </c>
      <c r="G11" s="24" t="e">
        <f t="shared" si="0"/>
        <v>#REF!</v>
      </c>
      <c r="H11" s="213"/>
      <c r="I11" s="213"/>
    </row>
    <row r="12" spans="1:9" ht="20.100000000000001" customHeight="1">
      <c r="A12" s="29">
        <v>7</v>
      </c>
      <c r="B12" s="188" t="s">
        <v>187</v>
      </c>
      <c r="C12" s="155" t="s">
        <v>474</v>
      </c>
      <c r="D12" s="25" t="s">
        <v>221</v>
      </c>
      <c r="E12" s="26" t="e">
        <f>#REF!</f>
        <v>#REF!</v>
      </c>
      <c r="F12" s="240">
        <v>79832.677850666674</v>
      </c>
      <c r="G12" s="24" t="e">
        <f t="shared" si="0"/>
        <v>#REF!</v>
      </c>
      <c r="H12" s="213"/>
      <c r="I12" s="213"/>
    </row>
    <row r="13" spans="1:9" ht="20.100000000000001" customHeight="1">
      <c r="A13" s="29">
        <v>8</v>
      </c>
      <c r="B13" s="190" t="s">
        <v>203</v>
      </c>
      <c r="C13" s="21" t="s">
        <v>475</v>
      </c>
      <c r="D13" s="25" t="s">
        <v>221</v>
      </c>
      <c r="E13" s="24" t="e">
        <f>#REF!</f>
        <v>#REF!</v>
      </c>
      <c r="F13" s="240">
        <v>79832.677850666674</v>
      </c>
      <c r="G13" s="24" t="e">
        <f t="shared" si="0"/>
        <v>#REF!</v>
      </c>
      <c r="H13" s="213"/>
      <c r="I13" s="213"/>
    </row>
    <row r="14" spans="1:9" ht="20.100000000000001" customHeight="1">
      <c r="A14" s="29">
        <v>9</v>
      </c>
      <c r="B14" s="188" t="s">
        <v>111</v>
      </c>
      <c r="C14" s="287" t="s">
        <v>468</v>
      </c>
      <c r="D14" s="214" t="s">
        <v>75</v>
      </c>
      <c r="E14" s="26">
        <f>64436.1</f>
        <v>64436.1</v>
      </c>
      <c r="F14" s="240">
        <v>64436.103146666661</v>
      </c>
      <c r="G14" s="24">
        <f t="shared" si="0"/>
        <v>3.1466666623600759E-3</v>
      </c>
      <c r="H14" s="213"/>
      <c r="I14" s="213"/>
    </row>
    <row r="15" spans="1:9" ht="20.100000000000001" customHeight="1">
      <c r="A15" s="29">
        <v>10</v>
      </c>
      <c r="B15" s="189" t="s">
        <v>333</v>
      </c>
      <c r="C15" s="287" t="s">
        <v>387</v>
      </c>
      <c r="D15" s="29" t="s">
        <v>412</v>
      </c>
      <c r="E15" s="24">
        <f>60212.92</f>
        <v>60212.92</v>
      </c>
      <c r="F15" s="240">
        <v>62404.980266666658</v>
      </c>
      <c r="G15" s="24">
        <f t="shared" si="0"/>
        <v>2192.06026666666</v>
      </c>
      <c r="H15" s="213"/>
      <c r="I15" s="213"/>
    </row>
    <row r="16" spans="1:9" ht="20.100000000000001" customHeight="1">
      <c r="A16" s="29">
        <v>11</v>
      </c>
      <c r="B16" s="192" t="s">
        <v>220</v>
      </c>
      <c r="C16" s="21" t="s">
        <v>388</v>
      </c>
      <c r="D16" s="25" t="s">
        <v>181</v>
      </c>
      <c r="E16" s="24">
        <f>52638.9</f>
        <v>52638.9</v>
      </c>
      <c r="F16" s="240">
        <v>54186.609434666672</v>
      </c>
      <c r="G16" s="24">
        <f t="shared" si="0"/>
        <v>1547.7094346666709</v>
      </c>
      <c r="H16" s="213"/>
      <c r="I16" s="213"/>
    </row>
    <row r="17" spans="1:9" ht="19.5" customHeight="1">
      <c r="A17" s="29">
        <v>12</v>
      </c>
      <c r="B17" s="190" t="s">
        <v>144</v>
      </c>
      <c r="C17" s="21" t="s">
        <v>389</v>
      </c>
      <c r="D17" s="29" t="s">
        <v>181</v>
      </c>
      <c r="E17" s="24">
        <f>43380</f>
        <v>43380</v>
      </c>
      <c r="F17" s="240">
        <v>44734.339388666653</v>
      </c>
      <c r="G17" s="24">
        <f t="shared" si="0"/>
        <v>1354.3393886666527</v>
      </c>
      <c r="H17" s="213"/>
      <c r="I17" s="213"/>
    </row>
    <row r="18" spans="1:9" ht="19.5" customHeight="1">
      <c r="A18" s="29">
        <v>13</v>
      </c>
      <c r="B18" s="190" t="s">
        <v>139</v>
      </c>
      <c r="C18" s="21" t="s">
        <v>386</v>
      </c>
      <c r="D18" s="29" t="s">
        <v>181</v>
      </c>
      <c r="E18" s="24">
        <f>85278.9</f>
        <v>85278.9</v>
      </c>
      <c r="F18" s="240">
        <v>86826.60943466665</v>
      </c>
      <c r="G18" s="24">
        <f t="shared" si="0"/>
        <v>1547.7094346666563</v>
      </c>
      <c r="H18" s="213"/>
      <c r="I18" s="213"/>
    </row>
    <row r="19" spans="1:9" ht="20.100000000000001" customHeight="1">
      <c r="A19" s="29">
        <v>14</v>
      </c>
      <c r="B19" s="188" t="s">
        <v>18</v>
      </c>
      <c r="C19" s="21" t="s">
        <v>389</v>
      </c>
      <c r="D19" s="214" t="s">
        <v>181</v>
      </c>
      <c r="E19" s="26" t="e">
        <f>#REF!</f>
        <v>#REF!</v>
      </c>
      <c r="F19" s="240">
        <v>44006.616588666657</v>
      </c>
      <c r="G19" s="24" t="e">
        <f t="shared" si="0"/>
        <v>#REF!</v>
      </c>
      <c r="H19" s="213"/>
      <c r="I19" s="213"/>
    </row>
    <row r="20" spans="1:9" ht="20.100000000000001" customHeight="1">
      <c r="A20" s="29">
        <v>15</v>
      </c>
      <c r="B20" s="188" t="s">
        <v>334</v>
      </c>
      <c r="C20" s="287" t="s">
        <v>351</v>
      </c>
      <c r="D20" s="214" t="s">
        <v>163</v>
      </c>
      <c r="E20" s="26">
        <f>46673.26</f>
        <v>46673.26</v>
      </c>
      <c r="F20" s="240">
        <v>46666.666666666664</v>
      </c>
      <c r="G20" s="24">
        <f t="shared" si="0"/>
        <v>-6.5933333333377959</v>
      </c>
      <c r="H20" s="213"/>
      <c r="I20" s="213"/>
    </row>
    <row r="21" spans="1:9" ht="20.100000000000001" customHeight="1">
      <c r="A21" s="29">
        <v>16</v>
      </c>
      <c r="B21" s="189" t="s">
        <v>291</v>
      </c>
      <c r="C21" s="21" t="s">
        <v>346</v>
      </c>
      <c r="D21" s="214" t="s">
        <v>413</v>
      </c>
      <c r="E21" s="26">
        <f>63364.81</f>
        <v>63364.81</v>
      </c>
      <c r="F21" s="240">
        <v>64913.263658666656</v>
      </c>
      <c r="G21" s="24">
        <f t="shared" si="0"/>
        <v>1548.4536586666582</v>
      </c>
      <c r="H21" s="213"/>
      <c r="I21" s="213"/>
    </row>
    <row r="22" spans="1:9" ht="20.100000000000001" customHeight="1">
      <c r="A22" s="29">
        <v>17</v>
      </c>
      <c r="B22" s="188" t="s">
        <v>141</v>
      </c>
      <c r="C22" s="287" t="s">
        <v>391</v>
      </c>
      <c r="D22" s="214" t="s">
        <v>497</v>
      </c>
      <c r="E22" s="26">
        <f>31848.56</f>
        <v>31848.560000000001</v>
      </c>
      <c r="F22" s="240">
        <v>34871.967414666666</v>
      </c>
      <c r="G22" s="24">
        <f t="shared" si="0"/>
        <v>3023.4074146666644</v>
      </c>
      <c r="H22" s="213"/>
      <c r="I22" s="213"/>
    </row>
    <row r="23" spans="1:9" ht="18.75" customHeight="1">
      <c r="A23" s="29">
        <v>18</v>
      </c>
      <c r="B23" s="188" t="s">
        <v>253</v>
      </c>
      <c r="C23" s="287" t="s">
        <v>478</v>
      </c>
      <c r="D23" s="214" t="s">
        <v>415</v>
      </c>
      <c r="E23" s="26" t="e">
        <f>#REF!</f>
        <v>#REF!</v>
      </c>
      <c r="F23" s="240">
        <v>32008.563458666671</v>
      </c>
      <c r="G23" s="24" t="e">
        <f t="shared" si="0"/>
        <v>#REF!</v>
      </c>
      <c r="H23" s="213"/>
      <c r="I23" s="213"/>
    </row>
    <row r="24" spans="1:9" ht="18.75" customHeight="1">
      <c r="A24" s="29">
        <v>19</v>
      </c>
      <c r="B24" s="188" t="s">
        <v>247</v>
      </c>
      <c r="C24" s="21" t="s">
        <v>477</v>
      </c>
      <c r="D24" s="214" t="s">
        <v>415</v>
      </c>
      <c r="E24" s="26" t="e">
        <f>#REF!</f>
        <v>#REF!</v>
      </c>
      <c r="F24" s="240">
        <v>32098.951098666672</v>
      </c>
      <c r="G24" s="24" t="e">
        <f t="shared" si="0"/>
        <v>#REF!</v>
      </c>
      <c r="H24" s="213"/>
      <c r="I24" s="213"/>
    </row>
    <row r="25" spans="1:9" ht="18.75" customHeight="1">
      <c r="A25" s="29">
        <v>20</v>
      </c>
      <c r="B25" s="189" t="s">
        <v>293</v>
      </c>
      <c r="C25" s="21" t="s">
        <v>294</v>
      </c>
      <c r="D25" s="214" t="s">
        <v>27</v>
      </c>
      <c r="E25" s="26">
        <f>27105.99</f>
        <v>27105.99</v>
      </c>
      <c r="F25" s="240">
        <v>27873.079686666664</v>
      </c>
      <c r="G25" s="24">
        <f t="shared" si="0"/>
        <v>767.0896866666626</v>
      </c>
      <c r="H25" s="213"/>
      <c r="I25" s="213"/>
    </row>
    <row r="26" spans="1:9" ht="18.75" customHeight="1">
      <c r="A26" s="29">
        <v>21</v>
      </c>
      <c r="B26" s="189" t="s">
        <v>275</v>
      </c>
      <c r="C26" s="287" t="s">
        <v>314</v>
      </c>
      <c r="D26" s="214" t="s">
        <v>164</v>
      </c>
      <c r="E26" s="212">
        <f>26339.08</f>
        <v>26339.08</v>
      </c>
      <c r="F26" s="240">
        <v>27105.986562666669</v>
      </c>
      <c r="G26" s="24">
        <f t="shared" si="0"/>
        <v>766.90656266666701</v>
      </c>
      <c r="H26" s="213"/>
      <c r="I26" s="213"/>
    </row>
    <row r="27" spans="1:9" ht="18.75" customHeight="1">
      <c r="A27" s="29">
        <v>22</v>
      </c>
      <c r="B27" s="21" t="s">
        <v>434</v>
      </c>
      <c r="C27" s="21" t="s">
        <v>17</v>
      </c>
      <c r="D27" s="29" t="s">
        <v>498</v>
      </c>
      <c r="E27" s="26">
        <v>21640.95</v>
      </c>
      <c r="F27" s="240">
        <v>21640.952862666669</v>
      </c>
      <c r="G27" s="24">
        <f t="shared" si="0"/>
        <v>2.8626666680793278E-3</v>
      </c>
      <c r="H27" s="213"/>
      <c r="I27" s="213"/>
    </row>
    <row r="28" spans="1:9" ht="18.75" customHeight="1">
      <c r="A28" s="29">
        <v>23</v>
      </c>
      <c r="B28" s="189" t="s">
        <v>254</v>
      </c>
      <c r="C28" s="287" t="s">
        <v>17</v>
      </c>
      <c r="D28" s="214" t="s">
        <v>498</v>
      </c>
      <c r="E28" s="26">
        <f>21640.95</f>
        <v>21640.95</v>
      </c>
      <c r="F28" s="240">
        <v>22338.48260466666</v>
      </c>
      <c r="G28" s="24">
        <f t="shared" si="0"/>
        <v>697.53260466665961</v>
      </c>
      <c r="H28" s="213"/>
      <c r="I28" s="213"/>
    </row>
    <row r="29" spans="1:9" ht="18.75" customHeight="1">
      <c r="A29" s="29">
        <v>24</v>
      </c>
      <c r="B29" s="188" t="s">
        <v>248</v>
      </c>
      <c r="C29" s="287" t="s">
        <v>480</v>
      </c>
      <c r="D29" s="214" t="s">
        <v>498</v>
      </c>
      <c r="E29" s="26">
        <v>21640.95</v>
      </c>
      <c r="F29" s="240">
        <v>22338.48260466666</v>
      </c>
      <c r="G29" s="24">
        <f t="shared" si="0"/>
        <v>697.53260466665961</v>
      </c>
      <c r="H29" s="213"/>
      <c r="I29" s="213"/>
    </row>
    <row r="30" spans="1:9" ht="18.75" customHeight="1">
      <c r="A30" s="29">
        <v>25</v>
      </c>
      <c r="B30" s="189" t="s">
        <v>288</v>
      </c>
      <c r="C30" s="287" t="s">
        <v>249</v>
      </c>
      <c r="D30" s="214" t="s">
        <v>411</v>
      </c>
      <c r="E30" s="26">
        <f>17572.89</f>
        <v>17572.89</v>
      </c>
      <c r="F30" s="240">
        <v>18102.902732666666</v>
      </c>
      <c r="G30" s="24">
        <f t="shared" si="0"/>
        <v>530.01273266666612</v>
      </c>
      <c r="H30" s="213"/>
      <c r="I30" s="213"/>
    </row>
    <row r="31" spans="1:9" ht="18.75" customHeight="1">
      <c r="A31" s="29">
        <v>26</v>
      </c>
      <c r="B31" s="188" t="s">
        <v>345</v>
      </c>
      <c r="C31" s="155" t="s">
        <v>319</v>
      </c>
      <c r="D31" s="214" t="s">
        <v>267</v>
      </c>
      <c r="E31" s="212">
        <f>17572.89</f>
        <v>17572.89</v>
      </c>
      <c r="F31" s="240">
        <v>18102.902732666666</v>
      </c>
      <c r="G31" s="24">
        <f t="shared" si="0"/>
        <v>530.01273266666612</v>
      </c>
      <c r="H31" s="213"/>
      <c r="I31" s="213"/>
    </row>
    <row r="32" spans="1:9" ht="18.75" customHeight="1">
      <c r="A32" s="29">
        <v>27</v>
      </c>
      <c r="B32" s="189" t="s">
        <v>328</v>
      </c>
      <c r="C32" s="21" t="s">
        <v>329</v>
      </c>
      <c r="D32" s="29" t="s">
        <v>267</v>
      </c>
      <c r="E32" s="26">
        <f>17572.89</f>
        <v>17572.89</v>
      </c>
      <c r="F32" s="240">
        <v>18102.902732666666</v>
      </c>
      <c r="G32" s="24">
        <f t="shared" si="0"/>
        <v>530.01273266666612</v>
      </c>
      <c r="H32" s="213"/>
      <c r="I32" s="213"/>
    </row>
    <row r="33" spans="1:9" ht="18.75" customHeight="1">
      <c r="A33" s="29">
        <v>28</v>
      </c>
      <c r="B33" s="189" t="s">
        <v>360</v>
      </c>
      <c r="C33" s="155" t="s">
        <v>372</v>
      </c>
      <c r="D33" s="214" t="s">
        <v>498</v>
      </c>
      <c r="E33" s="212">
        <v>21640.95</v>
      </c>
      <c r="F33" s="240">
        <v>22338.48260466666</v>
      </c>
      <c r="G33" s="24">
        <f t="shared" si="0"/>
        <v>697.53260466665961</v>
      </c>
      <c r="H33" s="213"/>
      <c r="I33" s="213"/>
    </row>
    <row r="34" spans="1:9" ht="18.75" customHeight="1">
      <c r="A34" s="29">
        <v>29</v>
      </c>
      <c r="B34" s="189" t="s">
        <v>330</v>
      </c>
      <c r="C34" s="21" t="s">
        <v>331</v>
      </c>
      <c r="D34" s="29" t="s">
        <v>176</v>
      </c>
      <c r="E34" s="26">
        <f>16512.68</f>
        <v>16512.68</v>
      </c>
      <c r="F34" s="240">
        <v>17042.713866666669</v>
      </c>
      <c r="G34" s="24">
        <f t="shared" si="0"/>
        <v>530.03386666666847</v>
      </c>
      <c r="H34" s="213"/>
      <c r="I34" s="213"/>
    </row>
    <row r="35" spans="1:9" ht="18.75" customHeight="1">
      <c r="A35" s="29">
        <v>30</v>
      </c>
      <c r="B35" s="189" t="s">
        <v>274</v>
      </c>
      <c r="C35" s="287" t="s">
        <v>314</v>
      </c>
      <c r="D35" s="214" t="s">
        <v>176</v>
      </c>
      <c r="E35" s="26">
        <f t="shared" ref="E35:E36" si="1">16512.68</f>
        <v>16512.68</v>
      </c>
      <c r="F35" s="240">
        <v>17042.865866666671</v>
      </c>
      <c r="G35" s="24">
        <f t="shared" si="0"/>
        <v>530.18586666667034</v>
      </c>
      <c r="H35" s="213"/>
      <c r="I35" s="213"/>
    </row>
    <row r="36" spans="1:9" ht="18.75" customHeight="1">
      <c r="A36" s="29">
        <v>31</v>
      </c>
      <c r="B36" s="189" t="s">
        <v>453</v>
      </c>
      <c r="C36" s="287" t="s">
        <v>314</v>
      </c>
      <c r="D36" s="214" t="s">
        <v>176</v>
      </c>
      <c r="E36" s="26">
        <f t="shared" si="1"/>
        <v>16512.68</v>
      </c>
      <c r="F36" s="240">
        <v>17043.017866666672</v>
      </c>
      <c r="G36" s="24">
        <f t="shared" si="0"/>
        <v>530.3378666666722</v>
      </c>
      <c r="H36" s="213"/>
      <c r="I36" s="213"/>
    </row>
    <row r="37" spans="1:9" ht="26.25" customHeight="1">
      <c r="A37" s="29"/>
      <c r="B37" s="191" t="s">
        <v>15</v>
      </c>
      <c r="C37" s="30">
        <v>31</v>
      </c>
      <c r="D37" s="214"/>
      <c r="E37" s="216" t="e">
        <f t="shared" ref="E37" si="2">SUM(E6:E36)</f>
        <v>#REF!</v>
      </c>
      <c r="F37" s="216">
        <f t="shared" ref="F37" si="3">SUM(F6:F36)</f>
        <v>1716067.6634466664</v>
      </c>
      <c r="G37" s="216" t="e">
        <f t="shared" ref="G37" si="4">SUM(G6:G36)</f>
        <v>#REF!</v>
      </c>
      <c r="H37" s="213"/>
      <c r="I37" s="213"/>
    </row>
    <row r="38" spans="1:9" ht="18.75" customHeight="1">
      <c r="A38" s="29"/>
      <c r="B38" s="141"/>
      <c r="C38" s="21"/>
      <c r="D38" s="214"/>
      <c r="E38" s="216"/>
      <c r="F38" s="250"/>
      <c r="G38" s="216"/>
      <c r="H38" s="213"/>
      <c r="I38" s="213"/>
    </row>
    <row r="39" spans="1:9" ht="18.75" customHeight="1">
      <c r="A39" s="29"/>
      <c r="B39" s="191" t="s">
        <v>284</v>
      </c>
      <c r="C39" s="21"/>
      <c r="D39" s="214"/>
      <c r="E39" s="26"/>
      <c r="F39" s="240"/>
      <c r="G39" s="24"/>
      <c r="H39" s="213"/>
      <c r="I39" s="213"/>
    </row>
    <row r="40" spans="1:9" ht="18.75" customHeight="1">
      <c r="A40" s="29">
        <v>1</v>
      </c>
      <c r="B40" s="189" t="s">
        <v>361</v>
      </c>
      <c r="C40" s="21" t="s">
        <v>362</v>
      </c>
      <c r="D40" s="29" t="s">
        <v>161</v>
      </c>
      <c r="E40" s="26">
        <f>156349.82</f>
        <v>156349.82</v>
      </c>
      <c r="F40" s="240">
        <v>161106.80685866668</v>
      </c>
      <c r="G40" s="24">
        <f>F40-E40</f>
        <v>4756.9868586666707</v>
      </c>
      <c r="H40" s="213"/>
      <c r="I40" s="213"/>
    </row>
    <row r="41" spans="1:9" ht="18.75" customHeight="1">
      <c r="A41" s="29">
        <v>2</v>
      </c>
      <c r="B41" s="189" t="s">
        <v>419</v>
      </c>
      <c r="C41" s="21" t="s">
        <v>427</v>
      </c>
      <c r="D41" s="29" t="s">
        <v>105</v>
      </c>
      <c r="E41" s="26">
        <f>16512.68</f>
        <v>16512.68</v>
      </c>
      <c r="F41" s="240">
        <v>16512.68219066667</v>
      </c>
      <c r="G41" s="24">
        <f>F41-E41</f>
        <v>2.1906666697759647E-3</v>
      </c>
      <c r="H41" s="213"/>
      <c r="I41" s="213"/>
    </row>
    <row r="42" spans="1:9" ht="19.5" customHeight="1">
      <c r="A42" s="29"/>
      <c r="B42" s="190"/>
      <c r="C42" s="30">
        <v>2</v>
      </c>
      <c r="D42" s="29"/>
      <c r="E42" s="216">
        <f>SUM(E40:E41)</f>
        <v>172862.5</v>
      </c>
      <c r="F42" s="250">
        <f>SUM(F40:F41)</f>
        <v>177619.48904933335</v>
      </c>
      <c r="G42" s="250">
        <f>SUM(G40:G41)</f>
        <v>4756.9890493333405</v>
      </c>
      <c r="H42" s="213"/>
      <c r="I42" s="213"/>
    </row>
    <row r="43" spans="1:9" ht="20.100000000000001" customHeight="1">
      <c r="A43" s="29"/>
      <c r="B43" s="190"/>
      <c r="C43" s="21"/>
      <c r="D43" s="29"/>
      <c r="E43" s="216"/>
      <c r="F43" s="240"/>
      <c r="G43" s="24"/>
      <c r="H43" s="213"/>
      <c r="I43" s="213"/>
    </row>
    <row r="44" spans="1:9" ht="20.100000000000001" customHeight="1">
      <c r="A44" s="29"/>
      <c r="B44" s="218" t="s">
        <v>56</v>
      </c>
      <c r="C44" s="203"/>
      <c r="D44" s="207"/>
      <c r="E44" s="24"/>
      <c r="F44" s="240"/>
      <c r="G44" s="24"/>
      <c r="H44" s="213"/>
      <c r="I44" s="213"/>
    </row>
    <row r="45" spans="1:9" ht="20.100000000000001" customHeight="1">
      <c r="A45" s="29">
        <v>1</v>
      </c>
      <c r="B45" s="188" t="s">
        <v>255</v>
      </c>
      <c r="C45" s="21" t="s">
        <v>256</v>
      </c>
      <c r="D45" s="29" t="s">
        <v>161</v>
      </c>
      <c r="E45" s="26">
        <f>180306.81</f>
        <v>180306.81</v>
      </c>
      <c r="F45" s="240">
        <v>180306.80685866671</v>
      </c>
      <c r="G45" s="24">
        <f>F45-E45</f>
        <v>-3.1413332908414304E-3</v>
      </c>
      <c r="H45" s="213"/>
      <c r="I45" s="213"/>
    </row>
    <row r="46" spans="1:9" ht="20.100000000000001" customHeight="1">
      <c r="A46" s="29">
        <v>2</v>
      </c>
      <c r="B46" s="188" t="s">
        <v>158</v>
      </c>
      <c r="C46" s="21" t="s">
        <v>199</v>
      </c>
      <c r="D46" s="29" t="s">
        <v>75</v>
      </c>
      <c r="E46" s="26">
        <f>79956.94</f>
        <v>79956.94</v>
      </c>
      <c r="F46" s="240">
        <v>79956.939146666657</v>
      </c>
      <c r="G46" s="24">
        <f t="shared" ref="G46:G56" si="5">F46-E46</f>
        <v>-8.5333334573078901E-4</v>
      </c>
      <c r="H46" s="213"/>
      <c r="I46" s="213"/>
    </row>
    <row r="47" spans="1:9" ht="20.100000000000001" customHeight="1">
      <c r="A47" s="29">
        <v>3</v>
      </c>
      <c r="B47" s="188" t="s">
        <v>165</v>
      </c>
      <c r="C47" s="21" t="s">
        <v>258</v>
      </c>
      <c r="D47" s="29" t="s">
        <v>75</v>
      </c>
      <c r="E47" s="26">
        <f>79956.94</f>
        <v>79956.94</v>
      </c>
      <c r="F47" s="240">
        <v>79956.939146666657</v>
      </c>
      <c r="G47" s="24">
        <f t="shared" si="5"/>
        <v>-8.5333334573078901E-4</v>
      </c>
      <c r="H47" s="213"/>
      <c r="I47" s="213"/>
    </row>
    <row r="48" spans="1:9" ht="20.100000000000001" customHeight="1">
      <c r="A48" s="29">
        <v>4</v>
      </c>
      <c r="B48" s="188" t="s">
        <v>159</v>
      </c>
      <c r="C48" s="21" t="s">
        <v>258</v>
      </c>
      <c r="D48" s="29" t="s">
        <v>75</v>
      </c>
      <c r="E48" s="26">
        <f>77764.98</f>
        <v>77764.98</v>
      </c>
      <c r="F48" s="240">
        <v>79956.939146666657</v>
      </c>
      <c r="G48" s="24">
        <f t="shared" si="5"/>
        <v>2191.9591466666607</v>
      </c>
      <c r="H48" s="213"/>
      <c r="I48" s="213"/>
    </row>
    <row r="49" spans="1:9" ht="20.100000000000001" customHeight="1">
      <c r="A49" s="29">
        <v>5</v>
      </c>
      <c r="B49" s="188" t="s">
        <v>118</v>
      </c>
      <c r="C49" s="21" t="s">
        <v>258</v>
      </c>
      <c r="D49" s="29" t="s">
        <v>148</v>
      </c>
      <c r="E49" s="26" t="e">
        <f>#REF!</f>
        <v>#REF!</v>
      </c>
      <c r="F49" s="240">
        <v>70061.519786666671</v>
      </c>
      <c r="G49" s="24" t="e">
        <f t="shared" si="5"/>
        <v>#REF!</v>
      </c>
      <c r="H49" s="213"/>
      <c r="I49" s="213"/>
    </row>
    <row r="50" spans="1:9" ht="20.100000000000001" customHeight="1">
      <c r="A50" s="29">
        <v>6</v>
      </c>
      <c r="B50" s="188" t="s">
        <v>205</v>
      </c>
      <c r="C50" s="21" t="s">
        <v>78</v>
      </c>
      <c r="D50" s="29" t="s">
        <v>181</v>
      </c>
      <c r="E50" s="26">
        <f>56478.9</f>
        <v>56478.9</v>
      </c>
      <c r="F50" s="240">
        <v>57889.864794666668</v>
      </c>
      <c r="G50" s="24">
        <f t="shared" si="5"/>
        <v>1410.9647946666664</v>
      </c>
      <c r="H50" s="213"/>
      <c r="I50" s="213"/>
    </row>
    <row r="51" spans="1:9" ht="20.100000000000001" customHeight="1">
      <c r="A51" s="29">
        <v>7</v>
      </c>
      <c r="B51" s="190" t="s">
        <v>173</v>
      </c>
      <c r="C51" s="21" t="s">
        <v>297</v>
      </c>
      <c r="D51" s="25" t="s">
        <v>181</v>
      </c>
      <c r="E51" s="24">
        <f>56478.9</f>
        <v>56478.9</v>
      </c>
      <c r="F51" s="240">
        <v>58026.609434666672</v>
      </c>
      <c r="G51" s="24">
        <f t="shared" si="5"/>
        <v>1547.7094346666709</v>
      </c>
      <c r="H51" s="213"/>
      <c r="I51" s="213"/>
    </row>
    <row r="52" spans="1:9" ht="20.100000000000001" customHeight="1">
      <c r="A52" s="29">
        <v>8</v>
      </c>
      <c r="B52" s="188" t="s">
        <v>116</v>
      </c>
      <c r="C52" s="21" t="s">
        <v>297</v>
      </c>
      <c r="D52" s="29" t="s">
        <v>162</v>
      </c>
      <c r="E52" s="26" t="e">
        <f>#REF!</f>
        <v>#REF!</v>
      </c>
      <c r="F52" s="240">
        <v>55518.902906666663</v>
      </c>
      <c r="G52" s="24" t="e">
        <f t="shared" si="5"/>
        <v>#REF!</v>
      </c>
      <c r="H52" s="213"/>
      <c r="I52" s="213"/>
    </row>
    <row r="53" spans="1:9" ht="20.100000000000001" customHeight="1">
      <c r="A53" s="29">
        <v>9</v>
      </c>
      <c r="B53" s="188" t="s">
        <v>184</v>
      </c>
      <c r="C53" s="21" t="s">
        <v>80</v>
      </c>
      <c r="D53" s="29" t="s">
        <v>170</v>
      </c>
      <c r="E53" s="26">
        <f>48052.11</f>
        <v>48052.11</v>
      </c>
      <c r="F53" s="240">
        <v>49548.776186666662</v>
      </c>
      <c r="G53" s="24">
        <f t="shared" si="5"/>
        <v>1496.6661866666618</v>
      </c>
      <c r="H53" s="213"/>
      <c r="I53" s="213"/>
    </row>
    <row r="54" spans="1:9" ht="20.100000000000001" customHeight="1">
      <c r="A54" s="29">
        <v>10</v>
      </c>
      <c r="B54" s="188" t="s">
        <v>420</v>
      </c>
      <c r="C54" s="21" t="s">
        <v>84</v>
      </c>
      <c r="D54" s="29" t="s">
        <v>428</v>
      </c>
      <c r="E54" s="26">
        <f>28360.95</f>
        <v>28360.95</v>
      </c>
      <c r="F54" s="240">
        <v>28360.952862666662</v>
      </c>
      <c r="G54" s="24">
        <f t="shared" si="5"/>
        <v>2.8626666608033702E-3</v>
      </c>
      <c r="H54" s="213"/>
      <c r="I54" s="213"/>
    </row>
    <row r="55" spans="1:9" ht="20.100000000000001" customHeight="1">
      <c r="A55" s="29">
        <v>11</v>
      </c>
      <c r="B55" s="188" t="s">
        <v>435</v>
      </c>
      <c r="C55" s="21" t="s">
        <v>84</v>
      </c>
      <c r="D55" s="29" t="s">
        <v>428</v>
      </c>
      <c r="E55" s="26">
        <f>28360.95</f>
        <v>28360.95</v>
      </c>
      <c r="F55" s="240">
        <v>28360.952862666662</v>
      </c>
      <c r="G55" s="24">
        <f t="shared" si="5"/>
        <v>2.8626666608033702E-3</v>
      </c>
      <c r="H55" s="213"/>
      <c r="I55" s="213"/>
    </row>
    <row r="56" spans="1:9" ht="20.100000000000001" customHeight="1">
      <c r="A56" s="29">
        <v>12</v>
      </c>
      <c r="B56" s="188" t="s">
        <v>452</v>
      </c>
      <c r="C56" s="21" t="s">
        <v>84</v>
      </c>
      <c r="D56" s="29" t="s">
        <v>428</v>
      </c>
      <c r="E56" s="26">
        <f>28360.95</f>
        <v>28360.95</v>
      </c>
      <c r="F56" s="240">
        <v>28360.952862666662</v>
      </c>
      <c r="G56" s="24">
        <f t="shared" si="5"/>
        <v>2.8626666608033702E-3</v>
      </c>
      <c r="H56" s="213"/>
      <c r="I56" s="213"/>
    </row>
    <row r="57" spans="1:9" ht="25.5" customHeight="1">
      <c r="A57" s="29"/>
      <c r="B57" s="191" t="s">
        <v>15</v>
      </c>
      <c r="C57" s="30">
        <v>12</v>
      </c>
      <c r="D57" s="30"/>
      <c r="E57" s="78" t="e">
        <f t="shared" ref="E57:G57" si="6">SUM(E45:E56)</f>
        <v>#REF!</v>
      </c>
      <c r="F57" s="78">
        <f t="shared" si="6"/>
        <v>796306.15599600016</v>
      </c>
      <c r="G57" s="78" t="e">
        <f t="shared" si="6"/>
        <v>#REF!</v>
      </c>
      <c r="H57" s="213"/>
      <c r="I57" s="213"/>
    </row>
    <row r="58" spans="1:9" ht="20.100000000000001" customHeight="1">
      <c r="A58" s="29"/>
      <c r="B58" s="141"/>
      <c r="C58" s="30"/>
      <c r="D58" s="30"/>
      <c r="E58" s="31"/>
      <c r="F58" s="251"/>
      <c r="G58" s="31"/>
      <c r="H58" s="213"/>
      <c r="I58" s="213"/>
    </row>
    <row r="59" spans="1:9" ht="20.100000000000001" customHeight="1">
      <c r="A59" s="29"/>
      <c r="B59" s="191" t="s">
        <v>195</v>
      </c>
      <c r="C59" s="30"/>
      <c r="D59" s="30"/>
      <c r="E59" s="31"/>
      <c r="F59" s="251"/>
      <c r="G59" s="31"/>
      <c r="H59" s="213"/>
      <c r="I59" s="213"/>
    </row>
    <row r="60" spans="1:9" ht="20.100000000000001" customHeight="1">
      <c r="A60" s="29">
        <v>1</v>
      </c>
      <c r="B60" s="188" t="s">
        <v>11</v>
      </c>
      <c r="C60" s="287" t="s">
        <v>200</v>
      </c>
      <c r="D60" s="214" t="s">
        <v>161</v>
      </c>
      <c r="E60" s="26">
        <f>180306.81</f>
        <v>180306.81</v>
      </c>
      <c r="F60" s="240">
        <f>'[8]August 2022  (2)'!$AA$56</f>
        <v>180306.80685866671</v>
      </c>
      <c r="G60" s="24">
        <f>F60-E60</f>
        <v>-3.1413332908414304E-3</v>
      </c>
      <c r="H60" s="213"/>
      <c r="I60" s="213"/>
    </row>
    <row r="61" spans="1:9" ht="20.100000000000001" customHeight="1">
      <c r="A61" s="29"/>
      <c r="B61" s="191" t="s">
        <v>15</v>
      </c>
      <c r="C61" s="30">
        <v>1</v>
      </c>
      <c r="D61" s="30"/>
      <c r="E61" s="78">
        <f>SUM(E60:E60)</f>
        <v>180306.81</v>
      </c>
      <c r="F61" s="78">
        <f>SUM(F60:F60)</f>
        <v>180306.80685866671</v>
      </c>
      <c r="G61" s="24">
        <f>F61-E61</f>
        <v>-3.1413332908414304E-3</v>
      </c>
      <c r="H61" s="213"/>
      <c r="I61" s="213"/>
    </row>
    <row r="62" spans="1:9" ht="20.100000000000001" customHeight="1">
      <c r="A62" s="29"/>
      <c r="B62" s="191"/>
      <c r="C62" s="30"/>
      <c r="D62" s="30"/>
      <c r="E62" s="31"/>
      <c r="F62" s="251"/>
      <c r="G62" s="31"/>
      <c r="H62" s="213"/>
      <c r="I62" s="213"/>
    </row>
    <row r="63" spans="1:9" ht="20.100000000000001" customHeight="1">
      <c r="A63" s="29"/>
      <c r="B63" s="191" t="s">
        <v>461</v>
      </c>
      <c r="C63" s="30"/>
      <c r="D63" s="30"/>
      <c r="E63" s="31"/>
      <c r="F63" s="251"/>
      <c r="G63" s="31"/>
      <c r="H63" s="213"/>
      <c r="I63" s="213"/>
    </row>
    <row r="64" spans="1:9" ht="20.100000000000001" customHeight="1">
      <c r="A64" s="29">
        <v>1</v>
      </c>
      <c r="B64" s="188" t="s">
        <v>277</v>
      </c>
      <c r="C64" s="155" t="s">
        <v>278</v>
      </c>
      <c r="D64" s="29" t="s">
        <v>161</v>
      </c>
      <c r="E64" s="26">
        <f>180306.81</f>
        <v>180306.81</v>
      </c>
      <c r="F64" s="241">
        <v>180306.80685866671</v>
      </c>
      <c r="G64" s="26">
        <f>F64-E64</f>
        <v>-3.1413332908414304E-3</v>
      </c>
      <c r="H64" s="213"/>
      <c r="I64" s="213"/>
    </row>
    <row r="65" spans="1:9" ht="20.100000000000001" customHeight="1">
      <c r="A65" s="29">
        <v>2</v>
      </c>
      <c r="B65" s="189" t="s">
        <v>332</v>
      </c>
      <c r="C65" s="155" t="s">
        <v>188</v>
      </c>
      <c r="D65" s="214" t="s">
        <v>272</v>
      </c>
      <c r="E65" s="26">
        <v>75572.92</v>
      </c>
      <c r="F65" s="241">
        <v>75572.915690666661</v>
      </c>
      <c r="G65" s="26">
        <f t="shared" ref="G65:G76" si="7">F65-E65</f>
        <v>-4.3093333370052278E-3</v>
      </c>
      <c r="H65" s="213"/>
      <c r="I65" s="213"/>
    </row>
    <row r="66" spans="1:9" ht="20.100000000000001" customHeight="1">
      <c r="A66" s="29">
        <v>3</v>
      </c>
      <c r="B66" s="188" t="s">
        <v>189</v>
      </c>
      <c r="C66" s="21" t="s">
        <v>257</v>
      </c>
      <c r="D66" s="29" t="s">
        <v>170</v>
      </c>
      <c r="E66" s="26">
        <f>48170.87</f>
        <v>48170.87</v>
      </c>
      <c r="F66" s="241">
        <v>49548.776186666662</v>
      </c>
      <c r="G66" s="26">
        <f t="shared" si="7"/>
        <v>1377.9061866666598</v>
      </c>
      <c r="H66" s="213"/>
      <c r="I66" s="213"/>
    </row>
    <row r="67" spans="1:9" ht="20.100000000000001" customHeight="1">
      <c r="A67" s="29">
        <v>4</v>
      </c>
      <c r="B67" s="189" t="s">
        <v>448</v>
      </c>
      <c r="C67" s="155" t="s">
        <v>257</v>
      </c>
      <c r="D67" s="214" t="s">
        <v>163</v>
      </c>
      <c r="E67" s="26">
        <f>46673.26</f>
        <v>46673.26</v>
      </c>
      <c r="F67" s="241">
        <v>48170.870282666663</v>
      </c>
      <c r="G67" s="26">
        <f t="shared" si="7"/>
        <v>1497.6102826666611</v>
      </c>
      <c r="H67" s="213"/>
      <c r="I67" s="213"/>
    </row>
    <row r="68" spans="1:9" ht="20.100000000000001" customHeight="1">
      <c r="A68" s="29">
        <v>5</v>
      </c>
      <c r="B68" s="190" t="s">
        <v>229</v>
      </c>
      <c r="C68" s="155" t="s">
        <v>297</v>
      </c>
      <c r="D68" s="214" t="s">
        <v>181</v>
      </c>
      <c r="E68" s="24">
        <v>56478.9</v>
      </c>
      <c r="F68" s="241">
        <v>58026.609434666672</v>
      </c>
      <c r="G68" s="26">
        <f t="shared" si="7"/>
        <v>1547.7094346666709</v>
      </c>
      <c r="H68" s="213"/>
      <c r="I68" s="213"/>
    </row>
    <row r="69" spans="1:9" ht="20.100000000000001" customHeight="1">
      <c r="A69" s="29">
        <v>6</v>
      </c>
      <c r="B69" s="188" t="s">
        <v>117</v>
      </c>
      <c r="C69" s="21" t="s">
        <v>84</v>
      </c>
      <c r="D69" s="29" t="s">
        <v>265</v>
      </c>
      <c r="E69" s="26">
        <v>36127.269999999997</v>
      </c>
      <c r="F69" s="241">
        <v>37661.421354666665</v>
      </c>
      <c r="G69" s="26">
        <f t="shared" si="7"/>
        <v>1534.1513546666683</v>
      </c>
      <c r="H69" s="213"/>
      <c r="I69" s="213"/>
    </row>
    <row r="70" spans="1:9" ht="20.100000000000001" customHeight="1">
      <c r="A70" s="29">
        <v>7</v>
      </c>
      <c r="B70" s="188" t="s">
        <v>182</v>
      </c>
      <c r="C70" s="155" t="s">
        <v>422</v>
      </c>
      <c r="D70" s="214" t="s">
        <v>497</v>
      </c>
      <c r="E70" s="26">
        <v>41248.559999999998</v>
      </c>
      <c r="F70" s="241">
        <v>43278.494774666666</v>
      </c>
      <c r="G70" s="26">
        <f t="shared" si="7"/>
        <v>2029.9347746666681</v>
      </c>
      <c r="H70" s="213"/>
      <c r="I70" s="213"/>
    </row>
    <row r="71" spans="1:9" ht="20.100000000000001" customHeight="1">
      <c r="A71" s="29">
        <v>8</v>
      </c>
      <c r="B71" s="188" t="s">
        <v>424</v>
      </c>
      <c r="C71" s="155" t="s">
        <v>422</v>
      </c>
      <c r="D71" s="214" t="s">
        <v>369</v>
      </c>
      <c r="E71" s="26">
        <f>40149.18</f>
        <v>40149.18</v>
      </c>
      <c r="F71" s="241">
        <v>40149.175266666673</v>
      </c>
      <c r="G71" s="26">
        <f t="shared" si="7"/>
        <v>-4.7333333277492784E-3</v>
      </c>
      <c r="H71" s="213"/>
      <c r="I71" s="213"/>
    </row>
    <row r="72" spans="1:9" ht="20.100000000000001" customHeight="1">
      <c r="A72" s="29">
        <v>9</v>
      </c>
      <c r="B72" s="188" t="s">
        <v>423</v>
      </c>
      <c r="C72" s="155" t="s">
        <v>422</v>
      </c>
      <c r="D72" s="214" t="s">
        <v>369</v>
      </c>
      <c r="E72" s="26">
        <f>40149.18</f>
        <v>40149.18</v>
      </c>
      <c r="F72" s="241">
        <v>40149.175266666673</v>
      </c>
      <c r="G72" s="26">
        <f t="shared" si="7"/>
        <v>-4.7333333277492784E-3</v>
      </c>
      <c r="H72" s="213"/>
      <c r="I72" s="213"/>
    </row>
    <row r="73" spans="1:9" ht="20.100000000000001" customHeight="1">
      <c r="A73" s="29">
        <v>10</v>
      </c>
      <c r="B73" s="188" t="s">
        <v>242</v>
      </c>
      <c r="C73" s="21" t="s">
        <v>484</v>
      </c>
      <c r="D73" s="29" t="s">
        <v>415</v>
      </c>
      <c r="E73" s="26" t="e">
        <f>#REF!</f>
        <v>#REF!</v>
      </c>
      <c r="F73" s="241">
        <f>'[8]August 2022  (2)'!$Z$69</f>
        <v>41338.951098666665</v>
      </c>
      <c r="G73" s="26" t="e">
        <f t="shared" si="7"/>
        <v>#REF!</v>
      </c>
      <c r="H73" s="213"/>
      <c r="I73" s="213"/>
    </row>
    <row r="74" spans="1:9" ht="20.100000000000001" customHeight="1">
      <c r="A74" s="29">
        <v>11</v>
      </c>
      <c r="B74" s="188" t="s">
        <v>322</v>
      </c>
      <c r="C74" s="155" t="s">
        <v>84</v>
      </c>
      <c r="D74" s="29" t="s">
        <v>207</v>
      </c>
      <c r="E74" s="26">
        <f>32291.82</f>
        <v>32291.82</v>
      </c>
      <c r="F74" s="241">
        <v>33059.078406666667</v>
      </c>
      <c r="G74" s="26">
        <f t="shared" si="7"/>
        <v>767.25840666666772</v>
      </c>
      <c r="H74" s="213"/>
      <c r="I74" s="213"/>
    </row>
    <row r="75" spans="1:9" ht="20.100000000000001" customHeight="1">
      <c r="A75" s="29">
        <v>12</v>
      </c>
      <c r="B75" s="188" t="s">
        <v>320</v>
      </c>
      <c r="C75" s="155" t="s">
        <v>115</v>
      </c>
      <c r="D75" s="29" t="s">
        <v>498</v>
      </c>
      <c r="E75" s="26">
        <f>24685.95</f>
        <v>24685.95</v>
      </c>
      <c r="F75" s="241">
        <v>29058.48260466666</v>
      </c>
      <c r="G75" s="26">
        <f t="shared" si="7"/>
        <v>4372.5326046666596</v>
      </c>
      <c r="H75" s="213"/>
      <c r="I75" s="213"/>
    </row>
    <row r="76" spans="1:9" ht="20.100000000000001" customHeight="1">
      <c r="A76" s="29">
        <v>13</v>
      </c>
      <c r="B76" s="190" t="s">
        <v>321</v>
      </c>
      <c r="C76" s="155" t="s">
        <v>115</v>
      </c>
      <c r="D76" s="29" t="s">
        <v>176</v>
      </c>
      <c r="E76" s="26">
        <f>24685.95</f>
        <v>24685.95</v>
      </c>
      <c r="F76" s="241">
        <v>25271.771466666669</v>
      </c>
      <c r="G76" s="26">
        <f t="shared" si="7"/>
        <v>585.82146666666813</v>
      </c>
      <c r="H76" s="213"/>
      <c r="I76" s="213"/>
    </row>
    <row r="77" spans="1:9" ht="20.100000000000001" customHeight="1">
      <c r="A77" s="29"/>
      <c r="B77" s="191" t="s">
        <v>15</v>
      </c>
      <c r="C77" s="30">
        <v>13</v>
      </c>
      <c r="D77" s="30"/>
      <c r="E77" s="78" t="e">
        <f t="shared" ref="E77:G77" si="8">SUM(E64:E76)</f>
        <v>#REF!</v>
      </c>
      <c r="F77" s="78">
        <f t="shared" si="8"/>
        <v>701592.52869266667</v>
      </c>
      <c r="G77" s="78" t="e">
        <f t="shared" si="8"/>
        <v>#REF!</v>
      </c>
      <c r="H77" s="213"/>
      <c r="I77" s="213"/>
    </row>
    <row r="78" spans="1:9" ht="20.100000000000001" customHeight="1">
      <c r="A78" s="29"/>
      <c r="B78" s="141"/>
      <c r="C78" s="30"/>
      <c r="D78" s="30"/>
      <c r="E78" s="31"/>
      <c r="F78" s="251"/>
      <c r="G78" s="31"/>
      <c r="H78" s="213"/>
      <c r="I78" s="213"/>
    </row>
    <row r="79" spans="1:9" ht="20.100000000000001" customHeight="1">
      <c r="A79" s="29"/>
      <c r="B79" s="191" t="s">
        <v>462</v>
      </c>
      <c r="C79" s="30"/>
      <c r="D79" s="30"/>
      <c r="E79" s="31"/>
      <c r="F79" s="251"/>
      <c r="G79" s="31"/>
      <c r="H79" s="213"/>
      <c r="I79" s="213"/>
    </row>
    <row r="80" spans="1:9" ht="20.100000000000001" customHeight="1">
      <c r="A80" s="29">
        <v>1</v>
      </c>
      <c r="B80" s="188" t="s">
        <v>19</v>
      </c>
      <c r="C80" s="21" t="s">
        <v>201</v>
      </c>
      <c r="D80" s="29" t="s">
        <v>161</v>
      </c>
      <c r="E80" s="26">
        <f>180306.81</f>
        <v>180306.81</v>
      </c>
      <c r="F80" s="240">
        <v>180306.80685866671</v>
      </c>
      <c r="G80" s="24">
        <f>F80-E80</f>
        <v>-3.1413332908414304E-3</v>
      </c>
      <c r="H80" s="213"/>
      <c r="I80" s="213"/>
    </row>
    <row r="81" spans="1:9" ht="20.100000000000001" customHeight="1">
      <c r="A81" s="29">
        <v>2</v>
      </c>
      <c r="B81" s="190" t="s">
        <v>325</v>
      </c>
      <c r="C81" s="21" t="s">
        <v>245</v>
      </c>
      <c r="D81" s="214" t="s">
        <v>272</v>
      </c>
      <c r="E81" s="26">
        <f>75572.92</f>
        <v>75572.92</v>
      </c>
      <c r="F81" s="240">
        <v>75572.915690666661</v>
      </c>
      <c r="G81" s="24">
        <f t="shared" ref="G81:G84" si="9">F81-E81</f>
        <v>-4.3093333370052278E-3</v>
      </c>
      <c r="H81" s="213"/>
      <c r="I81" s="213"/>
    </row>
    <row r="82" spans="1:9" ht="20.100000000000001" customHeight="1">
      <c r="A82" s="29">
        <v>3</v>
      </c>
      <c r="B82" s="190" t="s">
        <v>326</v>
      </c>
      <c r="C82" s="21" t="s">
        <v>327</v>
      </c>
      <c r="D82" s="214" t="s">
        <v>272</v>
      </c>
      <c r="E82" s="26">
        <f>75572.92</f>
        <v>75572.92</v>
      </c>
      <c r="F82" s="240">
        <v>75572.915690666661</v>
      </c>
      <c r="G82" s="24">
        <f t="shared" si="9"/>
        <v>-4.3093333370052278E-3</v>
      </c>
      <c r="H82" s="213"/>
      <c r="I82" s="213"/>
    </row>
    <row r="83" spans="1:9" ht="20.100000000000001" customHeight="1">
      <c r="A83" s="29">
        <v>4</v>
      </c>
      <c r="B83" s="188" t="s">
        <v>26</v>
      </c>
      <c r="C83" s="21" t="s">
        <v>296</v>
      </c>
      <c r="D83" s="214" t="s">
        <v>170</v>
      </c>
      <c r="E83" s="26">
        <v>48170.87</v>
      </c>
      <c r="F83" s="240">
        <v>49548.776186666662</v>
      </c>
      <c r="G83" s="24">
        <f t="shared" si="9"/>
        <v>1377.9061866666598</v>
      </c>
      <c r="H83" s="213"/>
      <c r="I83" s="213"/>
    </row>
    <row r="84" spans="1:9" ht="20.100000000000001" customHeight="1">
      <c r="A84" s="29">
        <v>5</v>
      </c>
      <c r="B84" s="188" t="s">
        <v>324</v>
      </c>
      <c r="C84" s="21" t="s">
        <v>243</v>
      </c>
      <c r="D84" s="29" t="s">
        <v>207</v>
      </c>
      <c r="E84" s="26">
        <f>32291.82</f>
        <v>32291.82</v>
      </c>
      <c r="F84" s="240">
        <v>33059.078406666667</v>
      </c>
      <c r="G84" s="24">
        <f t="shared" si="9"/>
        <v>767.25840666666772</v>
      </c>
      <c r="H84" s="213"/>
      <c r="I84" s="213"/>
    </row>
    <row r="85" spans="1:9" ht="20.100000000000001" customHeight="1">
      <c r="A85" s="29"/>
      <c r="B85" s="191" t="s">
        <v>15</v>
      </c>
      <c r="C85" s="30">
        <v>5</v>
      </c>
      <c r="D85" s="30"/>
      <c r="E85" s="78">
        <f t="shared" ref="E85:G85" si="10">SUM(E80:E84)</f>
        <v>411915.33999999997</v>
      </c>
      <c r="F85" s="78">
        <f t="shared" si="10"/>
        <v>414060.49283333332</v>
      </c>
      <c r="G85" s="78">
        <f t="shared" si="10"/>
        <v>2145.1528333333627</v>
      </c>
      <c r="H85" s="213"/>
      <c r="I85" s="213"/>
    </row>
    <row r="86" spans="1:9" ht="20.100000000000001" customHeight="1">
      <c r="A86" s="29"/>
      <c r="B86" s="191"/>
      <c r="C86" s="30"/>
      <c r="D86" s="30"/>
      <c r="E86" s="31"/>
      <c r="F86" s="240"/>
      <c r="G86" s="24"/>
      <c r="H86" s="213"/>
      <c r="I86" s="213"/>
    </row>
    <row r="87" spans="1:9" ht="20.100000000000001" customHeight="1">
      <c r="A87" s="29"/>
      <c r="B87" s="191" t="s">
        <v>463</v>
      </c>
      <c r="C87" s="219"/>
      <c r="D87" s="30"/>
      <c r="E87" s="31"/>
      <c r="F87" s="240"/>
      <c r="G87" s="24"/>
      <c r="H87" s="213"/>
      <c r="I87" s="213"/>
    </row>
    <row r="88" spans="1:9" ht="23.25" customHeight="1">
      <c r="A88" s="29">
        <v>1</v>
      </c>
      <c r="B88" s="188" t="s">
        <v>504</v>
      </c>
      <c r="C88" s="21" t="s">
        <v>312</v>
      </c>
      <c r="D88" s="29" t="s">
        <v>160</v>
      </c>
      <c r="E88" s="26">
        <f>97273.51</f>
        <v>97273.51</v>
      </c>
      <c r="F88" s="240">
        <v>99907.951418666678</v>
      </c>
      <c r="G88" s="24">
        <f>F88-E88</f>
        <v>2634.4414186666836</v>
      </c>
      <c r="H88" s="213"/>
      <c r="I88" s="213"/>
    </row>
    <row r="89" spans="1:9" ht="20.100000000000001" customHeight="1">
      <c r="A89" s="29">
        <v>2</v>
      </c>
      <c r="B89" s="188" t="s">
        <v>169</v>
      </c>
      <c r="C89" s="21" t="s">
        <v>258</v>
      </c>
      <c r="D89" s="29" t="s">
        <v>75</v>
      </c>
      <c r="E89" s="26">
        <f>79956.94</f>
        <v>79956.94</v>
      </c>
      <c r="F89" s="240">
        <v>79956.939146666657</v>
      </c>
      <c r="G89" s="24">
        <f t="shared" ref="G89:G98" si="11">F89-E89</f>
        <v>-8.5333334573078901E-4</v>
      </c>
      <c r="H89" s="213"/>
      <c r="I89" s="213"/>
    </row>
    <row r="90" spans="1:9" ht="20.100000000000001" customHeight="1">
      <c r="A90" s="29">
        <v>3</v>
      </c>
      <c r="B90" s="188" t="s">
        <v>192</v>
      </c>
      <c r="C90" s="21" t="s">
        <v>258</v>
      </c>
      <c r="D90" s="29" t="s">
        <v>75</v>
      </c>
      <c r="E90" s="26">
        <f>79796.1</f>
        <v>79796.100000000006</v>
      </c>
      <c r="F90" s="240">
        <v>79796.103146666646</v>
      </c>
      <c r="G90" s="24">
        <f t="shared" si="11"/>
        <v>3.146666640532203E-3</v>
      </c>
      <c r="H90" s="213"/>
      <c r="I90" s="213"/>
    </row>
    <row r="91" spans="1:9" ht="20.100000000000001" customHeight="1">
      <c r="A91" s="29">
        <v>4</v>
      </c>
      <c r="B91" s="190" t="s">
        <v>138</v>
      </c>
      <c r="C91" s="21" t="s">
        <v>297</v>
      </c>
      <c r="D91" s="29" t="s">
        <v>174</v>
      </c>
      <c r="E91" s="24">
        <f>57894.08</f>
        <v>57894.080000000002</v>
      </c>
      <c r="F91" s="240">
        <v>59441.782042666666</v>
      </c>
      <c r="G91" s="24">
        <f t="shared" si="11"/>
        <v>1547.7020426666641</v>
      </c>
      <c r="H91" s="213"/>
      <c r="I91" s="213"/>
    </row>
    <row r="92" spans="1:9" ht="20.100000000000001" customHeight="1">
      <c r="A92" s="29">
        <v>5</v>
      </c>
      <c r="B92" s="188" t="s">
        <v>202</v>
      </c>
      <c r="C92" s="21" t="s">
        <v>78</v>
      </c>
      <c r="D92" s="29" t="s">
        <v>181</v>
      </c>
      <c r="E92" s="24">
        <f>56478.9</f>
        <v>56478.9</v>
      </c>
      <c r="F92" s="240">
        <v>58026.609434666672</v>
      </c>
      <c r="G92" s="24">
        <f t="shared" si="11"/>
        <v>1547.7094346666709</v>
      </c>
      <c r="H92" s="213"/>
      <c r="I92" s="213"/>
    </row>
    <row r="93" spans="1:9" ht="21.6" customHeight="1">
      <c r="A93" s="29">
        <v>6</v>
      </c>
      <c r="B93" s="188" t="s">
        <v>101</v>
      </c>
      <c r="C93" s="21" t="s">
        <v>80</v>
      </c>
      <c r="D93" s="214" t="s">
        <v>170</v>
      </c>
      <c r="E93" s="26">
        <f>48170.87</f>
        <v>48170.87</v>
      </c>
      <c r="F93" s="240">
        <v>49548.776186666662</v>
      </c>
      <c r="G93" s="24">
        <f t="shared" si="11"/>
        <v>1377.9061866666598</v>
      </c>
      <c r="H93" s="213"/>
      <c r="I93" s="213"/>
    </row>
    <row r="94" spans="1:9" ht="21.6" customHeight="1">
      <c r="A94" s="29">
        <v>7</v>
      </c>
      <c r="B94" s="188" t="s">
        <v>336</v>
      </c>
      <c r="C94" s="287" t="s">
        <v>257</v>
      </c>
      <c r="D94" s="214" t="s">
        <v>163</v>
      </c>
      <c r="E94" s="26">
        <f>46673.26</f>
        <v>46673.26</v>
      </c>
      <c r="F94" s="240">
        <v>48170.870282666663</v>
      </c>
      <c r="G94" s="24">
        <f t="shared" si="11"/>
        <v>1497.6102826666611</v>
      </c>
      <c r="H94" s="213"/>
      <c r="I94" s="213"/>
    </row>
    <row r="95" spans="1:9" ht="21.6" customHeight="1">
      <c r="A95" s="29">
        <v>8</v>
      </c>
      <c r="B95" s="188" t="s">
        <v>337</v>
      </c>
      <c r="C95" s="287" t="s">
        <v>257</v>
      </c>
      <c r="D95" s="214" t="s">
        <v>163</v>
      </c>
      <c r="E95" s="26">
        <f>46673.26</f>
        <v>46673.26</v>
      </c>
      <c r="F95" s="240">
        <v>48170.870282666663</v>
      </c>
      <c r="G95" s="24">
        <f t="shared" si="11"/>
        <v>1497.6102826666611</v>
      </c>
      <c r="H95" s="213"/>
      <c r="I95" s="213"/>
    </row>
    <row r="96" spans="1:9" ht="21.6" customHeight="1">
      <c r="A96" s="29">
        <v>9</v>
      </c>
      <c r="B96" s="188" t="s">
        <v>421</v>
      </c>
      <c r="C96" s="155" t="s">
        <v>422</v>
      </c>
      <c r="D96" s="214" t="s">
        <v>369</v>
      </c>
      <c r="E96" s="26">
        <f>40149.18</f>
        <v>40149.18</v>
      </c>
      <c r="F96" s="241">
        <v>40149.175266666673</v>
      </c>
      <c r="G96" s="24">
        <f t="shared" si="11"/>
        <v>-4.7333333277492784E-3</v>
      </c>
      <c r="H96" s="213"/>
      <c r="I96" s="213"/>
    </row>
    <row r="97" spans="1:9" ht="21.6" customHeight="1">
      <c r="A97" s="29">
        <v>10</v>
      </c>
      <c r="B97" s="188" t="s">
        <v>436</v>
      </c>
      <c r="C97" s="21" t="s">
        <v>470</v>
      </c>
      <c r="D97" s="29" t="s">
        <v>104</v>
      </c>
      <c r="E97" s="26">
        <v>0</v>
      </c>
      <c r="F97" s="240">
        <v>0</v>
      </c>
      <c r="G97" s="24">
        <f t="shared" si="11"/>
        <v>0</v>
      </c>
      <c r="H97" s="213"/>
      <c r="I97" s="213"/>
    </row>
    <row r="98" spans="1:9" ht="21.6" customHeight="1">
      <c r="A98" s="29">
        <v>11</v>
      </c>
      <c r="B98" s="188" t="s">
        <v>406</v>
      </c>
      <c r="C98" s="155" t="s">
        <v>432</v>
      </c>
      <c r="D98" s="214" t="s">
        <v>176</v>
      </c>
      <c r="E98" s="26">
        <f>24685.95</f>
        <v>24685.95</v>
      </c>
      <c r="F98" s="241">
        <v>24749.797062666661</v>
      </c>
      <c r="G98" s="24">
        <f t="shared" si="11"/>
        <v>63.847062666660349</v>
      </c>
      <c r="H98" s="213"/>
      <c r="I98" s="213"/>
    </row>
    <row r="99" spans="1:9" ht="20.100000000000001" customHeight="1">
      <c r="A99" s="29"/>
      <c r="B99" s="191" t="s">
        <v>15</v>
      </c>
      <c r="C99" s="30">
        <v>11</v>
      </c>
      <c r="D99" s="30"/>
      <c r="E99" s="78">
        <f>SUM(E88:E98)</f>
        <v>577752.05000000005</v>
      </c>
      <c r="F99" s="78">
        <f t="shared" ref="F99:G99" si="12">SUM(F88:F98)</f>
        <v>587918.87427066662</v>
      </c>
      <c r="G99" s="78">
        <f t="shared" si="12"/>
        <v>10166.824270666628</v>
      </c>
      <c r="H99" s="213"/>
      <c r="I99" s="213"/>
    </row>
    <row r="100" spans="1:9" ht="20.100000000000001" customHeight="1">
      <c r="A100" s="29"/>
      <c r="B100" s="141"/>
      <c r="C100" s="30"/>
      <c r="D100" s="30"/>
      <c r="E100" s="31"/>
      <c r="F100" s="251"/>
      <c r="G100" s="31"/>
      <c r="H100" s="213"/>
      <c r="I100" s="213"/>
    </row>
    <row r="101" spans="1:9" ht="20.100000000000001" customHeight="1">
      <c r="A101" s="29"/>
      <c r="B101" s="191" t="s">
        <v>464</v>
      </c>
      <c r="C101" s="30"/>
      <c r="D101" s="30"/>
      <c r="E101" s="31"/>
      <c r="F101" s="251"/>
      <c r="G101" s="31"/>
      <c r="H101" s="213"/>
      <c r="I101" s="213"/>
    </row>
    <row r="102" spans="1:9" ht="20.100000000000001" customHeight="1">
      <c r="A102" s="29">
        <v>1</v>
      </c>
      <c r="B102" s="189" t="s">
        <v>364</v>
      </c>
      <c r="C102" s="29" t="s">
        <v>343</v>
      </c>
      <c r="D102" s="214" t="s">
        <v>221</v>
      </c>
      <c r="E102" s="26">
        <f>79993.51</f>
        <v>79993.509999999995</v>
      </c>
      <c r="F102" s="240">
        <v>79993.513850666655</v>
      </c>
      <c r="G102" s="24">
        <f>F102-E102</f>
        <v>3.8506666605826467E-3</v>
      </c>
      <c r="H102" s="213"/>
      <c r="I102" s="213"/>
    </row>
    <row r="103" spans="1:9" ht="20.100000000000001" customHeight="1">
      <c r="A103" s="29">
        <v>2</v>
      </c>
      <c r="B103" s="188" t="s">
        <v>185</v>
      </c>
      <c r="C103" s="21" t="s">
        <v>373</v>
      </c>
      <c r="D103" s="29" t="s">
        <v>181</v>
      </c>
      <c r="E103" s="24">
        <f>43380.1</f>
        <v>43380.1</v>
      </c>
      <c r="F103" s="240">
        <v>44734.339388666674</v>
      </c>
      <c r="G103" s="24">
        <f t="shared" ref="G103:G105" si="13">F103-E103</f>
        <v>1354.2393886666759</v>
      </c>
      <c r="H103" s="213"/>
      <c r="I103" s="213"/>
    </row>
    <row r="104" spans="1:9" ht="20.100000000000001" customHeight="1">
      <c r="A104" s="29">
        <v>3</v>
      </c>
      <c r="B104" s="189" t="s">
        <v>366</v>
      </c>
      <c r="C104" s="21" t="s">
        <v>367</v>
      </c>
      <c r="D104" s="214" t="s">
        <v>163</v>
      </c>
      <c r="E104" s="26">
        <f>38272.44</f>
        <v>38272.44</v>
      </c>
      <c r="F104" s="240">
        <v>39582.844830666661</v>
      </c>
      <c r="G104" s="24">
        <f t="shared" si="13"/>
        <v>1310.4048306666591</v>
      </c>
      <c r="H104" s="213"/>
      <c r="I104" s="213"/>
    </row>
    <row r="105" spans="1:9" ht="20.100000000000001" customHeight="1">
      <c r="A105" s="29">
        <v>4</v>
      </c>
      <c r="B105" s="188" t="s">
        <v>237</v>
      </c>
      <c r="C105" s="21" t="s">
        <v>483</v>
      </c>
      <c r="D105" s="214" t="s">
        <v>415</v>
      </c>
      <c r="E105" s="26" t="e">
        <f>#REF!</f>
        <v>#REF!</v>
      </c>
      <c r="F105" s="240">
        <v>32098.951098666672</v>
      </c>
      <c r="G105" s="24" t="e">
        <f t="shared" si="13"/>
        <v>#REF!</v>
      </c>
      <c r="H105" s="213"/>
      <c r="I105" s="213"/>
    </row>
    <row r="106" spans="1:9" ht="20.100000000000001" customHeight="1">
      <c r="A106" s="21"/>
      <c r="B106" s="191" t="s">
        <v>15</v>
      </c>
      <c r="C106" s="30">
        <v>4</v>
      </c>
      <c r="D106" s="220"/>
      <c r="E106" s="78" t="e">
        <f t="shared" ref="E106:G106" si="14">SUM(E102:E105)</f>
        <v>#REF!</v>
      </c>
      <c r="F106" s="78">
        <f t="shared" si="14"/>
        <v>196409.64916866666</v>
      </c>
      <c r="G106" s="78" t="e">
        <f t="shared" si="14"/>
        <v>#REF!</v>
      </c>
      <c r="H106" s="213"/>
      <c r="I106" s="213"/>
    </row>
    <row r="107" spans="1:9" ht="20.100000000000001" customHeight="1">
      <c r="A107" s="21"/>
      <c r="B107" s="141"/>
      <c r="C107" s="30"/>
      <c r="D107" s="220"/>
      <c r="E107" s="31"/>
      <c r="F107" s="251"/>
      <c r="G107" s="31"/>
      <c r="H107" s="213"/>
      <c r="I107" s="213"/>
    </row>
    <row r="108" spans="1:9" ht="20.100000000000001" customHeight="1">
      <c r="A108" s="21"/>
      <c r="B108" s="191" t="s">
        <v>465</v>
      </c>
      <c r="C108" s="21"/>
      <c r="D108" s="21"/>
      <c r="E108" s="21"/>
      <c r="F108" s="252"/>
      <c r="G108" s="21"/>
      <c r="H108" s="213"/>
      <c r="I108" s="213"/>
    </row>
    <row r="109" spans="1:9" ht="20.100000000000001" customHeight="1">
      <c r="A109" s="21">
        <v>1</v>
      </c>
      <c r="B109" s="188" t="s">
        <v>216</v>
      </c>
      <c r="C109" s="287" t="s">
        <v>217</v>
      </c>
      <c r="D109" s="214" t="s">
        <v>161</v>
      </c>
      <c r="E109" s="26">
        <f>180306.81</f>
        <v>180306.81</v>
      </c>
      <c r="F109" s="240">
        <v>180145.9708586667</v>
      </c>
      <c r="G109" s="24">
        <f>F109-E109</f>
        <v>-160.83914133330109</v>
      </c>
      <c r="H109" s="213"/>
      <c r="I109" s="213"/>
    </row>
    <row r="110" spans="1:9" ht="20.100000000000001" customHeight="1">
      <c r="A110" s="21">
        <v>2</v>
      </c>
      <c r="B110" s="188" t="s">
        <v>110</v>
      </c>
      <c r="C110" s="21" t="s">
        <v>259</v>
      </c>
      <c r="D110" s="25" t="s">
        <v>221</v>
      </c>
      <c r="E110" s="26" t="e">
        <f>#REF!</f>
        <v>#REF!</v>
      </c>
      <c r="F110" s="240">
        <v>97147.085210666657</v>
      </c>
      <c r="G110" s="24" t="e">
        <f t="shared" ref="G110:G115" si="15">F110-E110</f>
        <v>#REF!</v>
      </c>
      <c r="H110" s="213"/>
      <c r="I110" s="213"/>
    </row>
    <row r="111" spans="1:9" ht="20.100000000000001" customHeight="1">
      <c r="A111" s="21">
        <v>3</v>
      </c>
      <c r="B111" s="188" t="s">
        <v>109</v>
      </c>
      <c r="C111" s="21" t="s">
        <v>311</v>
      </c>
      <c r="D111" s="29" t="s">
        <v>175</v>
      </c>
      <c r="E111" s="24">
        <f>58814.67</f>
        <v>58814.67</v>
      </c>
      <c r="F111" s="240">
        <v>58941.101743466657</v>
      </c>
      <c r="G111" s="24">
        <f t="shared" si="15"/>
        <v>126.4317434666591</v>
      </c>
      <c r="H111" s="213"/>
      <c r="I111" s="213"/>
    </row>
    <row r="112" spans="1:9" ht="20.100000000000001" customHeight="1">
      <c r="A112" s="21">
        <v>4</v>
      </c>
      <c r="B112" s="188" t="s">
        <v>135</v>
      </c>
      <c r="C112" s="21" t="s">
        <v>311</v>
      </c>
      <c r="D112" s="29" t="s">
        <v>175</v>
      </c>
      <c r="E112" s="24">
        <f>57194.24</f>
        <v>57194.239999999998</v>
      </c>
      <c r="F112" s="240">
        <v>58941.101743466657</v>
      </c>
      <c r="G112" s="24">
        <f t="shared" si="15"/>
        <v>1746.8617434666594</v>
      </c>
      <c r="H112" s="213"/>
      <c r="I112" s="213"/>
    </row>
    <row r="113" spans="1:9" ht="20.100000000000001" customHeight="1">
      <c r="A113" s="21">
        <v>5</v>
      </c>
      <c r="B113" s="188" t="s">
        <v>240</v>
      </c>
      <c r="C113" s="21" t="s">
        <v>338</v>
      </c>
      <c r="D113" s="214" t="s">
        <v>499</v>
      </c>
      <c r="E113" s="26">
        <f>30699.58</f>
        <v>30699.58</v>
      </c>
      <c r="F113" s="240">
        <v>31285.603203306662</v>
      </c>
      <c r="G113" s="24">
        <f t="shared" si="15"/>
        <v>586.02320330666043</v>
      </c>
      <c r="H113" s="213"/>
      <c r="I113" s="213"/>
    </row>
    <row r="114" spans="1:9" ht="20.100000000000001" customHeight="1">
      <c r="A114" s="21">
        <v>6</v>
      </c>
      <c r="B114" s="189" t="s">
        <v>341</v>
      </c>
      <c r="C114" s="21" t="s">
        <v>338</v>
      </c>
      <c r="D114" s="29" t="s">
        <v>267</v>
      </c>
      <c r="E114" s="26">
        <f>30049.31</f>
        <v>30049.31</v>
      </c>
      <c r="F114" s="240">
        <v>30635.120688666666</v>
      </c>
      <c r="G114" s="24">
        <f t="shared" si="15"/>
        <v>585.81068866666465</v>
      </c>
      <c r="H114" s="213"/>
      <c r="I114" s="213"/>
    </row>
    <row r="115" spans="1:9" ht="20.100000000000001" customHeight="1">
      <c r="A115" s="21">
        <v>7</v>
      </c>
      <c r="B115" s="189" t="s">
        <v>374</v>
      </c>
      <c r="C115" s="21" t="s">
        <v>338</v>
      </c>
      <c r="D115" s="214" t="s">
        <v>176</v>
      </c>
      <c r="E115" s="26">
        <f>28813.07</f>
        <v>28813.07</v>
      </c>
      <c r="F115" s="240">
        <v>29055.584161426657</v>
      </c>
      <c r="G115" s="24">
        <f t="shared" si="15"/>
        <v>242.51416142665767</v>
      </c>
      <c r="H115" s="213"/>
      <c r="I115" s="213"/>
    </row>
    <row r="116" spans="1:9" ht="20.100000000000001" customHeight="1">
      <c r="A116" s="21"/>
      <c r="B116" s="191" t="s">
        <v>15</v>
      </c>
      <c r="C116" s="30">
        <v>7</v>
      </c>
      <c r="D116" s="21"/>
      <c r="E116" s="221" t="e">
        <f t="shared" ref="E116:G116" si="16">SUM(E109:E115)</f>
        <v>#REF!</v>
      </c>
      <c r="F116" s="221">
        <f t="shared" si="16"/>
        <v>486151.56760966667</v>
      </c>
      <c r="G116" s="221" t="e">
        <f t="shared" si="16"/>
        <v>#REF!</v>
      </c>
      <c r="H116" s="213"/>
      <c r="I116" s="213"/>
    </row>
    <row r="117" spans="1:9" ht="20.100000000000001" customHeight="1">
      <c r="A117" s="21"/>
      <c r="B117" s="141"/>
      <c r="C117" s="29"/>
      <c r="D117" s="21"/>
      <c r="E117" s="222"/>
      <c r="F117" s="242"/>
      <c r="G117" s="222"/>
      <c r="H117" s="213"/>
      <c r="I117" s="213"/>
    </row>
    <row r="118" spans="1:9" ht="20.100000000000001" customHeight="1">
      <c r="A118" s="21"/>
      <c r="B118" s="191" t="s">
        <v>466</v>
      </c>
      <c r="C118" s="30"/>
      <c r="D118" s="30"/>
      <c r="E118" s="31"/>
      <c r="F118" s="240"/>
      <c r="G118" s="24"/>
      <c r="H118" s="213"/>
      <c r="I118" s="213"/>
    </row>
    <row r="119" spans="1:9" ht="20.100000000000001" customHeight="1">
      <c r="A119" s="21">
        <v>1</v>
      </c>
      <c r="B119" s="188" t="s">
        <v>20</v>
      </c>
      <c r="C119" s="287" t="s">
        <v>250</v>
      </c>
      <c r="D119" s="214" t="s">
        <v>161</v>
      </c>
      <c r="E119" s="26">
        <f>179914.45</f>
        <v>179914.45</v>
      </c>
      <c r="F119" s="240">
        <v>179914.4546986667</v>
      </c>
      <c r="G119" s="24">
        <f>F119-E119</f>
        <v>4.6986666857264936E-3</v>
      </c>
      <c r="H119" s="213"/>
      <c r="I119" s="213"/>
    </row>
    <row r="120" spans="1:9" ht="20.100000000000001" customHeight="1">
      <c r="A120" s="21" t="s">
        <v>505</v>
      </c>
      <c r="B120" s="188" t="s">
        <v>100</v>
      </c>
      <c r="C120" s="287" t="s">
        <v>268</v>
      </c>
      <c r="D120" s="214" t="s">
        <v>160</v>
      </c>
      <c r="E120" s="26">
        <f>101827.95</f>
        <v>101827.95</v>
      </c>
      <c r="F120" s="240">
        <v>101827.95141866668</v>
      </c>
      <c r="G120" s="24">
        <f t="shared" ref="G120:G129" si="17">F120-E120</f>
        <v>1.4186666812747717E-3</v>
      </c>
      <c r="H120" s="213"/>
      <c r="I120" s="213"/>
    </row>
    <row r="121" spans="1:9" ht="20.100000000000001" customHeight="1">
      <c r="A121" s="21">
        <v>3</v>
      </c>
      <c r="B121" s="188" t="s">
        <v>153</v>
      </c>
      <c r="C121" s="287" t="s">
        <v>376</v>
      </c>
      <c r="D121" s="214" t="s">
        <v>75</v>
      </c>
      <c r="E121" s="26">
        <f>83636.1</f>
        <v>83636.100000000006</v>
      </c>
      <c r="F121" s="240">
        <v>83636.103146666646</v>
      </c>
      <c r="G121" s="24">
        <f t="shared" si="17"/>
        <v>3.146666640532203E-3</v>
      </c>
      <c r="H121" s="213"/>
      <c r="I121" s="213"/>
    </row>
    <row r="122" spans="1:9" ht="20.100000000000001" customHeight="1">
      <c r="A122" s="21">
        <v>4</v>
      </c>
      <c r="B122" s="190" t="s">
        <v>142</v>
      </c>
      <c r="C122" s="287" t="s">
        <v>376</v>
      </c>
      <c r="D122" s="214" t="s">
        <v>75</v>
      </c>
      <c r="E122" s="24">
        <f>64436.1</f>
        <v>64436.1</v>
      </c>
      <c r="F122" s="240">
        <v>64436.103146666661</v>
      </c>
      <c r="G122" s="24">
        <f t="shared" si="17"/>
        <v>3.1466666623600759E-3</v>
      </c>
      <c r="H122" s="213"/>
      <c r="I122" s="213"/>
    </row>
    <row r="123" spans="1:9" ht="20.100000000000001" customHeight="1">
      <c r="A123" s="21">
        <v>5</v>
      </c>
      <c r="B123" s="190" t="s">
        <v>363</v>
      </c>
      <c r="C123" s="287" t="s">
        <v>376</v>
      </c>
      <c r="D123" s="214" t="s">
        <v>30</v>
      </c>
      <c r="E123" s="26">
        <f>60212.92</f>
        <v>60212.92</v>
      </c>
      <c r="F123" s="240">
        <v>60212.915690666669</v>
      </c>
      <c r="G123" s="24">
        <f t="shared" si="17"/>
        <v>-4.3093333297292702E-3</v>
      </c>
      <c r="H123" s="213"/>
      <c r="I123" s="213"/>
    </row>
    <row r="124" spans="1:9" ht="20.100000000000001" customHeight="1">
      <c r="A124" s="21">
        <v>6</v>
      </c>
      <c r="B124" s="188" t="s">
        <v>108</v>
      </c>
      <c r="C124" s="287" t="s">
        <v>476</v>
      </c>
      <c r="D124" s="214" t="s">
        <v>162</v>
      </c>
      <c r="E124" s="26" t="e">
        <f>#REF!</f>
        <v>#REF!</v>
      </c>
      <c r="F124" s="240">
        <v>42652.373376666663</v>
      </c>
      <c r="G124" s="24" t="e">
        <f t="shared" si="17"/>
        <v>#REF!</v>
      </c>
      <c r="H124" s="213"/>
      <c r="I124" s="213"/>
    </row>
    <row r="125" spans="1:9" ht="20.100000000000001" customHeight="1">
      <c r="A125" s="21">
        <v>7</v>
      </c>
      <c r="B125" s="188" t="s">
        <v>178</v>
      </c>
      <c r="C125" s="287" t="s">
        <v>382</v>
      </c>
      <c r="D125" s="214" t="s">
        <v>170</v>
      </c>
      <c r="E125" s="26">
        <f>44518.93</f>
        <v>44518.93</v>
      </c>
      <c r="F125" s="240">
        <v>45724.599176666663</v>
      </c>
      <c r="G125" s="24">
        <f t="shared" si="17"/>
        <v>1205.6691766666627</v>
      </c>
      <c r="H125" s="213"/>
      <c r="I125" s="213"/>
    </row>
    <row r="126" spans="1:9" ht="20.100000000000001" customHeight="1">
      <c r="A126" s="21">
        <v>8</v>
      </c>
      <c r="B126" s="188" t="s">
        <v>134</v>
      </c>
      <c r="C126" s="287" t="s">
        <v>384</v>
      </c>
      <c r="D126" s="214" t="s">
        <v>170</v>
      </c>
      <c r="E126" s="26">
        <f>39478.93</f>
        <v>39478.93</v>
      </c>
      <c r="F126" s="240">
        <v>40684.599176666663</v>
      </c>
      <c r="G126" s="24">
        <f t="shared" si="17"/>
        <v>1205.6691766666627</v>
      </c>
      <c r="H126" s="213"/>
      <c r="I126" s="213"/>
    </row>
    <row r="127" spans="1:9" ht="20.100000000000001" customHeight="1">
      <c r="A127" s="21">
        <v>9</v>
      </c>
      <c r="B127" s="189" t="s">
        <v>365</v>
      </c>
      <c r="C127" s="287" t="s">
        <v>383</v>
      </c>
      <c r="D127" s="214" t="s">
        <v>500</v>
      </c>
      <c r="E127" s="26">
        <f>38272.44</f>
        <v>38272.44</v>
      </c>
      <c r="F127" s="240">
        <v>39582.844830666661</v>
      </c>
      <c r="G127" s="24">
        <f t="shared" si="17"/>
        <v>1310.4048306666591</v>
      </c>
      <c r="H127" s="213"/>
      <c r="I127" s="213"/>
    </row>
    <row r="128" spans="1:9" ht="20.100000000000001" customHeight="1">
      <c r="A128" s="21">
        <v>10</v>
      </c>
      <c r="B128" s="188" t="s">
        <v>443</v>
      </c>
      <c r="C128" s="287" t="s">
        <v>447</v>
      </c>
      <c r="D128" s="29" t="s">
        <v>498</v>
      </c>
      <c r="E128" s="26">
        <f>21640.95</f>
        <v>21640.95</v>
      </c>
      <c r="F128" s="240">
        <v>22338.48260466666</v>
      </c>
      <c r="G128" s="24">
        <f t="shared" si="17"/>
        <v>697.53260466665961</v>
      </c>
      <c r="H128" s="213"/>
      <c r="I128" s="213"/>
    </row>
    <row r="129" spans="1:9" ht="20.100000000000001" customHeight="1">
      <c r="A129" s="21">
        <v>11</v>
      </c>
      <c r="B129" s="189" t="s">
        <v>439</v>
      </c>
      <c r="C129" s="287" t="s">
        <v>440</v>
      </c>
      <c r="D129" s="214" t="s">
        <v>176</v>
      </c>
      <c r="E129" s="26">
        <f>25245.23</f>
        <v>25245.23</v>
      </c>
      <c r="F129" s="240">
        <v>17042.713866666661</v>
      </c>
      <c r="G129" s="24">
        <f t="shared" si="17"/>
        <v>-8202.5161333333381</v>
      </c>
      <c r="H129" s="213"/>
      <c r="I129" s="213"/>
    </row>
    <row r="130" spans="1:9" ht="20.100000000000001" customHeight="1">
      <c r="A130" s="21"/>
      <c r="B130" s="191" t="s">
        <v>15</v>
      </c>
      <c r="C130" s="220" t="s">
        <v>292</v>
      </c>
      <c r="D130" s="214"/>
      <c r="E130" s="78" t="e">
        <f t="shared" ref="E130:G130" si="18">SUM(E119:E129)</f>
        <v>#REF!</v>
      </c>
      <c r="F130" s="78">
        <f t="shared" si="18"/>
        <v>698053.14113333332</v>
      </c>
      <c r="G130" s="78" t="e">
        <f t="shared" si="18"/>
        <v>#REF!</v>
      </c>
      <c r="H130" s="213"/>
      <c r="I130" s="213"/>
    </row>
    <row r="131" spans="1:9" ht="20.100000000000001" customHeight="1">
      <c r="A131" s="21"/>
      <c r="B131" s="141"/>
      <c r="C131" s="220"/>
      <c r="D131" s="214"/>
      <c r="E131" s="31"/>
      <c r="F131" s="253"/>
      <c r="G131" s="215"/>
      <c r="H131" s="213"/>
      <c r="I131" s="213"/>
    </row>
    <row r="132" spans="1:9" ht="20.100000000000001" customHeight="1">
      <c r="A132" s="21"/>
      <c r="B132" s="191" t="s">
        <v>467</v>
      </c>
      <c r="C132" s="287"/>
      <c r="D132" s="214"/>
      <c r="E132" s="26"/>
      <c r="F132" s="240"/>
      <c r="G132" s="24"/>
      <c r="H132" s="213"/>
      <c r="I132" s="213"/>
    </row>
    <row r="133" spans="1:9" ht="20.100000000000001" customHeight="1">
      <c r="A133" s="224">
        <v>1</v>
      </c>
      <c r="B133" s="188" t="s">
        <v>21</v>
      </c>
      <c r="C133" s="287" t="s">
        <v>393</v>
      </c>
      <c r="D133" s="214" t="s">
        <v>161</v>
      </c>
      <c r="E133" s="26">
        <f>161106.81</f>
        <v>161106.81</v>
      </c>
      <c r="F133" s="240">
        <v>161106.80685866668</v>
      </c>
      <c r="G133" s="24">
        <f>F133-E133</f>
        <v>-3.1413333199452609E-3</v>
      </c>
      <c r="H133" s="213"/>
      <c r="I133" s="213"/>
    </row>
    <row r="134" spans="1:9" ht="20.100000000000001" customHeight="1">
      <c r="A134" s="224">
        <v>2</v>
      </c>
      <c r="B134" s="188" t="s">
        <v>107</v>
      </c>
      <c r="C134" s="287" t="s">
        <v>394</v>
      </c>
      <c r="D134" s="214" t="s">
        <v>160</v>
      </c>
      <c r="E134" s="24">
        <v>82627.95</v>
      </c>
      <c r="F134" s="240">
        <v>82467.115418666668</v>
      </c>
      <c r="G134" s="24">
        <f t="shared" ref="G134:G187" si="19">F134-E134</f>
        <v>-160.83458133332897</v>
      </c>
      <c r="H134" s="213"/>
      <c r="I134" s="213"/>
    </row>
    <row r="135" spans="1:9" ht="20.100000000000001" customHeight="1">
      <c r="A135" s="224">
        <v>3</v>
      </c>
      <c r="B135" s="190" t="s">
        <v>183</v>
      </c>
      <c r="C135" s="21" t="s">
        <v>486</v>
      </c>
      <c r="D135" s="25" t="s">
        <v>221</v>
      </c>
      <c r="E135" s="24" t="e">
        <f>#REF!</f>
        <v>#REF!</v>
      </c>
      <c r="F135" s="240">
        <v>89465.197050666669</v>
      </c>
      <c r="G135" s="24" t="e">
        <f t="shared" si="19"/>
        <v>#REF!</v>
      </c>
      <c r="H135" s="213"/>
      <c r="I135" s="213"/>
    </row>
    <row r="136" spans="1:9" ht="20.100000000000001" customHeight="1">
      <c r="A136" s="224">
        <v>4</v>
      </c>
      <c r="B136" s="188" t="s">
        <v>106</v>
      </c>
      <c r="C136" s="287" t="s">
        <v>381</v>
      </c>
      <c r="D136" s="214" t="s">
        <v>181</v>
      </c>
      <c r="E136" s="26">
        <f>43380.1</f>
        <v>43380.1</v>
      </c>
      <c r="F136" s="240">
        <v>44734.339388666674</v>
      </c>
      <c r="G136" s="24">
        <f t="shared" si="19"/>
        <v>1354.2393886666759</v>
      </c>
      <c r="H136" s="213"/>
      <c r="I136" s="213"/>
    </row>
    <row r="137" spans="1:9" ht="20.100000000000001" customHeight="1">
      <c r="A137" s="224">
        <v>5</v>
      </c>
      <c r="B137" s="188" t="s">
        <v>7</v>
      </c>
      <c r="C137" s="21" t="s">
        <v>385</v>
      </c>
      <c r="D137" s="214" t="s">
        <v>181</v>
      </c>
      <c r="E137" s="26">
        <f>43380.1</f>
        <v>43380.1</v>
      </c>
      <c r="F137" s="240">
        <v>44846.616588666679</v>
      </c>
      <c r="G137" s="24">
        <f t="shared" si="19"/>
        <v>1466.51658866668</v>
      </c>
      <c r="H137" s="213"/>
      <c r="I137" s="213"/>
    </row>
    <row r="138" spans="1:9" ht="20.100000000000001" customHeight="1">
      <c r="A138" s="224">
        <v>6</v>
      </c>
      <c r="B138" s="188" t="s">
        <v>124</v>
      </c>
      <c r="C138" s="21" t="s">
        <v>235</v>
      </c>
      <c r="D138" s="214" t="s">
        <v>170</v>
      </c>
      <c r="E138" s="26">
        <f>39582.84</f>
        <v>39582.839999999997</v>
      </c>
      <c r="F138" s="240">
        <v>40698.124856666655</v>
      </c>
      <c r="G138" s="24">
        <f t="shared" si="19"/>
        <v>1115.284856666658</v>
      </c>
      <c r="H138" s="213"/>
      <c r="I138" s="213"/>
    </row>
    <row r="139" spans="1:9" ht="20.100000000000001" customHeight="1">
      <c r="A139" s="224">
        <v>7</v>
      </c>
      <c r="B139" s="188" t="s">
        <v>102</v>
      </c>
      <c r="C139" s="287" t="s">
        <v>395</v>
      </c>
      <c r="D139" s="214" t="s">
        <v>497</v>
      </c>
      <c r="E139" s="26">
        <f>32848.56</f>
        <v>32848.559999999998</v>
      </c>
      <c r="F139" s="240">
        <v>34968.882414666667</v>
      </c>
      <c r="G139" s="24">
        <f t="shared" si="19"/>
        <v>2120.3224146666689</v>
      </c>
      <c r="H139" s="213"/>
      <c r="I139" s="213"/>
    </row>
    <row r="140" spans="1:9" ht="20.100000000000001" customHeight="1">
      <c r="A140" s="224">
        <v>8</v>
      </c>
      <c r="B140" s="188" t="s">
        <v>103</v>
      </c>
      <c r="C140" s="287" t="s">
        <v>395</v>
      </c>
      <c r="D140" s="214" t="s">
        <v>497</v>
      </c>
      <c r="E140" s="26">
        <f>32938.95</f>
        <v>32938.949999999997</v>
      </c>
      <c r="F140" s="240">
        <v>34968.882414666667</v>
      </c>
      <c r="G140" s="24">
        <f t="shared" si="19"/>
        <v>2029.9324146666695</v>
      </c>
      <c r="H140" s="213"/>
      <c r="I140" s="213"/>
    </row>
    <row r="141" spans="1:9" ht="20.100000000000001" customHeight="1">
      <c r="A141" s="224">
        <v>9</v>
      </c>
      <c r="B141" s="188" t="s">
        <v>151</v>
      </c>
      <c r="C141" s="21" t="s">
        <v>235</v>
      </c>
      <c r="D141" s="214" t="s">
        <v>497</v>
      </c>
      <c r="E141" s="26">
        <f>32938.95</f>
        <v>32938.949999999997</v>
      </c>
      <c r="F141" s="240">
        <v>34968.882414666667</v>
      </c>
      <c r="G141" s="24">
        <f t="shared" si="19"/>
        <v>2029.9324146666695</v>
      </c>
      <c r="H141" s="213"/>
      <c r="I141" s="213"/>
    </row>
    <row r="142" spans="1:9" ht="20.100000000000001" customHeight="1">
      <c r="A142" s="224">
        <v>10</v>
      </c>
      <c r="B142" s="188" t="s">
        <v>238</v>
      </c>
      <c r="C142" s="287" t="s">
        <v>479</v>
      </c>
      <c r="D142" s="214" t="s">
        <v>415</v>
      </c>
      <c r="E142" s="26" t="e">
        <f>#REF!</f>
        <v>#REF!</v>
      </c>
      <c r="F142" s="240">
        <v>32022.168238666676</v>
      </c>
      <c r="G142" s="24" t="e">
        <f t="shared" si="19"/>
        <v>#REF!</v>
      </c>
      <c r="H142" s="213"/>
      <c r="I142" s="213"/>
    </row>
    <row r="143" spans="1:9" ht="20.100000000000001" customHeight="1">
      <c r="A143" s="224">
        <v>11</v>
      </c>
      <c r="B143" s="188" t="s">
        <v>53</v>
      </c>
      <c r="C143" s="287" t="s">
        <v>300</v>
      </c>
      <c r="D143" s="214" t="s">
        <v>27</v>
      </c>
      <c r="E143" s="26">
        <f>27029.2</f>
        <v>27029.200000000001</v>
      </c>
      <c r="F143" s="240">
        <v>27794.206626666662</v>
      </c>
      <c r="G143" s="24">
        <f t="shared" si="19"/>
        <v>765.00662666666176</v>
      </c>
      <c r="H143" s="213"/>
      <c r="I143" s="213"/>
    </row>
    <row r="144" spans="1:9" ht="20.100000000000001" customHeight="1">
      <c r="A144" s="224">
        <v>12</v>
      </c>
      <c r="B144" s="188" t="s">
        <v>179</v>
      </c>
      <c r="C144" s="287" t="s">
        <v>479</v>
      </c>
      <c r="D144" s="214" t="s">
        <v>497</v>
      </c>
      <c r="E144" s="26" t="e">
        <f>#REF!</f>
        <v>#REF!</v>
      </c>
      <c r="F144" s="240">
        <v>34128.882414666667</v>
      </c>
      <c r="G144" s="24" t="e">
        <f t="shared" si="19"/>
        <v>#REF!</v>
      </c>
      <c r="H144" s="213"/>
      <c r="I144" s="213"/>
    </row>
    <row r="145" spans="1:9" ht="20.100000000000001" customHeight="1">
      <c r="A145" s="224">
        <v>13</v>
      </c>
      <c r="B145" s="188" t="s">
        <v>488</v>
      </c>
      <c r="C145" s="21" t="s">
        <v>239</v>
      </c>
      <c r="D145" s="214" t="s">
        <v>207</v>
      </c>
      <c r="E145" s="26">
        <f>26339.08</f>
        <v>26339.08</v>
      </c>
      <c r="F145" s="240">
        <v>27031.29334266666</v>
      </c>
      <c r="G145" s="24">
        <f t="shared" si="19"/>
        <v>692.21334266665872</v>
      </c>
      <c r="H145" s="213"/>
      <c r="I145" s="213"/>
    </row>
    <row r="146" spans="1:9" ht="20.100000000000001" customHeight="1">
      <c r="A146" s="224">
        <v>14</v>
      </c>
      <c r="B146" s="188" t="s">
        <v>489</v>
      </c>
      <c r="C146" s="21" t="s">
        <v>239</v>
      </c>
      <c r="D146" s="214" t="s">
        <v>164</v>
      </c>
      <c r="E146" s="26">
        <f>26264.39</f>
        <v>26264.39</v>
      </c>
      <c r="F146" s="240">
        <v>27105.986562666658</v>
      </c>
      <c r="G146" s="24">
        <f t="shared" si="19"/>
        <v>841.59656266665843</v>
      </c>
      <c r="H146" s="213"/>
      <c r="I146" s="213"/>
    </row>
    <row r="147" spans="1:9" ht="20.100000000000001" customHeight="1">
      <c r="A147" s="224">
        <v>15</v>
      </c>
      <c r="B147" s="188" t="s">
        <v>212</v>
      </c>
      <c r="C147" s="21" t="s">
        <v>239</v>
      </c>
      <c r="D147" s="214" t="s">
        <v>164</v>
      </c>
      <c r="E147" s="26">
        <f>26339.08</f>
        <v>26339.08</v>
      </c>
      <c r="F147" s="240">
        <v>27105.986562666658</v>
      </c>
      <c r="G147" s="24">
        <f t="shared" si="19"/>
        <v>766.9065626666561</v>
      </c>
      <c r="H147" s="213"/>
      <c r="I147" s="213"/>
    </row>
    <row r="148" spans="1:9" ht="20.100000000000001" customHeight="1">
      <c r="A148" s="224">
        <v>16</v>
      </c>
      <c r="B148" s="188" t="s">
        <v>425</v>
      </c>
      <c r="C148" s="287" t="s">
        <v>430</v>
      </c>
      <c r="D148" s="214" t="s">
        <v>104</v>
      </c>
      <c r="E148" s="26">
        <f>25571.82</f>
        <v>25571.82</v>
      </c>
      <c r="F148" s="240">
        <v>25571.815728666668</v>
      </c>
      <c r="G148" s="24">
        <f t="shared" si="19"/>
        <v>-4.2713333314168267E-3</v>
      </c>
      <c r="H148" s="213"/>
      <c r="I148" s="213"/>
    </row>
    <row r="149" spans="1:9" ht="20.100000000000001" customHeight="1">
      <c r="A149" s="224">
        <v>17</v>
      </c>
      <c r="B149" s="188" t="s">
        <v>437</v>
      </c>
      <c r="C149" s="287" t="s">
        <v>438</v>
      </c>
      <c r="D149" s="29" t="s">
        <v>428</v>
      </c>
      <c r="E149" s="26">
        <f>21640.95</f>
        <v>21640.95</v>
      </c>
      <c r="F149" s="240">
        <v>21640.952862666669</v>
      </c>
      <c r="G149" s="24">
        <f t="shared" si="19"/>
        <v>2.8626666680793278E-3</v>
      </c>
      <c r="H149" s="213"/>
      <c r="I149" s="213"/>
    </row>
    <row r="150" spans="1:9" ht="20.100000000000001" customHeight="1">
      <c r="A150" s="224">
        <v>18</v>
      </c>
      <c r="B150" s="188" t="s">
        <v>230</v>
      </c>
      <c r="C150" s="287" t="s">
        <v>485</v>
      </c>
      <c r="D150" s="214" t="s">
        <v>207</v>
      </c>
      <c r="E150" s="26" t="e">
        <f>#REF!</f>
        <v>#REF!</v>
      </c>
      <c r="F150" s="240">
        <v>27105.986562666658</v>
      </c>
      <c r="G150" s="24" t="e">
        <f t="shared" si="19"/>
        <v>#REF!</v>
      </c>
      <c r="H150" s="213"/>
      <c r="I150" s="213"/>
    </row>
    <row r="151" spans="1:9" ht="20.100000000000001" customHeight="1">
      <c r="A151" s="224">
        <v>19</v>
      </c>
      <c r="B151" s="188" t="s">
        <v>57</v>
      </c>
      <c r="C151" s="287" t="s">
        <v>481</v>
      </c>
      <c r="D151" s="214" t="s">
        <v>498</v>
      </c>
      <c r="E151" s="26">
        <v>21640.95</v>
      </c>
      <c r="F151" s="240">
        <v>22281.815364666661</v>
      </c>
      <c r="G151" s="24">
        <f t="shared" si="19"/>
        <v>640.86536466666075</v>
      </c>
      <c r="H151" s="213"/>
      <c r="I151" s="213"/>
    </row>
    <row r="152" spans="1:9" ht="20.100000000000001" customHeight="1">
      <c r="A152" s="224">
        <v>20</v>
      </c>
      <c r="B152" s="188" t="s">
        <v>251</v>
      </c>
      <c r="C152" s="287" t="s">
        <v>482</v>
      </c>
      <c r="D152" s="214" t="s">
        <v>207</v>
      </c>
      <c r="E152" s="26">
        <v>25571.708040666661</v>
      </c>
      <c r="F152" s="240">
        <v>27105.986562666658</v>
      </c>
      <c r="G152" s="24">
        <f t="shared" si="19"/>
        <v>1534.2785219999969</v>
      </c>
      <c r="H152" s="213"/>
      <c r="I152" s="213"/>
    </row>
    <row r="153" spans="1:9" ht="20.100000000000001" customHeight="1">
      <c r="A153" s="224">
        <v>21</v>
      </c>
      <c r="B153" s="188" t="s">
        <v>241</v>
      </c>
      <c r="C153" s="287" t="s">
        <v>348</v>
      </c>
      <c r="D153" s="214" t="s">
        <v>498</v>
      </c>
      <c r="E153" s="26">
        <f>18102.9+3538.05</f>
        <v>21640.95</v>
      </c>
      <c r="F153" s="240">
        <v>22338.48260466666</v>
      </c>
      <c r="G153" s="24">
        <f t="shared" si="19"/>
        <v>697.53260466665961</v>
      </c>
      <c r="H153" s="213"/>
      <c r="I153" s="213"/>
    </row>
    <row r="154" spans="1:9" ht="20.100000000000001" customHeight="1">
      <c r="A154" s="224">
        <v>22</v>
      </c>
      <c r="B154" s="189" t="s">
        <v>289</v>
      </c>
      <c r="C154" s="287" t="s">
        <v>290</v>
      </c>
      <c r="D154" s="214" t="s">
        <v>411</v>
      </c>
      <c r="E154" s="26">
        <f>17572.89</f>
        <v>17572.89</v>
      </c>
      <c r="F154" s="240">
        <v>18102.902732666666</v>
      </c>
      <c r="G154" s="24">
        <f t="shared" si="19"/>
        <v>530.01273266666612</v>
      </c>
      <c r="H154" s="213"/>
      <c r="I154" s="213"/>
    </row>
    <row r="155" spans="1:9" ht="20.100000000000001" customHeight="1">
      <c r="A155" s="224">
        <v>23</v>
      </c>
      <c r="B155" s="189" t="s">
        <v>359</v>
      </c>
      <c r="C155" s="287" t="s">
        <v>131</v>
      </c>
      <c r="D155" s="214" t="s">
        <v>176</v>
      </c>
      <c r="E155" s="26">
        <f>16512.68</f>
        <v>16512.68</v>
      </c>
      <c r="F155" s="240">
        <v>17042.713866666661</v>
      </c>
      <c r="G155" s="24">
        <f t="shared" si="19"/>
        <v>530.0338666666612</v>
      </c>
      <c r="H155" s="213"/>
      <c r="I155" s="213"/>
    </row>
    <row r="156" spans="1:9" ht="20.100000000000001" customHeight="1">
      <c r="A156" s="224">
        <v>24</v>
      </c>
      <c r="B156" s="189" t="s">
        <v>407</v>
      </c>
      <c r="C156" s="287" t="s">
        <v>131</v>
      </c>
      <c r="D156" s="214" t="s">
        <v>105</v>
      </c>
      <c r="E156" s="26">
        <f>16512.68</f>
        <v>16512.68</v>
      </c>
      <c r="F156" s="240">
        <v>16512.68219066667</v>
      </c>
      <c r="G156" s="24">
        <f t="shared" si="19"/>
        <v>2.1906666697759647E-3</v>
      </c>
      <c r="H156" s="213"/>
      <c r="I156" s="213"/>
    </row>
    <row r="157" spans="1:9" ht="20.100000000000001" customHeight="1">
      <c r="A157" s="224">
        <v>25</v>
      </c>
      <c r="B157" s="189" t="s">
        <v>426</v>
      </c>
      <c r="C157" s="287" t="s">
        <v>290</v>
      </c>
      <c r="D157" s="214" t="s">
        <v>105</v>
      </c>
      <c r="E157" s="26">
        <f t="shared" ref="E157:E158" si="20">16512.68</f>
        <v>16512.68</v>
      </c>
      <c r="F157" s="240">
        <v>16514.228790666668</v>
      </c>
      <c r="G157" s="24">
        <f t="shared" si="19"/>
        <v>1.5487906666676281</v>
      </c>
      <c r="H157" s="213"/>
      <c r="I157" s="213"/>
    </row>
    <row r="158" spans="1:9" ht="20.100000000000001" customHeight="1">
      <c r="A158" s="224">
        <v>26</v>
      </c>
      <c r="B158" s="189" t="s">
        <v>441</v>
      </c>
      <c r="C158" s="287" t="s">
        <v>442</v>
      </c>
      <c r="D158" s="214" t="s">
        <v>176</v>
      </c>
      <c r="E158" s="26">
        <f t="shared" si="20"/>
        <v>16512.68</v>
      </c>
      <c r="F158" s="240">
        <v>17043.017866666662</v>
      </c>
      <c r="G158" s="24">
        <f t="shared" si="19"/>
        <v>530.33786666666128</v>
      </c>
      <c r="H158" s="213"/>
      <c r="I158" s="213"/>
    </row>
    <row r="159" spans="1:9" ht="20.100000000000001" customHeight="1">
      <c r="A159" s="224">
        <v>27</v>
      </c>
      <c r="B159" s="189" t="s">
        <v>445</v>
      </c>
      <c r="C159" s="287" t="s">
        <v>446</v>
      </c>
      <c r="D159" s="214" t="s">
        <v>176</v>
      </c>
      <c r="E159" s="26">
        <f>16512.68</f>
        <v>16512.68</v>
      </c>
      <c r="F159" s="240">
        <v>17008.323359999995</v>
      </c>
      <c r="G159" s="24">
        <f t="shared" si="19"/>
        <v>495.64335999999457</v>
      </c>
      <c r="H159" s="213"/>
      <c r="I159" s="213"/>
    </row>
    <row r="160" spans="1:9" ht="20.100000000000001" customHeight="1">
      <c r="A160" s="224">
        <v>28</v>
      </c>
      <c r="B160" s="188" t="s">
        <v>22</v>
      </c>
      <c r="C160" s="287" t="s">
        <v>302</v>
      </c>
      <c r="D160" s="214" t="s">
        <v>501</v>
      </c>
      <c r="E160" s="24">
        <f>9117.05</f>
        <v>9117.0499999999993</v>
      </c>
      <c r="F160" s="240">
        <v>10776.457626666665</v>
      </c>
      <c r="G160" s="24">
        <f t="shared" si="19"/>
        <v>1659.4076266666652</v>
      </c>
      <c r="H160" s="213"/>
      <c r="I160" s="213"/>
    </row>
    <row r="161" spans="1:9" ht="20.100000000000001" customHeight="1">
      <c r="A161" s="224">
        <v>29</v>
      </c>
      <c r="B161" s="188" t="s">
        <v>14</v>
      </c>
      <c r="C161" s="287" t="s">
        <v>302</v>
      </c>
      <c r="D161" s="214" t="s">
        <v>501</v>
      </c>
      <c r="E161" s="24">
        <f>9504.2</f>
        <v>9504.2000000000007</v>
      </c>
      <c r="F161" s="240">
        <v>11232.457626666665</v>
      </c>
      <c r="G161" s="24">
        <f t="shared" si="19"/>
        <v>1728.2576266666638</v>
      </c>
      <c r="H161" s="213"/>
      <c r="I161" s="213"/>
    </row>
    <row r="162" spans="1:9" ht="20.100000000000001" customHeight="1">
      <c r="A162" s="224">
        <v>30</v>
      </c>
      <c r="B162" s="188" t="s">
        <v>23</v>
      </c>
      <c r="C162" s="287" t="s">
        <v>302</v>
      </c>
      <c r="D162" s="214" t="s">
        <v>501</v>
      </c>
      <c r="E162" s="24">
        <f>9144.2</f>
        <v>9144.2000000000007</v>
      </c>
      <c r="F162" s="240">
        <v>10776.457626666665</v>
      </c>
      <c r="G162" s="24">
        <f t="shared" si="19"/>
        <v>1632.2576266666638</v>
      </c>
      <c r="H162" s="213"/>
      <c r="I162" s="213"/>
    </row>
    <row r="163" spans="1:9" ht="20.100000000000001" customHeight="1">
      <c r="A163" s="224">
        <v>31</v>
      </c>
      <c r="B163" s="188" t="s">
        <v>25</v>
      </c>
      <c r="C163" s="287" t="s">
        <v>302</v>
      </c>
      <c r="D163" s="214" t="s">
        <v>501</v>
      </c>
      <c r="E163" s="24">
        <f>9144.2</f>
        <v>9144.2000000000007</v>
      </c>
      <c r="F163" s="240">
        <v>10776.457626666665</v>
      </c>
      <c r="G163" s="24">
        <f t="shared" si="19"/>
        <v>1632.2576266666638</v>
      </c>
      <c r="H163" s="213"/>
      <c r="I163" s="213"/>
    </row>
    <row r="164" spans="1:9" ht="20.100000000000001" customHeight="1">
      <c r="A164" s="224">
        <v>32</v>
      </c>
      <c r="B164" s="188" t="s">
        <v>39</v>
      </c>
      <c r="C164" s="287" t="s">
        <v>302</v>
      </c>
      <c r="D164" s="214" t="s">
        <v>501</v>
      </c>
      <c r="E164" s="24">
        <f>9117.05</f>
        <v>9117.0499999999993</v>
      </c>
      <c r="F164" s="240">
        <v>10743.737199999998</v>
      </c>
      <c r="G164" s="24">
        <f t="shared" si="19"/>
        <v>1626.6871999999985</v>
      </c>
      <c r="H164" s="213"/>
      <c r="I164" s="213"/>
    </row>
    <row r="165" spans="1:9" ht="20.100000000000001" customHeight="1">
      <c r="A165" s="224">
        <v>33</v>
      </c>
      <c r="B165" s="188" t="s">
        <v>40</v>
      </c>
      <c r="C165" s="287" t="s">
        <v>302</v>
      </c>
      <c r="D165" s="214" t="s">
        <v>501</v>
      </c>
      <c r="E165" s="24">
        <f>9144.2</f>
        <v>9144.2000000000007</v>
      </c>
      <c r="F165" s="240">
        <v>10776.457626666665</v>
      </c>
      <c r="G165" s="24">
        <f t="shared" si="19"/>
        <v>1632.2576266666638</v>
      </c>
      <c r="H165" s="213"/>
      <c r="I165" s="213"/>
    </row>
    <row r="166" spans="1:9" ht="20.100000000000001" customHeight="1">
      <c r="A166" s="224">
        <v>34</v>
      </c>
      <c r="B166" s="188" t="s">
        <v>127</v>
      </c>
      <c r="C166" s="287" t="s">
        <v>302</v>
      </c>
      <c r="D166" s="214" t="s">
        <v>416</v>
      </c>
      <c r="E166" s="24">
        <v>9152.6</v>
      </c>
      <c r="F166" s="240">
        <v>9504.2041399999998</v>
      </c>
      <c r="G166" s="24">
        <f t="shared" si="19"/>
        <v>351.60413999999946</v>
      </c>
      <c r="H166" s="213"/>
      <c r="I166" s="213"/>
    </row>
    <row r="167" spans="1:9" ht="20.100000000000001" customHeight="1">
      <c r="A167" s="224">
        <v>35</v>
      </c>
      <c r="B167" s="188" t="s">
        <v>128</v>
      </c>
      <c r="C167" s="287" t="s">
        <v>302</v>
      </c>
      <c r="D167" s="214" t="s">
        <v>416</v>
      </c>
      <c r="E167" s="24">
        <v>8792.6</v>
      </c>
      <c r="F167" s="240">
        <v>9144.2041399999998</v>
      </c>
      <c r="G167" s="24">
        <f t="shared" si="19"/>
        <v>351.60413999999946</v>
      </c>
      <c r="H167" s="213"/>
      <c r="I167" s="213"/>
    </row>
    <row r="168" spans="1:9" ht="20.100000000000001" customHeight="1">
      <c r="A168" s="224">
        <v>36</v>
      </c>
      <c r="B168" s="188" t="s">
        <v>129</v>
      </c>
      <c r="C168" s="287" t="s">
        <v>302</v>
      </c>
      <c r="D168" s="214" t="s">
        <v>416</v>
      </c>
      <c r="E168" s="24">
        <v>8792.6</v>
      </c>
      <c r="F168" s="240">
        <v>9144.2041399999998</v>
      </c>
      <c r="G168" s="24">
        <f t="shared" si="19"/>
        <v>351.60413999999946</v>
      </c>
      <c r="H168" s="213"/>
      <c r="I168" s="213"/>
    </row>
    <row r="169" spans="1:9" ht="20.100000000000001" customHeight="1">
      <c r="A169" s="224">
        <v>37</v>
      </c>
      <c r="B169" s="190" t="s">
        <v>136</v>
      </c>
      <c r="C169" s="287" t="s">
        <v>302</v>
      </c>
      <c r="D169" s="214" t="s">
        <v>416</v>
      </c>
      <c r="E169" s="24">
        <v>9152.6</v>
      </c>
      <c r="F169" s="240">
        <v>9504.2041399999998</v>
      </c>
      <c r="G169" s="24">
        <f t="shared" si="19"/>
        <v>351.60413999999946</v>
      </c>
      <c r="H169" s="213"/>
      <c r="I169" s="213"/>
    </row>
    <row r="170" spans="1:9" ht="20.100000000000001" customHeight="1">
      <c r="A170" s="224">
        <v>38</v>
      </c>
      <c r="B170" s="188" t="s">
        <v>140</v>
      </c>
      <c r="C170" s="287" t="s">
        <v>302</v>
      </c>
      <c r="D170" s="214" t="s">
        <v>416</v>
      </c>
      <c r="E170" s="24">
        <v>8792.6</v>
      </c>
      <c r="F170" s="240">
        <v>9144.2041399999998</v>
      </c>
      <c r="G170" s="24">
        <f t="shared" si="19"/>
        <v>351.60413999999946</v>
      </c>
      <c r="H170" s="213"/>
      <c r="I170" s="213"/>
    </row>
    <row r="171" spans="1:9" ht="20.100000000000001" customHeight="1">
      <c r="A171" s="224">
        <v>39</v>
      </c>
      <c r="B171" s="189" t="s">
        <v>152</v>
      </c>
      <c r="C171" s="287" t="s">
        <v>302</v>
      </c>
      <c r="D171" s="214" t="s">
        <v>416</v>
      </c>
      <c r="E171" s="24">
        <v>8792.6</v>
      </c>
      <c r="F171" s="240">
        <v>9144.2041399999998</v>
      </c>
      <c r="G171" s="24">
        <f t="shared" si="19"/>
        <v>351.60413999999946</v>
      </c>
      <c r="H171" s="213"/>
      <c r="I171" s="213"/>
    </row>
    <row r="172" spans="1:9" ht="20.100000000000001" customHeight="1">
      <c r="A172" s="224">
        <v>40</v>
      </c>
      <c r="B172" s="189" t="s">
        <v>132</v>
      </c>
      <c r="C172" s="287" t="s">
        <v>302</v>
      </c>
      <c r="D172" s="214" t="s">
        <v>416</v>
      </c>
      <c r="E172" s="24">
        <v>9152.6</v>
      </c>
      <c r="F172" s="240">
        <v>9504.2041399999998</v>
      </c>
      <c r="G172" s="24">
        <f t="shared" si="19"/>
        <v>351.60413999999946</v>
      </c>
      <c r="H172" s="213"/>
      <c r="I172" s="213"/>
    </row>
    <row r="173" spans="1:9" ht="20.100000000000001" customHeight="1">
      <c r="A173" s="224">
        <v>41</v>
      </c>
      <c r="B173" s="188" t="s">
        <v>231</v>
      </c>
      <c r="C173" s="287" t="s">
        <v>167</v>
      </c>
      <c r="D173" s="214" t="s">
        <v>263</v>
      </c>
      <c r="E173" s="24">
        <f>4227.52</f>
        <v>4227.5200000000004</v>
      </c>
      <c r="F173" s="240">
        <v>4365.3307546666683</v>
      </c>
      <c r="G173" s="24">
        <f t="shared" si="19"/>
        <v>137.81075466666789</v>
      </c>
      <c r="H173" s="213"/>
      <c r="I173" s="213"/>
    </row>
    <row r="174" spans="1:9" ht="20.100000000000001" customHeight="1">
      <c r="A174" s="224">
        <v>42</v>
      </c>
      <c r="B174" s="188" t="s">
        <v>246</v>
      </c>
      <c r="C174" s="287" t="s">
        <v>167</v>
      </c>
      <c r="D174" s="214" t="s">
        <v>263</v>
      </c>
      <c r="E174" s="24">
        <f>4227.52</f>
        <v>4227.5200000000004</v>
      </c>
      <c r="F174" s="240">
        <v>4365.3307546666683</v>
      </c>
      <c r="G174" s="24">
        <f t="shared" si="19"/>
        <v>137.81075466666789</v>
      </c>
      <c r="H174" s="213"/>
      <c r="I174" s="213"/>
    </row>
    <row r="175" spans="1:9" ht="20.100000000000001" customHeight="1">
      <c r="A175" s="224">
        <v>43</v>
      </c>
      <c r="B175" s="189" t="s">
        <v>166</v>
      </c>
      <c r="C175" s="287" t="s">
        <v>167</v>
      </c>
      <c r="D175" s="214" t="s">
        <v>223</v>
      </c>
      <c r="E175" s="24">
        <f>4365.33</f>
        <v>4365.33</v>
      </c>
      <c r="F175" s="240">
        <v>4504.4109199999994</v>
      </c>
      <c r="G175" s="24">
        <f t="shared" si="19"/>
        <v>139.08091999999942</v>
      </c>
      <c r="H175" s="213"/>
      <c r="I175" s="213"/>
    </row>
    <row r="176" spans="1:9" ht="20.100000000000001" customHeight="1">
      <c r="A176" s="224">
        <v>44</v>
      </c>
      <c r="B176" s="188" t="s">
        <v>204</v>
      </c>
      <c r="C176" s="287" t="s">
        <v>167</v>
      </c>
      <c r="D176" s="214" t="s">
        <v>177</v>
      </c>
      <c r="E176" s="24">
        <f>4089.72</f>
        <v>4089.72</v>
      </c>
      <c r="F176" s="240">
        <v>4227.5237226666677</v>
      </c>
      <c r="G176" s="24">
        <f t="shared" si="19"/>
        <v>137.80372266666791</v>
      </c>
      <c r="H176" s="213"/>
      <c r="I176" s="213"/>
    </row>
    <row r="177" spans="1:9" ht="20.100000000000001" customHeight="1">
      <c r="A177" s="224">
        <v>45</v>
      </c>
      <c r="B177" s="188" t="s">
        <v>209</v>
      </c>
      <c r="C177" s="287" t="s">
        <v>13</v>
      </c>
      <c r="D177" s="214" t="s">
        <v>502</v>
      </c>
      <c r="E177" s="24">
        <f>3951.8</f>
        <v>3951.8</v>
      </c>
      <c r="F177" s="240">
        <v>4089.716690666668</v>
      </c>
      <c r="G177" s="24">
        <f t="shared" si="19"/>
        <v>137.91669066666782</v>
      </c>
      <c r="H177" s="213"/>
      <c r="I177" s="213"/>
    </row>
    <row r="178" spans="1:9" ht="20.100000000000001" customHeight="1">
      <c r="A178" s="224">
        <v>46</v>
      </c>
      <c r="B178" s="188" t="s">
        <v>218</v>
      </c>
      <c r="C178" s="287" t="s">
        <v>13</v>
      </c>
      <c r="D178" s="214" t="s">
        <v>502</v>
      </c>
      <c r="E178" s="24">
        <f>3687.8</f>
        <v>3687.8</v>
      </c>
      <c r="F178" s="240">
        <v>3825.716690666668</v>
      </c>
      <c r="G178" s="24">
        <f t="shared" si="19"/>
        <v>137.91669066666782</v>
      </c>
      <c r="H178" s="213"/>
      <c r="I178" s="213"/>
    </row>
    <row r="179" spans="1:9" ht="20.100000000000001" customHeight="1">
      <c r="A179" s="224">
        <v>47</v>
      </c>
      <c r="B179" s="188" t="s">
        <v>219</v>
      </c>
      <c r="C179" s="287" t="s">
        <v>13</v>
      </c>
      <c r="D179" s="214" t="s">
        <v>502</v>
      </c>
      <c r="E179" s="24">
        <f>3951.8</f>
        <v>3951.8</v>
      </c>
      <c r="F179" s="240">
        <v>4089.716690666668</v>
      </c>
      <c r="G179" s="24">
        <f t="shared" si="19"/>
        <v>137.91669066666782</v>
      </c>
      <c r="H179" s="213"/>
      <c r="I179" s="213"/>
    </row>
    <row r="180" spans="1:9" ht="20.100000000000001" customHeight="1">
      <c r="A180" s="224">
        <v>48</v>
      </c>
      <c r="B180" s="188" t="s">
        <v>211</v>
      </c>
      <c r="C180" s="287" t="s">
        <v>13</v>
      </c>
      <c r="D180" s="214" t="s">
        <v>502</v>
      </c>
      <c r="E180" s="24">
        <f>3687.8</f>
        <v>3687.8</v>
      </c>
      <c r="F180" s="240">
        <v>3825.716690666668</v>
      </c>
      <c r="G180" s="24">
        <f t="shared" si="19"/>
        <v>137.91669066666782</v>
      </c>
      <c r="H180" s="213"/>
      <c r="I180" s="213"/>
    </row>
    <row r="181" spans="1:9" ht="20.100000000000001" customHeight="1">
      <c r="A181" s="224">
        <v>49</v>
      </c>
      <c r="B181" s="188" t="s">
        <v>213</v>
      </c>
      <c r="C181" s="287" t="s">
        <v>13</v>
      </c>
      <c r="D181" s="214" t="s">
        <v>502</v>
      </c>
      <c r="E181" s="24">
        <f>3951.8</f>
        <v>3951.8</v>
      </c>
      <c r="F181" s="240">
        <v>4089.716690666668</v>
      </c>
      <c r="G181" s="24">
        <f t="shared" si="19"/>
        <v>137.91669066666782</v>
      </c>
      <c r="H181" s="213"/>
      <c r="I181" s="213"/>
    </row>
    <row r="182" spans="1:9" ht="20.100000000000001" customHeight="1">
      <c r="A182" s="224">
        <v>50</v>
      </c>
      <c r="B182" s="189" t="s">
        <v>342</v>
      </c>
      <c r="C182" s="287" t="s">
        <v>13</v>
      </c>
      <c r="D182" s="214" t="s">
        <v>502</v>
      </c>
      <c r="E182" s="24">
        <f>3687.8</f>
        <v>3687.8</v>
      </c>
      <c r="F182" s="240">
        <v>3825.716690666668</v>
      </c>
      <c r="G182" s="24">
        <f t="shared" si="19"/>
        <v>137.91669066666782</v>
      </c>
      <c r="H182" s="213"/>
      <c r="I182" s="213"/>
    </row>
    <row r="183" spans="1:9" ht="20.100000000000001" customHeight="1">
      <c r="A183" s="224">
        <v>51</v>
      </c>
      <c r="B183" s="189" t="s">
        <v>405</v>
      </c>
      <c r="C183" s="287" t="s">
        <v>13</v>
      </c>
      <c r="D183" s="214" t="s">
        <v>502</v>
      </c>
      <c r="E183" s="24">
        <f>3951.8</f>
        <v>3951.8</v>
      </c>
      <c r="F183" s="240">
        <v>4089.716690666668</v>
      </c>
      <c r="G183" s="24">
        <f t="shared" si="19"/>
        <v>137.91669066666782</v>
      </c>
      <c r="H183" s="213"/>
      <c r="I183" s="213"/>
    </row>
    <row r="184" spans="1:9" ht="20.100000000000001" customHeight="1">
      <c r="A184" s="224">
        <v>52</v>
      </c>
      <c r="B184" s="188" t="s">
        <v>232</v>
      </c>
      <c r="C184" s="287" t="s">
        <v>167</v>
      </c>
      <c r="D184" s="214" t="s">
        <v>502</v>
      </c>
      <c r="E184" s="24">
        <f>3951.8</f>
        <v>3951.8</v>
      </c>
      <c r="F184" s="240">
        <v>4089.716690666668</v>
      </c>
      <c r="G184" s="24">
        <f t="shared" si="19"/>
        <v>137.91669066666782</v>
      </c>
      <c r="H184" s="213"/>
      <c r="I184" s="213"/>
    </row>
    <row r="185" spans="1:9" ht="20.100000000000001" customHeight="1">
      <c r="A185" s="224">
        <v>53</v>
      </c>
      <c r="B185" s="188" t="s">
        <v>233</v>
      </c>
      <c r="C185" s="287" t="s">
        <v>167</v>
      </c>
      <c r="D185" s="214" t="s">
        <v>502</v>
      </c>
      <c r="E185" s="24">
        <f>3951.8</f>
        <v>3951.8</v>
      </c>
      <c r="F185" s="240">
        <v>4089.716690666668</v>
      </c>
      <c r="G185" s="24">
        <f t="shared" si="19"/>
        <v>137.91669066666782</v>
      </c>
      <c r="H185" s="213"/>
      <c r="I185" s="213"/>
    </row>
    <row r="186" spans="1:9" ht="20.100000000000001" customHeight="1">
      <c r="A186" s="224">
        <v>54</v>
      </c>
      <c r="B186" s="189" t="s">
        <v>279</v>
      </c>
      <c r="C186" s="287" t="s">
        <v>13</v>
      </c>
      <c r="D186" s="214" t="s">
        <v>503</v>
      </c>
      <c r="E186" s="24">
        <f>3183.66</f>
        <v>3183.66</v>
      </c>
      <c r="F186" s="240">
        <v>3064.8720786666654</v>
      </c>
      <c r="G186" s="24">
        <f t="shared" si="19"/>
        <v>-118.78792133333445</v>
      </c>
      <c r="H186" s="213"/>
      <c r="I186" s="213"/>
    </row>
    <row r="187" spans="1:9" ht="20.100000000000001" customHeight="1">
      <c r="A187" s="224">
        <v>55</v>
      </c>
      <c r="B187" s="189" t="s">
        <v>403</v>
      </c>
      <c r="C187" s="287" t="s">
        <v>13</v>
      </c>
      <c r="D187" s="214" t="s">
        <v>264</v>
      </c>
      <c r="E187" s="24">
        <f>2972.91</f>
        <v>2972.91</v>
      </c>
      <c r="F187" s="240">
        <v>3091.5368486666671</v>
      </c>
      <c r="G187" s="24">
        <f t="shared" si="19"/>
        <v>118.62684866666723</v>
      </c>
      <c r="H187" s="213"/>
      <c r="I187" s="213"/>
    </row>
    <row r="188" spans="1:9" ht="20.100000000000001" customHeight="1">
      <c r="A188" s="224"/>
      <c r="B188" s="210" t="s">
        <v>15</v>
      </c>
      <c r="C188" s="226" t="s">
        <v>408</v>
      </c>
      <c r="D188" s="23"/>
      <c r="E188" s="78" t="e">
        <f>SUM(E133:E187)</f>
        <v>#REF!</v>
      </c>
      <c r="F188" s="78">
        <f t="shared" ref="F188:G188" si="21">SUM(F133:F187)</f>
        <v>1181488.189256001</v>
      </c>
      <c r="G188" s="78" t="e">
        <f t="shared" si="21"/>
        <v>#REF!</v>
      </c>
      <c r="H188" s="213"/>
      <c r="I188" s="213"/>
    </row>
    <row r="189" spans="1:9" ht="20.100000000000001" customHeight="1">
      <c r="A189" s="21"/>
      <c r="B189" s="227" t="s">
        <v>8</v>
      </c>
      <c r="C189" s="228">
        <f>C37+C42+C57+C61+C77+C85+C99+C106+C116+C130+C188+2</f>
        <v>154</v>
      </c>
      <c r="D189" s="229"/>
      <c r="E189" s="230" t="e">
        <f>E37+E42+E57+E61+E77+E85+E99+E106+E116+E130+E188</f>
        <v>#REF!</v>
      </c>
      <c r="F189" s="230">
        <f t="shared" ref="F189:G189" si="22">F37+F42+F57+F61+F77+F85+F99+F106+F116+F130+F188</f>
        <v>7135974.5583150014</v>
      </c>
      <c r="G189" s="230" t="e">
        <f t="shared" si="22"/>
        <v>#REF!</v>
      </c>
      <c r="H189" s="213"/>
      <c r="I189" s="213"/>
    </row>
    <row r="190" spans="1:9" ht="20.100000000000001" customHeight="1">
      <c r="A190" s="202"/>
      <c r="B190" s="231"/>
      <c r="C190" s="202"/>
      <c r="D190" s="232"/>
      <c r="E190" s="234"/>
      <c r="F190" s="234"/>
      <c r="G190" s="234"/>
      <c r="I190" s="235"/>
    </row>
    <row r="191" spans="1:9" ht="65.25" customHeight="1">
      <c r="A191" s="202"/>
      <c r="B191" s="231"/>
      <c r="C191" s="232"/>
      <c r="D191" s="232"/>
      <c r="E191" s="234"/>
      <c r="F191" s="234"/>
      <c r="G191" s="234"/>
    </row>
  </sheetData>
  <mergeCells count="1">
    <mergeCell ref="A1:D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zoomScaleSheetLayoutView="100" workbookViewId="0">
      <pane xSplit="3" ySplit="6" topLeftCell="D188" activePane="bottomRight" state="frozen"/>
      <selection pane="topRight" activeCell="E1" sqref="E1"/>
      <selection pane="bottomLeft" activeCell="A10" sqref="A10"/>
      <selection pane="bottomRight" activeCell="D191" sqref="D191"/>
    </sheetView>
  </sheetViews>
  <sheetFormatPr defaultColWidth="9.140625" defaultRowHeight="20.100000000000001" customHeight="1"/>
  <cols>
    <col min="1" max="1" width="5.42578125" style="196" customWidth="1"/>
    <col min="2" max="2" width="43.85546875" style="196" customWidth="1"/>
    <col min="3" max="3" width="40.42578125" style="196" customWidth="1"/>
    <col min="4" max="4" width="11.5703125" style="196" customWidth="1"/>
    <col min="5" max="5" width="17.85546875" style="196" customWidth="1"/>
    <col min="6" max="7" width="14.85546875" style="196" customWidth="1"/>
    <col min="8" max="8" width="17.7109375" style="196" customWidth="1"/>
    <col min="9" max="9" width="21.7109375" style="196" customWidth="1"/>
    <col min="10" max="16384" width="9.140625" style="196"/>
  </cols>
  <sheetData>
    <row r="1" spans="1:9" ht="27" customHeight="1">
      <c r="A1" s="705" t="s">
        <v>234</v>
      </c>
      <c r="B1" s="705"/>
      <c r="C1" s="705"/>
      <c r="D1" s="705"/>
      <c r="E1" s="705"/>
    </row>
    <row r="2" spans="1:9" ht="33.75" customHeight="1">
      <c r="A2" s="197" t="s">
        <v>495</v>
      </c>
      <c r="B2" s="198"/>
      <c r="C2" s="197"/>
      <c r="D2" s="197"/>
      <c r="E2" s="199"/>
      <c r="F2" s="201"/>
      <c r="G2" s="201"/>
      <c r="H2" s="201"/>
    </row>
    <row r="3" spans="1:9" ht="9.75" customHeight="1">
      <c r="A3" s="202"/>
      <c r="B3" s="202"/>
      <c r="C3" s="202"/>
      <c r="D3" s="202"/>
      <c r="E3" s="195" t="e">
        <f>'[1]FEB 08'!E11/'[1]FEB 08'!M11</f>
        <v>#REF!</v>
      </c>
    </row>
    <row r="4" spans="1:9" ht="45" customHeight="1">
      <c r="A4" s="21"/>
      <c r="B4" s="203" t="s">
        <v>0</v>
      </c>
      <c r="C4" s="204" t="s">
        <v>12</v>
      </c>
      <c r="D4" s="205" t="s">
        <v>309</v>
      </c>
      <c r="E4" s="206" t="s">
        <v>308</v>
      </c>
      <c r="F4" s="206" t="s">
        <v>506</v>
      </c>
      <c r="G4" s="206" t="s">
        <v>507</v>
      </c>
      <c r="H4" s="207" t="s">
        <v>344</v>
      </c>
    </row>
    <row r="5" spans="1:9" ht="20.100000000000001" customHeight="1">
      <c r="A5" s="209" t="s">
        <v>143</v>
      </c>
      <c r="B5" s="210" t="s">
        <v>433</v>
      </c>
      <c r="C5" s="210"/>
      <c r="D5" s="210"/>
      <c r="E5" s="211" t="s">
        <v>5</v>
      </c>
      <c r="F5" s="211" t="s">
        <v>5</v>
      </c>
      <c r="G5" s="211" t="s">
        <v>5</v>
      </c>
      <c r="H5" s="211" t="s">
        <v>5</v>
      </c>
    </row>
    <row r="6" spans="1:9" ht="20.100000000000001" customHeight="1">
      <c r="A6" s="29">
        <v>1</v>
      </c>
      <c r="B6" s="188" t="s">
        <v>224</v>
      </c>
      <c r="C6" s="287" t="s">
        <v>119</v>
      </c>
      <c r="D6" s="287" t="s">
        <v>34</v>
      </c>
      <c r="E6" s="24">
        <v>160488.75</v>
      </c>
      <c r="F6" s="24"/>
      <c r="G6" s="24"/>
      <c r="H6" s="24"/>
      <c r="I6" s="213"/>
    </row>
    <row r="7" spans="1:9" ht="20.100000000000001" customHeight="1">
      <c r="A7" s="29">
        <v>2</v>
      </c>
      <c r="B7" s="188" t="s">
        <v>137</v>
      </c>
      <c r="C7" s="21" t="s">
        <v>472</v>
      </c>
      <c r="D7" s="29" t="s">
        <v>160</v>
      </c>
      <c r="E7" s="26">
        <f>42653.17</f>
        <v>42653.17</v>
      </c>
      <c r="F7" s="24">
        <f>0.025*E7</f>
        <v>1066.32925</v>
      </c>
      <c r="G7" s="24">
        <f>'[9]April 2022'!$H$26</f>
        <v>1028.9422500000001</v>
      </c>
      <c r="H7" s="26">
        <f>F7-G7</f>
        <v>37.386999999999944</v>
      </c>
      <c r="I7" s="213"/>
    </row>
    <row r="8" spans="1:9" ht="20.100000000000001" customHeight="1">
      <c r="A8" s="29">
        <v>3</v>
      </c>
      <c r="B8" s="190" t="s">
        <v>225</v>
      </c>
      <c r="C8" s="21" t="s">
        <v>226</v>
      </c>
      <c r="D8" s="29" t="s">
        <v>160</v>
      </c>
      <c r="E8" s="24">
        <f>42653.17</f>
        <v>42653.17</v>
      </c>
      <c r="F8" s="24"/>
      <c r="G8" s="24"/>
      <c r="H8" s="26">
        <f t="shared" ref="H8:H71" si="0">F8-G8</f>
        <v>0</v>
      </c>
      <c r="I8" s="213"/>
    </row>
    <row r="9" spans="1:9" ht="20.100000000000001" customHeight="1">
      <c r="A9" s="29">
        <v>4</v>
      </c>
      <c r="B9" s="188" t="s">
        <v>315</v>
      </c>
      <c r="C9" s="287" t="s">
        <v>316</v>
      </c>
      <c r="D9" s="29" t="s">
        <v>496</v>
      </c>
      <c r="E9" s="24">
        <f>42653.17</f>
        <v>42653.17</v>
      </c>
      <c r="F9" s="24"/>
      <c r="G9" s="24"/>
      <c r="H9" s="26">
        <f t="shared" si="0"/>
        <v>0</v>
      </c>
      <c r="I9" s="213"/>
    </row>
    <row r="10" spans="1:9" ht="20.100000000000001" customHeight="1">
      <c r="A10" s="29">
        <v>5</v>
      </c>
      <c r="B10" s="190" t="s">
        <v>317</v>
      </c>
      <c r="C10" s="21" t="s">
        <v>418</v>
      </c>
      <c r="D10" s="214" t="s">
        <v>221</v>
      </c>
      <c r="E10" s="26">
        <v>41157.69</v>
      </c>
      <c r="F10" s="24"/>
      <c r="G10" s="24"/>
      <c r="H10" s="26">
        <f t="shared" si="0"/>
        <v>0</v>
      </c>
      <c r="I10" s="213"/>
    </row>
    <row r="11" spans="1:9" ht="20.100000000000001" customHeight="1">
      <c r="A11" s="29">
        <v>6</v>
      </c>
      <c r="B11" s="190" t="s">
        <v>112</v>
      </c>
      <c r="C11" s="21" t="s">
        <v>473</v>
      </c>
      <c r="D11" s="25" t="s">
        <v>221</v>
      </c>
      <c r="E11" s="26">
        <f>41157.69</f>
        <v>41157.69</v>
      </c>
      <c r="F11" s="24">
        <f>0.025*E11</f>
        <v>1028.9422500000001</v>
      </c>
      <c r="G11" s="24">
        <f>G7</f>
        <v>1028.9422500000001</v>
      </c>
      <c r="H11" s="26">
        <f t="shared" si="0"/>
        <v>0</v>
      </c>
      <c r="I11" s="213"/>
    </row>
    <row r="12" spans="1:9" ht="20.100000000000001" customHeight="1">
      <c r="A12" s="29">
        <v>7</v>
      </c>
      <c r="B12" s="188" t="s">
        <v>187</v>
      </c>
      <c r="C12" s="155" t="s">
        <v>474</v>
      </c>
      <c r="D12" s="25" t="s">
        <v>221</v>
      </c>
      <c r="E12" s="26">
        <f t="shared" ref="E12:E13" si="1">41157.69</f>
        <v>41157.69</v>
      </c>
      <c r="F12" s="24">
        <f>0.025*E12</f>
        <v>1028.9422500000001</v>
      </c>
      <c r="G12" s="26">
        <f>1028.94</f>
        <v>1028.94</v>
      </c>
      <c r="H12" s="26">
        <f t="shared" si="0"/>
        <v>2.250000000003638E-3</v>
      </c>
      <c r="I12" s="213"/>
    </row>
    <row r="13" spans="1:9" ht="20.100000000000001" customHeight="1">
      <c r="A13" s="29">
        <v>8</v>
      </c>
      <c r="B13" s="190" t="s">
        <v>203</v>
      </c>
      <c r="C13" s="21" t="s">
        <v>475</v>
      </c>
      <c r="D13" s="25" t="s">
        <v>221</v>
      </c>
      <c r="E13" s="26">
        <f t="shared" si="1"/>
        <v>41157.69</v>
      </c>
      <c r="F13" s="24">
        <f>0.025*E13</f>
        <v>1028.9422500000001</v>
      </c>
      <c r="G13" s="24">
        <f>1028.94</f>
        <v>1028.94</v>
      </c>
      <c r="H13" s="26">
        <f t="shared" si="0"/>
        <v>2.250000000003638E-3</v>
      </c>
      <c r="I13" s="213"/>
    </row>
    <row r="14" spans="1:9" ht="20.100000000000001" customHeight="1">
      <c r="A14" s="29">
        <v>9</v>
      </c>
      <c r="B14" s="188" t="s">
        <v>111</v>
      </c>
      <c r="C14" s="287" t="s">
        <v>468</v>
      </c>
      <c r="D14" s="214" t="s">
        <v>75</v>
      </c>
      <c r="E14" s="26">
        <v>33507.5</v>
      </c>
      <c r="F14" s="24">
        <f>0.025*E14</f>
        <v>837.6875</v>
      </c>
      <c r="G14" s="24">
        <f>'[9]April 2022'!$H$28</f>
        <v>837.6875</v>
      </c>
      <c r="H14" s="26">
        <f t="shared" si="0"/>
        <v>0</v>
      </c>
      <c r="I14" s="213"/>
    </row>
    <row r="15" spans="1:9" ht="20.100000000000001" customHeight="1">
      <c r="A15" s="29">
        <v>10</v>
      </c>
      <c r="B15" s="189" t="s">
        <v>333</v>
      </c>
      <c r="C15" s="287" t="s">
        <v>387</v>
      </c>
      <c r="D15" s="29" t="s">
        <v>412</v>
      </c>
      <c r="E15" s="24">
        <v>32263.200000000001</v>
      </c>
      <c r="F15" s="24"/>
      <c r="G15" s="24"/>
      <c r="H15" s="26">
        <f t="shared" si="0"/>
        <v>0</v>
      </c>
      <c r="I15" s="213"/>
    </row>
    <row r="16" spans="1:9" ht="20.100000000000001" customHeight="1">
      <c r="A16" s="29">
        <v>11</v>
      </c>
      <c r="B16" s="192" t="s">
        <v>220</v>
      </c>
      <c r="C16" s="21" t="s">
        <v>388</v>
      </c>
      <c r="D16" s="25" t="s">
        <v>181</v>
      </c>
      <c r="E16" s="26">
        <v>27611.23</v>
      </c>
      <c r="F16" s="24">
        <v>0</v>
      </c>
      <c r="G16" s="24">
        <v>0</v>
      </c>
      <c r="H16" s="26">
        <f t="shared" si="0"/>
        <v>0</v>
      </c>
      <c r="I16" s="213"/>
    </row>
    <row r="17" spans="1:9" ht="19.5" customHeight="1">
      <c r="A17" s="29">
        <v>12</v>
      </c>
      <c r="B17" s="190" t="s">
        <v>144</v>
      </c>
      <c r="C17" s="21" t="s">
        <v>389</v>
      </c>
      <c r="D17" s="29" t="s">
        <v>181</v>
      </c>
      <c r="E17" s="26">
        <v>27611.23</v>
      </c>
      <c r="F17" s="24">
        <f>0.025*E17</f>
        <v>690.28075000000001</v>
      </c>
      <c r="G17" s="24">
        <f>'[9]April 2022'!$H$27</f>
        <v>668.31625000000008</v>
      </c>
      <c r="H17" s="26">
        <f t="shared" si="0"/>
        <v>21.96449999999993</v>
      </c>
      <c r="I17" s="213"/>
    </row>
    <row r="18" spans="1:9" ht="19.5" customHeight="1">
      <c r="A18" s="29">
        <v>13</v>
      </c>
      <c r="B18" s="190" t="s">
        <v>139</v>
      </c>
      <c r="C18" s="21" t="s">
        <v>386</v>
      </c>
      <c r="D18" s="29" t="s">
        <v>181</v>
      </c>
      <c r="E18" s="26">
        <v>27611.23</v>
      </c>
      <c r="F18" s="24"/>
      <c r="G18" s="24"/>
      <c r="H18" s="26">
        <f t="shared" si="0"/>
        <v>0</v>
      </c>
      <c r="I18" s="213"/>
    </row>
    <row r="19" spans="1:9" ht="20.100000000000001" customHeight="1">
      <c r="A19" s="29">
        <v>14</v>
      </c>
      <c r="B19" s="188" t="s">
        <v>18</v>
      </c>
      <c r="C19" s="21" t="s">
        <v>389</v>
      </c>
      <c r="D19" s="214" t="s">
        <v>181</v>
      </c>
      <c r="E19" s="26">
        <v>27611.23</v>
      </c>
      <c r="F19" s="24"/>
      <c r="G19" s="24"/>
      <c r="H19" s="26">
        <f t="shared" si="0"/>
        <v>0</v>
      </c>
      <c r="I19" s="213"/>
    </row>
    <row r="20" spans="1:9" ht="20.100000000000001" customHeight="1">
      <c r="A20" s="29">
        <v>15</v>
      </c>
      <c r="B20" s="188" t="s">
        <v>334</v>
      </c>
      <c r="C20" s="287" t="s">
        <v>351</v>
      </c>
      <c r="D20" s="214" t="s">
        <v>163</v>
      </c>
      <c r="E20" s="26">
        <v>24741.26</v>
      </c>
      <c r="F20" s="24"/>
      <c r="G20" s="24"/>
      <c r="H20" s="26">
        <f t="shared" si="0"/>
        <v>0</v>
      </c>
      <c r="I20" s="213"/>
    </row>
    <row r="21" spans="1:9" ht="20.100000000000001" customHeight="1">
      <c r="A21" s="29">
        <v>16</v>
      </c>
      <c r="B21" s="189" t="s">
        <v>291</v>
      </c>
      <c r="C21" s="21" t="s">
        <v>346</v>
      </c>
      <c r="D21" s="214" t="s">
        <v>413</v>
      </c>
      <c r="E21" s="26">
        <f>23891.12</f>
        <v>23891.119999999999</v>
      </c>
      <c r="F21" s="26">
        <f>0.025*E21</f>
        <v>597.27800000000002</v>
      </c>
      <c r="G21" s="26">
        <f>'[9]April 2022'!$H$52</f>
        <v>576.87475000000006</v>
      </c>
      <c r="H21" s="26">
        <f t="shared" si="0"/>
        <v>20.403249999999957</v>
      </c>
      <c r="I21" s="213"/>
    </row>
    <row r="22" spans="1:9" ht="20.100000000000001" customHeight="1">
      <c r="A22" s="29">
        <v>17</v>
      </c>
      <c r="B22" s="188" t="s">
        <v>141</v>
      </c>
      <c r="C22" s="287" t="s">
        <v>391</v>
      </c>
      <c r="D22" s="214" t="s">
        <v>497</v>
      </c>
      <c r="E22" s="26">
        <f>22837.82</f>
        <v>22837.82</v>
      </c>
      <c r="F22" s="26">
        <f>0.025*E22</f>
        <v>570.94550000000004</v>
      </c>
      <c r="G22" s="24">
        <f>'[9]April 2022'!$H$45</f>
        <v>538.02200000000005</v>
      </c>
      <c r="H22" s="26">
        <f t="shared" si="0"/>
        <v>32.92349999999999</v>
      </c>
      <c r="I22" s="213"/>
    </row>
    <row r="23" spans="1:9" ht="18.75" customHeight="1">
      <c r="A23" s="29">
        <v>18</v>
      </c>
      <c r="B23" s="188" t="s">
        <v>253</v>
      </c>
      <c r="C23" s="287" t="s">
        <v>478</v>
      </c>
      <c r="D23" s="214" t="s">
        <v>415</v>
      </c>
      <c r="E23" s="26">
        <v>21520.880000000001</v>
      </c>
      <c r="F23" s="24"/>
      <c r="G23" s="24"/>
      <c r="H23" s="26">
        <f t="shared" si="0"/>
        <v>0</v>
      </c>
      <c r="I23" s="213"/>
    </row>
    <row r="24" spans="1:9" ht="18.75" customHeight="1">
      <c r="A24" s="29">
        <v>19</v>
      </c>
      <c r="B24" s="188" t="s">
        <v>247</v>
      </c>
      <c r="C24" s="21" t="s">
        <v>477</v>
      </c>
      <c r="D24" s="214" t="s">
        <v>415</v>
      </c>
      <c r="E24" s="26">
        <v>21520.880000000001</v>
      </c>
      <c r="F24" s="24"/>
      <c r="G24" s="24"/>
      <c r="H24" s="26">
        <f t="shared" si="0"/>
        <v>0</v>
      </c>
      <c r="I24" s="213"/>
    </row>
    <row r="25" spans="1:9" ht="18.75" customHeight="1">
      <c r="A25" s="29">
        <v>20</v>
      </c>
      <c r="B25" s="189" t="s">
        <v>293</v>
      </c>
      <c r="C25" s="21" t="s">
        <v>294</v>
      </c>
      <c r="D25" s="214" t="s">
        <v>27</v>
      </c>
      <c r="E25" s="26">
        <f>18779.3</f>
        <v>18779.3</v>
      </c>
      <c r="F25" s="24">
        <f>0</f>
        <v>0</v>
      </c>
      <c r="G25" s="24">
        <f>0</f>
        <v>0</v>
      </c>
      <c r="H25" s="26">
        <f t="shared" si="0"/>
        <v>0</v>
      </c>
      <c r="I25" s="213"/>
    </row>
    <row r="26" spans="1:9" ht="18.75" customHeight="1">
      <c r="A26" s="29">
        <v>21</v>
      </c>
      <c r="B26" s="189" t="s">
        <v>275</v>
      </c>
      <c r="C26" s="287" t="s">
        <v>314</v>
      </c>
      <c r="D26" s="214" t="s">
        <v>164</v>
      </c>
      <c r="E26" s="26">
        <v>18281.64</v>
      </c>
      <c r="F26" s="26"/>
      <c r="G26" s="26"/>
      <c r="H26" s="26">
        <f t="shared" si="0"/>
        <v>0</v>
      </c>
      <c r="I26" s="213"/>
    </row>
    <row r="27" spans="1:9" ht="18.75" customHeight="1">
      <c r="A27" s="29">
        <v>22</v>
      </c>
      <c r="B27" s="21" t="s">
        <v>434</v>
      </c>
      <c r="C27" s="21" t="s">
        <v>17</v>
      </c>
      <c r="D27" s="29" t="s">
        <v>498</v>
      </c>
      <c r="E27" s="238">
        <v>14736.14</v>
      </c>
      <c r="F27" s="24"/>
      <c r="G27" s="24"/>
      <c r="H27" s="26">
        <f t="shared" si="0"/>
        <v>0</v>
      </c>
      <c r="I27" s="213"/>
    </row>
    <row r="28" spans="1:9" ht="18.75" customHeight="1">
      <c r="A28" s="29">
        <v>23</v>
      </c>
      <c r="B28" s="189" t="s">
        <v>254</v>
      </c>
      <c r="C28" s="287" t="s">
        <v>17</v>
      </c>
      <c r="D28" s="214" t="s">
        <v>498</v>
      </c>
      <c r="E28" s="26">
        <f t="shared" ref="E28:E29" si="2">15188.67</f>
        <v>15188.67</v>
      </c>
      <c r="F28" s="24"/>
      <c r="G28" s="24"/>
      <c r="H28" s="26">
        <f t="shared" si="0"/>
        <v>0</v>
      </c>
      <c r="I28" s="213"/>
    </row>
    <row r="29" spans="1:9" ht="18.75" customHeight="1">
      <c r="A29" s="29">
        <v>24</v>
      </c>
      <c r="B29" s="188" t="s">
        <v>248</v>
      </c>
      <c r="C29" s="287" t="s">
        <v>480</v>
      </c>
      <c r="D29" s="214" t="s">
        <v>498</v>
      </c>
      <c r="E29" s="26">
        <f t="shared" si="2"/>
        <v>15188.67</v>
      </c>
      <c r="F29" s="24"/>
      <c r="G29" s="24"/>
      <c r="H29" s="26">
        <f t="shared" si="0"/>
        <v>0</v>
      </c>
      <c r="I29" s="213"/>
    </row>
    <row r="30" spans="1:9" ht="18.75" customHeight="1">
      <c r="A30" s="29">
        <v>25</v>
      </c>
      <c r="B30" s="189" t="s">
        <v>288</v>
      </c>
      <c r="C30" s="287" t="s">
        <v>249</v>
      </c>
      <c r="D30" s="214" t="s">
        <v>411</v>
      </c>
      <c r="E30" s="212">
        <v>13492.21</v>
      </c>
      <c r="F30" s="24"/>
      <c r="G30" s="24"/>
      <c r="H30" s="26">
        <f t="shared" si="0"/>
        <v>0</v>
      </c>
      <c r="I30" s="213"/>
    </row>
    <row r="31" spans="1:9" ht="18.75" customHeight="1">
      <c r="A31" s="29">
        <v>26</v>
      </c>
      <c r="B31" s="188" t="s">
        <v>345</v>
      </c>
      <c r="C31" s="155" t="s">
        <v>319</v>
      </c>
      <c r="D31" s="214" t="s">
        <v>267</v>
      </c>
      <c r="E31" s="26">
        <v>13492.21</v>
      </c>
      <c r="F31" s="24"/>
      <c r="G31" s="24"/>
      <c r="H31" s="26">
        <f t="shared" si="0"/>
        <v>0</v>
      </c>
      <c r="I31" s="213"/>
    </row>
    <row r="32" spans="1:9" ht="18.75" customHeight="1">
      <c r="A32" s="29">
        <v>27</v>
      </c>
      <c r="B32" s="189" t="s">
        <v>328</v>
      </c>
      <c r="C32" s="21" t="s">
        <v>329</v>
      </c>
      <c r="D32" s="29" t="s">
        <v>267</v>
      </c>
      <c r="E32" s="26">
        <v>13492.21</v>
      </c>
      <c r="F32" s="24"/>
      <c r="G32" s="24"/>
      <c r="H32" s="26">
        <f t="shared" si="0"/>
        <v>0</v>
      </c>
      <c r="I32" s="213"/>
    </row>
    <row r="33" spans="1:9" ht="18.75" customHeight="1">
      <c r="A33" s="29">
        <v>28</v>
      </c>
      <c r="B33" s="189" t="s">
        <v>360</v>
      </c>
      <c r="C33" s="155" t="s">
        <v>372</v>
      </c>
      <c r="D33" s="214" t="s">
        <v>498</v>
      </c>
      <c r="E33" s="26">
        <v>15188.67</v>
      </c>
      <c r="F33" s="24">
        <f>0</f>
        <v>0</v>
      </c>
      <c r="G33" s="24">
        <f>0</f>
        <v>0</v>
      </c>
      <c r="H33" s="26">
        <f t="shared" si="0"/>
        <v>0</v>
      </c>
      <c r="I33" s="213"/>
    </row>
    <row r="34" spans="1:9" ht="18.75" customHeight="1">
      <c r="A34" s="29">
        <v>29</v>
      </c>
      <c r="B34" s="189" t="s">
        <v>330</v>
      </c>
      <c r="C34" s="21" t="s">
        <v>331</v>
      </c>
      <c r="D34" s="29" t="s">
        <v>176</v>
      </c>
      <c r="E34" s="26">
        <f>12732</f>
        <v>12732</v>
      </c>
      <c r="F34" s="24"/>
      <c r="G34" s="24"/>
      <c r="H34" s="26">
        <f t="shared" si="0"/>
        <v>0</v>
      </c>
      <c r="I34" s="213"/>
    </row>
    <row r="35" spans="1:9" ht="18.75" customHeight="1">
      <c r="A35" s="29">
        <v>30</v>
      </c>
      <c r="B35" s="189" t="s">
        <v>274</v>
      </c>
      <c r="C35" s="287" t="s">
        <v>314</v>
      </c>
      <c r="D35" s="214" t="s">
        <v>176</v>
      </c>
      <c r="E35" s="26">
        <f>12732</f>
        <v>12732</v>
      </c>
      <c r="F35" s="24"/>
      <c r="G35" s="24"/>
      <c r="H35" s="26">
        <f t="shared" si="0"/>
        <v>0</v>
      </c>
      <c r="I35" s="213"/>
    </row>
    <row r="36" spans="1:9" ht="18.75" customHeight="1">
      <c r="A36" s="29">
        <v>31</v>
      </c>
      <c r="B36" s="189" t="s">
        <v>453</v>
      </c>
      <c r="C36" s="287" t="s">
        <v>314</v>
      </c>
      <c r="D36" s="214" t="s">
        <v>176</v>
      </c>
      <c r="E36" s="26">
        <f>12732</f>
        <v>12732</v>
      </c>
      <c r="F36" s="24"/>
      <c r="G36" s="24"/>
      <c r="H36" s="26">
        <f t="shared" si="0"/>
        <v>0</v>
      </c>
      <c r="I36" s="213"/>
    </row>
    <row r="37" spans="1:9" ht="26.25" customHeight="1">
      <c r="A37" s="29"/>
      <c r="B37" s="191" t="s">
        <v>15</v>
      </c>
      <c r="C37" s="30">
        <v>31</v>
      </c>
      <c r="D37" s="214"/>
      <c r="E37" s="216">
        <f t="shared" ref="E37" si="3">SUM(E6:E36)</f>
        <v>919842.32</v>
      </c>
      <c r="F37" s="216">
        <f>SUM(F6:F36)</f>
        <v>6849.3477499999999</v>
      </c>
      <c r="G37" s="216">
        <f t="shared" ref="G37" si="4">SUM(G6:G36)</f>
        <v>6736.665</v>
      </c>
      <c r="H37" s="31">
        <f t="shared" si="0"/>
        <v>112.68274999999994</v>
      </c>
      <c r="I37" s="213"/>
    </row>
    <row r="38" spans="1:9" ht="18.75" customHeight="1">
      <c r="A38" s="29"/>
      <c r="B38" s="141"/>
      <c r="C38" s="21"/>
      <c r="D38" s="214"/>
      <c r="E38" s="216"/>
      <c r="F38" s="216"/>
      <c r="G38" s="216"/>
      <c r="H38" s="26">
        <f t="shared" si="0"/>
        <v>0</v>
      </c>
      <c r="I38" s="213"/>
    </row>
    <row r="39" spans="1:9" ht="18.75" customHeight="1">
      <c r="A39" s="29"/>
      <c r="B39" s="191" t="s">
        <v>284</v>
      </c>
      <c r="C39" s="21"/>
      <c r="D39" s="214"/>
      <c r="E39" s="26"/>
      <c r="F39" s="24"/>
      <c r="G39" s="24"/>
      <c r="H39" s="26">
        <f t="shared" si="0"/>
        <v>0</v>
      </c>
      <c r="I39" s="213"/>
    </row>
    <row r="40" spans="1:9" ht="18.75" customHeight="1">
      <c r="A40" s="29">
        <v>1</v>
      </c>
      <c r="B40" s="189" t="s">
        <v>361</v>
      </c>
      <c r="C40" s="21" t="s">
        <v>362</v>
      </c>
      <c r="D40" s="29" t="s">
        <v>161</v>
      </c>
      <c r="E40" s="26">
        <v>81740.02</v>
      </c>
      <c r="F40" s="24"/>
      <c r="G40" s="24"/>
      <c r="H40" s="26">
        <f t="shared" si="0"/>
        <v>0</v>
      </c>
      <c r="I40" s="213"/>
    </row>
    <row r="41" spans="1:9" ht="18.75" customHeight="1">
      <c r="A41" s="29">
        <v>2</v>
      </c>
      <c r="B41" s="189" t="s">
        <v>419</v>
      </c>
      <c r="C41" s="21" t="s">
        <v>427</v>
      </c>
      <c r="D41" s="29" t="s">
        <v>105</v>
      </c>
      <c r="E41" s="238">
        <v>12351.94</v>
      </c>
      <c r="F41" s="24">
        <f>0</f>
        <v>0</v>
      </c>
      <c r="G41" s="24">
        <f>0</f>
        <v>0</v>
      </c>
      <c r="H41" s="26">
        <f t="shared" si="0"/>
        <v>0</v>
      </c>
      <c r="I41" s="213"/>
    </row>
    <row r="42" spans="1:9" ht="19.5" customHeight="1">
      <c r="A42" s="29"/>
      <c r="B42" s="190"/>
      <c r="C42" s="30">
        <v>2</v>
      </c>
      <c r="D42" s="29"/>
      <c r="E42" s="216">
        <f>SUM(E40:E41)</f>
        <v>94091.96</v>
      </c>
      <c r="F42" s="216">
        <f>SUM(F40:F41)</f>
        <v>0</v>
      </c>
      <c r="G42" s="216">
        <f>SUM(G40:G41)</f>
        <v>0</v>
      </c>
      <c r="H42" s="26">
        <f t="shared" si="0"/>
        <v>0</v>
      </c>
      <c r="I42" s="213"/>
    </row>
    <row r="43" spans="1:9" ht="20.100000000000001" customHeight="1">
      <c r="A43" s="29"/>
      <c r="B43" s="190"/>
      <c r="C43" s="21"/>
      <c r="D43" s="29"/>
      <c r="E43" s="216"/>
      <c r="F43" s="216"/>
      <c r="G43" s="216"/>
      <c r="H43" s="26">
        <f t="shared" si="0"/>
        <v>0</v>
      </c>
      <c r="I43" s="213"/>
    </row>
    <row r="44" spans="1:9" ht="20.100000000000001" customHeight="1">
      <c r="A44" s="29"/>
      <c r="B44" s="218" t="s">
        <v>56</v>
      </c>
      <c r="C44" s="203"/>
      <c r="D44" s="207"/>
      <c r="E44" s="216"/>
      <c r="F44" s="24"/>
      <c r="G44" s="24"/>
      <c r="H44" s="26">
        <f t="shared" si="0"/>
        <v>0</v>
      </c>
      <c r="I44" s="213"/>
    </row>
    <row r="45" spans="1:9" ht="20.100000000000001" customHeight="1">
      <c r="A45" s="29">
        <v>1</v>
      </c>
      <c r="B45" s="188" t="s">
        <v>255</v>
      </c>
      <c r="C45" s="21" t="s">
        <v>256</v>
      </c>
      <c r="D45" s="29" t="s">
        <v>161</v>
      </c>
      <c r="E45" s="26">
        <v>81740.02</v>
      </c>
      <c r="F45" s="24"/>
      <c r="G45" s="24"/>
      <c r="H45" s="26">
        <f t="shared" si="0"/>
        <v>0</v>
      </c>
      <c r="I45" s="213"/>
    </row>
    <row r="46" spans="1:9" ht="20.100000000000001" customHeight="1">
      <c r="A46" s="29">
        <v>2</v>
      </c>
      <c r="B46" s="188" t="s">
        <v>158</v>
      </c>
      <c r="C46" s="21" t="s">
        <v>199</v>
      </c>
      <c r="D46" s="29" t="s">
        <v>75</v>
      </c>
      <c r="E46" s="26">
        <v>33507.5</v>
      </c>
      <c r="F46" s="24"/>
      <c r="G46" s="24"/>
      <c r="H46" s="26">
        <f t="shared" si="0"/>
        <v>0</v>
      </c>
      <c r="I46" s="213"/>
    </row>
    <row r="47" spans="1:9" ht="20.100000000000001" customHeight="1">
      <c r="A47" s="29">
        <v>3</v>
      </c>
      <c r="B47" s="188" t="s">
        <v>165</v>
      </c>
      <c r="C47" s="21" t="s">
        <v>258</v>
      </c>
      <c r="D47" s="29" t="s">
        <v>75</v>
      </c>
      <c r="E47" s="26">
        <v>33507.5</v>
      </c>
      <c r="F47" s="24"/>
      <c r="G47" s="24"/>
      <c r="H47" s="26">
        <f t="shared" si="0"/>
        <v>0</v>
      </c>
      <c r="I47" s="213"/>
    </row>
    <row r="48" spans="1:9" ht="20.100000000000001" customHeight="1">
      <c r="A48" s="29">
        <v>4</v>
      </c>
      <c r="B48" s="188" t="s">
        <v>159</v>
      </c>
      <c r="C48" s="21" t="s">
        <v>258</v>
      </c>
      <c r="D48" s="29" t="s">
        <v>75</v>
      </c>
      <c r="E48" s="26">
        <v>33507.5</v>
      </c>
      <c r="F48" s="24"/>
      <c r="G48" s="24"/>
      <c r="H48" s="26">
        <f t="shared" si="0"/>
        <v>0</v>
      </c>
      <c r="I48" s="213"/>
    </row>
    <row r="49" spans="1:9" ht="20.100000000000001" customHeight="1">
      <c r="A49" s="29">
        <v>5</v>
      </c>
      <c r="B49" s="188" t="s">
        <v>118</v>
      </c>
      <c r="C49" s="21" t="s">
        <v>258</v>
      </c>
      <c r="D49" s="29" t="s">
        <v>148</v>
      </c>
      <c r="E49" s="26">
        <v>32263.200000000001</v>
      </c>
      <c r="F49" s="24">
        <f>0.025*E49</f>
        <v>806.58</v>
      </c>
      <c r="G49" s="24">
        <f>837.69</f>
        <v>837.69</v>
      </c>
      <c r="H49" s="26">
        <f t="shared" si="0"/>
        <v>-31.110000000000014</v>
      </c>
      <c r="I49" s="213"/>
    </row>
    <row r="50" spans="1:9" ht="20.100000000000001" customHeight="1">
      <c r="A50" s="29">
        <v>6</v>
      </c>
      <c r="B50" s="188" t="s">
        <v>205</v>
      </c>
      <c r="C50" s="21" t="s">
        <v>78</v>
      </c>
      <c r="D50" s="29" t="s">
        <v>181</v>
      </c>
      <c r="E50" s="26">
        <v>27611.23</v>
      </c>
      <c r="F50" s="24"/>
      <c r="G50" s="24"/>
      <c r="H50" s="26">
        <f t="shared" si="0"/>
        <v>0</v>
      </c>
      <c r="I50" s="213"/>
    </row>
    <row r="51" spans="1:9" ht="20.100000000000001" customHeight="1">
      <c r="A51" s="29">
        <v>7</v>
      </c>
      <c r="B51" s="190" t="s">
        <v>173</v>
      </c>
      <c r="C51" s="21" t="s">
        <v>297</v>
      </c>
      <c r="D51" s="25" t="s">
        <v>181</v>
      </c>
      <c r="E51" s="26">
        <v>27611.23</v>
      </c>
      <c r="F51" s="24">
        <v>0</v>
      </c>
      <c r="G51" s="24">
        <v>0</v>
      </c>
      <c r="H51" s="26">
        <f t="shared" si="0"/>
        <v>0</v>
      </c>
      <c r="I51" s="213"/>
    </row>
    <row r="52" spans="1:9" ht="20.100000000000001" customHeight="1">
      <c r="A52" s="29">
        <v>8</v>
      </c>
      <c r="B52" s="188" t="s">
        <v>116</v>
      </c>
      <c r="C52" s="21" t="s">
        <v>297</v>
      </c>
      <c r="D52" s="29" t="s">
        <v>162</v>
      </c>
      <c r="E52" s="26">
        <v>26732.65</v>
      </c>
      <c r="F52" s="24"/>
      <c r="G52" s="24"/>
      <c r="H52" s="26">
        <f t="shared" si="0"/>
        <v>0</v>
      </c>
      <c r="I52" s="213"/>
    </row>
    <row r="53" spans="1:9" ht="20.100000000000001" customHeight="1">
      <c r="A53" s="29">
        <v>9</v>
      </c>
      <c r="B53" s="188" t="s">
        <v>184</v>
      </c>
      <c r="C53" s="21" t="s">
        <v>80</v>
      </c>
      <c r="D53" s="29" t="s">
        <v>170</v>
      </c>
      <c r="E53" s="26">
        <v>25523.45</v>
      </c>
      <c r="F53" s="24">
        <f>0.025*E53</f>
        <v>638.08625000000006</v>
      </c>
      <c r="G53" s="24">
        <f>'[9]April 2022'!$H$46</f>
        <v>618.53150000000005</v>
      </c>
      <c r="H53" s="26">
        <f t="shared" si="0"/>
        <v>19.554750000000013</v>
      </c>
      <c r="I53" s="213"/>
    </row>
    <row r="54" spans="1:9" ht="20.100000000000001" customHeight="1">
      <c r="A54" s="29">
        <v>10</v>
      </c>
      <c r="B54" s="188" t="s">
        <v>420</v>
      </c>
      <c r="C54" s="21" t="s">
        <v>84</v>
      </c>
      <c r="D54" s="29" t="s">
        <v>428</v>
      </c>
      <c r="E54" s="238">
        <f>14736.14</f>
        <v>14736.14</v>
      </c>
      <c r="F54" s="24"/>
      <c r="G54" s="24"/>
      <c r="H54" s="26">
        <f t="shared" si="0"/>
        <v>0</v>
      </c>
      <c r="I54" s="213"/>
    </row>
    <row r="55" spans="1:9" ht="20.100000000000001" customHeight="1">
      <c r="A55" s="29">
        <v>11</v>
      </c>
      <c r="B55" s="188" t="s">
        <v>435</v>
      </c>
      <c r="C55" s="21" t="s">
        <v>84</v>
      </c>
      <c r="D55" s="29" t="s">
        <v>428</v>
      </c>
      <c r="E55" s="238">
        <f>14736.14</f>
        <v>14736.14</v>
      </c>
      <c r="F55" s="24"/>
      <c r="G55" s="24"/>
      <c r="H55" s="26">
        <f t="shared" si="0"/>
        <v>0</v>
      </c>
      <c r="I55" s="213"/>
    </row>
    <row r="56" spans="1:9" ht="20.100000000000001" customHeight="1">
      <c r="A56" s="29">
        <v>12</v>
      </c>
      <c r="B56" s="188" t="s">
        <v>452</v>
      </c>
      <c r="C56" s="21" t="s">
        <v>84</v>
      </c>
      <c r="D56" s="29" t="s">
        <v>428</v>
      </c>
      <c r="E56" s="238">
        <f>14736.14</f>
        <v>14736.14</v>
      </c>
      <c r="F56" s="24"/>
      <c r="G56" s="24"/>
      <c r="H56" s="26">
        <f t="shared" si="0"/>
        <v>0</v>
      </c>
      <c r="I56" s="213"/>
    </row>
    <row r="57" spans="1:9" ht="25.5" customHeight="1">
      <c r="A57" s="29"/>
      <c r="B57" s="191" t="s">
        <v>15</v>
      </c>
      <c r="C57" s="30">
        <v>12</v>
      </c>
      <c r="D57" s="30"/>
      <c r="E57" s="78">
        <f>SUM(E45:E56)</f>
        <v>366212.70000000013</v>
      </c>
      <c r="F57" s="78">
        <f>SUM(F45:F56)</f>
        <v>1444.6662500000002</v>
      </c>
      <c r="G57" s="78">
        <f t="shared" ref="G57" si="5">SUM(G45:G56)</f>
        <v>1456.2215000000001</v>
      </c>
      <c r="H57" s="26">
        <f t="shared" si="0"/>
        <v>-11.555249999999887</v>
      </c>
      <c r="I57" s="213"/>
    </row>
    <row r="58" spans="1:9" ht="20.100000000000001" customHeight="1">
      <c r="A58" s="29"/>
      <c r="B58" s="141"/>
      <c r="C58" s="30"/>
      <c r="D58" s="30"/>
      <c r="E58" s="31"/>
      <c r="F58" s="31"/>
      <c r="G58" s="31"/>
      <c r="H58" s="26">
        <f t="shared" si="0"/>
        <v>0</v>
      </c>
      <c r="I58" s="213"/>
    </row>
    <row r="59" spans="1:9" ht="20.100000000000001" customHeight="1">
      <c r="A59" s="29"/>
      <c r="B59" s="191" t="s">
        <v>195</v>
      </c>
      <c r="C59" s="30"/>
      <c r="D59" s="30"/>
      <c r="E59" s="31"/>
      <c r="F59" s="31"/>
      <c r="G59" s="31"/>
      <c r="H59" s="26">
        <f t="shared" si="0"/>
        <v>0</v>
      </c>
      <c r="I59" s="213"/>
    </row>
    <row r="60" spans="1:9" ht="20.100000000000001" customHeight="1">
      <c r="A60" s="29">
        <v>1</v>
      </c>
      <c r="B60" s="188" t="s">
        <v>11</v>
      </c>
      <c r="C60" s="287" t="s">
        <v>200</v>
      </c>
      <c r="D60" s="214" t="s">
        <v>161</v>
      </c>
      <c r="E60" s="26">
        <v>81740.02</v>
      </c>
      <c r="F60" s="24">
        <v>0</v>
      </c>
      <c r="G60" s="24">
        <v>0</v>
      </c>
      <c r="H60" s="26">
        <f t="shared" si="0"/>
        <v>0</v>
      </c>
      <c r="I60" s="213"/>
    </row>
    <row r="61" spans="1:9" ht="20.100000000000001" customHeight="1">
      <c r="A61" s="29"/>
      <c r="B61" s="191" t="s">
        <v>15</v>
      </c>
      <c r="C61" s="30">
        <v>1</v>
      </c>
      <c r="D61" s="30"/>
      <c r="E61" s="78">
        <f>SUM(E60:E60)</f>
        <v>81740.02</v>
      </c>
      <c r="F61" s="78">
        <f>SUM(F60:F60)</f>
        <v>0</v>
      </c>
      <c r="G61" s="78">
        <f>SUM(G60:G60)</f>
        <v>0</v>
      </c>
      <c r="H61" s="26">
        <f t="shared" si="0"/>
        <v>0</v>
      </c>
      <c r="I61" s="213"/>
    </row>
    <row r="62" spans="1:9" ht="20.100000000000001" customHeight="1">
      <c r="A62" s="29"/>
      <c r="B62" s="191"/>
      <c r="C62" s="30"/>
      <c r="D62" s="30"/>
      <c r="E62" s="31"/>
      <c r="F62" s="31"/>
      <c r="G62" s="31"/>
      <c r="H62" s="26">
        <f t="shared" si="0"/>
        <v>0</v>
      </c>
      <c r="I62" s="213"/>
    </row>
    <row r="63" spans="1:9" ht="20.100000000000001" customHeight="1">
      <c r="A63" s="29"/>
      <c r="B63" s="191" t="s">
        <v>461</v>
      </c>
      <c r="C63" s="30"/>
      <c r="D63" s="30"/>
      <c r="E63" s="31"/>
      <c r="F63" s="31"/>
      <c r="G63" s="31"/>
      <c r="H63" s="26">
        <f t="shared" si="0"/>
        <v>0</v>
      </c>
      <c r="I63" s="213"/>
    </row>
    <row r="64" spans="1:9" ht="20.100000000000001" customHeight="1">
      <c r="A64" s="29">
        <v>1</v>
      </c>
      <c r="B64" s="188" t="s">
        <v>277</v>
      </c>
      <c r="C64" s="155" t="s">
        <v>278</v>
      </c>
      <c r="D64" s="29" t="s">
        <v>161</v>
      </c>
      <c r="E64" s="26">
        <v>81740.02</v>
      </c>
      <c r="F64" s="26"/>
      <c r="G64" s="26"/>
      <c r="H64" s="26">
        <f t="shared" si="0"/>
        <v>0</v>
      </c>
      <c r="I64" s="213"/>
    </row>
    <row r="65" spans="1:9" ht="20.100000000000001" customHeight="1">
      <c r="A65" s="29">
        <v>2</v>
      </c>
      <c r="B65" s="189" t="s">
        <v>332</v>
      </c>
      <c r="C65" s="155" t="s">
        <v>188</v>
      </c>
      <c r="D65" s="214" t="s">
        <v>272</v>
      </c>
      <c r="E65" s="237">
        <v>31018.84</v>
      </c>
      <c r="F65" s="24"/>
      <c r="G65" s="24"/>
      <c r="H65" s="26">
        <f t="shared" si="0"/>
        <v>0</v>
      </c>
      <c r="I65" s="213"/>
    </row>
    <row r="66" spans="1:9" ht="20.100000000000001" customHeight="1">
      <c r="A66" s="29">
        <v>3</v>
      </c>
      <c r="B66" s="188" t="s">
        <v>189</v>
      </c>
      <c r="C66" s="21" t="s">
        <v>257</v>
      </c>
      <c r="D66" s="29" t="s">
        <v>170</v>
      </c>
      <c r="E66" s="26">
        <v>25523.45</v>
      </c>
      <c r="F66" s="26"/>
      <c r="G66" s="26"/>
      <c r="H66" s="26">
        <f t="shared" si="0"/>
        <v>0</v>
      </c>
      <c r="I66" s="213"/>
    </row>
    <row r="67" spans="1:9" ht="20.100000000000001" customHeight="1">
      <c r="A67" s="29">
        <v>4</v>
      </c>
      <c r="B67" s="189" t="s">
        <v>448</v>
      </c>
      <c r="C67" s="155" t="s">
        <v>257</v>
      </c>
      <c r="D67" s="214" t="s">
        <v>163</v>
      </c>
      <c r="E67" s="26">
        <v>24741.26</v>
      </c>
      <c r="F67" s="24">
        <f>0</f>
        <v>0</v>
      </c>
      <c r="G67" s="24">
        <f>0</f>
        <v>0</v>
      </c>
      <c r="H67" s="26">
        <f t="shared" si="0"/>
        <v>0</v>
      </c>
      <c r="I67" s="213"/>
    </row>
    <row r="68" spans="1:9" ht="20.100000000000001" customHeight="1">
      <c r="A68" s="29">
        <v>5</v>
      </c>
      <c r="B68" s="190" t="s">
        <v>229</v>
      </c>
      <c r="C68" s="155" t="s">
        <v>297</v>
      </c>
      <c r="D68" s="214" t="s">
        <v>181</v>
      </c>
      <c r="E68" s="26">
        <v>27611.23</v>
      </c>
      <c r="F68" s="24"/>
      <c r="G68" s="24"/>
      <c r="H68" s="26">
        <f t="shared" si="0"/>
        <v>0</v>
      </c>
      <c r="I68" s="213"/>
    </row>
    <row r="69" spans="1:9" ht="20.100000000000001" customHeight="1">
      <c r="A69" s="29">
        <v>6</v>
      </c>
      <c r="B69" s="188" t="s">
        <v>117</v>
      </c>
      <c r="C69" s="21" t="s">
        <v>84</v>
      </c>
      <c r="D69" s="29" t="s">
        <v>265</v>
      </c>
      <c r="E69" s="26">
        <f>20769.92</f>
        <v>20769.919999999998</v>
      </c>
      <c r="F69" s="24"/>
      <c r="G69" s="24"/>
      <c r="H69" s="26">
        <f t="shared" si="0"/>
        <v>0</v>
      </c>
      <c r="I69" s="213"/>
    </row>
    <row r="70" spans="1:9" ht="20.100000000000001" customHeight="1">
      <c r="A70" s="29">
        <v>7</v>
      </c>
      <c r="B70" s="188" t="s">
        <v>182</v>
      </c>
      <c r="C70" s="155" t="s">
        <v>422</v>
      </c>
      <c r="D70" s="214" t="s">
        <v>497</v>
      </c>
      <c r="E70" s="26">
        <f>22837.82</f>
        <v>22837.82</v>
      </c>
      <c r="F70" s="24">
        <f>0.025*E70</f>
        <v>570.94550000000004</v>
      </c>
      <c r="G70" s="24">
        <f>'[9]April 2022'!$H$41</f>
        <v>538.02200000000005</v>
      </c>
      <c r="H70" s="26">
        <f t="shared" si="0"/>
        <v>32.92349999999999</v>
      </c>
      <c r="I70" s="213"/>
    </row>
    <row r="71" spans="1:9" ht="20.100000000000001" customHeight="1">
      <c r="A71" s="29">
        <v>8</v>
      </c>
      <c r="B71" s="188" t="s">
        <v>424</v>
      </c>
      <c r="C71" s="155" t="s">
        <v>422</v>
      </c>
      <c r="D71" s="214" t="s">
        <v>369</v>
      </c>
      <c r="E71" s="288">
        <v>20749</v>
      </c>
      <c r="F71" s="24"/>
      <c r="G71" s="24"/>
      <c r="H71" s="26">
        <f t="shared" si="0"/>
        <v>0</v>
      </c>
      <c r="I71" s="213"/>
    </row>
    <row r="72" spans="1:9" ht="20.100000000000001" customHeight="1">
      <c r="A72" s="29">
        <v>9</v>
      </c>
      <c r="B72" s="188" t="s">
        <v>423</v>
      </c>
      <c r="C72" s="155" t="s">
        <v>422</v>
      </c>
      <c r="D72" s="214" t="s">
        <v>369</v>
      </c>
      <c r="E72" s="288">
        <v>20749</v>
      </c>
      <c r="F72" s="24"/>
      <c r="G72" s="24"/>
      <c r="H72" s="26">
        <f t="shared" ref="H72:H135" si="6">F72-G72</f>
        <v>0</v>
      </c>
      <c r="I72" s="213"/>
    </row>
    <row r="73" spans="1:9" ht="20.100000000000001" customHeight="1">
      <c r="A73" s="29">
        <v>10</v>
      </c>
      <c r="B73" s="188" t="s">
        <v>242</v>
      </c>
      <c r="C73" s="21" t="s">
        <v>484</v>
      </c>
      <c r="D73" s="29" t="s">
        <v>415</v>
      </c>
      <c r="E73" s="26">
        <v>21520.880000000001</v>
      </c>
      <c r="F73" s="24"/>
      <c r="G73" s="24"/>
      <c r="H73" s="26">
        <f t="shared" si="6"/>
        <v>0</v>
      </c>
      <c r="I73" s="213"/>
    </row>
    <row r="74" spans="1:9" ht="20.100000000000001" customHeight="1">
      <c r="A74" s="29">
        <v>11</v>
      </c>
      <c r="B74" s="188" t="s">
        <v>322</v>
      </c>
      <c r="C74" s="155" t="s">
        <v>84</v>
      </c>
      <c r="D74" s="29" t="s">
        <v>207</v>
      </c>
      <c r="E74" s="26">
        <v>17784.099999999999</v>
      </c>
      <c r="F74" s="24"/>
      <c r="G74" s="24"/>
      <c r="H74" s="26">
        <f t="shared" si="6"/>
        <v>0</v>
      </c>
      <c r="I74" s="213"/>
    </row>
    <row r="75" spans="1:9" ht="20.100000000000001" customHeight="1">
      <c r="A75" s="29">
        <v>12</v>
      </c>
      <c r="B75" s="188" t="s">
        <v>320</v>
      </c>
      <c r="C75" s="155" t="s">
        <v>115</v>
      </c>
      <c r="D75" s="29" t="s">
        <v>498</v>
      </c>
      <c r="E75" s="26">
        <f>15188.67</f>
        <v>15188.67</v>
      </c>
      <c r="F75" s="24"/>
      <c r="G75" s="24"/>
      <c r="H75" s="26">
        <f t="shared" si="6"/>
        <v>0</v>
      </c>
      <c r="I75" s="213"/>
    </row>
    <row r="76" spans="1:9" ht="20.100000000000001" customHeight="1">
      <c r="A76" s="29">
        <v>13</v>
      </c>
      <c r="B76" s="190" t="s">
        <v>321</v>
      </c>
      <c r="C76" s="155" t="s">
        <v>115</v>
      </c>
      <c r="D76" s="29" t="s">
        <v>176</v>
      </c>
      <c r="E76" s="26">
        <f>12732</f>
        <v>12732</v>
      </c>
      <c r="F76" s="24"/>
      <c r="G76" s="24"/>
      <c r="H76" s="26">
        <f t="shared" si="6"/>
        <v>0</v>
      </c>
      <c r="I76" s="213"/>
    </row>
    <row r="77" spans="1:9" ht="20.100000000000001" customHeight="1">
      <c r="A77" s="29"/>
      <c r="B77" s="191" t="s">
        <v>15</v>
      </c>
      <c r="C77" s="30">
        <v>13</v>
      </c>
      <c r="D77" s="30"/>
      <c r="E77" s="78">
        <f>SUM(E64:E76)</f>
        <v>342966.19</v>
      </c>
      <c r="F77" s="78">
        <f t="shared" ref="F77:G77" si="7">SUM(F64:F76)</f>
        <v>570.94550000000004</v>
      </c>
      <c r="G77" s="78">
        <f t="shared" si="7"/>
        <v>538.02200000000005</v>
      </c>
      <c r="H77" s="26">
        <f t="shared" si="6"/>
        <v>32.92349999999999</v>
      </c>
      <c r="I77" s="213"/>
    </row>
    <row r="78" spans="1:9" ht="20.100000000000001" customHeight="1">
      <c r="A78" s="29"/>
      <c r="B78" s="141"/>
      <c r="C78" s="30"/>
      <c r="D78" s="30"/>
      <c r="E78" s="31"/>
      <c r="F78" s="31"/>
      <c r="G78" s="31"/>
      <c r="H78" s="26">
        <f t="shared" si="6"/>
        <v>0</v>
      </c>
      <c r="I78" s="213"/>
    </row>
    <row r="79" spans="1:9" ht="20.100000000000001" customHeight="1">
      <c r="A79" s="29"/>
      <c r="B79" s="191" t="s">
        <v>462</v>
      </c>
      <c r="C79" s="30"/>
      <c r="D79" s="30"/>
      <c r="E79" s="31"/>
      <c r="F79" s="31"/>
      <c r="G79" s="31"/>
      <c r="H79" s="26">
        <f t="shared" si="6"/>
        <v>0</v>
      </c>
      <c r="I79" s="213"/>
    </row>
    <row r="80" spans="1:9" ht="20.100000000000001" customHeight="1">
      <c r="A80" s="29">
        <v>1</v>
      </c>
      <c r="B80" s="188" t="s">
        <v>19</v>
      </c>
      <c r="C80" s="21" t="s">
        <v>201</v>
      </c>
      <c r="D80" s="29" t="s">
        <v>161</v>
      </c>
      <c r="E80" s="26">
        <v>81740.02</v>
      </c>
      <c r="F80" s="24">
        <v>0</v>
      </c>
      <c r="G80" s="24">
        <v>0</v>
      </c>
      <c r="H80" s="26">
        <f t="shared" si="6"/>
        <v>0</v>
      </c>
      <c r="I80" s="213"/>
    </row>
    <row r="81" spans="1:9" ht="20.100000000000001" customHeight="1">
      <c r="A81" s="29">
        <v>2</v>
      </c>
      <c r="B81" s="190" t="s">
        <v>325</v>
      </c>
      <c r="C81" s="21" t="s">
        <v>245</v>
      </c>
      <c r="D81" s="214" t="s">
        <v>272</v>
      </c>
      <c r="E81" s="289">
        <v>31018.84</v>
      </c>
      <c r="F81" s="24">
        <v>0</v>
      </c>
      <c r="G81" s="24">
        <v>0</v>
      </c>
      <c r="H81" s="26">
        <f t="shared" si="6"/>
        <v>0</v>
      </c>
      <c r="I81" s="213"/>
    </row>
    <row r="82" spans="1:9" ht="20.100000000000001" customHeight="1">
      <c r="A82" s="29">
        <v>3</v>
      </c>
      <c r="B82" s="190" t="s">
        <v>326</v>
      </c>
      <c r="C82" s="21" t="s">
        <v>327</v>
      </c>
      <c r="D82" s="214" t="s">
        <v>272</v>
      </c>
      <c r="E82" s="289">
        <v>31018.84</v>
      </c>
      <c r="F82" s="24">
        <v>0</v>
      </c>
      <c r="G82" s="24">
        <v>0</v>
      </c>
      <c r="H82" s="26">
        <f t="shared" si="6"/>
        <v>0</v>
      </c>
      <c r="I82" s="213"/>
    </row>
    <row r="83" spans="1:9" ht="20.100000000000001" customHeight="1">
      <c r="A83" s="29">
        <v>4</v>
      </c>
      <c r="B83" s="188" t="s">
        <v>26</v>
      </c>
      <c r="C83" s="21" t="s">
        <v>296</v>
      </c>
      <c r="D83" s="214" t="s">
        <v>170</v>
      </c>
      <c r="E83" s="26">
        <v>25523.45</v>
      </c>
      <c r="F83" s="24">
        <f>0.025*E83</f>
        <v>638.08625000000006</v>
      </c>
      <c r="G83" s="24">
        <f>'[9]April 2022'!$H$38</f>
        <v>618.53150000000005</v>
      </c>
      <c r="H83" s="26">
        <f t="shared" si="6"/>
        <v>19.554750000000013</v>
      </c>
      <c r="I83" s="213"/>
    </row>
    <row r="84" spans="1:9" ht="20.100000000000001" customHeight="1">
      <c r="A84" s="29">
        <v>5</v>
      </c>
      <c r="B84" s="188" t="s">
        <v>324</v>
      </c>
      <c r="C84" s="21" t="s">
        <v>243</v>
      </c>
      <c r="D84" s="29" t="s">
        <v>207</v>
      </c>
      <c r="E84" s="26">
        <v>17784.099999999999</v>
      </c>
      <c r="F84" s="24"/>
      <c r="G84" s="24"/>
      <c r="H84" s="26">
        <f t="shared" si="6"/>
        <v>0</v>
      </c>
      <c r="I84" s="213"/>
    </row>
    <row r="85" spans="1:9" ht="20.100000000000001" customHeight="1">
      <c r="A85" s="29"/>
      <c r="B85" s="191" t="s">
        <v>15</v>
      </c>
      <c r="C85" s="30">
        <v>5</v>
      </c>
      <c r="D85" s="30"/>
      <c r="E85" s="78">
        <f>SUM(E80:E84)</f>
        <v>187085.25000000003</v>
      </c>
      <c r="F85" s="78">
        <f t="shared" ref="F85:G85" si="8">SUM(F80:F84)</f>
        <v>638.08625000000006</v>
      </c>
      <c r="G85" s="78">
        <f t="shared" si="8"/>
        <v>618.53150000000005</v>
      </c>
      <c r="H85" s="26">
        <f t="shared" si="6"/>
        <v>19.554750000000013</v>
      </c>
      <c r="I85" s="213"/>
    </row>
    <row r="86" spans="1:9" ht="20.100000000000001" customHeight="1">
      <c r="A86" s="29"/>
      <c r="B86" s="191"/>
      <c r="C86" s="30"/>
      <c r="D86" s="30"/>
      <c r="E86" s="31"/>
      <c r="F86" s="215"/>
      <c r="G86" s="215"/>
      <c r="H86" s="26">
        <f t="shared" si="6"/>
        <v>0</v>
      </c>
      <c r="I86" s="213"/>
    </row>
    <row r="87" spans="1:9" ht="20.100000000000001" customHeight="1">
      <c r="A87" s="29"/>
      <c r="B87" s="191" t="s">
        <v>463</v>
      </c>
      <c r="C87" s="219"/>
      <c r="D87" s="30"/>
      <c r="E87" s="31"/>
      <c r="F87" s="215"/>
      <c r="G87" s="215"/>
      <c r="H87" s="26">
        <f t="shared" si="6"/>
        <v>0</v>
      </c>
      <c r="I87" s="213"/>
    </row>
    <row r="88" spans="1:9" ht="23.25" customHeight="1">
      <c r="A88" s="29">
        <v>1</v>
      </c>
      <c r="B88" s="188" t="s">
        <v>504</v>
      </c>
      <c r="C88" s="21" t="s">
        <v>312</v>
      </c>
      <c r="D88" s="29" t="s">
        <v>160</v>
      </c>
      <c r="E88" s="26">
        <v>42653.17</v>
      </c>
      <c r="F88" s="24"/>
      <c r="G88" s="24"/>
      <c r="H88" s="26">
        <f t="shared" si="6"/>
        <v>0</v>
      </c>
      <c r="I88" s="213"/>
    </row>
    <row r="89" spans="1:9" ht="20.100000000000001" customHeight="1">
      <c r="A89" s="29">
        <v>2</v>
      </c>
      <c r="B89" s="188" t="s">
        <v>169</v>
      </c>
      <c r="C89" s="21" t="s">
        <v>258</v>
      </c>
      <c r="D89" s="29" t="s">
        <v>75</v>
      </c>
      <c r="E89" s="26">
        <v>33507.5</v>
      </c>
      <c r="F89" s="24"/>
      <c r="G89" s="24"/>
      <c r="H89" s="26">
        <f t="shared" si="6"/>
        <v>0</v>
      </c>
      <c r="I89" s="213"/>
    </row>
    <row r="90" spans="1:9" ht="20.100000000000001" customHeight="1">
      <c r="A90" s="29">
        <v>3</v>
      </c>
      <c r="B90" s="188" t="s">
        <v>192</v>
      </c>
      <c r="C90" s="21" t="s">
        <v>258</v>
      </c>
      <c r="D90" s="29" t="s">
        <v>75</v>
      </c>
      <c r="E90" s="26">
        <v>33507.5</v>
      </c>
      <c r="F90" s="24">
        <f>0.025*E90</f>
        <v>837.6875</v>
      </c>
      <c r="G90" s="24">
        <f>'[9]April 2022'!$H$37</f>
        <v>837.6875</v>
      </c>
      <c r="H90" s="26">
        <f t="shared" si="6"/>
        <v>0</v>
      </c>
      <c r="I90" s="213"/>
    </row>
    <row r="91" spans="1:9" ht="20.100000000000001" customHeight="1">
      <c r="A91" s="29">
        <v>4</v>
      </c>
      <c r="B91" s="190" t="s">
        <v>138</v>
      </c>
      <c r="C91" s="21" t="s">
        <v>297</v>
      </c>
      <c r="D91" s="29" t="s">
        <v>174</v>
      </c>
      <c r="E91" s="26">
        <f>28489.81</f>
        <v>28489.81</v>
      </c>
      <c r="F91" s="24">
        <f>0.025*E91</f>
        <v>712.24525000000006</v>
      </c>
      <c r="G91" s="24">
        <f>'[9]April 2022'!$H$44</f>
        <v>690.28075000000001</v>
      </c>
      <c r="H91" s="26">
        <f t="shared" si="6"/>
        <v>21.964500000000044</v>
      </c>
      <c r="I91" s="213"/>
    </row>
    <row r="92" spans="1:9" ht="20.100000000000001" customHeight="1">
      <c r="A92" s="29">
        <v>5</v>
      </c>
      <c r="B92" s="188" t="s">
        <v>202</v>
      </c>
      <c r="C92" s="21" t="s">
        <v>78</v>
      </c>
      <c r="D92" s="29" t="s">
        <v>181</v>
      </c>
      <c r="E92" s="26">
        <v>27611.23</v>
      </c>
      <c r="F92" s="24"/>
      <c r="G92" s="24"/>
      <c r="H92" s="26">
        <f t="shared" si="6"/>
        <v>0</v>
      </c>
      <c r="I92" s="213"/>
    </row>
    <row r="93" spans="1:9" ht="21.6" customHeight="1">
      <c r="A93" s="29">
        <v>6</v>
      </c>
      <c r="B93" s="188" t="s">
        <v>101</v>
      </c>
      <c r="C93" s="21" t="s">
        <v>80</v>
      </c>
      <c r="D93" s="214" t="s">
        <v>170</v>
      </c>
      <c r="E93" s="26">
        <v>25523.45</v>
      </c>
      <c r="F93" s="24"/>
      <c r="G93" s="24"/>
      <c r="H93" s="26">
        <f t="shared" si="6"/>
        <v>0</v>
      </c>
      <c r="I93" s="213"/>
    </row>
    <row r="94" spans="1:9" ht="21.6" customHeight="1">
      <c r="A94" s="29">
        <v>7</v>
      </c>
      <c r="B94" s="188" t="s">
        <v>336</v>
      </c>
      <c r="C94" s="287" t="s">
        <v>257</v>
      </c>
      <c r="D94" s="214" t="s">
        <v>163</v>
      </c>
      <c r="E94" s="26">
        <v>24741.26</v>
      </c>
      <c r="F94" s="24"/>
      <c r="G94" s="24"/>
      <c r="H94" s="26">
        <f t="shared" si="6"/>
        <v>0</v>
      </c>
      <c r="I94" s="213"/>
    </row>
    <row r="95" spans="1:9" ht="21.6" customHeight="1">
      <c r="A95" s="29">
        <v>8</v>
      </c>
      <c r="B95" s="188" t="s">
        <v>337</v>
      </c>
      <c r="C95" s="287" t="s">
        <v>257</v>
      </c>
      <c r="D95" s="214" t="s">
        <v>163</v>
      </c>
      <c r="E95" s="26">
        <v>24741.26</v>
      </c>
      <c r="F95" s="24"/>
      <c r="G95" s="24"/>
      <c r="H95" s="26">
        <f t="shared" si="6"/>
        <v>0</v>
      </c>
      <c r="I95" s="213"/>
    </row>
    <row r="96" spans="1:9" ht="21.6" customHeight="1">
      <c r="A96" s="29">
        <v>9</v>
      </c>
      <c r="B96" s="188" t="s">
        <v>421</v>
      </c>
      <c r="C96" s="155" t="s">
        <v>422</v>
      </c>
      <c r="D96" s="214" t="s">
        <v>369</v>
      </c>
      <c r="E96" s="288">
        <f>20749</f>
        <v>20749</v>
      </c>
      <c r="F96" s="24"/>
      <c r="G96" s="24"/>
      <c r="H96" s="26">
        <f t="shared" si="6"/>
        <v>0</v>
      </c>
      <c r="I96" s="213"/>
    </row>
    <row r="97" spans="1:9" ht="21.6" customHeight="1">
      <c r="A97" s="29">
        <v>10</v>
      </c>
      <c r="B97" s="188" t="s">
        <v>436</v>
      </c>
      <c r="C97" s="21" t="s">
        <v>470</v>
      </c>
      <c r="D97" s="29" t="s">
        <v>104</v>
      </c>
      <c r="E97" s="288">
        <v>0</v>
      </c>
      <c r="F97" s="24"/>
      <c r="G97" s="24"/>
      <c r="H97" s="26">
        <f t="shared" si="6"/>
        <v>0</v>
      </c>
      <c r="I97" s="213"/>
    </row>
    <row r="98" spans="1:9" ht="21.6" customHeight="1">
      <c r="A98" s="29">
        <v>11</v>
      </c>
      <c r="B98" s="188" t="s">
        <v>406</v>
      </c>
      <c r="C98" s="155" t="s">
        <v>432</v>
      </c>
      <c r="D98" s="214" t="s">
        <v>176</v>
      </c>
      <c r="E98" s="26">
        <f>12732</f>
        <v>12732</v>
      </c>
      <c r="F98" s="24">
        <v>0</v>
      </c>
      <c r="G98" s="24">
        <v>0</v>
      </c>
      <c r="H98" s="26">
        <f t="shared" si="6"/>
        <v>0</v>
      </c>
      <c r="I98" s="213"/>
    </row>
    <row r="99" spans="1:9" ht="20.100000000000001" customHeight="1">
      <c r="A99" s="29"/>
      <c r="B99" s="191" t="s">
        <v>15</v>
      </c>
      <c r="C99" s="30">
        <v>11</v>
      </c>
      <c r="D99" s="30"/>
      <c r="E99" s="78">
        <f t="shared" ref="E99" si="9">SUM(E88:E98)</f>
        <v>274256.18000000005</v>
      </c>
      <c r="F99" s="78">
        <f>SUM(F88:F98)</f>
        <v>1549.9327499999999</v>
      </c>
      <c r="G99" s="78">
        <f>SUM(G88:G98)</f>
        <v>1527.9682499999999</v>
      </c>
      <c r="H99" s="26">
        <f t="shared" si="6"/>
        <v>21.964500000000044</v>
      </c>
      <c r="I99" s="213"/>
    </row>
    <row r="100" spans="1:9" ht="20.100000000000001" customHeight="1">
      <c r="A100" s="29"/>
      <c r="B100" s="141"/>
      <c r="C100" s="30"/>
      <c r="D100" s="30"/>
      <c r="E100" s="31"/>
      <c r="F100" s="31"/>
      <c r="G100" s="31"/>
      <c r="H100" s="26">
        <f t="shared" si="6"/>
        <v>0</v>
      </c>
      <c r="I100" s="213"/>
    </row>
    <row r="101" spans="1:9" ht="20.100000000000001" customHeight="1">
      <c r="A101" s="29"/>
      <c r="B101" s="191" t="s">
        <v>464</v>
      </c>
      <c r="C101" s="30"/>
      <c r="D101" s="30"/>
      <c r="E101" s="31"/>
      <c r="F101" s="31"/>
      <c r="G101" s="31"/>
      <c r="H101" s="26">
        <f t="shared" si="6"/>
        <v>0</v>
      </c>
      <c r="I101" s="213"/>
    </row>
    <row r="102" spans="1:9" ht="20.100000000000001" customHeight="1">
      <c r="A102" s="29">
        <v>1</v>
      </c>
      <c r="B102" s="189" t="s">
        <v>364</v>
      </c>
      <c r="C102" s="29" t="s">
        <v>343</v>
      </c>
      <c r="D102" s="214" t="s">
        <v>221</v>
      </c>
      <c r="E102" s="288">
        <v>41157.69</v>
      </c>
      <c r="F102" s="24"/>
      <c r="G102" s="24"/>
      <c r="H102" s="26">
        <f t="shared" si="6"/>
        <v>0</v>
      </c>
      <c r="I102" s="213"/>
    </row>
    <row r="103" spans="1:9" ht="20.100000000000001" customHeight="1">
      <c r="A103" s="29">
        <v>2</v>
      </c>
      <c r="B103" s="188" t="s">
        <v>185</v>
      </c>
      <c r="C103" s="21" t="s">
        <v>373</v>
      </c>
      <c r="D103" s="29" t="s">
        <v>181</v>
      </c>
      <c r="E103" s="26">
        <v>27611.23</v>
      </c>
      <c r="F103" s="24">
        <f>0.025*E103</f>
        <v>690.28075000000001</v>
      </c>
      <c r="G103" s="24">
        <f>'[9]April 2022'!$H$54</f>
        <v>668.31625000000008</v>
      </c>
      <c r="H103" s="26">
        <f t="shared" si="6"/>
        <v>21.96449999999993</v>
      </c>
      <c r="I103" s="213"/>
    </row>
    <row r="104" spans="1:9" ht="20.100000000000001" customHeight="1">
      <c r="A104" s="29">
        <v>3</v>
      </c>
      <c r="B104" s="189" t="s">
        <v>366</v>
      </c>
      <c r="C104" s="21" t="s">
        <v>367</v>
      </c>
      <c r="D104" s="214" t="s">
        <v>163</v>
      </c>
      <c r="E104" s="26">
        <v>24741.26</v>
      </c>
      <c r="F104" s="24"/>
      <c r="G104" s="24"/>
      <c r="H104" s="26">
        <f t="shared" si="6"/>
        <v>0</v>
      </c>
      <c r="I104" s="213"/>
    </row>
    <row r="105" spans="1:9" ht="20.100000000000001" customHeight="1">
      <c r="A105" s="29">
        <v>4</v>
      </c>
      <c r="B105" s="188" t="s">
        <v>237</v>
      </c>
      <c r="C105" s="21" t="s">
        <v>483</v>
      </c>
      <c r="D105" s="214" t="s">
        <v>415</v>
      </c>
      <c r="E105" s="26">
        <v>21520.880000000001</v>
      </c>
      <c r="F105" s="24"/>
      <c r="G105" s="24"/>
      <c r="H105" s="26">
        <f t="shared" si="6"/>
        <v>0</v>
      </c>
      <c r="I105" s="213"/>
    </row>
    <row r="106" spans="1:9" ht="20.100000000000001" customHeight="1">
      <c r="A106" s="21"/>
      <c r="B106" s="191" t="s">
        <v>15</v>
      </c>
      <c r="C106" s="30">
        <v>4</v>
      </c>
      <c r="D106" s="220"/>
      <c r="E106" s="78">
        <f>SUM(E102:E105)</f>
        <v>115031.06</v>
      </c>
      <c r="F106" s="78">
        <f t="shared" ref="F106:G106" si="10">SUM(F102:F105)</f>
        <v>690.28075000000001</v>
      </c>
      <c r="G106" s="78">
        <f t="shared" si="10"/>
        <v>668.31625000000008</v>
      </c>
      <c r="H106" s="26">
        <f t="shared" si="6"/>
        <v>21.96449999999993</v>
      </c>
      <c r="I106" s="213"/>
    </row>
    <row r="107" spans="1:9" ht="20.100000000000001" customHeight="1">
      <c r="A107" s="21"/>
      <c r="B107" s="141"/>
      <c r="C107" s="30"/>
      <c r="D107" s="220"/>
      <c r="E107" s="31"/>
      <c r="F107" s="31"/>
      <c r="G107" s="31"/>
      <c r="H107" s="26">
        <f t="shared" si="6"/>
        <v>0</v>
      </c>
      <c r="I107" s="213"/>
    </row>
    <row r="108" spans="1:9" ht="20.100000000000001" customHeight="1">
      <c r="A108" s="21"/>
      <c r="B108" s="191" t="s">
        <v>465</v>
      </c>
      <c r="C108" s="21"/>
      <c r="D108" s="21"/>
      <c r="E108" s="21"/>
      <c r="F108" s="21"/>
      <c r="G108" s="21"/>
      <c r="H108" s="26">
        <f t="shared" si="6"/>
        <v>0</v>
      </c>
      <c r="I108" s="213"/>
    </row>
    <row r="109" spans="1:9" ht="20.100000000000001" customHeight="1">
      <c r="A109" s="21">
        <v>1</v>
      </c>
      <c r="B109" s="188" t="s">
        <v>216</v>
      </c>
      <c r="C109" s="287" t="s">
        <v>217</v>
      </c>
      <c r="D109" s="214" t="s">
        <v>161</v>
      </c>
      <c r="E109" s="26">
        <v>81740.02</v>
      </c>
      <c r="F109" s="24">
        <v>0</v>
      </c>
      <c r="G109" s="24">
        <v>0</v>
      </c>
      <c r="H109" s="26">
        <f t="shared" si="6"/>
        <v>0</v>
      </c>
      <c r="I109" s="213"/>
    </row>
    <row r="110" spans="1:9" ht="20.100000000000001" customHeight="1">
      <c r="A110" s="21">
        <v>2</v>
      </c>
      <c r="B110" s="188" t="s">
        <v>110</v>
      </c>
      <c r="C110" s="21" t="s">
        <v>259</v>
      </c>
      <c r="D110" s="25" t="s">
        <v>221</v>
      </c>
      <c r="E110" s="26">
        <v>41157.69</v>
      </c>
      <c r="F110" s="24">
        <f>0.025*E110</f>
        <v>1028.9422500000001</v>
      </c>
      <c r="G110" s="24">
        <f>G7</f>
        <v>1028.9422500000001</v>
      </c>
      <c r="H110" s="26">
        <f t="shared" si="6"/>
        <v>0</v>
      </c>
      <c r="I110" s="213"/>
    </row>
    <row r="111" spans="1:9" ht="20.100000000000001" customHeight="1">
      <c r="A111" s="21">
        <v>3</v>
      </c>
      <c r="B111" s="188" t="s">
        <v>109</v>
      </c>
      <c r="C111" s="21" t="s">
        <v>311</v>
      </c>
      <c r="D111" s="29" t="s">
        <v>175</v>
      </c>
      <c r="E111" s="26">
        <v>26339.3</v>
      </c>
      <c r="F111" s="24">
        <f>0.025*E111</f>
        <v>658.48250000000007</v>
      </c>
      <c r="G111" s="24">
        <f>'[9]April 2022'!$H$35</f>
        <v>658.48250000000007</v>
      </c>
      <c r="H111" s="26">
        <f t="shared" si="6"/>
        <v>0</v>
      </c>
      <c r="I111" s="213"/>
    </row>
    <row r="112" spans="1:9" ht="20.100000000000001" customHeight="1">
      <c r="A112" s="21">
        <v>4</v>
      </c>
      <c r="B112" s="188" t="s">
        <v>135</v>
      </c>
      <c r="C112" s="21" t="s">
        <v>311</v>
      </c>
      <c r="D112" s="29" t="s">
        <v>175</v>
      </c>
      <c r="E112" s="26">
        <v>26339.3</v>
      </c>
      <c r="F112" s="24"/>
      <c r="G112" s="24"/>
      <c r="H112" s="26">
        <f t="shared" si="6"/>
        <v>0</v>
      </c>
      <c r="I112" s="213"/>
    </row>
    <row r="113" spans="1:9" ht="20.100000000000001" customHeight="1">
      <c r="A113" s="21">
        <v>5</v>
      </c>
      <c r="B113" s="188" t="s">
        <v>240</v>
      </c>
      <c r="C113" s="21" t="s">
        <v>338</v>
      </c>
      <c r="D113" s="214" t="s">
        <v>499</v>
      </c>
      <c r="E113" s="212">
        <f>13872.4</f>
        <v>13872.4</v>
      </c>
      <c r="F113" s="24"/>
      <c r="G113" s="24"/>
      <c r="H113" s="26">
        <f t="shared" si="6"/>
        <v>0</v>
      </c>
      <c r="I113" s="213"/>
    </row>
    <row r="114" spans="1:9" ht="20.100000000000001" customHeight="1">
      <c r="A114" s="21">
        <v>6</v>
      </c>
      <c r="B114" s="189" t="s">
        <v>341</v>
      </c>
      <c r="C114" s="21" t="s">
        <v>338</v>
      </c>
      <c r="D114" s="29" t="s">
        <v>267</v>
      </c>
      <c r="E114" s="26">
        <v>13492.21</v>
      </c>
      <c r="F114" s="24"/>
      <c r="G114" s="24"/>
      <c r="H114" s="26">
        <f t="shared" si="6"/>
        <v>0</v>
      </c>
      <c r="I114" s="213"/>
    </row>
    <row r="115" spans="1:9" ht="20.100000000000001" customHeight="1">
      <c r="A115" s="21">
        <v>7</v>
      </c>
      <c r="B115" s="189" t="s">
        <v>374</v>
      </c>
      <c r="C115" s="21" t="s">
        <v>338</v>
      </c>
      <c r="D115" s="214" t="s">
        <v>176</v>
      </c>
      <c r="E115" s="212">
        <f>12732</f>
        <v>12732</v>
      </c>
      <c r="F115" s="24"/>
      <c r="G115" s="24"/>
      <c r="H115" s="26">
        <f t="shared" si="6"/>
        <v>0</v>
      </c>
      <c r="I115" s="213"/>
    </row>
    <row r="116" spans="1:9" ht="20.100000000000001" customHeight="1">
      <c r="A116" s="21"/>
      <c r="B116" s="191" t="s">
        <v>15</v>
      </c>
      <c r="C116" s="30">
        <v>7</v>
      </c>
      <c r="D116" s="21"/>
      <c r="E116" s="221">
        <f>SUM(E109:E115)</f>
        <v>215672.91999999998</v>
      </c>
      <c r="F116" s="221">
        <f t="shared" ref="F116:G116" si="11">SUM(F109:F115)</f>
        <v>1687.4247500000001</v>
      </c>
      <c r="G116" s="221">
        <f t="shared" si="11"/>
        <v>1687.4247500000001</v>
      </c>
      <c r="H116" s="26">
        <f t="shared" si="6"/>
        <v>0</v>
      </c>
      <c r="I116" s="213"/>
    </row>
    <row r="117" spans="1:9" ht="20.100000000000001" customHeight="1">
      <c r="A117" s="21"/>
      <c r="B117" s="141"/>
      <c r="C117" s="29"/>
      <c r="D117" s="21"/>
      <c r="E117" s="222"/>
      <c r="F117" s="222"/>
      <c r="G117" s="222"/>
      <c r="H117" s="26">
        <f t="shared" si="6"/>
        <v>0</v>
      </c>
      <c r="I117" s="213"/>
    </row>
    <row r="118" spans="1:9" ht="20.100000000000001" customHeight="1">
      <c r="A118" s="21"/>
      <c r="B118" s="191" t="s">
        <v>466</v>
      </c>
      <c r="C118" s="30"/>
      <c r="D118" s="30"/>
      <c r="E118" s="31"/>
      <c r="F118" s="215"/>
      <c r="G118" s="215"/>
      <c r="H118" s="26">
        <f t="shared" si="6"/>
        <v>0</v>
      </c>
      <c r="I118" s="213"/>
    </row>
    <row r="119" spans="1:9" ht="20.100000000000001" customHeight="1">
      <c r="A119" s="21">
        <v>1</v>
      </c>
      <c r="B119" s="188" t="s">
        <v>20</v>
      </c>
      <c r="C119" s="287" t="s">
        <v>250</v>
      </c>
      <c r="D119" s="214" t="s">
        <v>161</v>
      </c>
      <c r="E119" s="26">
        <v>81740.02</v>
      </c>
      <c r="F119" s="24">
        <f>0.025*E119</f>
        <v>2043.5005000000001</v>
      </c>
      <c r="G119" s="24">
        <f>'[9]April 2022'!$H$21</f>
        <v>2043.5005000000001</v>
      </c>
      <c r="H119" s="26">
        <f t="shared" si="6"/>
        <v>0</v>
      </c>
      <c r="I119" s="213"/>
    </row>
    <row r="120" spans="1:9" ht="20.100000000000001" customHeight="1">
      <c r="A120" s="21" t="s">
        <v>505</v>
      </c>
      <c r="B120" s="188" t="s">
        <v>100</v>
      </c>
      <c r="C120" s="287" t="s">
        <v>268</v>
      </c>
      <c r="D120" s="214" t="s">
        <v>160</v>
      </c>
      <c r="E120" s="26">
        <v>42653.17</v>
      </c>
      <c r="F120" s="24"/>
      <c r="G120" s="24"/>
      <c r="H120" s="26">
        <f t="shared" si="6"/>
        <v>0</v>
      </c>
      <c r="I120" s="213"/>
    </row>
    <row r="121" spans="1:9" ht="20.100000000000001" customHeight="1">
      <c r="A121" s="21">
        <v>3</v>
      </c>
      <c r="B121" s="188" t="s">
        <v>153</v>
      </c>
      <c r="C121" s="287" t="s">
        <v>376</v>
      </c>
      <c r="D121" s="214" t="s">
        <v>75</v>
      </c>
      <c r="E121" s="26">
        <v>33507.5</v>
      </c>
      <c r="F121" s="24">
        <f>0.025*E121</f>
        <v>837.6875</v>
      </c>
      <c r="G121" s="24">
        <f>'[9]April 2022'!$H$20</f>
        <v>837.6875</v>
      </c>
      <c r="H121" s="26">
        <f t="shared" si="6"/>
        <v>0</v>
      </c>
      <c r="I121" s="213"/>
    </row>
    <row r="122" spans="1:9" ht="20.100000000000001" customHeight="1">
      <c r="A122" s="21">
        <v>4</v>
      </c>
      <c r="B122" s="190" t="s">
        <v>142</v>
      </c>
      <c r="C122" s="287" t="s">
        <v>376</v>
      </c>
      <c r="D122" s="214" t="s">
        <v>75</v>
      </c>
      <c r="E122" s="26">
        <v>33507.5</v>
      </c>
      <c r="F122" s="24">
        <f>0.025*E122</f>
        <v>837.6875</v>
      </c>
      <c r="G122" s="24">
        <f>'[9]April 2022'!$H$22</f>
        <v>837.6875</v>
      </c>
      <c r="H122" s="26">
        <f t="shared" si="6"/>
        <v>0</v>
      </c>
      <c r="I122" s="213"/>
    </row>
    <row r="123" spans="1:9" ht="20.100000000000001" customHeight="1">
      <c r="A123" s="21">
        <v>5</v>
      </c>
      <c r="B123" s="190" t="s">
        <v>363</v>
      </c>
      <c r="C123" s="287" t="s">
        <v>376</v>
      </c>
      <c r="D123" s="214" t="s">
        <v>30</v>
      </c>
      <c r="E123" s="288">
        <v>31018.84</v>
      </c>
      <c r="F123" s="24"/>
      <c r="G123" s="24"/>
      <c r="H123" s="26">
        <f t="shared" si="6"/>
        <v>0</v>
      </c>
      <c r="I123" s="213"/>
    </row>
    <row r="124" spans="1:9" ht="20.100000000000001" customHeight="1">
      <c r="A124" s="21">
        <v>6</v>
      </c>
      <c r="B124" s="188" t="s">
        <v>108</v>
      </c>
      <c r="C124" s="287" t="s">
        <v>476</v>
      </c>
      <c r="D124" s="214" t="s">
        <v>162</v>
      </c>
      <c r="E124" s="26">
        <v>26732.65</v>
      </c>
      <c r="F124" s="24"/>
      <c r="G124" s="24"/>
      <c r="H124" s="26">
        <f t="shared" si="6"/>
        <v>0</v>
      </c>
      <c r="I124" s="213"/>
    </row>
    <row r="125" spans="1:9" ht="20.100000000000001" customHeight="1">
      <c r="A125" s="21">
        <v>7</v>
      </c>
      <c r="B125" s="188" t="s">
        <v>178</v>
      </c>
      <c r="C125" s="287" t="s">
        <v>382</v>
      </c>
      <c r="D125" s="214" t="s">
        <v>170</v>
      </c>
      <c r="E125" s="26">
        <v>25523.45</v>
      </c>
      <c r="F125" s="24">
        <f>0.025*E125</f>
        <v>638.08625000000006</v>
      </c>
      <c r="G125" s="24">
        <f>'[9]April 2022'!$H$48</f>
        <v>618.53150000000005</v>
      </c>
      <c r="H125" s="26">
        <f t="shared" si="6"/>
        <v>19.554750000000013</v>
      </c>
      <c r="I125" s="213"/>
    </row>
    <row r="126" spans="1:9" ht="20.100000000000001" customHeight="1">
      <c r="A126" s="21">
        <v>8</v>
      </c>
      <c r="B126" s="188" t="s">
        <v>134</v>
      </c>
      <c r="C126" s="287" t="s">
        <v>384</v>
      </c>
      <c r="D126" s="214" t="s">
        <v>170</v>
      </c>
      <c r="E126" s="26">
        <v>25523.45</v>
      </c>
      <c r="F126" s="24">
        <f>0.025*E126</f>
        <v>638.08625000000006</v>
      </c>
      <c r="G126" s="24">
        <f>'[9]April 2022'!$H$24</f>
        <v>618.53150000000005</v>
      </c>
      <c r="H126" s="26">
        <f t="shared" si="6"/>
        <v>19.554750000000013</v>
      </c>
      <c r="I126" s="213"/>
    </row>
    <row r="127" spans="1:9" ht="20.100000000000001" customHeight="1">
      <c r="A127" s="21">
        <v>9</v>
      </c>
      <c r="B127" s="189" t="s">
        <v>365</v>
      </c>
      <c r="C127" s="287" t="s">
        <v>383</v>
      </c>
      <c r="D127" s="214" t="s">
        <v>500</v>
      </c>
      <c r="E127" s="26">
        <v>24741.26</v>
      </c>
      <c r="F127" s="24"/>
      <c r="G127" s="24"/>
      <c r="H127" s="26">
        <f t="shared" si="6"/>
        <v>0</v>
      </c>
      <c r="I127" s="213"/>
    </row>
    <row r="128" spans="1:9" ht="20.100000000000001" customHeight="1">
      <c r="A128" s="21">
        <v>10</v>
      </c>
      <c r="B128" s="188" t="s">
        <v>443</v>
      </c>
      <c r="C128" s="287" t="s">
        <v>447</v>
      </c>
      <c r="D128" s="29" t="s">
        <v>498</v>
      </c>
      <c r="E128" s="26">
        <f>15188.67</f>
        <v>15188.67</v>
      </c>
      <c r="F128" s="24"/>
      <c r="G128" s="24"/>
      <c r="H128" s="26">
        <f t="shared" si="6"/>
        <v>0</v>
      </c>
      <c r="I128" s="213"/>
    </row>
    <row r="129" spans="1:9" ht="20.100000000000001" customHeight="1">
      <c r="A129" s="21">
        <v>11</v>
      </c>
      <c r="B129" s="189" t="s">
        <v>439</v>
      </c>
      <c r="C129" s="287" t="s">
        <v>440</v>
      </c>
      <c r="D129" s="214" t="s">
        <v>176</v>
      </c>
      <c r="E129" s="26">
        <f>12732</f>
        <v>12732</v>
      </c>
      <c r="F129" s="24">
        <f>0</f>
        <v>0</v>
      </c>
      <c r="G129" s="24">
        <f>0</f>
        <v>0</v>
      </c>
      <c r="H129" s="26">
        <f t="shared" si="6"/>
        <v>0</v>
      </c>
      <c r="I129" s="213"/>
    </row>
    <row r="130" spans="1:9" ht="20.100000000000001" customHeight="1">
      <c r="A130" s="21"/>
      <c r="B130" s="191" t="s">
        <v>15</v>
      </c>
      <c r="C130" s="220" t="s">
        <v>292</v>
      </c>
      <c r="D130" s="214"/>
      <c r="E130" s="31">
        <f t="shared" ref="E130" si="12">SUM(E119:E129)</f>
        <v>352868.51</v>
      </c>
      <c r="F130" s="223">
        <f t="shared" ref="F130:G130" si="13">SUM(F119:F129)</f>
        <v>4995.0480000000007</v>
      </c>
      <c r="G130" s="223">
        <f t="shared" si="13"/>
        <v>4955.9385000000002</v>
      </c>
      <c r="H130" s="31">
        <f t="shared" si="6"/>
        <v>39.10950000000048</v>
      </c>
      <c r="I130" s="213"/>
    </row>
    <row r="131" spans="1:9" ht="20.100000000000001" customHeight="1">
      <c r="A131" s="21"/>
      <c r="B131" s="141"/>
      <c r="C131" s="220"/>
      <c r="D131" s="214"/>
      <c r="E131" s="31"/>
      <c r="F131" s="215"/>
      <c r="G131" s="215"/>
      <c r="H131" s="26">
        <f t="shared" si="6"/>
        <v>0</v>
      </c>
      <c r="I131" s="213"/>
    </row>
    <row r="132" spans="1:9" ht="20.100000000000001" customHeight="1">
      <c r="A132" s="21"/>
      <c r="B132" s="191" t="s">
        <v>467</v>
      </c>
      <c r="C132" s="287"/>
      <c r="D132" s="214"/>
      <c r="E132" s="26"/>
      <c r="F132" s="24"/>
      <c r="G132" s="24"/>
      <c r="H132" s="26">
        <f t="shared" si="6"/>
        <v>0</v>
      </c>
      <c r="I132" s="213"/>
    </row>
    <row r="133" spans="1:9" ht="20.100000000000001" customHeight="1">
      <c r="A133" s="224">
        <v>1</v>
      </c>
      <c r="B133" s="188" t="s">
        <v>21</v>
      </c>
      <c r="C133" s="287" t="s">
        <v>393</v>
      </c>
      <c r="D133" s="214" t="s">
        <v>161</v>
      </c>
      <c r="E133" s="26">
        <v>81740.02</v>
      </c>
      <c r="F133" s="24"/>
      <c r="G133" s="24"/>
      <c r="H133" s="26">
        <f t="shared" si="6"/>
        <v>0</v>
      </c>
      <c r="I133" s="213"/>
    </row>
    <row r="134" spans="1:9" ht="20.100000000000001" customHeight="1">
      <c r="A134" s="224">
        <v>2</v>
      </c>
      <c r="B134" s="188" t="s">
        <v>107</v>
      </c>
      <c r="C134" s="287" t="s">
        <v>394</v>
      </c>
      <c r="D134" s="214" t="s">
        <v>160</v>
      </c>
      <c r="E134" s="26">
        <v>42653.17</v>
      </c>
      <c r="H134" s="26">
        <f t="shared" si="6"/>
        <v>0</v>
      </c>
      <c r="I134" s="213"/>
    </row>
    <row r="135" spans="1:9" ht="20.100000000000001" customHeight="1">
      <c r="A135" s="224">
        <v>3</v>
      </c>
      <c r="B135" s="190" t="s">
        <v>183</v>
      </c>
      <c r="C135" s="21" t="s">
        <v>486</v>
      </c>
      <c r="D135" s="25" t="s">
        <v>221</v>
      </c>
      <c r="E135" s="26">
        <v>41157.69</v>
      </c>
      <c r="F135" s="24">
        <f>0.025*E135</f>
        <v>1028.9422500000001</v>
      </c>
      <c r="G135" s="24">
        <f>G7</f>
        <v>1028.9422500000001</v>
      </c>
      <c r="H135" s="26">
        <f t="shared" si="6"/>
        <v>0</v>
      </c>
      <c r="I135" s="213"/>
    </row>
    <row r="136" spans="1:9" ht="20.100000000000001" customHeight="1">
      <c r="A136" s="224">
        <v>4</v>
      </c>
      <c r="B136" s="188" t="s">
        <v>106</v>
      </c>
      <c r="C136" s="287" t="s">
        <v>381</v>
      </c>
      <c r="D136" s="214" t="s">
        <v>181</v>
      </c>
      <c r="E136" s="26">
        <v>27611.23</v>
      </c>
      <c r="F136" s="24">
        <f>0.025*E136</f>
        <v>690.28075000000001</v>
      </c>
      <c r="G136" s="24">
        <f>'[9]April 2022'!$H$47</f>
        <v>668.31625000000008</v>
      </c>
      <c r="H136" s="26">
        <f t="shared" ref="H136:H189" si="14">F136-G136</f>
        <v>21.96449999999993</v>
      </c>
      <c r="I136" s="213"/>
    </row>
    <row r="137" spans="1:9" ht="20.100000000000001" customHeight="1">
      <c r="A137" s="224">
        <v>5</v>
      </c>
      <c r="B137" s="188" t="s">
        <v>7</v>
      </c>
      <c r="C137" s="21" t="s">
        <v>385</v>
      </c>
      <c r="D137" s="214" t="s">
        <v>181</v>
      </c>
      <c r="E137" s="26">
        <v>27611.23</v>
      </c>
      <c r="F137" s="24">
        <f>0.025*E137</f>
        <v>690.28075000000001</v>
      </c>
      <c r="G137" s="24">
        <f>'[9]April 2022'!$H$50</f>
        <v>668.31625000000008</v>
      </c>
      <c r="H137" s="26">
        <f t="shared" si="14"/>
        <v>21.96449999999993</v>
      </c>
      <c r="I137" s="213"/>
    </row>
    <row r="138" spans="1:9" ht="20.100000000000001" customHeight="1">
      <c r="A138" s="224">
        <v>6</v>
      </c>
      <c r="B138" s="188" t="s">
        <v>124</v>
      </c>
      <c r="C138" s="21" t="s">
        <v>235</v>
      </c>
      <c r="D138" s="214" t="s">
        <v>170</v>
      </c>
      <c r="E138" s="26">
        <v>25523.45</v>
      </c>
      <c r="F138" s="24"/>
      <c r="G138" s="24"/>
      <c r="H138" s="26">
        <f t="shared" si="14"/>
        <v>0</v>
      </c>
      <c r="I138" s="213"/>
    </row>
    <row r="139" spans="1:9" ht="20.100000000000001" customHeight="1">
      <c r="A139" s="224">
        <v>7</v>
      </c>
      <c r="B139" s="188" t="s">
        <v>102</v>
      </c>
      <c r="C139" s="287" t="s">
        <v>395</v>
      </c>
      <c r="D139" s="214" t="s">
        <v>497</v>
      </c>
      <c r="E139" s="26">
        <f>22837.82</f>
        <v>22837.82</v>
      </c>
      <c r="F139" s="24">
        <f>0.025*E139</f>
        <v>570.94550000000004</v>
      </c>
      <c r="G139" s="24">
        <f>'[9]April 2022'!$H$40</f>
        <v>538.02200000000005</v>
      </c>
      <c r="H139" s="26">
        <f t="shared" si="14"/>
        <v>32.92349999999999</v>
      </c>
      <c r="I139" s="213"/>
    </row>
    <row r="140" spans="1:9" ht="20.100000000000001" customHeight="1">
      <c r="A140" s="224">
        <v>8</v>
      </c>
      <c r="B140" s="188" t="s">
        <v>103</v>
      </c>
      <c r="C140" s="287" t="s">
        <v>395</v>
      </c>
      <c r="D140" s="214" t="s">
        <v>497</v>
      </c>
      <c r="E140" s="26">
        <f t="shared" ref="E140:E141" si="15">22837.82</f>
        <v>22837.82</v>
      </c>
      <c r="F140" s="24"/>
      <c r="G140" s="24"/>
      <c r="H140" s="26">
        <f t="shared" si="14"/>
        <v>0</v>
      </c>
      <c r="I140" s="213"/>
    </row>
    <row r="141" spans="1:9" ht="20.100000000000001" customHeight="1">
      <c r="A141" s="224">
        <v>9</v>
      </c>
      <c r="B141" s="188" t="s">
        <v>151</v>
      </c>
      <c r="C141" s="21" t="s">
        <v>235</v>
      </c>
      <c r="D141" s="214" t="s">
        <v>497</v>
      </c>
      <c r="E141" s="26">
        <f t="shared" si="15"/>
        <v>22837.82</v>
      </c>
      <c r="F141" s="24"/>
      <c r="G141" s="24"/>
      <c r="H141" s="26">
        <f t="shared" si="14"/>
        <v>0</v>
      </c>
      <c r="I141" s="213"/>
    </row>
    <row r="142" spans="1:9" ht="20.100000000000001" customHeight="1">
      <c r="A142" s="224">
        <v>10</v>
      </c>
      <c r="B142" s="188" t="s">
        <v>238</v>
      </c>
      <c r="C142" s="287" t="s">
        <v>479</v>
      </c>
      <c r="D142" s="214" t="s">
        <v>415</v>
      </c>
      <c r="E142" s="26">
        <v>21520.880000000001</v>
      </c>
      <c r="F142" s="24"/>
      <c r="G142" s="24"/>
      <c r="H142" s="26">
        <f t="shared" si="14"/>
        <v>0</v>
      </c>
      <c r="I142" s="213"/>
    </row>
    <row r="143" spans="1:9" ht="20.100000000000001" customHeight="1">
      <c r="A143" s="224">
        <v>11</v>
      </c>
      <c r="B143" s="188" t="s">
        <v>53</v>
      </c>
      <c r="C143" s="287" t="s">
        <v>300</v>
      </c>
      <c r="D143" s="214" t="s">
        <v>27</v>
      </c>
      <c r="E143" s="212">
        <v>18779.3</v>
      </c>
      <c r="F143" s="24">
        <f>0.025*E143</f>
        <v>469.48250000000002</v>
      </c>
      <c r="G143" s="24">
        <f>'[9]April 2022'!$H$43</f>
        <v>457.041</v>
      </c>
      <c r="H143" s="26">
        <f t="shared" si="14"/>
        <v>12.441500000000019</v>
      </c>
      <c r="I143" s="213"/>
    </row>
    <row r="144" spans="1:9" ht="20.100000000000001" customHeight="1">
      <c r="A144" s="224">
        <v>12</v>
      </c>
      <c r="B144" s="188" t="s">
        <v>179</v>
      </c>
      <c r="C144" s="287" t="s">
        <v>479</v>
      </c>
      <c r="D144" s="214" t="s">
        <v>497</v>
      </c>
      <c r="E144" s="26">
        <v>22837.82</v>
      </c>
      <c r="F144" s="24">
        <f>0.025*E144</f>
        <v>570.94550000000004</v>
      </c>
      <c r="G144" s="24">
        <f>G139</f>
        <v>538.02200000000005</v>
      </c>
      <c r="H144" s="26">
        <f t="shared" si="14"/>
        <v>32.92349999999999</v>
      </c>
      <c r="I144" s="213"/>
    </row>
    <row r="145" spans="1:9" ht="20.100000000000001" customHeight="1">
      <c r="A145" s="224">
        <v>13</v>
      </c>
      <c r="B145" s="188" t="s">
        <v>488</v>
      </c>
      <c r="C145" s="21" t="s">
        <v>239</v>
      </c>
      <c r="D145" s="214" t="s">
        <v>207</v>
      </c>
      <c r="E145" s="212">
        <v>18281.64</v>
      </c>
      <c r="F145" s="24"/>
      <c r="G145" s="24"/>
      <c r="H145" s="26">
        <f t="shared" si="14"/>
        <v>0</v>
      </c>
      <c r="I145" s="213"/>
    </row>
    <row r="146" spans="1:9" ht="20.100000000000001" customHeight="1">
      <c r="A146" s="224">
        <v>14</v>
      </c>
      <c r="B146" s="188" t="s">
        <v>489</v>
      </c>
      <c r="C146" s="21" t="s">
        <v>239</v>
      </c>
      <c r="D146" s="214" t="s">
        <v>164</v>
      </c>
      <c r="E146" s="212">
        <v>18281.64</v>
      </c>
      <c r="F146" s="24">
        <f>0.025*E146</f>
        <v>457.041</v>
      </c>
      <c r="G146" s="24">
        <f>'[9]April 2022'!$H$36</f>
        <v>444.60249999999996</v>
      </c>
      <c r="H146" s="26">
        <f t="shared" si="14"/>
        <v>12.438500000000033</v>
      </c>
      <c r="I146" s="213"/>
    </row>
    <row r="147" spans="1:9" ht="20.100000000000001" customHeight="1">
      <c r="A147" s="224">
        <v>15</v>
      </c>
      <c r="B147" s="188" t="s">
        <v>212</v>
      </c>
      <c r="C147" s="21" t="s">
        <v>239</v>
      </c>
      <c r="D147" s="214" t="s">
        <v>164</v>
      </c>
      <c r="E147" s="212">
        <v>18281.64</v>
      </c>
      <c r="F147" s="24"/>
      <c r="G147" s="24"/>
      <c r="H147" s="26">
        <f t="shared" si="14"/>
        <v>0</v>
      </c>
      <c r="I147" s="213"/>
    </row>
    <row r="148" spans="1:9" ht="20.100000000000001" customHeight="1">
      <c r="A148" s="224">
        <v>16</v>
      </c>
      <c r="B148" s="188" t="s">
        <v>425</v>
      </c>
      <c r="C148" s="287" t="s">
        <v>430</v>
      </c>
      <c r="D148" s="214" t="s">
        <v>104</v>
      </c>
      <c r="E148" s="290">
        <f>17286.33</f>
        <v>17286.330000000002</v>
      </c>
      <c r="F148" s="24"/>
      <c r="G148" s="24"/>
      <c r="H148" s="26">
        <f t="shared" si="14"/>
        <v>0</v>
      </c>
      <c r="I148" s="213"/>
    </row>
    <row r="149" spans="1:9" ht="20.100000000000001" customHeight="1">
      <c r="A149" s="224">
        <v>17</v>
      </c>
      <c r="B149" s="188" t="s">
        <v>437</v>
      </c>
      <c r="C149" s="287" t="s">
        <v>438</v>
      </c>
      <c r="D149" s="29" t="s">
        <v>428</v>
      </c>
      <c r="E149" s="288">
        <f>14736.14</f>
        <v>14736.14</v>
      </c>
      <c r="F149" s="24"/>
      <c r="G149" s="24"/>
      <c r="H149" s="26">
        <f t="shared" si="14"/>
        <v>0</v>
      </c>
      <c r="I149" s="213"/>
    </row>
    <row r="150" spans="1:9" ht="20.100000000000001" customHeight="1">
      <c r="A150" s="224">
        <v>18</v>
      </c>
      <c r="B150" s="188" t="s">
        <v>230</v>
      </c>
      <c r="C150" s="287" t="s">
        <v>485</v>
      </c>
      <c r="D150" s="214" t="s">
        <v>207</v>
      </c>
      <c r="E150" s="212">
        <v>18281.64</v>
      </c>
      <c r="F150" s="24"/>
      <c r="G150" s="24"/>
      <c r="H150" s="26">
        <f t="shared" si="14"/>
        <v>0</v>
      </c>
      <c r="I150" s="213"/>
    </row>
    <row r="151" spans="1:9" ht="20.100000000000001" customHeight="1">
      <c r="A151" s="224">
        <v>19</v>
      </c>
      <c r="B151" s="188" t="s">
        <v>57</v>
      </c>
      <c r="C151" s="287" t="s">
        <v>481</v>
      </c>
      <c r="D151" s="214" t="s">
        <v>498</v>
      </c>
      <c r="E151" s="212">
        <f>15188.67</f>
        <v>15188.67</v>
      </c>
      <c r="F151" s="24"/>
      <c r="G151" s="24"/>
      <c r="H151" s="26">
        <f t="shared" si="14"/>
        <v>0</v>
      </c>
      <c r="I151" s="213"/>
    </row>
    <row r="152" spans="1:9" ht="20.100000000000001" customHeight="1">
      <c r="A152" s="224">
        <v>20</v>
      </c>
      <c r="B152" s="188" t="s">
        <v>251</v>
      </c>
      <c r="C152" s="287" t="s">
        <v>482</v>
      </c>
      <c r="D152" s="214" t="s">
        <v>207</v>
      </c>
      <c r="E152" s="212">
        <v>18281.64</v>
      </c>
      <c r="F152" s="24">
        <f>0.025*E152</f>
        <v>457.041</v>
      </c>
      <c r="G152" s="24">
        <f>G146</f>
        <v>444.60249999999996</v>
      </c>
      <c r="H152" s="26">
        <f t="shared" si="14"/>
        <v>12.438500000000033</v>
      </c>
      <c r="I152" s="213"/>
    </row>
    <row r="153" spans="1:9" ht="20.100000000000001" customHeight="1">
      <c r="A153" s="224">
        <v>21</v>
      </c>
      <c r="B153" s="188" t="s">
        <v>241</v>
      </c>
      <c r="C153" s="287" t="s">
        <v>348</v>
      </c>
      <c r="D153" s="214" t="s">
        <v>498</v>
      </c>
      <c r="E153" s="212">
        <v>15188.67</v>
      </c>
      <c r="F153" s="24"/>
      <c r="G153" s="24"/>
      <c r="H153" s="26">
        <f t="shared" si="14"/>
        <v>0</v>
      </c>
      <c r="I153" s="213"/>
    </row>
    <row r="154" spans="1:9" ht="20.100000000000001" customHeight="1">
      <c r="A154" s="224">
        <v>22</v>
      </c>
      <c r="B154" s="189" t="s">
        <v>289</v>
      </c>
      <c r="C154" s="287" t="s">
        <v>290</v>
      </c>
      <c r="D154" s="214" t="s">
        <v>411</v>
      </c>
      <c r="E154" s="212">
        <v>13492.21</v>
      </c>
      <c r="F154" s="24"/>
      <c r="G154" s="24"/>
      <c r="H154" s="26">
        <f t="shared" si="14"/>
        <v>0</v>
      </c>
      <c r="I154" s="213"/>
    </row>
    <row r="155" spans="1:9" ht="20.100000000000001" customHeight="1">
      <c r="A155" s="224">
        <v>23</v>
      </c>
      <c r="B155" s="189" t="s">
        <v>359</v>
      </c>
      <c r="C155" s="287" t="s">
        <v>131</v>
      </c>
      <c r="D155" s="214" t="s">
        <v>176</v>
      </c>
      <c r="E155" s="26">
        <f>12732</f>
        <v>12732</v>
      </c>
      <c r="F155" s="24">
        <f>0</f>
        <v>0</v>
      </c>
      <c r="G155" s="24">
        <f>0</f>
        <v>0</v>
      </c>
      <c r="H155" s="26">
        <f t="shared" si="14"/>
        <v>0</v>
      </c>
      <c r="I155" s="213"/>
    </row>
    <row r="156" spans="1:9" ht="20.100000000000001" customHeight="1">
      <c r="A156" s="224">
        <v>24</v>
      </c>
      <c r="B156" s="189" t="s">
        <v>407</v>
      </c>
      <c r="C156" s="287" t="s">
        <v>131</v>
      </c>
      <c r="D156" s="214" t="s">
        <v>105</v>
      </c>
      <c r="E156" s="288">
        <v>12351.94</v>
      </c>
      <c r="F156" s="24">
        <f>0</f>
        <v>0</v>
      </c>
      <c r="G156" s="24">
        <f>0</f>
        <v>0</v>
      </c>
      <c r="H156" s="26">
        <f t="shared" si="14"/>
        <v>0</v>
      </c>
      <c r="I156" s="213"/>
    </row>
    <row r="157" spans="1:9" ht="20.100000000000001" customHeight="1">
      <c r="A157" s="224">
        <v>25</v>
      </c>
      <c r="B157" s="189" t="s">
        <v>426</v>
      </c>
      <c r="C157" s="287" t="s">
        <v>290</v>
      </c>
      <c r="D157" s="214" t="s">
        <v>105</v>
      </c>
      <c r="E157" s="288">
        <v>12352.94</v>
      </c>
      <c r="F157" s="24">
        <f>0</f>
        <v>0</v>
      </c>
      <c r="G157" s="24">
        <f>0</f>
        <v>0</v>
      </c>
      <c r="H157" s="26">
        <f t="shared" si="14"/>
        <v>0</v>
      </c>
      <c r="I157" s="213"/>
    </row>
    <row r="158" spans="1:9" ht="20.100000000000001" customHeight="1">
      <c r="A158" s="224">
        <v>26</v>
      </c>
      <c r="B158" s="189" t="s">
        <v>441</v>
      </c>
      <c r="C158" s="287" t="s">
        <v>442</v>
      </c>
      <c r="D158" s="214" t="s">
        <v>176</v>
      </c>
      <c r="E158" s="26">
        <v>12732</v>
      </c>
      <c r="F158" s="24">
        <f>0</f>
        <v>0</v>
      </c>
      <c r="G158" s="24">
        <f>0</f>
        <v>0</v>
      </c>
      <c r="H158" s="26">
        <f t="shared" si="14"/>
        <v>0</v>
      </c>
      <c r="I158" s="213"/>
    </row>
    <row r="159" spans="1:9" ht="20.100000000000001" customHeight="1">
      <c r="A159" s="224">
        <v>27</v>
      </c>
      <c r="B159" s="189" t="s">
        <v>445</v>
      </c>
      <c r="C159" s="287" t="s">
        <v>446</v>
      </c>
      <c r="D159" s="214" t="s">
        <v>176</v>
      </c>
      <c r="E159" s="26">
        <v>12732</v>
      </c>
      <c r="F159" s="24">
        <f>0</f>
        <v>0</v>
      </c>
      <c r="G159" s="24">
        <f>0</f>
        <v>0</v>
      </c>
      <c r="H159" s="26">
        <f t="shared" si="14"/>
        <v>0</v>
      </c>
      <c r="I159" s="213"/>
    </row>
    <row r="160" spans="1:9" ht="20.100000000000001" customHeight="1">
      <c r="A160" s="224">
        <v>28</v>
      </c>
      <c r="B160" s="188" t="s">
        <v>22</v>
      </c>
      <c r="C160" s="287" t="s">
        <v>302</v>
      </c>
      <c r="D160" s="214" t="s">
        <v>501</v>
      </c>
      <c r="E160" s="225">
        <f>10527.6</f>
        <v>10527.6</v>
      </c>
      <c r="F160" s="24">
        <f>0.025*E160</f>
        <v>263.19</v>
      </c>
      <c r="G160" s="24">
        <f>'[9]April 2022'!$H$39</f>
        <v>226.2535</v>
      </c>
      <c r="H160" s="26">
        <f t="shared" si="14"/>
        <v>36.936499999999995</v>
      </c>
      <c r="I160" s="213"/>
    </row>
    <row r="161" spans="1:9" ht="20.100000000000001" customHeight="1">
      <c r="A161" s="224">
        <v>29</v>
      </c>
      <c r="B161" s="188" t="s">
        <v>14</v>
      </c>
      <c r="C161" s="287" t="s">
        <v>302</v>
      </c>
      <c r="D161" s="214" t="s">
        <v>501</v>
      </c>
      <c r="E161" s="225">
        <f t="shared" ref="E161:E165" si="16">10527.6</f>
        <v>10527.6</v>
      </c>
      <c r="F161" s="24"/>
      <c r="G161" s="24"/>
      <c r="H161" s="26">
        <f t="shared" si="14"/>
        <v>0</v>
      </c>
      <c r="I161" s="213"/>
    </row>
    <row r="162" spans="1:9" ht="20.100000000000001" customHeight="1">
      <c r="A162" s="224">
        <v>30</v>
      </c>
      <c r="B162" s="188" t="s">
        <v>23</v>
      </c>
      <c r="C162" s="287" t="s">
        <v>302</v>
      </c>
      <c r="D162" s="214" t="s">
        <v>501</v>
      </c>
      <c r="E162" s="225">
        <f t="shared" si="16"/>
        <v>10527.6</v>
      </c>
      <c r="F162" s="24"/>
      <c r="G162" s="24"/>
      <c r="H162" s="26">
        <f t="shared" si="14"/>
        <v>0</v>
      </c>
      <c r="I162" s="213"/>
    </row>
    <row r="163" spans="1:9" ht="20.100000000000001" customHeight="1">
      <c r="A163" s="224">
        <v>31</v>
      </c>
      <c r="B163" s="188" t="s">
        <v>25</v>
      </c>
      <c r="C163" s="287" t="s">
        <v>302</v>
      </c>
      <c r="D163" s="214" t="s">
        <v>501</v>
      </c>
      <c r="E163" s="225">
        <f t="shared" si="16"/>
        <v>10527.6</v>
      </c>
      <c r="F163" s="24"/>
      <c r="G163" s="24"/>
      <c r="H163" s="26">
        <f t="shared" si="14"/>
        <v>0</v>
      </c>
      <c r="I163" s="213"/>
    </row>
    <row r="164" spans="1:9" ht="20.100000000000001" customHeight="1">
      <c r="A164" s="224">
        <v>32</v>
      </c>
      <c r="B164" s="188" t="s">
        <v>39</v>
      </c>
      <c r="C164" s="287" t="s">
        <v>302</v>
      </c>
      <c r="D164" s="214" t="s">
        <v>501</v>
      </c>
      <c r="E164" s="225">
        <f t="shared" si="16"/>
        <v>10527.6</v>
      </c>
      <c r="F164" s="24">
        <v>263.19</v>
      </c>
      <c r="G164" s="24">
        <f>'[9]April 2022'!$H$51</f>
        <v>226.2535</v>
      </c>
      <c r="H164" s="26">
        <f t="shared" si="14"/>
        <v>36.936499999999995</v>
      </c>
      <c r="I164" s="213"/>
    </row>
    <row r="165" spans="1:9" ht="20.100000000000001" customHeight="1">
      <c r="A165" s="224">
        <v>33</v>
      </c>
      <c r="B165" s="188" t="s">
        <v>40</v>
      </c>
      <c r="C165" s="287" t="s">
        <v>302</v>
      </c>
      <c r="D165" s="214" t="s">
        <v>501</v>
      </c>
      <c r="E165" s="225">
        <f t="shared" si="16"/>
        <v>10527.6</v>
      </c>
      <c r="F165" s="24"/>
      <c r="G165" s="24"/>
      <c r="H165" s="26">
        <f t="shared" si="14"/>
        <v>0</v>
      </c>
      <c r="I165" s="213"/>
    </row>
    <row r="166" spans="1:9" ht="20.100000000000001" customHeight="1">
      <c r="A166" s="224">
        <v>34</v>
      </c>
      <c r="B166" s="188" t="s">
        <v>127</v>
      </c>
      <c r="C166" s="287" t="s">
        <v>302</v>
      </c>
      <c r="D166" s="214" t="s">
        <v>416</v>
      </c>
      <c r="E166" s="26">
        <v>9050.14</v>
      </c>
      <c r="F166" s="24"/>
      <c r="G166" s="24"/>
      <c r="H166" s="26">
        <f t="shared" si="14"/>
        <v>0</v>
      </c>
      <c r="I166" s="213"/>
    </row>
    <row r="167" spans="1:9" ht="20.100000000000001" customHeight="1">
      <c r="A167" s="224">
        <v>35</v>
      </c>
      <c r="B167" s="188" t="s">
        <v>128</v>
      </c>
      <c r="C167" s="287" t="s">
        <v>302</v>
      </c>
      <c r="D167" s="214" t="s">
        <v>416</v>
      </c>
      <c r="E167" s="26">
        <v>9050.14</v>
      </c>
      <c r="F167" s="24"/>
      <c r="G167" s="24"/>
      <c r="H167" s="26">
        <f t="shared" si="14"/>
        <v>0</v>
      </c>
      <c r="I167" s="213"/>
    </row>
    <row r="168" spans="1:9" ht="20.100000000000001" customHeight="1">
      <c r="A168" s="224">
        <v>36</v>
      </c>
      <c r="B168" s="188" t="s">
        <v>129</v>
      </c>
      <c r="C168" s="287" t="s">
        <v>302</v>
      </c>
      <c r="D168" s="214" t="s">
        <v>416</v>
      </c>
      <c r="E168" s="26">
        <v>9050.14</v>
      </c>
      <c r="F168" s="24"/>
      <c r="G168" s="24"/>
      <c r="H168" s="26">
        <f t="shared" si="14"/>
        <v>0</v>
      </c>
      <c r="I168" s="213"/>
    </row>
    <row r="169" spans="1:9" ht="20.100000000000001" customHeight="1">
      <c r="A169" s="224">
        <v>37</v>
      </c>
      <c r="B169" s="190" t="s">
        <v>136</v>
      </c>
      <c r="C169" s="287" t="s">
        <v>302</v>
      </c>
      <c r="D169" s="214" t="s">
        <v>416</v>
      </c>
      <c r="E169" s="26">
        <v>9050.14</v>
      </c>
      <c r="F169" s="24"/>
      <c r="G169" s="24"/>
      <c r="H169" s="26">
        <f t="shared" si="14"/>
        <v>0</v>
      </c>
      <c r="I169" s="213"/>
    </row>
    <row r="170" spans="1:9" ht="20.100000000000001" customHeight="1">
      <c r="A170" s="224">
        <v>38</v>
      </c>
      <c r="B170" s="188" t="s">
        <v>140</v>
      </c>
      <c r="C170" s="287" t="s">
        <v>302</v>
      </c>
      <c r="D170" s="214" t="s">
        <v>416</v>
      </c>
      <c r="E170" s="26">
        <v>9050.14</v>
      </c>
      <c r="F170" s="24"/>
      <c r="G170" s="24"/>
      <c r="H170" s="26">
        <f t="shared" si="14"/>
        <v>0</v>
      </c>
      <c r="I170" s="213"/>
    </row>
    <row r="171" spans="1:9" ht="20.100000000000001" customHeight="1">
      <c r="A171" s="224">
        <v>39</v>
      </c>
      <c r="B171" s="189" t="s">
        <v>152</v>
      </c>
      <c r="C171" s="287" t="s">
        <v>302</v>
      </c>
      <c r="D171" s="214" t="s">
        <v>416</v>
      </c>
      <c r="E171" s="26">
        <v>9050.14</v>
      </c>
      <c r="F171" s="24"/>
      <c r="G171" s="24"/>
      <c r="H171" s="26">
        <f t="shared" si="14"/>
        <v>0</v>
      </c>
      <c r="I171" s="213"/>
    </row>
    <row r="172" spans="1:9" ht="20.100000000000001" customHeight="1">
      <c r="A172" s="224">
        <v>40</v>
      </c>
      <c r="B172" s="189" t="s">
        <v>132</v>
      </c>
      <c r="C172" s="287" t="s">
        <v>302</v>
      </c>
      <c r="D172" s="214" t="s">
        <v>416</v>
      </c>
      <c r="E172" s="26">
        <v>9050.14</v>
      </c>
      <c r="F172" s="24"/>
      <c r="G172" s="24"/>
      <c r="H172" s="26">
        <f t="shared" si="14"/>
        <v>0</v>
      </c>
      <c r="I172" s="213"/>
    </row>
    <row r="173" spans="1:9" ht="20.100000000000001" customHeight="1">
      <c r="A173" s="224">
        <v>41</v>
      </c>
      <c r="B173" s="188" t="s">
        <v>231</v>
      </c>
      <c r="C173" s="287" t="s">
        <v>167</v>
      </c>
      <c r="D173" s="214" t="s">
        <v>263</v>
      </c>
      <c r="E173" s="26">
        <v>5428.12</v>
      </c>
      <c r="F173" s="24"/>
      <c r="G173" s="24"/>
      <c r="H173" s="26">
        <f t="shared" si="14"/>
        <v>0</v>
      </c>
      <c r="I173" s="213"/>
    </row>
    <row r="174" spans="1:9" ht="20.100000000000001" customHeight="1">
      <c r="A174" s="224">
        <v>42</v>
      </c>
      <c r="B174" s="188" t="s">
        <v>246</v>
      </c>
      <c r="C174" s="287" t="s">
        <v>167</v>
      </c>
      <c r="D174" s="214" t="s">
        <v>263</v>
      </c>
      <c r="E174" s="26">
        <v>5428.12</v>
      </c>
      <c r="F174" s="24"/>
      <c r="G174" s="24"/>
      <c r="H174" s="26">
        <f t="shared" si="14"/>
        <v>0</v>
      </c>
      <c r="I174" s="213"/>
    </row>
    <row r="175" spans="1:9" ht="20.100000000000001" customHeight="1">
      <c r="A175" s="224">
        <v>43</v>
      </c>
      <c r="B175" s="189" t="s">
        <v>166</v>
      </c>
      <c r="C175" s="287" t="s">
        <v>167</v>
      </c>
      <c r="D175" s="214" t="s">
        <v>223</v>
      </c>
      <c r="E175" s="26">
        <f>5598.92</f>
        <v>5598.92</v>
      </c>
      <c r="F175" s="24"/>
      <c r="G175" s="24"/>
      <c r="H175" s="26">
        <f t="shared" si="14"/>
        <v>0</v>
      </c>
      <c r="I175" s="213"/>
    </row>
    <row r="176" spans="1:9" ht="20.100000000000001" customHeight="1">
      <c r="A176" s="224">
        <v>44</v>
      </c>
      <c r="B176" s="188" t="s">
        <v>204</v>
      </c>
      <c r="C176" s="287" t="s">
        <v>167</v>
      </c>
      <c r="D176" s="214" t="s">
        <v>177</v>
      </c>
      <c r="E176" s="26">
        <v>5257.44</v>
      </c>
      <c r="F176" s="24"/>
      <c r="G176" s="24"/>
      <c r="H176" s="26">
        <f t="shared" si="14"/>
        <v>0</v>
      </c>
      <c r="I176" s="213"/>
    </row>
    <row r="177" spans="1:9" ht="20.100000000000001" customHeight="1">
      <c r="A177" s="224">
        <v>45</v>
      </c>
      <c r="B177" s="188" t="s">
        <v>209</v>
      </c>
      <c r="C177" s="287" t="s">
        <v>13</v>
      </c>
      <c r="D177" s="214" t="s">
        <v>502</v>
      </c>
      <c r="E177" s="26">
        <v>5086.76</v>
      </c>
      <c r="F177" s="24"/>
      <c r="G177" s="24"/>
      <c r="H177" s="26">
        <f t="shared" si="14"/>
        <v>0</v>
      </c>
      <c r="I177" s="213"/>
    </row>
    <row r="178" spans="1:9" ht="20.100000000000001" customHeight="1">
      <c r="A178" s="224">
        <v>46</v>
      </c>
      <c r="B178" s="188" t="s">
        <v>218</v>
      </c>
      <c r="C178" s="287" t="s">
        <v>13</v>
      </c>
      <c r="D178" s="214" t="s">
        <v>502</v>
      </c>
      <c r="E178" s="26">
        <v>5086.76</v>
      </c>
      <c r="F178" s="24"/>
      <c r="G178" s="24"/>
      <c r="H178" s="26">
        <f t="shared" si="14"/>
        <v>0</v>
      </c>
      <c r="I178" s="213"/>
    </row>
    <row r="179" spans="1:9" ht="20.100000000000001" customHeight="1">
      <c r="A179" s="224">
        <v>47</v>
      </c>
      <c r="B179" s="188" t="s">
        <v>219</v>
      </c>
      <c r="C179" s="287" t="s">
        <v>13</v>
      </c>
      <c r="D179" s="214" t="s">
        <v>502</v>
      </c>
      <c r="E179" s="26">
        <v>5086.76</v>
      </c>
      <c r="F179" s="24"/>
      <c r="G179" s="24"/>
      <c r="H179" s="26">
        <f t="shared" si="14"/>
        <v>0</v>
      </c>
      <c r="I179" s="213"/>
    </row>
    <row r="180" spans="1:9" ht="20.100000000000001" customHeight="1">
      <c r="A180" s="224">
        <v>48</v>
      </c>
      <c r="B180" s="188" t="s">
        <v>211</v>
      </c>
      <c r="C180" s="287" t="s">
        <v>13</v>
      </c>
      <c r="D180" s="214" t="s">
        <v>502</v>
      </c>
      <c r="E180" s="26">
        <v>5086.76</v>
      </c>
      <c r="F180" s="24"/>
      <c r="G180" s="24"/>
      <c r="H180" s="26">
        <f t="shared" si="14"/>
        <v>0</v>
      </c>
      <c r="I180" s="213"/>
    </row>
    <row r="181" spans="1:9" ht="20.100000000000001" customHeight="1">
      <c r="A181" s="224">
        <v>49</v>
      </c>
      <c r="B181" s="188" t="s">
        <v>213</v>
      </c>
      <c r="C181" s="287" t="s">
        <v>13</v>
      </c>
      <c r="D181" s="214" t="s">
        <v>502</v>
      </c>
      <c r="E181" s="26">
        <v>5086.76</v>
      </c>
      <c r="F181" s="24"/>
      <c r="G181" s="24"/>
      <c r="H181" s="26">
        <f t="shared" si="14"/>
        <v>0</v>
      </c>
      <c r="I181" s="213"/>
    </row>
    <row r="182" spans="1:9" ht="20.100000000000001" customHeight="1">
      <c r="A182" s="224">
        <v>50</v>
      </c>
      <c r="B182" s="189" t="s">
        <v>342</v>
      </c>
      <c r="C182" s="287" t="s">
        <v>13</v>
      </c>
      <c r="D182" s="214" t="s">
        <v>502</v>
      </c>
      <c r="E182" s="26">
        <v>5086.76</v>
      </c>
      <c r="F182" s="24"/>
      <c r="G182" s="24"/>
      <c r="H182" s="26">
        <f t="shared" si="14"/>
        <v>0</v>
      </c>
      <c r="I182" s="213"/>
    </row>
    <row r="183" spans="1:9" ht="20.100000000000001" customHeight="1">
      <c r="A183" s="224">
        <v>51</v>
      </c>
      <c r="B183" s="189" t="s">
        <v>405</v>
      </c>
      <c r="C183" s="287" t="s">
        <v>13</v>
      </c>
      <c r="D183" s="214" t="s">
        <v>502</v>
      </c>
      <c r="E183" s="26">
        <v>5086.76</v>
      </c>
      <c r="F183" s="24"/>
      <c r="G183" s="24"/>
      <c r="H183" s="26">
        <f t="shared" si="14"/>
        <v>0</v>
      </c>
      <c r="I183" s="213"/>
    </row>
    <row r="184" spans="1:9" ht="20.100000000000001" customHeight="1">
      <c r="A184" s="224">
        <v>52</v>
      </c>
      <c r="B184" s="188" t="s">
        <v>232</v>
      </c>
      <c r="C184" s="287" t="s">
        <v>167</v>
      </c>
      <c r="D184" s="214" t="s">
        <v>502</v>
      </c>
      <c r="E184" s="26">
        <v>5086.76</v>
      </c>
      <c r="F184" s="24"/>
      <c r="G184" s="24"/>
      <c r="H184" s="26">
        <f t="shared" si="14"/>
        <v>0</v>
      </c>
      <c r="I184" s="213"/>
    </row>
    <row r="185" spans="1:9" ht="20.100000000000001" customHeight="1">
      <c r="A185" s="224">
        <v>53</v>
      </c>
      <c r="B185" s="188" t="s">
        <v>233</v>
      </c>
      <c r="C185" s="287" t="s">
        <v>167</v>
      </c>
      <c r="D185" s="214" t="s">
        <v>502</v>
      </c>
      <c r="E185" s="26">
        <v>5086.76</v>
      </c>
      <c r="F185" s="24"/>
      <c r="G185" s="24"/>
      <c r="H185" s="26">
        <f t="shared" si="14"/>
        <v>0</v>
      </c>
      <c r="I185" s="213"/>
    </row>
    <row r="186" spans="1:9" ht="20.100000000000001" customHeight="1">
      <c r="A186" s="224">
        <v>54</v>
      </c>
      <c r="B186" s="189" t="s">
        <v>279</v>
      </c>
      <c r="C186" s="287" t="s">
        <v>13</v>
      </c>
      <c r="D186" s="214" t="s">
        <v>503</v>
      </c>
      <c r="E186" s="26">
        <f>4689.38</f>
        <v>4689.38</v>
      </c>
      <c r="F186" s="24"/>
      <c r="G186" s="24"/>
      <c r="H186" s="26">
        <f t="shared" si="14"/>
        <v>0</v>
      </c>
      <c r="I186" s="213"/>
    </row>
    <row r="187" spans="1:9" ht="20.100000000000001" customHeight="1">
      <c r="A187" s="224">
        <v>55</v>
      </c>
      <c r="B187" s="189" t="s">
        <v>403</v>
      </c>
      <c r="C187" s="287" t="s">
        <v>13</v>
      </c>
      <c r="D187" s="214" t="s">
        <v>264</v>
      </c>
      <c r="E187" s="212">
        <f>4395.43</f>
        <v>4395.43</v>
      </c>
      <c r="F187" s="24"/>
      <c r="G187" s="24"/>
      <c r="H187" s="26">
        <f t="shared" si="14"/>
        <v>0</v>
      </c>
      <c r="I187" s="213"/>
    </row>
    <row r="188" spans="1:9" ht="20.100000000000001" customHeight="1">
      <c r="A188" s="224"/>
      <c r="B188" s="210" t="s">
        <v>15</v>
      </c>
      <c r="C188" s="226" t="s">
        <v>408</v>
      </c>
      <c r="D188" s="23"/>
      <c r="E188" s="78">
        <f t="shared" ref="E188" si="17">SUM(E133:E187)</f>
        <v>811244.18</v>
      </c>
      <c r="F188" s="78">
        <f>SUM(F133:F187)</f>
        <v>5461.3392499999991</v>
      </c>
      <c r="G188" s="78">
        <f>SUM(G133:G187)</f>
        <v>5240.3717499999993</v>
      </c>
      <c r="H188" s="31">
        <f t="shared" si="14"/>
        <v>220.96749999999975</v>
      </c>
      <c r="I188" s="213"/>
    </row>
    <row r="189" spans="1:9" ht="20.100000000000001" customHeight="1">
      <c r="A189" s="21"/>
      <c r="B189" s="227" t="s">
        <v>8</v>
      </c>
      <c r="C189" s="228">
        <f>C37+C42+C57+C61+C77+C85+C99+C106+C116+C130+C188+2</f>
        <v>154</v>
      </c>
      <c r="D189" s="229"/>
      <c r="E189" s="230">
        <v>3773721.59</v>
      </c>
      <c r="F189" s="230">
        <f>F37+F42+F57+F61+F77+F85+F99+F106+F116+F130+F188</f>
        <v>23887.071250000001</v>
      </c>
      <c r="G189" s="230">
        <f>G37+G42+G57+G61+G77+G85+G99+G106+G116+G130+G188</f>
        <v>23429.459500000001</v>
      </c>
      <c r="H189" s="31">
        <f t="shared" si="14"/>
        <v>457.61175000000003</v>
      </c>
      <c r="I189" s="213"/>
    </row>
    <row r="190" spans="1:9" ht="20.100000000000001" customHeight="1">
      <c r="A190" s="202"/>
      <c r="B190" s="231"/>
      <c r="C190" s="202"/>
      <c r="D190" s="232"/>
      <c r="E190" s="232"/>
      <c r="F190" s="233"/>
      <c r="G190" s="233"/>
      <c r="H190" s="234"/>
      <c r="I190" s="235"/>
    </row>
    <row r="191" spans="1:9" ht="65.25" customHeight="1">
      <c r="A191" s="202"/>
      <c r="B191" s="231"/>
      <c r="C191" s="232"/>
      <c r="D191" s="232"/>
      <c r="E191" s="232"/>
      <c r="F191" s="233"/>
      <c r="G191" s="233"/>
      <c r="H191" s="234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0"/>
  <sheetViews>
    <sheetView workbookViewId="0">
      <selection activeCell="F6" sqref="F6"/>
    </sheetView>
  </sheetViews>
  <sheetFormatPr defaultRowHeight="12.75"/>
  <cols>
    <col min="1" max="1" width="3.28515625" style="36" customWidth="1"/>
    <col min="2" max="2" width="35.28515625" style="36" customWidth="1"/>
    <col min="3" max="3" width="12.7109375" style="36" bestFit="1" customWidth="1"/>
    <col min="4" max="4" width="9.28515625" style="36" bestFit="1" customWidth="1"/>
    <col min="5" max="5" width="12.7109375" style="36" bestFit="1" customWidth="1"/>
    <col min="6" max="6" width="12" style="36" customWidth="1"/>
    <col min="7" max="7" width="9.28515625" style="36" bestFit="1" customWidth="1"/>
    <col min="8" max="8" width="9.140625" style="36"/>
    <col min="9" max="9" width="12.7109375" style="36" bestFit="1" customWidth="1"/>
    <col min="10" max="10" width="10.140625" style="36" bestFit="1" customWidth="1"/>
    <col min="11" max="11" width="9.28515625" style="36" bestFit="1" customWidth="1"/>
    <col min="12" max="14" width="11.7109375" style="36" bestFit="1" customWidth="1"/>
    <col min="15" max="15" width="12.7109375" style="36" bestFit="1" customWidth="1"/>
    <col min="16" max="19" width="9.28515625" style="36" bestFit="1" customWidth="1"/>
    <col min="20" max="20" width="10.140625" style="36" bestFit="1" customWidth="1"/>
    <col min="21" max="22" width="11.7109375" style="36" bestFit="1" customWidth="1"/>
    <col min="23" max="23" width="9.28515625" style="36" bestFit="1" customWidth="1"/>
    <col min="24" max="24" width="10.140625" style="36" bestFit="1" customWidth="1"/>
    <col min="25" max="25" width="9.140625" style="36"/>
    <col min="26" max="27" width="11.7109375" style="36" bestFit="1" customWidth="1"/>
    <col min="28" max="28" width="9.28515625" style="36" bestFit="1" customWidth="1"/>
    <col min="29" max="16384" width="9.140625" style="36"/>
  </cols>
  <sheetData>
    <row r="1" spans="1:28">
      <c r="A1" s="292" t="s">
        <v>234</v>
      </c>
    </row>
    <row r="2" spans="1:28">
      <c r="A2" s="292" t="s">
        <v>509</v>
      </c>
    </row>
    <row r="3" spans="1:28">
      <c r="A3" s="292" t="s">
        <v>532</v>
      </c>
    </row>
    <row r="4" spans="1:28" ht="90" customHeight="1">
      <c r="A4" s="293" t="s">
        <v>122</v>
      </c>
      <c r="B4" s="293" t="s">
        <v>487</v>
      </c>
      <c r="C4" s="293" t="s">
        <v>510</v>
      </c>
      <c r="D4" s="293" t="s">
        <v>511</v>
      </c>
      <c r="E4" s="293" t="s">
        <v>512</v>
      </c>
      <c r="F4" s="293" t="s">
        <v>513</v>
      </c>
      <c r="G4" s="293" t="s">
        <v>514</v>
      </c>
      <c r="H4" s="293" t="s">
        <v>515</v>
      </c>
      <c r="I4" s="293" t="s">
        <v>516</v>
      </c>
      <c r="J4" s="293"/>
      <c r="K4" s="293"/>
      <c r="L4" s="293"/>
      <c r="M4" s="293" t="s">
        <v>517</v>
      </c>
      <c r="N4" s="293" t="s">
        <v>518</v>
      </c>
      <c r="O4" s="293" t="s">
        <v>519</v>
      </c>
      <c r="P4" s="293" t="s">
        <v>520</v>
      </c>
      <c r="Q4" s="293" t="s">
        <v>521</v>
      </c>
      <c r="R4" s="293" t="s">
        <v>522</v>
      </c>
      <c r="S4" s="293" t="s">
        <v>523</v>
      </c>
      <c r="T4" s="293" t="s">
        <v>524</v>
      </c>
      <c r="U4" s="293" t="s">
        <v>525</v>
      </c>
      <c r="V4" s="293" t="s">
        <v>526</v>
      </c>
      <c r="W4" s="293"/>
      <c r="X4" s="293" t="s">
        <v>527</v>
      </c>
      <c r="Y4" s="293" t="s">
        <v>528</v>
      </c>
      <c r="Z4" s="293" t="s">
        <v>529</v>
      </c>
      <c r="AA4" s="293" t="s">
        <v>530</v>
      </c>
      <c r="AB4" s="293" t="s">
        <v>531</v>
      </c>
    </row>
    <row r="5" spans="1:28">
      <c r="A5" s="291">
        <v>1</v>
      </c>
      <c r="B5" s="36" t="s">
        <v>224</v>
      </c>
      <c r="C5" s="36">
        <v>1158849.8399999999</v>
      </c>
      <c r="D5" s="36">
        <v>12</v>
      </c>
      <c r="E5" s="36">
        <v>13906198.079999998</v>
      </c>
      <c r="I5" s="36">
        <v>13906198.079999998</v>
      </c>
      <c r="J5" s="36">
        <v>200000</v>
      </c>
      <c r="K5" s="36">
        <v>0.2</v>
      </c>
      <c r="L5" s="36">
        <v>2781239.6159999999</v>
      </c>
      <c r="M5" s="36">
        <v>2981239.6159999999</v>
      </c>
      <c r="N5" s="36">
        <v>2981239.6159999999</v>
      </c>
      <c r="O5" s="36">
        <v>10924958.463999998</v>
      </c>
      <c r="P5" s="36">
        <v>21000</v>
      </c>
      <c r="Q5" s="36">
        <v>33000</v>
      </c>
      <c r="R5" s="36">
        <v>75000</v>
      </c>
      <c r="S5" s="36">
        <v>95000</v>
      </c>
      <c r="T5" s="36">
        <v>336000</v>
      </c>
      <c r="U5" s="36">
        <v>1853990.0313599994</v>
      </c>
      <c r="V5" s="36">
        <v>2413990.0313599994</v>
      </c>
      <c r="W5" s="36">
        <v>12</v>
      </c>
      <c r="X5" s="36">
        <v>201165.83594666663</v>
      </c>
      <c r="Z5" s="36">
        <v>201165.83594666663</v>
      </c>
      <c r="AA5" s="36">
        <v>201165.84</v>
      </c>
      <c r="AB5" s="36">
        <v>-4.0533333667553961E-3</v>
      </c>
    </row>
    <row r="6" spans="1:28">
      <c r="A6" s="291">
        <v>3</v>
      </c>
      <c r="B6" s="36" t="s">
        <v>137</v>
      </c>
      <c r="C6" s="36">
        <v>781465.0247500001</v>
      </c>
      <c r="D6" s="36">
        <v>12</v>
      </c>
      <c r="E6" s="36">
        <v>9377580.2970000021</v>
      </c>
      <c r="F6" s="36">
        <v>12347.31</v>
      </c>
      <c r="I6" s="36">
        <v>9365232.9870000016</v>
      </c>
      <c r="J6" s="36">
        <v>200000</v>
      </c>
      <c r="K6" s="36">
        <v>0.2</v>
      </c>
      <c r="L6" s="36">
        <v>1873046.5974000003</v>
      </c>
      <c r="M6" s="36">
        <v>2073046.5974000003</v>
      </c>
      <c r="N6" s="36">
        <v>2085393.9074000004</v>
      </c>
      <c r="O6" s="36">
        <v>7292186.3896000013</v>
      </c>
      <c r="P6" s="36">
        <v>21000</v>
      </c>
      <c r="Q6" s="36">
        <v>33000</v>
      </c>
      <c r="R6" s="36">
        <v>75000</v>
      </c>
      <c r="S6" s="36">
        <v>95000</v>
      </c>
      <c r="T6" s="36">
        <v>336000</v>
      </c>
      <c r="U6" s="36">
        <v>982124.73350400024</v>
      </c>
      <c r="V6" s="36">
        <v>1542124.7335040001</v>
      </c>
      <c r="W6" s="36">
        <v>12</v>
      </c>
      <c r="X6" s="36">
        <v>128510.39445866668</v>
      </c>
      <c r="Z6" s="36">
        <v>128510.39445866668</v>
      </c>
      <c r="AA6" s="36">
        <v>128508.38825066669</v>
      </c>
      <c r="AB6" s="36">
        <v>2.0062079999916023</v>
      </c>
    </row>
    <row r="7" spans="1:28">
      <c r="A7" s="291">
        <v>4</v>
      </c>
      <c r="B7" s="36" t="s">
        <v>225</v>
      </c>
      <c r="C7" s="36">
        <v>731465.02474999998</v>
      </c>
      <c r="D7" s="36">
        <v>12</v>
      </c>
      <c r="E7" s="36">
        <v>8777580.2970000003</v>
      </c>
      <c r="I7" s="36">
        <v>8777580.2970000003</v>
      </c>
      <c r="J7" s="36">
        <v>200000</v>
      </c>
      <c r="K7" s="36">
        <v>0.2</v>
      </c>
      <c r="L7" s="36">
        <v>1755516.0594000001</v>
      </c>
      <c r="M7" s="36">
        <v>1955516.0594000001</v>
      </c>
      <c r="N7" s="36">
        <v>1955516.0594000001</v>
      </c>
      <c r="O7" s="36">
        <v>6822064.2376000006</v>
      </c>
      <c r="P7" s="36">
        <v>21000</v>
      </c>
      <c r="Q7" s="36">
        <v>33000</v>
      </c>
      <c r="R7" s="36">
        <v>75000</v>
      </c>
      <c r="S7" s="36">
        <v>95000</v>
      </c>
      <c r="T7" s="36">
        <v>336000</v>
      </c>
      <c r="U7" s="36">
        <v>869295.41702400008</v>
      </c>
      <c r="V7" s="36">
        <v>1429295.4170240001</v>
      </c>
      <c r="W7" s="36">
        <v>12</v>
      </c>
      <c r="X7" s="36">
        <v>119107.95141866668</v>
      </c>
      <c r="Z7" s="36">
        <v>119107.95141866668</v>
      </c>
      <c r="AA7" s="36">
        <v>116473.51</v>
      </c>
      <c r="AB7" s="36">
        <v>2634.4414186666836</v>
      </c>
    </row>
    <row r="8" spans="1:28">
      <c r="A8" s="291">
        <v>5</v>
      </c>
      <c r="B8" s="36" t="s">
        <v>315</v>
      </c>
      <c r="C8" s="36">
        <v>541465.02474999998</v>
      </c>
      <c r="D8" s="36">
        <v>12</v>
      </c>
      <c r="E8" s="36">
        <v>6497580.2970000003</v>
      </c>
      <c r="I8" s="36">
        <v>6497580.2970000003</v>
      </c>
      <c r="J8" s="36">
        <v>200000</v>
      </c>
      <c r="K8" s="36">
        <v>0.2</v>
      </c>
      <c r="L8" s="36">
        <v>1299516.0594000001</v>
      </c>
      <c r="M8" s="36">
        <v>1499516.0594000001</v>
      </c>
      <c r="N8" s="36">
        <v>1499516.0594000001</v>
      </c>
      <c r="O8" s="36">
        <v>4998064.2376000006</v>
      </c>
      <c r="P8" s="36">
        <v>21000</v>
      </c>
      <c r="Q8" s="36">
        <v>33000</v>
      </c>
      <c r="R8" s="36">
        <v>75000</v>
      </c>
      <c r="S8" s="36">
        <v>95000</v>
      </c>
      <c r="T8" s="36">
        <v>336000</v>
      </c>
      <c r="U8" s="36">
        <v>431535.41702400014</v>
      </c>
      <c r="V8" s="36">
        <v>991535.41702400008</v>
      </c>
      <c r="W8" s="36">
        <v>12</v>
      </c>
      <c r="X8" s="36">
        <v>82627.951418666678</v>
      </c>
      <c r="Z8" s="36">
        <v>82627.951418666678</v>
      </c>
      <c r="AA8" s="36">
        <v>79993.509999999995</v>
      </c>
      <c r="AB8" s="36">
        <v>2634.4414186666836</v>
      </c>
    </row>
    <row r="9" spans="1:28">
      <c r="A9" s="291">
        <v>6</v>
      </c>
      <c r="B9" s="36" t="s">
        <v>317</v>
      </c>
      <c r="C9" s="36">
        <v>682621.80574999982</v>
      </c>
      <c r="D9" s="36">
        <v>12</v>
      </c>
      <c r="E9" s="36">
        <v>8191461.6689999979</v>
      </c>
      <c r="I9" s="36">
        <v>8191461.6689999979</v>
      </c>
      <c r="J9" s="36">
        <v>200000</v>
      </c>
      <c r="K9" s="36">
        <v>0.2</v>
      </c>
      <c r="L9" s="36">
        <v>1638292.3337999997</v>
      </c>
      <c r="M9" s="36">
        <v>1838292.3337999997</v>
      </c>
      <c r="N9" s="36">
        <v>1838292.3337999997</v>
      </c>
      <c r="O9" s="36">
        <v>6353169.3351999987</v>
      </c>
      <c r="P9" s="36">
        <v>21000</v>
      </c>
      <c r="Q9" s="36">
        <v>33000</v>
      </c>
      <c r="R9" s="36">
        <v>75000</v>
      </c>
      <c r="S9" s="36">
        <v>95000</v>
      </c>
      <c r="T9" s="36">
        <v>336000</v>
      </c>
      <c r="U9" s="36">
        <v>756760.6404479997</v>
      </c>
      <c r="V9" s="36">
        <v>1316760.6404479998</v>
      </c>
      <c r="W9" s="36">
        <v>12</v>
      </c>
      <c r="X9" s="36">
        <v>109730.05337066665</v>
      </c>
      <c r="Z9" s="36">
        <v>109730.05337066665</v>
      </c>
      <c r="AA9" s="36">
        <v>107095.69</v>
      </c>
      <c r="AB9" s="36">
        <v>2634.3633706666442</v>
      </c>
    </row>
    <row r="10" spans="1:28">
      <c r="A10" s="291">
        <v>7</v>
      </c>
      <c r="B10" s="36" t="s">
        <v>112</v>
      </c>
      <c r="C10" s="36">
        <v>627743.99575</v>
      </c>
      <c r="D10" s="36">
        <v>12</v>
      </c>
      <c r="E10" s="36">
        <v>7532927.949</v>
      </c>
      <c r="F10" s="36">
        <v>10052.25</v>
      </c>
      <c r="I10" s="36">
        <v>7522875.699</v>
      </c>
      <c r="J10" s="36">
        <v>200000</v>
      </c>
      <c r="K10" s="36">
        <v>0.2</v>
      </c>
      <c r="L10" s="36">
        <v>1504575.1398</v>
      </c>
      <c r="M10" s="36">
        <v>1704575.1398</v>
      </c>
      <c r="N10" s="36">
        <v>1714627.3898</v>
      </c>
      <c r="O10" s="36">
        <v>5818300.5592</v>
      </c>
      <c r="P10" s="36">
        <v>21000</v>
      </c>
      <c r="Q10" s="36">
        <v>33000</v>
      </c>
      <c r="R10" s="36">
        <v>75000</v>
      </c>
      <c r="S10" s="36">
        <v>95000</v>
      </c>
      <c r="T10" s="36">
        <v>336000</v>
      </c>
      <c r="U10" s="36">
        <v>628392.13420800003</v>
      </c>
      <c r="V10" s="36">
        <v>1188392.134208</v>
      </c>
      <c r="W10" s="36">
        <v>12</v>
      </c>
      <c r="X10" s="36">
        <v>99032.677850666674</v>
      </c>
      <c r="Z10" s="36">
        <v>99032.677850666674</v>
      </c>
      <c r="AA10" s="36">
        <v>96398.373866666647</v>
      </c>
      <c r="AB10" s="36">
        <v>2634.3039840000274</v>
      </c>
    </row>
    <row r="11" spans="1:28">
      <c r="A11" s="291">
        <v>8</v>
      </c>
      <c r="B11" s="36" t="s">
        <v>187</v>
      </c>
      <c r="C11" s="36">
        <v>527743.99575</v>
      </c>
      <c r="D11" s="36">
        <v>12</v>
      </c>
      <c r="E11" s="36">
        <v>6332927.949</v>
      </c>
      <c r="F11" s="36">
        <v>10052.25</v>
      </c>
      <c r="I11" s="36">
        <v>6322875.699</v>
      </c>
      <c r="J11" s="36">
        <v>200000</v>
      </c>
      <c r="K11" s="36">
        <v>0.2</v>
      </c>
      <c r="L11" s="36">
        <v>1264575.1398</v>
      </c>
      <c r="M11" s="36">
        <v>1464575.1398</v>
      </c>
      <c r="N11" s="36">
        <v>1474627.3898</v>
      </c>
      <c r="O11" s="36">
        <v>4858300.5592</v>
      </c>
      <c r="P11" s="36">
        <v>21000</v>
      </c>
      <c r="Q11" s="36">
        <v>33000</v>
      </c>
      <c r="R11" s="36">
        <v>75000</v>
      </c>
      <c r="S11" s="36">
        <v>95000</v>
      </c>
      <c r="T11" s="36">
        <v>336000</v>
      </c>
      <c r="U11" s="36">
        <v>397992.13420799997</v>
      </c>
      <c r="V11" s="36">
        <v>957992.13420800003</v>
      </c>
      <c r="W11" s="36">
        <v>12</v>
      </c>
      <c r="X11" s="36">
        <v>79832.677850666674</v>
      </c>
      <c r="Z11" s="36">
        <v>79832.677850666674</v>
      </c>
      <c r="AA11" s="36">
        <v>77198.373866666676</v>
      </c>
      <c r="AB11" s="36">
        <v>2634.3039839999983</v>
      </c>
    </row>
    <row r="12" spans="1:28">
      <c r="A12" s="291">
        <v>9</v>
      </c>
      <c r="B12" s="36" t="s">
        <v>203</v>
      </c>
      <c r="C12" s="36">
        <v>527743.99575</v>
      </c>
      <c r="D12" s="36">
        <v>12</v>
      </c>
      <c r="E12" s="36">
        <v>6332927.949</v>
      </c>
      <c r="F12" s="36">
        <v>10052.25</v>
      </c>
      <c r="I12" s="36">
        <v>6322875.699</v>
      </c>
      <c r="J12" s="36">
        <v>200000</v>
      </c>
      <c r="K12" s="36">
        <v>0.2</v>
      </c>
      <c r="L12" s="36">
        <v>1264575.1398</v>
      </c>
      <c r="M12" s="36">
        <v>1464575.1398</v>
      </c>
      <c r="N12" s="36">
        <v>1474627.3898</v>
      </c>
      <c r="O12" s="36">
        <v>4858300.5592</v>
      </c>
      <c r="P12" s="36">
        <v>21000</v>
      </c>
      <c r="Q12" s="36">
        <v>33000</v>
      </c>
      <c r="R12" s="36">
        <v>75000</v>
      </c>
      <c r="S12" s="36">
        <v>95000</v>
      </c>
      <c r="T12" s="36">
        <v>336000</v>
      </c>
      <c r="U12" s="36">
        <v>397992.13420799997</v>
      </c>
      <c r="V12" s="36">
        <v>957992.13420800003</v>
      </c>
      <c r="W12" s="36">
        <v>12</v>
      </c>
      <c r="X12" s="36">
        <v>79832.677850666674</v>
      </c>
      <c r="Z12" s="36">
        <v>79832.677850666674</v>
      </c>
      <c r="AA12" s="36">
        <v>77198.373866666676</v>
      </c>
      <c r="AB12" s="36">
        <v>2634.3039839999983</v>
      </c>
    </row>
    <row r="13" spans="1:28">
      <c r="A13" s="291">
        <v>10</v>
      </c>
      <c r="B13" s="36" t="s">
        <v>111</v>
      </c>
      <c r="C13" s="36">
        <v>447553.5025</v>
      </c>
      <c r="D13" s="36">
        <v>12</v>
      </c>
      <c r="E13" s="36">
        <v>5370642.0300000003</v>
      </c>
      <c r="F13" s="36">
        <v>10052.25</v>
      </c>
      <c r="I13" s="36">
        <v>5360589.78</v>
      </c>
      <c r="J13" s="36">
        <v>200000</v>
      </c>
      <c r="K13" s="36">
        <v>0.2</v>
      </c>
      <c r="L13" s="36">
        <v>1072117.956</v>
      </c>
      <c r="M13" s="36">
        <v>1272117.956</v>
      </c>
      <c r="N13" s="36">
        <v>1282170.206</v>
      </c>
      <c r="O13" s="36">
        <v>4088471.824</v>
      </c>
      <c r="P13" s="36">
        <v>21000</v>
      </c>
      <c r="Q13" s="36">
        <v>33000</v>
      </c>
      <c r="R13" s="36">
        <v>75000</v>
      </c>
      <c r="S13" s="36">
        <v>95000</v>
      </c>
      <c r="T13" s="36">
        <v>336000</v>
      </c>
      <c r="U13" s="36">
        <v>213233.23775999999</v>
      </c>
      <c r="V13" s="36">
        <v>773233.23775999993</v>
      </c>
      <c r="W13" s="36">
        <v>12</v>
      </c>
      <c r="X13" s="36">
        <v>64436.103146666661</v>
      </c>
      <c r="Z13" s="36">
        <v>64436.103146666661</v>
      </c>
      <c r="AA13" s="36">
        <v>64436.1</v>
      </c>
      <c r="AB13" s="36">
        <v>3.1466666623600759E-3</v>
      </c>
    </row>
    <row r="14" spans="1:28">
      <c r="A14" s="291">
        <v>11</v>
      </c>
      <c r="B14" s="36" t="s">
        <v>333</v>
      </c>
      <c r="C14" s="36">
        <v>436137.05</v>
      </c>
      <c r="D14" s="36">
        <v>12</v>
      </c>
      <c r="E14" s="36">
        <v>5233644.5999999996</v>
      </c>
      <c r="I14" s="36">
        <v>5233644.5999999996</v>
      </c>
      <c r="J14" s="36">
        <v>200000</v>
      </c>
      <c r="K14" s="36">
        <v>0.2</v>
      </c>
      <c r="L14" s="36">
        <v>1046728.9199999999</v>
      </c>
      <c r="M14" s="36">
        <v>1246728.92</v>
      </c>
      <c r="N14" s="36">
        <v>1246728.92</v>
      </c>
      <c r="O14" s="36">
        <v>3986915.6799999997</v>
      </c>
      <c r="P14" s="36">
        <v>21000</v>
      </c>
      <c r="Q14" s="36">
        <v>33000</v>
      </c>
      <c r="R14" s="36">
        <v>75000</v>
      </c>
      <c r="S14" s="36">
        <v>95000</v>
      </c>
      <c r="T14" s="36">
        <v>336000</v>
      </c>
      <c r="U14" s="36">
        <v>188859.76319999993</v>
      </c>
      <c r="V14" s="36">
        <v>748859.76319999993</v>
      </c>
      <c r="W14" s="36">
        <v>12</v>
      </c>
      <c r="X14" s="36">
        <v>62404.980266666658</v>
      </c>
      <c r="Z14" s="36">
        <v>62404.980266666658</v>
      </c>
      <c r="AA14" s="36">
        <v>60212.92</v>
      </c>
      <c r="AB14" s="36">
        <v>2192.06026666666</v>
      </c>
    </row>
    <row r="15" spans="1:28">
      <c r="A15" s="291">
        <v>12</v>
      </c>
      <c r="B15" s="36" t="s">
        <v>220</v>
      </c>
      <c r="C15" s="36">
        <v>393333.03525000002</v>
      </c>
      <c r="D15" s="36">
        <v>12</v>
      </c>
      <c r="E15" s="36">
        <v>4719996.4230000004</v>
      </c>
      <c r="I15" s="36">
        <v>4719996.4230000004</v>
      </c>
      <c r="J15" s="36">
        <v>200000</v>
      </c>
      <c r="K15" s="36">
        <v>0.2</v>
      </c>
      <c r="L15" s="36">
        <v>943999.28460000013</v>
      </c>
      <c r="M15" s="36">
        <v>1143999.2846000001</v>
      </c>
      <c r="N15" s="36">
        <v>1143999.2846000001</v>
      </c>
      <c r="O15" s="36">
        <v>3575997.1384000005</v>
      </c>
      <c r="P15" s="36">
        <v>21000</v>
      </c>
      <c r="Q15" s="36">
        <v>33000</v>
      </c>
      <c r="R15" s="36">
        <v>75000</v>
      </c>
      <c r="S15" s="36">
        <v>95000</v>
      </c>
      <c r="T15" s="36">
        <v>336000</v>
      </c>
      <c r="U15" s="36">
        <v>90239.313216000126</v>
      </c>
      <c r="V15" s="36">
        <v>650239.3132160001</v>
      </c>
      <c r="W15" s="36">
        <v>12</v>
      </c>
      <c r="X15" s="36">
        <v>54186.609434666672</v>
      </c>
      <c r="Z15" s="36">
        <v>54186.609434666672</v>
      </c>
      <c r="AA15" s="36">
        <v>52638.9</v>
      </c>
      <c r="AB15" s="36">
        <v>1547.7094346666709</v>
      </c>
    </row>
    <row r="16" spans="1:28">
      <c r="A16" s="291">
        <v>13</v>
      </c>
      <c r="B16" s="36" t="s">
        <v>144</v>
      </c>
      <c r="C16" s="36">
        <v>343333.03524999996</v>
      </c>
      <c r="D16" s="36">
        <v>12</v>
      </c>
      <c r="E16" s="36">
        <v>4119996.4229999995</v>
      </c>
      <c r="F16" s="36">
        <v>8019.8</v>
      </c>
      <c r="I16" s="36">
        <v>4111976.6229999997</v>
      </c>
      <c r="J16" s="36">
        <v>200000</v>
      </c>
      <c r="K16" s="36">
        <v>0.2</v>
      </c>
      <c r="L16" s="36">
        <v>822395.32459999993</v>
      </c>
      <c r="M16" s="36">
        <v>1022395.3245999999</v>
      </c>
      <c r="N16" s="36">
        <v>1030415.1246</v>
      </c>
      <c r="O16" s="36">
        <v>3089581.2983999997</v>
      </c>
      <c r="P16" s="36">
        <v>21000</v>
      </c>
      <c r="Q16" s="36">
        <v>33000</v>
      </c>
      <c r="R16" s="36">
        <v>75000</v>
      </c>
      <c r="S16" s="36">
        <v>95000</v>
      </c>
      <c r="T16" s="36">
        <v>312812.07266399992</v>
      </c>
      <c r="V16" s="36">
        <v>536812.07266399986</v>
      </c>
      <c r="W16" s="36">
        <v>12</v>
      </c>
      <c r="X16" s="36">
        <v>44734.339388666653</v>
      </c>
      <c r="Z16" s="36">
        <v>44734.339388666653</v>
      </c>
      <c r="AA16" s="36">
        <v>43380</v>
      </c>
      <c r="AB16" s="36">
        <v>1354.3393886666527</v>
      </c>
    </row>
    <row r="17" spans="1:28">
      <c r="A17" s="291">
        <v>14</v>
      </c>
      <c r="B17" s="36" t="s">
        <v>139</v>
      </c>
      <c r="C17" s="36">
        <v>563333.03524999996</v>
      </c>
      <c r="D17" s="36">
        <v>12</v>
      </c>
      <c r="E17" s="36">
        <v>6759996.4229999995</v>
      </c>
      <c r="I17" s="36">
        <v>6759996.4229999995</v>
      </c>
      <c r="J17" s="36">
        <v>200000</v>
      </c>
      <c r="K17" s="36">
        <v>0.2</v>
      </c>
      <c r="L17" s="36">
        <v>1351999.2845999999</v>
      </c>
      <c r="M17" s="36">
        <v>1551999.2845999999</v>
      </c>
      <c r="N17" s="36">
        <v>1551999.2845999999</v>
      </c>
      <c r="O17" s="36">
        <v>5207997.1383999996</v>
      </c>
      <c r="P17" s="36">
        <v>21000</v>
      </c>
      <c r="Q17" s="36">
        <v>33000</v>
      </c>
      <c r="R17" s="36">
        <v>75000</v>
      </c>
      <c r="S17" s="36">
        <v>95000</v>
      </c>
      <c r="T17" s="36">
        <v>336000</v>
      </c>
      <c r="U17" s="36">
        <v>481919.31321599986</v>
      </c>
      <c r="V17" s="36">
        <v>1041919.3132159999</v>
      </c>
      <c r="W17" s="36">
        <v>12</v>
      </c>
      <c r="X17" s="36">
        <v>86826.60943466665</v>
      </c>
      <c r="Z17" s="36">
        <v>86826.60943466665</v>
      </c>
      <c r="AA17" s="36">
        <v>85278.9</v>
      </c>
      <c r="AB17" s="36">
        <v>1547.7094346666563</v>
      </c>
    </row>
    <row r="18" spans="1:28">
      <c r="A18" s="291">
        <v>15</v>
      </c>
      <c r="B18" s="36" t="s">
        <v>18</v>
      </c>
      <c r="C18" s="36">
        <v>338333.03524999996</v>
      </c>
      <c r="D18" s="36">
        <v>12</v>
      </c>
      <c r="E18" s="36">
        <v>4059996.4229999995</v>
      </c>
      <c r="I18" s="36">
        <v>4059996.4229999995</v>
      </c>
      <c r="J18" s="36">
        <v>200000</v>
      </c>
      <c r="K18" s="36">
        <v>0.2</v>
      </c>
      <c r="L18" s="36">
        <v>811999.2845999999</v>
      </c>
      <c r="M18" s="36">
        <v>1011999.2845999999</v>
      </c>
      <c r="N18" s="36">
        <v>1011999.2845999999</v>
      </c>
      <c r="O18" s="36">
        <v>3047997.1383999996</v>
      </c>
      <c r="P18" s="36">
        <v>21000</v>
      </c>
      <c r="Q18" s="36">
        <v>33000</v>
      </c>
      <c r="R18" s="36">
        <v>75000</v>
      </c>
      <c r="S18" s="36">
        <v>95000</v>
      </c>
      <c r="T18" s="36">
        <v>304079.39906399988</v>
      </c>
      <c r="V18" s="36">
        <v>528079.39906399988</v>
      </c>
      <c r="W18" s="36">
        <v>12</v>
      </c>
      <c r="X18" s="36">
        <v>44006.616588666657</v>
      </c>
      <c r="Z18" s="36">
        <v>44006.616588666657</v>
      </c>
      <c r="AA18" s="36">
        <v>43492.039686666663</v>
      </c>
      <c r="AB18" s="36">
        <v>514.57690199999342</v>
      </c>
    </row>
    <row r="19" spans="1:28">
      <c r="A19" s="291">
        <v>16</v>
      </c>
      <c r="B19" s="36" t="s">
        <v>334</v>
      </c>
      <c r="C19" s="36">
        <v>362001.06050000002</v>
      </c>
      <c r="D19" s="36">
        <v>12</v>
      </c>
      <c r="E19" s="36">
        <v>4344012.7259999998</v>
      </c>
      <c r="F19" s="36">
        <v>7422.38</v>
      </c>
      <c r="I19" s="36">
        <v>4336590.3459999999</v>
      </c>
      <c r="J19" s="36">
        <v>200000</v>
      </c>
      <c r="K19" s="36">
        <v>0.2</v>
      </c>
      <c r="L19" s="36">
        <v>867318.06920000003</v>
      </c>
      <c r="M19" s="36">
        <v>1067318.0692</v>
      </c>
      <c r="N19" s="36">
        <v>1074740.4491999999</v>
      </c>
      <c r="O19" s="36">
        <v>3269272.2768000001</v>
      </c>
      <c r="P19" s="36">
        <v>21000</v>
      </c>
      <c r="Q19" s="36">
        <v>33000</v>
      </c>
      <c r="R19" s="36">
        <v>75000</v>
      </c>
      <c r="S19" s="36">
        <v>95000</v>
      </c>
      <c r="T19" s="36">
        <v>336000</v>
      </c>
      <c r="V19" s="36">
        <v>560000</v>
      </c>
      <c r="W19" s="36">
        <v>12</v>
      </c>
      <c r="X19" s="36">
        <v>46666.666666666664</v>
      </c>
      <c r="Z19" s="36">
        <v>46666.666666666664</v>
      </c>
      <c r="AA19" s="36">
        <v>46673.26</v>
      </c>
      <c r="AB19" s="36">
        <v>-6.5933333333377959</v>
      </c>
    </row>
    <row r="20" spans="1:28">
      <c r="A20" s="291">
        <v>17</v>
      </c>
      <c r="B20" s="36" t="s">
        <v>291</v>
      </c>
      <c r="C20" s="36">
        <v>449201.02599999995</v>
      </c>
      <c r="D20" s="36">
        <v>12</v>
      </c>
      <c r="E20" s="36">
        <v>5390412.311999999</v>
      </c>
      <c r="I20" s="36">
        <v>5390412.311999999</v>
      </c>
      <c r="J20" s="36">
        <v>200000</v>
      </c>
      <c r="K20" s="36">
        <v>0.2</v>
      </c>
      <c r="L20" s="36">
        <v>1078082.4623999998</v>
      </c>
      <c r="M20" s="36">
        <v>1278082.4623999998</v>
      </c>
      <c r="N20" s="36">
        <v>1278082.4623999998</v>
      </c>
      <c r="O20" s="36">
        <v>4112329.8495999994</v>
      </c>
      <c r="P20" s="36">
        <v>21000</v>
      </c>
      <c r="Q20" s="36">
        <v>33000</v>
      </c>
      <c r="R20" s="36">
        <v>75000</v>
      </c>
      <c r="S20" s="36">
        <v>95000</v>
      </c>
      <c r="T20" s="36">
        <v>336000</v>
      </c>
      <c r="U20" s="36">
        <v>218959.16390399984</v>
      </c>
      <c r="V20" s="36">
        <v>778959.16390399984</v>
      </c>
      <c r="W20" s="36">
        <v>12</v>
      </c>
      <c r="X20" s="36">
        <v>64913.263658666656</v>
      </c>
      <c r="Z20" s="36">
        <v>64913.263658666656</v>
      </c>
      <c r="AA20" s="36">
        <v>63364.81</v>
      </c>
      <c r="AB20" s="36">
        <v>1548.4536586666582</v>
      </c>
    </row>
    <row r="21" spans="1:28">
      <c r="A21" s="291">
        <v>18</v>
      </c>
      <c r="B21" s="36" t="s">
        <v>141</v>
      </c>
      <c r="C21" s="36">
        <v>284536.99849999999</v>
      </c>
      <c r="D21" s="36">
        <v>12</v>
      </c>
      <c r="E21" s="36">
        <v>3414443.9819999998</v>
      </c>
      <c r="F21" s="36">
        <v>6922.5</v>
      </c>
      <c r="I21" s="36">
        <v>3407521.4819999998</v>
      </c>
      <c r="J21" s="36">
        <v>200000</v>
      </c>
      <c r="K21" s="36">
        <v>0.2</v>
      </c>
      <c r="L21" s="36">
        <v>681504.29639999999</v>
      </c>
      <c r="M21" s="36">
        <v>881504.29639999999</v>
      </c>
      <c r="N21" s="36">
        <v>888426.79639999999</v>
      </c>
      <c r="O21" s="36">
        <v>2526017.1856</v>
      </c>
      <c r="P21" s="36">
        <v>21000</v>
      </c>
      <c r="Q21" s="36">
        <v>33000</v>
      </c>
      <c r="R21" s="36">
        <v>75000</v>
      </c>
      <c r="S21" s="36">
        <v>95000</v>
      </c>
      <c r="T21" s="36">
        <v>194463.60897599999</v>
      </c>
      <c r="U21" s="36">
        <v>0</v>
      </c>
      <c r="V21" s="36">
        <v>418463.60897599999</v>
      </c>
      <c r="W21" s="36">
        <v>12</v>
      </c>
      <c r="X21" s="36">
        <v>34871.967414666666</v>
      </c>
      <c r="Z21" s="36">
        <v>34871.967414666666</v>
      </c>
      <c r="AA21" s="36">
        <v>31848.560000000001</v>
      </c>
      <c r="AB21" s="36">
        <v>3023.4074146666644</v>
      </c>
    </row>
    <row r="22" spans="1:28">
      <c r="A22" s="291">
        <v>19</v>
      </c>
      <c r="B22" s="36" t="s">
        <v>253</v>
      </c>
      <c r="C22" s="36">
        <v>267454.07400000002</v>
      </c>
      <c r="D22" s="36">
        <v>12</v>
      </c>
      <c r="E22" s="36">
        <v>3209448.8880000003</v>
      </c>
      <c r="F22" s="36">
        <v>6456.26</v>
      </c>
      <c r="I22" s="36">
        <v>3202992.6280000005</v>
      </c>
      <c r="J22" s="36">
        <v>200000</v>
      </c>
      <c r="K22" s="36">
        <v>0.2</v>
      </c>
      <c r="L22" s="36">
        <v>640598.52560000017</v>
      </c>
      <c r="M22" s="36">
        <v>840598.52560000017</v>
      </c>
      <c r="N22" s="36">
        <v>847054.78560000018</v>
      </c>
      <c r="O22" s="36">
        <v>2362394.1024000002</v>
      </c>
      <c r="P22" s="36">
        <v>21000</v>
      </c>
      <c r="Q22" s="36">
        <v>33000</v>
      </c>
      <c r="R22" s="36">
        <v>75000</v>
      </c>
      <c r="S22" s="36">
        <v>95000</v>
      </c>
      <c r="T22" s="36">
        <v>160102.76150400002</v>
      </c>
      <c r="V22" s="36">
        <v>384102.76150400005</v>
      </c>
      <c r="W22" s="36">
        <v>12</v>
      </c>
      <c r="X22" s="36">
        <v>32008.563458666671</v>
      </c>
      <c r="Z22" s="36">
        <v>32008.563458666671</v>
      </c>
      <c r="AA22" s="36">
        <v>31749.189126666664</v>
      </c>
      <c r="AB22" s="36">
        <v>259.37433200000669</v>
      </c>
    </row>
    <row r="23" spans="1:28">
      <c r="A23" s="291">
        <v>20</v>
      </c>
      <c r="B23" s="36" t="s">
        <v>247</v>
      </c>
      <c r="C23" s="36">
        <v>267454.07400000002</v>
      </c>
      <c r="D23" s="36">
        <v>12</v>
      </c>
      <c r="E23" s="36">
        <v>3209448.8880000003</v>
      </c>
      <c r="I23" s="36">
        <v>3209448.8880000003</v>
      </c>
      <c r="J23" s="36">
        <v>200000</v>
      </c>
      <c r="K23" s="36">
        <v>0.2</v>
      </c>
      <c r="L23" s="36">
        <v>641889.77760000015</v>
      </c>
      <c r="M23" s="36">
        <v>841889.77760000015</v>
      </c>
      <c r="N23" s="36">
        <v>841889.77760000015</v>
      </c>
      <c r="O23" s="36">
        <v>2367559.1104000001</v>
      </c>
      <c r="P23" s="36">
        <v>21000</v>
      </c>
      <c r="Q23" s="36">
        <v>33000</v>
      </c>
      <c r="R23" s="36">
        <v>75000</v>
      </c>
      <c r="S23" s="36">
        <v>95000</v>
      </c>
      <c r="T23" s="36">
        <v>161187.41318400003</v>
      </c>
      <c r="V23" s="36">
        <v>385187.41318400006</v>
      </c>
      <c r="W23" s="36">
        <v>12</v>
      </c>
      <c r="X23" s="36">
        <v>32098.951098666672</v>
      </c>
      <c r="Z23" s="36">
        <v>32098.951098666672</v>
      </c>
      <c r="AA23" s="36">
        <v>31749.189126666664</v>
      </c>
      <c r="AB23" s="36">
        <v>349.76197200000752</v>
      </c>
    </row>
    <row r="24" spans="1:28">
      <c r="A24" s="291">
        <v>21</v>
      </c>
      <c r="B24" s="36" t="s">
        <v>293</v>
      </c>
      <c r="C24" s="36">
        <v>242300.07749999998</v>
      </c>
      <c r="D24" s="36">
        <v>12</v>
      </c>
      <c r="E24" s="36">
        <v>2907600.9299999997</v>
      </c>
      <c r="I24" s="36">
        <v>2907600.9299999997</v>
      </c>
      <c r="J24" s="36">
        <v>200000</v>
      </c>
      <c r="K24" s="36">
        <v>0.2</v>
      </c>
      <c r="L24" s="36">
        <v>581520.18599999999</v>
      </c>
      <c r="M24" s="36">
        <v>781520.18599999999</v>
      </c>
      <c r="N24" s="36">
        <v>781520.18599999999</v>
      </c>
      <c r="O24" s="36">
        <v>2126080.7439999999</v>
      </c>
      <c r="P24" s="36">
        <v>21000</v>
      </c>
      <c r="Q24" s="36">
        <v>33000</v>
      </c>
      <c r="R24" s="36">
        <v>75000</v>
      </c>
      <c r="S24" s="36">
        <v>95000</v>
      </c>
      <c r="T24" s="36">
        <v>110476.95623999998</v>
      </c>
      <c r="V24" s="36">
        <v>334476.95623999997</v>
      </c>
      <c r="W24" s="36">
        <v>12</v>
      </c>
      <c r="X24" s="36">
        <v>27873.079686666664</v>
      </c>
      <c r="Z24" s="36">
        <v>27873.079686666664</v>
      </c>
      <c r="AA24" s="36">
        <v>27105.99</v>
      </c>
      <c r="AB24" s="36">
        <v>767.0896866666626</v>
      </c>
    </row>
    <row r="25" spans="1:28">
      <c r="A25" s="291">
        <v>22</v>
      </c>
      <c r="B25" s="36" t="s">
        <v>275</v>
      </c>
      <c r="C25" s="36">
        <v>237734.04700000002</v>
      </c>
      <c r="D25" s="36">
        <v>12</v>
      </c>
      <c r="E25" s="36">
        <v>2852808.5640000002</v>
      </c>
      <c r="I25" s="36">
        <v>2852808.5640000002</v>
      </c>
      <c r="J25" s="36">
        <v>200000</v>
      </c>
      <c r="K25" s="36">
        <v>0.2</v>
      </c>
      <c r="L25" s="36">
        <v>570561.7128000001</v>
      </c>
      <c r="M25" s="36">
        <v>770561.7128000001</v>
      </c>
      <c r="N25" s="36">
        <v>770561.7128000001</v>
      </c>
      <c r="O25" s="36">
        <v>2082246.8512000002</v>
      </c>
      <c r="P25" s="36">
        <v>21000</v>
      </c>
      <c r="Q25" s="36">
        <v>33000</v>
      </c>
      <c r="R25" s="36">
        <v>75000</v>
      </c>
      <c r="S25" s="36">
        <v>95000</v>
      </c>
      <c r="T25" s="36">
        <v>101271.83875200003</v>
      </c>
      <c r="V25" s="36">
        <v>325271.83875200001</v>
      </c>
      <c r="W25" s="36">
        <v>12</v>
      </c>
      <c r="X25" s="36">
        <v>27105.986562666669</v>
      </c>
      <c r="Z25" s="36">
        <v>27105.986562666669</v>
      </c>
      <c r="AA25" s="36">
        <v>26339.08</v>
      </c>
      <c r="AB25" s="36">
        <v>766.90656266666701</v>
      </c>
    </row>
    <row r="26" spans="1:28">
      <c r="A26" s="291">
        <v>23</v>
      </c>
      <c r="B26" s="36" t="s">
        <v>434</v>
      </c>
      <c r="C26" s="36">
        <v>205204.0845</v>
      </c>
      <c r="D26" s="36">
        <v>12</v>
      </c>
      <c r="E26" s="36">
        <v>2462449.014</v>
      </c>
      <c r="I26" s="36">
        <v>2462449.014</v>
      </c>
      <c r="J26" s="36">
        <v>200000</v>
      </c>
      <c r="K26" s="36">
        <v>0.2</v>
      </c>
      <c r="L26" s="36">
        <v>492489.8028</v>
      </c>
      <c r="M26" s="36">
        <v>692489.80279999995</v>
      </c>
      <c r="N26" s="36">
        <v>692489.80279999995</v>
      </c>
      <c r="O26" s="36">
        <v>1769959.2112</v>
      </c>
      <c r="P26" s="36">
        <v>21000</v>
      </c>
      <c r="Q26" s="36">
        <v>33000</v>
      </c>
      <c r="R26" s="36">
        <v>75000</v>
      </c>
      <c r="S26" s="36">
        <v>95000</v>
      </c>
      <c r="T26" s="36">
        <v>35691.434352000004</v>
      </c>
      <c r="V26" s="36">
        <v>259691.43435200001</v>
      </c>
      <c r="W26" s="36">
        <v>12</v>
      </c>
      <c r="X26" s="36">
        <v>21640.952862666669</v>
      </c>
      <c r="Z26" s="36">
        <v>21640.952862666669</v>
      </c>
      <c r="AA26" s="36">
        <v>21640.95</v>
      </c>
      <c r="AB26" s="36">
        <v>2.8626666680793278E-3</v>
      </c>
    </row>
    <row r="27" spans="1:28">
      <c r="A27" s="291">
        <v>24</v>
      </c>
      <c r="B27" s="36" t="s">
        <v>254</v>
      </c>
      <c r="C27" s="36">
        <v>209356.04725</v>
      </c>
      <c r="D27" s="36">
        <v>12</v>
      </c>
      <c r="E27" s="36">
        <v>2512272.5669999998</v>
      </c>
      <c r="I27" s="36">
        <v>2512272.5669999998</v>
      </c>
      <c r="J27" s="36">
        <v>200000</v>
      </c>
      <c r="K27" s="36">
        <v>0.2</v>
      </c>
      <c r="L27" s="36">
        <v>502454.5134</v>
      </c>
      <c r="M27" s="36">
        <v>702454.51340000005</v>
      </c>
      <c r="N27" s="36">
        <v>702454.51340000005</v>
      </c>
      <c r="O27" s="36">
        <v>1809818.0535999998</v>
      </c>
      <c r="P27" s="36">
        <v>21000</v>
      </c>
      <c r="Q27" s="36">
        <v>33000</v>
      </c>
      <c r="R27" s="36">
        <v>75000</v>
      </c>
      <c r="S27" s="36">
        <v>95000</v>
      </c>
      <c r="T27" s="36">
        <v>44061.791255999946</v>
      </c>
      <c r="V27" s="36">
        <v>268061.79125599994</v>
      </c>
      <c r="W27" s="36">
        <v>12</v>
      </c>
      <c r="X27" s="36">
        <v>22338.48260466666</v>
      </c>
      <c r="Z27" s="36">
        <v>22338.48260466666</v>
      </c>
      <c r="AA27" s="36">
        <v>21640.95</v>
      </c>
      <c r="AB27" s="36">
        <v>697.53260466665961</v>
      </c>
    </row>
    <row r="28" spans="1:28">
      <c r="A28" s="291">
        <v>25</v>
      </c>
      <c r="B28" s="36" t="s">
        <v>248</v>
      </c>
      <c r="C28" s="36">
        <v>209356.04725</v>
      </c>
      <c r="D28" s="36">
        <v>12</v>
      </c>
      <c r="E28" s="36">
        <v>2512272.5669999998</v>
      </c>
      <c r="I28" s="36">
        <v>2512272.5669999998</v>
      </c>
      <c r="J28" s="36">
        <v>200000</v>
      </c>
      <c r="K28" s="36">
        <v>0.2</v>
      </c>
      <c r="L28" s="36">
        <v>502454.5134</v>
      </c>
      <c r="M28" s="36">
        <v>702454.51340000005</v>
      </c>
      <c r="N28" s="36">
        <v>702454.51340000005</v>
      </c>
      <c r="O28" s="36">
        <v>1809818.0535999998</v>
      </c>
      <c r="P28" s="36">
        <v>21000</v>
      </c>
      <c r="Q28" s="36">
        <v>33000</v>
      </c>
      <c r="R28" s="36">
        <v>75000</v>
      </c>
      <c r="S28" s="36">
        <v>95000</v>
      </c>
      <c r="T28" s="36">
        <v>44061.791255999946</v>
      </c>
      <c r="V28" s="36">
        <v>268061.79125599994</v>
      </c>
      <c r="W28" s="36">
        <v>12</v>
      </c>
      <c r="X28" s="36">
        <v>22338.48260466666</v>
      </c>
      <c r="Z28" s="36">
        <v>22338.48260466666</v>
      </c>
      <c r="AA28" s="36">
        <v>21640.95</v>
      </c>
      <c r="AB28" s="36">
        <v>697.53260466665961</v>
      </c>
    </row>
    <row r="29" spans="1:28">
      <c r="A29" s="291">
        <v>26</v>
      </c>
      <c r="B29" s="36" t="s">
        <v>288</v>
      </c>
      <c r="C29" s="36">
        <v>183791.02674999999</v>
      </c>
      <c r="D29" s="36">
        <v>12</v>
      </c>
      <c r="E29" s="36">
        <v>2205492.321</v>
      </c>
      <c r="I29" s="36">
        <v>2205492.321</v>
      </c>
      <c r="J29" s="36">
        <v>200000</v>
      </c>
      <c r="K29" s="36">
        <v>0.2</v>
      </c>
      <c r="L29" s="36">
        <v>441098.46420000005</v>
      </c>
      <c r="M29" s="36">
        <v>641098.46420000005</v>
      </c>
      <c r="N29" s="36">
        <v>641098.46420000005</v>
      </c>
      <c r="O29" s="36">
        <v>1564393.8568</v>
      </c>
      <c r="P29" s="36">
        <v>21000</v>
      </c>
      <c r="Q29" s="36">
        <v>33000</v>
      </c>
      <c r="R29" s="36">
        <v>75000</v>
      </c>
      <c r="S29" s="36">
        <v>88234.832791999987</v>
      </c>
      <c r="T29" s="36">
        <v>0</v>
      </c>
      <c r="V29" s="36">
        <v>217234.83279199997</v>
      </c>
      <c r="W29" s="36">
        <v>12</v>
      </c>
      <c r="X29" s="36">
        <v>18102.902732666666</v>
      </c>
      <c r="Z29" s="36">
        <v>18102.902732666666</v>
      </c>
      <c r="AA29" s="36">
        <v>17572.89</v>
      </c>
      <c r="AB29" s="36">
        <v>530.01273266666612</v>
      </c>
    </row>
    <row r="30" spans="1:28">
      <c r="A30" s="291">
        <v>27</v>
      </c>
      <c r="B30" s="36" t="s">
        <v>345</v>
      </c>
      <c r="C30" s="36">
        <v>183791.02674999999</v>
      </c>
      <c r="D30" s="36">
        <v>12</v>
      </c>
      <c r="E30" s="36">
        <v>2205492.321</v>
      </c>
      <c r="I30" s="36">
        <v>2205492.321</v>
      </c>
      <c r="J30" s="36">
        <v>200000</v>
      </c>
      <c r="K30" s="36">
        <v>0.2</v>
      </c>
      <c r="L30" s="36">
        <v>441098.46420000005</v>
      </c>
      <c r="M30" s="36">
        <v>641098.46420000005</v>
      </c>
      <c r="N30" s="36">
        <v>641098.46420000005</v>
      </c>
      <c r="O30" s="36">
        <v>1564393.8568</v>
      </c>
      <c r="P30" s="36">
        <v>21000</v>
      </c>
      <c r="Q30" s="36">
        <v>33000</v>
      </c>
      <c r="R30" s="36">
        <v>75000</v>
      </c>
      <c r="S30" s="36">
        <v>88234.832791999987</v>
      </c>
      <c r="T30" s="36">
        <v>0</v>
      </c>
      <c r="V30" s="36">
        <v>217234.83279199997</v>
      </c>
      <c r="W30" s="36">
        <v>12</v>
      </c>
      <c r="X30" s="36">
        <v>18102.902732666666</v>
      </c>
      <c r="Z30" s="36">
        <v>18102.902732666666</v>
      </c>
      <c r="AA30" s="36">
        <v>17572.89</v>
      </c>
      <c r="AB30" s="36">
        <v>530.01273266666612</v>
      </c>
    </row>
    <row r="31" spans="1:28">
      <c r="A31" s="291">
        <v>28</v>
      </c>
      <c r="B31" s="36" t="s">
        <v>328</v>
      </c>
      <c r="C31" s="36">
        <v>183791.02674999999</v>
      </c>
      <c r="D31" s="36">
        <v>12</v>
      </c>
      <c r="E31" s="36">
        <v>2205492.321</v>
      </c>
      <c r="I31" s="36">
        <v>2205492.321</v>
      </c>
      <c r="J31" s="36">
        <v>200000</v>
      </c>
      <c r="K31" s="36">
        <v>0.2</v>
      </c>
      <c r="L31" s="36">
        <v>441098.46420000005</v>
      </c>
      <c r="M31" s="36">
        <v>641098.46420000005</v>
      </c>
      <c r="N31" s="36">
        <v>641098.46420000005</v>
      </c>
      <c r="O31" s="36">
        <v>1564393.8568</v>
      </c>
      <c r="P31" s="36">
        <v>21000</v>
      </c>
      <c r="Q31" s="36">
        <v>33000</v>
      </c>
      <c r="R31" s="36">
        <v>75000</v>
      </c>
      <c r="S31" s="36">
        <v>88234.832791999987</v>
      </c>
      <c r="T31" s="36">
        <v>0</v>
      </c>
      <c r="V31" s="36">
        <v>217234.83279199997</v>
      </c>
      <c r="W31" s="36">
        <v>12</v>
      </c>
      <c r="X31" s="36">
        <v>18102.902732666666</v>
      </c>
      <c r="Z31" s="36">
        <v>18102.902732666666</v>
      </c>
      <c r="AA31" s="36">
        <v>17572.89</v>
      </c>
      <c r="AB31" s="36">
        <v>530.01273266666612</v>
      </c>
    </row>
    <row r="32" spans="1:28">
      <c r="A32" s="291">
        <v>29</v>
      </c>
      <c r="B32" s="36" t="s">
        <v>360</v>
      </c>
      <c r="C32" s="36">
        <v>209356.04725</v>
      </c>
      <c r="D32" s="36">
        <v>12</v>
      </c>
      <c r="E32" s="36">
        <v>2512272.5669999998</v>
      </c>
      <c r="I32" s="36">
        <v>2512272.5669999998</v>
      </c>
      <c r="J32" s="36">
        <v>200000</v>
      </c>
      <c r="K32" s="36">
        <v>0.2</v>
      </c>
      <c r="L32" s="36">
        <v>502454.5134</v>
      </c>
      <c r="M32" s="36">
        <v>702454.51340000005</v>
      </c>
      <c r="N32" s="36">
        <v>702454.51340000005</v>
      </c>
      <c r="O32" s="36">
        <v>1809818.0535999998</v>
      </c>
      <c r="P32" s="36">
        <v>21000</v>
      </c>
      <c r="Q32" s="36">
        <v>33000</v>
      </c>
      <c r="R32" s="36">
        <v>75000</v>
      </c>
      <c r="S32" s="36">
        <v>95000</v>
      </c>
      <c r="T32" s="36">
        <v>44061.791255999946</v>
      </c>
      <c r="V32" s="36">
        <v>268061.79125599994</v>
      </c>
      <c r="W32" s="36">
        <v>12</v>
      </c>
      <c r="X32" s="36">
        <v>22338.48260466666</v>
      </c>
      <c r="Z32" s="36">
        <v>22338.48260466666</v>
      </c>
      <c r="AA32" s="36">
        <v>21640.95</v>
      </c>
      <c r="AB32" s="36">
        <v>697.53260466665961</v>
      </c>
    </row>
    <row r="33" spans="1:28">
      <c r="A33" s="291">
        <v>30</v>
      </c>
      <c r="B33" s="36" t="s">
        <v>330</v>
      </c>
      <c r="C33" s="36">
        <v>176816.1</v>
      </c>
      <c r="D33" s="36">
        <v>12</v>
      </c>
      <c r="E33" s="36">
        <v>2121793.2000000002</v>
      </c>
      <c r="I33" s="36">
        <v>2121793.2000000002</v>
      </c>
      <c r="J33" s="36">
        <v>200000</v>
      </c>
      <c r="K33" s="36">
        <v>0.2</v>
      </c>
      <c r="L33" s="36">
        <v>424358.64000000007</v>
      </c>
      <c r="M33" s="36">
        <v>624358.64000000013</v>
      </c>
      <c r="N33" s="36">
        <v>624358.64000000013</v>
      </c>
      <c r="O33" s="36">
        <v>1497434.56</v>
      </c>
      <c r="P33" s="36">
        <v>21000</v>
      </c>
      <c r="Q33" s="36">
        <v>33000</v>
      </c>
      <c r="R33" s="36">
        <v>75000</v>
      </c>
      <c r="S33" s="36">
        <v>75512.566400000011</v>
      </c>
      <c r="T33" s="36">
        <v>0</v>
      </c>
      <c r="V33" s="36">
        <v>204512.56640000001</v>
      </c>
      <c r="W33" s="36">
        <v>12</v>
      </c>
      <c r="X33" s="36">
        <v>17042.713866666669</v>
      </c>
      <c r="Z33" s="36">
        <v>17042.713866666669</v>
      </c>
      <c r="AA33" s="36">
        <v>16512.68</v>
      </c>
      <c r="AB33" s="36">
        <v>530.03386666666847</v>
      </c>
    </row>
    <row r="34" spans="1:28">
      <c r="A34" s="291">
        <v>31</v>
      </c>
      <c r="B34" s="36" t="s">
        <v>274</v>
      </c>
      <c r="C34" s="36">
        <v>176817.1</v>
      </c>
      <c r="D34" s="36">
        <v>12</v>
      </c>
      <c r="E34" s="36">
        <v>2121805.2000000002</v>
      </c>
      <c r="I34" s="36">
        <v>2121805.2000000002</v>
      </c>
      <c r="J34" s="36">
        <v>200000</v>
      </c>
      <c r="K34" s="36">
        <v>0.2</v>
      </c>
      <c r="L34" s="36">
        <v>424361.04000000004</v>
      </c>
      <c r="M34" s="36">
        <v>624361.04</v>
      </c>
      <c r="N34" s="36">
        <v>624361.04</v>
      </c>
      <c r="O34" s="36">
        <v>1497444.1600000001</v>
      </c>
      <c r="P34" s="36">
        <v>21000</v>
      </c>
      <c r="Q34" s="36">
        <v>33000</v>
      </c>
      <c r="R34" s="36">
        <v>75000</v>
      </c>
      <c r="S34" s="36">
        <v>75514.390400000033</v>
      </c>
      <c r="T34" s="36">
        <v>0</v>
      </c>
      <c r="V34" s="36">
        <v>204514.39040000003</v>
      </c>
      <c r="W34" s="36">
        <v>12</v>
      </c>
      <c r="X34" s="36">
        <v>17042.865866666671</v>
      </c>
      <c r="Z34" s="36">
        <v>17042.865866666671</v>
      </c>
      <c r="AA34" s="36">
        <v>16512.68</v>
      </c>
      <c r="AB34" s="36">
        <v>530.18586666667034</v>
      </c>
    </row>
    <row r="35" spans="1:28">
      <c r="A35" s="291">
        <v>32</v>
      </c>
      <c r="B35" s="36" t="s">
        <v>453</v>
      </c>
      <c r="C35" s="36">
        <v>176818.1</v>
      </c>
      <c r="D35" s="36">
        <v>12</v>
      </c>
      <c r="E35" s="36">
        <v>2121817.2000000002</v>
      </c>
      <c r="I35" s="36">
        <v>2121817.2000000002</v>
      </c>
      <c r="J35" s="36">
        <v>200000</v>
      </c>
      <c r="K35" s="36">
        <v>0.2</v>
      </c>
      <c r="L35" s="36">
        <v>424363.44000000006</v>
      </c>
      <c r="M35" s="36">
        <v>624363.44000000006</v>
      </c>
      <c r="N35" s="36">
        <v>624363.44000000006</v>
      </c>
      <c r="O35" s="36">
        <v>1497453.7600000002</v>
      </c>
      <c r="P35" s="36">
        <v>21000</v>
      </c>
      <c r="Q35" s="36">
        <v>33000</v>
      </c>
      <c r="R35" s="36">
        <v>75000</v>
      </c>
      <c r="S35" s="36">
        <v>75516.214400000041</v>
      </c>
      <c r="T35" s="36">
        <v>0</v>
      </c>
      <c r="V35" s="36">
        <v>204516.21440000006</v>
      </c>
      <c r="W35" s="36">
        <v>12</v>
      </c>
      <c r="X35" s="36">
        <v>17043.017866666672</v>
      </c>
      <c r="Z35" s="36">
        <v>17043.017866666672</v>
      </c>
      <c r="AA35" s="36">
        <v>16512.68</v>
      </c>
      <c r="AB35" s="36">
        <v>530.3378666666722</v>
      </c>
    </row>
    <row r="36" spans="1:28">
      <c r="A36" s="291"/>
      <c r="C36" s="36">
        <v>12126899.364750002</v>
      </c>
      <c r="G36" s="36">
        <v>0</v>
      </c>
      <c r="Z36" s="36">
        <v>1716067.6634466664</v>
      </c>
      <c r="AA36" s="36">
        <v>1681121.5077906661</v>
      </c>
      <c r="AB36" s="36">
        <v>34946.15565599993</v>
      </c>
    </row>
    <row r="37" spans="1:28">
      <c r="A37" s="291"/>
    </row>
    <row r="38" spans="1:28">
      <c r="A38" s="291">
        <v>33</v>
      </c>
      <c r="B38" s="36" t="s">
        <v>361</v>
      </c>
      <c r="C38" s="36">
        <v>950209.06350000005</v>
      </c>
      <c r="D38" s="36">
        <v>12</v>
      </c>
      <c r="E38" s="36">
        <v>11402508.762</v>
      </c>
      <c r="I38" s="36">
        <v>11402508.762</v>
      </c>
      <c r="J38" s="36">
        <v>200000</v>
      </c>
      <c r="K38" s="36">
        <v>0.2</v>
      </c>
      <c r="L38" s="36">
        <v>2280501.7524000001</v>
      </c>
      <c r="M38" s="36">
        <v>2480501.7524000001</v>
      </c>
      <c r="N38" s="36">
        <v>2480501.7524000001</v>
      </c>
      <c r="O38" s="36">
        <v>8922007.0096000005</v>
      </c>
      <c r="P38" s="36">
        <v>21000</v>
      </c>
      <c r="Q38" s="36">
        <v>33000</v>
      </c>
      <c r="R38" s="36">
        <v>75000</v>
      </c>
      <c r="S38" s="36">
        <v>95000</v>
      </c>
      <c r="T38" s="36">
        <v>336000</v>
      </c>
      <c r="U38" s="36">
        <v>1373281.682304</v>
      </c>
      <c r="V38" s="36">
        <v>1933281.682304</v>
      </c>
      <c r="W38" s="36">
        <v>12</v>
      </c>
      <c r="X38" s="36">
        <v>161106.80685866668</v>
      </c>
      <c r="Z38" s="36">
        <v>161106.80685866668</v>
      </c>
      <c r="AA38" s="36">
        <v>156349.82</v>
      </c>
      <c r="AB38" s="36">
        <v>4756.9868586666707</v>
      </c>
    </row>
    <row r="39" spans="1:28">
      <c r="A39" s="291">
        <v>34</v>
      </c>
      <c r="B39" s="36" t="s">
        <v>419</v>
      </c>
      <c r="C39" s="36">
        <v>173329.04949999999</v>
      </c>
      <c r="D39" s="36">
        <v>12</v>
      </c>
      <c r="E39" s="36">
        <v>2079948.594</v>
      </c>
      <c r="I39" s="36">
        <v>2079948.594</v>
      </c>
      <c r="J39" s="36">
        <v>200000</v>
      </c>
      <c r="K39" s="36">
        <v>0.2</v>
      </c>
      <c r="L39" s="36">
        <v>415989.71880000003</v>
      </c>
      <c r="M39" s="36">
        <v>615989.71880000003</v>
      </c>
      <c r="N39" s="36">
        <v>615989.71880000003</v>
      </c>
      <c r="O39" s="36">
        <v>1463958.8752000001</v>
      </c>
      <c r="P39" s="36">
        <v>21000</v>
      </c>
      <c r="Q39" s="36">
        <v>33000</v>
      </c>
      <c r="R39" s="36">
        <v>75000</v>
      </c>
      <c r="S39" s="36">
        <v>69152.186288000026</v>
      </c>
      <c r="T39" s="36">
        <v>0</v>
      </c>
      <c r="V39" s="36">
        <v>198152.18628800003</v>
      </c>
      <c r="W39" s="36">
        <v>12</v>
      </c>
      <c r="X39" s="36">
        <v>16512.68219066667</v>
      </c>
      <c r="Z39" s="36">
        <v>16512.68219066667</v>
      </c>
      <c r="AA39" s="36">
        <v>16512.68</v>
      </c>
      <c r="AB39" s="36">
        <v>2.1906666697759647E-3</v>
      </c>
    </row>
    <row r="40" spans="1:28">
      <c r="A40" s="291"/>
    </row>
    <row r="41" spans="1:28">
      <c r="A41" s="291"/>
    </row>
    <row r="42" spans="1:28">
      <c r="A42" s="291">
        <v>35</v>
      </c>
      <c r="B42" s="36" t="s">
        <v>255</v>
      </c>
      <c r="C42" s="36">
        <v>1050209.0635000002</v>
      </c>
      <c r="D42" s="36">
        <v>12</v>
      </c>
      <c r="E42" s="36">
        <v>12602508.762000002</v>
      </c>
      <c r="I42" s="36">
        <v>12602508.762000002</v>
      </c>
      <c r="J42" s="36">
        <v>200000</v>
      </c>
      <c r="K42" s="36">
        <v>0.2</v>
      </c>
      <c r="L42" s="36">
        <v>2520501.7524000006</v>
      </c>
      <c r="M42" s="36">
        <v>2720501.7524000006</v>
      </c>
      <c r="N42" s="36">
        <v>2720501.7524000006</v>
      </c>
      <c r="O42" s="36">
        <v>9882007.0096000023</v>
      </c>
      <c r="P42" s="36">
        <v>21000</v>
      </c>
      <c r="Q42" s="36">
        <v>33000</v>
      </c>
      <c r="R42" s="36">
        <v>75000</v>
      </c>
      <c r="S42" s="36">
        <v>95000</v>
      </c>
      <c r="T42" s="36">
        <v>336000</v>
      </c>
      <c r="U42" s="36">
        <v>1603681.6823040005</v>
      </c>
      <c r="V42" s="36">
        <v>2163681.6823040005</v>
      </c>
      <c r="W42" s="36">
        <v>12</v>
      </c>
      <c r="X42" s="36">
        <v>180306.80685866671</v>
      </c>
      <c r="Z42" s="36">
        <v>180306.80685866671</v>
      </c>
      <c r="AA42" s="36">
        <v>180306.81</v>
      </c>
      <c r="AB42" s="36">
        <v>-3.1413332908414304E-3</v>
      </c>
    </row>
    <row r="43" spans="1:28">
      <c r="A43" s="291">
        <v>36</v>
      </c>
      <c r="B43" s="36" t="s">
        <v>158</v>
      </c>
      <c r="C43" s="36">
        <v>527553.50249999994</v>
      </c>
      <c r="D43" s="36">
        <v>12</v>
      </c>
      <c r="E43" s="36">
        <v>6330642.0299999993</v>
      </c>
      <c r="I43" s="36">
        <v>6330642.0299999993</v>
      </c>
      <c r="J43" s="36">
        <v>200000</v>
      </c>
      <c r="K43" s="36">
        <v>0.2</v>
      </c>
      <c r="L43" s="36">
        <v>1266128.406</v>
      </c>
      <c r="M43" s="36">
        <v>1466128.406</v>
      </c>
      <c r="N43" s="36">
        <v>1466128.406</v>
      </c>
      <c r="O43" s="36">
        <v>4864513.6239999998</v>
      </c>
      <c r="P43" s="36">
        <v>21000</v>
      </c>
      <c r="Q43" s="36">
        <v>33000</v>
      </c>
      <c r="R43" s="36">
        <v>75000</v>
      </c>
      <c r="S43" s="36">
        <v>95000</v>
      </c>
      <c r="T43" s="36">
        <v>336000</v>
      </c>
      <c r="U43" s="36">
        <v>399483.26975999994</v>
      </c>
      <c r="V43" s="36">
        <v>959483.26975999994</v>
      </c>
      <c r="W43" s="36">
        <v>12</v>
      </c>
      <c r="X43" s="36">
        <v>79956.939146666657</v>
      </c>
      <c r="Z43" s="36">
        <v>79956.939146666657</v>
      </c>
      <c r="AA43" s="36">
        <v>79956.94</v>
      </c>
      <c r="AB43" s="36">
        <v>-8.5333334573078901E-4</v>
      </c>
    </row>
    <row r="44" spans="1:28">
      <c r="A44" s="291">
        <v>37</v>
      </c>
      <c r="B44" s="36" t="s">
        <v>165</v>
      </c>
      <c r="C44" s="36">
        <v>527553.50249999994</v>
      </c>
      <c r="D44" s="36">
        <v>12</v>
      </c>
      <c r="E44" s="36">
        <v>6330642.0299999993</v>
      </c>
      <c r="I44" s="36">
        <v>6330642.0299999993</v>
      </c>
      <c r="J44" s="36">
        <v>200000</v>
      </c>
      <c r="K44" s="36">
        <v>0.2</v>
      </c>
      <c r="L44" s="36">
        <v>1266128.406</v>
      </c>
      <c r="M44" s="36">
        <v>1466128.406</v>
      </c>
      <c r="N44" s="36">
        <v>1466128.406</v>
      </c>
      <c r="O44" s="36">
        <v>4864513.6239999998</v>
      </c>
      <c r="P44" s="36">
        <v>21000</v>
      </c>
      <c r="Q44" s="36">
        <v>33000</v>
      </c>
      <c r="R44" s="36">
        <v>75000</v>
      </c>
      <c r="S44" s="36">
        <v>95000</v>
      </c>
      <c r="T44" s="36">
        <v>336000</v>
      </c>
      <c r="U44" s="36">
        <v>399483.26975999994</v>
      </c>
      <c r="V44" s="36">
        <v>959483.26975999994</v>
      </c>
      <c r="W44" s="36">
        <v>12</v>
      </c>
      <c r="X44" s="36">
        <v>79956.939146666657</v>
      </c>
      <c r="Z44" s="36">
        <v>79956.939146666657</v>
      </c>
      <c r="AA44" s="36">
        <v>79956.94</v>
      </c>
      <c r="AB44" s="36">
        <v>-8.5333334573078901E-4</v>
      </c>
    </row>
    <row r="45" spans="1:28">
      <c r="A45" s="291">
        <v>38</v>
      </c>
      <c r="B45" s="36" t="s">
        <v>159</v>
      </c>
      <c r="C45" s="36">
        <v>527553.50249999994</v>
      </c>
      <c r="D45" s="36">
        <v>12</v>
      </c>
      <c r="E45" s="36">
        <v>6330642.0299999993</v>
      </c>
      <c r="I45" s="36">
        <v>6330642.0299999993</v>
      </c>
      <c r="J45" s="36">
        <v>200000</v>
      </c>
      <c r="K45" s="36">
        <v>0.2</v>
      </c>
      <c r="L45" s="36">
        <v>1266128.406</v>
      </c>
      <c r="M45" s="36">
        <v>1466128.406</v>
      </c>
      <c r="N45" s="36">
        <v>1466128.406</v>
      </c>
      <c r="O45" s="36">
        <v>4864513.6239999998</v>
      </c>
      <c r="P45" s="36">
        <v>21000</v>
      </c>
      <c r="Q45" s="36">
        <v>33000</v>
      </c>
      <c r="R45" s="36">
        <v>75000</v>
      </c>
      <c r="S45" s="36">
        <v>95000</v>
      </c>
      <c r="T45" s="36">
        <v>336000</v>
      </c>
      <c r="U45" s="36">
        <v>399483.26975999994</v>
      </c>
      <c r="V45" s="36">
        <v>959483.26975999994</v>
      </c>
      <c r="W45" s="36">
        <v>12</v>
      </c>
      <c r="X45" s="36">
        <v>79956.939146666657</v>
      </c>
      <c r="Z45" s="36">
        <v>79956.939146666657</v>
      </c>
      <c r="AA45" s="36">
        <v>77764.98</v>
      </c>
      <c r="AB45" s="36">
        <v>2191.9591466666607</v>
      </c>
    </row>
    <row r="46" spans="1:28">
      <c r="A46" s="291">
        <v>39</v>
      </c>
      <c r="B46" s="36" t="s">
        <v>118</v>
      </c>
      <c r="C46" s="36">
        <v>476014.86000000004</v>
      </c>
      <c r="D46" s="36">
        <v>12</v>
      </c>
      <c r="E46" s="36">
        <v>5712178.3200000003</v>
      </c>
      <c r="I46" s="36">
        <v>5712178.3200000003</v>
      </c>
      <c r="J46" s="36">
        <v>200000</v>
      </c>
      <c r="K46" s="36">
        <v>0.2</v>
      </c>
      <c r="L46" s="36">
        <v>1142435.6640000001</v>
      </c>
      <c r="M46" s="36">
        <v>1342435.6640000001</v>
      </c>
      <c r="N46" s="36">
        <v>1342435.6640000001</v>
      </c>
      <c r="O46" s="36">
        <v>4369742.6560000004</v>
      </c>
      <c r="P46" s="36">
        <v>21000</v>
      </c>
      <c r="Q46" s="36">
        <v>33000</v>
      </c>
      <c r="R46" s="36">
        <v>75000</v>
      </c>
      <c r="S46" s="36">
        <v>95000</v>
      </c>
      <c r="T46" s="36">
        <v>336000</v>
      </c>
      <c r="U46" s="36">
        <v>280738.23744000011</v>
      </c>
      <c r="V46" s="36">
        <v>840738.23744000006</v>
      </c>
      <c r="W46" s="36">
        <v>12</v>
      </c>
      <c r="X46" s="36">
        <v>70061.519786666671</v>
      </c>
      <c r="Z46" s="36">
        <v>70061.519786666671</v>
      </c>
      <c r="AA46" s="36">
        <v>75436.115322666665</v>
      </c>
      <c r="AB46" s="36">
        <v>-5374.5955359999934</v>
      </c>
    </row>
    <row r="47" spans="1:28">
      <c r="A47" s="291">
        <v>40</v>
      </c>
      <c r="B47" s="36" t="s">
        <v>205</v>
      </c>
      <c r="C47" s="36">
        <v>413333.03525000007</v>
      </c>
      <c r="D47" s="36">
        <v>12</v>
      </c>
      <c r="E47" s="36">
        <v>4959996.4230000004</v>
      </c>
      <c r="F47" s="36">
        <v>8546.5400000000009</v>
      </c>
      <c r="I47" s="36">
        <v>4951449.8830000004</v>
      </c>
      <c r="J47" s="36">
        <v>200000</v>
      </c>
      <c r="K47" s="36">
        <v>0.2</v>
      </c>
      <c r="L47" s="36">
        <v>990289.97660000017</v>
      </c>
      <c r="M47" s="36">
        <v>1190289.9766000002</v>
      </c>
      <c r="N47" s="36">
        <v>1198836.5166000002</v>
      </c>
      <c r="O47" s="36">
        <v>3761159.9064000002</v>
      </c>
      <c r="P47" s="36">
        <v>21000</v>
      </c>
      <c r="Q47" s="36">
        <v>33000</v>
      </c>
      <c r="R47" s="36">
        <v>75000</v>
      </c>
      <c r="S47" s="36">
        <v>95000</v>
      </c>
      <c r="T47" s="36">
        <v>336000</v>
      </c>
      <c r="U47" s="36">
        <v>134678.37753600004</v>
      </c>
      <c r="V47" s="36">
        <v>694678.37753599999</v>
      </c>
      <c r="W47" s="36">
        <v>12</v>
      </c>
      <c r="X47" s="36">
        <v>57889.864794666668</v>
      </c>
      <c r="Z47" s="36">
        <v>57889.864794666668</v>
      </c>
      <c r="AA47" s="36">
        <v>56478.9</v>
      </c>
      <c r="AB47" s="36">
        <v>1410.9647946666664</v>
      </c>
    </row>
    <row r="48" spans="1:28">
      <c r="A48" s="291">
        <v>41</v>
      </c>
      <c r="B48" s="36" t="s">
        <v>173</v>
      </c>
      <c r="C48" s="36">
        <v>413333.03525000007</v>
      </c>
      <c r="D48" s="36">
        <v>12</v>
      </c>
      <c r="E48" s="36">
        <v>4959996.4230000004</v>
      </c>
      <c r="I48" s="36">
        <v>4959996.4230000004</v>
      </c>
      <c r="J48" s="36">
        <v>200000</v>
      </c>
      <c r="K48" s="36">
        <v>0.2</v>
      </c>
      <c r="L48" s="36">
        <v>991999.28460000013</v>
      </c>
      <c r="M48" s="36">
        <v>1191999.2846000001</v>
      </c>
      <c r="N48" s="36">
        <v>1191999.2846000001</v>
      </c>
      <c r="O48" s="36">
        <v>3767997.1384000005</v>
      </c>
      <c r="P48" s="36">
        <v>21000</v>
      </c>
      <c r="Q48" s="36">
        <v>33000</v>
      </c>
      <c r="R48" s="36">
        <v>75000</v>
      </c>
      <c r="S48" s="36">
        <v>95000</v>
      </c>
      <c r="T48" s="36">
        <v>336000</v>
      </c>
      <c r="U48" s="36">
        <v>136319.31321600013</v>
      </c>
      <c r="V48" s="36">
        <v>696319.3132160001</v>
      </c>
      <c r="W48" s="36">
        <v>12</v>
      </c>
      <c r="X48" s="36">
        <v>58026.609434666672</v>
      </c>
      <c r="Z48" s="36">
        <v>58026.609434666672</v>
      </c>
      <c r="AA48" s="36">
        <v>56478.9</v>
      </c>
      <c r="AB48" s="36">
        <v>1547.7094346666709</v>
      </c>
    </row>
    <row r="49" spans="1:28">
      <c r="A49" s="291">
        <v>42</v>
      </c>
      <c r="B49" s="36" t="s">
        <v>116</v>
      </c>
      <c r="C49" s="36">
        <v>400272.06374999997</v>
      </c>
      <c r="D49" s="36">
        <v>12</v>
      </c>
      <c r="E49" s="36">
        <v>4803264.7649999997</v>
      </c>
      <c r="I49" s="36">
        <v>4803264.7649999997</v>
      </c>
      <c r="J49" s="36">
        <v>200000</v>
      </c>
      <c r="K49" s="36">
        <v>0.2</v>
      </c>
      <c r="L49" s="36">
        <v>960652.95299999998</v>
      </c>
      <c r="M49" s="36">
        <v>1160652.953</v>
      </c>
      <c r="N49" s="36">
        <v>1160652.953</v>
      </c>
      <c r="O49" s="36">
        <v>3642611.8119999999</v>
      </c>
      <c r="P49" s="36">
        <v>21000</v>
      </c>
      <c r="Q49" s="36">
        <v>33000</v>
      </c>
      <c r="R49" s="36">
        <v>75000</v>
      </c>
      <c r="S49" s="36">
        <v>95000</v>
      </c>
      <c r="T49" s="36">
        <v>336000</v>
      </c>
      <c r="U49" s="36">
        <v>106226.83487999998</v>
      </c>
      <c r="V49" s="36">
        <v>666226.83487999998</v>
      </c>
      <c r="W49" s="36">
        <v>12</v>
      </c>
      <c r="X49" s="36">
        <v>55518.902906666663</v>
      </c>
      <c r="Z49" s="36">
        <v>55518.902906666663</v>
      </c>
      <c r="AA49" s="36">
        <v>54931.400186666666</v>
      </c>
      <c r="AB49" s="36">
        <v>587.50271999999677</v>
      </c>
    </row>
    <row r="50" spans="1:28">
      <c r="A50" s="291">
        <v>43</v>
      </c>
      <c r="B50" s="36" t="s">
        <v>184</v>
      </c>
      <c r="C50" s="36">
        <v>369177.65375</v>
      </c>
      <c r="D50" s="36">
        <v>12</v>
      </c>
      <c r="E50" s="36">
        <v>4430131.8449999997</v>
      </c>
      <c r="I50" s="36">
        <v>4430131.8449999997</v>
      </c>
      <c r="J50" s="36">
        <v>200000</v>
      </c>
      <c r="K50" s="36">
        <v>0.2</v>
      </c>
      <c r="L50" s="36">
        <v>886026.36899999995</v>
      </c>
      <c r="M50" s="36">
        <v>1086026.3689999999</v>
      </c>
      <c r="N50" s="36">
        <v>1086026.3689999999</v>
      </c>
      <c r="O50" s="36">
        <v>3344105.4759999998</v>
      </c>
      <c r="P50" s="36">
        <v>21000</v>
      </c>
      <c r="Q50" s="36">
        <v>33000</v>
      </c>
      <c r="R50" s="36">
        <v>75000</v>
      </c>
      <c r="S50" s="36">
        <v>95000</v>
      </c>
      <c r="T50" s="36">
        <v>336000</v>
      </c>
      <c r="U50" s="36">
        <v>34585.314239999949</v>
      </c>
      <c r="V50" s="36">
        <v>594585.31423999998</v>
      </c>
      <c r="W50" s="36">
        <v>12</v>
      </c>
      <c r="X50" s="36">
        <v>49548.776186666662</v>
      </c>
      <c r="Z50" s="36">
        <v>49548.776186666662</v>
      </c>
      <c r="AA50" s="36">
        <v>48052.11</v>
      </c>
      <c r="AB50" s="36">
        <v>1496.6661866666618</v>
      </c>
    </row>
    <row r="51" spans="1:28">
      <c r="A51" s="291">
        <v>44</v>
      </c>
      <c r="B51" s="36" t="s">
        <v>420</v>
      </c>
      <c r="C51" s="36">
        <v>245204.0845</v>
      </c>
      <c r="D51" s="36">
        <v>12</v>
      </c>
      <c r="E51" s="36">
        <v>2942449.014</v>
      </c>
      <c r="F51" s="36">
        <v>7422.38</v>
      </c>
      <c r="I51" s="36">
        <v>2935026.6340000001</v>
      </c>
      <c r="J51" s="36">
        <v>200000</v>
      </c>
      <c r="K51" s="36">
        <v>0.2</v>
      </c>
      <c r="L51" s="36">
        <v>587005.32680000004</v>
      </c>
      <c r="M51" s="36">
        <v>787005.32680000004</v>
      </c>
      <c r="N51" s="36">
        <v>794427.70680000004</v>
      </c>
      <c r="O51" s="36">
        <v>2148021.3071999997</v>
      </c>
      <c r="P51" s="36">
        <v>21000</v>
      </c>
      <c r="Q51" s="36">
        <v>33000</v>
      </c>
      <c r="R51" s="36">
        <v>75000</v>
      </c>
      <c r="S51" s="36">
        <v>95000</v>
      </c>
      <c r="T51" s="36">
        <v>115084.47451199993</v>
      </c>
      <c r="U51" s="36">
        <v>0</v>
      </c>
      <c r="V51" s="36">
        <v>339084.47451199993</v>
      </c>
      <c r="W51" s="36">
        <v>12</v>
      </c>
      <c r="X51" s="36">
        <v>28360.952862666662</v>
      </c>
      <c r="Z51" s="36">
        <v>28360.952862666662</v>
      </c>
      <c r="AA51" s="36">
        <v>28360.95</v>
      </c>
      <c r="AB51" s="36">
        <v>2.8626666608033702E-3</v>
      </c>
    </row>
    <row r="52" spans="1:28">
      <c r="A52" s="291">
        <v>45</v>
      </c>
      <c r="B52" s="36" t="s">
        <v>435</v>
      </c>
      <c r="C52" s="36">
        <v>245204.0845</v>
      </c>
      <c r="D52" s="36">
        <v>12</v>
      </c>
      <c r="E52" s="36">
        <v>2942449.014</v>
      </c>
      <c r="I52" s="36">
        <v>2942449.014</v>
      </c>
      <c r="J52" s="36">
        <v>200000</v>
      </c>
      <c r="K52" s="36">
        <v>0.2</v>
      </c>
      <c r="L52" s="36">
        <v>588489.80280000006</v>
      </c>
      <c r="M52" s="36">
        <v>788489.80280000006</v>
      </c>
      <c r="N52" s="36">
        <v>788489.80280000006</v>
      </c>
      <c r="O52" s="36">
        <v>2153959.2111999998</v>
      </c>
      <c r="P52" s="36">
        <v>21000</v>
      </c>
      <c r="Q52" s="36">
        <v>33000</v>
      </c>
      <c r="R52" s="36">
        <v>75000</v>
      </c>
      <c r="S52" s="36">
        <v>95000</v>
      </c>
      <c r="T52" s="36">
        <v>116331.43435199995</v>
      </c>
      <c r="V52" s="36">
        <v>340331.43435199995</v>
      </c>
      <c r="W52" s="36">
        <v>12</v>
      </c>
      <c r="X52" s="36">
        <v>28360.952862666662</v>
      </c>
      <c r="Z52" s="36">
        <v>28360.952862666662</v>
      </c>
      <c r="AA52" s="36">
        <v>28360.95</v>
      </c>
      <c r="AB52" s="36">
        <v>2.8626666608033702E-3</v>
      </c>
    </row>
    <row r="53" spans="1:28">
      <c r="A53" s="291">
        <v>46</v>
      </c>
      <c r="B53" s="36" t="s">
        <v>452</v>
      </c>
      <c r="C53" s="36">
        <v>245205.0845</v>
      </c>
      <c r="D53" s="36">
        <v>12</v>
      </c>
      <c r="E53" s="36">
        <v>2942461.014</v>
      </c>
      <c r="I53" s="36">
        <v>2942461.014</v>
      </c>
      <c r="J53" s="36">
        <v>200000</v>
      </c>
      <c r="K53" s="36">
        <v>0.2</v>
      </c>
      <c r="L53" s="36">
        <v>588492.20279999997</v>
      </c>
      <c r="M53" s="36">
        <v>788492.20279999997</v>
      </c>
      <c r="N53" s="36">
        <v>788492.20279999997</v>
      </c>
      <c r="O53" s="36">
        <v>2153968.8111999999</v>
      </c>
      <c r="P53" s="36">
        <v>21000</v>
      </c>
      <c r="Q53" s="36">
        <v>33000</v>
      </c>
      <c r="R53" s="36">
        <v>75000</v>
      </c>
      <c r="S53" s="36">
        <v>95000</v>
      </c>
      <c r="T53" s="36">
        <v>116333.45035199997</v>
      </c>
      <c r="V53" s="36">
        <v>340333.45035199996</v>
      </c>
      <c r="W53" s="36">
        <v>12</v>
      </c>
      <c r="X53" s="36">
        <v>28360.952862666662</v>
      </c>
      <c r="Z53" s="36">
        <v>28360.952862666662</v>
      </c>
      <c r="AA53" s="36">
        <v>28360.95</v>
      </c>
      <c r="AB53" s="36">
        <v>2.8626666608033702E-3</v>
      </c>
    </row>
    <row r="54" spans="1:28">
      <c r="A54" s="291"/>
    </row>
    <row r="55" spans="1:28">
      <c r="A55" s="291"/>
    </row>
    <row r="56" spans="1:28">
      <c r="A56" s="291">
        <v>47</v>
      </c>
      <c r="B56" s="36" t="s">
        <v>11</v>
      </c>
      <c r="C56" s="36">
        <v>1050209.0635000002</v>
      </c>
      <c r="D56" s="36">
        <v>12</v>
      </c>
      <c r="E56" s="36">
        <v>12602508.762000002</v>
      </c>
      <c r="I56" s="36">
        <v>12602508.762000002</v>
      </c>
      <c r="J56" s="36">
        <v>200000</v>
      </c>
      <c r="K56" s="36">
        <v>0.2</v>
      </c>
      <c r="L56" s="36">
        <v>2520501.7524000006</v>
      </c>
      <c r="M56" s="36">
        <v>2720501.7524000006</v>
      </c>
      <c r="N56" s="36">
        <v>2720501.7524000006</v>
      </c>
      <c r="O56" s="36">
        <v>9882007.0096000023</v>
      </c>
      <c r="P56" s="36">
        <v>21000</v>
      </c>
      <c r="Q56" s="36">
        <v>33000</v>
      </c>
      <c r="R56" s="36">
        <v>75000</v>
      </c>
      <c r="S56" s="36">
        <v>95000</v>
      </c>
      <c r="T56" s="36">
        <v>336000</v>
      </c>
      <c r="U56" s="36">
        <v>1603681.6823040005</v>
      </c>
      <c r="V56" s="36">
        <v>2163681.6823040005</v>
      </c>
      <c r="W56" s="36">
        <v>12</v>
      </c>
      <c r="X56" s="36">
        <v>180306.80685866671</v>
      </c>
      <c r="Z56" s="36">
        <v>180306.80685866671</v>
      </c>
      <c r="AA56" s="36">
        <v>180306.80685866671</v>
      </c>
      <c r="AB56" s="36">
        <v>0</v>
      </c>
    </row>
    <row r="57" spans="1:28">
      <c r="A57" s="291">
        <v>48</v>
      </c>
      <c r="B57" s="36" t="s">
        <v>276</v>
      </c>
      <c r="C57" s="36">
        <v>436137.05000000005</v>
      </c>
      <c r="D57" s="36">
        <v>12</v>
      </c>
      <c r="E57" s="36">
        <v>5233644.6000000006</v>
      </c>
      <c r="I57" s="36">
        <v>5233644.6000000006</v>
      </c>
      <c r="J57" s="36">
        <v>200000</v>
      </c>
      <c r="K57" s="36">
        <v>0.2</v>
      </c>
      <c r="L57" s="36">
        <v>1046728.9200000002</v>
      </c>
      <c r="M57" s="36">
        <v>1246728.9200000002</v>
      </c>
      <c r="N57" s="36">
        <v>1246728.9200000002</v>
      </c>
      <c r="O57" s="36">
        <v>3986915.6800000006</v>
      </c>
      <c r="P57" s="36">
        <v>21000</v>
      </c>
      <c r="Q57" s="36">
        <v>33000</v>
      </c>
      <c r="R57" s="36">
        <v>75000</v>
      </c>
      <c r="S57" s="36">
        <v>95000</v>
      </c>
      <c r="T57" s="36">
        <v>336000</v>
      </c>
      <c r="U57" s="36">
        <v>188859.76320000013</v>
      </c>
      <c r="V57" s="36">
        <v>748859.76320000016</v>
      </c>
      <c r="W57" s="36">
        <v>12</v>
      </c>
      <c r="X57" s="36">
        <v>62404.98026666668</v>
      </c>
      <c r="Z57" s="36">
        <v>62404.98026666668</v>
      </c>
    </row>
    <row r="58" spans="1:28">
      <c r="A58" s="291"/>
    </row>
    <row r="59" spans="1:28">
      <c r="A59" s="291"/>
    </row>
    <row r="60" spans="1:28">
      <c r="A60" s="291">
        <v>49</v>
      </c>
      <c r="B60" s="36" t="s">
        <v>277</v>
      </c>
      <c r="C60" s="36">
        <v>1050209.0635000002</v>
      </c>
      <c r="D60" s="36">
        <v>12</v>
      </c>
      <c r="E60" s="36">
        <v>12602508.762000002</v>
      </c>
      <c r="I60" s="36">
        <v>12602508.762000002</v>
      </c>
      <c r="J60" s="36">
        <v>200000</v>
      </c>
      <c r="K60" s="36">
        <v>0.2</v>
      </c>
      <c r="L60" s="36">
        <v>2520501.7524000006</v>
      </c>
      <c r="M60" s="36">
        <v>2720501.7524000006</v>
      </c>
      <c r="N60" s="36">
        <v>2720501.7524000006</v>
      </c>
      <c r="O60" s="36">
        <v>9882007.0096000023</v>
      </c>
      <c r="P60" s="36">
        <v>21000</v>
      </c>
      <c r="Q60" s="36">
        <v>33000</v>
      </c>
      <c r="R60" s="36">
        <v>75000</v>
      </c>
      <c r="S60" s="36">
        <v>95000</v>
      </c>
      <c r="T60" s="36">
        <v>336000</v>
      </c>
      <c r="U60" s="36">
        <v>1603681.6823040005</v>
      </c>
      <c r="V60" s="36">
        <v>2163681.6823040005</v>
      </c>
      <c r="W60" s="36">
        <v>12</v>
      </c>
      <c r="X60" s="36">
        <v>180306.80685866671</v>
      </c>
      <c r="Z60" s="36">
        <v>180306.80685866671</v>
      </c>
      <c r="AA60" s="36">
        <v>180306.81</v>
      </c>
      <c r="AB60" s="36">
        <v>-3.1413332908414304E-3</v>
      </c>
    </row>
    <row r="61" spans="1:28">
      <c r="A61" s="291">
        <v>50</v>
      </c>
      <c r="B61" s="36" t="s">
        <v>332</v>
      </c>
      <c r="C61" s="36">
        <v>504720.04700000002</v>
      </c>
      <c r="D61" s="36">
        <v>12</v>
      </c>
      <c r="E61" s="36">
        <v>6056640.5640000002</v>
      </c>
      <c r="I61" s="36">
        <v>6056640.5640000002</v>
      </c>
      <c r="J61" s="36">
        <v>200000</v>
      </c>
      <c r="K61" s="36">
        <v>0.2</v>
      </c>
      <c r="L61" s="36">
        <v>1211328.1128</v>
      </c>
      <c r="M61" s="36">
        <v>1411328.1128</v>
      </c>
      <c r="N61" s="36">
        <v>1411328.1128</v>
      </c>
      <c r="O61" s="36">
        <v>4645312.4512</v>
      </c>
      <c r="P61" s="36">
        <v>21000</v>
      </c>
      <c r="Q61" s="36">
        <v>33000</v>
      </c>
      <c r="R61" s="36">
        <v>75000</v>
      </c>
      <c r="S61" s="36">
        <v>95000</v>
      </c>
      <c r="T61" s="36">
        <v>336000</v>
      </c>
      <c r="U61" s="36">
        <v>346874.98828799999</v>
      </c>
      <c r="V61" s="36">
        <v>906874.98828799999</v>
      </c>
      <c r="W61" s="36">
        <v>12</v>
      </c>
      <c r="X61" s="36">
        <v>75572.915690666661</v>
      </c>
      <c r="Z61" s="36">
        <v>75572.915690666661</v>
      </c>
      <c r="AA61" s="36">
        <v>75572.92</v>
      </c>
      <c r="AB61" s="36">
        <v>-4.3093333370052278E-3</v>
      </c>
    </row>
    <row r="62" spans="1:28">
      <c r="A62" s="291">
        <v>51</v>
      </c>
      <c r="B62" s="36" t="s">
        <v>189</v>
      </c>
      <c r="C62" s="36">
        <v>369177.65375</v>
      </c>
      <c r="D62" s="36">
        <v>12</v>
      </c>
      <c r="E62" s="36">
        <v>4430131.8449999997</v>
      </c>
      <c r="I62" s="36">
        <v>4430131.8449999997</v>
      </c>
      <c r="J62" s="36">
        <v>200000</v>
      </c>
      <c r="K62" s="36">
        <v>0.2</v>
      </c>
      <c r="L62" s="36">
        <v>886026.36899999995</v>
      </c>
      <c r="M62" s="36">
        <v>1086026.3689999999</v>
      </c>
      <c r="N62" s="36">
        <v>1086026.3689999999</v>
      </c>
      <c r="O62" s="36">
        <v>3344105.4759999998</v>
      </c>
      <c r="P62" s="36">
        <v>21000</v>
      </c>
      <c r="Q62" s="36">
        <v>33000</v>
      </c>
      <c r="R62" s="36">
        <v>75000</v>
      </c>
      <c r="S62" s="36">
        <v>95000</v>
      </c>
      <c r="T62" s="36">
        <v>336000</v>
      </c>
      <c r="U62" s="36">
        <v>34585.314239999949</v>
      </c>
      <c r="V62" s="36">
        <v>594585.31423999998</v>
      </c>
      <c r="W62" s="36">
        <v>12</v>
      </c>
      <c r="X62" s="36">
        <v>49548.776186666662</v>
      </c>
      <c r="Z62" s="36">
        <v>49548.776186666662</v>
      </c>
      <c r="AA62" s="36">
        <v>48170.87</v>
      </c>
      <c r="AB62" s="36">
        <v>1377.9061866666598</v>
      </c>
    </row>
    <row r="63" spans="1:28">
      <c r="A63" s="291">
        <v>52</v>
      </c>
      <c r="B63" s="36" t="s">
        <v>448</v>
      </c>
      <c r="C63" s="36">
        <v>362001.06049999996</v>
      </c>
      <c r="D63" s="36">
        <v>12</v>
      </c>
      <c r="E63" s="36">
        <v>4344012.7259999998</v>
      </c>
      <c r="I63" s="36">
        <v>4344012.7259999998</v>
      </c>
      <c r="J63" s="36">
        <v>200000</v>
      </c>
      <c r="K63" s="36">
        <v>0.2</v>
      </c>
      <c r="L63" s="36">
        <v>868802.54520000005</v>
      </c>
      <c r="M63" s="36">
        <v>1068802.5452000001</v>
      </c>
      <c r="N63" s="36">
        <v>1068802.5452000001</v>
      </c>
      <c r="O63" s="36">
        <v>3275210.1807999997</v>
      </c>
      <c r="P63" s="36">
        <v>21000</v>
      </c>
      <c r="Q63" s="36">
        <v>33000</v>
      </c>
      <c r="R63" s="36">
        <v>75000</v>
      </c>
      <c r="S63" s="36">
        <v>95000</v>
      </c>
      <c r="T63" s="36">
        <v>336000</v>
      </c>
      <c r="U63" s="36">
        <v>18050.443391999936</v>
      </c>
      <c r="V63" s="36">
        <v>578050.44339199993</v>
      </c>
      <c r="W63" s="36">
        <v>12</v>
      </c>
      <c r="X63" s="36">
        <v>48170.870282666663</v>
      </c>
      <c r="Z63" s="36">
        <v>48170.870282666663</v>
      </c>
      <c r="AA63" s="36">
        <v>46673.26</v>
      </c>
      <c r="AB63" s="36">
        <v>1497.6102826666611</v>
      </c>
    </row>
    <row r="64" spans="1:28">
      <c r="A64" s="291">
        <v>53</v>
      </c>
      <c r="B64" s="36" t="s">
        <v>229</v>
      </c>
      <c r="C64" s="36">
        <v>413333.03525000007</v>
      </c>
      <c r="D64" s="36">
        <v>12</v>
      </c>
      <c r="E64" s="36">
        <v>4959996.4230000004</v>
      </c>
      <c r="I64" s="36">
        <v>4959996.4230000004</v>
      </c>
      <c r="J64" s="36">
        <v>200000</v>
      </c>
      <c r="K64" s="36">
        <v>0.2</v>
      </c>
      <c r="L64" s="36">
        <v>991999.28460000013</v>
      </c>
      <c r="M64" s="36">
        <v>1191999.2846000001</v>
      </c>
      <c r="N64" s="36">
        <v>1191999.2846000001</v>
      </c>
      <c r="O64" s="36">
        <v>3767997.1384000005</v>
      </c>
      <c r="P64" s="36">
        <v>21000</v>
      </c>
      <c r="Q64" s="36">
        <v>33000</v>
      </c>
      <c r="R64" s="36">
        <v>75000</v>
      </c>
      <c r="S64" s="36">
        <v>95000</v>
      </c>
      <c r="T64" s="36">
        <v>336000</v>
      </c>
      <c r="U64" s="36">
        <v>136319.31321600013</v>
      </c>
      <c r="V64" s="36">
        <v>696319.3132160001</v>
      </c>
      <c r="W64" s="36">
        <v>12</v>
      </c>
      <c r="X64" s="36">
        <v>58026.609434666672</v>
      </c>
      <c r="Z64" s="36">
        <v>58026.609434666672</v>
      </c>
      <c r="AA64" s="36">
        <v>56478.9</v>
      </c>
      <c r="AB64" s="36">
        <v>1547.7094346666709</v>
      </c>
    </row>
    <row r="65" spans="1:28">
      <c r="A65" s="291">
        <v>54</v>
      </c>
      <c r="B65" s="36" t="s">
        <v>117</v>
      </c>
      <c r="C65" s="36">
        <v>300564.016</v>
      </c>
      <c r="D65" s="36">
        <v>12</v>
      </c>
      <c r="E65" s="36">
        <v>3606768.1919999998</v>
      </c>
      <c r="I65" s="36">
        <v>3606768.1919999998</v>
      </c>
      <c r="J65" s="36">
        <v>200000</v>
      </c>
      <c r="K65" s="36">
        <v>0.2</v>
      </c>
      <c r="L65" s="36">
        <v>721353.63840000005</v>
      </c>
      <c r="M65" s="36">
        <v>921353.63840000005</v>
      </c>
      <c r="N65" s="36">
        <v>921353.63840000005</v>
      </c>
      <c r="O65" s="36">
        <v>2685414.5535999998</v>
      </c>
      <c r="P65" s="36">
        <v>21000</v>
      </c>
      <c r="Q65" s="36">
        <v>33000</v>
      </c>
      <c r="R65" s="36">
        <v>75000</v>
      </c>
      <c r="S65" s="36">
        <v>95000</v>
      </c>
      <c r="T65" s="36">
        <v>227937.05625599995</v>
      </c>
      <c r="V65" s="36">
        <v>451937.05625599995</v>
      </c>
      <c r="W65" s="36">
        <v>12</v>
      </c>
      <c r="X65" s="36">
        <v>37661.421354666665</v>
      </c>
      <c r="Z65" s="36">
        <v>37661.421354666665</v>
      </c>
      <c r="AA65" s="36">
        <v>36127.269999999997</v>
      </c>
      <c r="AB65" s="36">
        <v>1534.1513546666683</v>
      </c>
    </row>
    <row r="66" spans="1:28">
      <c r="A66" s="291">
        <v>55</v>
      </c>
      <c r="B66" s="36" t="s">
        <v>182</v>
      </c>
      <c r="C66" s="36">
        <v>334536.99849999999</v>
      </c>
      <c r="D66" s="36">
        <v>12</v>
      </c>
      <c r="E66" s="36">
        <v>4014443.9819999998</v>
      </c>
      <c r="F66" s="36">
        <v>6456.26</v>
      </c>
      <c r="I66" s="36">
        <v>4007987.7220000001</v>
      </c>
      <c r="J66" s="36">
        <v>200000</v>
      </c>
      <c r="K66" s="36">
        <v>0.2</v>
      </c>
      <c r="L66" s="36">
        <v>801597.54440000001</v>
      </c>
      <c r="M66" s="36">
        <v>1001597.5444</v>
      </c>
      <c r="N66" s="36">
        <v>1008053.8044</v>
      </c>
      <c r="O66" s="36">
        <v>3006390.1776000001</v>
      </c>
      <c r="P66" s="36">
        <v>21000</v>
      </c>
      <c r="Q66" s="36">
        <v>33000</v>
      </c>
      <c r="R66" s="36">
        <v>75000</v>
      </c>
      <c r="S66" s="36">
        <v>95000</v>
      </c>
      <c r="T66" s="36">
        <v>295341.93729600002</v>
      </c>
      <c r="V66" s="36">
        <v>519341.93729600002</v>
      </c>
      <c r="W66" s="36">
        <v>12</v>
      </c>
      <c r="X66" s="36">
        <v>43278.494774666666</v>
      </c>
      <c r="Z66" s="36">
        <v>43278.494774666666</v>
      </c>
      <c r="AA66" s="36">
        <v>41248.559999999998</v>
      </c>
      <c r="AB66" s="36">
        <v>2029.9347746666681</v>
      </c>
    </row>
    <row r="67" spans="1:28">
      <c r="A67" s="291">
        <v>56</v>
      </c>
      <c r="B67" s="36" t="s">
        <v>424</v>
      </c>
      <c r="C67" s="36">
        <v>315372.07500000001</v>
      </c>
      <c r="D67" s="36">
        <v>12</v>
      </c>
      <c r="E67" s="36">
        <v>3784464.9000000004</v>
      </c>
      <c r="I67" s="36">
        <v>3784464.9000000004</v>
      </c>
      <c r="J67" s="36">
        <v>200000</v>
      </c>
      <c r="K67" s="36">
        <v>0.2</v>
      </c>
      <c r="L67" s="36">
        <v>756892.9800000001</v>
      </c>
      <c r="M67" s="36">
        <v>956892.9800000001</v>
      </c>
      <c r="N67" s="36">
        <v>956892.9800000001</v>
      </c>
      <c r="O67" s="36">
        <v>2827571.9200000004</v>
      </c>
      <c r="P67" s="36">
        <v>21000</v>
      </c>
      <c r="Q67" s="36">
        <v>33000</v>
      </c>
      <c r="R67" s="36">
        <v>75000</v>
      </c>
      <c r="S67" s="36">
        <v>95000</v>
      </c>
      <c r="T67" s="36">
        <v>257790.10320000007</v>
      </c>
      <c r="V67" s="36">
        <v>481790.10320000007</v>
      </c>
      <c r="W67" s="36">
        <v>12</v>
      </c>
      <c r="X67" s="36">
        <v>40149.175266666673</v>
      </c>
      <c r="Z67" s="36">
        <v>40149.175266666673</v>
      </c>
      <c r="AA67" s="36">
        <v>40149.18</v>
      </c>
      <c r="AB67" s="36">
        <v>-4.7333333277492784E-3</v>
      </c>
    </row>
    <row r="68" spans="1:28">
      <c r="A68" s="291">
        <v>57</v>
      </c>
      <c r="B68" s="36" t="s">
        <v>423</v>
      </c>
      <c r="C68" s="36">
        <v>315372.07500000001</v>
      </c>
      <c r="D68" s="36">
        <v>12</v>
      </c>
      <c r="E68" s="36">
        <v>3784464.9000000004</v>
      </c>
      <c r="I68" s="36">
        <v>3784464.9000000004</v>
      </c>
      <c r="J68" s="36">
        <v>200000</v>
      </c>
      <c r="K68" s="36">
        <v>0.2</v>
      </c>
      <c r="L68" s="36">
        <v>756892.9800000001</v>
      </c>
      <c r="M68" s="36">
        <v>956892.9800000001</v>
      </c>
      <c r="N68" s="36">
        <v>956892.9800000001</v>
      </c>
      <c r="O68" s="36">
        <v>2827571.9200000004</v>
      </c>
      <c r="P68" s="36">
        <v>21000</v>
      </c>
      <c r="Q68" s="36">
        <v>33000</v>
      </c>
      <c r="R68" s="36">
        <v>75000</v>
      </c>
      <c r="S68" s="36">
        <v>95000</v>
      </c>
      <c r="T68" s="36">
        <v>257790.10320000007</v>
      </c>
      <c r="V68" s="36">
        <v>481790.10320000007</v>
      </c>
      <c r="W68" s="36">
        <v>12</v>
      </c>
      <c r="X68" s="36">
        <v>40149.175266666673</v>
      </c>
      <c r="Z68" s="36">
        <v>40149.175266666673</v>
      </c>
      <c r="AA68" s="36">
        <v>40149.18</v>
      </c>
      <c r="AB68" s="36">
        <v>-4.7333333277492784E-3</v>
      </c>
    </row>
    <row r="69" spans="1:28">
      <c r="A69" s="291">
        <v>58</v>
      </c>
      <c r="B69" s="36" t="s">
        <v>242</v>
      </c>
      <c r="C69" s="36">
        <v>322454.07400000002</v>
      </c>
      <c r="D69" s="36">
        <v>12</v>
      </c>
      <c r="E69" s="36">
        <v>3869448.8880000003</v>
      </c>
      <c r="I69" s="36">
        <v>3869448.8880000003</v>
      </c>
      <c r="J69" s="36">
        <v>200000</v>
      </c>
      <c r="K69" s="36">
        <v>0.2</v>
      </c>
      <c r="L69" s="36">
        <v>773889.77760000015</v>
      </c>
      <c r="M69" s="36">
        <v>973889.77760000015</v>
      </c>
      <c r="N69" s="36">
        <v>973889.77760000015</v>
      </c>
      <c r="O69" s="36">
        <v>2895559.1104000001</v>
      </c>
      <c r="P69" s="36">
        <v>21000</v>
      </c>
      <c r="Q69" s="36">
        <v>33000</v>
      </c>
      <c r="R69" s="36">
        <v>75000</v>
      </c>
      <c r="S69" s="36">
        <v>95000</v>
      </c>
      <c r="T69" s="36">
        <v>272067.413184</v>
      </c>
      <c r="V69" s="36">
        <v>496067.413184</v>
      </c>
      <c r="W69" s="36">
        <v>12</v>
      </c>
      <c r="X69" s="36">
        <v>41338.951098666665</v>
      </c>
      <c r="Z69" s="36">
        <v>41338.951098666665</v>
      </c>
      <c r="AA69" s="36">
        <v>41829.147126666663</v>
      </c>
      <c r="AB69" s="36">
        <v>-490.19602799999848</v>
      </c>
    </row>
    <row r="70" spans="1:28">
      <c r="A70" s="291">
        <v>59</v>
      </c>
      <c r="B70" s="36" t="s">
        <v>322</v>
      </c>
      <c r="C70" s="36">
        <v>273169.11749999999</v>
      </c>
      <c r="D70" s="36">
        <v>12</v>
      </c>
      <c r="E70" s="36">
        <v>3278029.41</v>
      </c>
      <c r="I70" s="36">
        <v>3278029.41</v>
      </c>
      <c r="J70" s="36">
        <v>200000</v>
      </c>
      <c r="K70" s="36">
        <v>0.2</v>
      </c>
      <c r="L70" s="36">
        <v>655605.8820000001</v>
      </c>
      <c r="M70" s="36">
        <v>855605.8820000001</v>
      </c>
      <c r="N70" s="36">
        <v>855605.8820000001</v>
      </c>
      <c r="O70" s="36">
        <v>2422423.5279999999</v>
      </c>
      <c r="P70" s="36">
        <v>21000</v>
      </c>
      <c r="Q70" s="36">
        <v>33000</v>
      </c>
      <c r="R70" s="36">
        <v>75000</v>
      </c>
      <c r="S70" s="36">
        <v>95000</v>
      </c>
      <c r="T70" s="36">
        <v>172708.94087999998</v>
      </c>
      <c r="V70" s="36">
        <v>396708.94088000001</v>
      </c>
      <c r="W70" s="36">
        <v>12</v>
      </c>
      <c r="X70" s="36">
        <v>33059.078406666667</v>
      </c>
      <c r="Z70" s="36">
        <v>33059.078406666667</v>
      </c>
      <c r="AA70" s="36">
        <v>32291.82</v>
      </c>
      <c r="AB70" s="36">
        <v>767.25840666666772</v>
      </c>
    </row>
    <row r="71" spans="1:28">
      <c r="A71" s="291">
        <v>60</v>
      </c>
      <c r="B71" s="36" t="s">
        <v>320</v>
      </c>
      <c r="C71" s="36">
        <v>249356.04725</v>
      </c>
      <c r="D71" s="36">
        <v>12</v>
      </c>
      <c r="E71" s="36">
        <v>2992272.5669999998</v>
      </c>
      <c r="I71" s="36">
        <v>2992272.5669999998</v>
      </c>
      <c r="J71" s="36">
        <v>200000</v>
      </c>
      <c r="K71" s="36">
        <v>0.2</v>
      </c>
      <c r="L71" s="36">
        <v>598454.51339999994</v>
      </c>
      <c r="M71" s="36">
        <v>798454.51339999994</v>
      </c>
      <c r="N71" s="36">
        <v>798454.51339999994</v>
      </c>
      <c r="O71" s="36">
        <v>2193818.0535999998</v>
      </c>
      <c r="P71" s="36">
        <v>21000</v>
      </c>
      <c r="Q71" s="36">
        <v>33000</v>
      </c>
      <c r="R71" s="36">
        <v>75000</v>
      </c>
      <c r="S71" s="36">
        <v>95000</v>
      </c>
      <c r="T71" s="36">
        <v>124701.79125599994</v>
      </c>
      <c r="V71" s="36">
        <v>348701.79125599994</v>
      </c>
      <c r="W71" s="36">
        <v>12</v>
      </c>
      <c r="X71" s="36">
        <v>29058.48260466666</v>
      </c>
      <c r="Z71" s="36">
        <v>29058.48260466666</v>
      </c>
      <c r="AA71" s="36">
        <v>24685.95</v>
      </c>
      <c r="AB71" s="36">
        <v>4372.5326046666596</v>
      </c>
    </row>
    <row r="72" spans="1:28">
      <c r="A72" s="291">
        <v>61</v>
      </c>
      <c r="B72" s="36" t="s">
        <v>321</v>
      </c>
      <c r="C72" s="36">
        <v>226816.1</v>
      </c>
      <c r="D72" s="36">
        <v>12</v>
      </c>
      <c r="E72" s="36">
        <v>2721793.2</v>
      </c>
      <c r="I72" s="36">
        <v>2721793.2</v>
      </c>
      <c r="J72" s="36">
        <v>200000</v>
      </c>
      <c r="K72" s="36">
        <v>0.2</v>
      </c>
      <c r="L72" s="36">
        <v>544358.64</v>
      </c>
      <c r="M72" s="36">
        <v>744358.64</v>
      </c>
      <c r="N72" s="36">
        <v>744358.64</v>
      </c>
      <c r="O72" s="36">
        <v>1977434.56</v>
      </c>
      <c r="P72" s="36">
        <v>21000</v>
      </c>
      <c r="Q72" s="36">
        <v>33000</v>
      </c>
      <c r="R72" s="36">
        <v>75000</v>
      </c>
      <c r="S72" s="36">
        <v>95000</v>
      </c>
      <c r="T72" s="36">
        <v>79261.257600000012</v>
      </c>
      <c r="V72" s="36">
        <v>303261.25760000001</v>
      </c>
      <c r="W72" s="36">
        <v>12</v>
      </c>
      <c r="X72" s="36">
        <v>25271.771466666669</v>
      </c>
      <c r="Z72" s="36">
        <v>25271.771466666669</v>
      </c>
      <c r="AA72" s="36">
        <v>24685.95</v>
      </c>
      <c r="AB72" s="36">
        <v>585.82146666666813</v>
      </c>
    </row>
    <row r="73" spans="1:28">
      <c r="A73" s="291"/>
    </row>
    <row r="74" spans="1:28">
      <c r="A74" s="291"/>
    </row>
    <row r="75" spans="1:28">
      <c r="A75" s="291">
        <v>62</v>
      </c>
      <c r="B75" s="36" t="s">
        <v>19</v>
      </c>
      <c r="C75" s="36">
        <v>1050209.0635000002</v>
      </c>
      <c r="D75" s="36">
        <v>12</v>
      </c>
      <c r="E75" s="36">
        <v>12602508.762000002</v>
      </c>
      <c r="I75" s="36">
        <v>12602508.762000002</v>
      </c>
      <c r="J75" s="36">
        <v>200000</v>
      </c>
      <c r="K75" s="36">
        <v>0.2</v>
      </c>
      <c r="L75" s="36">
        <v>2520501.7524000006</v>
      </c>
      <c r="M75" s="36">
        <v>2720501.7524000006</v>
      </c>
      <c r="N75" s="36">
        <v>2720501.7524000006</v>
      </c>
      <c r="O75" s="36">
        <v>9882007.0096000023</v>
      </c>
      <c r="P75" s="36">
        <v>21000</v>
      </c>
      <c r="Q75" s="36">
        <v>33000</v>
      </c>
      <c r="R75" s="36">
        <v>75000</v>
      </c>
      <c r="S75" s="36">
        <v>95000</v>
      </c>
      <c r="T75" s="36">
        <v>336000</v>
      </c>
      <c r="U75" s="36">
        <v>1603681.6823040005</v>
      </c>
      <c r="V75" s="36">
        <v>2163681.6823040005</v>
      </c>
      <c r="W75" s="36">
        <v>12</v>
      </c>
      <c r="X75" s="36">
        <v>180306.80685866671</v>
      </c>
      <c r="Z75" s="36">
        <v>180306.80685866671</v>
      </c>
      <c r="AA75" s="36">
        <v>180306.81</v>
      </c>
      <c r="AB75" s="36">
        <v>-3.1413332908414304E-3</v>
      </c>
    </row>
    <row r="76" spans="1:28">
      <c r="A76" s="291">
        <v>63</v>
      </c>
      <c r="B76" s="36" t="s">
        <v>325</v>
      </c>
      <c r="C76" s="36">
        <v>504720.04700000002</v>
      </c>
      <c r="D76" s="36">
        <v>12</v>
      </c>
      <c r="E76" s="36">
        <v>6056640.5640000002</v>
      </c>
      <c r="I76" s="36">
        <v>6056640.5640000002</v>
      </c>
      <c r="J76" s="36">
        <v>200000</v>
      </c>
      <c r="K76" s="36">
        <v>0.2</v>
      </c>
      <c r="L76" s="36">
        <v>1211328.1128</v>
      </c>
      <c r="M76" s="36">
        <v>1411328.1128</v>
      </c>
      <c r="N76" s="36">
        <v>1411328.1128</v>
      </c>
      <c r="O76" s="36">
        <v>4645312.4512</v>
      </c>
      <c r="P76" s="36">
        <v>21000</v>
      </c>
      <c r="Q76" s="36">
        <v>33000</v>
      </c>
      <c r="R76" s="36">
        <v>75000</v>
      </c>
      <c r="S76" s="36">
        <v>95000</v>
      </c>
      <c r="T76" s="36">
        <v>336000</v>
      </c>
      <c r="U76" s="36">
        <v>346874.98828799999</v>
      </c>
      <c r="V76" s="36">
        <v>906874.98828799999</v>
      </c>
      <c r="W76" s="36">
        <v>12</v>
      </c>
      <c r="X76" s="36">
        <v>75572.915690666661</v>
      </c>
      <c r="Z76" s="36">
        <v>75572.915690666661</v>
      </c>
      <c r="AA76" s="36">
        <v>75572.92</v>
      </c>
      <c r="AB76" s="36">
        <v>-4.3093333370052278E-3</v>
      </c>
    </row>
    <row r="77" spans="1:28">
      <c r="A77" s="291">
        <v>64</v>
      </c>
      <c r="B77" s="36" t="s">
        <v>326</v>
      </c>
      <c r="C77" s="36">
        <v>504720.04700000002</v>
      </c>
      <c r="D77" s="36">
        <v>12</v>
      </c>
      <c r="E77" s="36">
        <v>6056640.5640000002</v>
      </c>
      <c r="I77" s="36">
        <v>6056640.5640000002</v>
      </c>
      <c r="J77" s="36">
        <v>200000</v>
      </c>
      <c r="K77" s="36">
        <v>0.2</v>
      </c>
      <c r="L77" s="36">
        <v>1211328.1128</v>
      </c>
      <c r="M77" s="36">
        <v>1411328.1128</v>
      </c>
      <c r="N77" s="36">
        <v>1411328.1128</v>
      </c>
      <c r="O77" s="36">
        <v>4645312.4512</v>
      </c>
      <c r="P77" s="36">
        <v>21000</v>
      </c>
      <c r="Q77" s="36">
        <v>33000</v>
      </c>
      <c r="R77" s="36">
        <v>75000</v>
      </c>
      <c r="S77" s="36">
        <v>95000</v>
      </c>
      <c r="T77" s="36">
        <v>336000</v>
      </c>
      <c r="U77" s="36">
        <v>346874.98828799999</v>
      </c>
      <c r="V77" s="36">
        <v>906874.98828799999</v>
      </c>
      <c r="W77" s="36">
        <v>12</v>
      </c>
      <c r="X77" s="36">
        <v>75572.915690666661</v>
      </c>
      <c r="Z77" s="36">
        <v>75572.915690666661</v>
      </c>
      <c r="AA77" s="36">
        <v>75572.92</v>
      </c>
      <c r="AB77" s="36">
        <v>-4.3093333370052278E-3</v>
      </c>
    </row>
    <row r="78" spans="1:28">
      <c r="A78" s="291">
        <v>65</v>
      </c>
      <c r="B78" s="36" t="s">
        <v>26</v>
      </c>
      <c r="C78" s="36">
        <v>369177.65375</v>
      </c>
      <c r="D78" s="36">
        <v>12</v>
      </c>
      <c r="E78" s="36">
        <v>4430131.8449999997</v>
      </c>
      <c r="I78" s="36">
        <v>4430131.8449999997</v>
      </c>
      <c r="J78" s="36">
        <v>200000</v>
      </c>
      <c r="K78" s="36">
        <v>0.2</v>
      </c>
      <c r="L78" s="36">
        <v>886026.36899999995</v>
      </c>
      <c r="M78" s="36">
        <v>1086026.3689999999</v>
      </c>
      <c r="N78" s="36">
        <v>1086026.3689999999</v>
      </c>
      <c r="O78" s="36">
        <v>3344105.4759999998</v>
      </c>
      <c r="P78" s="36">
        <v>21000</v>
      </c>
      <c r="Q78" s="36">
        <v>33000</v>
      </c>
      <c r="R78" s="36">
        <v>75000</v>
      </c>
      <c r="S78" s="36">
        <v>95000</v>
      </c>
      <c r="T78" s="36">
        <v>336000</v>
      </c>
      <c r="U78" s="36">
        <v>34585.314239999949</v>
      </c>
      <c r="V78" s="36">
        <v>594585.31423999998</v>
      </c>
      <c r="W78" s="36">
        <v>12</v>
      </c>
      <c r="X78" s="36">
        <v>49548.776186666662</v>
      </c>
      <c r="Z78" s="36">
        <v>49548.776186666662</v>
      </c>
      <c r="AA78" s="36">
        <v>48170.87</v>
      </c>
      <c r="AB78" s="36">
        <v>1377.9061866666598</v>
      </c>
    </row>
    <row r="79" spans="1:28">
      <c r="A79" s="291"/>
      <c r="B79" s="36" t="s">
        <v>324</v>
      </c>
      <c r="C79" s="36">
        <v>273169.11749999999</v>
      </c>
      <c r="D79" s="36">
        <v>12</v>
      </c>
      <c r="E79" s="36">
        <v>3278029.41</v>
      </c>
      <c r="I79" s="36">
        <v>3278029.41</v>
      </c>
      <c r="J79" s="36">
        <v>200000</v>
      </c>
      <c r="K79" s="36">
        <v>0.2</v>
      </c>
      <c r="L79" s="36">
        <v>655605.8820000001</v>
      </c>
      <c r="M79" s="36">
        <v>855605.8820000001</v>
      </c>
      <c r="N79" s="36">
        <v>855605.8820000001</v>
      </c>
      <c r="O79" s="36">
        <v>2422423.5279999999</v>
      </c>
      <c r="P79" s="36">
        <v>21000</v>
      </c>
      <c r="Q79" s="36">
        <v>33000</v>
      </c>
      <c r="R79" s="36">
        <v>75000</v>
      </c>
      <c r="S79" s="36">
        <v>95000</v>
      </c>
      <c r="T79" s="36">
        <v>172708.94087999998</v>
      </c>
      <c r="U79" s="36">
        <v>0</v>
      </c>
      <c r="V79" s="36">
        <v>396708.94088000001</v>
      </c>
      <c r="W79" s="36">
        <v>12</v>
      </c>
      <c r="X79" s="36">
        <v>33059.078406666667</v>
      </c>
      <c r="Z79" s="36">
        <v>33059.078406666667</v>
      </c>
      <c r="AA79" s="36">
        <v>32291.82</v>
      </c>
      <c r="AB79" s="36">
        <v>767.25840666666772</v>
      </c>
    </row>
    <row r="80" spans="1:28">
      <c r="A80" s="291"/>
    </row>
    <row r="81" spans="1:28">
      <c r="A81" s="291"/>
    </row>
    <row r="82" spans="1:28">
      <c r="A82" s="291">
        <v>66</v>
      </c>
      <c r="B82" s="36" t="s">
        <v>504</v>
      </c>
      <c r="C82" s="36">
        <v>631465.0247500001</v>
      </c>
      <c r="D82" s="36">
        <v>12</v>
      </c>
      <c r="E82" s="36">
        <v>7577580.2970000012</v>
      </c>
      <c r="I82" s="36">
        <v>7577580.2970000012</v>
      </c>
      <c r="J82" s="36">
        <v>200000</v>
      </c>
      <c r="K82" s="36">
        <v>0.2</v>
      </c>
      <c r="L82" s="36">
        <v>1515516.0594000004</v>
      </c>
      <c r="M82" s="36">
        <v>1715516.0594000004</v>
      </c>
      <c r="N82" s="36">
        <v>1715516.0594000004</v>
      </c>
      <c r="O82" s="36">
        <v>5862064.2376000006</v>
      </c>
      <c r="P82" s="36">
        <v>21000</v>
      </c>
      <c r="Q82" s="36">
        <v>33000</v>
      </c>
      <c r="R82" s="36">
        <v>75000</v>
      </c>
      <c r="S82" s="36">
        <v>95000</v>
      </c>
      <c r="T82" s="36">
        <v>336000</v>
      </c>
      <c r="U82" s="36">
        <v>638895.41702400008</v>
      </c>
      <c r="V82" s="36">
        <v>1198895.4170240001</v>
      </c>
      <c r="W82" s="36">
        <v>12</v>
      </c>
      <c r="X82" s="36">
        <v>99907.951418666678</v>
      </c>
      <c r="Z82" s="36">
        <v>99907.951418666678</v>
      </c>
      <c r="AA82" s="36">
        <v>97273.51</v>
      </c>
      <c r="AB82" s="36">
        <v>2634.4414186666836</v>
      </c>
    </row>
    <row r="83" spans="1:28">
      <c r="A83" s="291">
        <v>67</v>
      </c>
      <c r="B83" s="36" t="s">
        <v>169</v>
      </c>
      <c r="C83" s="36">
        <v>527553.50249999994</v>
      </c>
      <c r="D83" s="36">
        <v>12</v>
      </c>
      <c r="E83" s="36">
        <v>6330642.0299999993</v>
      </c>
      <c r="I83" s="36">
        <v>6330642.0299999993</v>
      </c>
      <c r="J83" s="36">
        <v>200000</v>
      </c>
      <c r="K83" s="36">
        <v>0.2</v>
      </c>
      <c r="L83" s="36">
        <v>1266128.406</v>
      </c>
      <c r="M83" s="36">
        <v>1466128.406</v>
      </c>
      <c r="N83" s="36">
        <v>1466128.406</v>
      </c>
      <c r="O83" s="36">
        <v>4864513.6239999998</v>
      </c>
      <c r="P83" s="36">
        <v>21000</v>
      </c>
      <c r="Q83" s="36">
        <v>33000</v>
      </c>
      <c r="R83" s="36">
        <v>75000</v>
      </c>
      <c r="S83" s="36">
        <v>95000</v>
      </c>
      <c r="T83" s="36">
        <v>336000</v>
      </c>
      <c r="U83" s="36">
        <v>399483.26975999994</v>
      </c>
      <c r="V83" s="36">
        <v>959483.26975999994</v>
      </c>
      <c r="W83" s="36">
        <v>12</v>
      </c>
      <c r="X83" s="36">
        <v>79956.939146666657</v>
      </c>
      <c r="Z83" s="36">
        <v>79956.939146666657</v>
      </c>
      <c r="AA83" s="36">
        <v>79956.94</v>
      </c>
      <c r="AB83" s="36">
        <v>-8.5333334573078901E-4</v>
      </c>
    </row>
    <row r="84" spans="1:28">
      <c r="A84" s="291">
        <v>68</v>
      </c>
      <c r="B84" s="36" t="s">
        <v>192</v>
      </c>
      <c r="C84" s="36">
        <v>527553.50249999994</v>
      </c>
      <c r="D84" s="36">
        <v>12</v>
      </c>
      <c r="E84" s="36">
        <v>6330642.0299999993</v>
      </c>
      <c r="F84" s="36">
        <v>10052.25</v>
      </c>
      <c r="I84" s="36">
        <v>6320589.7799999993</v>
      </c>
      <c r="J84" s="36">
        <v>200000</v>
      </c>
      <c r="K84" s="36">
        <v>0.2</v>
      </c>
      <c r="L84" s="36">
        <v>1264117.956</v>
      </c>
      <c r="M84" s="36">
        <v>1464117.956</v>
      </c>
      <c r="N84" s="36">
        <v>1474170.206</v>
      </c>
      <c r="O84" s="36">
        <v>4856471.8239999991</v>
      </c>
      <c r="P84" s="36">
        <v>21000</v>
      </c>
      <c r="Q84" s="36">
        <v>33000</v>
      </c>
      <c r="R84" s="36">
        <v>75000</v>
      </c>
      <c r="S84" s="36">
        <v>95000</v>
      </c>
      <c r="T84" s="36">
        <v>336000</v>
      </c>
      <c r="U84" s="36">
        <v>397553.23775999976</v>
      </c>
      <c r="V84" s="36">
        <v>957553.2377599997</v>
      </c>
      <c r="W84" s="36">
        <v>12</v>
      </c>
      <c r="X84" s="36">
        <v>79796.103146666646</v>
      </c>
      <c r="Z84" s="36">
        <v>79796.103146666646</v>
      </c>
      <c r="AA84" s="36">
        <v>79796.100000000006</v>
      </c>
      <c r="AB84" s="36">
        <v>3.146666640532203E-3</v>
      </c>
    </row>
    <row r="85" spans="1:28">
      <c r="A85" s="291">
        <v>69</v>
      </c>
      <c r="B85" s="36" t="s">
        <v>138</v>
      </c>
      <c r="C85" s="36">
        <v>421394.00675000006</v>
      </c>
      <c r="D85" s="36">
        <v>12</v>
      </c>
      <c r="E85" s="36">
        <v>5056728.0810000002</v>
      </c>
      <c r="F85" s="36">
        <v>8283.3700000000008</v>
      </c>
      <c r="I85" s="36">
        <v>5048444.7110000001</v>
      </c>
      <c r="J85" s="36">
        <v>200000</v>
      </c>
      <c r="K85" s="36">
        <v>0.2</v>
      </c>
      <c r="L85" s="36">
        <v>1009688.9422</v>
      </c>
      <c r="M85" s="36">
        <v>1209688.9421999999</v>
      </c>
      <c r="N85" s="36">
        <v>1217972.3122</v>
      </c>
      <c r="O85" s="36">
        <v>3838755.7688000002</v>
      </c>
      <c r="P85" s="36">
        <v>21000</v>
      </c>
      <c r="Q85" s="36">
        <v>33000</v>
      </c>
      <c r="R85" s="36">
        <v>75000</v>
      </c>
      <c r="S85" s="36">
        <v>95000</v>
      </c>
      <c r="T85" s="36">
        <v>336000</v>
      </c>
      <c r="U85" s="36">
        <v>153301.38451200005</v>
      </c>
      <c r="V85" s="36">
        <v>713301.38451200002</v>
      </c>
      <c r="W85" s="36">
        <v>12</v>
      </c>
      <c r="X85" s="36">
        <v>59441.782042666666</v>
      </c>
      <c r="Z85" s="36">
        <v>59441.782042666666</v>
      </c>
      <c r="AA85" s="36">
        <v>57894.080000000002</v>
      </c>
      <c r="AB85" s="36">
        <v>1547.7020426666641</v>
      </c>
    </row>
    <row r="86" spans="1:28">
      <c r="A86" s="291">
        <v>70</v>
      </c>
      <c r="B86" s="36" t="s">
        <v>202</v>
      </c>
      <c r="C86" s="36">
        <v>413333.03525000007</v>
      </c>
      <c r="D86" s="36">
        <v>12</v>
      </c>
      <c r="E86" s="36">
        <v>4959996.4230000004</v>
      </c>
      <c r="I86" s="36">
        <v>4959996.4230000004</v>
      </c>
      <c r="J86" s="36">
        <v>200000</v>
      </c>
      <c r="K86" s="36">
        <v>0.2</v>
      </c>
      <c r="L86" s="36">
        <v>991999.28460000013</v>
      </c>
      <c r="M86" s="36">
        <v>1191999.2846000001</v>
      </c>
      <c r="N86" s="36">
        <v>1191999.2846000001</v>
      </c>
      <c r="O86" s="36">
        <v>3767997.1384000005</v>
      </c>
      <c r="P86" s="36">
        <v>21000</v>
      </c>
      <c r="Q86" s="36">
        <v>33000</v>
      </c>
      <c r="R86" s="36">
        <v>75000</v>
      </c>
      <c r="S86" s="36">
        <v>95000</v>
      </c>
      <c r="T86" s="36">
        <v>336000</v>
      </c>
      <c r="U86" s="36">
        <v>136319.31321600013</v>
      </c>
      <c r="V86" s="36">
        <v>696319.3132160001</v>
      </c>
      <c r="W86" s="36">
        <v>12</v>
      </c>
      <c r="X86" s="36">
        <v>58026.609434666672</v>
      </c>
      <c r="Z86" s="36">
        <v>58026.609434666672</v>
      </c>
      <c r="AA86" s="36">
        <v>56478.9</v>
      </c>
      <c r="AB86" s="36">
        <v>1547.7094346666709</v>
      </c>
    </row>
    <row r="87" spans="1:28">
      <c r="A87" s="291">
        <v>71</v>
      </c>
      <c r="B87" s="36" t="s">
        <v>101</v>
      </c>
      <c r="C87" s="36">
        <v>369177.65375</v>
      </c>
      <c r="D87" s="36">
        <v>12</v>
      </c>
      <c r="E87" s="36">
        <v>4430131.8449999997</v>
      </c>
      <c r="I87" s="36">
        <v>4430131.8449999997</v>
      </c>
      <c r="J87" s="36">
        <v>200000</v>
      </c>
      <c r="K87" s="36">
        <v>0.2</v>
      </c>
      <c r="L87" s="36">
        <v>886026.36899999995</v>
      </c>
      <c r="M87" s="36">
        <v>1086026.3689999999</v>
      </c>
      <c r="N87" s="36">
        <v>1086026.3689999999</v>
      </c>
      <c r="O87" s="36">
        <v>3344105.4759999998</v>
      </c>
      <c r="P87" s="36">
        <v>21000</v>
      </c>
      <c r="Q87" s="36">
        <v>33000</v>
      </c>
      <c r="R87" s="36">
        <v>75000</v>
      </c>
      <c r="S87" s="36">
        <v>95000</v>
      </c>
      <c r="T87" s="36">
        <v>336000</v>
      </c>
      <c r="U87" s="36">
        <v>34585.314239999949</v>
      </c>
      <c r="V87" s="36">
        <v>594585.31423999998</v>
      </c>
      <c r="W87" s="36">
        <v>12</v>
      </c>
      <c r="X87" s="36">
        <v>49548.776186666662</v>
      </c>
      <c r="Z87" s="36">
        <v>49548.776186666662</v>
      </c>
      <c r="AA87" s="36">
        <v>48170.87</v>
      </c>
      <c r="AB87" s="36">
        <v>1377.9061866666598</v>
      </c>
    </row>
    <row r="88" spans="1:28">
      <c r="A88" s="291">
        <v>72</v>
      </c>
      <c r="B88" s="36" t="s">
        <v>336</v>
      </c>
      <c r="C88" s="36">
        <v>362001.06049999996</v>
      </c>
      <c r="D88" s="36">
        <v>12</v>
      </c>
      <c r="E88" s="36">
        <v>4344012.7259999998</v>
      </c>
      <c r="I88" s="36">
        <v>4344012.7259999998</v>
      </c>
      <c r="J88" s="36">
        <v>200000</v>
      </c>
      <c r="K88" s="36">
        <v>0.2</v>
      </c>
      <c r="L88" s="36">
        <v>868802.54520000005</v>
      </c>
      <c r="M88" s="36">
        <v>1068802.5452000001</v>
      </c>
      <c r="N88" s="36">
        <v>1068802.5452000001</v>
      </c>
      <c r="O88" s="36">
        <v>3275210.1807999997</v>
      </c>
      <c r="P88" s="36">
        <v>21000</v>
      </c>
      <c r="Q88" s="36">
        <v>33000</v>
      </c>
      <c r="R88" s="36">
        <v>75000</v>
      </c>
      <c r="S88" s="36">
        <v>95000</v>
      </c>
      <c r="T88" s="36">
        <v>336000</v>
      </c>
      <c r="U88" s="36">
        <v>18050.443391999936</v>
      </c>
      <c r="V88" s="36">
        <v>578050.44339199993</v>
      </c>
      <c r="W88" s="36">
        <v>12</v>
      </c>
      <c r="X88" s="36">
        <v>48170.870282666663</v>
      </c>
      <c r="Z88" s="36">
        <v>48170.870282666663</v>
      </c>
      <c r="AA88" s="36">
        <v>46673.26</v>
      </c>
      <c r="AB88" s="36">
        <v>1497.6102826666611</v>
      </c>
    </row>
    <row r="89" spans="1:28">
      <c r="A89" s="291">
        <v>73</v>
      </c>
      <c r="B89" s="36" t="s">
        <v>337</v>
      </c>
      <c r="C89" s="36">
        <v>362001.06049999996</v>
      </c>
      <c r="D89" s="36">
        <v>12</v>
      </c>
      <c r="E89" s="36">
        <v>4344012.7259999998</v>
      </c>
      <c r="I89" s="36">
        <v>4344012.7259999998</v>
      </c>
      <c r="J89" s="36">
        <v>200000</v>
      </c>
      <c r="K89" s="36">
        <v>0.2</v>
      </c>
      <c r="L89" s="36">
        <v>868802.54520000005</v>
      </c>
      <c r="M89" s="36">
        <v>1068802.5452000001</v>
      </c>
      <c r="N89" s="36">
        <v>1068802.5452000001</v>
      </c>
      <c r="O89" s="36">
        <v>3275210.1807999997</v>
      </c>
      <c r="P89" s="36">
        <v>21000</v>
      </c>
      <c r="Q89" s="36">
        <v>33000</v>
      </c>
      <c r="R89" s="36">
        <v>75000</v>
      </c>
      <c r="S89" s="36">
        <v>95000</v>
      </c>
      <c r="T89" s="36">
        <v>336000</v>
      </c>
      <c r="U89" s="36">
        <v>18050.443391999936</v>
      </c>
      <c r="V89" s="36">
        <v>578050.44339199993</v>
      </c>
      <c r="W89" s="36">
        <v>12</v>
      </c>
      <c r="X89" s="36">
        <v>48170.870282666663</v>
      </c>
      <c r="Z89" s="36">
        <v>48170.870282666663</v>
      </c>
      <c r="AA89" s="36">
        <v>46673.26</v>
      </c>
      <c r="AB89" s="36">
        <v>1497.6102826666611</v>
      </c>
    </row>
    <row r="90" spans="1:28">
      <c r="A90" s="291">
        <v>74</v>
      </c>
      <c r="B90" s="36" t="s">
        <v>421</v>
      </c>
      <c r="C90" s="36">
        <v>315372.07500000001</v>
      </c>
      <c r="D90" s="36">
        <v>12</v>
      </c>
      <c r="E90" s="36">
        <v>3784464.9000000004</v>
      </c>
      <c r="I90" s="36">
        <v>3784464.9000000004</v>
      </c>
      <c r="J90" s="36">
        <v>200000</v>
      </c>
      <c r="K90" s="36">
        <v>0.2</v>
      </c>
      <c r="L90" s="36">
        <v>756892.9800000001</v>
      </c>
      <c r="M90" s="36">
        <v>956892.9800000001</v>
      </c>
      <c r="N90" s="36">
        <v>956892.9800000001</v>
      </c>
      <c r="O90" s="36">
        <v>2827571.9200000004</v>
      </c>
      <c r="P90" s="36">
        <v>21000</v>
      </c>
      <c r="Q90" s="36">
        <v>33000</v>
      </c>
      <c r="R90" s="36">
        <v>75000</v>
      </c>
      <c r="S90" s="36">
        <v>95000</v>
      </c>
      <c r="T90" s="36">
        <v>257790.10320000007</v>
      </c>
      <c r="U90" s="36">
        <v>0</v>
      </c>
      <c r="V90" s="36">
        <v>481790.10320000007</v>
      </c>
      <c r="W90" s="36">
        <v>12</v>
      </c>
      <c r="X90" s="36">
        <v>40149.175266666673</v>
      </c>
      <c r="Z90" s="36">
        <v>40149.175266666673</v>
      </c>
      <c r="AA90" s="36">
        <v>40149.18</v>
      </c>
      <c r="AB90" s="36">
        <v>-4.7333333277492784E-3</v>
      </c>
    </row>
    <row r="91" spans="1:28">
      <c r="A91" s="291">
        <v>75</v>
      </c>
      <c r="B91" s="36" t="s">
        <v>436</v>
      </c>
      <c r="C91" s="36">
        <v>0</v>
      </c>
      <c r="D91" s="36">
        <v>12</v>
      </c>
      <c r="E91" s="36">
        <v>0</v>
      </c>
      <c r="I91" s="36">
        <v>0</v>
      </c>
      <c r="J91" s="36">
        <v>200000</v>
      </c>
      <c r="K91" s="36">
        <v>0.2</v>
      </c>
      <c r="L91" s="36">
        <v>0</v>
      </c>
      <c r="M91" s="36">
        <v>200000</v>
      </c>
      <c r="N91" s="36">
        <v>200000</v>
      </c>
      <c r="O91" s="36">
        <v>0</v>
      </c>
      <c r="P91" s="36">
        <v>0</v>
      </c>
      <c r="Q91" s="36">
        <v>0</v>
      </c>
      <c r="R91" s="36">
        <v>0</v>
      </c>
      <c r="S91" s="36">
        <v>0</v>
      </c>
      <c r="T91" s="36">
        <v>0</v>
      </c>
      <c r="V91" s="36">
        <v>0</v>
      </c>
      <c r="W91" s="36">
        <v>12</v>
      </c>
      <c r="X91" s="36">
        <v>0</v>
      </c>
      <c r="Z91" s="36">
        <v>0</v>
      </c>
      <c r="AA91" s="36">
        <v>0</v>
      </c>
      <c r="AB91" s="36">
        <v>0</v>
      </c>
    </row>
    <row r="92" spans="1:28">
      <c r="A92" s="291">
        <v>76</v>
      </c>
      <c r="B92" s="36" t="s">
        <v>406</v>
      </c>
      <c r="C92" s="36">
        <v>223709.10949999999</v>
      </c>
      <c r="D92" s="36">
        <v>12</v>
      </c>
      <c r="E92" s="36">
        <v>2684509.3139999998</v>
      </c>
      <c r="I92" s="36">
        <v>2684509.3139999998</v>
      </c>
      <c r="J92" s="36">
        <v>200000</v>
      </c>
      <c r="K92" s="36">
        <v>0.2</v>
      </c>
      <c r="L92" s="36">
        <v>536901.8628</v>
      </c>
      <c r="M92" s="36">
        <v>736901.8628</v>
      </c>
      <c r="N92" s="36">
        <v>736901.8628</v>
      </c>
      <c r="O92" s="36">
        <v>1947607.4511999998</v>
      </c>
      <c r="P92" s="36">
        <v>21000</v>
      </c>
      <c r="Q92" s="36">
        <v>33000</v>
      </c>
      <c r="R92" s="36">
        <v>75000</v>
      </c>
      <c r="S92" s="36">
        <v>95000</v>
      </c>
      <c r="T92" s="36">
        <v>72997.564751999947</v>
      </c>
      <c r="V92" s="36">
        <v>296997.56475199992</v>
      </c>
      <c r="W92" s="36">
        <v>12</v>
      </c>
      <c r="X92" s="36">
        <v>24749.797062666661</v>
      </c>
      <c r="Z92" s="36">
        <v>24749.797062666661</v>
      </c>
      <c r="AA92" s="36">
        <v>24685.95</v>
      </c>
      <c r="AB92" s="36">
        <v>63.847062666660349</v>
      </c>
    </row>
    <row r="93" spans="1:28">
      <c r="A93" s="291"/>
    </row>
    <row r="94" spans="1:28">
      <c r="A94" s="291"/>
    </row>
    <row r="95" spans="1:28">
      <c r="A95" s="291"/>
    </row>
    <row r="96" spans="1:28">
      <c r="A96" s="291">
        <v>78</v>
      </c>
      <c r="B96" s="36" t="s">
        <v>364</v>
      </c>
      <c r="C96" s="36">
        <v>527743.99575</v>
      </c>
      <c r="D96" s="36">
        <v>12</v>
      </c>
      <c r="E96" s="36">
        <v>6332927.949</v>
      </c>
      <c r="I96" s="36">
        <v>6332927.949</v>
      </c>
      <c r="J96" s="36">
        <v>200000</v>
      </c>
      <c r="K96" s="36">
        <v>0.2</v>
      </c>
      <c r="L96" s="36">
        <v>1266585.5898000002</v>
      </c>
      <c r="M96" s="36">
        <v>1466585.5898000002</v>
      </c>
      <c r="N96" s="36">
        <v>1466585.5898000002</v>
      </c>
      <c r="O96" s="36">
        <v>4866342.3591999998</v>
      </c>
      <c r="P96" s="36">
        <v>21000</v>
      </c>
      <c r="Q96" s="36">
        <v>33000</v>
      </c>
      <c r="R96" s="36">
        <v>75000</v>
      </c>
      <c r="S96" s="36">
        <v>95000</v>
      </c>
      <c r="T96" s="36">
        <v>336000</v>
      </c>
      <c r="U96" s="36">
        <v>399922.16620799992</v>
      </c>
      <c r="V96" s="36">
        <v>959922.16620799992</v>
      </c>
      <c r="W96" s="36">
        <v>12</v>
      </c>
      <c r="X96" s="36">
        <v>79993.513850666655</v>
      </c>
      <c r="Z96" s="36">
        <v>79993.513850666655</v>
      </c>
      <c r="AA96" s="36">
        <v>79993.509999999995</v>
      </c>
      <c r="AB96" s="36">
        <v>3.8506666605826467E-3</v>
      </c>
    </row>
    <row r="97" spans="1:28">
      <c r="A97" s="291">
        <v>79</v>
      </c>
      <c r="B97" s="36" t="s">
        <v>185</v>
      </c>
      <c r="C97" s="36">
        <v>343333.03525000007</v>
      </c>
      <c r="D97" s="36">
        <v>12</v>
      </c>
      <c r="E97" s="36">
        <v>4119996.4230000009</v>
      </c>
      <c r="F97" s="36">
        <v>8019.8</v>
      </c>
      <c r="I97" s="36">
        <v>4111976.6230000011</v>
      </c>
      <c r="J97" s="36">
        <v>200000</v>
      </c>
      <c r="K97" s="36">
        <v>0.2</v>
      </c>
      <c r="L97" s="36">
        <v>822395.32460000028</v>
      </c>
      <c r="M97" s="36">
        <v>1022395.3246000003</v>
      </c>
      <c r="N97" s="36">
        <v>1030415.1246000003</v>
      </c>
      <c r="O97" s="36">
        <v>3089581.2984000007</v>
      </c>
      <c r="P97" s="36">
        <v>21000</v>
      </c>
      <c r="Q97" s="36">
        <v>33000</v>
      </c>
      <c r="R97" s="36">
        <v>75000</v>
      </c>
      <c r="S97" s="36">
        <v>95000</v>
      </c>
      <c r="T97" s="36">
        <v>312812.07266400015</v>
      </c>
      <c r="V97" s="36">
        <v>536812.07266400009</v>
      </c>
      <c r="W97" s="36">
        <v>12</v>
      </c>
      <c r="X97" s="36">
        <v>44734.339388666674</v>
      </c>
      <c r="Z97" s="36">
        <v>44734.339388666674</v>
      </c>
      <c r="AA97" s="36">
        <v>43380.1</v>
      </c>
      <c r="AB97" s="36">
        <v>1354.2393886666759</v>
      </c>
    </row>
    <row r="98" spans="1:28">
      <c r="A98" s="291">
        <v>80</v>
      </c>
      <c r="B98" s="36" t="s">
        <v>366</v>
      </c>
      <c r="C98" s="36">
        <v>312001.06049999996</v>
      </c>
      <c r="D98" s="36">
        <v>12</v>
      </c>
      <c r="E98" s="36">
        <v>3744012.7259999998</v>
      </c>
      <c r="I98" s="36">
        <v>3744012.7259999998</v>
      </c>
      <c r="J98" s="36">
        <v>200000</v>
      </c>
      <c r="K98" s="36">
        <v>0.2</v>
      </c>
      <c r="L98" s="36">
        <v>748802.54520000005</v>
      </c>
      <c r="M98" s="36">
        <v>948802.54520000005</v>
      </c>
      <c r="N98" s="36">
        <v>948802.54520000005</v>
      </c>
      <c r="O98" s="36">
        <v>2795210.1807999997</v>
      </c>
      <c r="P98" s="36">
        <v>21000</v>
      </c>
      <c r="Q98" s="36">
        <v>33000</v>
      </c>
      <c r="R98" s="36">
        <v>75000</v>
      </c>
      <c r="S98" s="36">
        <v>95000</v>
      </c>
      <c r="T98" s="36">
        <v>250994.13796799994</v>
      </c>
      <c r="V98" s="36">
        <v>474994.13796799991</v>
      </c>
      <c r="W98" s="36">
        <v>12</v>
      </c>
      <c r="X98" s="36">
        <v>39582.844830666661</v>
      </c>
      <c r="Z98" s="36">
        <v>39582.844830666661</v>
      </c>
      <c r="AA98" s="36">
        <v>38272.44</v>
      </c>
      <c r="AB98" s="36">
        <v>1310.4048306666591</v>
      </c>
    </row>
    <row r="99" spans="1:28">
      <c r="A99" s="291">
        <v>81</v>
      </c>
      <c r="B99" s="36" t="s">
        <v>237</v>
      </c>
      <c r="C99" s="36">
        <v>267454.07400000002</v>
      </c>
      <c r="D99" s="36">
        <v>12</v>
      </c>
      <c r="E99" s="36">
        <v>3209448.8880000003</v>
      </c>
      <c r="I99" s="36">
        <v>3209448.8880000003</v>
      </c>
      <c r="J99" s="36">
        <v>200000</v>
      </c>
      <c r="K99" s="36">
        <v>0.2</v>
      </c>
      <c r="L99" s="36">
        <v>641889.77760000015</v>
      </c>
      <c r="M99" s="36">
        <v>841889.77760000015</v>
      </c>
      <c r="N99" s="36">
        <v>841889.77760000015</v>
      </c>
      <c r="O99" s="36">
        <v>2367559.1104000001</v>
      </c>
      <c r="P99" s="36">
        <v>21000</v>
      </c>
      <c r="Q99" s="36">
        <v>33000</v>
      </c>
      <c r="R99" s="36">
        <v>75000</v>
      </c>
      <c r="S99" s="36">
        <v>95000</v>
      </c>
      <c r="T99" s="36">
        <v>161187.41318400003</v>
      </c>
      <c r="V99" s="36">
        <v>385187.41318400006</v>
      </c>
      <c r="W99" s="36">
        <v>12</v>
      </c>
      <c r="X99" s="36">
        <v>32098.951098666672</v>
      </c>
      <c r="Z99" s="36">
        <v>32098.951098666672</v>
      </c>
      <c r="AA99" s="36">
        <v>31749.136836666657</v>
      </c>
      <c r="AB99" s="36">
        <v>349.81426200001442</v>
      </c>
    </row>
    <row r="100" spans="1:28">
      <c r="A100" s="291"/>
    </row>
    <row r="101" spans="1:28">
      <c r="A101" s="291"/>
    </row>
    <row r="102" spans="1:28">
      <c r="A102" s="291">
        <v>83</v>
      </c>
      <c r="B102" s="36" t="s">
        <v>216</v>
      </c>
      <c r="C102" s="36">
        <v>1050209.0635000002</v>
      </c>
      <c r="D102" s="36">
        <v>12</v>
      </c>
      <c r="E102" s="36">
        <v>12602508.762000002</v>
      </c>
      <c r="F102" s="36">
        <v>10052.25</v>
      </c>
      <c r="I102" s="36">
        <v>12592456.512000002</v>
      </c>
      <c r="J102" s="36">
        <v>200000</v>
      </c>
      <c r="K102" s="36">
        <v>0.2</v>
      </c>
      <c r="L102" s="36">
        <v>2518491.3024000004</v>
      </c>
      <c r="M102" s="36">
        <v>2718491.3024000004</v>
      </c>
      <c r="N102" s="36">
        <v>2728543.5524000004</v>
      </c>
      <c r="O102" s="36">
        <v>9873965.2096000016</v>
      </c>
      <c r="P102" s="36">
        <v>21000</v>
      </c>
      <c r="Q102" s="36">
        <v>33000</v>
      </c>
      <c r="R102" s="36">
        <v>75000</v>
      </c>
      <c r="S102" s="36">
        <v>95000</v>
      </c>
      <c r="T102" s="36">
        <v>336000</v>
      </c>
      <c r="U102" s="36">
        <v>1601751.6503040004</v>
      </c>
      <c r="V102" s="36">
        <v>2161751.6503040004</v>
      </c>
      <c r="W102" s="36">
        <v>12</v>
      </c>
      <c r="X102" s="36">
        <v>180145.9708586667</v>
      </c>
      <c r="Z102" s="36">
        <v>180145.9708586667</v>
      </c>
      <c r="AA102" s="36">
        <v>180306.81</v>
      </c>
      <c r="AB102" s="36">
        <v>-160.83914133330109</v>
      </c>
    </row>
    <row r="103" spans="1:28">
      <c r="A103" s="291">
        <v>84</v>
      </c>
      <c r="B103" s="36" t="s">
        <v>110</v>
      </c>
      <c r="C103" s="36">
        <v>617743.99575</v>
      </c>
      <c r="D103" s="36">
        <v>12</v>
      </c>
      <c r="E103" s="36">
        <v>7412927.949</v>
      </c>
      <c r="F103" s="36">
        <v>7901.79</v>
      </c>
      <c r="I103" s="36">
        <v>7405026.159</v>
      </c>
      <c r="J103" s="36">
        <v>200000</v>
      </c>
      <c r="K103" s="36">
        <v>0.2</v>
      </c>
      <c r="L103" s="36">
        <v>1481005.2318000002</v>
      </c>
      <c r="M103" s="36">
        <v>1681005.2318000002</v>
      </c>
      <c r="N103" s="36">
        <v>1688907.0218000002</v>
      </c>
      <c r="O103" s="36">
        <v>5724020.9271999998</v>
      </c>
      <c r="P103" s="36">
        <v>21000</v>
      </c>
      <c r="Q103" s="36">
        <v>33000</v>
      </c>
      <c r="R103" s="36">
        <v>75000</v>
      </c>
      <c r="S103" s="36">
        <v>95000</v>
      </c>
      <c r="T103" s="36">
        <v>336000</v>
      </c>
      <c r="U103" s="36">
        <v>605765.02252799994</v>
      </c>
      <c r="V103" s="36">
        <v>1165765.0225279999</v>
      </c>
      <c r="W103" s="36">
        <v>12</v>
      </c>
      <c r="X103" s="36">
        <v>97147.085210666657</v>
      </c>
      <c r="Z103" s="36">
        <v>97147.085210666657</v>
      </c>
      <c r="AA103" s="36">
        <v>94478.373866666647</v>
      </c>
      <c r="AB103" s="36">
        <v>2668.7113440000103</v>
      </c>
    </row>
    <row r="104" spans="1:28">
      <c r="A104" s="291">
        <v>85</v>
      </c>
      <c r="B104" s="36" t="s">
        <v>109</v>
      </c>
      <c r="C104" s="36">
        <v>418096.01602499996</v>
      </c>
      <c r="D104" s="36">
        <v>12</v>
      </c>
      <c r="E104" s="36">
        <v>5017152.1922999993</v>
      </c>
      <c r="I104" s="36">
        <v>5017152.1922999993</v>
      </c>
      <c r="J104" s="36">
        <v>200000</v>
      </c>
      <c r="K104" s="36">
        <v>0.2</v>
      </c>
      <c r="L104" s="36">
        <v>1003430.4384599999</v>
      </c>
      <c r="M104" s="36">
        <v>1203430.4384599999</v>
      </c>
      <c r="N104" s="36">
        <v>1203430.4384599999</v>
      </c>
      <c r="O104" s="36">
        <v>3813721.7538399994</v>
      </c>
      <c r="P104" s="36">
        <v>21000</v>
      </c>
      <c r="Q104" s="36">
        <v>33000</v>
      </c>
      <c r="R104" s="36">
        <v>75000</v>
      </c>
      <c r="S104" s="36">
        <v>95000</v>
      </c>
      <c r="T104" s="36">
        <v>336000</v>
      </c>
      <c r="U104" s="36">
        <v>147293.22092159986</v>
      </c>
      <c r="V104" s="36">
        <v>707293.22092159989</v>
      </c>
      <c r="W104" s="36">
        <v>12</v>
      </c>
      <c r="X104" s="36">
        <v>58941.101743466657</v>
      </c>
      <c r="Z104" s="36">
        <v>58941.101743466657</v>
      </c>
      <c r="AA104" s="36">
        <v>58814.67</v>
      </c>
      <c r="AB104" s="36">
        <v>126.4317434666591</v>
      </c>
    </row>
    <row r="105" spans="1:28">
      <c r="A105" s="291">
        <v>86</v>
      </c>
      <c r="B105" s="36" t="s">
        <v>135</v>
      </c>
      <c r="C105" s="36">
        <v>416483.19415499998</v>
      </c>
      <c r="D105" s="36">
        <v>12</v>
      </c>
      <c r="E105" s="36">
        <v>4997798.3298599999</v>
      </c>
      <c r="I105" s="36">
        <v>4997798.3298599999</v>
      </c>
      <c r="J105" s="36">
        <v>200000</v>
      </c>
      <c r="K105" s="36">
        <v>0.2</v>
      </c>
      <c r="L105" s="36">
        <v>999559.66597199999</v>
      </c>
      <c r="M105" s="36">
        <v>1199559.665972</v>
      </c>
      <c r="N105" s="36">
        <v>1199559.665972</v>
      </c>
      <c r="O105" s="36">
        <v>3798238.663888</v>
      </c>
      <c r="P105" s="36">
        <v>21000</v>
      </c>
      <c r="Q105" s="36">
        <v>33000</v>
      </c>
      <c r="R105" s="36">
        <v>75000</v>
      </c>
      <c r="S105" s="36">
        <v>95000</v>
      </c>
      <c r="T105" s="36">
        <v>336000</v>
      </c>
      <c r="U105" s="36">
        <v>143577.27933311998</v>
      </c>
      <c r="V105" s="36">
        <v>703577.27933311998</v>
      </c>
      <c r="W105" s="36">
        <v>12</v>
      </c>
      <c r="X105" s="36">
        <v>58631.439944426667</v>
      </c>
      <c r="Z105" s="36">
        <v>58631.439944426667</v>
      </c>
      <c r="AA105" s="36">
        <v>57194.239999999998</v>
      </c>
      <c r="AB105" s="36">
        <v>1437.1999444266694</v>
      </c>
    </row>
    <row r="106" spans="1:28">
      <c r="A106" s="291">
        <v>87</v>
      </c>
      <c r="B106" s="36" t="s">
        <v>240</v>
      </c>
      <c r="C106" s="36">
        <v>262612.71747999999</v>
      </c>
      <c r="D106" s="36">
        <v>12</v>
      </c>
      <c r="E106" s="36">
        <v>3151352.6097599999</v>
      </c>
      <c r="I106" s="36">
        <v>3151352.6097599999</v>
      </c>
      <c r="J106" s="36">
        <v>200000</v>
      </c>
      <c r="K106" s="36">
        <v>0.2</v>
      </c>
      <c r="L106" s="36">
        <v>630270.52195199998</v>
      </c>
      <c r="M106" s="36">
        <v>830270.52195199998</v>
      </c>
      <c r="N106" s="36">
        <v>830270.52195199998</v>
      </c>
      <c r="O106" s="36">
        <v>2321082.0878079999</v>
      </c>
      <c r="P106" s="36">
        <v>21000</v>
      </c>
      <c r="Q106" s="36">
        <v>33000</v>
      </c>
      <c r="R106" s="36">
        <v>75000</v>
      </c>
      <c r="S106" s="36">
        <v>95000</v>
      </c>
      <c r="T106" s="36">
        <v>151427.23843967999</v>
      </c>
      <c r="V106" s="36">
        <v>375427.23843967996</v>
      </c>
      <c r="W106" s="36">
        <v>12</v>
      </c>
      <c r="X106" s="36">
        <v>31285.603203306662</v>
      </c>
      <c r="Z106" s="36">
        <v>31285.603203306662</v>
      </c>
      <c r="AA106" s="36">
        <v>30699.58</v>
      </c>
      <c r="AB106" s="36">
        <v>586.02320330666043</v>
      </c>
    </row>
    <row r="107" spans="1:28">
      <c r="A107" s="291">
        <v>88</v>
      </c>
      <c r="B107" s="36" t="s">
        <v>341</v>
      </c>
      <c r="C107" s="36">
        <v>258740.79775</v>
      </c>
      <c r="D107" s="36">
        <v>12</v>
      </c>
      <c r="E107" s="36">
        <v>3104889.5729999999</v>
      </c>
      <c r="I107" s="36">
        <v>3104889.5729999999</v>
      </c>
      <c r="J107" s="36">
        <v>200000</v>
      </c>
      <c r="K107" s="36">
        <v>0.2</v>
      </c>
      <c r="L107" s="36">
        <v>620977.91460000002</v>
      </c>
      <c r="M107" s="36">
        <v>820977.91460000002</v>
      </c>
      <c r="N107" s="36">
        <v>820977.91460000002</v>
      </c>
      <c r="O107" s="36">
        <v>2283911.6584000001</v>
      </c>
      <c r="P107" s="36">
        <v>21000</v>
      </c>
      <c r="Q107" s="36">
        <v>33000</v>
      </c>
      <c r="R107" s="36">
        <v>75000</v>
      </c>
      <c r="S107" s="36">
        <v>95000</v>
      </c>
      <c r="T107" s="36">
        <v>143621.44826400001</v>
      </c>
      <c r="V107" s="36">
        <v>367621.44826400001</v>
      </c>
      <c r="W107" s="36">
        <v>12</v>
      </c>
      <c r="X107" s="36">
        <v>30635.120688666666</v>
      </c>
      <c r="Z107" s="36">
        <v>30635.120688666666</v>
      </c>
      <c r="AA107" s="36">
        <v>30049.31</v>
      </c>
      <c r="AB107" s="36">
        <v>585.81068866666465</v>
      </c>
    </row>
    <row r="108" spans="1:28">
      <c r="A108" s="291">
        <v>89</v>
      </c>
      <c r="B108" s="36" t="s">
        <v>374</v>
      </c>
      <c r="C108" s="36">
        <v>251382.295445</v>
      </c>
      <c r="D108" s="36">
        <v>12</v>
      </c>
      <c r="E108" s="36">
        <v>3016587.5453399997</v>
      </c>
      <c r="I108" s="36">
        <v>2992065.5353399999</v>
      </c>
      <c r="J108" s="36">
        <v>200000</v>
      </c>
      <c r="K108" s="36">
        <v>0.2</v>
      </c>
      <c r="L108" s="36">
        <v>598413.10706800001</v>
      </c>
      <c r="M108" s="36">
        <v>798413.10706800001</v>
      </c>
      <c r="N108" s="36">
        <v>822935.11706800002</v>
      </c>
      <c r="O108" s="36">
        <v>2193652.4282719996</v>
      </c>
      <c r="P108" s="36">
        <v>21000</v>
      </c>
      <c r="Q108" s="36">
        <v>33000</v>
      </c>
      <c r="R108" s="36">
        <v>75000</v>
      </c>
      <c r="S108" s="36">
        <v>95000</v>
      </c>
      <c r="T108" s="36">
        <v>124667.0099371199</v>
      </c>
      <c r="U108" s="36">
        <v>0</v>
      </c>
      <c r="V108" s="36">
        <v>348667.0099371199</v>
      </c>
      <c r="W108" s="36">
        <v>12</v>
      </c>
      <c r="X108" s="36">
        <v>29055.584161426657</v>
      </c>
      <c r="Z108" s="36">
        <v>29055.584161426657</v>
      </c>
      <c r="AA108" s="36">
        <v>28813.07</v>
      </c>
      <c r="AB108" s="36">
        <v>242.51416142665767</v>
      </c>
    </row>
    <row r="109" spans="1:28">
      <c r="A109" s="291"/>
      <c r="O109" s="36">
        <v>0</v>
      </c>
      <c r="P109" s="36">
        <v>0</v>
      </c>
      <c r="T109" s="36">
        <v>0</v>
      </c>
    </row>
    <row r="110" spans="1:28">
      <c r="A110" s="291"/>
      <c r="O110" s="36">
        <v>0</v>
      </c>
      <c r="P110" s="36">
        <v>0</v>
      </c>
      <c r="T110" s="36">
        <v>0</v>
      </c>
    </row>
    <row r="111" spans="1:28">
      <c r="A111" s="291"/>
      <c r="B111" s="36" t="s">
        <v>20</v>
      </c>
      <c r="C111" s="36">
        <v>1050209.0635000002</v>
      </c>
      <c r="D111" s="36">
        <v>12</v>
      </c>
      <c r="E111" s="36">
        <v>12602508.762000002</v>
      </c>
      <c r="F111" s="36">
        <v>24522.01</v>
      </c>
      <c r="I111" s="36">
        <v>12577986.752000002</v>
      </c>
      <c r="J111" s="36">
        <v>200000</v>
      </c>
      <c r="K111" s="36">
        <v>0.2</v>
      </c>
      <c r="L111" s="36">
        <v>2515597.3504000008</v>
      </c>
      <c r="M111" s="36">
        <v>2715597.3504000008</v>
      </c>
      <c r="N111" s="36">
        <v>2740119.3604000006</v>
      </c>
      <c r="O111" s="36">
        <v>9862389.4016000014</v>
      </c>
      <c r="P111" s="36">
        <v>21000</v>
      </c>
      <c r="Q111" s="36">
        <v>33000</v>
      </c>
      <c r="R111" s="36">
        <v>75000</v>
      </c>
      <c r="S111" s="36">
        <v>95000</v>
      </c>
      <c r="T111" s="36">
        <v>336000</v>
      </c>
      <c r="U111" s="36">
        <v>1598973.4563840004</v>
      </c>
      <c r="V111" s="36">
        <v>2158973.4563840004</v>
      </c>
      <c r="W111" s="36">
        <v>12</v>
      </c>
      <c r="X111" s="36">
        <v>179914.4546986667</v>
      </c>
      <c r="Z111" s="36">
        <v>179914.4546986667</v>
      </c>
      <c r="AA111" s="36">
        <v>179914.45</v>
      </c>
      <c r="AB111" s="36">
        <v>4.6986666857264936E-3</v>
      </c>
    </row>
    <row r="112" spans="1:28">
      <c r="A112" s="291">
        <v>90</v>
      </c>
      <c r="B112" s="36" t="s">
        <v>100</v>
      </c>
      <c r="C112" s="36">
        <v>641465.02474999998</v>
      </c>
      <c r="D112" s="36">
        <v>12</v>
      </c>
      <c r="E112" s="36">
        <v>7697580.2970000003</v>
      </c>
      <c r="I112" s="36">
        <v>7697580.2970000003</v>
      </c>
      <c r="J112" s="36">
        <v>200000</v>
      </c>
      <c r="K112" s="36">
        <v>0.2</v>
      </c>
      <c r="L112" s="36">
        <v>1539516.0594000001</v>
      </c>
      <c r="M112" s="36">
        <v>1739516.0594000001</v>
      </c>
      <c r="N112" s="36">
        <v>1739516.0594000001</v>
      </c>
      <c r="O112" s="36">
        <v>5958064.2376000006</v>
      </c>
      <c r="P112" s="36">
        <v>21000</v>
      </c>
      <c r="Q112" s="36">
        <v>33000</v>
      </c>
      <c r="R112" s="36">
        <v>75000</v>
      </c>
      <c r="S112" s="36">
        <v>95000</v>
      </c>
      <c r="T112" s="36">
        <v>336000</v>
      </c>
      <c r="U112" s="36">
        <v>661935.41702400008</v>
      </c>
      <c r="V112" s="36">
        <v>1221935.4170240001</v>
      </c>
      <c r="W112" s="36">
        <v>12</v>
      </c>
      <c r="X112" s="36">
        <v>101827.95141866668</v>
      </c>
      <c r="Z112" s="36">
        <v>101827.95141866668</v>
      </c>
      <c r="AA112" s="36">
        <v>101827.95</v>
      </c>
      <c r="AB112" s="36">
        <v>1.4186666812747717E-3</v>
      </c>
    </row>
    <row r="113" spans="1:28">
      <c r="A113" s="291">
        <v>91</v>
      </c>
      <c r="B113" s="36" t="s">
        <v>153</v>
      </c>
      <c r="C113" s="36">
        <v>547553.50249999994</v>
      </c>
      <c r="D113" s="36">
        <v>12</v>
      </c>
      <c r="E113" s="36">
        <v>6570642.0299999993</v>
      </c>
      <c r="F113" s="36">
        <v>10052.25</v>
      </c>
      <c r="I113" s="36">
        <v>6560589.7799999993</v>
      </c>
      <c r="J113" s="36">
        <v>200000</v>
      </c>
      <c r="K113" s="36">
        <v>0.2</v>
      </c>
      <c r="L113" s="36">
        <v>1312117.956</v>
      </c>
      <c r="M113" s="36">
        <v>1512117.956</v>
      </c>
      <c r="N113" s="36">
        <v>1522170.206</v>
      </c>
      <c r="O113" s="36">
        <v>5048471.8239999991</v>
      </c>
      <c r="P113" s="36">
        <v>21000</v>
      </c>
      <c r="Q113" s="36">
        <v>33000</v>
      </c>
      <c r="R113" s="36">
        <v>75000</v>
      </c>
      <c r="S113" s="36">
        <v>95000</v>
      </c>
      <c r="T113" s="36">
        <v>336000</v>
      </c>
      <c r="U113" s="36">
        <v>443633.23775999976</v>
      </c>
      <c r="V113" s="36">
        <v>1003633.2377599997</v>
      </c>
      <c r="W113" s="36">
        <v>12</v>
      </c>
      <c r="X113" s="36">
        <v>83636.103146666646</v>
      </c>
      <c r="Z113" s="36">
        <v>83636.103146666646</v>
      </c>
      <c r="AA113" s="36">
        <v>83636.100000000006</v>
      </c>
      <c r="AB113" s="36">
        <v>3.146666640532203E-3</v>
      </c>
    </row>
    <row r="114" spans="1:28">
      <c r="A114" s="291">
        <v>92</v>
      </c>
      <c r="B114" s="36" t="s">
        <v>142</v>
      </c>
      <c r="C114" s="36">
        <v>447553.5025</v>
      </c>
      <c r="D114" s="36">
        <v>12</v>
      </c>
      <c r="E114" s="36">
        <v>5370642.0300000003</v>
      </c>
      <c r="F114" s="36">
        <v>10052.25</v>
      </c>
      <c r="I114" s="36">
        <v>5360589.78</v>
      </c>
      <c r="J114" s="36">
        <v>200000</v>
      </c>
      <c r="K114" s="36">
        <v>0.2</v>
      </c>
      <c r="L114" s="36">
        <v>1072117.956</v>
      </c>
      <c r="M114" s="36">
        <v>1272117.956</v>
      </c>
      <c r="N114" s="36">
        <v>1282170.206</v>
      </c>
      <c r="O114" s="36">
        <v>4088471.824</v>
      </c>
      <c r="P114" s="36">
        <v>21000</v>
      </c>
      <c r="Q114" s="36">
        <v>33000</v>
      </c>
      <c r="R114" s="36">
        <v>75000</v>
      </c>
      <c r="S114" s="36">
        <v>95000</v>
      </c>
      <c r="T114" s="36">
        <v>336000</v>
      </c>
      <c r="U114" s="36">
        <v>213233.23775999999</v>
      </c>
      <c r="V114" s="36">
        <v>773233.23775999993</v>
      </c>
      <c r="W114" s="36">
        <v>12</v>
      </c>
      <c r="X114" s="36">
        <v>64436.103146666661</v>
      </c>
      <c r="Z114" s="36">
        <v>64436.103146666661</v>
      </c>
      <c r="AA114" s="36">
        <v>64436.1</v>
      </c>
      <c r="AB114" s="36">
        <v>3.1466666623600759E-3</v>
      </c>
    </row>
    <row r="115" spans="1:28">
      <c r="A115" s="291">
        <v>93</v>
      </c>
      <c r="B115" s="36" t="s">
        <v>363</v>
      </c>
      <c r="C115" s="36">
        <v>424720.04700000002</v>
      </c>
      <c r="D115" s="36">
        <v>12</v>
      </c>
      <c r="E115" s="36">
        <v>5096640.5640000002</v>
      </c>
      <c r="I115" s="36">
        <v>5096640.5640000002</v>
      </c>
      <c r="J115" s="36">
        <v>200000</v>
      </c>
      <c r="K115" s="36">
        <v>0.2</v>
      </c>
      <c r="L115" s="36">
        <v>1019328.1128000001</v>
      </c>
      <c r="M115" s="36">
        <v>1219328.1128000002</v>
      </c>
      <c r="N115" s="36">
        <v>1219328.1128000002</v>
      </c>
      <c r="O115" s="36">
        <v>3877312.4512</v>
      </c>
      <c r="P115" s="36">
        <v>21000</v>
      </c>
      <c r="Q115" s="36">
        <v>33000</v>
      </c>
      <c r="R115" s="36">
        <v>75000</v>
      </c>
      <c r="S115" s="36">
        <v>95000</v>
      </c>
      <c r="T115" s="36">
        <v>336000</v>
      </c>
      <c r="U115" s="36">
        <v>162554.98828799999</v>
      </c>
      <c r="V115" s="36">
        <v>722554.98828799999</v>
      </c>
      <c r="W115" s="36">
        <v>12</v>
      </c>
      <c r="X115" s="36">
        <v>60212.915690666669</v>
      </c>
      <c r="Z115" s="36">
        <v>60212.915690666669</v>
      </c>
      <c r="AA115" s="36">
        <v>60212.92</v>
      </c>
      <c r="AB115" s="36">
        <v>-4.3093333297292702E-3</v>
      </c>
    </row>
    <row r="116" spans="1:28">
      <c r="A116" s="291">
        <v>94</v>
      </c>
      <c r="B116" s="36" t="s">
        <v>108</v>
      </c>
      <c r="C116" s="36">
        <v>330272.06374999997</v>
      </c>
      <c r="D116" s="36">
        <v>12</v>
      </c>
      <c r="E116" s="36">
        <v>3963264.7649999997</v>
      </c>
      <c r="I116" s="36">
        <v>3963264.7649999997</v>
      </c>
      <c r="J116" s="36">
        <v>200000</v>
      </c>
      <c r="K116" s="36">
        <v>0.2</v>
      </c>
      <c r="L116" s="36">
        <v>792652.95299999998</v>
      </c>
      <c r="M116" s="36">
        <v>992652.95299999998</v>
      </c>
      <c r="N116" s="36">
        <v>992652.95299999998</v>
      </c>
      <c r="O116" s="36">
        <v>2970611.8119999999</v>
      </c>
      <c r="P116" s="36">
        <v>21000</v>
      </c>
      <c r="Q116" s="36">
        <v>33000</v>
      </c>
      <c r="R116" s="36">
        <v>75000</v>
      </c>
      <c r="S116" s="36">
        <v>95000</v>
      </c>
      <c r="T116" s="36">
        <v>287828.48051999998</v>
      </c>
      <c r="V116" s="36">
        <v>511828.48051999998</v>
      </c>
      <c r="W116" s="36">
        <v>12</v>
      </c>
      <c r="X116" s="36">
        <v>42652.373376666663</v>
      </c>
      <c r="Z116" s="36">
        <v>42652.373376666663</v>
      </c>
      <c r="AA116" s="36">
        <v>42138.224496666662</v>
      </c>
      <c r="AB116" s="36">
        <v>514.14888000000064</v>
      </c>
    </row>
    <row r="117" spans="1:28">
      <c r="A117" s="291">
        <v>95</v>
      </c>
      <c r="B117" s="36" t="s">
        <v>178</v>
      </c>
      <c r="C117" s="36">
        <v>349177.65375</v>
      </c>
      <c r="D117" s="36">
        <v>12</v>
      </c>
      <c r="E117" s="36">
        <v>4190131.8449999997</v>
      </c>
      <c r="F117" s="36">
        <v>7422.38</v>
      </c>
      <c r="I117" s="36">
        <v>4182709.4649999999</v>
      </c>
      <c r="J117" s="36">
        <v>200000</v>
      </c>
      <c r="K117" s="36">
        <v>0.2</v>
      </c>
      <c r="L117" s="36">
        <v>836541.89300000004</v>
      </c>
      <c r="M117" s="36">
        <v>1036541.893</v>
      </c>
      <c r="N117" s="36">
        <v>1043964.273</v>
      </c>
      <c r="O117" s="36">
        <v>3146167.5719999997</v>
      </c>
      <c r="P117" s="36">
        <v>21000</v>
      </c>
      <c r="Q117" s="36">
        <v>33000</v>
      </c>
      <c r="R117" s="36">
        <v>75000</v>
      </c>
      <c r="S117" s="36">
        <v>95000</v>
      </c>
      <c r="T117" s="36">
        <v>324695.19011999993</v>
      </c>
      <c r="V117" s="36">
        <v>548695.19011999993</v>
      </c>
      <c r="W117" s="36">
        <v>12</v>
      </c>
      <c r="X117" s="36">
        <v>45724.599176666663</v>
      </c>
      <c r="Z117" s="36">
        <v>45724.599176666663</v>
      </c>
      <c r="AA117" s="36">
        <v>44518.93</v>
      </c>
      <c r="AB117" s="36">
        <v>1205.6691766666627</v>
      </c>
    </row>
    <row r="118" spans="1:28">
      <c r="A118" s="291">
        <v>96</v>
      </c>
      <c r="B118" s="36" t="s">
        <v>134</v>
      </c>
      <c r="C118" s="36">
        <v>319177.65375</v>
      </c>
      <c r="D118" s="36">
        <v>12</v>
      </c>
      <c r="E118" s="36">
        <v>3830131.8449999997</v>
      </c>
      <c r="F118" s="36">
        <v>7422.38</v>
      </c>
      <c r="I118" s="36">
        <v>3822709.4649999999</v>
      </c>
      <c r="J118" s="36">
        <v>200000</v>
      </c>
      <c r="K118" s="36">
        <v>0.2</v>
      </c>
      <c r="L118" s="36">
        <v>764541.89300000004</v>
      </c>
      <c r="M118" s="36">
        <v>964541.89300000004</v>
      </c>
      <c r="N118" s="36">
        <v>971964.27300000004</v>
      </c>
      <c r="O118" s="36">
        <v>2858167.5719999997</v>
      </c>
      <c r="P118" s="36">
        <v>21000</v>
      </c>
      <c r="Q118" s="36">
        <v>33000</v>
      </c>
      <c r="R118" s="36">
        <v>75000</v>
      </c>
      <c r="S118" s="36">
        <v>95000</v>
      </c>
      <c r="T118" s="36">
        <v>264215.19011999993</v>
      </c>
      <c r="V118" s="36">
        <v>488215.19011999993</v>
      </c>
      <c r="W118" s="36">
        <v>12</v>
      </c>
      <c r="X118" s="36">
        <v>40684.599176666663</v>
      </c>
      <c r="Z118" s="36">
        <v>40684.599176666663</v>
      </c>
      <c r="AA118" s="36">
        <v>39478.93</v>
      </c>
      <c r="AB118" s="36">
        <v>1205.6691766666627</v>
      </c>
    </row>
    <row r="119" spans="1:28">
      <c r="A119" s="291">
        <v>97</v>
      </c>
      <c r="B119" s="36" t="s">
        <v>365</v>
      </c>
      <c r="C119" s="36">
        <v>312001.06049999996</v>
      </c>
      <c r="D119" s="36">
        <v>12</v>
      </c>
      <c r="E119" s="36">
        <v>3744012.7259999998</v>
      </c>
      <c r="I119" s="36">
        <v>3744012.7259999998</v>
      </c>
      <c r="J119" s="36">
        <v>200000</v>
      </c>
      <c r="K119" s="36">
        <v>0.2</v>
      </c>
      <c r="L119" s="36">
        <v>748802.54520000005</v>
      </c>
      <c r="M119" s="36">
        <v>948802.54520000005</v>
      </c>
      <c r="N119" s="36">
        <v>948802.54520000005</v>
      </c>
      <c r="O119" s="36">
        <v>2795210.1807999997</v>
      </c>
      <c r="P119" s="36">
        <v>21000</v>
      </c>
      <c r="Q119" s="36">
        <v>33000</v>
      </c>
      <c r="R119" s="36">
        <v>75000</v>
      </c>
      <c r="S119" s="36">
        <v>95000</v>
      </c>
      <c r="T119" s="36">
        <v>250994.13796799994</v>
      </c>
      <c r="V119" s="36">
        <v>474994.13796799991</v>
      </c>
      <c r="W119" s="36">
        <v>12</v>
      </c>
      <c r="X119" s="36">
        <v>39582.844830666661</v>
      </c>
      <c r="Z119" s="36">
        <v>39582.844830666661</v>
      </c>
      <c r="AA119" s="36">
        <v>38272.44</v>
      </c>
      <c r="AB119" s="36">
        <v>1310.4048306666591</v>
      </c>
    </row>
    <row r="120" spans="1:28">
      <c r="A120" s="291">
        <v>98</v>
      </c>
      <c r="B120" s="36" t="s">
        <v>443</v>
      </c>
      <c r="C120" s="36">
        <v>209356.04725</v>
      </c>
      <c r="D120" s="36">
        <v>12</v>
      </c>
      <c r="E120" s="36">
        <v>2512272.5669999998</v>
      </c>
      <c r="I120" s="36">
        <v>2512272.5669999998</v>
      </c>
      <c r="J120" s="36">
        <v>200000</v>
      </c>
      <c r="K120" s="36">
        <v>0.2</v>
      </c>
      <c r="L120" s="36">
        <v>502454.5134</v>
      </c>
      <c r="M120" s="36">
        <v>702454.51340000005</v>
      </c>
      <c r="N120" s="36">
        <v>702454.51340000005</v>
      </c>
      <c r="O120" s="36">
        <v>1809818.0535999998</v>
      </c>
      <c r="P120" s="36">
        <v>21000</v>
      </c>
      <c r="Q120" s="36">
        <v>33000</v>
      </c>
      <c r="R120" s="36">
        <v>75000</v>
      </c>
      <c r="S120" s="36">
        <v>95000</v>
      </c>
      <c r="T120" s="36">
        <v>44061.791255999946</v>
      </c>
      <c r="V120" s="36">
        <v>268061.79125599994</v>
      </c>
      <c r="W120" s="36">
        <v>12</v>
      </c>
      <c r="X120" s="36">
        <v>22338.48260466666</v>
      </c>
      <c r="Z120" s="36">
        <v>22338.48260466666</v>
      </c>
      <c r="AA120" s="36">
        <v>21640.95</v>
      </c>
      <c r="AB120" s="36">
        <v>697.53260466665961</v>
      </c>
    </row>
    <row r="121" spans="1:28">
      <c r="A121" s="291">
        <v>99</v>
      </c>
      <c r="B121" s="36" t="s">
        <v>439</v>
      </c>
      <c r="C121" s="36">
        <v>176816.09999999998</v>
      </c>
      <c r="D121" s="36">
        <v>12</v>
      </c>
      <c r="E121" s="36">
        <v>2121793.1999999997</v>
      </c>
      <c r="I121" s="36">
        <v>2121793.1999999997</v>
      </c>
      <c r="J121" s="36">
        <v>200000</v>
      </c>
      <c r="K121" s="36">
        <v>0.2</v>
      </c>
      <c r="L121" s="36">
        <v>424358.63999999996</v>
      </c>
      <c r="M121" s="36">
        <v>624358.6399999999</v>
      </c>
      <c r="N121" s="36">
        <v>624358.6399999999</v>
      </c>
      <c r="O121" s="36">
        <v>1497434.5599999998</v>
      </c>
      <c r="P121" s="36">
        <v>21000</v>
      </c>
      <c r="Q121" s="36">
        <v>33000</v>
      </c>
      <c r="R121" s="36">
        <v>75000</v>
      </c>
      <c r="S121" s="36">
        <v>75512.566399999967</v>
      </c>
      <c r="T121" s="36">
        <v>0</v>
      </c>
      <c r="V121" s="36">
        <v>204512.56639999995</v>
      </c>
      <c r="W121" s="36">
        <v>12</v>
      </c>
      <c r="X121" s="36">
        <v>17042.713866666661</v>
      </c>
      <c r="Z121" s="36">
        <v>17042.713866666661</v>
      </c>
      <c r="AA121" s="36">
        <v>25245.23</v>
      </c>
      <c r="AB121" s="36">
        <v>-8202.5161333333381</v>
      </c>
    </row>
    <row r="122" spans="1:28">
      <c r="A122" s="291"/>
    </row>
    <row r="123" spans="1:28">
      <c r="A123" s="291"/>
    </row>
    <row r="124" spans="1:28">
      <c r="A124" s="291">
        <v>101</v>
      </c>
      <c r="B124" s="36" t="s">
        <v>21</v>
      </c>
      <c r="C124" s="36">
        <v>950209.06350000005</v>
      </c>
      <c r="D124" s="36">
        <v>12</v>
      </c>
      <c r="E124" s="36">
        <v>11402508.762</v>
      </c>
      <c r="I124" s="36">
        <v>11402508.762</v>
      </c>
      <c r="J124" s="36">
        <v>200000</v>
      </c>
      <c r="K124" s="36">
        <v>0.2</v>
      </c>
      <c r="L124" s="36">
        <v>2280501.7524000001</v>
      </c>
      <c r="M124" s="36">
        <v>2480501.7524000001</v>
      </c>
      <c r="N124" s="36">
        <v>2480501.7524000001</v>
      </c>
      <c r="O124" s="36">
        <v>8922007.0096000005</v>
      </c>
      <c r="P124" s="36">
        <v>21000</v>
      </c>
      <c r="Q124" s="36">
        <v>33000</v>
      </c>
      <c r="R124" s="36">
        <v>75000</v>
      </c>
      <c r="S124" s="36">
        <v>95000</v>
      </c>
      <c r="T124" s="36">
        <v>336000</v>
      </c>
      <c r="U124" s="36">
        <v>1373281.682304</v>
      </c>
      <c r="V124" s="36">
        <v>1933281.682304</v>
      </c>
      <c r="W124" s="36">
        <v>12</v>
      </c>
      <c r="X124" s="36">
        <v>161106.80685866668</v>
      </c>
      <c r="Z124" s="36">
        <v>161106.80685866668</v>
      </c>
      <c r="AA124" s="36">
        <v>161106.81</v>
      </c>
      <c r="AB124" s="36">
        <v>-3.1413333199452609E-3</v>
      </c>
    </row>
    <row r="125" spans="1:28">
      <c r="A125" s="291">
        <v>103</v>
      </c>
      <c r="B125" s="36" t="s">
        <v>107</v>
      </c>
      <c r="C125" s="36">
        <v>541465.02474999998</v>
      </c>
      <c r="D125" s="36">
        <v>12</v>
      </c>
      <c r="E125" s="36">
        <v>6497580.2970000003</v>
      </c>
      <c r="F125" s="36">
        <v>10052.25</v>
      </c>
      <c r="I125" s="36">
        <v>6487528.0470000003</v>
      </c>
      <c r="J125" s="36">
        <v>200000</v>
      </c>
      <c r="K125" s="36">
        <v>0.2</v>
      </c>
      <c r="L125" s="36">
        <v>1297505.6094000002</v>
      </c>
      <c r="M125" s="36">
        <v>1497505.6094000002</v>
      </c>
      <c r="N125" s="36">
        <v>1507557.8594000002</v>
      </c>
      <c r="O125" s="36">
        <v>4990022.4375999998</v>
      </c>
      <c r="P125" s="36">
        <v>21000</v>
      </c>
      <c r="Q125" s="36">
        <v>33000</v>
      </c>
      <c r="R125" s="36">
        <v>75000</v>
      </c>
      <c r="S125" s="36">
        <v>95000</v>
      </c>
      <c r="T125" s="36">
        <v>336000</v>
      </c>
      <c r="U125" s="36">
        <v>429605.38502399996</v>
      </c>
      <c r="V125" s="36">
        <v>989605.38502399996</v>
      </c>
      <c r="W125" s="36">
        <v>12</v>
      </c>
      <c r="X125" s="36">
        <v>82467.115418666668</v>
      </c>
      <c r="Z125" s="36">
        <v>82467.115418666668</v>
      </c>
      <c r="AA125" s="36">
        <v>82627.95</v>
      </c>
      <c r="AB125" s="36">
        <v>-160.83458133332897</v>
      </c>
    </row>
    <row r="126" spans="1:28">
      <c r="A126" s="291">
        <v>105</v>
      </c>
      <c r="B126" s="36" t="s">
        <v>183</v>
      </c>
      <c r="C126" s="36">
        <v>577743.99575</v>
      </c>
      <c r="D126" s="36">
        <v>12</v>
      </c>
      <c r="E126" s="36">
        <v>6932927.949</v>
      </c>
      <c r="F126" s="36">
        <v>8019.8</v>
      </c>
      <c r="I126" s="36">
        <v>6924908.1490000002</v>
      </c>
      <c r="J126" s="36">
        <v>200000</v>
      </c>
      <c r="K126" s="36">
        <v>0.2</v>
      </c>
      <c r="L126" s="36">
        <v>1384981.6298000002</v>
      </c>
      <c r="M126" s="36">
        <v>1584981.6298000002</v>
      </c>
      <c r="N126" s="36">
        <v>1593001.4298000003</v>
      </c>
      <c r="O126" s="36">
        <v>5339926.5192</v>
      </c>
      <c r="P126" s="36">
        <v>21000</v>
      </c>
      <c r="Q126" s="36">
        <v>33000</v>
      </c>
      <c r="R126" s="36">
        <v>75000</v>
      </c>
      <c r="S126" s="36">
        <v>95000</v>
      </c>
      <c r="T126" s="36">
        <v>336000</v>
      </c>
      <c r="U126" s="36">
        <v>513582.36460799997</v>
      </c>
      <c r="V126" s="36">
        <v>1073582.364608</v>
      </c>
      <c r="W126" s="36">
        <v>12</v>
      </c>
      <c r="X126" s="36">
        <v>89465.197050666669</v>
      </c>
      <c r="Z126" s="36">
        <v>89465.197050666669</v>
      </c>
      <c r="AA126" s="36">
        <v>86798.37386666669</v>
      </c>
      <c r="AB126" s="36">
        <v>2666.8231839999789</v>
      </c>
    </row>
    <row r="127" spans="1:28">
      <c r="A127" s="291">
        <v>106</v>
      </c>
      <c r="B127" s="36" t="s">
        <v>106</v>
      </c>
      <c r="C127" s="36">
        <v>343333.03525000007</v>
      </c>
      <c r="D127" s="36">
        <v>12</v>
      </c>
      <c r="E127" s="36">
        <v>4119996.4230000009</v>
      </c>
      <c r="F127" s="36">
        <v>8019.8</v>
      </c>
      <c r="I127" s="36">
        <v>4111976.6230000011</v>
      </c>
      <c r="J127" s="36">
        <v>200000</v>
      </c>
      <c r="K127" s="36">
        <v>0.2</v>
      </c>
      <c r="L127" s="36">
        <v>822395.32460000028</v>
      </c>
      <c r="M127" s="36">
        <v>1022395.3246000003</v>
      </c>
      <c r="N127" s="36">
        <v>1030415.1246000003</v>
      </c>
      <c r="O127" s="36">
        <v>3089581.2984000007</v>
      </c>
      <c r="P127" s="36">
        <v>21000</v>
      </c>
      <c r="Q127" s="36">
        <v>33000</v>
      </c>
      <c r="R127" s="36">
        <v>75000</v>
      </c>
      <c r="S127" s="36">
        <v>95000</v>
      </c>
      <c r="T127" s="36">
        <v>312812.07266400015</v>
      </c>
      <c r="V127" s="36">
        <v>536812.07266400009</v>
      </c>
      <c r="W127" s="36">
        <v>12</v>
      </c>
      <c r="X127" s="36">
        <v>44734.339388666674</v>
      </c>
      <c r="Z127" s="36">
        <v>44734.339388666674</v>
      </c>
      <c r="AA127" s="36">
        <v>43380.1</v>
      </c>
      <c r="AB127" s="36">
        <v>1354.2393886666759</v>
      </c>
    </row>
    <row r="128" spans="1:28">
      <c r="A128" s="291">
        <v>107</v>
      </c>
      <c r="B128" s="36" t="s">
        <v>7</v>
      </c>
      <c r="C128" s="36">
        <v>343333.03525000007</v>
      </c>
      <c r="D128" s="36">
        <v>12</v>
      </c>
      <c r="E128" s="36">
        <v>4119996.4230000009</v>
      </c>
      <c r="I128" s="36">
        <v>4119996.4230000009</v>
      </c>
      <c r="J128" s="36">
        <v>200000</v>
      </c>
      <c r="K128" s="36">
        <v>0.2</v>
      </c>
      <c r="L128" s="36">
        <v>823999.28460000025</v>
      </c>
      <c r="M128" s="36">
        <v>1023999.2846000002</v>
      </c>
      <c r="N128" s="36">
        <v>1023999.2846000002</v>
      </c>
      <c r="O128" s="36">
        <v>3095997.1384000005</v>
      </c>
      <c r="P128" s="36">
        <v>21000</v>
      </c>
      <c r="Q128" s="36">
        <v>33000</v>
      </c>
      <c r="R128" s="36">
        <v>75000</v>
      </c>
      <c r="S128" s="36">
        <v>95000</v>
      </c>
      <c r="T128" s="36">
        <v>314159.39906400011</v>
      </c>
      <c r="V128" s="36">
        <v>538159.39906400011</v>
      </c>
      <c r="W128" s="36">
        <v>12</v>
      </c>
      <c r="X128" s="36">
        <v>44846.616588666679</v>
      </c>
      <c r="Z128" s="36">
        <v>44846.616588666679</v>
      </c>
      <c r="AA128" s="36">
        <v>43380.1</v>
      </c>
      <c r="AB128" s="36">
        <v>1466.51658866668</v>
      </c>
    </row>
    <row r="129" spans="1:28">
      <c r="A129" s="291">
        <v>108</v>
      </c>
      <c r="B129" s="36" t="s">
        <v>124</v>
      </c>
      <c r="C129" s="36">
        <v>319177.65375</v>
      </c>
      <c r="D129" s="36">
        <v>12</v>
      </c>
      <c r="E129" s="36">
        <v>3830131.8449999997</v>
      </c>
      <c r="F129" s="36">
        <v>6456.26</v>
      </c>
      <c r="I129" s="36">
        <v>3823675.585</v>
      </c>
      <c r="J129" s="36">
        <v>200000</v>
      </c>
      <c r="K129" s="36">
        <v>0.2</v>
      </c>
      <c r="L129" s="36">
        <v>764735.11700000009</v>
      </c>
      <c r="M129" s="36">
        <v>964735.11700000009</v>
      </c>
      <c r="N129" s="36">
        <v>971191.37700000009</v>
      </c>
      <c r="O129" s="36">
        <v>2858940.4679999994</v>
      </c>
      <c r="P129" s="36">
        <v>21000</v>
      </c>
      <c r="Q129" s="36">
        <v>33000</v>
      </c>
      <c r="R129" s="36">
        <v>75000</v>
      </c>
      <c r="S129" s="36">
        <v>95000</v>
      </c>
      <c r="T129" s="36">
        <v>264377.49827999988</v>
      </c>
      <c r="V129" s="36">
        <v>488377.49827999988</v>
      </c>
      <c r="W129" s="36">
        <v>12</v>
      </c>
      <c r="X129" s="36">
        <v>40698.124856666655</v>
      </c>
      <c r="Z129" s="36">
        <v>40698.124856666655</v>
      </c>
      <c r="AA129" s="36">
        <v>39582.839999999997</v>
      </c>
      <c r="AB129" s="36">
        <v>1115.284856666658</v>
      </c>
    </row>
    <row r="130" spans="1:28">
      <c r="A130" s="291">
        <v>109</v>
      </c>
      <c r="B130" s="36" t="s">
        <v>102</v>
      </c>
      <c r="C130" s="36">
        <v>284536.99849999999</v>
      </c>
      <c r="D130" s="36">
        <v>12</v>
      </c>
      <c r="E130" s="36">
        <v>3414443.9819999998</v>
      </c>
      <c r="I130" s="36">
        <v>3414443.9819999998</v>
      </c>
      <c r="J130" s="36">
        <v>200000</v>
      </c>
      <c r="K130" s="36">
        <v>0.2</v>
      </c>
      <c r="L130" s="36">
        <v>682888.79639999999</v>
      </c>
      <c r="M130" s="36">
        <v>882888.79639999999</v>
      </c>
      <c r="N130" s="36">
        <v>882888.79639999999</v>
      </c>
      <c r="O130" s="36">
        <v>2531555.1856</v>
      </c>
      <c r="P130" s="36">
        <v>21000</v>
      </c>
      <c r="Q130" s="36">
        <v>33000</v>
      </c>
      <c r="R130" s="36">
        <v>75000</v>
      </c>
      <c r="S130" s="36">
        <v>95000</v>
      </c>
      <c r="T130" s="36">
        <v>195626.588976</v>
      </c>
      <c r="V130" s="36">
        <v>419626.58897599997</v>
      </c>
      <c r="W130" s="36">
        <v>12</v>
      </c>
      <c r="X130" s="36">
        <v>34968.882414666667</v>
      </c>
      <c r="Z130" s="36">
        <v>34968.882414666667</v>
      </c>
      <c r="AA130" s="36">
        <v>32848.559999999998</v>
      </c>
      <c r="AB130" s="36">
        <v>2120.3224146666689</v>
      </c>
    </row>
    <row r="131" spans="1:28">
      <c r="A131" s="291">
        <v>110</v>
      </c>
      <c r="B131" s="36" t="s">
        <v>103</v>
      </c>
      <c r="C131" s="36">
        <v>284536.99849999999</v>
      </c>
      <c r="D131" s="36">
        <v>12</v>
      </c>
      <c r="E131" s="36">
        <v>3414443.9819999998</v>
      </c>
      <c r="I131" s="36">
        <v>3414443.9819999998</v>
      </c>
      <c r="J131" s="36">
        <v>200000</v>
      </c>
      <c r="K131" s="36">
        <v>0.2</v>
      </c>
      <c r="L131" s="36">
        <v>682888.79639999999</v>
      </c>
      <c r="M131" s="36">
        <v>882888.79639999999</v>
      </c>
      <c r="N131" s="36">
        <v>882888.79639999999</v>
      </c>
      <c r="O131" s="36">
        <v>2531555.1856</v>
      </c>
      <c r="P131" s="36">
        <v>21000</v>
      </c>
      <c r="Q131" s="36">
        <v>33000</v>
      </c>
      <c r="R131" s="36">
        <v>75000</v>
      </c>
      <c r="S131" s="36">
        <v>95000</v>
      </c>
      <c r="T131" s="36">
        <v>195626.588976</v>
      </c>
      <c r="V131" s="36">
        <v>419626.58897599997</v>
      </c>
      <c r="W131" s="36">
        <v>12</v>
      </c>
      <c r="X131" s="36">
        <v>34968.882414666667</v>
      </c>
      <c r="Z131" s="36">
        <v>34968.882414666667</v>
      </c>
      <c r="AA131" s="36">
        <v>32938.949999999997</v>
      </c>
      <c r="AB131" s="36">
        <v>2029.9324146666695</v>
      </c>
    </row>
    <row r="132" spans="1:28">
      <c r="A132" s="291">
        <v>111</v>
      </c>
      <c r="B132" s="36" t="s">
        <v>151</v>
      </c>
      <c r="C132" s="36">
        <v>284536.99849999999</v>
      </c>
      <c r="D132" s="36">
        <v>12</v>
      </c>
      <c r="E132" s="36">
        <v>3414443.9819999998</v>
      </c>
      <c r="I132" s="36">
        <v>3414443.9819999998</v>
      </c>
      <c r="J132" s="36">
        <v>200000</v>
      </c>
      <c r="K132" s="36">
        <v>0.2</v>
      </c>
      <c r="L132" s="36">
        <v>682888.79639999999</v>
      </c>
      <c r="M132" s="36">
        <v>882888.79639999999</v>
      </c>
      <c r="N132" s="36">
        <v>882888.79639999999</v>
      </c>
      <c r="O132" s="36">
        <v>2531555.1856</v>
      </c>
      <c r="P132" s="36">
        <v>21000</v>
      </c>
      <c r="Q132" s="36">
        <v>33000</v>
      </c>
      <c r="R132" s="36">
        <v>75000</v>
      </c>
      <c r="S132" s="36">
        <v>95000</v>
      </c>
      <c r="T132" s="36">
        <v>195626.588976</v>
      </c>
      <c r="V132" s="36">
        <v>419626.58897599997</v>
      </c>
      <c r="W132" s="36">
        <v>12</v>
      </c>
      <c r="X132" s="36">
        <v>34968.882414666667</v>
      </c>
      <c r="Z132" s="36">
        <v>34968.882414666667</v>
      </c>
      <c r="AA132" s="36">
        <v>32938.949999999997</v>
      </c>
      <c r="AB132" s="36">
        <v>2029.9324146666695</v>
      </c>
    </row>
    <row r="133" spans="1:28">
      <c r="A133" s="291">
        <v>112</v>
      </c>
      <c r="B133" s="36" t="s">
        <v>238</v>
      </c>
      <c r="C133" s="36">
        <v>267454.07400000002</v>
      </c>
      <c r="D133" s="36">
        <v>12</v>
      </c>
      <c r="E133" s="36">
        <v>3209448.8880000003</v>
      </c>
      <c r="F133" s="36">
        <v>5484.49</v>
      </c>
      <c r="I133" s="36">
        <v>3203964.398</v>
      </c>
      <c r="J133" s="36">
        <v>200000</v>
      </c>
      <c r="K133" s="36">
        <v>0.2</v>
      </c>
      <c r="L133" s="36">
        <v>640792.8796000001</v>
      </c>
      <c r="M133" s="36">
        <v>840792.8796000001</v>
      </c>
      <c r="N133" s="36">
        <v>846277.36960000009</v>
      </c>
      <c r="O133" s="36">
        <v>2363171.5184000004</v>
      </c>
      <c r="P133" s="36">
        <v>21000</v>
      </c>
      <c r="Q133" s="36">
        <v>33000</v>
      </c>
      <c r="R133" s="36">
        <v>75000</v>
      </c>
      <c r="S133" s="36">
        <v>95000</v>
      </c>
      <c r="T133" s="36">
        <v>160266.01886400007</v>
      </c>
      <c r="V133" s="36">
        <v>384266.0188640001</v>
      </c>
      <c r="W133" s="36">
        <v>12</v>
      </c>
      <c r="X133" s="36">
        <v>32022.168238666676</v>
      </c>
      <c r="Z133" s="36">
        <v>32022.168238666676</v>
      </c>
      <c r="AA133" s="36">
        <v>31749.189126666664</v>
      </c>
      <c r="AB133" s="36">
        <v>272.97911200001181</v>
      </c>
    </row>
    <row r="134" spans="1:28">
      <c r="A134" s="291">
        <v>113</v>
      </c>
      <c r="B134" s="36" t="s">
        <v>53</v>
      </c>
      <c r="C134" s="36">
        <v>242300.07749999996</v>
      </c>
      <c r="D134" s="36">
        <v>12</v>
      </c>
      <c r="E134" s="36">
        <v>2907600.9299999997</v>
      </c>
      <c r="F134" s="36">
        <v>5633.79</v>
      </c>
      <c r="I134" s="36">
        <v>2901967.1399999997</v>
      </c>
      <c r="J134" s="36">
        <v>200000</v>
      </c>
      <c r="K134" s="36">
        <v>0.2</v>
      </c>
      <c r="L134" s="36">
        <v>580393.42799999996</v>
      </c>
      <c r="M134" s="36">
        <v>780393.42799999996</v>
      </c>
      <c r="N134" s="36">
        <v>786027.21799999999</v>
      </c>
      <c r="O134" s="36">
        <v>2121573.7119999998</v>
      </c>
      <c r="P134" s="36">
        <v>21000</v>
      </c>
      <c r="Q134" s="36">
        <v>33000</v>
      </c>
      <c r="R134" s="36">
        <v>75000</v>
      </c>
      <c r="S134" s="36">
        <v>95000</v>
      </c>
      <c r="T134" s="36">
        <v>109530.47951999996</v>
      </c>
      <c r="V134" s="36">
        <v>333530.47951999994</v>
      </c>
      <c r="W134" s="36">
        <v>12</v>
      </c>
      <c r="X134" s="36">
        <v>27794.206626666662</v>
      </c>
      <c r="Z134" s="36">
        <v>27794.206626666662</v>
      </c>
      <c r="AA134" s="36">
        <v>27029.200000000001</v>
      </c>
      <c r="AB134" s="36">
        <v>765.00662666666176</v>
      </c>
    </row>
    <row r="135" spans="1:28">
      <c r="A135" s="291">
        <v>114</v>
      </c>
      <c r="B135" s="36" t="s">
        <v>179</v>
      </c>
      <c r="C135" s="36">
        <v>279536.99849999999</v>
      </c>
      <c r="D135" s="36">
        <v>12</v>
      </c>
      <c r="E135" s="36">
        <v>3354443.9819999998</v>
      </c>
      <c r="I135" s="36">
        <v>3354443.9819999998</v>
      </c>
      <c r="J135" s="36">
        <v>200000</v>
      </c>
      <c r="K135" s="36">
        <v>0.2</v>
      </c>
      <c r="L135" s="36">
        <v>670888.79639999999</v>
      </c>
      <c r="M135" s="36">
        <v>870888.79639999999</v>
      </c>
      <c r="N135" s="36">
        <v>870888.79639999999</v>
      </c>
      <c r="O135" s="36">
        <v>2483555.1856</v>
      </c>
      <c r="P135" s="36">
        <v>21000</v>
      </c>
      <c r="Q135" s="36">
        <v>33000</v>
      </c>
      <c r="R135" s="36">
        <v>75000</v>
      </c>
      <c r="S135" s="36">
        <v>95000</v>
      </c>
      <c r="T135" s="36">
        <v>185546.588976</v>
      </c>
      <c r="V135" s="36">
        <v>409546.58897599997</v>
      </c>
      <c r="W135" s="36">
        <v>12</v>
      </c>
      <c r="X135" s="36">
        <v>34128.882414666667</v>
      </c>
      <c r="Z135" s="36">
        <v>34128.882414666667</v>
      </c>
      <c r="AA135" s="36">
        <v>31670.316066666663</v>
      </c>
      <c r="AB135" s="36">
        <v>2458.5663480000039</v>
      </c>
    </row>
    <row r="136" spans="1:28">
      <c r="A136" s="291">
        <v>115</v>
      </c>
      <c r="B136" s="36" t="s">
        <v>488</v>
      </c>
      <c r="C136" s="36">
        <v>237734.04699999996</v>
      </c>
      <c r="D136" s="36">
        <v>12</v>
      </c>
      <c r="E136" s="36">
        <v>2852808.5639999993</v>
      </c>
      <c r="F136" s="36">
        <v>5335.23</v>
      </c>
      <c r="I136" s="36">
        <v>2847473.3339999993</v>
      </c>
      <c r="J136" s="36">
        <v>200000</v>
      </c>
      <c r="K136" s="36">
        <v>0.2</v>
      </c>
      <c r="L136" s="36">
        <v>569494.66679999989</v>
      </c>
      <c r="M136" s="36">
        <v>769494.66679999989</v>
      </c>
      <c r="N136" s="36">
        <v>774829.89679999987</v>
      </c>
      <c r="O136" s="36">
        <v>2077978.6671999996</v>
      </c>
      <c r="P136" s="36">
        <v>21000</v>
      </c>
      <c r="Q136" s="36">
        <v>33000</v>
      </c>
      <c r="R136" s="36">
        <v>75000</v>
      </c>
      <c r="S136" s="36">
        <v>95000</v>
      </c>
      <c r="T136" s="36">
        <v>100375.52011199991</v>
      </c>
      <c r="V136" s="36">
        <v>324375.52011199994</v>
      </c>
      <c r="W136" s="36">
        <v>12</v>
      </c>
      <c r="X136" s="36">
        <v>27031.29334266666</v>
      </c>
      <c r="Z136" s="36">
        <v>27031.29334266666</v>
      </c>
      <c r="AA136" s="36">
        <v>26339.08</v>
      </c>
      <c r="AB136" s="36">
        <v>692.21334266665872</v>
      </c>
    </row>
    <row r="137" spans="1:28">
      <c r="A137" s="291">
        <v>116</v>
      </c>
      <c r="B137" s="36" t="s">
        <v>489</v>
      </c>
      <c r="C137" s="36">
        <v>237734.04699999996</v>
      </c>
      <c r="D137" s="36">
        <v>12</v>
      </c>
      <c r="E137" s="36">
        <v>2852808.5639999993</v>
      </c>
      <c r="I137" s="36">
        <v>2852808.5639999993</v>
      </c>
      <c r="J137" s="36">
        <v>200000</v>
      </c>
      <c r="K137" s="36">
        <v>0.2</v>
      </c>
      <c r="L137" s="36">
        <v>570561.71279999986</v>
      </c>
      <c r="M137" s="36">
        <v>770561.71279999986</v>
      </c>
      <c r="N137" s="36">
        <v>770561.71279999986</v>
      </c>
      <c r="O137" s="36">
        <v>2082246.8511999995</v>
      </c>
      <c r="P137" s="36">
        <v>21000</v>
      </c>
      <c r="Q137" s="36">
        <v>33000</v>
      </c>
      <c r="R137" s="36">
        <v>75000</v>
      </c>
      <c r="S137" s="36">
        <v>95000</v>
      </c>
      <c r="T137" s="36">
        <v>101271.83875199988</v>
      </c>
      <c r="V137" s="36">
        <v>325271.83875199989</v>
      </c>
      <c r="W137" s="36">
        <v>12</v>
      </c>
      <c r="X137" s="36">
        <v>27105.986562666658</v>
      </c>
      <c r="Z137" s="36">
        <v>27105.986562666658</v>
      </c>
      <c r="AA137" s="36">
        <v>26264.39</v>
      </c>
      <c r="AB137" s="36">
        <v>841.59656266665843</v>
      </c>
    </row>
    <row r="138" spans="1:28">
      <c r="A138" s="291">
        <v>117</v>
      </c>
      <c r="B138" s="36" t="s">
        <v>212</v>
      </c>
      <c r="C138" s="36">
        <v>237734.04699999996</v>
      </c>
      <c r="D138" s="36">
        <v>12</v>
      </c>
      <c r="E138" s="36">
        <v>2852808.5639999993</v>
      </c>
      <c r="I138" s="36">
        <v>2852808.5639999993</v>
      </c>
      <c r="J138" s="36">
        <v>200000</v>
      </c>
      <c r="K138" s="36">
        <v>0.2</v>
      </c>
      <c r="L138" s="36">
        <v>570561.71279999986</v>
      </c>
      <c r="M138" s="36">
        <v>770561.71279999986</v>
      </c>
      <c r="N138" s="36">
        <v>770561.71279999986</v>
      </c>
      <c r="O138" s="36">
        <v>2082246.8511999995</v>
      </c>
      <c r="P138" s="36">
        <v>21000</v>
      </c>
      <c r="Q138" s="36">
        <v>33000</v>
      </c>
      <c r="R138" s="36">
        <v>75000</v>
      </c>
      <c r="S138" s="36">
        <v>95000</v>
      </c>
      <c r="T138" s="36">
        <v>101271.83875199988</v>
      </c>
      <c r="V138" s="36">
        <v>325271.83875199989</v>
      </c>
      <c r="W138" s="36">
        <v>12</v>
      </c>
      <c r="X138" s="36">
        <v>27105.986562666658</v>
      </c>
      <c r="Z138" s="36">
        <v>27105.986562666658</v>
      </c>
      <c r="AA138" s="36">
        <v>26339.08</v>
      </c>
      <c r="AB138" s="36">
        <v>766.9065626666561</v>
      </c>
    </row>
    <row r="139" spans="1:28">
      <c r="A139" s="291">
        <v>118</v>
      </c>
      <c r="B139" s="36" t="s">
        <v>425</v>
      </c>
      <c r="C139" s="36">
        <v>228602.07775000003</v>
      </c>
      <c r="D139" s="36">
        <v>12</v>
      </c>
      <c r="E139" s="36">
        <v>2743224.9330000002</v>
      </c>
      <c r="I139" s="36">
        <v>2743224.9330000002</v>
      </c>
      <c r="J139" s="36">
        <v>200000</v>
      </c>
      <c r="K139" s="36">
        <v>0.2</v>
      </c>
      <c r="L139" s="36">
        <v>548644.98660000006</v>
      </c>
      <c r="M139" s="36">
        <v>748644.98660000006</v>
      </c>
      <c r="N139" s="36">
        <v>748644.98660000006</v>
      </c>
      <c r="O139" s="36">
        <v>1994579.9464000002</v>
      </c>
      <c r="P139" s="36">
        <v>21000</v>
      </c>
      <c r="Q139" s="36">
        <v>33000</v>
      </c>
      <c r="R139" s="36">
        <v>75000</v>
      </c>
      <c r="S139" s="36">
        <v>95000</v>
      </c>
      <c r="T139" s="36">
        <v>82861.788744000049</v>
      </c>
      <c r="V139" s="36">
        <v>306861.78874400002</v>
      </c>
      <c r="W139" s="36">
        <v>12</v>
      </c>
      <c r="X139" s="36">
        <v>25571.815728666668</v>
      </c>
      <c r="Z139" s="36">
        <v>25571.815728666668</v>
      </c>
      <c r="AA139" s="36">
        <v>25571.82</v>
      </c>
      <c r="AB139" s="36">
        <v>-4.2713333314168267E-3</v>
      </c>
    </row>
    <row r="140" spans="1:28">
      <c r="A140" s="291">
        <v>119</v>
      </c>
      <c r="B140" s="36" t="s">
        <v>437</v>
      </c>
      <c r="C140" s="36">
        <v>205204.0845</v>
      </c>
      <c r="D140" s="36">
        <v>12</v>
      </c>
      <c r="E140" s="36">
        <v>2462449.014</v>
      </c>
      <c r="I140" s="36">
        <v>2462449.014</v>
      </c>
      <c r="J140" s="36">
        <v>200000</v>
      </c>
      <c r="K140" s="36">
        <v>0.2</v>
      </c>
      <c r="L140" s="36">
        <v>492489.8028</v>
      </c>
      <c r="M140" s="36">
        <v>692489.80279999995</v>
      </c>
      <c r="N140" s="36">
        <v>692489.80279999995</v>
      </c>
      <c r="O140" s="36">
        <v>1769959.2112</v>
      </c>
      <c r="P140" s="36">
        <v>21000</v>
      </c>
      <c r="Q140" s="36">
        <v>33000</v>
      </c>
      <c r="R140" s="36">
        <v>75000</v>
      </c>
      <c r="S140" s="36">
        <v>95000</v>
      </c>
      <c r="T140" s="36">
        <v>35691.434352000004</v>
      </c>
      <c r="V140" s="36">
        <v>259691.43435200001</v>
      </c>
      <c r="W140" s="36">
        <v>12</v>
      </c>
      <c r="X140" s="36">
        <v>21640.952862666669</v>
      </c>
      <c r="Z140" s="36">
        <v>21640.952862666669</v>
      </c>
      <c r="AA140" s="36">
        <v>21640.95</v>
      </c>
      <c r="AB140" s="36">
        <v>2.8626666680793278E-3</v>
      </c>
    </row>
    <row r="141" spans="1:28">
      <c r="A141" s="291">
        <v>120</v>
      </c>
      <c r="B141" s="36" t="s">
        <v>230</v>
      </c>
      <c r="C141" s="36">
        <v>237734.04699999996</v>
      </c>
      <c r="D141" s="36">
        <v>12</v>
      </c>
      <c r="E141" s="36">
        <v>2852808.5639999993</v>
      </c>
      <c r="I141" s="36">
        <v>2852808.5639999993</v>
      </c>
      <c r="J141" s="36">
        <v>200000</v>
      </c>
      <c r="K141" s="36">
        <v>0.2</v>
      </c>
      <c r="L141" s="36">
        <v>570561.71279999986</v>
      </c>
      <c r="M141" s="36">
        <v>770561.71279999986</v>
      </c>
      <c r="N141" s="36">
        <v>770561.71279999986</v>
      </c>
      <c r="O141" s="36">
        <v>2082246.8511999995</v>
      </c>
      <c r="P141" s="36">
        <v>21000</v>
      </c>
      <c r="Q141" s="36">
        <v>33000</v>
      </c>
      <c r="R141" s="36">
        <v>75000</v>
      </c>
      <c r="S141" s="36">
        <v>95000</v>
      </c>
      <c r="T141" s="36">
        <v>101271.83875199988</v>
      </c>
      <c r="V141" s="36">
        <v>325271.83875199989</v>
      </c>
      <c r="W141" s="36">
        <v>12</v>
      </c>
      <c r="X141" s="36">
        <v>27105.986562666658</v>
      </c>
      <c r="Z141" s="36">
        <v>27105.986562666658</v>
      </c>
      <c r="AA141" s="36">
        <v>25571.708040666661</v>
      </c>
      <c r="AB141" s="36">
        <v>1534.2785219999969</v>
      </c>
    </row>
    <row r="142" spans="1:28">
      <c r="A142" s="291">
        <v>121</v>
      </c>
      <c r="B142" s="36" t="s">
        <v>57</v>
      </c>
      <c r="C142" s="36">
        <v>209356.04725</v>
      </c>
      <c r="D142" s="36">
        <v>12</v>
      </c>
      <c r="E142" s="36">
        <v>2512272.5669999998</v>
      </c>
      <c r="F142" s="36">
        <v>4047.66</v>
      </c>
      <c r="I142" s="36">
        <v>2508224.9069999997</v>
      </c>
      <c r="J142" s="36">
        <v>200000</v>
      </c>
      <c r="K142" s="36">
        <v>0.2</v>
      </c>
      <c r="L142" s="36">
        <v>501644.98139999993</v>
      </c>
      <c r="M142" s="36">
        <v>701644.98139999993</v>
      </c>
      <c r="N142" s="36">
        <v>705692.64139999996</v>
      </c>
      <c r="O142" s="36">
        <v>1806579.9255999997</v>
      </c>
      <c r="P142" s="36">
        <v>21000</v>
      </c>
      <c r="Q142" s="36">
        <v>33000</v>
      </c>
      <c r="R142" s="36">
        <v>75000</v>
      </c>
      <c r="S142" s="36">
        <v>95000</v>
      </c>
      <c r="T142" s="36">
        <v>43381.784375999938</v>
      </c>
      <c r="V142" s="36">
        <v>267381.78437599994</v>
      </c>
      <c r="W142" s="36">
        <v>12</v>
      </c>
      <c r="X142" s="36">
        <v>22281.815364666661</v>
      </c>
      <c r="Z142" s="36">
        <v>22281.815364666661</v>
      </c>
      <c r="AA142" s="36">
        <v>21640.95</v>
      </c>
      <c r="AB142" s="36">
        <v>640.86536466666075</v>
      </c>
    </row>
    <row r="143" spans="1:28">
      <c r="A143" s="291">
        <v>122</v>
      </c>
      <c r="B143" s="36" t="s">
        <v>251</v>
      </c>
      <c r="C143" s="36">
        <v>237734.04699999996</v>
      </c>
      <c r="D143" s="36">
        <v>12</v>
      </c>
      <c r="E143" s="36">
        <v>2852808.5639999993</v>
      </c>
      <c r="I143" s="36">
        <v>2852808.5639999993</v>
      </c>
      <c r="J143" s="36">
        <v>200000</v>
      </c>
      <c r="K143" s="36">
        <v>0.2</v>
      </c>
      <c r="L143" s="36">
        <v>570561.71279999986</v>
      </c>
      <c r="M143" s="36">
        <v>770561.71279999986</v>
      </c>
      <c r="N143" s="36">
        <v>770561.71279999986</v>
      </c>
      <c r="O143" s="36">
        <v>2082246.8511999995</v>
      </c>
      <c r="P143" s="36">
        <v>21000</v>
      </c>
      <c r="Q143" s="36">
        <v>33000</v>
      </c>
      <c r="R143" s="36">
        <v>75000</v>
      </c>
      <c r="S143" s="36">
        <v>95000</v>
      </c>
      <c r="T143" s="36">
        <v>101271.83875199988</v>
      </c>
      <c r="V143" s="36">
        <v>325271.83875199989</v>
      </c>
      <c r="W143" s="36">
        <v>12</v>
      </c>
      <c r="X143" s="36">
        <v>27105.986562666658</v>
      </c>
      <c r="Z143" s="36">
        <v>27105.986562666658</v>
      </c>
      <c r="AA143" s="36">
        <v>25571.708040666661</v>
      </c>
      <c r="AB143" s="36">
        <v>1534.2785219999969</v>
      </c>
    </row>
    <row r="144" spans="1:28">
      <c r="A144" s="291">
        <v>123</v>
      </c>
      <c r="B144" s="36" t="s">
        <v>241</v>
      </c>
      <c r="C144" s="36">
        <v>209356.04725</v>
      </c>
      <c r="D144" s="36">
        <v>12</v>
      </c>
      <c r="E144" s="36">
        <v>2512272.5669999998</v>
      </c>
      <c r="I144" s="36">
        <v>2512272.5669999998</v>
      </c>
      <c r="J144" s="36">
        <v>200000</v>
      </c>
      <c r="K144" s="36">
        <v>0.2</v>
      </c>
      <c r="L144" s="36">
        <v>502454.5134</v>
      </c>
      <c r="M144" s="36">
        <v>702454.51340000005</v>
      </c>
      <c r="N144" s="36">
        <v>702454.51340000005</v>
      </c>
      <c r="O144" s="36">
        <v>1809818.0535999998</v>
      </c>
      <c r="P144" s="36">
        <v>21000</v>
      </c>
      <c r="Q144" s="36">
        <v>33000</v>
      </c>
      <c r="R144" s="36">
        <v>75000</v>
      </c>
      <c r="S144" s="36">
        <v>95000</v>
      </c>
      <c r="T144" s="36">
        <v>44061.791255999946</v>
      </c>
      <c r="V144" s="36">
        <v>268061.79125599994</v>
      </c>
      <c r="W144" s="36">
        <v>12</v>
      </c>
      <c r="X144" s="36">
        <v>22338.48260466666</v>
      </c>
      <c r="Z144" s="36">
        <v>22338.48260466666</v>
      </c>
      <c r="AA144" s="36">
        <v>21640.95</v>
      </c>
      <c r="AB144" s="36">
        <v>697.53260466665961</v>
      </c>
    </row>
    <row r="145" spans="1:28">
      <c r="A145" s="291">
        <v>124</v>
      </c>
      <c r="B145" s="36" t="s">
        <v>289</v>
      </c>
      <c r="C145" s="36">
        <v>183791.02674999999</v>
      </c>
      <c r="D145" s="36">
        <v>12</v>
      </c>
      <c r="E145" s="36">
        <v>2205492.321</v>
      </c>
      <c r="I145" s="36">
        <v>2205492.321</v>
      </c>
      <c r="J145" s="36">
        <v>200000</v>
      </c>
      <c r="K145" s="36">
        <v>0.2</v>
      </c>
      <c r="L145" s="36">
        <v>441098.46420000005</v>
      </c>
      <c r="M145" s="36">
        <v>641098.46420000005</v>
      </c>
      <c r="N145" s="36">
        <v>641098.46420000005</v>
      </c>
      <c r="O145" s="36">
        <v>1564393.8568</v>
      </c>
      <c r="P145" s="36">
        <v>21000</v>
      </c>
      <c r="Q145" s="36">
        <v>33000</v>
      </c>
      <c r="R145" s="36">
        <v>75000</v>
      </c>
      <c r="S145" s="36">
        <v>88234.832791999987</v>
      </c>
      <c r="T145" s="36">
        <v>0</v>
      </c>
      <c r="V145" s="36">
        <v>217234.83279199997</v>
      </c>
      <c r="W145" s="36">
        <v>12</v>
      </c>
      <c r="X145" s="36">
        <v>18102.902732666666</v>
      </c>
      <c r="Z145" s="36">
        <v>18102.902732666666</v>
      </c>
      <c r="AA145" s="36">
        <v>17572.89</v>
      </c>
      <c r="AB145" s="36">
        <v>530.01273266666612</v>
      </c>
    </row>
    <row r="146" spans="1:28">
      <c r="A146" s="291">
        <v>125</v>
      </c>
      <c r="B146" s="36" t="s">
        <v>359</v>
      </c>
      <c r="C146" s="36">
        <v>176816.09999999998</v>
      </c>
      <c r="D146" s="36">
        <v>12</v>
      </c>
      <c r="E146" s="36">
        <v>2121793.1999999997</v>
      </c>
      <c r="I146" s="36">
        <v>2121793.1999999997</v>
      </c>
      <c r="J146" s="36">
        <v>200000</v>
      </c>
      <c r="K146" s="36">
        <v>0.2</v>
      </c>
      <c r="L146" s="36">
        <v>424358.63999999996</v>
      </c>
      <c r="M146" s="36">
        <v>624358.6399999999</v>
      </c>
      <c r="N146" s="36">
        <v>624358.6399999999</v>
      </c>
      <c r="O146" s="36">
        <v>1497434.5599999998</v>
      </c>
      <c r="P146" s="36">
        <v>21000</v>
      </c>
      <c r="Q146" s="36">
        <v>33000</v>
      </c>
      <c r="R146" s="36">
        <v>75000</v>
      </c>
      <c r="S146" s="36">
        <v>75512.566399999967</v>
      </c>
      <c r="T146" s="36">
        <v>0</v>
      </c>
      <c r="V146" s="36">
        <v>204512.56639999995</v>
      </c>
      <c r="W146" s="36">
        <v>12</v>
      </c>
      <c r="X146" s="36">
        <v>17042.713866666661</v>
      </c>
      <c r="Z146" s="36">
        <v>17042.713866666661</v>
      </c>
      <c r="AA146" s="36">
        <v>16512.68</v>
      </c>
      <c r="AB146" s="36">
        <v>530.0338666666612</v>
      </c>
    </row>
    <row r="147" spans="1:28">
      <c r="A147" s="291">
        <v>126</v>
      </c>
      <c r="B147" s="36" t="s">
        <v>407</v>
      </c>
      <c r="C147" s="36">
        <v>173329.04949999999</v>
      </c>
      <c r="D147" s="36">
        <v>12</v>
      </c>
      <c r="E147" s="36">
        <v>2079948.594</v>
      </c>
      <c r="I147" s="36">
        <v>2079948.594</v>
      </c>
      <c r="J147" s="36">
        <v>200000</v>
      </c>
      <c r="K147" s="36">
        <v>0.2</v>
      </c>
      <c r="L147" s="36">
        <v>415989.71880000003</v>
      </c>
      <c r="M147" s="36">
        <v>615989.71880000003</v>
      </c>
      <c r="N147" s="36">
        <v>615989.71880000003</v>
      </c>
      <c r="O147" s="36">
        <v>1463958.8752000001</v>
      </c>
      <c r="P147" s="36">
        <v>21000</v>
      </c>
      <c r="Q147" s="36">
        <v>33000</v>
      </c>
      <c r="R147" s="36">
        <v>75000</v>
      </c>
      <c r="S147" s="36">
        <v>69152.186288000026</v>
      </c>
      <c r="T147" s="36">
        <v>0</v>
      </c>
      <c r="V147" s="36">
        <v>198152.18628800003</v>
      </c>
      <c r="W147" s="36">
        <v>12</v>
      </c>
      <c r="X147" s="36">
        <v>16512.68219066667</v>
      </c>
      <c r="Z147" s="36">
        <v>16512.68219066667</v>
      </c>
      <c r="AA147" s="36">
        <v>16512.68</v>
      </c>
      <c r="AB147" s="36">
        <v>2.1906666697759647E-3</v>
      </c>
    </row>
    <row r="148" spans="1:28">
      <c r="A148" s="291">
        <v>127</v>
      </c>
      <c r="B148" s="36" t="s">
        <v>426</v>
      </c>
      <c r="C148" s="36">
        <v>173339.22450000001</v>
      </c>
      <c r="D148" s="36">
        <v>12</v>
      </c>
      <c r="E148" s="36">
        <v>2080070.6940000001</v>
      </c>
      <c r="I148" s="36">
        <v>2080070.6940000001</v>
      </c>
      <c r="J148" s="36">
        <v>200000</v>
      </c>
      <c r="K148" s="36">
        <v>0.2</v>
      </c>
      <c r="L148" s="36">
        <v>416014.13880000007</v>
      </c>
      <c r="M148" s="36">
        <v>616014.13880000007</v>
      </c>
      <c r="N148" s="36">
        <v>616014.13880000007</v>
      </c>
      <c r="O148" s="36">
        <v>1464056.5552000001</v>
      </c>
      <c r="P148" s="36">
        <v>21000</v>
      </c>
      <c r="Q148" s="36">
        <v>33000</v>
      </c>
      <c r="R148" s="36">
        <v>75000</v>
      </c>
      <c r="S148" s="36">
        <v>69170.745488000015</v>
      </c>
      <c r="T148" s="36">
        <v>0</v>
      </c>
      <c r="V148" s="36">
        <v>198170.74548800002</v>
      </c>
      <c r="W148" s="36">
        <v>12</v>
      </c>
      <c r="X148" s="36">
        <v>16514.228790666668</v>
      </c>
      <c r="Z148" s="36">
        <v>16514.228790666668</v>
      </c>
      <c r="AA148" s="36">
        <v>16512.68</v>
      </c>
      <c r="AB148" s="36">
        <v>1.5487906666676281</v>
      </c>
    </row>
    <row r="149" spans="1:28">
      <c r="A149" s="291">
        <v>128</v>
      </c>
      <c r="B149" s="36" t="s">
        <v>441</v>
      </c>
      <c r="C149" s="36">
        <v>176818.09999999998</v>
      </c>
      <c r="D149" s="36">
        <v>12</v>
      </c>
      <c r="E149" s="36">
        <v>2121817.1999999997</v>
      </c>
      <c r="I149" s="36">
        <v>2121817.1999999997</v>
      </c>
      <c r="J149" s="36">
        <v>200000</v>
      </c>
      <c r="K149" s="36">
        <v>0.2</v>
      </c>
      <c r="L149" s="36">
        <v>424363.43999999994</v>
      </c>
      <c r="M149" s="36">
        <v>624363.43999999994</v>
      </c>
      <c r="N149" s="36">
        <v>624363.43999999994</v>
      </c>
      <c r="O149" s="36">
        <v>1497453.7599999998</v>
      </c>
      <c r="P149" s="36">
        <v>21000</v>
      </c>
      <c r="Q149" s="36">
        <v>33000</v>
      </c>
      <c r="R149" s="36">
        <v>75000</v>
      </c>
      <c r="S149" s="36">
        <v>75516.214399999953</v>
      </c>
      <c r="T149" s="36">
        <v>0</v>
      </c>
      <c r="V149" s="36">
        <v>204516.21439999994</v>
      </c>
      <c r="W149" s="36">
        <v>12</v>
      </c>
      <c r="X149" s="36">
        <v>17043.017866666662</v>
      </c>
      <c r="Z149" s="36">
        <v>17043.017866666662</v>
      </c>
      <c r="AA149" s="36">
        <v>16512.68</v>
      </c>
      <c r="AB149" s="36">
        <v>530.33786666666128</v>
      </c>
    </row>
    <row r="150" spans="1:28">
      <c r="A150" s="291">
        <v>129</v>
      </c>
      <c r="B150" s="36" t="s">
        <v>445</v>
      </c>
      <c r="C150" s="36">
        <v>176816.09999999998</v>
      </c>
      <c r="D150" s="36">
        <v>12</v>
      </c>
      <c r="E150" s="36">
        <v>2121793.1999999997</v>
      </c>
      <c r="F150" s="36">
        <v>2715.04</v>
      </c>
      <c r="I150" s="36">
        <v>2119078.1599999997</v>
      </c>
      <c r="J150" s="36">
        <v>200000</v>
      </c>
      <c r="K150" s="36">
        <v>0.2</v>
      </c>
      <c r="L150" s="36">
        <v>423815.63199999998</v>
      </c>
      <c r="M150" s="36">
        <v>623815.63199999998</v>
      </c>
      <c r="N150" s="36">
        <v>626530.67200000002</v>
      </c>
      <c r="O150" s="36">
        <v>1495262.5279999997</v>
      </c>
      <c r="P150" s="36">
        <v>21000</v>
      </c>
      <c r="Q150" s="36">
        <v>33000</v>
      </c>
      <c r="R150" s="36">
        <v>75000</v>
      </c>
      <c r="S150" s="36">
        <v>75099.880319999938</v>
      </c>
      <c r="T150" s="36">
        <v>0</v>
      </c>
      <c r="V150" s="36">
        <v>204099.88031999994</v>
      </c>
      <c r="W150" s="36">
        <v>12</v>
      </c>
      <c r="X150" s="36">
        <v>17008.323359999995</v>
      </c>
      <c r="Z150" s="36">
        <v>17008.323359999995</v>
      </c>
      <c r="AA150" s="36">
        <v>16512.68</v>
      </c>
      <c r="AB150" s="36">
        <v>495.64335999999457</v>
      </c>
    </row>
    <row r="151" spans="1:28">
      <c r="A151" s="291">
        <v>130</v>
      </c>
      <c r="B151" s="36" t="s">
        <v>22</v>
      </c>
      <c r="C151" s="36">
        <v>135590.72999999998</v>
      </c>
      <c r="D151" s="36">
        <v>12</v>
      </c>
      <c r="E151" s="36">
        <v>1627088.7599999998</v>
      </c>
      <c r="I151" s="36">
        <v>1627088.7599999998</v>
      </c>
      <c r="J151" s="36">
        <v>200000</v>
      </c>
      <c r="K151" s="36">
        <v>0.2</v>
      </c>
      <c r="L151" s="36">
        <v>325417.75199999998</v>
      </c>
      <c r="M151" s="36">
        <v>525417.75199999998</v>
      </c>
      <c r="N151" s="36">
        <v>525417.75199999998</v>
      </c>
      <c r="O151" s="36">
        <v>1101671.0079999999</v>
      </c>
      <c r="P151" s="36">
        <v>21000</v>
      </c>
      <c r="Q151" s="36">
        <v>33000</v>
      </c>
      <c r="R151" s="36">
        <v>75000</v>
      </c>
      <c r="S151" s="36">
        <v>317.49151999998372</v>
      </c>
      <c r="T151" s="36">
        <v>0</v>
      </c>
      <c r="V151" s="36">
        <v>129317.49151999998</v>
      </c>
      <c r="W151" s="36">
        <v>12</v>
      </c>
      <c r="X151" s="36">
        <v>10776.457626666665</v>
      </c>
      <c r="Z151" s="36">
        <v>10776.457626666665</v>
      </c>
      <c r="AA151" s="36">
        <v>9117.0499999999993</v>
      </c>
      <c r="AB151" s="36">
        <v>1659.4076266666652</v>
      </c>
    </row>
    <row r="152" spans="1:28">
      <c r="A152" s="291">
        <v>131</v>
      </c>
      <c r="B152" s="36" t="s">
        <v>14</v>
      </c>
      <c r="C152" s="36">
        <v>138590.72999999998</v>
      </c>
      <c r="D152" s="36">
        <v>12</v>
      </c>
      <c r="E152" s="36">
        <v>1663088.7599999998</v>
      </c>
      <c r="I152" s="36">
        <v>1663088.7599999998</v>
      </c>
      <c r="J152" s="36">
        <v>200000</v>
      </c>
      <c r="K152" s="36">
        <v>0.2</v>
      </c>
      <c r="L152" s="36">
        <v>332617.75199999998</v>
      </c>
      <c r="M152" s="36">
        <v>532617.75199999998</v>
      </c>
      <c r="N152" s="36">
        <v>532617.75199999998</v>
      </c>
      <c r="O152" s="36">
        <v>1130471.0079999999</v>
      </c>
      <c r="P152" s="36">
        <v>21000</v>
      </c>
      <c r="Q152" s="36">
        <v>33000</v>
      </c>
      <c r="R152" s="36">
        <v>75000</v>
      </c>
      <c r="S152" s="36">
        <v>5789.4915199999841</v>
      </c>
      <c r="T152" s="36">
        <v>0</v>
      </c>
      <c r="V152" s="36">
        <v>134789.49151999998</v>
      </c>
      <c r="W152" s="36">
        <v>12</v>
      </c>
      <c r="X152" s="36">
        <v>11232.457626666665</v>
      </c>
      <c r="Z152" s="36">
        <v>11232.457626666665</v>
      </c>
      <c r="AA152" s="36">
        <v>9504.2000000000007</v>
      </c>
      <c r="AB152" s="36">
        <v>1728.2576266666638</v>
      </c>
    </row>
    <row r="153" spans="1:28">
      <c r="A153" s="291">
        <v>132</v>
      </c>
      <c r="B153" s="36" t="s">
        <v>23</v>
      </c>
      <c r="C153" s="36">
        <v>135590.72999999998</v>
      </c>
      <c r="D153" s="36">
        <v>12</v>
      </c>
      <c r="E153" s="36">
        <v>1627088.7599999998</v>
      </c>
      <c r="I153" s="36">
        <v>1627088.7599999998</v>
      </c>
      <c r="J153" s="36">
        <v>200000</v>
      </c>
      <c r="K153" s="36">
        <v>0.2</v>
      </c>
      <c r="L153" s="36">
        <v>325417.75199999998</v>
      </c>
      <c r="M153" s="36">
        <v>525417.75199999998</v>
      </c>
      <c r="N153" s="36">
        <v>525417.75199999998</v>
      </c>
      <c r="O153" s="36">
        <v>1101671.0079999999</v>
      </c>
      <c r="P153" s="36">
        <v>21000</v>
      </c>
      <c r="Q153" s="36">
        <v>33000</v>
      </c>
      <c r="R153" s="36">
        <v>75000</v>
      </c>
      <c r="S153" s="36">
        <v>317.49151999998372</v>
      </c>
      <c r="T153" s="36">
        <v>0</v>
      </c>
      <c r="V153" s="36">
        <v>129317.49151999998</v>
      </c>
      <c r="W153" s="36">
        <v>12</v>
      </c>
      <c r="X153" s="36">
        <v>10776.457626666665</v>
      </c>
      <c r="Z153" s="36">
        <v>10776.457626666665</v>
      </c>
      <c r="AA153" s="36">
        <v>9144.2000000000007</v>
      </c>
      <c r="AB153" s="36">
        <v>1632.2576266666638</v>
      </c>
    </row>
    <row r="154" spans="1:28">
      <c r="A154" s="291">
        <v>133</v>
      </c>
      <c r="B154" s="36" t="s">
        <v>25</v>
      </c>
      <c r="C154" s="36">
        <v>135590.72999999998</v>
      </c>
      <c r="D154" s="36">
        <v>12</v>
      </c>
      <c r="E154" s="36">
        <v>1627088.7599999998</v>
      </c>
      <c r="I154" s="36">
        <v>1627088.7599999998</v>
      </c>
      <c r="J154" s="36">
        <v>200000</v>
      </c>
      <c r="K154" s="36">
        <v>0.2</v>
      </c>
      <c r="L154" s="36">
        <v>325417.75199999998</v>
      </c>
      <c r="M154" s="36">
        <v>525417.75199999998</v>
      </c>
      <c r="N154" s="36">
        <v>525417.75199999998</v>
      </c>
      <c r="O154" s="36">
        <v>1101671.0079999999</v>
      </c>
      <c r="P154" s="36">
        <v>21000</v>
      </c>
      <c r="Q154" s="36">
        <v>33000</v>
      </c>
      <c r="R154" s="36">
        <v>75000</v>
      </c>
      <c r="S154" s="36">
        <v>317.49151999998372</v>
      </c>
      <c r="T154" s="36">
        <v>0</v>
      </c>
      <c r="V154" s="36">
        <v>129317.49151999998</v>
      </c>
      <c r="W154" s="36">
        <v>12</v>
      </c>
      <c r="X154" s="36">
        <v>10776.457626666665</v>
      </c>
      <c r="Z154" s="36">
        <v>10776.457626666665</v>
      </c>
      <c r="AA154" s="36">
        <v>9144.2000000000007</v>
      </c>
      <c r="AB154" s="36">
        <v>1632.2576266666638</v>
      </c>
    </row>
    <row r="155" spans="1:28">
      <c r="A155" s="291">
        <v>134</v>
      </c>
      <c r="B155" s="36" t="s">
        <v>39</v>
      </c>
      <c r="C155" s="36">
        <v>135590.72999999998</v>
      </c>
      <c r="D155" s="36">
        <v>12</v>
      </c>
      <c r="E155" s="36">
        <v>1627088.7599999998</v>
      </c>
      <c r="F155" s="36">
        <v>2715.04</v>
      </c>
      <c r="I155" s="36">
        <v>1624373.7199999997</v>
      </c>
      <c r="J155" s="36">
        <v>200000</v>
      </c>
      <c r="K155" s="36">
        <v>0.2</v>
      </c>
      <c r="L155" s="36">
        <v>324874.74399999995</v>
      </c>
      <c r="M155" s="36">
        <v>524874.74399999995</v>
      </c>
      <c r="N155" s="36">
        <v>527589.78399999999</v>
      </c>
      <c r="O155" s="36">
        <v>1099498.9759999998</v>
      </c>
      <c r="P155" s="36">
        <v>21000</v>
      </c>
      <c r="Q155" s="36">
        <v>33000</v>
      </c>
      <c r="R155" s="36">
        <v>74924.846399999966</v>
      </c>
      <c r="S155" s="36">
        <v>0</v>
      </c>
      <c r="T155" s="36">
        <v>0</v>
      </c>
      <c r="V155" s="36">
        <v>128924.84639999997</v>
      </c>
      <c r="W155" s="36">
        <v>12</v>
      </c>
      <c r="X155" s="36">
        <v>10743.737199999998</v>
      </c>
      <c r="Z155" s="36">
        <v>10743.737199999998</v>
      </c>
      <c r="AA155" s="36">
        <v>9117.0499999999993</v>
      </c>
      <c r="AB155" s="36">
        <v>1626.6871999999985</v>
      </c>
    </row>
    <row r="156" spans="1:28">
      <c r="A156" s="291">
        <v>135</v>
      </c>
      <c r="B156" s="36" t="s">
        <v>40</v>
      </c>
      <c r="C156" s="36">
        <v>135590.72999999998</v>
      </c>
      <c r="D156" s="36">
        <v>12</v>
      </c>
      <c r="E156" s="36">
        <v>1627088.7599999998</v>
      </c>
      <c r="I156" s="36">
        <v>1627088.7599999998</v>
      </c>
      <c r="J156" s="36">
        <v>200000</v>
      </c>
      <c r="K156" s="36">
        <v>0.2</v>
      </c>
      <c r="L156" s="36">
        <v>325417.75199999998</v>
      </c>
      <c r="M156" s="36">
        <v>525417.75199999998</v>
      </c>
      <c r="N156" s="36">
        <v>525417.75199999998</v>
      </c>
      <c r="O156" s="36">
        <v>1101671.0079999999</v>
      </c>
      <c r="P156" s="36">
        <v>21000</v>
      </c>
      <c r="Q156" s="36">
        <v>33000</v>
      </c>
      <c r="R156" s="36">
        <v>75000</v>
      </c>
      <c r="S156" s="36">
        <v>317.49151999998372</v>
      </c>
      <c r="T156" s="36">
        <v>0</v>
      </c>
      <c r="V156" s="36">
        <v>129317.49151999998</v>
      </c>
      <c r="W156" s="36">
        <v>12</v>
      </c>
      <c r="X156" s="36">
        <v>10776.457626666665</v>
      </c>
      <c r="Z156" s="36">
        <v>10776.457626666665</v>
      </c>
      <c r="AA156" s="36">
        <v>9144.2000000000007</v>
      </c>
      <c r="AB156" s="36">
        <v>1632.2576266666638</v>
      </c>
    </row>
    <row r="157" spans="1:28">
      <c r="A157" s="291">
        <v>136</v>
      </c>
      <c r="B157" s="36" t="s">
        <v>127</v>
      </c>
      <c r="C157" s="36">
        <v>125035.03449999999</v>
      </c>
      <c r="D157" s="36">
        <v>12</v>
      </c>
      <c r="E157" s="36">
        <v>1500420.4139999999</v>
      </c>
      <c r="I157" s="36">
        <v>1500420.4139999999</v>
      </c>
      <c r="J157" s="36">
        <v>200000</v>
      </c>
      <c r="K157" s="36">
        <v>0.2</v>
      </c>
      <c r="L157" s="36">
        <v>300084.08279999997</v>
      </c>
      <c r="M157" s="36">
        <v>500084.08279999997</v>
      </c>
      <c r="N157" s="36">
        <v>500084.08279999997</v>
      </c>
      <c r="O157" s="36">
        <v>1000336.3311999999</v>
      </c>
      <c r="P157" s="36">
        <v>21000</v>
      </c>
      <c r="Q157" s="36">
        <v>33000</v>
      </c>
      <c r="R157" s="36">
        <v>60050.449679999983</v>
      </c>
      <c r="S157" s="36">
        <v>0</v>
      </c>
      <c r="T157" s="36">
        <v>0</v>
      </c>
      <c r="V157" s="36">
        <v>114050.44967999999</v>
      </c>
      <c r="W157" s="36">
        <v>12</v>
      </c>
      <c r="X157" s="36">
        <v>9504.2041399999998</v>
      </c>
      <c r="Z157" s="36">
        <v>9504.2041399999998</v>
      </c>
      <c r="AA157" s="36">
        <v>9152.6</v>
      </c>
      <c r="AB157" s="36">
        <v>351.60413999999946</v>
      </c>
    </row>
    <row r="158" spans="1:28">
      <c r="A158" s="291">
        <v>137</v>
      </c>
      <c r="B158" s="36" t="s">
        <v>128</v>
      </c>
      <c r="C158" s="36">
        <v>122035.03449999999</v>
      </c>
      <c r="D158" s="36">
        <v>12</v>
      </c>
      <c r="E158" s="36">
        <v>1464420.4139999999</v>
      </c>
      <c r="I158" s="36">
        <v>1464420.4139999999</v>
      </c>
      <c r="J158" s="36">
        <v>200000</v>
      </c>
      <c r="K158" s="36">
        <v>0.2</v>
      </c>
      <c r="L158" s="36">
        <v>292884.08279999997</v>
      </c>
      <c r="M158" s="36">
        <v>492884.08279999997</v>
      </c>
      <c r="N158" s="36">
        <v>492884.08279999997</v>
      </c>
      <c r="O158" s="36">
        <v>971536.3311999999</v>
      </c>
      <c r="P158" s="36">
        <v>21000</v>
      </c>
      <c r="Q158" s="36">
        <v>33000</v>
      </c>
      <c r="R158" s="36">
        <v>55730.449679999983</v>
      </c>
      <c r="S158" s="36">
        <v>0</v>
      </c>
      <c r="T158" s="36">
        <v>0</v>
      </c>
      <c r="V158" s="36">
        <v>109730.44967999999</v>
      </c>
      <c r="W158" s="36">
        <v>12</v>
      </c>
      <c r="X158" s="36">
        <v>9144.2041399999998</v>
      </c>
      <c r="Z158" s="36">
        <v>9144.2041399999998</v>
      </c>
      <c r="AA158" s="36">
        <v>8792.6</v>
      </c>
      <c r="AB158" s="36">
        <v>351.60413999999946</v>
      </c>
    </row>
    <row r="159" spans="1:28">
      <c r="A159" s="291">
        <v>138</v>
      </c>
      <c r="B159" s="36" t="s">
        <v>129</v>
      </c>
      <c r="C159" s="36">
        <v>122035.03449999999</v>
      </c>
      <c r="D159" s="36">
        <v>12</v>
      </c>
      <c r="E159" s="36">
        <v>1464420.4139999999</v>
      </c>
      <c r="I159" s="36">
        <v>1464420.4139999999</v>
      </c>
      <c r="J159" s="36">
        <v>200000</v>
      </c>
      <c r="K159" s="36">
        <v>0.2</v>
      </c>
      <c r="L159" s="36">
        <v>292884.08279999997</v>
      </c>
      <c r="M159" s="36">
        <v>492884.08279999997</v>
      </c>
      <c r="N159" s="36">
        <v>492884.08279999997</v>
      </c>
      <c r="O159" s="36">
        <v>971536.3311999999</v>
      </c>
      <c r="P159" s="36">
        <v>21000</v>
      </c>
      <c r="Q159" s="36">
        <v>33000</v>
      </c>
      <c r="R159" s="36">
        <v>55730.449679999983</v>
      </c>
      <c r="S159" s="36">
        <v>0</v>
      </c>
      <c r="T159" s="36">
        <v>0</v>
      </c>
      <c r="V159" s="36">
        <v>109730.44967999999</v>
      </c>
      <c r="W159" s="36">
        <v>12</v>
      </c>
      <c r="X159" s="36">
        <v>9144.2041399999998</v>
      </c>
      <c r="Z159" s="36">
        <v>9144.2041399999998</v>
      </c>
      <c r="AA159" s="36">
        <v>8792.6</v>
      </c>
      <c r="AB159" s="36">
        <v>351.60413999999946</v>
      </c>
    </row>
    <row r="160" spans="1:28">
      <c r="A160" s="291">
        <v>139</v>
      </c>
      <c r="B160" s="36" t="s">
        <v>136</v>
      </c>
      <c r="C160" s="36">
        <v>125035.03449999999</v>
      </c>
      <c r="D160" s="36">
        <v>12</v>
      </c>
      <c r="E160" s="36">
        <v>1500420.4139999999</v>
      </c>
      <c r="I160" s="36">
        <v>1500420.4139999999</v>
      </c>
      <c r="J160" s="36">
        <v>200000</v>
      </c>
      <c r="K160" s="36">
        <v>0.2</v>
      </c>
      <c r="L160" s="36">
        <v>300084.08279999997</v>
      </c>
      <c r="M160" s="36">
        <v>500084.08279999997</v>
      </c>
      <c r="N160" s="36">
        <v>500084.08279999997</v>
      </c>
      <c r="O160" s="36">
        <v>1000336.3311999999</v>
      </c>
      <c r="P160" s="36">
        <v>21000</v>
      </c>
      <c r="Q160" s="36">
        <v>33000</v>
      </c>
      <c r="R160" s="36">
        <v>60050.449679999983</v>
      </c>
      <c r="S160" s="36">
        <v>0</v>
      </c>
      <c r="T160" s="36">
        <v>0</v>
      </c>
      <c r="V160" s="36">
        <v>114050.44967999999</v>
      </c>
      <c r="W160" s="36">
        <v>12</v>
      </c>
      <c r="X160" s="36">
        <v>9504.2041399999998</v>
      </c>
      <c r="Z160" s="36">
        <v>9504.2041399999998</v>
      </c>
      <c r="AA160" s="36">
        <v>9152.6</v>
      </c>
      <c r="AB160" s="36">
        <v>351.60413999999946</v>
      </c>
    </row>
    <row r="161" spans="1:28">
      <c r="A161" s="291">
        <v>140</v>
      </c>
      <c r="B161" s="36" t="s">
        <v>140</v>
      </c>
      <c r="C161" s="36">
        <v>122035.03449999999</v>
      </c>
      <c r="D161" s="36">
        <v>12</v>
      </c>
      <c r="E161" s="36">
        <v>1464420.4139999999</v>
      </c>
      <c r="I161" s="36">
        <v>1464420.4139999999</v>
      </c>
      <c r="J161" s="36">
        <v>200000</v>
      </c>
      <c r="K161" s="36">
        <v>0.2</v>
      </c>
      <c r="L161" s="36">
        <v>292884.08279999997</v>
      </c>
      <c r="M161" s="36">
        <v>492884.08279999997</v>
      </c>
      <c r="N161" s="36">
        <v>492884.08279999997</v>
      </c>
      <c r="O161" s="36">
        <v>971536.3311999999</v>
      </c>
      <c r="P161" s="36">
        <v>21000</v>
      </c>
      <c r="Q161" s="36">
        <v>33000</v>
      </c>
      <c r="R161" s="36">
        <v>55730.449679999983</v>
      </c>
      <c r="S161" s="36">
        <v>0</v>
      </c>
      <c r="T161" s="36">
        <v>0</v>
      </c>
      <c r="V161" s="36">
        <v>109730.44967999999</v>
      </c>
      <c r="W161" s="36">
        <v>12</v>
      </c>
      <c r="X161" s="36">
        <v>9144.2041399999998</v>
      </c>
      <c r="Z161" s="36">
        <v>9144.2041399999998</v>
      </c>
      <c r="AA161" s="36">
        <v>8792.6</v>
      </c>
      <c r="AB161" s="36">
        <v>351.60413999999946</v>
      </c>
    </row>
    <row r="162" spans="1:28">
      <c r="A162" s="291">
        <v>141</v>
      </c>
      <c r="B162" s="36" t="s">
        <v>152</v>
      </c>
      <c r="C162" s="36">
        <v>122035.03449999999</v>
      </c>
      <c r="D162" s="36">
        <v>12</v>
      </c>
      <c r="E162" s="36">
        <v>1464420.4139999999</v>
      </c>
      <c r="I162" s="36">
        <v>1464420.4139999999</v>
      </c>
      <c r="J162" s="36">
        <v>200000</v>
      </c>
      <c r="K162" s="36">
        <v>0.2</v>
      </c>
      <c r="L162" s="36">
        <v>292884.08279999997</v>
      </c>
      <c r="M162" s="36">
        <v>492884.08279999997</v>
      </c>
      <c r="N162" s="36">
        <v>492884.08279999997</v>
      </c>
      <c r="O162" s="36">
        <v>971536.3311999999</v>
      </c>
      <c r="P162" s="36">
        <v>21000</v>
      </c>
      <c r="Q162" s="36">
        <v>33000</v>
      </c>
      <c r="R162" s="36">
        <v>55730.449679999983</v>
      </c>
      <c r="S162" s="36">
        <v>0</v>
      </c>
      <c r="T162" s="36">
        <v>0</v>
      </c>
      <c r="V162" s="36">
        <v>109730.44967999999</v>
      </c>
      <c r="W162" s="36">
        <v>12</v>
      </c>
      <c r="X162" s="36">
        <v>9144.2041399999998</v>
      </c>
      <c r="Z162" s="36">
        <v>9144.2041399999998</v>
      </c>
      <c r="AA162" s="36">
        <v>8792.6</v>
      </c>
      <c r="AB162" s="36">
        <v>351.60413999999946</v>
      </c>
    </row>
    <row r="163" spans="1:28">
      <c r="A163" s="291">
        <v>142</v>
      </c>
      <c r="B163" s="36" t="s">
        <v>132</v>
      </c>
      <c r="C163" s="36">
        <v>125035.03449999999</v>
      </c>
      <c r="D163" s="36">
        <v>12</v>
      </c>
      <c r="E163" s="36">
        <v>1500420.4139999999</v>
      </c>
      <c r="I163" s="36">
        <v>1500420.4139999999</v>
      </c>
      <c r="J163" s="36">
        <v>200000</v>
      </c>
      <c r="K163" s="36">
        <v>0.2</v>
      </c>
      <c r="L163" s="36">
        <v>300084.08279999997</v>
      </c>
      <c r="M163" s="36">
        <v>500084.08279999997</v>
      </c>
      <c r="N163" s="36">
        <v>500084.08279999997</v>
      </c>
      <c r="O163" s="36">
        <v>1000336.3311999999</v>
      </c>
      <c r="P163" s="36">
        <v>21000</v>
      </c>
      <c r="Q163" s="36">
        <v>33000</v>
      </c>
      <c r="R163" s="36">
        <v>60050.449679999983</v>
      </c>
      <c r="S163" s="36">
        <v>0</v>
      </c>
      <c r="T163" s="36">
        <v>0</v>
      </c>
      <c r="V163" s="36">
        <v>114050.44967999999</v>
      </c>
      <c r="W163" s="36">
        <v>12</v>
      </c>
      <c r="X163" s="36">
        <v>9504.2041399999998</v>
      </c>
      <c r="Z163" s="36">
        <v>9504.2041399999998</v>
      </c>
      <c r="AA163" s="36">
        <v>9152.6</v>
      </c>
      <c r="AB163" s="36">
        <v>351.60413999999946</v>
      </c>
    </row>
    <row r="164" spans="1:28">
      <c r="A164" s="291">
        <v>143</v>
      </c>
      <c r="B164" s="36" t="s">
        <v>231</v>
      </c>
      <c r="C164" s="36">
        <v>81803.001000000018</v>
      </c>
      <c r="D164" s="36">
        <v>12</v>
      </c>
      <c r="E164" s="36">
        <v>981636.01200000022</v>
      </c>
      <c r="I164" s="36">
        <v>981636.01200000022</v>
      </c>
      <c r="J164" s="36">
        <v>200000</v>
      </c>
      <c r="K164" s="36">
        <v>0.2</v>
      </c>
      <c r="L164" s="36">
        <v>196327.20240000007</v>
      </c>
      <c r="M164" s="36">
        <v>396327.20240000007</v>
      </c>
      <c r="N164" s="36">
        <v>396327.20240000007</v>
      </c>
      <c r="O164" s="36">
        <v>585308.80960000015</v>
      </c>
      <c r="P164" s="36">
        <v>21000</v>
      </c>
      <c r="Q164" s="36">
        <v>31383.969056000016</v>
      </c>
      <c r="R164" s="36">
        <v>0</v>
      </c>
      <c r="S164" s="36">
        <v>0</v>
      </c>
      <c r="T164" s="36">
        <v>0</v>
      </c>
      <c r="V164" s="36">
        <v>52383.969056000016</v>
      </c>
      <c r="W164" s="36">
        <v>12</v>
      </c>
      <c r="X164" s="36">
        <v>4365.3307546666683</v>
      </c>
      <c r="Z164" s="36">
        <v>4365.3307546666683</v>
      </c>
      <c r="AA164" s="36">
        <v>4227.5200000000004</v>
      </c>
      <c r="AB164" s="36">
        <v>137.81075466666789</v>
      </c>
    </row>
    <row r="165" spans="1:28">
      <c r="A165" s="291">
        <v>144</v>
      </c>
      <c r="B165" s="36" t="s">
        <v>246</v>
      </c>
      <c r="C165" s="36">
        <v>81803.001000000018</v>
      </c>
      <c r="D165" s="36">
        <v>12</v>
      </c>
      <c r="E165" s="36">
        <v>981636.01200000022</v>
      </c>
      <c r="I165" s="36">
        <v>981636.01200000022</v>
      </c>
      <c r="J165" s="36">
        <v>200000</v>
      </c>
      <c r="K165" s="36">
        <v>0.2</v>
      </c>
      <c r="L165" s="36">
        <v>196327.20240000007</v>
      </c>
      <c r="M165" s="36">
        <v>396327.20240000007</v>
      </c>
      <c r="N165" s="36">
        <v>396327.20240000007</v>
      </c>
      <c r="O165" s="36">
        <v>585308.80960000015</v>
      </c>
      <c r="P165" s="36">
        <v>21000</v>
      </c>
      <c r="Q165" s="36">
        <v>31383.969056000016</v>
      </c>
      <c r="R165" s="36">
        <v>0</v>
      </c>
      <c r="S165" s="36">
        <v>0</v>
      </c>
      <c r="T165" s="36">
        <v>0</v>
      </c>
      <c r="V165" s="36">
        <v>52383.969056000016</v>
      </c>
      <c r="W165" s="36">
        <v>12</v>
      </c>
      <c r="X165" s="36">
        <v>4365.3307546666683</v>
      </c>
      <c r="Z165" s="36">
        <v>4365.3307546666683</v>
      </c>
      <c r="AA165" s="36">
        <v>4227.5200000000004</v>
      </c>
      <c r="AB165" s="36">
        <v>137.81075466666789</v>
      </c>
    </row>
    <row r="166" spans="1:28">
      <c r="A166" s="291">
        <v>145</v>
      </c>
      <c r="B166" s="36" t="s">
        <v>166</v>
      </c>
      <c r="C166" s="36">
        <v>83370.091</v>
      </c>
      <c r="D166" s="36">
        <v>12</v>
      </c>
      <c r="E166" s="36">
        <v>1000441.0919999999</v>
      </c>
      <c r="I166" s="36">
        <v>1000441.0919999999</v>
      </c>
      <c r="J166" s="36">
        <v>200000</v>
      </c>
      <c r="K166" s="36">
        <v>0.2</v>
      </c>
      <c r="L166" s="36">
        <v>200088.21840000001</v>
      </c>
      <c r="M166" s="36">
        <v>400088.21840000001</v>
      </c>
      <c r="N166" s="36">
        <v>400088.21840000001</v>
      </c>
      <c r="O166" s="36">
        <v>600352.87359999993</v>
      </c>
      <c r="P166" s="36">
        <v>21000</v>
      </c>
      <c r="Q166" s="36">
        <v>33000</v>
      </c>
      <c r="R166" s="36">
        <v>52.931039999990027</v>
      </c>
      <c r="S166" s="36">
        <v>0</v>
      </c>
      <c r="T166" s="36">
        <v>0</v>
      </c>
      <c r="V166" s="36">
        <v>54052.931039999989</v>
      </c>
      <c r="W166" s="36">
        <v>12</v>
      </c>
      <c r="X166" s="36">
        <v>4504.4109199999994</v>
      </c>
      <c r="Z166" s="36">
        <v>4504.4109199999994</v>
      </c>
      <c r="AA166" s="36">
        <v>4365.33</v>
      </c>
      <c r="AB166" s="36">
        <v>139.08091999999942</v>
      </c>
    </row>
    <row r="167" spans="1:28">
      <c r="A167" s="291">
        <v>146</v>
      </c>
      <c r="B167" s="36" t="s">
        <v>204</v>
      </c>
      <c r="C167" s="36">
        <v>80237.012000000002</v>
      </c>
      <c r="D167" s="36">
        <v>12</v>
      </c>
      <c r="E167" s="36">
        <v>962844.14400000009</v>
      </c>
      <c r="I167" s="36">
        <v>962844.14400000009</v>
      </c>
      <c r="J167" s="36">
        <v>200000</v>
      </c>
      <c r="K167" s="36">
        <v>0.2</v>
      </c>
      <c r="L167" s="36">
        <v>192568.82880000002</v>
      </c>
      <c r="M167" s="36">
        <v>392568.82880000002</v>
      </c>
      <c r="N167" s="36">
        <v>392568.82880000002</v>
      </c>
      <c r="O167" s="36">
        <v>570275.31520000007</v>
      </c>
      <c r="P167" s="36">
        <v>21000</v>
      </c>
      <c r="Q167" s="36">
        <v>29730.284672000009</v>
      </c>
      <c r="R167" s="36">
        <v>0</v>
      </c>
      <c r="S167" s="36">
        <v>0</v>
      </c>
      <c r="T167" s="36">
        <v>0</v>
      </c>
      <c r="V167" s="36">
        <v>50730.284672000009</v>
      </c>
      <c r="W167" s="36">
        <v>12</v>
      </c>
      <c r="X167" s="36">
        <v>4227.5237226666677</v>
      </c>
      <c r="Z167" s="36">
        <v>4227.5237226666677</v>
      </c>
      <c r="AA167" s="36">
        <v>4089.72</v>
      </c>
      <c r="AB167" s="36">
        <v>137.80372266666791</v>
      </c>
    </row>
    <row r="168" spans="1:28">
      <c r="A168" s="291">
        <v>147</v>
      </c>
      <c r="B168" s="36" t="s">
        <v>209</v>
      </c>
      <c r="C168" s="36">
        <v>78671.023000000016</v>
      </c>
      <c r="D168" s="36">
        <v>12</v>
      </c>
      <c r="E168" s="36">
        <v>944052.27600000019</v>
      </c>
      <c r="I168" s="36">
        <v>944052.27600000019</v>
      </c>
      <c r="J168" s="36">
        <v>200000</v>
      </c>
      <c r="K168" s="36">
        <v>0.2</v>
      </c>
      <c r="L168" s="36">
        <v>188810.45520000005</v>
      </c>
      <c r="M168" s="36">
        <v>388810.45520000008</v>
      </c>
      <c r="N168" s="36">
        <v>388810.45520000008</v>
      </c>
      <c r="O168" s="36">
        <v>555241.8208000001</v>
      </c>
      <c r="P168" s="36">
        <v>21000</v>
      </c>
      <c r="Q168" s="36">
        <v>28076.600288000012</v>
      </c>
      <c r="R168" s="36">
        <v>0</v>
      </c>
      <c r="S168" s="36">
        <v>0</v>
      </c>
      <c r="T168" s="36">
        <v>0</v>
      </c>
      <c r="V168" s="36">
        <v>49076.600288000016</v>
      </c>
      <c r="W168" s="36">
        <v>12</v>
      </c>
      <c r="X168" s="36">
        <v>4089.716690666668</v>
      </c>
      <c r="Z168" s="36">
        <v>4089.716690666668</v>
      </c>
      <c r="AA168" s="36">
        <v>3951.8</v>
      </c>
      <c r="AB168" s="36">
        <v>137.91669066666782</v>
      </c>
    </row>
    <row r="169" spans="1:28">
      <c r="A169" s="291">
        <v>148</v>
      </c>
      <c r="B169" s="36" t="s">
        <v>218</v>
      </c>
      <c r="C169" s="36">
        <v>75671.023000000016</v>
      </c>
      <c r="D169" s="36">
        <v>12</v>
      </c>
      <c r="E169" s="36">
        <v>908052.27600000019</v>
      </c>
      <c r="I169" s="36">
        <v>908052.27600000019</v>
      </c>
      <c r="J169" s="36">
        <v>200000</v>
      </c>
      <c r="K169" s="36">
        <v>0.2</v>
      </c>
      <c r="L169" s="36">
        <v>181610.45520000005</v>
      </c>
      <c r="M169" s="36">
        <v>381610.45520000008</v>
      </c>
      <c r="N169" s="36">
        <v>381610.45520000008</v>
      </c>
      <c r="O169" s="36">
        <v>526441.8208000001</v>
      </c>
      <c r="P169" s="36">
        <v>21000</v>
      </c>
      <c r="Q169" s="36">
        <v>24908.600288000012</v>
      </c>
      <c r="R169" s="36">
        <v>0</v>
      </c>
      <c r="S169" s="36">
        <v>0</v>
      </c>
      <c r="T169" s="36">
        <v>0</v>
      </c>
      <c r="V169" s="36">
        <v>45908.600288000016</v>
      </c>
      <c r="W169" s="36">
        <v>12</v>
      </c>
      <c r="X169" s="36">
        <v>3825.716690666668</v>
      </c>
      <c r="Z169" s="36">
        <v>3825.716690666668</v>
      </c>
      <c r="AA169" s="36">
        <v>3687.8</v>
      </c>
      <c r="AB169" s="36">
        <v>137.91669066666782</v>
      </c>
    </row>
    <row r="170" spans="1:28">
      <c r="A170" s="291">
        <v>149</v>
      </c>
      <c r="B170" s="36" t="s">
        <v>219</v>
      </c>
      <c r="C170" s="36">
        <v>78671.023000000016</v>
      </c>
      <c r="D170" s="36">
        <v>12</v>
      </c>
      <c r="E170" s="36">
        <v>944052.27600000019</v>
      </c>
      <c r="I170" s="36">
        <v>944052.27600000019</v>
      </c>
      <c r="J170" s="36">
        <v>200000</v>
      </c>
      <c r="K170" s="36">
        <v>0.2</v>
      </c>
      <c r="L170" s="36">
        <v>188810.45520000005</v>
      </c>
      <c r="M170" s="36">
        <v>388810.45520000008</v>
      </c>
      <c r="N170" s="36">
        <v>388810.45520000008</v>
      </c>
      <c r="O170" s="36">
        <v>555241.8208000001</v>
      </c>
      <c r="P170" s="36">
        <v>21000</v>
      </c>
      <c r="Q170" s="36">
        <v>28076.600288000012</v>
      </c>
      <c r="R170" s="36">
        <v>0</v>
      </c>
      <c r="S170" s="36">
        <v>0</v>
      </c>
      <c r="T170" s="36">
        <v>0</v>
      </c>
      <c r="V170" s="36">
        <v>49076.600288000016</v>
      </c>
      <c r="W170" s="36">
        <v>12</v>
      </c>
      <c r="X170" s="36">
        <v>4089.716690666668</v>
      </c>
      <c r="Z170" s="36">
        <v>4089.716690666668</v>
      </c>
      <c r="AA170" s="36">
        <v>3951.8</v>
      </c>
      <c r="AB170" s="36">
        <v>137.91669066666782</v>
      </c>
    </row>
    <row r="171" spans="1:28">
      <c r="A171" s="291">
        <v>150</v>
      </c>
      <c r="B171" s="36" t="s">
        <v>211</v>
      </c>
      <c r="C171" s="36">
        <v>75671.023000000016</v>
      </c>
      <c r="D171" s="36">
        <v>12</v>
      </c>
      <c r="E171" s="36">
        <v>908052.27600000019</v>
      </c>
      <c r="I171" s="36">
        <v>908052.27600000019</v>
      </c>
      <c r="J171" s="36">
        <v>200000</v>
      </c>
      <c r="K171" s="36">
        <v>0.2</v>
      </c>
      <c r="L171" s="36">
        <v>181610.45520000005</v>
      </c>
      <c r="M171" s="36">
        <v>381610.45520000008</v>
      </c>
      <c r="N171" s="36">
        <v>381610.45520000008</v>
      </c>
      <c r="O171" s="36">
        <v>526441.8208000001</v>
      </c>
      <c r="P171" s="36">
        <v>21000</v>
      </c>
      <c r="Q171" s="36">
        <v>24908.600288000012</v>
      </c>
      <c r="R171" s="36">
        <v>0</v>
      </c>
      <c r="S171" s="36">
        <v>0</v>
      </c>
      <c r="T171" s="36">
        <v>0</v>
      </c>
      <c r="V171" s="36">
        <v>45908.600288000016</v>
      </c>
      <c r="W171" s="36">
        <v>12</v>
      </c>
      <c r="X171" s="36">
        <v>3825.716690666668</v>
      </c>
      <c r="Z171" s="36">
        <v>3825.716690666668</v>
      </c>
      <c r="AA171" s="36">
        <v>3687.8</v>
      </c>
      <c r="AB171" s="36">
        <v>137.91669066666782</v>
      </c>
    </row>
    <row r="172" spans="1:28">
      <c r="A172" s="291">
        <v>151</v>
      </c>
      <c r="B172" s="36" t="s">
        <v>213</v>
      </c>
      <c r="C172" s="36">
        <v>78671.023000000016</v>
      </c>
      <c r="D172" s="36">
        <v>12</v>
      </c>
      <c r="E172" s="36">
        <v>944052.27600000019</v>
      </c>
      <c r="I172" s="36">
        <v>944052.27600000019</v>
      </c>
      <c r="J172" s="36">
        <v>200000</v>
      </c>
      <c r="K172" s="36">
        <v>0.2</v>
      </c>
      <c r="L172" s="36">
        <v>188810.45520000005</v>
      </c>
      <c r="M172" s="36">
        <v>388810.45520000008</v>
      </c>
      <c r="N172" s="36">
        <v>388810.45520000008</v>
      </c>
      <c r="O172" s="36">
        <v>555241.8208000001</v>
      </c>
      <c r="P172" s="36">
        <v>21000</v>
      </c>
      <c r="Q172" s="36">
        <v>28076.600288000012</v>
      </c>
      <c r="R172" s="36">
        <v>0</v>
      </c>
      <c r="S172" s="36">
        <v>0</v>
      </c>
      <c r="T172" s="36">
        <v>0</v>
      </c>
      <c r="V172" s="36">
        <v>49076.600288000016</v>
      </c>
      <c r="W172" s="36">
        <v>12</v>
      </c>
      <c r="X172" s="36">
        <v>4089.716690666668</v>
      </c>
      <c r="Z172" s="36">
        <v>4089.716690666668</v>
      </c>
      <c r="AA172" s="36">
        <v>3951.8</v>
      </c>
      <c r="AB172" s="36">
        <v>137.91669066666782</v>
      </c>
    </row>
    <row r="173" spans="1:28">
      <c r="A173" s="291">
        <v>152</v>
      </c>
      <c r="B173" s="36" t="s">
        <v>342</v>
      </c>
      <c r="C173" s="36">
        <v>75671.023000000016</v>
      </c>
      <c r="D173" s="36">
        <v>12</v>
      </c>
      <c r="E173" s="36">
        <v>908052.27600000019</v>
      </c>
      <c r="I173" s="36">
        <v>908052.27600000019</v>
      </c>
      <c r="J173" s="36">
        <v>200000</v>
      </c>
      <c r="K173" s="36">
        <v>0.2</v>
      </c>
      <c r="L173" s="36">
        <v>181610.45520000005</v>
      </c>
      <c r="M173" s="36">
        <v>381610.45520000008</v>
      </c>
      <c r="N173" s="36">
        <v>381610.45520000008</v>
      </c>
      <c r="O173" s="36">
        <v>526441.8208000001</v>
      </c>
      <c r="P173" s="36">
        <v>21000</v>
      </c>
      <c r="Q173" s="36">
        <v>24908.600288000012</v>
      </c>
      <c r="R173" s="36">
        <v>0</v>
      </c>
      <c r="S173" s="36">
        <v>0</v>
      </c>
      <c r="T173" s="36">
        <v>0</v>
      </c>
      <c r="V173" s="36">
        <v>45908.600288000016</v>
      </c>
      <c r="W173" s="36">
        <v>12</v>
      </c>
      <c r="X173" s="36">
        <v>3825.716690666668</v>
      </c>
      <c r="Z173" s="36">
        <v>3825.716690666668</v>
      </c>
      <c r="AA173" s="36">
        <v>3687.8</v>
      </c>
      <c r="AB173" s="36">
        <v>137.91669066666782</v>
      </c>
    </row>
    <row r="174" spans="1:28">
      <c r="A174" s="291">
        <v>153</v>
      </c>
      <c r="B174" s="36" t="s">
        <v>405</v>
      </c>
      <c r="C174" s="36">
        <v>78671.023000000016</v>
      </c>
      <c r="D174" s="36">
        <v>12</v>
      </c>
      <c r="E174" s="36">
        <v>944052.27600000019</v>
      </c>
      <c r="I174" s="36">
        <v>944052.27600000019</v>
      </c>
      <c r="J174" s="36">
        <v>200000</v>
      </c>
      <c r="K174" s="36">
        <v>0.2</v>
      </c>
      <c r="L174" s="36">
        <v>188810.45520000005</v>
      </c>
      <c r="M174" s="36">
        <v>388810.45520000008</v>
      </c>
      <c r="N174" s="36">
        <v>388810.45520000008</v>
      </c>
      <c r="O174" s="36">
        <v>555241.8208000001</v>
      </c>
      <c r="P174" s="36">
        <v>21000</v>
      </c>
      <c r="Q174" s="36">
        <v>28076.600288000012</v>
      </c>
      <c r="R174" s="36">
        <v>0</v>
      </c>
      <c r="S174" s="36">
        <v>0</v>
      </c>
      <c r="T174" s="36">
        <v>0</v>
      </c>
      <c r="V174" s="36">
        <v>49076.600288000016</v>
      </c>
      <c r="W174" s="36">
        <v>12</v>
      </c>
      <c r="X174" s="36">
        <v>4089.716690666668</v>
      </c>
      <c r="Z174" s="36">
        <v>4089.716690666668</v>
      </c>
      <c r="AA174" s="36">
        <v>3951.8</v>
      </c>
      <c r="AB174" s="36">
        <v>137.91669066666782</v>
      </c>
    </row>
    <row r="175" spans="1:28">
      <c r="A175" s="291">
        <v>154</v>
      </c>
      <c r="B175" s="36" t="s">
        <v>232</v>
      </c>
      <c r="C175" s="36">
        <v>78671.023000000016</v>
      </c>
      <c r="D175" s="36">
        <v>12</v>
      </c>
      <c r="E175" s="36">
        <v>944052.27600000019</v>
      </c>
      <c r="I175" s="36">
        <v>944052.27600000019</v>
      </c>
      <c r="J175" s="36">
        <v>200000</v>
      </c>
      <c r="K175" s="36">
        <v>0.2</v>
      </c>
      <c r="L175" s="36">
        <v>188810.45520000005</v>
      </c>
      <c r="M175" s="36">
        <v>388810.45520000008</v>
      </c>
      <c r="N175" s="36">
        <v>388810.45520000008</v>
      </c>
      <c r="O175" s="36">
        <v>555241.8208000001</v>
      </c>
      <c r="P175" s="36">
        <v>21000</v>
      </c>
      <c r="Q175" s="36">
        <v>28076.600288000012</v>
      </c>
      <c r="R175" s="36">
        <v>0</v>
      </c>
      <c r="S175" s="36">
        <v>0</v>
      </c>
      <c r="T175" s="36">
        <v>0</v>
      </c>
      <c r="V175" s="36">
        <v>49076.600288000016</v>
      </c>
      <c r="W175" s="36">
        <v>12</v>
      </c>
      <c r="X175" s="36">
        <v>4089.716690666668</v>
      </c>
      <c r="Z175" s="36">
        <v>4089.716690666668</v>
      </c>
      <c r="AA175" s="36">
        <v>3951.8</v>
      </c>
      <c r="AB175" s="36">
        <v>137.91669066666782</v>
      </c>
    </row>
    <row r="176" spans="1:28">
      <c r="A176" s="291">
        <v>155</v>
      </c>
      <c r="B176" s="36" t="s">
        <v>233</v>
      </c>
      <c r="C176" s="36">
        <v>78671.023000000016</v>
      </c>
      <c r="D176" s="36">
        <v>12</v>
      </c>
      <c r="E176" s="36">
        <v>944052.27600000019</v>
      </c>
      <c r="I176" s="36">
        <v>944052.27600000019</v>
      </c>
      <c r="J176" s="36">
        <v>200000</v>
      </c>
      <c r="K176" s="36">
        <v>0.2</v>
      </c>
      <c r="L176" s="36">
        <v>188810.45520000005</v>
      </c>
      <c r="M176" s="36">
        <v>388810.45520000008</v>
      </c>
      <c r="N176" s="36">
        <v>388810.45520000008</v>
      </c>
      <c r="O176" s="36">
        <v>555241.8208000001</v>
      </c>
      <c r="P176" s="36">
        <v>21000</v>
      </c>
      <c r="Q176" s="36">
        <v>28076.600288000012</v>
      </c>
      <c r="R176" s="36">
        <v>0</v>
      </c>
      <c r="S176" s="36">
        <v>0</v>
      </c>
      <c r="T176" s="36">
        <v>0</v>
      </c>
      <c r="V176" s="36">
        <v>49076.600288000016</v>
      </c>
      <c r="W176" s="36">
        <v>12</v>
      </c>
      <c r="X176" s="36">
        <v>4089.716690666668</v>
      </c>
      <c r="Z176" s="36">
        <v>4089.716690666668</v>
      </c>
      <c r="AA176" s="36">
        <v>3951.8</v>
      </c>
      <c r="AB176" s="36">
        <v>137.91669066666782</v>
      </c>
    </row>
    <row r="177" spans="1:28">
      <c r="A177" s="291">
        <v>156</v>
      </c>
      <c r="B177" s="36" t="s">
        <v>279</v>
      </c>
      <c r="C177" s="36">
        <v>67025.061499999996</v>
      </c>
      <c r="D177" s="36">
        <v>12</v>
      </c>
      <c r="E177" s="36">
        <v>804300.7379999999</v>
      </c>
      <c r="I177" s="36">
        <v>804300.7379999999</v>
      </c>
      <c r="J177" s="36">
        <v>200000</v>
      </c>
      <c r="K177" s="36">
        <v>0.2</v>
      </c>
      <c r="L177" s="36">
        <v>160860.1476</v>
      </c>
      <c r="M177" s="36">
        <v>360860.14760000003</v>
      </c>
      <c r="N177" s="36">
        <v>360860.14760000003</v>
      </c>
      <c r="O177" s="36">
        <v>443440.59039999987</v>
      </c>
      <c r="P177" s="36">
        <v>21000</v>
      </c>
      <c r="Q177" s="36">
        <v>15778.464943999987</v>
      </c>
      <c r="R177" s="36">
        <v>0</v>
      </c>
      <c r="S177" s="36">
        <v>0</v>
      </c>
      <c r="T177" s="36">
        <v>0</v>
      </c>
      <c r="V177" s="36">
        <v>36778.464943999985</v>
      </c>
      <c r="W177" s="36">
        <v>12</v>
      </c>
      <c r="X177" s="36">
        <v>3064.8720786666654</v>
      </c>
      <c r="Z177" s="36">
        <v>3064.8720786666654</v>
      </c>
      <c r="AA177" s="36">
        <v>3183.66</v>
      </c>
      <c r="AB177" s="36">
        <v>-118.78792133333445</v>
      </c>
    </row>
    <row r="178" spans="1:28">
      <c r="A178" s="291">
        <v>157</v>
      </c>
      <c r="B178" s="36" t="s">
        <v>403</v>
      </c>
      <c r="C178" s="36">
        <v>67328.070250000004</v>
      </c>
      <c r="D178" s="36">
        <v>12</v>
      </c>
      <c r="E178" s="36">
        <v>807936.84300000011</v>
      </c>
      <c r="I178" s="36">
        <v>807936.84300000011</v>
      </c>
      <c r="J178" s="36">
        <v>200000</v>
      </c>
      <c r="K178" s="36">
        <v>0.2</v>
      </c>
      <c r="L178" s="36">
        <v>161587.36860000005</v>
      </c>
      <c r="M178" s="36">
        <v>361587.36860000005</v>
      </c>
      <c r="N178" s="36">
        <v>361587.36860000005</v>
      </c>
      <c r="O178" s="36">
        <v>446349.47440000006</v>
      </c>
      <c r="P178" s="36">
        <v>21000</v>
      </c>
      <c r="Q178" s="36">
        <v>16098.442184000007</v>
      </c>
      <c r="R178" s="36">
        <v>0</v>
      </c>
      <c r="S178" s="36">
        <v>0</v>
      </c>
      <c r="T178" s="36">
        <v>0</v>
      </c>
      <c r="V178" s="36">
        <v>37098.442184000007</v>
      </c>
      <c r="W178" s="36">
        <v>12</v>
      </c>
      <c r="X178" s="36">
        <v>3091.5368486666671</v>
      </c>
      <c r="Z178" s="36">
        <v>3091.5368486666671</v>
      </c>
      <c r="AA178" s="36">
        <v>2972.91</v>
      </c>
      <c r="AB178" s="36">
        <v>118.62684866666723</v>
      </c>
    </row>
    <row r="179" spans="1:28">
      <c r="A179" s="291"/>
      <c r="Z179" s="36">
        <v>8914137.5402293056</v>
      </c>
    </row>
    <row r="180" spans="1:28">
      <c r="Z180" s="36">
        <v>1553125.5702293059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5"/>
  <sheetViews>
    <sheetView view="pageBreakPreview" zoomScaleNormal="100" zoomScaleSheetLayoutView="100" workbookViewId="0">
      <pane xSplit="3" ySplit="9" topLeftCell="E36" activePane="bottomRight" state="frozen"/>
      <selection pane="topRight" activeCell="E1" sqref="E1"/>
      <selection pane="bottomLeft" activeCell="A10" sqref="A10"/>
      <selection pane="bottomRight" activeCell="C43" sqref="C43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41.28515625" style="1" customWidth="1"/>
    <col min="4" max="4" width="14.85546875" style="1" customWidth="1"/>
    <col min="5" max="5" width="18.5703125" style="1" customWidth="1"/>
    <col min="6" max="6" width="18.28515625" style="1" customWidth="1"/>
    <col min="7" max="7" width="19.7109375" style="1" customWidth="1"/>
    <col min="8" max="8" width="18.28515625" style="1" bestFit="1" customWidth="1"/>
    <col min="9" max="16384" width="9.140625" style="1"/>
  </cols>
  <sheetData>
    <row r="1" spans="1:12" ht="29.25" customHeight="1">
      <c r="B1" s="163"/>
      <c r="C1" s="163"/>
      <c r="D1" s="163"/>
      <c r="E1" s="163"/>
      <c r="L1" s="1" t="s">
        <v>123</v>
      </c>
    </row>
    <row r="2" spans="1:12" ht="5.25" customHeight="1">
      <c r="F2" s="50"/>
      <c r="G2" s="50"/>
    </row>
    <row r="3" spans="1:12" ht="20.100000000000001" customHeight="1">
      <c r="A3" s="34"/>
      <c r="B3" s="736" t="s">
        <v>449</v>
      </c>
      <c r="C3" s="736"/>
      <c r="D3" s="736"/>
      <c r="E3" s="160"/>
      <c r="F3" s="53"/>
      <c r="G3" s="53"/>
    </row>
    <row r="4" spans="1:12" ht="2.25" customHeight="1">
      <c r="A4" s="34"/>
      <c r="B4" s="34"/>
      <c r="C4" s="34"/>
      <c r="D4" s="34"/>
      <c r="E4" s="34"/>
      <c r="F4" s="55"/>
      <c r="G4" s="55"/>
    </row>
    <row r="5" spans="1:12" ht="20.100000000000001" customHeight="1">
      <c r="A5" s="34"/>
      <c r="B5" s="160" t="s">
        <v>0</v>
      </c>
      <c r="C5" s="159"/>
      <c r="D5" s="159"/>
      <c r="E5" s="159"/>
      <c r="F5" s="737"/>
      <c r="G5" s="737"/>
    </row>
    <row r="6" spans="1:12" ht="26.45" customHeight="1">
      <c r="A6" s="41"/>
      <c r="B6" s="167"/>
      <c r="C6" s="167" t="s">
        <v>12</v>
      </c>
      <c r="D6" s="167" t="s">
        <v>37</v>
      </c>
      <c r="E6" s="167"/>
      <c r="F6" s="168"/>
      <c r="G6" s="168"/>
    </row>
    <row r="7" spans="1:12" ht="37.15" customHeight="1">
      <c r="A7" s="41"/>
      <c r="B7" s="43"/>
      <c r="C7" s="167"/>
      <c r="D7" s="167" t="s">
        <v>35</v>
      </c>
      <c r="E7" s="57" t="s">
        <v>451</v>
      </c>
      <c r="F7" s="57" t="s">
        <v>450</v>
      </c>
      <c r="G7" s="44" t="s">
        <v>344</v>
      </c>
    </row>
    <row r="8" spans="1:12" ht="20.100000000000001" customHeight="1">
      <c r="A8" s="58" t="s">
        <v>143</v>
      </c>
      <c r="B8" s="157" t="s">
        <v>433</v>
      </c>
      <c r="C8" s="69"/>
      <c r="D8" s="69"/>
      <c r="E8" s="59" t="s">
        <v>5</v>
      </c>
      <c r="F8" s="59" t="s">
        <v>5</v>
      </c>
      <c r="G8" s="59" t="s">
        <v>5</v>
      </c>
    </row>
    <row r="9" spans="1:12" ht="20.100000000000001" customHeight="1">
      <c r="A9" s="169">
        <v>1</v>
      </c>
      <c r="B9" s="145" t="s">
        <v>224</v>
      </c>
      <c r="C9" s="166" t="s">
        <v>119</v>
      </c>
      <c r="D9" s="166" t="s">
        <v>34</v>
      </c>
      <c r="E9" s="175">
        <v>113176.97</v>
      </c>
      <c r="F9" s="38">
        <f>201165.84</f>
        <v>201165.84</v>
      </c>
      <c r="G9" s="38">
        <f>F9-E9</f>
        <v>87988.87</v>
      </c>
      <c r="H9" s="35"/>
    </row>
    <row r="10" spans="1:12" ht="20.100000000000001" customHeight="1">
      <c r="A10" s="169">
        <v>2</v>
      </c>
      <c r="B10" s="145" t="s">
        <v>154</v>
      </c>
      <c r="C10" s="166" t="s">
        <v>313</v>
      </c>
      <c r="D10" s="64" t="s">
        <v>161</v>
      </c>
      <c r="E10" s="176">
        <v>52776.63</v>
      </c>
      <c r="F10" s="60">
        <f>0</f>
        <v>0</v>
      </c>
      <c r="G10" s="38">
        <f t="shared" ref="G10:G75" si="0">F10-E10</f>
        <v>-52776.63</v>
      </c>
      <c r="H10" s="35"/>
    </row>
    <row r="11" spans="1:12" ht="20.100000000000001" customHeight="1">
      <c r="A11" s="169">
        <v>3</v>
      </c>
      <c r="B11" s="145" t="s">
        <v>137</v>
      </c>
      <c r="C11" s="41" t="s">
        <v>299</v>
      </c>
      <c r="D11" s="169" t="s">
        <v>221</v>
      </c>
      <c r="E11" s="176">
        <v>21618.09</v>
      </c>
      <c r="F11" s="60">
        <f>125875.96</f>
        <v>125875.96</v>
      </c>
      <c r="G11" s="38">
        <f t="shared" si="0"/>
        <v>104257.87000000001</v>
      </c>
      <c r="H11" s="35"/>
    </row>
    <row r="12" spans="1:12" ht="20.100000000000001" customHeight="1">
      <c r="A12" s="169">
        <v>4</v>
      </c>
      <c r="B12" s="146" t="s">
        <v>225</v>
      </c>
      <c r="C12" s="47" t="s">
        <v>226</v>
      </c>
      <c r="D12" s="71" t="s">
        <v>221</v>
      </c>
      <c r="E12" s="177">
        <v>21618.09</v>
      </c>
      <c r="F12" s="38">
        <f>116473.51</f>
        <v>116473.51</v>
      </c>
      <c r="G12" s="38">
        <f t="shared" si="0"/>
        <v>94855.42</v>
      </c>
      <c r="H12" s="35"/>
    </row>
    <row r="13" spans="1:12" ht="20.100000000000001" customHeight="1">
      <c r="A13" s="169">
        <v>5</v>
      </c>
      <c r="B13" s="145" t="s">
        <v>315</v>
      </c>
      <c r="C13" s="166" t="s">
        <v>316</v>
      </c>
      <c r="D13" s="169" t="s">
        <v>271</v>
      </c>
      <c r="E13" s="176">
        <v>21618.09</v>
      </c>
      <c r="F13" s="38">
        <f>79993.51</f>
        <v>79993.509999999995</v>
      </c>
      <c r="G13" s="38">
        <f t="shared" si="0"/>
        <v>58375.42</v>
      </c>
      <c r="H13" s="35"/>
    </row>
    <row r="14" spans="1:12" ht="20.100000000000001" customHeight="1">
      <c r="A14" s="169">
        <v>6</v>
      </c>
      <c r="B14" s="146" t="s">
        <v>317</v>
      </c>
      <c r="C14" s="41" t="s">
        <v>418</v>
      </c>
      <c r="D14" s="64" t="s">
        <v>272</v>
      </c>
      <c r="E14" s="176">
        <v>21618.09</v>
      </c>
      <c r="F14" s="60">
        <f>107095.69</f>
        <v>107095.69</v>
      </c>
      <c r="G14" s="38">
        <f t="shared" si="0"/>
        <v>85477.6</v>
      </c>
      <c r="H14" s="35"/>
    </row>
    <row r="15" spans="1:12" ht="20.100000000000001" customHeight="1">
      <c r="A15" s="169">
        <v>7</v>
      </c>
      <c r="B15" s="146" t="s">
        <v>112</v>
      </c>
      <c r="C15" s="41" t="s">
        <v>339</v>
      </c>
      <c r="D15" s="40" t="s">
        <v>75</v>
      </c>
      <c r="E15" s="176">
        <v>15548.33</v>
      </c>
      <c r="F15" s="38">
        <f>83636.1</f>
        <v>83636.100000000006</v>
      </c>
      <c r="G15" s="38">
        <f t="shared" si="0"/>
        <v>68087.77</v>
      </c>
      <c r="H15" s="35"/>
    </row>
    <row r="16" spans="1:12" ht="20.100000000000001" customHeight="1">
      <c r="A16" s="169">
        <v>8</v>
      </c>
      <c r="B16" s="147" t="s">
        <v>187</v>
      </c>
      <c r="C16" s="155" t="s">
        <v>188</v>
      </c>
      <c r="D16" s="29" t="s">
        <v>75</v>
      </c>
      <c r="E16" s="178">
        <v>15548.33</v>
      </c>
      <c r="F16" s="26">
        <f>64436.1</f>
        <v>64436.1</v>
      </c>
      <c r="G16" s="38">
        <f t="shared" si="0"/>
        <v>48887.77</v>
      </c>
      <c r="H16" s="35"/>
    </row>
    <row r="17" spans="1:8" ht="20.100000000000001" customHeight="1">
      <c r="A17" s="169">
        <v>9</v>
      </c>
      <c r="B17" s="146" t="s">
        <v>203</v>
      </c>
      <c r="C17" s="41" t="s">
        <v>214</v>
      </c>
      <c r="D17" s="169" t="s">
        <v>75</v>
      </c>
      <c r="E17" s="176">
        <v>15548.33</v>
      </c>
      <c r="F17" s="38">
        <f>64436.1</f>
        <v>64436.1</v>
      </c>
      <c r="G17" s="38">
        <f t="shared" si="0"/>
        <v>48887.77</v>
      </c>
      <c r="H17" s="35"/>
    </row>
    <row r="18" spans="1:8" ht="20.100000000000001" customHeight="1">
      <c r="A18" s="169">
        <v>10</v>
      </c>
      <c r="B18" s="148" t="s">
        <v>111</v>
      </c>
      <c r="C18" s="166" t="s">
        <v>375</v>
      </c>
      <c r="D18" s="64" t="s">
        <v>75</v>
      </c>
      <c r="E18" s="176">
        <v>15548.33</v>
      </c>
      <c r="F18" s="60">
        <f>64436.1</f>
        <v>64436.1</v>
      </c>
      <c r="G18" s="38">
        <f t="shared" si="0"/>
        <v>48887.77</v>
      </c>
      <c r="H18" s="35"/>
    </row>
    <row r="19" spans="1:8" ht="20.100000000000001" customHeight="1">
      <c r="A19" s="169">
        <v>11</v>
      </c>
      <c r="B19" s="137" t="s">
        <v>333</v>
      </c>
      <c r="C19" s="166" t="s">
        <v>387</v>
      </c>
      <c r="D19" s="12" t="s">
        <v>272</v>
      </c>
      <c r="E19" s="179">
        <v>15548.33</v>
      </c>
      <c r="F19" s="38">
        <f>60212.92</f>
        <v>60212.92</v>
      </c>
      <c r="G19" s="38">
        <f t="shared" si="0"/>
        <v>44664.59</v>
      </c>
      <c r="H19" s="35"/>
    </row>
    <row r="20" spans="1:8" ht="20.100000000000001" customHeight="1">
      <c r="A20" s="169">
        <v>12</v>
      </c>
      <c r="B20" s="149" t="s">
        <v>220</v>
      </c>
      <c r="C20" s="47" t="s">
        <v>388</v>
      </c>
      <c r="D20" s="48" t="s">
        <v>162</v>
      </c>
      <c r="E20" s="177">
        <v>7709.76</v>
      </c>
      <c r="F20" s="63">
        <f>52638.9</f>
        <v>52638.9</v>
      </c>
      <c r="G20" s="38">
        <f t="shared" si="0"/>
        <v>44929.14</v>
      </c>
      <c r="H20" s="35"/>
    </row>
    <row r="21" spans="1:8" ht="19.5" customHeight="1">
      <c r="A21" s="169">
        <v>13</v>
      </c>
      <c r="B21" s="146" t="s">
        <v>144</v>
      </c>
      <c r="C21" s="47" t="s">
        <v>389</v>
      </c>
      <c r="D21" s="169" t="s">
        <v>162</v>
      </c>
      <c r="E21" s="176">
        <v>7709.76</v>
      </c>
      <c r="F21" s="38">
        <f>43380</f>
        <v>43380</v>
      </c>
      <c r="G21" s="38">
        <f t="shared" si="0"/>
        <v>35670.239999999998</v>
      </c>
      <c r="H21" s="35"/>
    </row>
    <row r="22" spans="1:8" ht="19.5" customHeight="1">
      <c r="A22" s="169">
        <v>14</v>
      </c>
      <c r="B22" s="146" t="s">
        <v>139</v>
      </c>
      <c r="C22" s="41" t="s">
        <v>386</v>
      </c>
      <c r="D22" s="169" t="s">
        <v>162</v>
      </c>
      <c r="E22" s="176">
        <v>7709.76</v>
      </c>
      <c r="F22" s="38">
        <f>85278.9</f>
        <v>85278.9</v>
      </c>
      <c r="G22" s="38">
        <f t="shared" si="0"/>
        <v>77569.14</v>
      </c>
      <c r="H22" s="35"/>
    </row>
    <row r="23" spans="1:8" ht="20.100000000000001" customHeight="1">
      <c r="A23" s="169">
        <v>15</v>
      </c>
      <c r="B23" s="145" t="s">
        <v>18</v>
      </c>
      <c r="C23" s="47" t="s">
        <v>390</v>
      </c>
      <c r="D23" s="64" t="s">
        <v>175</v>
      </c>
      <c r="E23" s="176">
        <v>7709.76</v>
      </c>
      <c r="F23" s="60">
        <f>42046.06</f>
        <v>42046.06</v>
      </c>
      <c r="G23" s="38">
        <f t="shared" si="0"/>
        <v>34336.299999999996</v>
      </c>
      <c r="H23" s="35"/>
    </row>
    <row r="24" spans="1:8" ht="20.100000000000001" customHeight="1">
      <c r="A24" s="169">
        <v>16</v>
      </c>
      <c r="B24" s="148" t="s">
        <v>26</v>
      </c>
      <c r="C24" s="41" t="s">
        <v>296</v>
      </c>
      <c r="D24" s="64" t="s">
        <v>163</v>
      </c>
      <c r="E24" s="176">
        <v>7709.76</v>
      </c>
      <c r="F24" s="60">
        <f>39478.93</f>
        <v>39478.93</v>
      </c>
      <c r="G24" s="38">
        <f t="shared" si="0"/>
        <v>31769.17</v>
      </c>
      <c r="H24" s="35"/>
    </row>
    <row r="25" spans="1:8" ht="20.100000000000001" customHeight="1">
      <c r="A25" s="169">
        <v>17</v>
      </c>
      <c r="B25" s="145" t="s">
        <v>334</v>
      </c>
      <c r="C25" s="166" t="s">
        <v>351</v>
      </c>
      <c r="D25" s="64" t="s">
        <v>149</v>
      </c>
      <c r="E25" s="176">
        <v>7709.76</v>
      </c>
      <c r="F25" s="60">
        <f>46673.26</f>
        <v>46673.26</v>
      </c>
      <c r="G25" s="38">
        <f t="shared" si="0"/>
        <v>38963.5</v>
      </c>
      <c r="H25" s="35"/>
    </row>
    <row r="26" spans="1:8" ht="20.100000000000001" customHeight="1">
      <c r="A26" s="169">
        <v>18</v>
      </c>
      <c r="B26" s="137" t="s">
        <v>291</v>
      </c>
      <c r="C26" s="41" t="s">
        <v>346</v>
      </c>
      <c r="D26" s="64" t="s">
        <v>273</v>
      </c>
      <c r="E26" s="176">
        <v>7709.76</v>
      </c>
      <c r="F26" s="60">
        <f>63364.81</f>
        <v>63364.81</v>
      </c>
      <c r="G26" s="38">
        <f t="shared" si="0"/>
        <v>55655.049999999996</v>
      </c>
      <c r="H26" s="35"/>
    </row>
    <row r="27" spans="1:8" ht="20.100000000000001" customHeight="1">
      <c r="A27" s="169">
        <v>19</v>
      </c>
      <c r="B27" s="145" t="s">
        <v>141</v>
      </c>
      <c r="C27" s="166" t="s">
        <v>391</v>
      </c>
      <c r="D27" s="64" t="s">
        <v>415</v>
      </c>
      <c r="E27" s="176">
        <v>3369.51</v>
      </c>
      <c r="F27" s="60">
        <f>31848.56</f>
        <v>31848.560000000001</v>
      </c>
      <c r="G27" s="38">
        <f t="shared" si="0"/>
        <v>28479.050000000003</v>
      </c>
      <c r="H27" s="35"/>
    </row>
    <row r="28" spans="1:8" ht="18.75" customHeight="1">
      <c r="A28" s="169">
        <v>20</v>
      </c>
      <c r="B28" s="145" t="s">
        <v>253</v>
      </c>
      <c r="C28" s="166" t="s">
        <v>252</v>
      </c>
      <c r="D28" s="64" t="s">
        <v>27</v>
      </c>
      <c r="E28" s="176">
        <v>3369.51</v>
      </c>
      <c r="F28" s="60">
        <f>27873.08</f>
        <v>27873.08</v>
      </c>
      <c r="G28" s="38">
        <f t="shared" si="0"/>
        <v>24503.57</v>
      </c>
      <c r="H28" s="35"/>
    </row>
    <row r="29" spans="1:8" ht="18.75" customHeight="1">
      <c r="A29" s="169">
        <v>21</v>
      </c>
      <c r="B29" s="145" t="s">
        <v>247</v>
      </c>
      <c r="C29" s="41" t="s">
        <v>168</v>
      </c>
      <c r="D29" s="64" t="s">
        <v>27</v>
      </c>
      <c r="E29" s="176">
        <v>3369.51</v>
      </c>
      <c r="F29" s="60">
        <f>27873.08</f>
        <v>27873.08</v>
      </c>
      <c r="G29" s="38">
        <f t="shared" si="0"/>
        <v>24503.57</v>
      </c>
      <c r="H29" s="35"/>
    </row>
    <row r="30" spans="1:8" ht="18.75" customHeight="1">
      <c r="A30" s="169">
        <v>22</v>
      </c>
      <c r="B30" s="137" t="s">
        <v>293</v>
      </c>
      <c r="C30" s="41" t="s">
        <v>294</v>
      </c>
      <c r="D30" s="64" t="s">
        <v>164</v>
      </c>
      <c r="E30" s="176">
        <v>3369.51</v>
      </c>
      <c r="F30" s="60">
        <f>27105.99</f>
        <v>27105.99</v>
      </c>
      <c r="G30" s="38">
        <f t="shared" si="0"/>
        <v>23736.480000000003</v>
      </c>
      <c r="H30" s="35"/>
    </row>
    <row r="31" spans="1:8" ht="18.75" customHeight="1">
      <c r="A31" s="169">
        <v>23</v>
      </c>
      <c r="B31" s="137" t="s">
        <v>275</v>
      </c>
      <c r="C31" s="166" t="s">
        <v>314</v>
      </c>
      <c r="D31" s="64" t="s">
        <v>207</v>
      </c>
      <c r="E31" s="176">
        <v>1484.37</v>
      </c>
      <c r="F31" s="27">
        <f>26339.08</f>
        <v>26339.08</v>
      </c>
      <c r="G31" s="38">
        <f t="shared" si="0"/>
        <v>24854.710000000003</v>
      </c>
      <c r="H31" s="35"/>
    </row>
    <row r="32" spans="1:8" ht="18.75" customHeight="1">
      <c r="A32" s="169">
        <v>24</v>
      </c>
      <c r="B32" s="1" t="s">
        <v>434</v>
      </c>
      <c r="C32" s="1" t="s">
        <v>17</v>
      </c>
      <c r="D32" s="169" t="s">
        <v>428</v>
      </c>
      <c r="E32" s="176">
        <v>3369.51</v>
      </c>
      <c r="F32" s="60">
        <f>21640.95</f>
        <v>21640.95</v>
      </c>
      <c r="G32" s="38">
        <f t="shared" si="0"/>
        <v>18271.440000000002</v>
      </c>
      <c r="H32" s="35"/>
    </row>
    <row r="33" spans="1:8" ht="18.75" customHeight="1">
      <c r="A33" s="169">
        <v>25</v>
      </c>
      <c r="B33" s="137" t="s">
        <v>254</v>
      </c>
      <c r="C33" s="166" t="s">
        <v>17</v>
      </c>
      <c r="D33" s="64" t="s">
        <v>411</v>
      </c>
      <c r="E33" s="176">
        <v>1484.37</v>
      </c>
      <c r="F33" s="60">
        <f>18102.9</f>
        <v>18102.900000000001</v>
      </c>
      <c r="G33" s="38">
        <f t="shared" si="0"/>
        <v>16618.530000000002</v>
      </c>
      <c r="H33" s="35"/>
    </row>
    <row r="34" spans="1:8" ht="18.75" customHeight="1">
      <c r="A34" s="169">
        <v>26</v>
      </c>
      <c r="B34" s="145" t="s">
        <v>248</v>
      </c>
      <c r="C34" s="166" t="s">
        <v>249</v>
      </c>
      <c r="D34" s="64" t="s">
        <v>267</v>
      </c>
      <c r="E34" s="176">
        <v>1484.37</v>
      </c>
      <c r="F34" s="60">
        <f>18102.9</f>
        <v>18102.900000000001</v>
      </c>
      <c r="G34" s="38">
        <f t="shared" si="0"/>
        <v>16618.530000000002</v>
      </c>
      <c r="H34" s="35"/>
    </row>
    <row r="35" spans="1:8" ht="18.75" customHeight="1">
      <c r="A35" s="169">
        <v>27</v>
      </c>
      <c r="B35" s="137" t="s">
        <v>288</v>
      </c>
      <c r="C35" s="166" t="s">
        <v>249</v>
      </c>
      <c r="D35" s="64" t="s">
        <v>295</v>
      </c>
      <c r="E35" s="176">
        <v>1484.37</v>
      </c>
      <c r="F35" s="60">
        <f>17572.89</f>
        <v>17572.89</v>
      </c>
      <c r="G35" s="38">
        <f t="shared" si="0"/>
        <v>16088.52</v>
      </c>
      <c r="H35" s="35"/>
    </row>
    <row r="36" spans="1:8" ht="18.75" customHeight="1">
      <c r="A36" s="169">
        <v>28</v>
      </c>
      <c r="B36" s="147" t="s">
        <v>345</v>
      </c>
      <c r="C36" s="155" t="s">
        <v>319</v>
      </c>
      <c r="D36" s="64" t="s">
        <v>51</v>
      </c>
      <c r="E36" s="176">
        <v>1484.37</v>
      </c>
      <c r="F36" s="27">
        <f>17572.89</f>
        <v>17572.89</v>
      </c>
      <c r="G36" s="38">
        <f t="shared" si="0"/>
        <v>16088.52</v>
      </c>
      <c r="H36" s="35"/>
    </row>
    <row r="37" spans="1:8" ht="18.75" customHeight="1">
      <c r="A37" s="169">
        <v>29</v>
      </c>
      <c r="B37" s="137" t="s">
        <v>328</v>
      </c>
      <c r="C37" s="41" t="s">
        <v>329</v>
      </c>
      <c r="D37" s="169" t="s">
        <v>51</v>
      </c>
      <c r="E37" s="176">
        <v>1484.37</v>
      </c>
      <c r="F37" s="60">
        <f>17572.89</f>
        <v>17572.89</v>
      </c>
      <c r="G37" s="38">
        <f t="shared" si="0"/>
        <v>16088.52</v>
      </c>
      <c r="H37" s="35"/>
    </row>
    <row r="38" spans="1:8" ht="18.75" customHeight="1">
      <c r="A38" s="169">
        <v>30</v>
      </c>
      <c r="B38" s="138" t="s">
        <v>360</v>
      </c>
      <c r="C38" s="155" t="s">
        <v>372</v>
      </c>
      <c r="D38" s="64" t="s">
        <v>105</v>
      </c>
      <c r="E38" s="176">
        <v>1484.37</v>
      </c>
      <c r="F38" s="27">
        <f>16512.68</f>
        <v>16512.68</v>
      </c>
      <c r="G38" s="38">
        <f t="shared" si="0"/>
        <v>15028.310000000001</v>
      </c>
      <c r="H38" s="35"/>
    </row>
    <row r="39" spans="1:8" ht="18.75" customHeight="1">
      <c r="A39" s="169">
        <v>31</v>
      </c>
      <c r="B39" s="138" t="s">
        <v>417</v>
      </c>
      <c r="C39" s="155" t="s">
        <v>372</v>
      </c>
      <c r="D39" s="64" t="s">
        <v>105</v>
      </c>
      <c r="E39" s="176">
        <v>1484.37</v>
      </c>
      <c r="F39" s="27">
        <f>16512.68</f>
        <v>16512.68</v>
      </c>
      <c r="G39" s="38">
        <f t="shared" si="0"/>
        <v>15028.310000000001</v>
      </c>
      <c r="H39" s="35"/>
    </row>
    <row r="40" spans="1:8" ht="18.75" customHeight="1">
      <c r="A40" s="169">
        <v>32</v>
      </c>
      <c r="B40" s="137" t="s">
        <v>330</v>
      </c>
      <c r="C40" s="41" t="s">
        <v>331</v>
      </c>
      <c r="D40" s="169" t="s">
        <v>105</v>
      </c>
      <c r="E40" s="176">
        <v>1484.37</v>
      </c>
      <c r="F40" s="60">
        <f>16512.68</f>
        <v>16512.68</v>
      </c>
      <c r="G40" s="38">
        <f t="shared" si="0"/>
        <v>15028.310000000001</v>
      </c>
      <c r="H40" s="35"/>
    </row>
    <row r="41" spans="1:8" ht="18.75" customHeight="1">
      <c r="A41" s="169">
        <v>33</v>
      </c>
      <c r="B41" s="137" t="s">
        <v>274</v>
      </c>
      <c r="C41" s="166" t="s">
        <v>314</v>
      </c>
      <c r="D41" s="64" t="s">
        <v>105</v>
      </c>
      <c r="E41" s="176">
        <v>1484.37</v>
      </c>
      <c r="F41" s="27">
        <f>16512.68</f>
        <v>16512.68</v>
      </c>
      <c r="G41" s="38">
        <f t="shared" si="0"/>
        <v>15028.310000000001</v>
      </c>
      <c r="H41" s="35"/>
    </row>
    <row r="42" spans="1:8" ht="18.75" customHeight="1">
      <c r="A42" s="169">
        <v>34</v>
      </c>
      <c r="B42" s="137" t="s">
        <v>453</v>
      </c>
      <c r="C42" s="166" t="s">
        <v>314</v>
      </c>
      <c r="D42" s="64" t="s">
        <v>105</v>
      </c>
      <c r="E42" s="176">
        <v>0</v>
      </c>
      <c r="F42" s="27">
        <f>16512.68</f>
        <v>16512.68</v>
      </c>
      <c r="G42" s="38">
        <f t="shared" ref="G42" si="1">F42-E42</f>
        <v>16512.68</v>
      </c>
      <c r="H42" s="35"/>
    </row>
    <row r="43" spans="1:8" ht="26.25" customHeight="1">
      <c r="A43" s="169"/>
      <c r="B43" s="150" t="s">
        <v>15</v>
      </c>
      <c r="C43" s="168">
        <v>33</v>
      </c>
      <c r="D43" s="64"/>
      <c r="E43" s="182">
        <f>SUM(E9:E42)</f>
        <v>415827.18000000011</v>
      </c>
      <c r="F43" s="66">
        <f>SUM(F9:F41)</f>
        <v>1658278.6199999994</v>
      </c>
      <c r="G43" s="61">
        <f t="shared" si="0"/>
        <v>1242451.4399999992</v>
      </c>
      <c r="H43" s="35"/>
    </row>
    <row r="44" spans="1:8" ht="18.75" customHeight="1">
      <c r="A44" s="169"/>
      <c r="B44" s="139"/>
      <c r="C44" s="41"/>
      <c r="D44" s="64"/>
      <c r="E44" s="176"/>
      <c r="F44" s="66"/>
      <c r="G44" s="38">
        <f t="shared" si="0"/>
        <v>0</v>
      </c>
    </row>
    <row r="45" spans="1:8" ht="18.75" customHeight="1">
      <c r="A45" s="169"/>
      <c r="B45" s="150" t="s">
        <v>284</v>
      </c>
      <c r="C45" s="41"/>
      <c r="D45" s="64"/>
      <c r="E45" s="176"/>
      <c r="F45" s="60"/>
      <c r="G45" s="38">
        <f t="shared" si="0"/>
        <v>0</v>
      </c>
    </row>
    <row r="46" spans="1:8" ht="18.75" customHeight="1">
      <c r="A46" s="169">
        <v>1</v>
      </c>
      <c r="B46" s="137" t="s">
        <v>361</v>
      </c>
      <c r="C46" s="41" t="s">
        <v>362</v>
      </c>
      <c r="D46" s="169" t="s">
        <v>206</v>
      </c>
      <c r="E46" s="176">
        <v>52776.63</v>
      </c>
      <c r="F46" s="60">
        <f>156349.82</f>
        <v>156349.82</v>
      </c>
      <c r="G46" s="38">
        <f t="shared" si="0"/>
        <v>103573.19</v>
      </c>
    </row>
    <row r="47" spans="1:8" ht="18.75" customHeight="1">
      <c r="A47" s="169">
        <v>2</v>
      </c>
      <c r="B47" s="137" t="s">
        <v>419</v>
      </c>
      <c r="C47" s="41" t="s">
        <v>427</v>
      </c>
      <c r="D47" s="169" t="s">
        <v>105</v>
      </c>
      <c r="E47" s="176">
        <v>1484.37</v>
      </c>
      <c r="F47" s="60">
        <f>16512.68</f>
        <v>16512.68</v>
      </c>
      <c r="G47" s="38">
        <f t="shared" si="0"/>
        <v>15028.310000000001</v>
      </c>
    </row>
    <row r="48" spans="1:8" ht="19.5" customHeight="1">
      <c r="A48" s="169"/>
      <c r="B48" s="140"/>
      <c r="C48" s="168">
        <v>2</v>
      </c>
      <c r="D48" s="169"/>
      <c r="E48" s="182">
        <v>54261</v>
      </c>
      <c r="F48" s="66">
        <f>SUM(F46:F47)</f>
        <v>172862.5</v>
      </c>
      <c r="G48" s="61">
        <f t="shared" si="0"/>
        <v>118601.5</v>
      </c>
      <c r="H48" s="82"/>
    </row>
    <row r="49" spans="1:8" ht="20.100000000000001" customHeight="1">
      <c r="A49" s="169"/>
      <c r="B49" s="146"/>
      <c r="C49" s="41"/>
      <c r="D49" s="169"/>
      <c r="E49" s="176"/>
      <c r="F49" s="66"/>
      <c r="G49" s="38">
        <f t="shared" si="0"/>
        <v>0</v>
      </c>
      <c r="H49" s="34"/>
    </row>
    <row r="50" spans="1:8" ht="20.100000000000001" customHeight="1">
      <c r="A50" s="169"/>
      <c r="B50" s="151" t="s">
        <v>56</v>
      </c>
      <c r="C50" s="170"/>
      <c r="D50" s="44"/>
      <c r="E50" s="180"/>
      <c r="F50" s="38"/>
      <c r="G50" s="38">
        <f t="shared" si="0"/>
        <v>0</v>
      </c>
    </row>
    <row r="51" spans="1:8" ht="20.100000000000001" customHeight="1">
      <c r="A51" s="169">
        <v>1</v>
      </c>
      <c r="B51" s="145" t="s">
        <v>255</v>
      </c>
      <c r="C51" s="41" t="s">
        <v>256</v>
      </c>
      <c r="D51" s="169" t="s">
        <v>161</v>
      </c>
      <c r="E51" s="176">
        <v>52776.63</v>
      </c>
      <c r="F51" s="60">
        <f>180306.81</f>
        <v>180306.81</v>
      </c>
      <c r="G51" s="38">
        <f t="shared" si="0"/>
        <v>127530.18</v>
      </c>
    </row>
    <row r="52" spans="1:8" ht="20.100000000000001" customHeight="1">
      <c r="A52" s="169">
        <v>2</v>
      </c>
      <c r="B52" s="145" t="s">
        <v>158</v>
      </c>
      <c r="C52" s="41" t="s">
        <v>199</v>
      </c>
      <c r="D52" s="169" t="s">
        <v>75</v>
      </c>
      <c r="E52" s="176">
        <v>15548.33</v>
      </c>
      <c r="F52" s="60">
        <f>79956.94</f>
        <v>79956.94</v>
      </c>
      <c r="G52" s="38">
        <f t="shared" si="0"/>
        <v>64408.61</v>
      </c>
    </row>
    <row r="53" spans="1:8" ht="20.100000000000001" customHeight="1">
      <c r="A53" s="169">
        <v>3</v>
      </c>
      <c r="B53" s="145" t="s">
        <v>165</v>
      </c>
      <c r="C53" s="41" t="s">
        <v>258</v>
      </c>
      <c r="D53" s="169" t="s">
        <v>75</v>
      </c>
      <c r="E53" s="176">
        <v>15548.33</v>
      </c>
      <c r="F53" s="60">
        <f>79956.94</f>
        <v>79956.94</v>
      </c>
      <c r="G53" s="38">
        <f t="shared" si="0"/>
        <v>64408.61</v>
      </c>
    </row>
    <row r="54" spans="1:8" ht="20.100000000000001" customHeight="1">
      <c r="A54" s="169">
        <v>4</v>
      </c>
      <c r="B54" s="145" t="s">
        <v>159</v>
      </c>
      <c r="C54" s="41" t="s">
        <v>258</v>
      </c>
      <c r="D54" s="169" t="s">
        <v>148</v>
      </c>
      <c r="E54" s="176">
        <v>15548.33</v>
      </c>
      <c r="F54" s="60">
        <f>77764.98</f>
        <v>77764.98</v>
      </c>
      <c r="G54" s="38">
        <f t="shared" si="0"/>
        <v>62216.649999999994</v>
      </c>
    </row>
    <row r="55" spans="1:8" ht="20.100000000000001" customHeight="1">
      <c r="A55" s="169">
        <v>5</v>
      </c>
      <c r="B55" s="145" t="s">
        <v>118</v>
      </c>
      <c r="C55" s="41" t="s">
        <v>78</v>
      </c>
      <c r="D55" s="169" t="s">
        <v>174</v>
      </c>
      <c r="E55" s="176">
        <v>7709.76</v>
      </c>
      <c r="F55" s="60">
        <f>59437.57</f>
        <v>59437.57</v>
      </c>
      <c r="G55" s="38">
        <f t="shared" si="0"/>
        <v>51727.81</v>
      </c>
    </row>
    <row r="56" spans="1:8" ht="20.100000000000001" customHeight="1">
      <c r="A56" s="169">
        <v>6</v>
      </c>
      <c r="B56" s="145" t="s">
        <v>205</v>
      </c>
      <c r="C56" s="41" t="s">
        <v>78</v>
      </c>
      <c r="D56" s="169" t="s">
        <v>162</v>
      </c>
      <c r="E56" s="176">
        <v>7709.76</v>
      </c>
      <c r="F56" s="60">
        <f>56478.9</f>
        <v>56478.9</v>
      </c>
      <c r="G56" s="38">
        <f t="shared" si="0"/>
        <v>48769.14</v>
      </c>
    </row>
    <row r="57" spans="1:8" ht="20.100000000000001" customHeight="1">
      <c r="A57" s="169">
        <v>7</v>
      </c>
      <c r="B57" s="152" t="s">
        <v>173</v>
      </c>
      <c r="C57" s="41" t="s">
        <v>297</v>
      </c>
      <c r="D57" s="25" t="s">
        <v>162</v>
      </c>
      <c r="E57" s="178">
        <v>7709.76</v>
      </c>
      <c r="F57" s="24">
        <f>56478.9</f>
        <v>56478.9</v>
      </c>
      <c r="G57" s="38">
        <f t="shared" si="0"/>
        <v>48769.14</v>
      </c>
    </row>
    <row r="58" spans="1:8" ht="20.100000000000001" customHeight="1">
      <c r="A58" s="169">
        <v>8</v>
      </c>
      <c r="B58" s="145" t="s">
        <v>116</v>
      </c>
      <c r="C58" s="41" t="s">
        <v>257</v>
      </c>
      <c r="D58" s="169" t="s">
        <v>170</v>
      </c>
      <c r="E58" s="176">
        <v>7709.76</v>
      </c>
      <c r="F58" s="60">
        <f>49548.78</f>
        <v>49548.78</v>
      </c>
      <c r="G58" s="38">
        <f t="shared" si="0"/>
        <v>41839.019999999997</v>
      </c>
    </row>
    <row r="59" spans="1:8" ht="20.100000000000001" customHeight="1">
      <c r="A59" s="169">
        <v>9</v>
      </c>
      <c r="B59" s="147" t="s">
        <v>184</v>
      </c>
      <c r="C59" s="41" t="s">
        <v>80</v>
      </c>
      <c r="D59" s="29" t="s">
        <v>163</v>
      </c>
      <c r="E59" s="178">
        <v>7709.76</v>
      </c>
      <c r="F59" s="26">
        <f>48052.11</f>
        <v>48052.11</v>
      </c>
      <c r="G59" s="38">
        <f t="shared" si="0"/>
        <v>40342.35</v>
      </c>
    </row>
    <row r="60" spans="1:8" ht="20.100000000000001" customHeight="1">
      <c r="A60" s="169">
        <v>10</v>
      </c>
      <c r="B60" s="147" t="s">
        <v>420</v>
      </c>
      <c r="C60" s="41" t="s">
        <v>84</v>
      </c>
      <c r="D60" s="169" t="s">
        <v>428</v>
      </c>
      <c r="E60" s="176">
        <v>3369.51</v>
      </c>
      <c r="F60" s="60">
        <f>28360.95</f>
        <v>28360.95</v>
      </c>
      <c r="G60" s="38">
        <f t="shared" si="0"/>
        <v>24991.440000000002</v>
      </c>
    </row>
    <row r="61" spans="1:8" ht="20.100000000000001" customHeight="1">
      <c r="A61" s="169">
        <v>11</v>
      </c>
      <c r="B61" s="147" t="s">
        <v>435</v>
      </c>
      <c r="C61" s="41" t="s">
        <v>84</v>
      </c>
      <c r="D61" s="169" t="s">
        <v>428</v>
      </c>
      <c r="E61" s="176">
        <v>3369.51</v>
      </c>
      <c r="F61" s="60">
        <f>28360.95</f>
        <v>28360.95</v>
      </c>
      <c r="G61" s="38">
        <f t="shared" si="0"/>
        <v>24991.440000000002</v>
      </c>
    </row>
    <row r="62" spans="1:8" ht="20.100000000000001" customHeight="1">
      <c r="A62" s="169">
        <v>12</v>
      </c>
      <c r="B62" s="147" t="s">
        <v>452</v>
      </c>
      <c r="C62" s="41" t="s">
        <v>84</v>
      </c>
      <c r="D62" s="169" t="s">
        <v>428</v>
      </c>
      <c r="E62" s="176">
        <v>0</v>
      </c>
      <c r="F62" s="60">
        <f>28360.95*23/31</f>
        <v>21041.995161290321</v>
      </c>
      <c r="G62" s="38">
        <f t="shared" ref="G62" si="2">F62-E62</f>
        <v>21041.995161290321</v>
      </c>
    </row>
    <row r="63" spans="1:8" ht="25.5" customHeight="1">
      <c r="A63" s="169"/>
      <c r="B63" s="153" t="s">
        <v>15</v>
      </c>
      <c r="C63" s="30">
        <v>11</v>
      </c>
      <c r="D63" s="30"/>
      <c r="E63" s="181">
        <f>SUM(E51:E62)</f>
        <v>144709.44</v>
      </c>
      <c r="F63" s="181">
        <f t="shared" ref="F63:G63" si="3">SUM(F51:F62)</f>
        <v>765745.82516129024</v>
      </c>
      <c r="G63" s="181">
        <f t="shared" si="3"/>
        <v>621036.38516129018</v>
      </c>
      <c r="H63" s="82"/>
    </row>
    <row r="64" spans="1:8" ht="20.100000000000001" customHeight="1">
      <c r="A64" s="169"/>
      <c r="B64" s="141"/>
      <c r="C64" s="30"/>
      <c r="D64" s="30"/>
      <c r="E64" s="181"/>
      <c r="F64" s="31"/>
      <c r="G64" s="38">
        <f t="shared" si="0"/>
        <v>0</v>
      </c>
    </row>
    <row r="65" spans="1:8" ht="20.100000000000001" customHeight="1">
      <c r="A65" s="169"/>
      <c r="B65" s="153" t="s">
        <v>195</v>
      </c>
      <c r="C65" s="30"/>
      <c r="D65" s="30"/>
      <c r="E65" s="181"/>
      <c r="F65" s="31"/>
      <c r="G65" s="38">
        <f t="shared" si="0"/>
        <v>0</v>
      </c>
    </row>
    <row r="66" spans="1:8" ht="20.100000000000001" customHeight="1">
      <c r="A66" s="169">
        <v>1</v>
      </c>
      <c r="B66" s="145" t="s">
        <v>11</v>
      </c>
      <c r="C66" s="166" t="s">
        <v>200</v>
      </c>
      <c r="D66" s="64" t="s">
        <v>161</v>
      </c>
      <c r="E66" s="176">
        <v>52776.63</v>
      </c>
      <c r="F66" s="60">
        <f>180306.81</f>
        <v>180306.81</v>
      </c>
      <c r="G66" s="38">
        <f t="shared" si="0"/>
        <v>127530.18</v>
      </c>
    </row>
    <row r="67" spans="1:8" ht="20.100000000000001" customHeight="1">
      <c r="A67" s="169">
        <v>2</v>
      </c>
      <c r="B67" s="137" t="s">
        <v>276</v>
      </c>
      <c r="C67" s="166" t="s">
        <v>340</v>
      </c>
      <c r="D67" s="64" t="s">
        <v>412</v>
      </c>
      <c r="E67" s="176">
        <v>15548.33</v>
      </c>
      <c r="F67" s="60">
        <f>62404.98</f>
        <v>62404.98</v>
      </c>
      <c r="G67" s="38">
        <f t="shared" si="0"/>
        <v>46856.65</v>
      </c>
    </row>
    <row r="68" spans="1:8" ht="20.100000000000001" customHeight="1">
      <c r="A68" s="169"/>
      <c r="B68" s="153" t="s">
        <v>15</v>
      </c>
      <c r="C68" s="30">
        <v>2</v>
      </c>
      <c r="D68" s="30"/>
      <c r="E68" s="181">
        <v>68324.959999999992</v>
      </c>
      <c r="F68" s="78">
        <f t="shared" ref="F68" si="4">SUM(F66:F67)</f>
        <v>242711.79</v>
      </c>
      <c r="G68" s="38">
        <f t="shared" si="0"/>
        <v>174386.83000000002</v>
      </c>
      <c r="H68" s="82"/>
    </row>
    <row r="69" spans="1:8" ht="20.100000000000001" customHeight="1">
      <c r="A69" s="169"/>
      <c r="B69" s="153"/>
      <c r="C69" s="30"/>
      <c r="D69" s="30"/>
      <c r="E69" s="181"/>
      <c r="F69" s="31"/>
      <c r="G69" s="38">
        <f t="shared" si="0"/>
        <v>0</v>
      </c>
    </row>
    <row r="70" spans="1:8" ht="20.100000000000001" customHeight="1">
      <c r="A70" s="169"/>
      <c r="B70" s="153" t="s">
        <v>353</v>
      </c>
      <c r="C70" s="30"/>
      <c r="D70" s="30"/>
      <c r="E70" s="181"/>
      <c r="F70" s="31"/>
      <c r="G70" s="38">
        <f t="shared" si="0"/>
        <v>0</v>
      </c>
    </row>
    <row r="71" spans="1:8" ht="20.100000000000001" customHeight="1">
      <c r="A71" s="169">
        <v>1</v>
      </c>
      <c r="B71" s="147" t="s">
        <v>277</v>
      </c>
      <c r="C71" s="155" t="s">
        <v>278</v>
      </c>
      <c r="D71" s="29" t="s">
        <v>161</v>
      </c>
      <c r="E71" s="178">
        <v>52776.63</v>
      </c>
      <c r="F71" s="26">
        <f>180306.81</f>
        <v>180306.81</v>
      </c>
      <c r="G71" s="38">
        <f t="shared" si="0"/>
        <v>127530.18</v>
      </c>
    </row>
    <row r="72" spans="1:8" ht="20.100000000000001" customHeight="1">
      <c r="A72" s="169">
        <v>2</v>
      </c>
      <c r="B72" s="138" t="s">
        <v>332</v>
      </c>
      <c r="C72" s="155" t="s">
        <v>188</v>
      </c>
      <c r="D72" s="64" t="s">
        <v>272</v>
      </c>
      <c r="E72" s="176">
        <v>15548.33</v>
      </c>
      <c r="F72" s="60">
        <v>75572.92</v>
      </c>
      <c r="G72" s="38">
        <f t="shared" si="0"/>
        <v>60024.59</v>
      </c>
    </row>
    <row r="73" spans="1:8" ht="20.100000000000001" customHeight="1">
      <c r="A73" s="169">
        <v>3</v>
      </c>
      <c r="B73" s="147" t="s">
        <v>189</v>
      </c>
      <c r="C73" s="41" t="s">
        <v>257</v>
      </c>
      <c r="D73" s="29" t="s">
        <v>163</v>
      </c>
      <c r="E73" s="178">
        <v>7709.76</v>
      </c>
      <c r="F73" s="26">
        <f>48170.87</f>
        <v>48170.87</v>
      </c>
      <c r="G73" s="38">
        <f t="shared" si="0"/>
        <v>40461.11</v>
      </c>
    </row>
    <row r="74" spans="1:8" ht="20.100000000000001" customHeight="1">
      <c r="A74" s="169">
        <v>4</v>
      </c>
      <c r="B74" s="138" t="s">
        <v>448</v>
      </c>
      <c r="C74" s="155" t="s">
        <v>257</v>
      </c>
      <c r="D74" s="64" t="s">
        <v>149</v>
      </c>
      <c r="E74" s="176">
        <v>7709.76</v>
      </c>
      <c r="F74" s="60">
        <f>46673.26</f>
        <v>46673.26</v>
      </c>
      <c r="G74" s="38">
        <f t="shared" si="0"/>
        <v>38963.5</v>
      </c>
    </row>
    <row r="75" spans="1:8" ht="20.100000000000001" customHeight="1">
      <c r="A75" s="169">
        <v>5</v>
      </c>
      <c r="B75" s="146" t="s">
        <v>229</v>
      </c>
      <c r="C75" s="155" t="s">
        <v>297</v>
      </c>
      <c r="D75" s="64" t="s">
        <v>162</v>
      </c>
      <c r="E75" s="176">
        <v>7709.76</v>
      </c>
      <c r="F75" s="38">
        <v>56478.9</v>
      </c>
      <c r="G75" s="38">
        <f t="shared" si="0"/>
        <v>48769.14</v>
      </c>
    </row>
    <row r="76" spans="1:8" ht="20.100000000000001" customHeight="1">
      <c r="A76" s="169">
        <v>6</v>
      </c>
      <c r="B76" s="147" t="s">
        <v>117</v>
      </c>
      <c r="C76" s="21" t="s">
        <v>84</v>
      </c>
      <c r="D76" s="29" t="s">
        <v>298</v>
      </c>
      <c r="E76" s="178">
        <v>3369.51</v>
      </c>
      <c r="F76" s="26">
        <v>36127.269999999997</v>
      </c>
      <c r="G76" s="38">
        <f t="shared" ref="G76:G139" si="5">F76-E76</f>
        <v>32757.759999999995</v>
      </c>
    </row>
    <row r="77" spans="1:8" ht="20.100000000000001" customHeight="1">
      <c r="A77" s="169">
        <v>7</v>
      </c>
      <c r="B77" s="148" t="s">
        <v>182</v>
      </c>
      <c r="C77" s="155" t="s">
        <v>422</v>
      </c>
      <c r="D77" s="64" t="s">
        <v>415</v>
      </c>
      <c r="E77" s="176">
        <v>3369.51</v>
      </c>
      <c r="F77" s="60">
        <v>41248.559999999998</v>
      </c>
      <c r="G77" s="38">
        <f t="shared" si="5"/>
        <v>37879.049999999996</v>
      </c>
    </row>
    <row r="78" spans="1:8" ht="20.100000000000001" customHeight="1">
      <c r="A78" s="169">
        <v>8</v>
      </c>
      <c r="B78" s="145" t="s">
        <v>424</v>
      </c>
      <c r="C78" s="155" t="s">
        <v>422</v>
      </c>
      <c r="D78" s="64" t="s">
        <v>369</v>
      </c>
      <c r="E78" s="176">
        <v>3369.51</v>
      </c>
      <c r="F78" s="60">
        <f>40149.18</f>
        <v>40149.18</v>
      </c>
      <c r="G78" s="38">
        <f t="shared" si="5"/>
        <v>36779.67</v>
      </c>
    </row>
    <row r="79" spans="1:8" ht="20.100000000000001" customHeight="1">
      <c r="A79" s="169">
        <v>9</v>
      </c>
      <c r="B79" s="145" t="s">
        <v>423</v>
      </c>
      <c r="C79" s="155" t="s">
        <v>422</v>
      </c>
      <c r="D79" s="64" t="s">
        <v>369</v>
      </c>
      <c r="E79" s="176">
        <v>3369.51</v>
      </c>
      <c r="F79" s="60">
        <f>40149.18</f>
        <v>40149.18</v>
      </c>
      <c r="G79" s="38">
        <f t="shared" si="5"/>
        <v>36779.67</v>
      </c>
    </row>
    <row r="80" spans="1:8" ht="20.100000000000001" customHeight="1">
      <c r="A80" s="169">
        <v>10</v>
      </c>
      <c r="B80" s="145" t="s">
        <v>242</v>
      </c>
      <c r="C80" s="41" t="s">
        <v>243</v>
      </c>
      <c r="D80" s="169" t="s">
        <v>27</v>
      </c>
      <c r="E80" s="176">
        <v>3369.51</v>
      </c>
      <c r="F80" s="60">
        <f>34593.08</f>
        <v>34593.08</v>
      </c>
      <c r="G80" s="38">
        <f t="shared" si="5"/>
        <v>31223.57</v>
      </c>
    </row>
    <row r="81" spans="1:8" ht="20.100000000000001" customHeight="1">
      <c r="A81" s="169">
        <v>11</v>
      </c>
      <c r="B81" s="147" t="s">
        <v>322</v>
      </c>
      <c r="C81" s="155" t="s">
        <v>84</v>
      </c>
      <c r="D81" s="169" t="s">
        <v>104</v>
      </c>
      <c r="E81" s="176">
        <v>3369.51</v>
      </c>
      <c r="F81" s="60">
        <f>32291.82</f>
        <v>32291.82</v>
      </c>
      <c r="G81" s="38">
        <f t="shared" si="5"/>
        <v>28922.309999999998</v>
      </c>
    </row>
    <row r="82" spans="1:8" ht="20.100000000000001" customHeight="1">
      <c r="A82" s="169">
        <v>12</v>
      </c>
      <c r="B82" s="147" t="s">
        <v>320</v>
      </c>
      <c r="C82" s="155" t="s">
        <v>115</v>
      </c>
      <c r="D82" s="169" t="s">
        <v>428</v>
      </c>
      <c r="E82" s="176">
        <v>1484.37</v>
      </c>
      <c r="F82" s="60">
        <f>24685.95</f>
        <v>24685.95</v>
      </c>
      <c r="G82" s="38">
        <f t="shared" si="5"/>
        <v>23201.58</v>
      </c>
    </row>
    <row r="83" spans="1:8" ht="20.100000000000001" customHeight="1">
      <c r="A83" s="169">
        <v>13</v>
      </c>
      <c r="B83" s="146" t="s">
        <v>321</v>
      </c>
      <c r="C83" s="155" t="s">
        <v>115</v>
      </c>
      <c r="D83" s="169" t="s">
        <v>105</v>
      </c>
      <c r="E83" s="176">
        <v>1484.37</v>
      </c>
      <c r="F83" s="60">
        <f>24685.95</f>
        <v>24685.95</v>
      </c>
      <c r="G83" s="38">
        <f t="shared" si="5"/>
        <v>23201.58</v>
      </c>
    </row>
    <row r="84" spans="1:8" ht="20.100000000000001" customHeight="1">
      <c r="A84" s="169"/>
      <c r="B84" s="153" t="s">
        <v>15</v>
      </c>
      <c r="C84" s="30">
        <v>13</v>
      </c>
      <c r="D84" s="30"/>
      <c r="E84" s="181">
        <v>114640.03999999994</v>
      </c>
      <c r="F84" s="78">
        <f t="shared" ref="F84" si="6">SUM(F71:F83)</f>
        <v>681133.74999999988</v>
      </c>
      <c r="G84" s="61">
        <f t="shared" si="5"/>
        <v>566493.71</v>
      </c>
      <c r="H84" s="82"/>
    </row>
    <row r="85" spans="1:8" ht="20.100000000000001" customHeight="1">
      <c r="A85" s="169"/>
      <c r="B85" s="142"/>
      <c r="C85" s="30"/>
      <c r="D85" s="30"/>
      <c r="E85" s="181"/>
      <c r="F85" s="31"/>
      <c r="G85" s="38">
        <f t="shared" si="5"/>
        <v>0</v>
      </c>
    </row>
    <row r="86" spans="1:8" ht="20.100000000000001" customHeight="1">
      <c r="A86" s="169"/>
      <c r="B86" s="153" t="s">
        <v>347</v>
      </c>
      <c r="C86" s="30"/>
      <c r="D86" s="30"/>
      <c r="E86" s="181"/>
      <c r="F86" s="31"/>
      <c r="G86" s="38">
        <f t="shared" si="5"/>
        <v>0</v>
      </c>
    </row>
    <row r="87" spans="1:8" ht="20.100000000000001" customHeight="1">
      <c r="A87" s="169">
        <v>1</v>
      </c>
      <c r="B87" s="145" t="s">
        <v>19</v>
      </c>
      <c r="C87" s="41" t="s">
        <v>201</v>
      </c>
      <c r="D87" s="169" t="s">
        <v>161</v>
      </c>
      <c r="E87" s="176">
        <v>52776.63</v>
      </c>
      <c r="F87" s="60">
        <f>180306.81</f>
        <v>180306.81</v>
      </c>
      <c r="G87" s="38">
        <f t="shared" si="5"/>
        <v>127530.18</v>
      </c>
    </row>
    <row r="88" spans="1:8" ht="20.100000000000001" customHeight="1">
      <c r="A88" s="169">
        <v>2</v>
      </c>
      <c r="B88" s="143" t="s">
        <v>325</v>
      </c>
      <c r="C88" s="1" t="s">
        <v>245</v>
      </c>
      <c r="D88" s="64" t="s">
        <v>272</v>
      </c>
      <c r="E88" s="176">
        <v>15548.33</v>
      </c>
      <c r="F88" s="60">
        <f>75572.92</f>
        <v>75572.92</v>
      </c>
      <c r="G88" s="38">
        <f t="shared" si="5"/>
        <v>60024.59</v>
      </c>
    </row>
    <row r="89" spans="1:8" ht="20.100000000000001" customHeight="1">
      <c r="A89" s="169">
        <v>3</v>
      </c>
      <c r="B89" s="143" t="s">
        <v>326</v>
      </c>
      <c r="C89" s="1" t="s">
        <v>327</v>
      </c>
      <c r="D89" s="64" t="s">
        <v>272</v>
      </c>
      <c r="E89" s="176">
        <v>15548.33</v>
      </c>
      <c r="F89" s="60">
        <f>75572.92</f>
        <v>75572.92</v>
      </c>
      <c r="G89" s="38">
        <f t="shared" si="5"/>
        <v>60024.59</v>
      </c>
    </row>
    <row r="90" spans="1:8" ht="20.100000000000001" customHeight="1">
      <c r="A90" s="169">
        <v>4</v>
      </c>
      <c r="B90" s="145" t="s">
        <v>324</v>
      </c>
      <c r="C90" s="41" t="s">
        <v>243</v>
      </c>
      <c r="D90" s="169" t="s">
        <v>104</v>
      </c>
      <c r="E90" s="176">
        <v>3369.51</v>
      </c>
      <c r="F90" s="60">
        <f>32291.82</f>
        <v>32291.82</v>
      </c>
      <c r="G90" s="38">
        <f t="shared" si="5"/>
        <v>28922.309999999998</v>
      </c>
    </row>
    <row r="91" spans="1:8" ht="20.100000000000001" customHeight="1">
      <c r="A91" s="169"/>
      <c r="B91" s="153" t="s">
        <v>15</v>
      </c>
      <c r="C91" s="30">
        <v>4</v>
      </c>
      <c r="D91" s="30"/>
      <c r="E91" s="181">
        <v>87242.799999999988</v>
      </c>
      <c r="F91" s="78">
        <f t="shared" ref="F91" si="7">SUM(F87:F90)</f>
        <v>363744.47</v>
      </c>
      <c r="G91" s="61">
        <f t="shared" si="5"/>
        <v>276501.67</v>
      </c>
      <c r="H91" s="82"/>
    </row>
    <row r="92" spans="1:8" ht="20.100000000000001" customHeight="1">
      <c r="A92" s="169"/>
      <c r="B92" s="154"/>
      <c r="C92" s="168"/>
      <c r="D92" s="168"/>
      <c r="E92" s="182"/>
      <c r="F92" s="45"/>
      <c r="G92" s="38">
        <f t="shared" si="5"/>
        <v>0</v>
      </c>
    </row>
    <row r="93" spans="1:8" ht="20.100000000000001" customHeight="1">
      <c r="A93" s="169"/>
      <c r="B93" s="154" t="s">
        <v>354</v>
      </c>
      <c r="C93" s="67"/>
      <c r="D93" s="168"/>
      <c r="E93" s="182"/>
      <c r="F93" s="45"/>
      <c r="G93" s="38">
        <f t="shared" si="5"/>
        <v>0</v>
      </c>
    </row>
    <row r="94" spans="1:8" ht="20.100000000000001" customHeight="1">
      <c r="A94" s="169">
        <v>1</v>
      </c>
      <c r="B94" s="145" t="s">
        <v>244</v>
      </c>
      <c r="C94" s="41" t="s">
        <v>312</v>
      </c>
      <c r="D94" s="169" t="s">
        <v>221</v>
      </c>
      <c r="E94" s="176">
        <v>21618.09</v>
      </c>
      <c r="F94" s="60">
        <f>97273.51</f>
        <v>97273.51</v>
      </c>
      <c r="G94" s="38">
        <f t="shared" si="5"/>
        <v>75655.42</v>
      </c>
    </row>
    <row r="95" spans="1:8" ht="20.100000000000001" customHeight="1">
      <c r="A95" s="169">
        <v>2</v>
      </c>
      <c r="B95" s="145" t="s">
        <v>169</v>
      </c>
      <c r="C95" s="41" t="s">
        <v>258</v>
      </c>
      <c r="D95" s="169" t="s">
        <v>75</v>
      </c>
      <c r="E95" s="176">
        <v>15548.33</v>
      </c>
      <c r="F95" s="60">
        <f>79956.94</f>
        <v>79956.94</v>
      </c>
      <c r="G95" s="38">
        <f t="shared" si="5"/>
        <v>64408.61</v>
      </c>
    </row>
    <row r="96" spans="1:8" ht="20.100000000000001" customHeight="1">
      <c r="A96" s="169">
        <v>3</v>
      </c>
      <c r="B96" s="145" t="s">
        <v>192</v>
      </c>
      <c r="C96" s="41" t="s">
        <v>258</v>
      </c>
      <c r="D96" s="169" t="s">
        <v>75</v>
      </c>
      <c r="E96" s="176">
        <v>15548.33</v>
      </c>
      <c r="F96" s="60">
        <f>79796.1</f>
        <v>79796.100000000006</v>
      </c>
      <c r="G96" s="38">
        <f t="shared" si="5"/>
        <v>64247.770000000004</v>
      </c>
    </row>
    <row r="97" spans="1:8" ht="20.100000000000001" customHeight="1">
      <c r="A97" s="169">
        <v>4</v>
      </c>
      <c r="B97" s="146" t="s">
        <v>138</v>
      </c>
      <c r="C97" s="41" t="s">
        <v>297</v>
      </c>
      <c r="D97" s="169" t="s">
        <v>181</v>
      </c>
      <c r="E97" s="176">
        <v>7709.76</v>
      </c>
      <c r="F97" s="38">
        <f>57894.08</f>
        <v>57894.080000000002</v>
      </c>
      <c r="G97" s="38">
        <f t="shared" si="5"/>
        <v>50184.32</v>
      </c>
    </row>
    <row r="98" spans="1:8" ht="20.100000000000001" customHeight="1">
      <c r="A98" s="169">
        <v>5</v>
      </c>
      <c r="B98" s="147" t="s">
        <v>202</v>
      </c>
      <c r="C98" s="41" t="s">
        <v>78</v>
      </c>
      <c r="D98" s="169" t="s">
        <v>162</v>
      </c>
      <c r="E98" s="176">
        <v>7709.76</v>
      </c>
      <c r="F98" s="38">
        <f>56478.9</f>
        <v>56478.9</v>
      </c>
      <c r="G98" s="38">
        <f t="shared" si="5"/>
        <v>48769.14</v>
      </c>
    </row>
    <row r="99" spans="1:8" ht="20.100000000000001" customHeight="1">
      <c r="A99" s="169">
        <v>6</v>
      </c>
      <c r="B99" s="147" t="s">
        <v>429</v>
      </c>
      <c r="C99" s="41" t="s">
        <v>78</v>
      </c>
      <c r="D99" s="169" t="s">
        <v>95</v>
      </c>
      <c r="E99" s="176">
        <v>7709.76</v>
      </c>
      <c r="F99" s="38">
        <f>53384.05</f>
        <v>53384.05</v>
      </c>
      <c r="G99" s="38">
        <f t="shared" si="5"/>
        <v>45674.29</v>
      </c>
    </row>
    <row r="100" spans="1:8" ht="21.6" customHeight="1">
      <c r="A100" s="169">
        <v>7</v>
      </c>
      <c r="B100" s="148" t="s">
        <v>101</v>
      </c>
      <c r="C100" s="41" t="s">
        <v>80</v>
      </c>
      <c r="D100" s="64" t="s">
        <v>163</v>
      </c>
      <c r="E100" s="176">
        <v>7709.76</v>
      </c>
      <c r="F100" s="60">
        <f>48170.87</f>
        <v>48170.87</v>
      </c>
      <c r="G100" s="38">
        <f t="shared" si="5"/>
        <v>40461.11</v>
      </c>
    </row>
    <row r="101" spans="1:8" ht="21.6" customHeight="1">
      <c r="A101" s="169">
        <v>8</v>
      </c>
      <c r="B101" s="145" t="s">
        <v>336</v>
      </c>
      <c r="C101" s="166" t="s">
        <v>257</v>
      </c>
      <c r="D101" s="64" t="s">
        <v>149</v>
      </c>
      <c r="E101" s="176">
        <v>7709.76</v>
      </c>
      <c r="F101" s="60">
        <f>46673.26</f>
        <v>46673.26</v>
      </c>
      <c r="G101" s="38">
        <f t="shared" si="5"/>
        <v>38963.5</v>
      </c>
    </row>
    <row r="102" spans="1:8" ht="21.6" customHeight="1">
      <c r="A102" s="169">
        <v>9</v>
      </c>
      <c r="B102" s="145" t="s">
        <v>337</v>
      </c>
      <c r="C102" s="166" t="s">
        <v>257</v>
      </c>
      <c r="D102" s="64" t="s">
        <v>149</v>
      </c>
      <c r="E102" s="176">
        <v>7709.76</v>
      </c>
      <c r="F102" s="60">
        <f>46673.26</f>
        <v>46673.26</v>
      </c>
      <c r="G102" s="38">
        <f t="shared" si="5"/>
        <v>38963.5</v>
      </c>
    </row>
    <row r="103" spans="1:8" ht="21.6" customHeight="1">
      <c r="A103" s="169">
        <v>10</v>
      </c>
      <c r="B103" s="145" t="s">
        <v>421</v>
      </c>
      <c r="C103" s="155" t="s">
        <v>422</v>
      </c>
      <c r="D103" s="64" t="s">
        <v>369</v>
      </c>
      <c r="E103" s="176">
        <v>3369.51</v>
      </c>
      <c r="F103" s="60">
        <f>40149.18</f>
        <v>40149.18</v>
      </c>
      <c r="G103" s="38">
        <f t="shared" si="5"/>
        <v>36779.67</v>
      </c>
    </row>
    <row r="104" spans="1:8" ht="21.6" customHeight="1">
      <c r="A104" s="169">
        <v>11</v>
      </c>
      <c r="B104" s="145" t="s">
        <v>436</v>
      </c>
      <c r="C104" s="41" t="s">
        <v>84</v>
      </c>
      <c r="D104" s="169" t="s">
        <v>428</v>
      </c>
      <c r="E104" s="176">
        <v>3369.51</v>
      </c>
      <c r="F104" s="60">
        <f>28360.95</f>
        <v>28360.95</v>
      </c>
      <c r="G104" s="38">
        <f t="shared" si="5"/>
        <v>24991.440000000002</v>
      </c>
    </row>
    <row r="105" spans="1:8" ht="21.6" customHeight="1">
      <c r="A105" s="169">
        <v>12</v>
      </c>
      <c r="B105" s="145" t="s">
        <v>406</v>
      </c>
      <c r="C105" s="155" t="s">
        <v>432</v>
      </c>
      <c r="D105" s="64" t="s">
        <v>105</v>
      </c>
      <c r="E105" s="176">
        <v>1484.37</v>
      </c>
      <c r="F105" s="60">
        <f>24685.95</f>
        <v>24685.95</v>
      </c>
      <c r="G105" s="38">
        <f t="shared" si="5"/>
        <v>23201.58</v>
      </c>
    </row>
    <row r="106" spans="1:8" ht="20.100000000000001" customHeight="1">
      <c r="A106" s="169"/>
      <c r="B106" s="150" t="s">
        <v>15</v>
      </c>
      <c r="C106" s="168">
        <v>12</v>
      </c>
      <c r="D106" s="168"/>
      <c r="E106" s="182">
        <v>107196.69999999997</v>
      </c>
      <c r="F106" s="80">
        <f t="shared" ref="F106" si="8">SUM(F94:F105)</f>
        <v>659497.04999999993</v>
      </c>
      <c r="G106" s="81">
        <f t="shared" si="5"/>
        <v>552300.35</v>
      </c>
      <c r="H106" s="82"/>
    </row>
    <row r="107" spans="1:8" ht="20.100000000000001" customHeight="1">
      <c r="A107" s="169"/>
      <c r="B107" s="139"/>
      <c r="C107" s="168"/>
      <c r="D107" s="168"/>
      <c r="E107" s="182"/>
      <c r="F107" s="45"/>
      <c r="G107" s="38">
        <f t="shared" si="5"/>
        <v>0</v>
      </c>
    </row>
    <row r="108" spans="1:8" ht="20.100000000000001" customHeight="1">
      <c r="A108" s="169"/>
      <c r="B108" s="150" t="s">
        <v>283</v>
      </c>
      <c r="C108" s="168"/>
      <c r="D108" s="168"/>
      <c r="E108" s="182"/>
      <c r="F108" s="45"/>
      <c r="G108" s="38">
        <f t="shared" si="5"/>
        <v>0</v>
      </c>
    </row>
    <row r="109" spans="1:8" ht="20.100000000000001" customHeight="1">
      <c r="A109" s="169">
        <v>1</v>
      </c>
      <c r="B109" s="137" t="s">
        <v>364</v>
      </c>
      <c r="C109" s="169" t="s">
        <v>343</v>
      </c>
      <c r="D109" s="64" t="s">
        <v>221</v>
      </c>
      <c r="E109" s="176">
        <v>21618.09</v>
      </c>
      <c r="F109" s="60">
        <f>79993.51</f>
        <v>79993.509999999995</v>
      </c>
      <c r="G109" s="38">
        <f t="shared" si="5"/>
        <v>58375.42</v>
      </c>
    </row>
    <row r="110" spans="1:8" ht="20.100000000000001" customHeight="1">
      <c r="A110" s="169">
        <v>2</v>
      </c>
      <c r="B110" s="147" t="s">
        <v>185</v>
      </c>
      <c r="C110" s="21" t="s">
        <v>373</v>
      </c>
      <c r="D110" s="29" t="s">
        <v>162</v>
      </c>
      <c r="E110" s="178">
        <v>7709.76</v>
      </c>
      <c r="F110" s="38">
        <f>43380.1</f>
        <v>43380.1</v>
      </c>
      <c r="G110" s="38">
        <f t="shared" si="5"/>
        <v>35670.339999999997</v>
      </c>
      <c r="H110" s="35"/>
    </row>
    <row r="111" spans="1:8" ht="20.100000000000001" customHeight="1">
      <c r="A111" s="169">
        <v>3</v>
      </c>
      <c r="B111" s="138" t="s">
        <v>366</v>
      </c>
      <c r="C111" s="21" t="s">
        <v>367</v>
      </c>
      <c r="D111" s="64" t="s">
        <v>149</v>
      </c>
      <c r="E111" s="176">
        <v>7709.76</v>
      </c>
      <c r="F111" s="60">
        <f>38272.44</f>
        <v>38272.44</v>
      </c>
      <c r="G111" s="38">
        <f t="shared" si="5"/>
        <v>30562.68</v>
      </c>
      <c r="H111" s="35"/>
    </row>
    <row r="112" spans="1:8" ht="20.100000000000001" customHeight="1">
      <c r="A112" s="169">
        <v>4</v>
      </c>
      <c r="B112" s="145" t="s">
        <v>237</v>
      </c>
      <c r="C112" s="41" t="s">
        <v>310</v>
      </c>
      <c r="D112" s="64" t="s">
        <v>52</v>
      </c>
      <c r="E112" s="176">
        <v>3369.51</v>
      </c>
      <c r="F112" s="60">
        <f>28640.16</f>
        <v>28640.16</v>
      </c>
      <c r="G112" s="38">
        <f t="shared" si="5"/>
        <v>25270.65</v>
      </c>
      <c r="H112" s="35"/>
    </row>
    <row r="113" spans="1:8" ht="20.100000000000001" customHeight="1">
      <c r="A113" s="41"/>
      <c r="B113" s="150" t="s">
        <v>15</v>
      </c>
      <c r="C113" s="168">
        <v>4</v>
      </c>
      <c r="D113" s="171"/>
      <c r="E113" s="182">
        <v>40407.120000000003</v>
      </c>
      <c r="F113" s="78">
        <f t="shared" ref="F113" si="9">SUM(F109:F112)</f>
        <v>190286.21</v>
      </c>
      <c r="G113" s="81">
        <f t="shared" si="5"/>
        <v>149879.09</v>
      </c>
      <c r="H113" s="35"/>
    </row>
    <row r="114" spans="1:8" ht="20.100000000000001" customHeight="1">
      <c r="A114" s="41"/>
      <c r="B114" s="139"/>
      <c r="C114" s="168"/>
      <c r="D114" s="171"/>
      <c r="E114" s="182"/>
      <c r="F114" s="31"/>
      <c r="G114" s="38">
        <f t="shared" si="5"/>
        <v>0</v>
      </c>
    </row>
    <row r="115" spans="1:8" ht="20.100000000000001" customHeight="1">
      <c r="A115" s="41"/>
      <c r="B115" s="150" t="s">
        <v>282</v>
      </c>
      <c r="C115" s="41"/>
      <c r="D115" s="41"/>
      <c r="E115" s="65"/>
      <c r="F115" s="41"/>
      <c r="G115" s="38">
        <f t="shared" si="5"/>
        <v>0</v>
      </c>
    </row>
    <row r="116" spans="1:8" ht="20.100000000000001" customHeight="1">
      <c r="A116" s="41">
        <v>1</v>
      </c>
      <c r="B116" s="145" t="s">
        <v>216</v>
      </c>
      <c r="C116" s="166" t="s">
        <v>217</v>
      </c>
      <c r="D116" s="64" t="s">
        <v>161</v>
      </c>
      <c r="E116" s="176">
        <v>52776.63</v>
      </c>
      <c r="F116" s="60">
        <f>180306.81</f>
        <v>180306.81</v>
      </c>
      <c r="G116" s="38">
        <f t="shared" si="5"/>
        <v>127530.18</v>
      </c>
    </row>
    <row r="117" spans="1:8" ht="20.100000000000001" customHeight="1">
      <c r="A117" s="41">
        <v>2</v>
      </c>
      <c r="B117" s="145" t="s">
        <v>110</v>
      </c>
      <c r="C117" s="41" t="s">
        <v>259</v>
      </c>
      <c r="D117" s="169" t="s">
        <v>75</v>
      </c>
      <c r="E117" s="176">
        <v>15548.33</v>
      </c>
      <c r="F117" s="60">
        <f>79796.1</f>
        <v>79796.100000000006</v>
      </c>
      <c r="G117" s="38">
        <f t="shared" si="5"/>
        <v>64247.770000000004</v>
      </c>
    </row>
    <row r="118" spans="1:8" ht="20.100000000000001" customHeight="1">
      <c r="A118" s="41">
        <v>3</v>
      </c>
      <c r="B118" s="145" t="s">
        <v>109</v>
      </c>
      <c r="C118" s="41" t="s">
        <v>311</v>
      </c>
      <c r="D118" s="169" t="s">
        <v>175</v>
      </c>
      <c r="E118" s="176">
        <v>7709.76</v>
      </c>
      <c r="F118" s="38">
        <f>58814.67</f>
        <v>58814.67</v>
      </c>
      <c r="G118" s="38">
        <f t="shared" si="5"/>
        <v>51104.909999999996</v>
      </c>
    </row>
    <row r="119" spans="1:8" ht="20.100000000000001" customHeight="1">
      <c r="A119" s="41">
        <v>4</v>
      </c>
      <c r="B119" s="147" t="s">
        <v>135</v>
      </c>
      <c r="C119" s="41" t="s">
        <v>311</v>
      </c>
      <c r="D119" s="29" t="s">
        <v>170</v>
      </c>
      <c r="E119" s="178">
        <v>7709.76</v>
      </c>
      <c r="F119" s="24">
        <f>57194.24</f>
        <v>57194.239999999998</v>
      </c>
      <c r="G119" s="38">
        <f t="shared" si="5"/>
        <v>49484.479999999996</v>
      </c>
    </row>
    <row r="120" spans="1:8" ht="20.100000000000001" customHeight="1">
      <c r="A120" s="41">
        <v>5</v>
      </c>
      <c r="B120" s="145" t="s">
        <v>240</v>
      </c>
      <c r="C120" s="1" t="s">
        <v>338</v>
      </c>
      <c r="D120" s="64" t="s">
        <v>267</v>
      </c>
      <c r="E120" s="176">
        <v>1484.37</v>
      </c>
      <c r="F120" s="60">
        <f>30699.58</f>
        <v>30699.58</v>
      </c>
      <c r="G120" s="38">
        <f t="shared" si="5"/>
        <v>29215.210000000003</v>
      </c>
    </row>
    <row r="121" spans="1:8" ht="20.100000000000001" customHeight="1">
      <c r="A121" s="41">
        <v>6</v>
      </c>
      <c r="B121" s="138" t="s">
        <v>341</v>
      </c>
      <c r="C121" s="1" t="s">
        <v>338</v>
      </c>
      <c r="D121" s="169" t="s">
        <v>51</v>
      </c>
      <c r="E121" s="176">
        <v>1484.37</v>
      </c>
      <c r="F121" s="60">
        <f>30049.31</f>
        <v>30049.31</v>
      </c>
      <c r="G121" s="38">
        <f t="shared" si="5"/>
        <v>28564.940000000002</v>
      </c>
    </row>
    <row r="122" spans="1:8" ht="20.100000000000001" customHeight="1">
      <c r="A122" s="41">
        <v>7</v>
      </c>
      <c r="B122" s="137" t="s">
        <v>374</v>
      </c>
      <c r="C122" s="1" t="s">
        <v>338</v>
      </c>
      <c r="D122" s="64" t="s">
        <v>105</v>
      </c>
      <c r="E122" s="176">
        <v>1484.37</v>
      </c>
      <c r="F122" s="60">
        <f>28813.07</f>
        <v>28813.07</v>
      </c>
      <c r="G122" s="38">
        <f t="shared" si="5"/>
        <v>27328.7</v>
      </c>
    </row>
    <row r="123" spans="1:8" ht="20.100000000000001" customHeight="1">
      <c r="A123" s="41"/>
      <c r="B123" s="150" t="s">
        <v>15</v>
      </c>
      <c r="C123" s="168">
        <v>7</v>
      </c>
      <c r="D123" s="41"/>
      <c r="E123" s="183">
        <v>88197.589999999967</v>
      </c>
      <c r="F123" s="79">
        <f t="shared" ref="F123" si="10">SUM(F116:F122)</f>
        <v>465673.78</v>
      </c>
      <c r="G123" s="81">
        <f t="shared" si="5"/>
        <v>377476.19000000006</v>
      </c>
      <c r="H123" s="82"/>
    </row>
    <row r="124" spans="1:8" ht="20.100000000000001" customHeight="1">
      <c r="A124" s="41"/>
      <c r="B124" s="139"/>
      <c r="C124" s="169"/>
      <c r="D124" s="41"/>
      <c r="E124" s="65"/>
      <c r="F124" s="77"/>
      <c r="G124" s="38">
        <f t="shared" si="5"/>
        <v>0</v>
      </c>
    </row>
    <row r="125" spans="1:8" ht="20.100000000000001" customHeight="1">
      <c r="A125" s="41"/>
      <c r="B125" s="150" t="s">
        <v>280</v>
      </c>
      <c r="C125" s="168"/>
      <c r="D125" s="168"/>
      <c r="E125" s="182"/>
      <c r="F125" s="45"/>
      <c r="G125" s="38">
        <f t="shared" si="5"/>
        <v>0</v>
      </c>
    </row>
    <row r="126" spans="1:8" ht="20.100000000000001" customHeight="1">
      <c r="A126" s="41">
        <v>1</v>
      </c>
      <c r="B126" s="148" t="s">
        <v>20</v>
      </c>
      <c r="C126" s="166" t="s">
        <v>250</v>
      </c>
      <c r="D126" s="64" t="s">
        <v>161</v>
      </c>
      <c r="E126" s="176">
        <v>52776.63</v>
      </c>
      <c r="F126" s="60">
        <f>179914.45</f>
        <v>179914.45</v>
      </c>
      <c r="G126" s="38">
        <f t="shared" si="5"/>
        <v>127137.82</v>
      </c>
    </row>
    <row r="127" spans="1:8" ht="20.100000000000001" customHeight="1">
      <c r="A127" s="41">
        <v>2</v>
      </c>
      <c r="B127" s="148" t="s">
        <v>100</v>
      </c>
      <c r="C127" s="166" t="s">
        <v>268</v>
      </c>
      <c r="D127" s="64" t="s">
        <v>160</v>
      </c>
      <c r="E127" s="176">
        <v>21618.09</v>
      </c>
      <c r="F127" s="60">
        <f>101827.95</f>
        <v>101827.95</v>
      </c>
      <c r="G127" s="38">
        <f t="shared" si="5"/>
        <v>80209.86</v>
      </c>
    </row>
    <row r="128" spans="1:8" ht="20.100000000000001" customHeight="1">
      <c r="A128" s="41">
        <v>3</v>
      </c>
      <c r="B128" s="148" t="s">
        <v>153</v>
      </c>
      <c r="C128" s="166" t="s">
        <v>376</v>
      </c>
      <c r="D128" s="64" t="s">
        <v>75</v>
      </c>
      <c r="E128" s="176">
        <v>15548.33</v>
      </c>
      <c r="F128" s="60">
        <f>64436.1</f>
        <v>64436.1</v>
      </c>
      <c r="G128" s="38">
        <f t="shared" si="5"/>
        <v>48887.77</v>
      </c>
    </row>
    <row r="129" spans="1:8" ht="20.100000000000001" customHeight="1">
      <c r="A129" s="41">
        <v>4</v>
      </c>
      <c r="B129" s="140" t="s">
        <v>142</v>
      </c>
      <c r="C129" s="166" t="s">
        <v>376</v>
      </c>
      <c r="D129" s="64" t="s">
        <v>75</v>
      </c>
      <c r="E129" s="176">
        <v>15548.33</v>
      </c>
      <c r="F129" s="38">
        <f>83636.1</f>
        <v>83636.100000000006</v>
      </c>
      <c r="G129" s="38">
        <f t="shared" si="5"/>
        <v>68087.77</v>
      </c>
    </row>
    <row r="130" spans="1:8" ht="20.100000000000001" customHeight="1">
      <c r="A130" s="41">
        <v>5</v>
      </c>
      <c r="B130" s="143" t="s">
        <v>363</v>
      </c>
      <c r="C130" s="166" t="s">
        <v>376</v>
      </c>
      <c r="D130" s="64" t="s">
        <v>30</v>
      </c>
      <c r="E130" s="176">
        <v>15548.33</v>
      </c>
      <c r="F130" s="60">
        <f>60212.92</f>
        <v>60212.92</v>
      </c>
      <c r="G130" s="38">
        <f t="shared" si="5"/>
        <v>44664.59</v>
      </c>
    </row>
    <row r="131" spans="1:8" ht="20.100000000000001" customHeight="1">
      <c r="A131" s="41">
        <v>6</v>
      </c>
      <c r="B131" s="148" t="s">
        <v>108</v>
      </c>
      <c r="C131" s="166" t="s">
        <v>383</v>
      </c>
      <c r="D131" s="64" t="s">
        <v>170</v>
      </c>
      <c r="E131" s="176">
        <v>7709.76</v>
      </c>
      <c r="F131" s="60">
        <f>40788.51</f>
        <v>40788.51</v>
      </c>
      <c r="G131" s="38">
        <f t="shared" si="5"/>
        <v>33078.75</v>
      </c>
    </row>
    <row r="132" spans="1:8" ht="20.100000000000001" customHeight="1">
      <c r="A132" s="41">
        <v>7</v>
      </c>
      <c r="B132" s="148" t="s">
        <v>178</v>
      </c>
      <c r="C132" s="166" t="s">
        <v>382</v>
      </c>
      <c r="D132" s="64" t="s">
        <v>163</v>
      </c>
      <c r="E132" s="176">
        <v>7709.76</v>
      </c>
      <c r="F132" s="60">
        <f>44518.93</f>
        <v>44518.93</v>
      </c>
      <c r="G132" s="38">
        <f t="shared" si="5"/>
        <v>36809.17</v>
      </c>
    </row>
    <row r="133" spans="1:8" ht="20.100000000000001" customHeight="1">
      <c r="A133" s="41">
        <v>8</v>
      </c>
      <c r="B133" s="148" t="s">
        <v>134</v>
      </c>
      <c r="C133" s="166" t="s">
        <v>384</v>
      </c>
      <c r="D133" s="64" t="s">
        <v>163</v>
      </c>
      <c r="E133" s="176">
        <v>7709.76</v>
      </c>
      <c r="F133" s="60">
        <f>39478.93</f>
        <v>39478.93</v>
      </c>
      <c r="G133" s="38">
        <f t="shared" si="5"/>
        <v>31769.17</v>
      </c>
    </row>
    <row r="134" spans="1:8" ht="20.100000000000001" customHeight="1">
      <c r="A134" s="41">
        <v>9</v>
      </c>
      <c r="B134" s="137" t="s">
        <v>365</v>
      </c>
      <c r="C134" s="166" t="s">
        <v>383</v>
      </c>
      <c r="D134" s="64" t="s">
        <v>413</v>
      </c>
      <c r="E134" s="176">
        <v>7709.76</v>
      </c>
      <c r="F134" s="60">
        <f>38272.44</f>
        <v>38272.44</v>
      </c>
      <c r="G134" s="38">
        <f t="shared" si="5"/>
        <v>30562.68</v>
      </c>
    </row>
    <row r="135" spans="1:8" ht="20.100000000000001" customHeight="1">
      <c r="A135" s="41">
        <v>10</v>
      </c>
      <c r="B135" s="145" t="s">
        <v>443</v>
      </c>
      <c r="C135" s="166" t="s">
        <v>447</v>
      </c>
      <c r="D135" s="169" t="s">
        <v>428</v>
      </c>
      <c r="E135" s="176">
        <v>3369.51</v>
      </c>
      <c r="F135" s="60">
        <f>21640.95</f>
        <v>21640.95</v>
      </c>
      <c r="G135" s="38">
        <f t="shared" si="5"/>
        <v>18271.440000000002</v>
      </c>
    </row>
    <row r="136" spans="1:8" ht="20.100000000000001" customHeight="1">
      <c r="A136" s="41">
        <v>11</v>
      </c>
      <c r="B136" s="137" t="s">
        <v>439</v>
      </c>
      <c r="C136" s="166" t="s">
        <v>440</v>
      </c>
      <c r="D136" s="64" t="s">
        <v>105</v>
      </c>
      <c r="E136" s="176">
        <v>1484.37</v>
      </c>
      <c r="F136" s="60">
        <f>25245.23</f>
        <v>25245.23</v>
      </c>
      <c r="G136" s="38">
        <f t="shared" si="5"/>
        <v>23760.86</v>
      </c>
    </row>
    <row r="137" spans="1:8" ht="20.100000000000001" customHeight="1">
      <c r="A137" s="41"/>
      <c r="B137" s="150" t="s">
        <v>15</v>
      </c>
      <c r="C137" s="171" t="s">
        <v>292</v>
      </c>
      <c r="D137" s="64"/>
      <c r="E137" s="184">
        <v>156732.63000000003</v>
      </c>
      <c r="F137" s="80">
        <f t="shared" ref="F137" si="11">SUM(F126:F136)</f>
        <v>699972.51</v>
      </c>
      <c r="G137" s="81">
        <f t="shared" si="5"/>
        <v>543239.88</v>
      </c>
      <c r="H137" s="82"/>
    </row>
    <row r="138" spans="1:8" ht="20.100000000000001" customHeight="1">
      <c r="A138" s="41"/>
      <c r="B138" s="139"/>
      <c r="C138" s="171"/>
      <c r="D138" s="64"/>
      <c r="E138" s="176"/>
      <c r="F138" s="45"/>
      <c r="G138" s="38">
        <f t="shared" si="5"/>
        <v>0</v>
      </c>
    </row>
    <row r="139" spans="1:8" ht="20.100000000000001" customHeight="1">
      <c r="A139" s="41"/>
      <c r="B139" s="150" t="s">
        <v>281</v>
      </c>
      <c r="C139" s="166"/>
      <c r="D139" s="64"/>
      <c r="E139" s="176"/>
      <c r="F139" s="60"/>
      <c r="G139" s="38">
        <f t="shared" si="5"/>
        <v>0</v>
      </c>
    </row>
    <row r="140" spans="1:8" ht="20.100000000000001" customHeight="1">
      <c r="A140" s="172">
        <v>1</v>
      </c>
      <c r="B140" s="148" t="s">
        <v>98</v>
      </c>
      <c r="C140" s="166" t="s">
        <v>392</v>
      </c>
      <c r="D140" s="64" t="s">
        <v>161</v>
      </c>
      <c r="E140" s="176">
        <v>52776.63</v>
      </c>
      <c r="F140" s="60"/>
      <c r="G140" s="38">
        <f t="shared" ref="G140:G199" si="12">F140-E140</f>
        <v>-52776.63</v>
      </c>
    </row>
    <row r="141" spans="1:8" ht="20.100000000000001" customHeight="1">
      <c r="A141" s="172">
        <v>2</v>
      </c>
      <c r="B141" s="148" t="s">
        <v>21</v>
      </c>
      <c r="C141" s="166" t="s">
        <v>393</v>
      </c>
      <c r="D141" s="64" t="s">
        <v>161</v>
      </c>
      <c r="E141" s="176">
        <v>52776.63</v>
      </c>
      <c r="F141" s="60">
        <f>161106.81</f>
        <v>161106.81</v>
      </c>
      <c r="G141" s="38">
        <f t="shared" si="12"/>
        <v>108330.18</v>
      </c>
    </row>
    <row r="142" spans="1:8" ht="20.100000000000001" customHeight="1">
      <c r="A142" s="172">
        <v>3</v>
      </c>
      <c r="B142" s="148" t="s">
        <v>107</v>
      </c>
      <c r="C142" s="166" t="s">
        <v>394</v>
      </c>
      <c r="D142" s="64" t="s">
        <v>160</v>
      </c>
      <c r="E142" s="176">
        <v>21618.09</v>
      </c>
      <c r="F142" s="60">
        <f>82627.95</f>
        <v>82627.95</v>
      </c>
      <c r="G142" s="38">
        <f t="shared" si="12"/>
        <v>61009.86</v>
      </c>
    </row>
    <row r="143" spans="1:8" ht="20.100000000000001" customHeight="1">
      <c r="A143" s="172">
        <v>4</v>
      </c>
      <c r="B143" s="152" t="s">
        <v>183</v>
      </c>
      <c r="C143" s="21" t="s">
        <v>379</v>
      </c>
      <c r="D143" s="25" t="s">
        <v>75</v>
      </c>
      <c r="E143" s="178">
        <v>15548.33</v>
      </c>
      <c r="F143" s="24">
        <f>74036.1</f>
        <v>74036.100000000006</v>
      </c>
      <c r="G143" s="38">
        <f t="shared" si="12"/>
        <v>58487.770000000004</v>
      </c>
    </row>
    <row r="144" spans="1:8" ht="20.100000000000001" customHeight="1">
      <c r="A144" s="172">
        <v>5</v>
      </c>
      <c r="B144" s="152" t="s">
        <v>378</v>
      </c>
      <c r="C144" s="21" t="s">
        <v>380</v>
      </c>
      <c r="D144" s="25" t="s">
        <v>75</v>
      </c>
      <c r="E144" s="178">
        <v>15548.33</v>
      </c>
      <c r="F144" s="24"/>
      <c r="G144" s="38">
        <f t="shared" si="12"/>
        <v>-15548.33</v>
      </c>
    </row>
    <row r="145" spans="1:7" ht="20.100000000000001" customHeight="1">
      <c r="A145" s="172">
        <v>6</v>
      </c>
      <c r="B145" s="148" t="s">
        <v>106</v>
      </c>
      <c r="C145" s="166" t="s">
        <v>381</v>
      </c>
      <c r="D145" s="64" t="s">
        <v>162</v>
      </c>
      <c r="E145" s="176">
        <v>7709.76</v>
      </c>
      <c r="F145" s="60">
        <f>43380.1</f>
        <v>43380.1</v>
      </c>
      <c r="G145" s="38">
        <f t="shared" si="12"/>
        <v>35670.339999999997</v>
      </c>
    </row>
    <row r="146" spans="1:7" ht="20.100000000000001" customHeight="1">
      <c r="A146" s="172">
        <v>7</v>
      </c>
      <c r="B146" s="148" t="s">
        <v>7</v>
      </c>
      <c r="C146" s="41" t="s">
        <v>385</v>
      </c>
      <c r="D146" s="64" t="s">
        <v>162</v>
      </c>
      <c r="E146" s="176">
        <v>7709.76</v>
      </c>
      <c r="F146" s="60">
        <f>43380.1</f>
        <v>43380.1</v>
      </c>
      <c r="G146" s="38">
        <f t="shared" si="12"/>
        <v>35670.339999999997</v>
      </c>
    </row>
    <row r="147" spans="1:7" ht="20.100000000000001" customHeight="1">
      <c r="A147" s="172">
        <v>8</v>
      </c>
      <c r="B147" s="148" t="s">
        <v>124</v>
      </c>
      <c r="C147" s="41" t="s">
        <v>235</v>
      </c>
      <c r="D147" s="64" t="s">
        <v>163</v>
      </c>
      <c r="E147" s="176">
        <v>7709.76</v>
      </c>
      <c r="F147" s="60">
        <f>39582.84</f>
        <v>39582.839999999997</v>
      </c>
      <c r="G147" s="38">
        <f t="shared" si="12"/>
        <v>31873.079999999994</v>
      </c>
    </row>
    <row r="148" spans="1:7" ht="20.100000000000001" customHeight="1">
      <c r="A148" s="172">
        <v>9</v>
      </c>
      <c r="B148" s="145" t="s">
        <v>102</v>
      </c>
      <c r="C148" s="166" t="s">
        <v>395</v>
      </c>
      <c r="D148" s="64" t="s">
        <v>415</v>
      </c>
      <c r="E148" s="176">
        <v>3369.51</v>
      </c>
      <c r="F148" s="60">
        <f>32848.56</f>
        <v>32848.559999999998</v>
      </c>
      <c r="G148" s="38">
        <f t="shared" si="12"/>
        <v>29479.049999999996</v>
      </c>
    </row>
    <row r="149" spans="1:7" ht="20.100000000000001" customHeight="1">
      <c r="A149" s="172">
        <v>10</v>
      </c>
      <c r="B149" s="148" t="s">
        <v>103</v>
      </c>
      <c r="C149" s="166" t="s">
        <v>395</v>
      </c>
      <c r="D149" s="64" t="s">
        <v>415</v>
      </c>
      <c r="E149" s="176">
        <v>3369.51</v>
      </c>
      <c r="F149" s="60">
        <f>32938.95</f>
        <v>32938.949999999997</v>
      </c>
      <c r="G149" s="38">
        <f t="shared" si="12"/>
        <v>29569.439999999995</v>
      </c>
    </row>
    <row r="150" spans="1:7" ht="20.100000000000001" customHeight="1">
      <c r="A150" s="172">
        <v>11</v>
      </c>
      <c r="B150" s="145" t="s">
        <v>151</v>
      </c>
      <c r="C150" s="41" t="s">
        <v>235</v>
      </c>
      <c r="D150" s="64" t="s">
        <v>415</v>
      </c>
      <c r="E150" s="176">
        <v>3369.51</v>
      </c>
      <c r="F150" s="60">
        <f>32938.95</f>
        <v>32938.949999999997</v>
      </c>
      <c r="G150" s="38">
        <f t="shared" si="12"/>
        <v>29569.439999999995</v>
      </c>
    </row>
    <row r="151" spans="1:7" ht="20.100000000000001" customHeight="1">
      <c r="A151" s="172">
        <v>12</v>
      </c>
      <c r="B151" s="145" t="s">
        <v>238</v>
      </c>
      <c r="C151" s="41" t="s">
        <v>239</v>
      </c>
      <c r="D151" s="64" t="s">
        <v>27</v>
      </c>
      <c r="E151" s="176">
        <v>3369.51</v>
      </c>
      <c r="F151" s="60">
        <f>27873.08</f>
        <v>27873.08</v>
      </c>
      <c r="G151" s="38">
        <f t="shared" si="12"/>
        <v>24503.57</v>
      </c>
    </row>
    <row r="152" spans="1:7" ht="20.100000000000001" customHeight="1">
      <c r="A152" s="172">
        <v>13</v>
      </c>
      <c r="B152" s="145" t="s">
        <v>53</v>
      </c>
      <c r="C152" s="166" t="s">
        <v>300</v>
      </c>
      <c r="D152" s="64" t="s">
        <v>164</v>
      </c>
      <c r="E152" s="176">
        <v>3369.51</v>
      </c>
      <c r="F152" s="60">
        <f>27029.2</f>
        <v>27029.200000000001</v>
      </c>
      <c r="G152" s="38">
        <f t="shared" si="12"/>
        <v>23659.690000000002</v>
      </c>
    </row>
    <row r="153" spans="1:7" ht="20.100000000000001" customHeight="1">
      <c r="A153" s="172">
        <v>14</v>
      </c>
      <c r="B153" s="145" t="s">
        <v>179</v>
      </c>
      <c r="C153" s="166" t="s">
        <v>131</v>
      </c>
      <c r="D153" s="64" t="s">
        <v>27</v>
      </c>
      <c r="E153" s="176">
        <v>3369.51</v>
      </c>
      <c r="F153" s="60">
        <f>27794.21</f>
        <v>27794.21</v>
      </c>
      <c r="G153" s="38">
        <f t="shared" si="12"/>
        <v>24424.699999999997</v>
      </c>
    </row>
    <row r="154" spans="1:7" ht="20.100000000000001" customHeight="1">
      <c r="A154" s="172">
        <v>15</v>
      </c>
      <c r="B154" s="145" t="s">
        <v>208</v>
      </c>
      <c r="C154" s="41" t="s">
        <v>239</v>
      </c>
      <c r="D154" s="64" t="s">
        <v>207</v>
      </c>
      <c r="E154" s="176">
        <v>1484.37</v>
      </c>
      <c r="F154" s="60">
        <f>26339.08</f>
        <v>26339.08</v>
      </c>
      <c r="G154" s="38">
        <f t="shared" si="12"/>
        <v>24854.710000000003</v>
      </c>
    </row>
    <row r="155" spans="1:7" ht="20.100000000000001" customHeight="1">
      <c r="A155" s="172">
        <v>16</v>
      </c>
      <c r="B155" s="145" t="s">
        <v>210</v>
      </c>
      <c r="C155" s="41" t="s">
        <v>239</v>
      </c>
      <c r="D155" s="64" t="s">
        <v>207</v>
      </c>
      <c r="E155" s="176">
        <v>1484.37</v>
      </c>
      <c r="F155" s="60">
        <f>26264.39</f>
        <v>26264.39</v>
      </c>
      <c r="G155" s="38">
        <f t="shared" si="12"/>
        <v>24780.02</v>
      </c>
    </row>
    <row r="156" spans="1:7" ht="20.100000000000001" customHeight="1">
      <c r="A156" s="172">
        <v>17</v>
      </c>
      <c r="B156" s="145" t="s">
        <v>212</v>
      </c>
      <c r="C156" s="41" t="s">
        <v>239</v>
      </c>
      <c r="D156" s="64" t="s">
        <v>207</v>
      </c>
      <c r="E156" s="176">
        <v>1484.37</v>
      </c>
      <c r="F156" s="60">
        <f>26339.08</f>
        <v>26339.08</v>
      </c>
      <c r="G156" s="38">
        <f t="shared" si="12"/>
        <v>24854.710000000003</v>
      </c>
    </row>
    <row r="157" spans="1:7" ht="20.100000000000001" customHeight="1">
      <c r="A157" s="172">
        <v>18</v>
      </c>
      <c r="B157" s="145" t="s">
        <v>425</v>
      </c>
      <c r="C157" s="166" t="s">
        <v>430</v>
      </c>
      <c r="D157" s="64" t="s">
        <v>104</v>
      </c>
      <c r="E157" s="176">
        <v>3369.51</v>
      </c>
      <c r="F157" s="60">
        <f>25571.82</f>
        <v>25571.82</v>
      </c>
      <c r="G157" s="38">
        <f t="shared" si="12"/>
        <v>22202.309999999998</v>
      </c>
    </row>
    <row r="158" spans="1:7" ht="20.100000000000001" customHeight="1">
      <c r="A158" s="172">
        <v>19</v>
      </c>
      <c r="B158" s="145" t="s">
        <v>437</v>
      </c>
      <c r="C158" s="166" t="s">
        <v>438</v>
      </c>
      <c r="D158" s="169" t="s">
        <v>428</v>
      </c>
      <c r="E158" s="176">
        <v>3369.51</v>
      </c>
      <c r="F158" s="60">
        <f>21640.95</f>
        <v>21640.95</v>
      </c>
      <c r="G158" s="38">
        <f t="shared" si="12"/>
        <v>18271.440000000002</v>
      </c>
    </row>
    <row r="159" spans="1:7" ht="20.100000000000001" customHeight="1">
      <c r="A159" s="172">
        <v>20</v>
      </c>
      <c r="B159" s="145" t="s">
        <v>230</v>
      </c>
      <c r="C159" s="166" t="s">
        <v>131</v>
      </c>
      <c r="D159" s="64" t="s">
        <v>267</v>
      </c>
      <c r="E159" s="176">
        <v>1484.37</v>
      </c>
      <c r="F159" s="60">
        <f>18102.9</f>
        <v>18102.900000000001</v>
      </c>
      <c r="G159" s="38">
        <f t="shared" si="12"/>
        <v>16618.530000000002</v>
      </c>
    </row>
    <row r="160" spans="1:7" ht="20.100000000000001" customHeight="1">
      <c r="A160" s="172">
        <v>21</v>
      </c>
      <c r="B160" s="145" t="s">
        <v>57</v>
      </c>
      <c r="C160" s="166" t="s">
        <v>236</v>
      </c>
      <c r="D160" s="64" t="s">
        <v>267</v>
      </c>
      <c r="E160" s="176">
        <v>1484.37</v>
      </c>
      <c r="F160" s="60">
        <f>18102.9</f>
        <v>18102.900000000001</v>
      </c>
      <c r="G160" s="38">
        <f t="shared" si="12"/>
        <v>16618.530000000002</v>
      </c>
    </row>
    <row r="161" spans="1:7" ht="20.100000000000001" customHeight="1">
      <c r="A161" s="172">
        <v>22</v>
      </c>
      <c r="B161" s="145" t="s">
        <v>251</v>
      </c>
      <c r="C161" s="166" t="s">
        <v>131</v>
      </c>
      <c r="D161" s="64" t="s">
        <v>267</v>
      </c>
      <c r="E161" s="176">
        <v>1484.37</v>
      </c>
      <c r="F161" s="60">
        <f>18051.63</f>
        <v>18051.63</v>
      </c>
      <c r="G161" s="38">
        <f t="shared" si="12"/>
        <v>16567.260000000002</v>
      </c>
    </row>
    <row r="162" spans="1:7" ht="20.100000000000001" customHeight="1">
      <c r="A162" s="172">
        <v>23</v>
      </c>
      <c r="B162" s="145" t="s">
        <v>241</v>
      </c>
      <c r="C162" s="166" t="s">
        <v>348</v>
      </c>
      <c r="D162" s="64" t="s">
        <v>267</v>
      </c>
      <c r="E162" s="176">
        <v>1484.37</v>
      </c>
      <c r="F162" s="60">
        <f>18102.9</f>
        <v>18102.900000000001</v>
      </c>
      <c r="G162" s="38">
        <f t="shared" si="12"/>
        <v>16618.530000000002</v>
      </c>
    </row>
    <row r="163" spans="1:7" ht="20.100000000000001" customHeight="1">
      <c r="A163" s="172">
        <v>24</v>
      </c>
      <c r="B163" s="137" t="s">
        <v>289</v>
      </c>
      <c r="C163" s="166" t="s">
        <v>290</v>
      </c>
      <c r="D163" s="64" t="s">
        <v>295</v>
      </c>
      <c r="E163" s="176">
        <v>3369.51</v>
      </c>
      <c r="F163" s="60">
        <f>17572.89</f>
        <v>17572.89</v>
      </c>
      <c r="G163" s="38">
        <f t="shared" si="12"/>
        <v>14203.38</v>
      </c>
    </row>
    <row r="164" spans="1:7" ht="20.100000000000001" customHeight="1">
      <c r="A164" s="172">
        <v>25</v>
      </c>
      <c r="B164" s="137" t="s">
        <v>359</v>
      </c>
      <c r="C164" s="166" t="s">
        <v>131</v>
      </c>
      <c r="D164" s="64" t="s">
        <v>105</v>
      </c>
      <c r="E164" s="176">
        <v>1484.37</v>
      </c>
      <c r="F164" s="60">
        <f>16512.68</f>
        <v>16512.68</v>
      </c>
      <c r="G164" s="38">
        <f t="shared" si="12"/>
        <v>15028.310000000001</v>
      </c>
    </row>
    <row r="165" spans="1:7" ht="20.100000000000001" customHeight="1">
      <c r="A165" s="172">
        <v>26</v>
      </c>
      <c r="B165" s="137" t="s">
        <v>407</v>
      </c>
      <c r="C165" s="166" t="s">
        <v>131</v>
      </c>
      <c r="D165" s="64" t="s">
        <v>105</v>
      </c>
      <c r="E165" s="176">
        <v>1484.37</v>
      </c>
      <c r="F165" s="60">
        <f>16512.68</f>
        <v>16512.68</v>
      </c>
      <c r="G165" s="38">
        <f t="shared" si="12"/>
        <v>15028.310000000001</v>
      </c>
    </row>
    <row r="166" spans="1:7" ht="20.100000000000001" customHeight="1">
      <c r="A166" s="172">
        <v>27</v>
      </c>
      <c r="B166" s="137" t="s">
        <v>426</v>
      </c>
      <c r="C166" s="166" t="s">
        <v>290</v>
      </c>
      <c r="D166" s="64" t="s">
        <v>105</v>
      </c>
      <c r="E166" s="176">
        <v>1484.37</v>
      </c>
      <c r="F166" s="60">
        <f>16512.68</f>
        <v>16512.68</v>
      </c>
      <c r="G166" s="38">
        <f t="shared" si="12"/>
        <v>15028.310000000001</v>
      </c>
    </row>
    <row r="167" spans="1:7" ht="20.100000000000001" customHeight="1">
      <c r="A167" s="172">
        <v>28</v>
      </c>
      <c r="B167" s="137" t="s">
        <v>441</v>
      </c>
      <c r="C167" s="166" t="s">
        <v>442</v>
      </c>
      <c r="D167" s="64" t="s">
        <v>105</v>
      </c>
      <c r="E167" s="176">
        <v>1484.37</v>
      </c>
      <c r="F167" s="60">
        <f>16512.68</f>
        <v>16512.68</v>
      </c>
      <c r="G167" s="38">
        <f t="shared" si="12"/>
        <v>15028.310000000001</v>
      </c>
    </row>
    <row r="168" spans="1:7" ht="20.100000000000001" customHeight="1">
      <c r="A168" s="172">
        <v>29</v>
      </c>
      <c r="B168" s="137" t="s">
        <v>445</v>
      </c>
      <c r="C168" s="166" t="s">
        <v>446</v>
      </c>
      <c r="D168" s="64" t="s">
        <v>105</v>
      </c>
      <c r="E168" s="176">
        <v>1484.37</v>
      </c>
      <c r="F168" s="60">
        <f>16512.68</f>
        <v>16512.68</v>
      </c>
      <c r="G168" s="38">
        <f t="shared" si="12"/>
        <v>15028.310000000001</v>
      </c>
    </row>
    <row r="169" spans="1:7" ht="20.100000000000001" customHeight="1">
      <c r="A169" s="172">
        <v>30</v>
      </c>
      <c r="B169" s="148" t="s">
        <v>22</v>
      </c>
      <c r="C169" s="166" t="s">
        <v>302</v>
      </c>
      <c r="D169" s="64" t="s">
        <v>416</v>
      </c>
      <c r="E169" s="176">
        <v>236.04</v>
      </c>
      <c r="F169" s="38">
        <f>9117.05</f>
        <v>9117.0499999999993</v>
      </c>
      <c r="G169" s="38">
        <f t="shared" si="12"/>
        <v>8881.0099999999984</v>
      </c>
    </row>
    <row r="170" spans="1:7" ht="20.100000000000001" customHeight="1">
      <c r="A170" s="172">
        <v>31</v>
      </c>
      <c r="B170" s="148" t="s">
        <v>14</v>
      </c>
      <c r="C170" s="166" t="s">
        <v>302</v>
      </c>
      <c r="D170" s="64" t="s">
        <v>416</v>
      </c>
      <c r="E170" s="176">
        <v>236.04</v>
      </c>
      <c r="F170" s="38">
        <f>9504.2</f>
        <v>9504.2000000000007</v>
      </c>
      <c r="G170" s="38">
        <f t="shared" si="12"/>
        <v>9268.16</v>
      </c>
    </row>
    <row r="171" spans="1:7" ht="20.100000000000001" customHeight="1">
      <c r="A171" s="172">
        <v>32</v>
      </c>
      <c r="B171" s="148" t="s">
        <v>23</v>
      </c>
      <c r="C171" s="166" t="s">
        <v>302</v>
      </c>
      <c r="D171" s="64" t="s">
        <v>416</v>
      </c>
      <c r="E171" s="176">
        <v>236.04</v>
      </c>
      <c r="F171" s="38">
        <f>9144.2</f>
        <v>9144.2000000000007</v>
      </c>
      <c r="G171" s="38">
        <f t="shared" si="12"/>
        <v>8908.16</v>
      </c>
    </row>
    <row r="172" spans="1:7" ht="20.100000000000001" customHeight="1">
      <c r="A172" s="172">
        <v>33</v>
      </c>
      <c r="B172" s="148" t="s">
        <v>24</v>
      </c>
      <c r="C172" s="166" t="s">
        <v>302</v>
      </c>
      <c r="D172" s="64" t="s">
        <v>416</v>
      </c>
      <c r="E172" s="176">
        <v>236.04</v>
      </c>
      <c r="F172" s="38">
        <f>9144.2</f>
        <v>9144.2000000000007</v>
      </c>
      <c r="G172" s="38">
        <f t="shared" si="12"/>
        <v>8908.16</v>
      </c>
    </row>
    <row r="173" spans="1:7" ht="20.100000000000001" customHeight="1">
      <c r="A173" s="172">
        <v>34</v>
      </c>
      <c r="B173" s="148" t="s">
        <v>25</v>
      </c>
      <c r="C173" s="166" t="s">
        <v>302</v>
      </c>
      <c r="D173" s="64" t="s">
        <v>416</v>
      </c>
      <c r="E173" s="176">
        <v>236.04</v>
      </c>
      <c r="F173" s="38">
        <f>9144.2</f>
        <v>9144.2000000000007</v>
      </c>
      <c r="G173" s="38">
        <f t="shared" si="12"/>
        <v>8908.16</v>
      </c>
    </row>
    <row r="174" spans="1:7" ht="20.100000000000001" customHeight="1">
      <c r="A174" s="172">
        <v>35</v>
      </c>
      <c r="B174" s="148" t="s">
        <v>39</v>
      </c>
      <c r="C174" s="166" t="s">
        <v>302</v>
      </c>
      <c r="D174" s="64" t="s">
        <v>416</v>
      </c>
      <c r="E174" s="176">
        <v>236.04</v>
      </c>
      <c r="F174" s="38">
        <f>9117.05</f>
        <v>9117.0499999999993</v>
      </c>
      <c r="G174" s="38">
        <f t="shared" si="12"/>
        <v>8881.0099999999984</v>
      </c>
    </row>
    <row r="175" spans="1:7" ht="20.100000000000001" customHeight="1">
      <c r="A175" s="172">
        <v>36</v>
      </c>
      <c r="B175" s="148" t="s">
        <v>40</v>
      </c>
      <c r="C175" s="166" t="s">
        <v>302</v>
      </c>
      <c r="D175" s="64" t="s">
        <v>416</v>
      </c>
      <c r="E175" s="176">
        <v>236.04</v>
      </c>
      <c r="F175" s="38">
        <f>9144.2</f>
        <v>9144.2000000000007</v>
      </c>
      <c r="G175" s="38">
        <f t="shared" si="12"/>
        <v>8908.16</v>
      </c>
    </row>
    <row r="176" spans="1:7" ht="20.100000000000001" customHeight="1">
      <c r="A176" s="172">
        <v>37</v>
      </c>
      <c r="B176" s="148" t="s">
        <v>127</v>
      </c>
      <c r="C176" s="166" t="s">
        <v>167</v>
      </c>
      <c r="D176" s="64" t="s">
        <v>266</v>
      </c>
      <c r="E176" s="176">
        <v>236.04</v>
      </c>
      <c r="F176" s="38">
        <f>4692.33</f>
        <v>4692.33</v>
      </c>
      <c r="G176" s="38">
        <f t="shared" si="12"/>
        <v>4456.29</v>
      </c>
    </row>
    <row r="177" spans="1:7" ht="20.100000000000001" customHeight="1">
      <c r="A177" s="172">
        <v>38</v>
      </c>
      <c r="B177" s="148" t="s">
        <v>128</v>
      </c>
      <c r="C177" s="166" t="s">
        <v>167</v>
      </c>
      <c r="D177" s="64" t="s">
        <v>266</v>
      </c>
      <c r="E177" s="176">
        <v>236.04</v>
      </c>
      <c r="F177" s="38">
        <f>4377.04</f>
        <v>4377.04</v>
      </c>
      <c r="G177" s="38">
        <f t="shared" si="12"/>
        <v>4141</v>
      </c>
    </row>
    <row r="178" spans="1:7" ht="20.100000000000001" customHeight="1">
      <c r="A178" s="172">
        <v>39</v>
      </c>
      <c r="B178" s="148" t="s">
        <v>129</v>
      </c>
      <c r="C178" s="166" t="s">
        <v>167</v>
      </c>
      <c r="D178" s="64" t="s">
        <v>266</v>
      </c>
      <c r="E178" s="176">
        <v>236.04</v>
      </c>
      <c r="F178" s="38">
        <f>4377.04</f>
        <v>4377.04</v>
      </c>
      <c r="G178" s="38">
        <f t="shared" si="12"/>
        <v>4141</v>
      </c>
    </row>
    <row r="179" spans="1:7" ht="20.100000000000001" customHeight="1">
      <c r="A179" s="172">
        <v>40</v>
      </c>
      <c r="B179" s="140" t="s">
        <v>136</v>
      </c>
      <c r="C179" s="166" t="s">
        <v>167</v>
      </c>
      <c r="D179" s="64" t="s">
        <v>266</v>
      </c>
      <c r="E179" s="176">
        <v>236.04</v>
      </c>
      <c r="F179" s="38">
        <f>4692.33</f>
        <v>4692.33</v>
      </c>
      <c r="G179" s="38">
        <f t="shared" si="12"/>
        <v>4456.29</v>
      </c>
    </row>
    <row r="180" spans="1:7" ht="20.100000000000001" customHeight="1">
      <c r="A180" s="172">
        <v>41</v>
      </c>
      <c r="B180" s="145" t="s">
        <v>140</v>
      </c>
      <c r="C180" s="166" t="s">
        <v>167</v>
      </c>
      <c r="D180" s="64" t="s">
        <v>266</v>
      </c>
      <c r="E180" s="176">
        <v>236.04</v>
      </c>
      <c r="F180" s="38">
        <f>4377.04</f>
        <v>4377.04</v>
      </c>
      <c r="G180" s="38">
        <f t="shared" si="12"/>
        <v>4141</v>
      </c>
    </row>
    <row r="181" spans="1:7" ht="20.100000000000001" customHeight="1">
      <c r="A181" s="172">
        <v>42</v>
      </c>
      <c r="B181" s="144" t="s">
        <v>152</v>
      </c>
      <c r="C181" s="166" t="s">
        <v>167</v>
      </c>
      <c r="D181" s="64" t="s">
        <v>266</v>
      </c>
      <c r="E181" s="176">
        <v>236.04</v>
      </c>
      <c r="F181" s="38">
        <f>4377.04</f>
        <v>4377.04</v>
      </c>
      <c r="G181" s="38">
        <f t="shared" si="12"/>
        <v>4141</v>
      </c>
    </row>
    <row r="182" spans="1:7" ht="20.100000000000001" customHeight="1">
      <c r="A182" s="172">
        <v>43</v>
      </c>
      <c r="B182" s="144" t="s">
        <v>132</v>
      </c>
      <c r="C182" s="166" t="s">
        <v>167</v>
      </c>
      <c r="D182" s="64" t="s">
        <v>266</v>
      </c>
      <c r="E182" s="176">
        <v>236.04</v>
      </c>
      <c r="F182" s="38">
        <f>4692.33</f>
        <v>4692.33</v>
      </c>
      <c r="G182" s="38">
        <f t="shared" si="12"/>
        <v>4456.29</v>
      </c>
    </row>
    <row r="183" spans="1:7" ht="20.100000000000001" customHeight="1">
      <c r="A183" s="172">
        <v>44</v>
      </c>
      <c r="B183" s="145" t="s">
        <v>231</v>
      </c>
      <c r="C183" s="166" t="s">
        <v>167</v>
      </c>
      <c r="D183" s="64" t="s">
        <v>177</v>
      </c>
      <c r="E183" s="176">
        <v>236.04</v>
      </c>
      <c r="F183" s="38">
        <f>4227.52</f>
        <v>4227.5200000000004</v>
      </c>
      <c r="G183" s="38">
        <f t="shared" si="12"/>
        <v>3991.4800000000005</v>
      </c>
    </row>
    <row r="184" spans="1:7" ht="20.100000000000001" customHeight="1">
      <c r="A184" s="172">
        <v>45</v>
      </c>
      <c r="B184" s="145" t="s">
        <v>246</v>
      </c>
      <c r="C184" s="166" t="s">
        <v>167</v>
      </c>
      <c r="D184" s="64" t="s">
        <v>177</v>
      </c>
      <c r="E184" s="176">
        <v>236.04</v>
      </c>
      <c r="F184" s="38">
        <f>4227.52</f>
        <v>4227.5200000000004</v>
      </c>
      <c r="G184" s="38">
        <f t="shared" si="12"/>
        <v>3991.4800000000005</v>
      </c>
    </row>
    <row r="185" spans="1:7" ht="20.100000000000001" customHeight="1">
      <c r="A185" s="172">
        <v>46</v>
      </c>
      <c r="B185" s="144" t="s">
        <v>166</v>
      </c>
      <c r="C185" s="166" t="s">
        <v>167</v>
      </c>
      <c r="D185" s="64" t="s">
        <v>263</v>
      </c>
      <c r="E185" s="176">
        <v>236.04</v>
      </c>
      <c r="F185" s="38">
        <f>4365.33</f>
        <v>4365.33</v>
      </c>
      <c r="G185" s="38">
        <f t="shared" si="12"/>
        <v>4129.29</v>
      </c>
    </row>
    <row r="186" spans="1:7" ht="20.100000000000001" customHeight="1">
      <c r="A186" s="172">
        <v>47</v>
      </c>
      <c r="B186" s="145" t="s">
        <v>204</v>
      </c>
      <c r="C186" s="166" t="s">
        <v>167</v>
      </c>
      <c r="D186" s="64" t="s">
        <v>301</v>
      </c>
      <c r="E186" s="176">
        <v>236.04</v>
      </c>
      <c r="F186" s="38">
        <f>4089.72</f>
        <v>4089.72</v>
      </c>
      <c r="G186" s="38">
        <f t="shared" si="12"/>
        <v>3853.68</v>
      </c>
    </row>
    <row r="187" spans="1:7" ht="20.100000000000001" customHeight="1">
      <c r="A187" s="172">
        <v>48</v>
      </c>
      <c r="B187" s="145" t="s">
        <v>209</v>
      </c>
      <c r="C187" s="166" t="s">
        <v>13</v>
      </c>
      <c r="D187" s="64" t="s">
        <v>414</v>
      </c>
      <c r="E187" s="176">
        <v>236.04</v>
      </c>
      <c r="F187" s="38">
        <f>3951.8</f>
        <v>3951.8</v>
      </c>
      <c r="G187" s="38">
        <f t="shared" si="12"/>
        <v>3715.76</v>
      </c>
    </row>
    <row r="188" spans="1:7" ht="20.100000000000001" customHeight="1">
      <c r="A188" s="172">
        <v>49</v>
      </c>
      <c r="B188" s="145" t="s">
        <v>218</v>
      </c>
      <c r="C188" s="166" t="s">
        <v>13</v>
      </c>
      <c r="D188" s="64" t="s">
        <v>414</v>
      </c>
      <c r="E188" s="176">
        <v>236.04</v>
      </c>
      <c r="F188" s="38">
        <f>3687.8</f>
        <v>3687.8</v>
      </c>
      <c r="G188" s="38">
        <f t="shared" si="12"/>
        <v>3451.76</v>
      </c>
    </row>
    <row r="189" spans="1:7" ht="20.100000000000001" customHeight="1">
      <c r="A189" s="172">
        <v>50</v>
      </c>
      <c r="B189" s="145" t="s">
        <v>219</v>
      </c>
      <c r="C189" s="166" t="s">
        <v>13</v>
      </c>
      <c r="D189" s="64" t="s">
        <v>414</v>
      </c>
      <c r="E189" s="176">
        <v>236.04</v>
      </c>
      <c r="F189" s="38">
        <f>3951.8</f>
        <v>3951.8</v>
      </c>
      <c r="G189" s="38">
        <f t="shared" si="12"/>
        <v>3715.76</v>
      </c>
    </row>
    <row r="190" spans="1:7" ht="20.100000000000001" customHeight="1">
      <c r="A190" s="172">
        <v>51</v>
      </c>
      <c r="B190" s="145" t="s">
        <v>211</v>
      </c>
      <c r="C190" s="166" t="s">
        <v>13</v>
      </c>
      <c r="D190" s="64" t="s">
        <v>414</v>
      </c>
      <c r="E190" s="176">
        <v>236.04</v>
      </c>
      <c r="F190" s="38">
        <f>3687.8</f>
        <v>3687.8</v>
      </c>
      <c r="G190" s="38">
        <f t="shared" si="12"/>
        <v>3451.76</v>
      </c>
    </row>
    <row r="191" spans="1:7" ht="20.100000000000001" customHeight="1">
      <c r="A191" s="172">
        <v>52</v>
      </c>
      <c r="B191" s="145" t="s">
        <v>213</v>
      </c>
      <c r="C191" s="166" t="s">
        <v>13</v>
      </c>
      <c r="D191" s="64" t="s">
        <v>414</v>
      </c>
      <c r="E191" s="176">
        <v>236.04</v>
      </c>
      <c r="F191" s="38">
        <f>3951.8</f>
        <v>3951.8</v>
      </c>
      <c r="G191" s="38">
        <f t="shared" si="12"/>
        <v>3715.76</v>
      </c>
    </row>
    <row r="192" spans="1:7" ht="20.100000000000001" customHeight="1">
      <c r="A192" s="172">
        <v>53</v>
      </c>
      <c r="B192" s="144" t="s">
        <v>342</v>
      </c>
      <c r="C192" s="166" t="s">
        <v>13</v>
      </c>
      <c r="D192" s="64" t="s">
        <v>262</v>
      </c>
      <c r="E192" s="176">
        <v>236.04</v>
      </c>
      <c r="F192" s="38">
        <f>3687.8</f>
        <v>3687.8</v>
      </c>
      <c r="G192" s="38">
        <f t="shared" si="12"/>
        <v>3451.76</v>
      </c>
    </row>
    <row r="193" spans="1:8" ht="20.100000000000001" customHeight="1">
      <c r="A193" s="172">
        <v>54</v>
      </c>
      <c r="B193" s="144" t="s">
        <v>405</v>
      </c>
      <c r="C193" s="166" t="s">
        <v>13</v>
      </c>
      <c r="D193" s="64" t="s">
        <v>262</v>
      </c>
      <c r="E193" s="176">
        <v>236.04</v>
      </c>
      <c r="F193" s="38">
        <f>3951.8</f>
        <v>3951.8</v>
      </c>
      <c r="G193" s="38">
        <f t="shared" si="12"/>
        <v>3715.76</v>
      </c>
    </row>
    <row r="194" spans="1:8" ht="20.100000000000001" customHeight="1">
      <c r="A194" s="172">
        <v>55</v>
      </c>
      <c r="B194" s="148" t="s">
        <v>232</v>
      </c>
      <c r="C194" s="166" t="s">
        <v>13</v>
      </c>
      <c r="D194" s="64" t="s">
        <v>28</v>
      </c>
      <c r="E194" s="176">
        <v>236.04</v>
      </c>
      <c r="F194" s="38">
        <f>3447.66</f>
        <v>3447.66</v>
      </c>
      <c r="G194" s="38">
        <f t="shared" si="12"/>
        <v>3211.62</v>
      </c>
    </row>
    <row r="195" spans="1:8" ht="20.100000000000001" customHeight="1">
      <c r="A195" s="172">
        <v>56</v>
      </c>
      <c r="B195" s="148" t="s">
        <v>233</v>
      </c>
      <c r="C195" s="166" t="s">
        <v>13</v>
      </c>
      <c r="D195" s="64" t="s">
        <v>28</v>
      </c>
      <c r="E195" s="176">
        <v>236.04</v>
      </c>
      <c r="F195" s="38">
        <f>3447.66</f>
        <v>3447.66</v>
      </c>
      <c r="G195" s="38">
        <f t="shared" si="12"/>
        <v>3211.62</v>
      </c>
    </row>
    <row r="196" spans="1:8" ht="20.100000000000001" customHeight="1">
      <c r="A196" s="172">
        <v>57</v>
      </c>
      <c r="B196" s="144" t="s">
        <v>279</v>
      </c>
      <c r="C196" s="166" t="s">
        <v>13</v>
      </c>
      <c r="D196" s="64" t="s">
        <v>28</v>
      </c>
      <c r="E196" s="176">
        <v>236.04</v>
      </c>
      <c r="F196" s="38">
        <f>3183.66</f>
        <v>3183.66</v>
      </c>
      <c r="G196" s="38">
        <f t="shared" si="12"/>
        <v>2947.62</v>
      </c>
    </row>
    <row r="197" spans="1:8" ht="20.100000000000001" customHeight="1">
      <c r="A197" s="172">
        <v>58</v>
      </c>
      <c r="B197" s="144" t="s">
        <v>403</v>
      </c>
      <c r="C197" s="166" t="s">
        <v>13</v>
      </c>
      <c r="D197" s="64" t="s">
        <v>150</v>
      </c>
      <c r="E197" s="176">
        <v>236.04</v>
      </c>
      <c r="F197" s="38">
        <f>2972.91</f>
        <v>2972.91</v>
      </c>
      <c r="G197" s="38">
        <f t="shared" si="12"/>
        <v>2736.87</v>
      </c>
    </row>
    <row r="198" spans="1:8" ht="20.100000000000001" customHeight="1">
      <c r="A198" s="172"/>
      <c r="B198" s="69" t="s">
        <v>15</v>
      </c>
      <c r="C198" s="49" t="s">
        <v>444</v>
      </c>
      <c r="D198" s="39"/>
      <c r="E198" s="185">
        <v>236380.48000000027</v>
      </c>
      <c r="F198" s="80">
        <f t="shared" ref="F198" si="13">SUM(F140:F197)</f>
        <v>1076921.6199999996</v>
      </c>
      <c r="G198" s="61">
        <f t="shared" si="12"/>
        <v>840541.13999999943</v>
      </c>
    </row>
    <row r="199" spans="1:8" ht="20.100000000000001" customHeight="1">
      <c r="A199" s="33"/>
      <c r="B199" s="165" t="s">
        <v>8</v>
      </c>
      <c r="C199" s="70">
        <f>C43+C48+C63+C68+C84+C91+C106+C113+C123+C137+C198</f>
        <v>157</v>
      </c>
      <c r="D199" s="161"/>
      <c r="E199" s="184">
        <v>1513919.9400000002</v>
      </c>
      <c r="F199" s="81">
        <f>F43+F48+F63+F68+F84+F91+F106+F113+F123+F137+F198</f>
        <v>6976828.1251612883</v>
      </c>
      <c r="G199" s="81">
        <f t="shared" si="12"/>
        <v>5462908.1851612879</v>
      </c>
      <c r="H199" s="82"/>
    </row>
    <row r="200" spans="1:8" ht="20.100000000000001" customHeight="1">
      <c r="A200" s="33"/>
      <c r="B200" s="164"/>
      <c r="C200" s="165"/>
      <c r="D200" s="164"/>
      <c r="E200" s="164"/>
      <c r="F200" s="68"/>
      <c r="G200" s="68"/>
    </row>
    <row r="201" spans="1:8" ht="20.100000000000001" customHeight="1">
      <c r="A201" s="33"/>
      <c r="B201" s="164"/>
      <c r="C201" s="738" t="s">
        <v>9</v>
      </c>
      <c r="D201" s="738"/>
      <c r="E201" s="162"/>
      <c r="F201" s="68"/>
      <c r="G201" s="68"/>
    </row>
    <row r="202" spans="1:8" ht="20.100000000000001" customHeight="1">
      <c r="A202" s="33"/>
      <c r="B202" s="164"/>
      <c r="C202" s="738"/>
      <c r="D202" s="738"/>
      <c r="E202" s="162"/>
      <c r="F202" s="68"/>
      <c r="G202" s="68"/>
    </row>
    <row r="203" spans="1:8" ht="20.100000000000001" customHeight="1">
      <c r="B203" s="4"/>
      <c r="C203" s="4"/>
      <c r="D203" s="4"/>
      <c r="E203" s="4"/>
      <c r="F203" s="4"/>
      <c r="G203" s="4"/>
    </row>
    <row r="204" spans="1:8" ht="20.100000000000001" customHeight="1">
      <c r="B204" s="4"/>
      <c r="C204" s="4"/>
      <c r="D204" s="4"/>
      <c r="E204" s="4"/>
      <c r="F204" s="4"/>
      <c r="G204" s="4"/>
    </row>
    <row r="205" spans="1:8" ht="20.100000000000001" customHeight="1">
      <c r="C205" s="4"/>
      <c r="D205" s="4"/>
      <c r="E205" s="4"/>
      <c r="F205" s="4"/>
      <c r="G205" s="4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4"/>
  <sheetViews>
    <sheetView view="pageBreakPreview" zoomScaleNormal="100" zoomScaleSheetLayoutView="100" workbookViewId="0">
      <pane xSplit="4" ySplit="9" topLeftCell="E185" activePane="bottomRight" state="frozen"/>
      <selection pane="topRight" activeCell="E1" sqref="E1"/>
      <selection pane="bottomLeft" activeCell="A10" sqref="A10"/>
      <selection pane="bottomRight" activeCell="H7" sqref="H7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customWidth="1"/>
    <col min="7" max="7" width="18.7109375" style="1" customWidth="1"/>
    <col min="8" max="8" width="23" style="1" customWidth="1"/>
    <col min="9" max="9" width="16.42578125" style="1" customWidth="1"/>
    <col min="10" max="10" width="18.140625" style="1" customWidth="1"/>
    <col min="11" max="11" width="18" style="1" customWidth="1"/>
    <col min="12" max="12" width="19.140625" style="1" customWidth="1"/>
    <col min="13" max="13" width="20" style="1" customWidth="1"/>
    <col min="14" max="14" width="24.5703125" style="1" customWidth="1"/>
    <col min="15" max="15" width="19.42578125" style="1" customWidth="1"/>
    <col min="16" max="16" width="16" style="1" customWidth="1"/>
    <col min="17" max="17" width="18.28515625" style="1" customWidth="1"/>
    <col min="18" max="18" width="20" style="1" customWidth="1"/>
    <col min="19" max="19" width="19.7109375" style="1" customWidth="1"/>
    <col min="20" max="20" width="20.140625" style="1" customWidth="1"/>
    <col min="21" max="21" width="20.5703125" style="1" customWidth="1"/>
    <col min="22" max="22" width="18.28515625" style="1" customWidth="1"/>
    <col min="23" max="23" width="18.7109375" style="1" customWidth="1"/>
    <col min="24" max="25" width="18.28515625" style="1" customWidth="1"/>
    <col min="26" max="27" width="19.7109375" style="1" customWidth="1"/>
    <col min="28" max="28" width="21" style="1" customWidth="1"/>
    <col min="29" max="16384" width="9.140625" style="1"/>
  </cols>
  <sheetData>
    <row r="1" spans="1:33" ht="29.25" customHeight="1"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AG1" s="1" t="s">
        <v>123</v>
      </c>
    </row>
    <row r="2" spans="1:33" ht="5.25" customHeight="1">
      <c r="S2" s="50"/>
      <c r="T2" s="50"/>
      <c r="U2" s="50"/>
      <c r="V2" s="50"/>
      <c r="W2" s="50"/>
      <c r="X2" s="50"/>
      <c r="Y2" s="50"/>
      <c r="Z2" s="50"/>
      <c r="AA2" s="50"/>
      <c r="AB2" s="50"/>
    </row>
    <row r="3" spans="1:33" ht="20.100000000000001" customHeight="1">
      <c r="A3" s="34"/>
      <c r="B3" s="736" t="s">
        <v>409</v>
      </c>
      <c r="C3" s="736"/>
      <c r="D3" s="736"/>
      <c r="E3" s="736"/>
      <c r="F3" s="51"/>
      <c r="G3" s="51"/>
      <c r="H3" s="51"/>
      <c r="I3" s="52"/>
      <c r="J3" s="52"/>
      <c r="K3" s="52"/>
      <c r="L3" s="52"/>
      <c r="M3" s="52"/>
      <c r="N3" s="52"/>
      <c r="O3" s="52"/>
      <c r="P3" s="52"/>
      <c r="Q3" s="52"/>
      <c r="R3" s="52"/>
      <c r="S3" s="53"/>
      <c r="T3" s="53"/>
      <c r="U3" s="53"/>
      <c r="V3" s="53"/>
      <c r="W3" s="53"/>
      <c r="X3" s="53"/>
      <c r="Y3" s="53"/>
      <c r="Z3" s="53"/>
      <c r="AA3" s="53"/>
      <c r="AB3" s="53"/>
    </row>
    <row r="4" spans="1:33" ht="2.25" customHeight="1">
      <c r="A4" s="34"/>
      <c r="B4" s="34"/>
      <c r="C4" s="34"/>
      <c r="D4" s="34"/>
      <c r="E4" s="34"/>
      <c r="F4" s="54">
        <f>'[1]FEB 08'!E8/'[1]FEB 08'!M8</f>
        <v>0.22</v>
      </c>
      <c r="G4" s="54"/>
      <c r="H4" s="54"/>
      <c r="I4" s="54">
        <f>'[1]FEB 08'!F8/'[1]FEB 08'!Q8</f>
        <v>0.3</v>
      </c>
      <c r="J4" s="54"/>
      <c r="K4" s="54"/>
      <c r="L4" s="54"/>
      <c r="M4" s="54"/>
      <c r="N4" s="54"/>
      <c r="O4" s="54"/>
      <c r="P4" s="54"/>
      <c r="Q4" s="54"/>
      <c r="R4" s="54"/>
      <c r="S4" s="55"/>
      <c r="T4" s="55"/>
      <c r="U4" s="55"/>
      <c r="V4" s="55"/>
      <c r="W4" s="55"/>
      <c r="X4" s="55"/>
      <c r="Y4" s="55"/>
      <c r="Z4" s="55"/>
      <c r="AA4" s="55"/>
      <c r="AB4" s="55"/>
    </row>
    <row r="5" spans="1:33" ht="20.100000000000001" customHeight="1">
      <c r="A5" s="34"/>
      <c r="B5" s="736" t="s">
        <v>0</v>
      </c>
      <c r="C5" s="736"/>
      <c r="D5" s="114"/>
      <c r="E5" s="114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737"/>
      <c r="V5" s="737"/>
      <c r="W5" s="737"/>
      <c r="X5" s="737"/>
      <c r="Y5" s="737"/>
      <c r="Z5" s="737"/>
      <c r="AA5" s="114"/>
      <c r="AB5" s="114"/>
    </row>
    <row r="6" spans="1:33" ht="35.450000000000003" customHeight="1">
      <c r="A6" s="41"/>
      <c r="B6" s="772"/>
      <c r="C6" s="772"/>
      <c r="D6" s="121" t="s">
        <v>12</v>
      </c>
      <c r="E6" s="121" t="s">
        <v>37</v>
      </c>
      <c r="F6" s="44" t="s">
        <v>1</v>
      </c>
      <c r="G6" s="33"/>
      <c r="H6" s="44"/>
      <c r="I6" s="44"/>
      <c r="J6" s="44"/>
      <c r="K6" s="44"/>
      <c r="L6" s="44"/>
      <c r="M6" s="44" t="s">
        <v>45</v>
      </c>
      <c r="N6" s="44" t="s">
        <v>92</v>
      </c>
      <c r="O6" s="44" t="s">
        <v>349</v>
      </c>
      <c r="P6" s="44" t="s">
        <v>41</v>
      </c>
      <c r="Q6" s="44" t="s">
        <v>47</v>
      </c>
      <c r="R6" s="44" t="s">
        <v>48</v>
      </c>
      <c r="S6" s="44" t="s">
        <v>410</v>
      </c>
      <c r="T6" s="44" t="s">
        <v>368</v>
      </c>
      <c r="U6" s="44" t="s">
        <v>344</v>
      </c>
      <c r="V6" s="44"/>
      <c r="W6" s="44"/>
      <c r="X6" s="44"/>
      <c r="Y6" s="122"/>
      <c r="Z6" s="122"/>
      <c r="AA6" s="92"/>
      <c r="AB6" s="92"/>
    </row>
    <row r="7" spans="1:33" ht="48" customHeight="1">
      <c r="A7" s="41"/>
      <c r="B7" s="773"/>
      <c r="C7" s="773"/>
      <c r="D7" s="121"/>
      <c r="E7" s="121" t="s">
        <v>35</v>
      </c>
      <c r="F7" s="44" t="s">
        <v>36</v>
      </c>
      <c r="G7" s="57" t="s">
        <v>228</v>
      </c>
      <c r="H7" s="44" t="s">
        <v>2</v>
      </c>
      <c r="I7" s="44" t="s">
        <v>3</v>
      </c>
      <c r="J7" s="44" t="s">
        <v>32</v>
      </c>
      <c r="K7" s="44" t="s">
        <v>42</v>
      </c>
      <c r="L7" s="44" t="s">
        <v>43</v>
      </c>
      <c r="M7" s="44" t="s">
        <v>46</v>
      </c>
      <c r="N7" s="44" t="s">
        <v>93</v>
      </c>
      <c r="O7" s="44" t="s">
        <v>93</v>
      </c>
      <c r="P7" s="44" t="s">
        <v>33</v>
      </c>
      <c r="Q7" s="44" t="s">
        <v>33</v>
      </c>
      <c r="R7" s="44" t="s">
        <v>49</v>
      </c>
      <c r="S7" s="44" t="s">
        <v>36</v>
      </c>
      <c r="T7" s="57" t="s">
        <v>36</v>
      </c>
      <c r="U7" s="57"/>
      <c r="V7" s="57"/>
      <c r="W7" s="44" t="s">
        <v>370</v>
      </c>
      <c r="X7" s="57" t="s">
        <v>371</v>
      </c>
      <c r="Y7" s="44" t="s">
        <v>344</v>
      </c>
      <c r="Z7" s="44"/>
      <c r="AA7" s="44"/>
      <c r="AB7" s="44"/>
    </row>
    <row r="8" spans="1:33" ht="20.100000000000001" customHeight="1">
      <c r="A8" s="58" t="s">
        <v>143</v>
      </c>
      <c r="B8" s="774" t="s">
        <v>16</v>
      </c>
      <c r="C8" s="774"/>
      <c r="D8" s="69"/>
      <c r="E8" s="69"/>
      <c r="F8" s="59" t="s">
        <v>5</v>
      </c>
      <c r="G8" s="122"/>
      <c r="H8" s="59"/>
      <c r="I8" s="59" t="s">
        <v>5</v>
      </c>
      <c r="J8" s="59"/>
      <c r="K8" s="59"/>
      <c r="L8" s="59"/>
      <c r="M8" s="59"/>
      <c r="N8" s="59"/>
      <c r="O8" s="59"/>
      <c r="P8" s="59"/>
      <c r="Q8" s="59"/>
      <c r="R8" s="59"/>
      <c r="S8" s="59" t="s">
        <v>5</v>
      </c>
      <c r="T8" s="59" t="s">
        <v>5</v>
      </c>
      <c r="U8" s="59" t="s">
        <v>5</v>
      </c>
      <c r="V8" s="59"/>
      <c r="W8" s="59" t="s">
        <v>5</v>
      </c>
      <c r="X8" s="59" t="s">
        <v>5</v>
      </c>
      <c r="Y8" s="59" t="s">
        <v>5</v>
      </c>
      <c r="Z8" s="59"/>
      <c r="AA8" s="59"/>
      <c r="AB8" s="59"/>
    </row>
    <row r="9" spans="1:33" ht="20.100000000000001" customHeight="1">
      <c r="A9" s="127">
        <v>1</v>
      </c>
      <c r="B9" s="741" t="s">
        <v>224</v>
      </c>
      <c r="C9" s="742"/>
      <c r="D9" s="108" t="s">
        <v>119</v>
      </c>
      <c r="E9" s="108" t="s">
        <v>34</v>
      </c>
      <c r="F9" s="38">
        <v>160488.75</v>
      </c>
      <c r="G9" s="38"/>
      <c r="H9" s="38">
        <v>320977.5</v>
      </c>
      <c r="I9" s="38">
        <v>48146.63</v>
      </c>
      <c r="J9" s="38">
        <v>120366.57</v>
      </c>
      <c r="K9" s="38">
        <v>72219.94</v>
      </c>
      <c r="L9" s="38">
        <v>0</v>
      </c>
      <c r="M9" s="38">
        <v>120366.57</v>
      </c>
      <c r="N9" s="27">
        <f>250000</f>
        <v>250000</v>
      </c>
      <c r="O9" s="27"/>
      <c r="P9" s="38">
        <v>16048.88</v>
      </c>
      <c r="Q9" s="38">
        <v>25000</v>
      </c>
      <c r="R9" s="38">
        <v>25235</v>
      </c>
      <c r="S9" s="38">
        <f>R9+Q9+P9+O9+N9+M9+L9+K9+J9+I9+H9+G9+F9</f>
        <v>1158849.8399999999</v>
      </c>
      <c r="T9" s="38">
        <v>1158849.8399999999</v>
      </c>
      <c r="U9" s="38">
        <f>S9-T9</f>
        <v>0</v>
      </c>
      <c r="V9" s="38"/>
      <c r="W9" s="38">
        <v>113176.97</v>
      </c>
      <c r="X9" s="38">
        <v>113176.97</v>
      </c>
      <c r="Y9" s="38">
        <f>X9-W9</f>
        <v>0</v>
      </c>
      <c r="Z9" s="38"/>
      <c r="AA9" s="38"/>
      <c r="AB9" s="38"/>
      <c r="AC9" s="35"/>
    </row>
    <row r="10" spans="1:33" ht="20.100000000000001" customHeight="1">
      <c r="A10" s="127">
        <v>2</v>
      </c>
      <c r="B10" s="741" t="s">
        <v>154</v>
      </c>
      <c r="C10" s="742"/>
      <c r="D10" s="108" t="s">
        <v>313</v>
      </c>
      <c r="E10" s="64" t="s">
        <v>161</v>
      </c>
      <c r="F10" s="60">
        <v>81740.02</v>
      </c>
      <c r="G10" s="60"/>
      <c r="H10" s="60">
        <f>F10*300%</f>
        <v>245220.06</v>
      </c>
      <c r="I10" s="60">
        <f>F10*7.5%</f>
        <v>6130.5015000000003</v>
      </c>
      <c r="J10" s="60">
        <v>80244.38</v>
      </c>
      <c r="K10" s="60">
        <f>F10*50%</f>
        <v>40870.01</v>
      </c>
      <c r="L10" s="60">
        <f>F10*350%</f>
        <v>286090.07</v>
      </c>
      <c r="M10" s="60">
        <f>F10*100%</f>
        <v>81740.02</v>
      </c>
      <c r="N10" s="27">
        <f>200000</f>
        <v>200000</v>
      </c>
      <c r="O10" s="27"/>
      <c r="P10" s="60">
        <f>F10*10%</f>
        <v>8174.0020000000004</v>
      </c>
      <c r="Q10" s="60">
        <v>20000</v>
      </c>
      <c r="R10" s="60">
        <v>0</v>
      </c>
      <c r="S10" s="38">
        <f t="shared" ref="S10:S38" si="0">R10+Q10+P10+O10+N10+M10+L10+K10+J10+I10+H10+G10+F10</f>
        <v>1050209.0634999999</v>
      </c>
      <c r="T10" s="38">
        <v>1050209.0634999999</v>
      </c>
      <c r="U10" s="38">
        <f t="shared" ref="U10:U73" si="1">S10-T10</f>
        <v>0</v>
      </c>
      <c r="V10" s="38"/>
      <c r="W10" s="60">
        <v>52776.63</v>
      </c>
      <c r="X10" s="38">
        <v>52776.63</v>
      </c>
      <c r="Y10" s="38">
        <f t="shared" ref="Y10:Y73" si="2">X10-W10</f>
        <v>0</v>
      </c>
      <c r="Z10" s="38"/>
      <c r="AA10" s="38"/>
      <c r="AB10" s="38"/>
      <c r="AC10" s="35"/>
    </row>
    <row r="11" spans="1:33" ht="20.100000000000001" customHeight="1">
      <c r="A11" s="127">
        <v>3</v>
      </c>
      <c r="B11" s="758" t="s">
        <v>227</v>
      </c>
      <c r="C11" s="759"/>
      <c r="D11" s="47" t="s">
        <v>350</v>
      </c>
      <c r="E11" s="71" t="s">
        <v>160</v>
      </c>
      <c r="F11" s="63">
        <f>42653.17</f>
        <v>42653.17</v>
      </c>
      <c r="G11" s="91"/>
      <c r="H11" s="60">
        <f>F11*300%</f>
        <v>127959.51</v>
      </c>
      <c r="I11" s="60">
        <f>F11*7.5%</f>
        <v>3198.9877499999998</v>
      </c>
      <c r="J11" s="60">
        <v>40122.19</v>
      </c>
      <c r="K11" s="60">
        <f>F11*50%</f>
        <v>21326.584999999999</v>
      </c>
      <c r="L11" s="60">
        <f>F11*350%</f>
        <v>149286.095</v>
      </c>
      <c r="M11" s="60">
        <f>F11*100%</f>
        <v>42653.17</v>
      </c>
      <c r="N11" s="27"/>
      <c r="O11" s="27">
        <f>90000</f>
        <v>90000</v>
      </c>
      <c r="P11" s="60">
        <f>F11*10%</f>
        <v>4265.317</v>
      </c>
      <c r="Q11" s="60">
        <v>20000</v>
      </c>
      <c r="R11" s="72"/>
      <c r="S11" s="38">
        <f t="shared" si="0"/>
        <v>541465.02474999998</v>
      </c>
      <c r="T11" s="63">
        <v>541465.02474999998</v>
      </c>
      <c r="U11" s="38">
        <f t="shared" si="1"/>
        <v>0</v>
      </c>
      <c r="V11" s="63"/>
      <c r="W11" s="38">
        <v>21618.09</v>
      </c>
      <c r="X11" s="63">
        <v>21618.09</v>
      </c>
      <c r="Y11" s="38">
        <f t="shared" si="2"/>
        <v>0</v>
      </c>
      <c r="Z11" s="38"/>
      <c r="AA11" s="38"/>
      <c r="AB11" s="38"/>
      <c r="AC11" s="35"/>
    </row>
    <row r="12" spans="1:33" ht="20.100000000000001" customHeight="1">
      <c r="A12" s="127">
        <v>4</v>
      </c>
      <c r="B12" s="741" t="s">
        <v>137</v>
      </c>
      <c r="C12" s="742"/>
      <c r="D12" s="41" t="s">
        <v>299</v>
      </c>
      <c r="E12" s="127" t="s">
        <v>221</v>
      </c>
      <c r="F12" s="60">
        <f>41157.69</f>
        <v>41157.69</v>
      </c>
      <c r="G12" s="60"/>
      <c r="H12" s="60">
        <f>F12*300%</f>
        <v>123473.07</v>
      </c>
      <c r="I12" s="60">
        <f>F12*7.5%</f>
        <v>3086.8267500000002</v>
      </c>
      <c r="J12" s="60">
        <v>40122.19</v>
      </c>
      <c r="K12" s="60">
        <f>F12*50%</f>
        <v>20578.845000000001</v>
      </c>
      <c r="L12" s="60">
        <f>F12*350%</f>
        <v>144051.91500000001</v>
      </c>
      <c r="M12" s="60">
        <f>F12*100%</f>
        <v>41157.69</v>
      </c>
      <c r="N12" s="27">
        <f>180000</f>
        <v>180000</v>
      </c>
      <c r="O12" s="27"/>
      <c r="P12" s="60">
        <f>F12*10%</f>
        <v>4115.7690000000002</v>
      </c>
      <c r="Q12" s="60">
        <v>20000</v>
      </c>
      <c r="R12" s="60">
        <v>150000</v>
      </c>
      <c r="S12" s="38">
        <f t="shared" si="0"/>
        <v>767743.99575</v>
      </c>
      <c r="T12" s="38">
        <v>754023.33374999999</v>
      </c>
      <c r="U12" s="38">
        <f t="shared" si="1"/>
        <v>13720.662000000011</v>
      </c>
      <c r="V12" s="38"/>
      <c r="W12" s="60">
        <f>21618.09</f>
        <v>21618.09</v>
      </c>
      <c r="X12" s="38">
        <v>21618.09</v>
      </c>
      <c r="Y12" s="38">
        <f t="shared" si="2"/>
        <v>0</v>
      </c>
      <c r="Z12" s="38"/>
      <c r="AA12" s="38"/>
      <c r="AB12" s="38"/>
      <c r="AC12" s="35"/>
    </row>
    <row r="13" spans="1:33" ht="20.100000000000001" customHeight="1">
      <c r="A13" s="127">
        <v>5</v>
      </c>
      <c r="B13" s="758" t="s">
        <v>225</v>
      </c>
      <c r="C13" s="759"/>
      <c r="D13" s="47" t="s">
        <v>226</v>
      </c>
      <c r="E13" s="71" t="s">
        <v>221</v>
      </c>
      <c r="F13" s="63">
        <f>41157.69</f>
        <v>41157.69</v>
      </c>
      <c r="G13" s="62"/>
      <c r="H13" s="60">
        <f>F13*300%</f>
        <v>123473.07</v>
      </c>
      <c r="I13" s="60">
        <f>F13*7.5%</f>
        <v>3086.8267500000002</v>
      </c>
      <c r="J13" s="60">
        <v>40122.19</v>
      </c>
      <c r="K13" s="60">
        <f>F13*50%</f>
        <v>20578.845000000001</v>
      </c>
      <c r="L13" s="60">
        <f>F13*350%</f>
        <v>144051.91500000001</v>
      </c>
      <c r="M13" s="60">
        <f>F13*100%</f>
        <v>41157.69</v>
      </c>
      <c r="N13" s="27">
        <f>180000</f>
        <v>180000</v>
      </c>
      <c r="O13" s="27"/>
      <c r="P13" s="60">
        <f>F13*10%</f>
        <v>4115.7690000000002</v>
      </c>
      <c r="Q13" s="60">
        <v>20000</v>
      </c>
      <c r="R13" s="63">
        <f>100000</f>
        <v>100000</v>
      </c>
      <c r="S13" s="38">
        <f t="shared" si="0"/>
        <v>717743.99575</v>
      </c>
      <c r="T13" s="63">
        <v>704023.33374999999</v>
      </c>
      <c r="U13" s="38">
        <f t="shared" si="1"/>
        <v>13720.662000000011</v>
      </c>
      <c r="V13" s="63"/>
      <c r="W13" s="38">
        <f>21618.09</f>
        <v>21618.09</v>
      </c>
      <c r="X13" s="63">
        <v>21618.09</v>
      </c>
      <c r="Y13" s="38">
        <f t="shared" si="2"/>
        <v>0</v>
      </c>
      <c r="Z13" s="38"/>
      <c r="AA13" s="38"/>
      <c r="AB13" s="38"/>
      <c r="AC13" s="35"/>
    </row>
    <row r="14" spans="1:33" ht="20.100000000000001" customHeight="1">
      <c r="A14" s="127">
        <v>6</v>
      </c>
      <c r="B14" s="741" t="s">
        <v>315</v>
      </c>
      <c r="C14" s="742"/>
      <c r="D14" s="108" t="s">
        <v>316</v>
      </c>
      <c r="E14" s="127" t="s">
        <v>271</v>
      </c>
      <c r="F14" s="63">
        <f>41157.69</f>
        <v>41157.69</v>
      </c>
      <c r="G14" s="62"/>
      <c r="H14" s="60">
        <f>F14*300%</f>
        <v>123473.07</v>
      </c>
      <c r="I14" s="60">
        <f>F14*7.5%</f>
        <v>3086.8267500000002</v>
      </c>
      <c r="J14" s="60">
        <v>40122.19</v>
      </c>
      <c r="K14" s="60">
        <f>F14*50%</f>
        <v>20578.845000000001</v>
      </c>
      <c r="L14" s="60">
        <f>F14*350%</f>
        <v>144051.91500000001</v>
      </c>
      <c r="M14" s="60">
        <f>F14*100%</f>
        <v>41157.69</v>
      </c>
      <c r="N14" s="27"/>
      <c r="O14" s="27">
        <f>90000</f>
        <v>90000</v>
      </c>
      <c r="P14" s="60">
        <f>F14*10%</f>
        <v>4115.7690000000002</v>
      </c>
      <c r="Q14" s="60">
        <v>20000</v>
      </c>
      <c r="R14" s="63">
        <v>0</v>
      </c>
      <c r="S14" s="38">
        <f t="shared" si="0"/>
        <v>527743.99575</v>
      </c>
      <c r="T14" s="63">
        <v>514023.33374999999</v>
      </c>
      <c r="U14" s="38">
        <f t="shared" si="1"/>
        <v>13720.662000000011</v>
      </c>
      <c r="V14" s="63"/>
      <c r="W14" s="38">
        <f>21618.09</f>
        <v>21618.09</v>
      </c>
      <c r="X14" s="63">
        <v>21618.09</v>
      </c>
      <c r="Y14" s="38">
        <f t="shared" si="2"/>
        <v>0</v>
      </c>
      <c r="Z14" s="38"/>
      <c r="AA14" s="38"/>
      <c r="AB14" s="38"/>
      <c r="AC14" s="35"/>
    </row>
    <row r="15" spans="1:33" ht="20.100000000000001" customHeight="1">
      <c r="A15" s="127">
        <v>7</v>
      </c>
      <c r="B15" s="758" t="s">
        <v>112</v>
      </c>
      <c r="C15" s="759"/>
      <c r="D15" s="41" t="s">
        <v>339</v>
      </c>
      <c r="E15" s="40" t="s">
        <v>75</v>
      </c>
      <c r="F15" s="60">
        <v>33507.5</v>
      </c>
      <c r="G15" s="60"/>
      <c r="H15" s="60">
        <f t="shared" ref="H15:H31" si="3">F15*300%</f>
        <v>100522.5</v>
      </c>
      <c r="I15" s="60">
        <f t="shared" ref="I15:I31" si="4">F15*7.5%</f>
        <v>2513.0625</v>
      </c>
      <c r="J15" s="60">
        <v>40122.19</v>
      </c>
      <c r="K15" s="60">
        <f t="shared" ref="K15:K31" si="5">F15*50%</f>
        <v>16753.75</v>
      </c>
      <c r="L15" s="60">
        <f t="shared" ref="L15:L31" si="6">F15*350%</f>
        <v>117276.25</v>
      </c>
      <c r="M15" s="60">
        <f t="shared" ref="M15:M31" si="7">F15*100%</f>
        <v>33507.5</v>
      </c>
      <c r="N15" s="27"/>
      <c r="O15" s="27">
        <f>80000</f>
        <v>80000</v>
      </c>
      <c r="P15" s="60">
        <f t="shared" ref="P15:P31" si="8">F15*10%</f>
        <v>3350.75</v>
      </c>
      <c r="Q15" s="60">
        <v>20000</v>
      </c>
      <c r="R15" s="60">
        <f>100000</f>
        <v>100000</v>
      </c>
      <c r="S15" s="38">
        <f t="shared" si="0"/>
        <v>547553.50249999994</v>
      </c>
      <c r="T15" s="38">
        <v>547553.50249999994</v>
      </c>
      <c r="U15" s="38">
        <f t="shared" si="1"/>
        <v>0</v>
      </c>
      <c r="V15" s="38"/>
      <c r="W15" s="38">
        <v>15548.33</v>
      </c>
      <c r="X15" s="38">
        <v>15548.33</v>
      </c>
      <c r="Y15" s="38">
        <f t="shared" si="2"/>
        <v>0</v>
      </c>
      <c r="Z15" s="38"/>
      <c r="AA15" s="38"/>
      <c r="AB15" s="38"/>
      <c r="AC15" s="35"/>
    </row>
    <row r="16" spans="1:33" ht="20.100000000000001" customHeight="1">
      <c r="A16" s="127">
        <v>8</v>
      </c>
      <c r="B16" s="754" t="s">
        <v>187</v>
      </c>
      <c r="C16" s="755"/>
      <c r="D16" s="128" t="s">
        <v>188</v>
      </c>
      <c r="E16" s="29" t="s">
        <v>75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7"/>
      <c r="O16" s="27">
        <f>80000</f>
        <v>80000</v>
      </c>
      <c r="P16" s="26">
        <f>F16*10%</f>
        <v>3350.75</v>
      </c>
      <c r="Q16" s="26">
        <v>20000</v>
      </c>
      <c r="R16" s="26">
        <v>0</v>
      </c>
      <c r="S16" s="38">
        <f t="shared" si="0"/>
        <v>447553.5025</v>
      </c>
      <c r="T16" s="38">
        <v>447553.5025</v>
      </c>
      <c r="U16" s="38">
        <f t="shared" si="1"/>
        <v>0</v>
      </c>
      <c r="V16" s="26"/>
      <c r="W16" s="26">
        <v>15548.33</v>
      </c>
      <c r="X16" s="26">
        <v>15548.33</v>
      </c>
      <c r="Y16" s="38">
        <f t="shared" si="2"/>
        <v>0</v>
      </c>
      <c r="Z16" s="38"/>
      <c r="AA16" s="26"/>
      <c r="AB16" s="26"/>
      <c r="AC16" s="35"/>
    </row>
    <row r="17" spans="1:29" ht="20.100000000000001" customHeight="1">
      <c r="A17" s="127">
        <v>9</v>
      </c>
      <c r="B17" s="758" t="s">
        <v>203</v>
      </c>
      <c r="C17" s="759"/>
      <c r="D17" s="41" t="s">
        <v>214</v>
      </c>
      <c r="E17" s="127" t="s">
        <v>75</v>
      </c>
      <c r="F17" s="38">
        <f>33507.5</f>
        <v>33507.5</v>
      </c>
      <c r="G17" s="60"/>
      <c r="H17" s="60">
        <f t="shared" si="3"/>
        <v>100522.5</v>
      </c>
      <c r="I17" s="60">
        <f t="shared" si="4"/>
        <v>2513.0625</v>
      </c>
      <c r="J17" s="60">
        <v>40122.19</v>
      </c>
      <c r="K17" s="60">
        <f t="shared" si="5"/>
        <v>16753.75</v>
      </c>
      <c r="L17" s="60">
        <f t="shared" si="6"/>
        <v>117276.25</v>
      </c>
      <c r="M17" s="60">
        <f t="shared" si="7"/>
        <v>33507.5</v>
      </c>
      <c r="N17" s="27"/>
      <c r="O17" s="27">
        <f>80000</f>
        <v>80000</v>
      </c>
      <c r="P17" s="60">
        <f t="shared" si="8"/>
        <v>3350.75</v>
      </c>
      <c r="Q17" s="60">
        <v>20000</v>
      </c>
      <c r="R17" s="61">
        <v>0</v>
      </c>
      <c r="S17" s="38">
        <f t="shared" si="0"/>
        <v>447553.5025</v>
      </c>
      <c r="T17" s="38">
        <v>447553.5025</v>
      </c>
      <c r="U17" s="38">
        <f t="shared" si="1"/>
        <v>0</v>
      </c>
      <c r="V17" s="38"/>
      <c r="W17" s="38">
        <v>15548.33</v>
      </c>
      <c r="X17" s="38">
        <v>15548.33</v>
      </c>
      <c r="Y17" s="38">
        <f t="shared" si="2"/>
        <v>0</v>
      </c>
      <c r="Z17" s="38"/>
      <c r="AA17" s="38"/>
      <c r="AB17" s="38"/>
      <c r="AC17" s="35"/>
    </row>
    <row r="18" spans="1:29" ht="20.100000000000001" customHeight="1">
      <c r="A18" s="127">
        <v>10</v>
      </c>
      <c r="B18" s="748" t="s">
        <v>111</v>
      </c>
      <c r="C18" s="748"/>
      <c r="D18" s="108" t="s">
        <v>375</v>
      </c>
      <c r="E18" s="64" t="s">
        <v>75</v>
      </c>
      <c r="F18" s="60">
        <f>33507.5</f>
        <v>33507.5</v>
      </c>
      <c r="G18" s="60"/>
      <c r="H18" s="60">
        <f>F18*300%</f>
        <v>100522.5</v>
      </c>
      <c r="I18" s="60">
        <f>F18*7.5%</f>
        <v>2513.0625</v>
      </c>
      <c r="J18" s="60">
        <f>40122.19</f>
        <v>40122.19</v>
      </c>
      <c r="K18" s="60">
        <f>F18*50%</f>
        <v>16753.75</v>
      </c>
      <c r="L18" s="38">
        <f>F18*350%</f>
        <v>117276.25</v>
      </c>
      <c r="M18" s="60">
        <f>F18*100%</f>
        <v>33507.5</v>
      </c>
      <c r="N18" s="27"/>
      <c r="O18" s="27">
        <f t="shared" ref="O18:O123" si="9">80000</f>
        <v>80000</v>
      </c>
      <c r="P18" s="60">
        <f>F18*10%</f>
        <v>3350.75</v>
      </c>
      <c r="Q18" s="60">
        <v>20000</v>
      </c>
      <c r="R18" s="60">
        <v>0</v>
      </c>
      <c r="S18" s="38">
        <f>SUM(F18:R18)</f>
        <v>447553.5025</v>
      </c>
      <c r="T18" s="38">
        <v>436137.05000000005</v>
      </c>
      <c r="U18" s="38">
        <f t="shared" si="1"/>
        <v>11416.452499999956</v>
      </c>
      <c r="V18" s="38"/>
      <c r="W18" s="60">
        <f>15548.33</f>
        <v>15548.33</v>
      </c>
      <c r="X18" s="38">
        <v>15548.33</v>
      </c>
      <c r="Y18" s="38">
        <f t="shared" si="2"/>
        <v>0</v>
      </c>
      <c r="Z18" s="38"/>
      <c r="AA18" s="38"/>
      <c r="AB18" s="38"/>
      <c r="AC18" s="35"/>
    </row>
    <row r="19" spans="1:29" ht="20.100000000000001" customHeight="1">
      <c r="A19" s="127">
        <v>11</v>
      </c>
      <c r="B19" s="111" t="s">
        <v>333</v>
      </c>
      <c r="C19" s="112"/>
      <c r="D19" s="108" t="s">
        <v>387</v>
      </c>
      <c r="E19" s="12" t="s">
        <v>272</v>
      </c>
      <c r="F19" s="38">
        <v>31018.84</v>
      </c>
      <c r="G19" s="60"/>
      <c r="H19" s="60">
        <f t="shared" ref="H19" si="10">F19*300%</f>
        <v>93056.52</v>
      </c>
      <c r="I19" s="60">
        <f t="shared" ref="I19" si="11">F19*7.5%</f>
        <v>2326.413</v>
      </c>
      <c r="J19" s="60">
        <v>40122.19</v>
      </c>
      <c r="K19" s="60">
        <f t="shared" ref="K19" si="12">F19*50%</f>
        <v>15509.42</v>
      </c>
      <c r="L19" s="60">
        <f t="shared" ref="L19" si="13">F19*350%</f>
        <v>108565.94</v>
      </c>
      <c r="M19" s="60">
        <f t="shared" ref="M19" si="14">F19*100%</f>
        <v>31018.84</v>
      </c>
      <c r="N19" s="27"/>
      <c r="O19" s="27">
        <f>80000</f>
        <v>80000</v>
      </c>
      <c r="P19" s="60">
        <f t="shared" ref="P19" si="15">F19*10%</f>
        <v>3101.884</v>
      </c>
      <c r="Q19" s="60">
        <v>20000</v>
      </c>
      <c r="R19" s="61">
        <v>0</v>
      </c>
      <c r="S19" s="38">
        <f t="shared" si="0"/>
        <v>424720.04700000002</v>
      </c>
      <c r="T19" s="38">
        <v>424720.04700000002</v>
      </c>
      <c r="U19" s="38">
        <f t="shared" si="1"/>
        <v>0</v>
      </c>
      <c r="V19" s="38"/>
      <c r="W19" s="38">
        <v>15548.33</v>
      </c>
      <c r="X19" s="38">
        <v>15548.33</v>
      </c>
      <c r="Y19" s="38">
        <f t="shared" si="2"/>
        <v>0</v>
      </c>
      <c r="Z19" s="38"/>
      <c r="AA19" s="38"/>
      <c r="AB19" s="38"/>
      <c r="AC19" s="35"/>
    </row>
    <row r="20" spans="1:29" ht="20.100000000000001" customHeight="1">
      <c r="A20" s="127">
        <v>12</v>
      </c>
      <c r="B20" s="758" t="s">
        <v>220</v>
      </c>
      <c r="C20" s="759"/>
      <c r="D20" s="47" t="s">
        <v>388</v>
      </c>
      <c r="E20" s="48" t="s">
        <v>162</v>
      </c>
      <c r="F20" s="62">
        <f>26732.65</f>
        <v>26732.65</v>
      </c>
      <c r="G20" s="62"/>
      <c r="H20" s="62">
        <f t="shared" si="3"/>
        <v>80197.950000000012</v>
      </c>
      <c r="I20" s="62">
        <f t="shared" si="4"/>
        <v>2004.94875</v>
      </c>
      <c r="J20" s="62"/>
      <c r="K20" s="62">
        <f t="shared" si="5"/>
        <v>13366.325000000001</v>
      </c>
      <c r="L20" s="62">
        <f t="shared" si="6"/>
        <v>93564.275000000009</v>
      </c>
      <c r="M20" s="62">
        <f t="shared" si="7"/>
        <v>26732.65</v>
      </c>
      <c r="N20" s="27"/>
      <c r="O20" s="27">
        <f t="shared" ref="O20:O24" si="16">70000</f>
        <v>70000</v>
      </c>
      <c r="P20" s="62">
        <f t="shared" si="8"/>
        <v>2673.2650000000003</v>
      </c>
      <c r="Q20" s="62">
        <v>20000</v>
      </c>
      <c r="R20" s="62">
        <v>50000</v>
      </c>
      <c r="S20" s="38">
        <f t="shared" si="0"/>
        <v>385272.06375000003</v>
      </c>
      <c r="T20" s="63">
        <v>377211.36749999993</v>
      </c>
      <c r="U20" s="38">
        <f t="shared" si="1"/>
        <v>8060.6962500000955</v>
      </c>
      <c r="V20" s="63"/>
      <c r="W20" s="63">
        <v>7709.76</v>
      </c>
      <c r="X20" s="63">
        <v>7709.76</v>
      </c>
      <c r="Y20" s="38">
        <f t="shared" si="2"/>
        <v>0</v>
      </c>
      <c r="Z20" s="38"/>
      <c r="AA20" s="38"/>
      <c r="AB20" s="38"/>
      <c r="AC20" s="35"/>
    </row>
    <row r="21" spans="1:29" ht="19.5" customHeight="1">
      <c r="A21" s="127">
        <v>13</v>
      </c>
      <c r="B21" s="758" t="s">
        <v>144</v>
      </c>
      <c r="C21" s="759"/>
      <c r="D21" s="47" t="s">
        <v>389</v>
      </c>
      <c r="E21" s="127" t="s">
        <v>162</v>
      </c>
      <c r="F21" s="62">
        <f>26732.65</f>
        <v>26732.65</v>
      </c>
      <c r="G21" s="60"/>
      <c r="H21" s="60">
        <f t="shared" si="3"/>
        <v>80197.950000000012</v>
      </c>
      <c r="I21" s="60">
        <f t="shared" si="4"/>
        <v>2004.94875</v>
      </c>
      <c r="J21" s="60"/>
      <c r="K21" s="60">
        <f t="shared" si="5"/>
        <v>13366.325000000001</v>
      </c>
      <c r="L21" s="38">
        <f t="shared" si="6"/>
        <v>93564.275000000009</v>
      </c>
      <c r="M21" s="60">
        <f t="shared" si="7"/>
        <v>26732.65</v>
      </c>
      <c r="N21" s="27"/>
      <c r="O21" s="27">
        <f t="shared" si="16"/>
        <v>70000</v>
      </c>
      <c r="P21" s="60">
        <f t="shared" si="8"/>
        <v>2673.2650000000003</v>
      </c>
      <c r="Q21" s="60">
        <v>20000</v>
      </c>
      <c r="R21" s="60">
        <v>0</v>
      </c>
      <c r="S21" s="38">
        <f t="shared" si="0"/>
        <v>335272.06375000009</v>
      </c>
      <c r="T21" s="38">
        <v>327211.36749999993</v>
      </c>
      <c r="U21" s="38">
        <f t="shared" si="1"/>
        <v>8060.6962500001537</v>
      </c>
      <c r="V21" s="38"/>
      <c r="W21" s="38">
        <v>7709.76</v>
      </c>
      <c r="X21" s="38">
        <v>7709.76</v>
      </c>
      <c r="Y21" s="38">
        <f t="shared" si="2"/>
        <v>0</v>
      </c>
      <c r="Z21" s="38"/>
      <c r="AA21" s="38"/>
      <c r="AB21" s="38"/>
      <c r="AC21" s="35"/>
    </row>
    <row r="22" spans="1:29" ht="19.5" customHeight="1">
      <c r="A22" s="127">
        <v>14</v>
      </c>
      <c r="B22" s="758" t="s">
        <v>139</v>
      </c>
      <c r="C22" s="759"/>
      <c r="D22" s="41" t="s">
        <v>386</v>
      </c>
      <c r="E22" s="127" t="s">
        <v>162</v>
      </c>
      <c r="F22" s="62">
        <f>26732.65</f>
        <v>26732.65</v>
      </c>
      <c r="G22" s="60"/>
      <c r="H22" s="60">
        <f>F22*300%</f>
        <v>80197.950000000012</v>
      </c>
      <c r="I22" s="60">
        <f>F22*7.5%</f>
        <v>2004.94875</v>
      </c>
      <c r="J22" s="60"/>
      <c r="K22" s="60">
        <f t="shared" si="5"/>
        <v>13366.325000000001</v>
      </c>
      <c r="L22" s="38">
        <f>F22*350%</f>
        <v>93564.275000000009</v>
      </c>
      <c r="M22" s="60">
        <f>F22*100%</f>
        <v>26732.65</v>
      </c>
      <c r="N22" s="27">
        <f>140000</f>
        <v>140000</v>
      </c>
      <c r="O22" s="27"/>
      <c r="P22" s="60">
        <f>F22*10%</f>
        <v>2673.2650000000003</v>
      </c>
      <c r="Q22" s="60">
        <v>20000</v>
      </c>
      <c r="R22" s="60">
        <f>50000+100000</f>
        <v>150000</v>
      </c>
      <c r="S22" s="38">
        <f t="shared" si="0"/>
        <v>555272.06375000009</v>
      </c>
      <c r="T22" s="38">
        <v>547211.36749999993</v>
      </c>
      <c r="U22" s="38">
        <f t="shared" si="1"/>
        <v>8060.6962500001537</v>
      </c>
      <c r="V22" s="38"/>
      <c r="W22" s="38">
        <f t="shared" ref="W22:W103" si="17">7709.76</f>
        <v>7709.76</v>
      </c>
      <c r="X22" s="38">
        <v>7709.76</v>
      </c>
      <c r="Y22" s="38">
        <f t="shared" si="2"/>
        <v>0</v>
      </c>
      <c r="Z22" s="38"/>
      <c r="AA22" s="38"/>
      <c r="AB22" s="38"/>
      <c r="AC22" s="35"/>
    </row>
    <row r="23" spans="1:29" ht="20.100000000000001" customHeight="1">
      <c r="A23" s="127">
        <v>15</v>
      </c>
      <c r="B23" s="741" t="s">
        <v>18</v>
      </c>
      <c r="C23" s="742"/>
      <c r="D23" s="47" t="s">
        <v>390</v>
      </c>
      <c r="E23" s="64" t="s">
        <v>175</v>
      </c>
      <c r="F23" s="60">
        <f>26339.3</f>
        <v>26339.3</v>
      </c>
      <c r="G23" s="60"/>
      <c r="H23" s="60">
        <f t="shared" si="3"/>
        <v>79017.899999999994</v>
      </c>
      <c r="I23" s="60">
        <f t="shared" si="4"/>
        <v>1975.4474999999998</v>
      </c>
      <c r="J23" s="38">
        <v>0</v>
      </c>
      <c r="K23" s="60">
        <f t="shared" si="5"/>
        <v>13169.65</v>
      </c>
      <c r="L23" s="38">
        <f t="shared" si="6"/>
        <v>92187.55</v>
      </c>
      <c r="M23" s="60">
        <f t="shared" si="7"/>
        <v>26339.3</v>
      </c>
      <c r="N23" s="27"/>
      <c r="O23" s="27">
        <f t="shared" si="16"/>
        <v>70000</v>
      </c>
      <c r="P23" s="60">
        <f t="shared" si="8"/>
        <v>2633.9300000000003</v>
      </c>
      <c r="Q23" s="60">
        <v>15000</v>
      </c>
      <c r="R23" s="60">
        <f>0</f>
        <v>0</v>
      </c>
      <c r="S23" s="38">
        <f t="shared" si="0"/>
        <v>326663.07749999996</v>
      </c>
      <c r="T23" s="38">
        <v>326663.07749999996</v>
      </c>
      <c r="U23" s="38">
        <f t="shared" si="1"/>
        <v>0</v>
      </c>
      <c r="V23" s="38"/>
      <c r="W23" s="60">
        <f>7709.76</f>
        <v>7709.76</v>
      </c>
      <c r="X23" s="38">
        <v>7709.76</v>
      </c>
      <c r="Y23" s="38">
        <f t="shared" si="2"/>
        <v>0</v>
      </c>
      <c r="Z23" s="38"/>
      <c r="AA23" s="38"/>
      <c r="AB23" s="38"/>
      <c r="AC23" s="35"/>
    </row>
    <row r="24" spans="1:29" ht="20.100000000000001" customHeight="1">
      <c r="A24" s="127">
        <v>16</v>
      </c>
      <c r="B24" s="758" t="s">
        <v>317</v>
      </c>
      <c r="C24" s="759"/>
      <c r="D24" s="41" t="s">
        <v>318</v>
      </c>
      <c r="E24" s="64" t="s">
        <v>273</v>
      </c>
      <c r="F24" s="60">
        <f>23074.99</f>
        <v>23074.99</v>
      </c>
      <c r="G24" s="60"/>
      <c r="H24" s="60">
        <f t="shared" si="3"/>
        <v>69224.97</v>
      </c>
      <c r="I24" s="60">
        <f t="shared" si="4"/>
        <v>1730.6242500000001</v>
      </c>
      <c r="J24" s="38">
        <f>265272</f>
        <v>265272</v>
      </c>
      <c r="K24" s="60">
        <f t="shared" si="5"/>
        <v>11537.495000000001</v>
      </c>
      <c r="L24" s="38">
        <f t="shared" si="6"/>
        <v>80762.465000000011</v>
      </c>
      <c r="M24" s="60">
        <f t="shared" si="7"/>
        <v>23074.99</v>
      </c>
      <c r="N24" s="27"/>
      <c r="O24" s="27">
        <f t="shared" si="16"/>
        <v>70000</v>
      </c>
      <c r="P24" s="60">
        <f t="shared" si="8"/>
        <v>2307.4990000000003</v>
      </c>
      <c r="Q24" s="60">
        <v>15000</v>
      </c>
      <c r="R24" s="60">
        <f>100000+100000</f>
        <v>200000</v>
      </c>
      <c r="S24" s="38">
        <f t="shared" si="0"/>
        <v>761985.03324999998</v>
      </c>
      <c r="T24" s="38">
        <v>761985.03324999998</v>
      </c>
      <c r="U24" s="38">
        <f t="shared" si="1"/>
        <v>0</v>
      </c>
      <c r="V24" s="38"/>
      <c r="W24" s="60">
        <f>7709.76</f>
        <v>7709.76</v>
      </c>
      <c r="X24" s="38">
        <v>7709.76</v>
      </c>
      <c r="Y24" s="38">
        <f t="shared" si="2"/>
        <v>0</v>
      </c>
      <c r="Z24" s="38"/>
      <c r="AA24" s="38"/>
      <c r="AB24" s="38"/>
      <c r="AC24" s="35"/>
    </row>
    <row r="25" spans="1:29" ht="20.100000000000001" customHeight="1">
      <c r="A25" s="127">
        <v>17</v>
      </c>
      <c r="B25" s="741" t="s">
        <v>334</v>
      </c>
      <c r="C25" s="742"/>
      <c r="D25" s="108" t="s">
        <v>351</v>
      </c>
      <c r="E25" s="64" t="s">
        <v>149</v>
      </c>
      <c r="F25" s="60">
        <f>23891.12</f>
        <v>23891.119999999999</v>
      </c>
      <c r="G25" s="60"/>
      <c r="H25" s="60">
        <f>F25*300%</f>
        <v>71673.36</v>
      </c>
      <c r="I25" s="60">
        <f>F25*7.5%</f>
        <v>1791.8339999999998</v>
      </c>
      <c r="J25" s="60">
        <v>0</v>
      </c>
      <c r="K25" s="60">
        <f t="shared" si="5"/>
        <v>11945.56</v>
      </c>
      <c r="L25" s="38">
        <f>F25*350%</f>
        <v>83618.92</v>
      </c>
      <c r="M25" s="60">
        <f>F25*100%</f>
        <v>23891.119999999999</v>
      </c>
      <c r="N25" s="27">
        <f>120000</f>
        <v>120000</v>
      </c>
      <c r="O25" s="27"/>
      <c r="P25" s="60">
        <f>F25*10%</f>
        <v>2389.1120000000001</v>
      </c>
      <c r="Q25" s="60">
        <v>15000</v>
      </c>
      <c r="R25" s="60">
        <v>0</v>
      </c>
      <c r="S25" s="38">
        <f t="shared" si="0"/>
        <v>354201.02600000001</v>
      </c>
      <c r="T25" s="38">
        <v>346713.03324999998</v>
      </c>
      <c r="U25" s="38">
        <f t="shared" si="1"/>
        <v>7487.992750000034</v>
      </c>
      <c r="V25" s="38"/>
      <c r="W25" s="60">
        <f t="shared" ref="W25:W98" si="18">7709.76</f>
        <v>7709.76</v>
      </c>
      <c r="X25" s="38">
        <v>7709.76</v>
      </c>
      <c r="Y25" s="38">
        <f t="shared" si="2"/>
        <v>0</v>
      </c>
      <c r="Z25" s="38"/>
      <c r="AA25" s="38"/>
      <c r="AB25" s="38"/>
      <c r="AC25" s="35"/>
    </row>
    <row r="26" spans="1:29" ht="20.100000000000001" customHeight="1">
      <c r="A26" s="127">
        <v>18</v>
      </c>
      <c r="B26" s="741" t="s">
        <v>253</v>
      </c>
      <c r="C26" s="742"/>
      <c r="D26" s="108" t="s">
        <v>252</v>
      </c>
      <c r="E26" s="64" t="s">
        <v>27</v>
      </c>
      <c r="F26" s="60">
        <f>18779.3</f>
        <v>18779.3</v>
      </c>
      <c r="G26" s="60"/>
      <c r="H26" s="60">
        <f t="shared" si="3"/>
        <v>56337.899999999994</v>
      </c>
      <c r="I26" s="60">
        <f t="shared" si="4"/>
        <v>1408.4475</v>
      </c>
      <c r="J26" s="38"/>
      <c r="K26" s="60">
        <f t="shared" si="5"/>
        <v>9389.65</v>
      </c>
      <c r="L26" s="38">
        <f t="shared" si="6"/>
        <v>65727.55</v>
      </c>
      <c r="M26" s="60">
        <f t="shared" si="7"/>
        <v>18779.3</v>
      </c>
      <c r="N26" s="27"/>
      <c r="O26" s="27">
        <f>60000</f>
        <v>60000</v>
      </c>
      <c r="P26" s="60">
        <f t="shared" si="8"/>
        <v>1877.93</v>
      </c>
      <c r="Q26" s="60">
        <v>10000</v>
      </c>
      <c r="R26" s="60"/>
      <c r="S26" s="38">
        <f t="shared" si="0"/>
        <v>242300.07749999998</v>
      </c>
      <c r="T26" s="38">
        <v>237734.04700000002</v>
      </c>
      <c r="U26" s="38">
        <f t="shared" si="1"/>
        <v>4566.0304999999644</v>
      </c>
      <c r="V26" s="38"/>
      <c r="W26" s="60">
        <v>3369.51</v>
      </c>
      <c r="X26" s="38">
        <v>3369.51</v>
      </c>
      <c r="Y26" s="38">
        <f t="shared" si="2"/>
        <v>0</v>
      </c>
      <c r="Z26" s="38"/>
      <c r="AA26" s="38"/>
      <c r="AB26" s="38"/>
      <c r="AC26" s="35"/>
    </row>
    <row r="27" spans="1:29" ht="18.75" customHeight="1">
      <c r="A27" s="127">
        <v>19</v>
      </c>
      <c r="B27" s="741" t="s">
        <v>141</v>
      </c>
      <c r="C27" s="742"/>
      <c r="D27" s="108" t="s">
        <v>391</v>
      </c>
      <c r="E27" s="64" t="s">
        <v>415</v>
      </c>
      <c r="F27" s="60">
        <f>21520.88</f>
        <v>21520.880000000001</v>
      </c>
      <c r="G27" s="60"/>
      <c r="H27" s="60">
        <f t="shared" si="3"/>
        <v>64562.64</v>
      </c>
      <c r="I27" s="60">
        <f t="shared" si="4"/>
        <v>1614.066</v>
      </c>
      <c r="J27" s="38"/>
      <c r="K27" s="60">
        <f t="shared" si="5"/>
        <v>10760.44</v>
      </c>
      <c r="L27" s="38">
        <f t="shared" si="6"/>
        <v>75323.08</v>
      </c>
      <c r="M27" s="60">
        <f t="shared" si="7"/>
        <v>21520.880000000001</v>
      </c>
      <c r="N27" s="27"/>
      <c r="O27" s="27">
        <f>60000</f>
        <v>60000</v>
      </c>
      <c r="P27" s="60">
        <f t="shared" si="8"/>
        <v>2152.0880000000002</v>
      </c>
      <c r="Q27" s="60">
        <v>15000</v>
      </c>
      <c r="R27" s="60"/>
      <c r="S27" s="38">
        <f t="shared" si="0"/>
        <v>272454.07400000002</v>
      </c>
      <c r="T27" s="38">
        <v>265372.07499999995</v>
      </c>
      <c r="U27" s="38">
        <f t="shared" si="1"/>
        <v>7081.9990000000689</v>
      </c>
      <c r="V27" s="38"/>
      <c r="W27" s="60">
        <v>3369.51</v>
      </c>
      <c r="X27" s="38">
        <v>3369.51</v>
      </c>
      <c r="Y27" s="38">
        <f t="shared" si="2"/>
        <v>0</v>
      </c>
      <c r="Z27" s="38"/>
      <c r="AA27" s="38"/>
      <c r="AB27" s="38"/>
      <c r="AC27" s="35"/>
    </row>
    <row r="28" spans="1:29" ht="18.75" customHeight="1">
      <c r="A28" s="127">
        <v>20</v>
      </c>
      <c r="B28" s="111" t="s">
        <v>291</v>
      </c>
      <c r="C28" s="112"/>
      <c r="D28" s="41" t="s">
        <v>346</v>
      </c>
      <c r="E28" s="64" t="s">
        <v>164</v>
      </c>
      <c r="F28" s="26">
        <f>18281.64</f>
        <v>18281.64</v>
      </c>
      <c r="G28" s="26"/>
      <c r="H28" s="26">
        <f>F28*300%</f>
        <v>54844.92</v>
      </c>
      <c r="I28" s="26">
        <f>F28*7.5%</f>
        <v>1371.1229999999998</v>
      </c>
      <c r="J28" s="26"/>
      <c r="K28" s="26">
        <f t="shared" si="5"/>
        <v>9140.82</v>
      </c>
      <c r="L28" s="26">
        <f>F28*350%</f>
        <v>63985.74</v>
      </c>
      <c r="M28" s="26">
        <f>F28*100%</f>
        <v>18281.64</v>
      </c>
      <c r="N28" s="27">
        <f>100000</f>
        <v>100000</v>
      </c>
      <c r="O28" s="27"/>
      <c r="P28" s="26">
        <f>F28*10%</f>
        <v>1828.164</v>
      </c>
      <c r="Q28" s="26">
        <v>10000</v>
      </c>
      <c r="R28" s="26">
        <f>100000</f>
        <v>100000</v>
      </c>
      <c r="S28" s="38">
        <f t="shared" si="0"/>
        <v>377734.04700000002</v>
      </c>
      <c r="T28" s="38">
        <v>373168.2</v>
      </c>
      <c r="U28" s="38">
        <f t="shared" si="1"/>
        <v>4565.8470000000088</v>
      </c>
      <c r="V28" s="26"/>
      <c r="W28" s="26">
        <v>3369.51</v>
      </c>
      <c r="X28" s="26">
        <v>3369.51</v>
      </c>
      <c r="Y28" s="38">
        <f t="shared" si="2"/>
        <v>0</v>
      </c>
      <c r="Z28" s="38"/>
      <c r="AA28" s="26"/>
      <c r="AB28" s="26"/>
      <c r="AC28" s="35"/>
    </row>
    <row r="29" spans="1:29" ht="18.75" customHeight="1">
      <c r="A29" s="127">
        <v>21</v>
      </c>
      <c r="B29" s="111" t="s">
        <v>254</v>
      </c>
      <c r="C29" s="112"/>
      <c r="D29" s="108" t="s">
        <v>17</v>
      </c>
      <c r="E29" s="64" t="s">
        <v>411</v>
      </c>
      <c r="F29" s="65">
        <f>13492.21</f>
        <v>13492.21</v>
      </c>
      <c r="G29" s="60"/>
      <c r="H29" s="60">
        <f t="shared" si="3"/>
        <v>40476.629999999997</v>
      </c>
      <c r="I29" s="60">
        <f t="shared" si="4"/>
        <v>1011.9157499999999</v>
      </c>
      <c r="J29" s="60"/>
      <c r="K29" s="60">
        <f t="shared" si="5"/>
        <v>6746.1049999999996</v>
      </c>
      <c r="L29" s="38">
        <f t="shared" si="6"/>
        <v>47222.735000000001</v>
      </c>
      <c r="M29" s="60">
        <f t="shared" si="7"/>
        <v>13492.21</v>
      </c>
      <c r="N29" s="27"/>
      <c r="O29" s="27">
        <f>50000</f>
        <v>50000</v>
      </c>
      <c r="P29" s="60">
        <f t="shared" si="8"/>
        <v>1349.221</v>
      </c>
      <c r="Q29" s="60">
        <v>10000</v>
      </c>
      <c r="R29" s="60"/>
      <c r="S29" s="38">
        <f t="shared" si="0"/>
        <v>183791.02674999999</v>
      </c>
      <c r="T29" s="38">
        <v>180304.068</v>
      </c>
      <c r="U29" s="38">
        <f t="shared" si="1"/>
        <v>3486.9587499999907</v>
      </c>
      <c r="V29" s="38"/>
      <c r="W29" s="60">
        <v>1484.37</v>
      </c>
      <c r="X29" s="38">
        <v>1484.37</v>
      </c>
      <c r="Y29" s="38">
        <f t="shared" si="2"/>
        <v>0</v>
      </c>
      <c r="Z29" s="38"/>
      <c r="AA29" s="38"/>
      <c r="AB29" s="38"/>
      <c r="AC29" s="35"/>
    </row>
    <row r="30" spans="1:29" ht="18.75" customHeight="1">
      <c r="A30" s="127">
        <v>22</v>
      </c>
      <c r="B30" s="111" t="s">
        <v>274</v>
      </c>
      <c r="C30" s="112"/>
      <c r="D30" s="108" t="s">
        <v>314</v>
      </c>
      <c r="E30" s="64" t="s">
        <v>105</v>
      </c>
      <c r="F30" s="26">
        <f>12351.94</f>
        <v>12351.94</v>
      </c>
      <c r="G30" s="26"/>
      <c r="H30" s="26">
        <f t="shared" si="3"/>
        <v>37055.82</v>
      </c>
      <c r="I30" s="26">
        <f t="shared" si="4"/>
        <v>926.39549999999997</v>
      </c>
      <c r="J30" s="26"/>
      <c r="K30" s="26">
        <f t="shared" si="5"/>
        <v>6175.97</v>
      </c>
      <c r="L30" s="26">
        <f t="shared" si="6"/>
        <v>43231.79</v>
      </c>
      <c r="M30" s="26">
        <f t="shared" si="7"/>
        <v>12351.94</v>
      </c>
      <c r="N30" s="27"/>
      <c r="O30" s="27">
        <f>50000</f>
        <v>50000</v>
      </c>
      <c r="P30" s="26">
        <f t="shared" si="8"/>
        <v>1235.1940000000002</v>
      </c>
      <c r="Q30" s="26">
        <v>10000</v>
      </c>
      <c r="R30" s="26"/>
      <c r="S30" s="38">
        <f t="shared" si="0"/>
        <v>173329.04949999999</v>
      </c>
      <c r="T30" s="38">
        <v>173329.04949999999</v>
      </c>
      <c r="U30" s="38">
        <f t="shared" si="1"/>
        <v>0</v>
      </c>
      <c r="V30" s="26"/>
      <c r="W30" s="27">
        <f t="shared" ref="W30:W31" si="19">1484.37</f>
        <v>1484.37</v>
      </c>
      <c r="X30" s="26">
        <v>1484.37</v>
      </c>
      <c r="Y30" s="38">
        <f t="shared" si="2"/>
        <v>0</v>
      </c>
      <c r="Z30" s="38"/>
      <c r="AA30" s="26"/>
      <c r="AB30" s="26"/>
      <c r="AC30" s="35"/>
    </row>
    <row r="31" spans="1:29" ht="18.75" customHeight="1">
      <c r="A31" s="127">
        <v>23</v>
      </c>
      <c r="B31" s="111" t="s">
        <v>275</v>
      </c>
      <c r="C31" s="112"/>
      <c r="D31" s="108" t="s">
        <v>314</v>
      </c>
      <c r="E31" s="64" t="s">
        <v>207</v>
      </c>
      <c r="F31" s="26">
        <f>17784.1</f>
        <v>17784.099999999999</v>
      </c>
      <c r="G31" s="26"/>
      <c r="H31" s="26">
        <f t="shared" si="3"/>
        <v>53352.299999999996</v>
      </c>
      <c r="I31" s="26">
        <f t="shared" si="4"/>
        <v>1333.8074999999999</v>
      </c>
      <c r="J31" s="26"/>
      <c r="K31" s="26">
        <f t="shared" si="5"/>
        <v>8892.0499999999993</v>
      </c>
      <c r="L31" s="26">
        <f t="shared" si="6"/>
        <v>62244.349999999991</v>
      </c>
      <c r="M31" s="26">
        <f t="shared" si="7"/>
        <v>17784.099999999999</v>
      </c>
      <c r="N31" s="27"/>
      <c r="O31" s="27">
        <f>60000</f>
        <v>60000</v>
      </c>
      <c r="P31" s="26">
        <f t="shared" si="8"/>
        <v>1778.4099999999999</v>
      </c>
      <c r="Q31" s="26">
        <v>10000</v>
      </c>
      <c r="R31" s="26"/>
      <c r="S31" s="38">
        <f t="shared" si="0"/>
        <v>233169.11749999996</v>
      </c>
      <c r="T31" s="38">
        <v>228602.07775000005</v>
      </c>
      <c r="U31" s="38">
        <f t="shared" si="1"/>
        <v>4567.039749999909</v>
      </c>
      <c r="V31" s="26"/>
      <c r="W31" s="27">
        <f t="shared" si="19"/>
        <v>1484.37</v>
      </c>
      <c r="X31" s="26">
        <v>1484.37</v>
      </c>
      <c r="Y31" s="38">
        <f t="shared" si="2"/>
        <v>0</v>
      </c>
      <c r="Z31" s="38"/>
      <c r="AA31" s="26"/>
      <c r="AB31" s="26"/>
      <c r="AC31" s="35"/>
    </row>
    <row r="32" spans="1:29" ht="18.75" customHeight="1">
      <c r="A32" s="127">
        <v>24</v>
      </c>
      <c r="B32" s="748" t="s">
        <v>26</v>
      </c>
      <c r="C32" s="748"/>
      <c r="D32" s="41" t="s">
        <v>296</v>
      </c>
      <c r="E32" s="64" t="s">
        <v>163</v>
      </c>
      <c r="F32" s="60">
        <f>24741.26</f>
        <v>24741.26</v>
      </c>
      <c r="G32" s="60"/>
      <c r="H32" s="60">
        <f>F32*300%</f>
        <v>74223.78</v>
      </c>
      <c r="I32" s="60">
        <f>F32*7.5%</f>
        <v>1855.5944999999997</v>
      </c>
      <c r="J32" s="60">
        <v>0</v>
      </c>
      <c r="K32" s="60">
        <f>F32*50%</f>
        <v>12370.63</v>
      </c>
      <c r="L32" s="38">
        <f>F32*350%</f>
        <v>86594.409999999989</v>
      </c>
      <c r="M32" s="60">
        <f>F32*100%</f>
        <v>24741.26</v>
      </c>
      <c r="N32" s="27"/>
      <c r="O32" s="27">
        <f>70000</f>
        <v>70000</v>
      </c>
      <c r="P32" s="60">
        <f>F32*10%</f>
        <v>2474.1260000000002</v>
      </c>
      <c r="Q32" s="60">
        <v>15000</v>
      </c>
      <c r="R32" s="60">
        <v>0</v>
      </c>
      <c r="S32" s="38">
        <f t="shared" si="0"/>
        <v>312001.06050000002</v>
      </c>
      <c r="T32" s="38">
        <v>304201.02600000001</v>
      </c>
      <c r="U32" s="38">
        <f t="shared" si="1"/>
        <v>7800.0345000000088</v>
      </c>
      <c r="V32" s="38"/>
      <c r="W32" s="60">
        <f>7709.76</f>
        <v>7709.76</v>
      </c>
      <c r="X32" s="38">
        <v>7709.76</v>
      </c>
      <c r="Y32" s="38">
        <f t="shared" si="2"/>
        <v>0</v>
      </c>
      <c r="Z32" s="38"/>
      <c r="AA32" s="38"/>
      <c r="AB32" s="38"/>
      <c r="AC32" s="35"/>
    </row>
    <row r="33" spans="1:29" ht="18.75" customHeight="1">
      <c r="A33" s="127">
        <v>25</v>
      </c>
      <c r="B33" s="741" t="s">
        <v>247</v>
      </c>
      <c r="C33" s="742"/>
      <c r="D33" s="41" t="s">
        <v>168</v>
      </c>
      <c r="E33" s="64" t="s">
        <v>27</v>
      </c>
      <c r="F33" s="60">
        <f>18779.3</f>
        <v>18779.3</v>
      </c>
      <c r="G33" s="60"/>
      <c r="H33" s="60">
        <f>F33*300%</f>
        <v>56337.899999999994</v>
      </c>
      <c r="I33" s="60">
        <f>F33*7.5%</f>
        <v>1408.4475</v>
      </c>
      <c r="J33" s="60"/>
      <c r="K33" s="60">
        <f>F33*50%</f>
        <v>9389.65</v>
      </c>
      <c r="L33" s="38">
        <f>F33*350%</f>
        <v>65727.55</v>
      </c>
      <c r="M33" s="60">
        <f>F33*100%</f>
        <v>18779.3</v>
      </c>
      <c r="N33" s="27"/>
      <c r="O33" s="27">
        <f>60000</f>
        <v>60000</v>
      </c>
      <c r="P33" s="60">
        <f>F33*10%</f>
        <v>1877.93</v>
      </c>
      <c r="Q33" s="60">
        <v>10000</v>
      </c>
      <c r="R33" s="60"/>
      <c r="S33" s="38">
        <f t="shared" si="0"/>
        <v>242300.07749999998</v>
      </c>
      <c r="T33" s="38">
        <v>237734.04700000002</v>
      </c>
      <c r="U33" s="38">
        <f t="shared" si="1"/>
        <v>4566.0304999999644</v>
      </c>
      <c r="V33" s="38"/>
      <c r="W33" s="60">
        <v>3369.51</v>
      </c>
      <c r="X33" s="38">
        <v>3369.51</v>
      </c>
      <c r="Y33" s="38">
        <f t="shared" si="2"/>
        <v>0</v>
      </c>
      <c r="Z33" s="38"/>
      <c r="AA33" s="38"/>
      <c r="AB33" s="38"/>
      <c r="AC33" s="35"/>
    </row>
    <row r="34" spans="1:29" ht="18.75" customHeight="1">
      <c r="A34" s="127">
        <v>26</v>
      </c>
      <c r="B34" s="111" t="s">
        <v>293</v>
      </c>
      <c r="C34" s="112"/>
      <c r="D34" s="41" t="s">
        <v>294</v>
      </c>
      <c r="E34" s="64" t="s">
        <v>164</v>
      </c>
      <c r="F34" s="26">
        <f>18281.64</f>
        <v>18281.64</v>
      </c>
      <c r="G34" s="26"/>
      <c r="H34" s="26">
        <f>F34*300%</f>
        <v>54844.92</v>
      </c>
      <c r="I34" s="26">
        <f>F34*7.5%</f>
        <v>1371.1229999999998</v>
      </c>
      <c r="J34" s="26"/>
      <c r="K34" s="26">
        <f>F34*50%</f>
        <v>9140.82</v>
      </c>
      <c r="L34" s="26">
        <f>F34*350%</f>
        <v>63985.74</v>
      </c>
      <c r="M34" s="26">
        <f>F34*100%</f>
        <v>18281.64</v>
      </c>
      <c r="N34" s="27"/>
      <c r="O34" s="27">
        <v>60000</v>
      </c>
      <c r="P34" s="26">
        <f>F34*10%</f>
        <v>1828.164</v>
      </c>
      <c r="Q34" s="26">
        <v>10000</v>
      </c>
      <c r="R34" s="26"/>
      <c r="S34" s="38">
        <f t="shared" si="0"/>
        <v>237734.04700000002</v>
      </c>
      <c r="T34" s="38">
        <v>233168.19999999998</v>
      </c>
      <c r="U34" s="38">
        <f t="shared" si="1"/>
        <v>4565.847000000038</v>
      </c>
      <c r="V34" s="38"/>
      <c r="W34" s="60">
        <v>3369.51</v>
      </c>
      <c r="X34" s="38">
        <v>3369.51</v>
      </c>
      <c r="Y34" s="38">
        <f t="shared" si="2"/>
        <v>0</v>
      </c>
      <c r="Z34" s="38"/>
      <c r="AA34" s="38"/>
      <c r="AB34" s="38"/>
      <c r="AC34" s="35"/>
    </row>
    <row r="35" spans="1:29" ht="18.75" customHeight="1">
      <c r="A35" s="127">
        <v>27</v>
      </c>
      <c r="B35" s="741" t="s">
        <v>248</v>
      </c>
      <c r="C35" s="742"/>
      <c r="D35" s="108" t="s">
        <v>249</v>
      </c>
      <c r="E35" s="64" t="s">
        <v>267</v>
      </c>
      <c r="F35" s="65">
        <f>13492.21</f>
        <v>13492.21</v>
      </c>
      <c r="G35" s="60"/>
      <c r="H35" s="60">
        <f t="shared" ref="H35:H36" si="20">F35*300%</f>
        <v>40476.629999999997</v>
      </c>
      <c r="I35" s="60">
        <f t="shared" ref="I35:I36" si="21">F35*7.5%</f>
        <v>1011.9157499999999</v>
      </c>
      <c r="J35" s="60"/>
      <c r="K35" s="60">
        <f t="shared" ref="K35:K36" si="22">F35*50%</f>
        <v>6746.1049999999996</v>
      </c>
      <c r="L35" s="38">
        <f t="shared" ref="L35:L36" si="23">F35*350%</f>
        <v>47222.735000000001</v>
      </c>
      <c r="M35" s="60">
        <f t="shared" ref="M35" si="24">F35*100%</f>
        <v>13492.21</v>
      </c>
      <c r="N35" s="27"/>
      <c r="O35" s="27">
        <f>50000</f>
        <v>50000</v>
      </c>
      <c r="P35" s="60">
        <f t="shared" ref="P35" si="25">F35*10%</f>
        <v>1349.221</v>
      </c>
      <c r="Q35" s="60">
        <v>10000</v>
      </c>
      <c r="R35" s="60"/>
      <c r="S35" s="38">
        <f t="shared" ref="S35:S36" si="26">SUM(F35:R35)</f>
        <v>183791.02674999999</v>
      </c>
      <c r="T35" s="38">
        <v>180304.068</v>
      </c>
      <c r="U35" s="38">
        <f t="shared" si="1"/>
        <v>3486.9587499999907</v>
      </c>
      <c r="V35" s="38"/>
      <c r="W35" s="60">
        <v>1484.37</v>
      </c>
      <c r="X35" s="38">
        <v>1484.37</v>
      </c>
      <c r="Y35" s="38">
        <f t="shared" si="2"/>
        <v>0</v>
      </c>
      <c r="Z35" s="38"/>
      <c r="AA35" s="38"/>
      <c r="AB35" s="38"/>
      <c r="AC35" s="35"/>
    </row>
    <row r="36" spans="1:29" ht="18.75" customHeight="1">
      <c r="A36" s="127">
        <v>28</v>
      </c>
      <c r="B36" s="111" t="s">
        <v>288</v>
      </c>
      <c r="C36" s="112"/>
      <c r="D36" s="108" t="s">
        <v>249</v>
      </c>
      <c r="E36" s="64" t="s">
        <v>295</v>
      </c>
      <c r="F36" s="65">
        <f>13112.16</f>
        <v>13112.16</v>
      </c>
      <c r="G36" s="60"/>
      <c r="H36" s="60">
        <f t="shared" si="20"/>
        <v>39336.479999999996</v>
      </c>
      <c r="I36" s="60">
        <f t="shared" si="21"/>
        <v>983.41199999999992</v>
      </c>
      <c r="J36" s="60"/>
      <c r="K36" s="60">
        <f t="shared" si="22"/>
        <v>6556.08</v>
      </c>
      <c r="L36" s="38">
        <f t="shared" si="23"/>
        <v>45892.56</v>
      </c>
      <c r="M36" s="60">
        <f>F36*100%</f>
        <v>13112.16</v>
      </c>
      <c r="N36" s="27"/>
      <c r="O36" s="27">
        <f>50000</f>
        <v>50000</v>
      </c>
      <c r="P36" s="60">
        <f>F36*10%</f>
        <v>1311.2160000000001</v>
      </c>
      <c r="Q36" s="60">
        <v>10000</v>
      </c>
      <c r="S36" s="60">
        <f t="shared" si="26"/>
        <v>180304.068</v>
      </c>
      <c r="T36" s="60">
        <v>176816.1</v>
      </c>
      <c r="U36" s="38">
        <f t="shared" si="1"/>
        <v>3487.9679999999935</v>
      </c>
      <c r="V36" s="38"/>
      <c r="W36" s="60">
        <f>(1484.37)</f>
        <v>1484.37</v>
      </c>
      <c r="X36" s="38">
        <v>1484.37</v>
      </c>
      <c r="Y36" s="38">
        <f t="shared" si="2"/>
        <v>0</v>
      </c>
      <c r="Z36" s="38"/>
      <c r="AA36" s="38"/>
      <c r="AB36" s="38"/>
      <c r="AC36" s="35"/>
    </row>
    <row r="37" spans="1:29" ht="18.75" customHeight="1">
      <c r="A37" s="127">
        <v>29</v>
      </c>
      <c r="B37" s="754" t="s">
        <v>345</v>
      </c>
      <c r="C37" s="755"/>
      <c r="D37" s="128" t="s">
        <v>319</v>
      </c>
      <c r="E37" s="64" t="s">
        <v>51</v>
      </c>
      <c r="F37" s="26">
        <f>13112.16</f>
        <v>13112.16</v>
      </c>
      <c r="G37" s="26"/>
      <c r="H37" s="26">
        <f>F37*300%</f>
        <v>39336.479999999996</v>
      </c>
      <c r="I37" s="26">
        <f>F37*7.5%</f>
        <v>983.41199999999992</v>
      </c>
      <c r="J37" s="26"/>
      <c r="K37" s="26">
        <f>F37*50%</f>
        <v>6556.08</v>
      </c>
      <c r="L37" s="26">
        <f>F37*350%</f>
        <v>45892.56</v>
      </c>
      <c r="M37" s="26">
        <f>F37*100%</f>
        <v>13112.16</v>
      </c>
      <c r="N37" s="27"/>
      <c r="O37" s="27">
        <f>50000</f>
        <v>50000</v>
      </c>
      <c r="P37" s="26">
        <f>F37*10%</f>
        <v>1311.2160000000001</v>
      </c>
      <c r="Q37" s="26">
        <v>10000</v>
      </c>
      <c r="R37" s="26"/>
      <c r="S37" s="38">
        <f t="shared" si="0"/>
        <v>180304.068</v>
      </c>
      <c r="T37" s="38">
        <v>176816.09999999998</v>
      </c>
      <c r="U37" s="38">
        <f t="shared" si="1"/>
        <v>3487.9680000000226</v>
      </c>
      <c r="V37" s="38"/>
      <c r="W37" s="27">
        <f t="shared" ref="W37:W38" si="27">1484.37</f>
        <v>1484.37</v>
      </c>
      <c r="X37" s="38">
        <v>1484.37</v>
      </c>
      <c r="Y37" s="38">
        <f t="shared" si="2"/>
        <v>0</v>
      </c>
      <c r="Z37" s="38"/>
      <c r="AA37" s="38"/>
      <c r="AB37" s="38"/>
      <c r="AC37" s="35"/>
    </row>
    <row r="38" spans="1:29" ht="18.75" customHeight="1">
      <c r="A38" s="127">
        <v>30</v>
      </c>
      <c r="B38" s="109" t="s">
        <v>360</v>
      </c>
      <c r="C38" s="110"/>
      <c r="D38" s="128" t="s">
        <v>372</v>
      </c>
      <c r="E38" s="64" t="s">
        <v>105</v>
      </c>
      <c r="F38" s="26">
        <f>12351.94</f>
        <v>12351.94</v>
      </c>
      <c r="G38" s="26"/>
      <c r="H38" s="26">
        <f>F38*300%</f>
        <v>37055.82</v>
      </c>
      <c r="I38" s="26">
        <f>F38*7.5%</f>
        <v>926.39549999999997</v>
      </c>
      <c r="J38" s="26"/>
      <c r="K38" s="26">
        <f>F38*50%</f>
        <v>6175.97</v>
      </c>
      <c r="L38" s="26">
        <f>F38*350%</f>
        <v>43231.79</v>
      </c>
      <c r="M38" s="26">
        <f>F38*100%</f>
        <v>12351.94</v>
      </c>
      <c r="N38" s="27"/>
      <c r="O38" s="27">
        <f>50000</f>
        <v>50000</v>
      </c>
      <c r="P38" s="26">
        <f>F38*10%</f>
        <v>1235.1940000000002</v>
      </c>
      <c r="Q38" s="26">
        <v>10000</v>
      </c>
      <c r="R38" s="26"/>
      <c r="S38" s="38">
        <f t="shared" si="0"/>
        <v>173329.04949999999</v>
      </c>
      <c r="T38" s="38">
        <v>173329.04949999999</v>
      </c>
      <c r="U38" s="38">
        <f t="shared" si="1"/>
        <v>0</v>
      </c>
      <c r="V38" s="38"/>
      <c r="W38" s="27">
        <f t="shared" si="27"/>
        <v>1484.37</v>
      </c>
      <c r="X38" s="38">
        <v>1484.37</v>
      </c>
      <c r="Y38" s="38">
        <f t="shared" si="2"/>
        <v>0</v>
      </c>
      <c r="Z38" s="38"/>
      <c r="AA38" s="38"/>
      <c r="AB38" s="38"/>
      <c r="AC38" s="35"/>
    </row>
    <row r="39" spans="1:29" ht="18.75" customHeight="1">
      <c r="A39" s="127"/>
      <c r="B39" s="751" t="s">
        <v>15</v>
      </c>
      <c r="C39" s="751"/>
      <c r="D39" s="122">
        <v>30</v>
      </c>
      <c r="E39" s="64"/>
      <c r="F39" s="66">
        <f t="shared" ref="F39:S39" si="28">SUM(F9:F38)</f>
        <v>942987.95000000007</v>
      </c>
      <c r="G39" s="66">
        <f t="shared" si="28"/>
        <v>0</v>
      </c>
      <c r="H39" s="66">
        <f t="shared" si="28"/>
        <v>2668475.0999999987</v>
      </c>
      <c r="I39" s="66">
        <f t="shared" si="28"/>
        <v>106834.06999999998</v>
      </c>
      <c r="J39" s="66">
        <f t="shared" si="28"/>
        <v>826982.66</v>
      </c>
      <c r="K39" s="66">
        <f t="shared" si="28"/>
        <v>463469.54000000004</v>
      </c>
      <c r="L39" s="66">
        <f t="shared" si="28"/>
        <v>2738747.2</v>
      </c>
      <c r="M39" s="66">
        <f t="shared" si="28"/>
        <v>902865.77000000014</v>
      </c>
      <c r="N39" s="85">
        <f t="shared" si="28"/>
        <v>1170000</v>
      </c>
      <c r="O39" s="85">
        <f t="shared" si="28"/>
        <v>1530000</v>
      </c>
      <c r="P39" s="66">
        <f t="shared" si="28"/>
        <v>94298.8</v>
      </c>
      <c r="Q39" s="66">
        <f t="shared" si="28"/>
        <v>470000</v>
      </c>
      <c r="R39" s="66">
        <f t="shared" si="28"/>
        <v>875235</v>
      </c>
      <c r="S39" s="66">
        <f t="shared" si="28"/>
        <v>12789896.090000004</v>
      </c>
      <c r="T39" s="66">
        <v>12388712.888249997</v>
      </c>
      <c r="U39" s="81">
        <f>SUM(U9:U38)</f>
        <v>135911.20175000039</v>
      </c>
      <c r="V39" s="66"/>
      <c r="W39" s="66">
        <f t="shared" ref="W39" si="29">SUM(W9:W38)</f>
        <v>411374.07000000012</v>
      </c>
      <c r="X39" s="66">
        <v>411374.07000000012</v>
      </c>
      <c r="Y39" s="38">
        <f t="shared" si="2"/>
        <v>0</v>
      </c>
      <c r="Z39" s="66"/>
      <c r="AA39" s="66"/>
      <c r="AB39" s="66"/>
      <c r="AC39" s="35"/>
    </row>
    <row r="40" spans="1:29" ht="18.75" customHeight="1">
      <c r="A40" s="127"/>
      <c r="B40" s="113"/>
      <c r="C40" s="113"/>
      <c r="D40" s="41"/>
      <c r="E40" s="64"/>
      <c r="F40" s="66"/>
      <c r="G40" s="66"/>
      <c r="H40" s="66"/>
      <c r="I40" s="66"/>
      <c r="J40" s="66"/>
      <c r="K40" s="66"/>
      <c r="L40" s="66"/>
      <c r="M40" s="66"/>
      <c r="N40" s="27"/>
      <c r="O40" s="27"/>
      <c r="P40" s="66"/>
      <c r="Q40" s="66"/>
      <c r="R40" s="66"/>
      <c r="S40" s="66"/>
      <c r="T40" s="66"/>
      <c r="U40" s="38">
        <f t="shared" si="1"/>
        <v>0</v>
      </c>
      <c r="V40" s="66"/>
      <c r="W40" s="66"/>
      <c r="X40" s="66"/>
      <c r="Y40" s="38">
        <f t="shared" si="2"/>
        <v>0</v>
      </c>
      <c r="Z40" s="66"/>
      <c r="AA40" s="66"/>
      <c r="AB40" s="66"/>
    </row>
    <row r="41" spans="1:29" ht="18.75" customHeight="1">
      <c r="A41" s="127"/>
      <c r="B41" s="751" t="s">
        <v>284</v>
      </c>
      <c r="C41" s="751"/>
      <c r="D41" s="41"/>
      <c r="E41" s="64"/>
      <c r="F41" s="60"/>
      <c r="G41" s="60"/>
      <c r="H41" s="60"/>
      <c r="I41" s="60"/>
      <c r="J41" s="60"/>
      <c r="K41" s="60"/>
      <c r="L41" s="38"/>
      <c r="M41" s="60"/>
      <c r="N41" s="27"/>
      <c r="O41" s="27"/>
      <c r="P41" s="60"/>
      <c r="Q41" s="60"/>
      <c r="R41" s="60"/>
      <c r="S41" s="38"/>
      <c r="T41" s="38"/>
      <c r="U41" s="38">
        <f t="shared" si="1"/>
        <v>0</v>
      </c>
      <c r="V41" s="38"/>
      <c r="W41" s="60"/>
      <c r="X41" s="38"/>
      <c r="Y41" s="38">
        <f t="shared" si="2"/>
        <v>0</v>
      </c>
      <c r="Z41" s="38"/>
      <c r="AA41" s="38"/>
      <c r="AB41" s="38"/>
    </row>
    <row r="42" spans="1:29" ht="18.75" customHeight="1">
      <c r="A42" s="127">
        <v>1</v>
      </c>
      <c r="B42" s="111" t="s">
        <v>361</v>
      </c>
      <c r="C42" s="112"/>
      <c r="D42" s="41" t="s">
        <v>362</v>
      </c>
      <c r="E42" s="127" t="s">
        <v>206</v>
      </c>
      <c r="F42" s="60">
        <f>79039.64</f>
        <v>79039.64</v>
      </c>
      <c r="G42" s="60"/>
      <c r="H42" s="60">
        <f>F42*300%</f>
        <v>237118.91999999998</v>
      </c>
      <c r="I42" s="60">
        <f>F42*7.5%</f>
        <v>5927.973</v>
      </c>
      <c r="J42" s="60">
        <v>80244.38</v>
      </c>
      <c r="K42" s="60">
        <f>F42*50%</f>
        <v>39519.82</v>
      </c>
      <c r="L42" s="60">
        <f>F42*350%</f>
        <v>276638.74</v>
      </c>
      <c r="M42" s="60">
        <f t="shared" ref="M42" si="30">F42*100%</f>
        <v>79039.64</v>
      </c>
      <c r="N42" s="27"/>
      <c r="O42" s="27">
        <f>100000</f>
        <v>100000</v>
      </c>
      <c r="P42" s="60">
        <f t="shared" ref="P42" si="31">F42*10%</f>
        <v>7903.9639999999999</v>
      </c>
      <c r="Q42" s="60">
        <v>20000</v>
      </c>
      <c r="R42" s="60"/>
      <c r="S42" s="38">
        <f>SUM(F42:R42)</f>
        <v>925433.07700000005</v>
      </c>
      <c r="T42" s="38">
        <v>900657.45750000014</v>
      </c>
      <c r="U42" s="38">
        <f t="shared" si="1"/>
        <v>24775.619499999913</v>
      </c>
      <c r="V42" s="38"/>
      <c r="W42" s="60">
        <f>(52776.63)</f>
        <v>52776.63</v>
      </c>
      <c r="X42" s="38">
        <v>52776.63</v>
      </c>
      <c r="Y42" s="38">
        <f t="shared" si="2"/>
        <v>0</v>
      </c>
      <c r="Z42" s="38"/>
      <c r="AA42" s="38"/>
      <c r="AB42" s="38"/>
    </row>
    <row r="43" spans="1:29" ht="19.5" customHeight="1">
      <c r="A43" s="127"/>
      <c r="B43" s="42"/>
      <c r="C43" s="43" t="s">
        <v>15</v>
      </c>
      <c r="D43" s="122">
        <v>1</v>
      </c>
      <c r="E43" s="127"/>
      <c r="F43" s="66">
        <f t="shared" ref="F43:M43" si="32">SUM(F42:F42)</f>
        <v>79039.64</v>
      </c>
      <c r="G43" s="66">
        <f t="shared" si="32"/>
        <v>0</v>
      </c>
      <c r="H43" s="66">
        <f t="shared" si="32"/>
        <v>237118.91999999998</v>
      </c>
      <c r="I43" s="66">
        <f t="shared" si="32"/>
        <v>5927.973</v>
      </c>
      <c r="J43" s="66">
        <f t="shared" si="32"/>
        <v>80244.38</v>
      </c>
      <c r="K43" s="66">
        <f t="shared" si="32"/>
        <v>39519.82</v>
      </c>
      <c r="L43" s="66">
        <f t="shared" si="32"/>
        <v>276638.74</v>
      </c>
      <c r="M43" s="66">
        <f t="shared" si="32"/>
        <v>79039.64</v>
      </c>
      <c r="N43" s="85"/>
      <c r="O43" s="85">
        <f>SUM(O42:O42)</f>
        <v>100000</v>
      </c>
      <c r="P43" s="66">
        <f>SUM(P42:P42)</f>
        <v>7903.9639999999999</v>
      </c>
      <c r="Q43" s="66">
        <f>SUM(Q42:Q42)</f>
        <v>20000</v>
      </c>
      <c r="R43" s="66">
        <f>SUM(R42:R42)</f>
        <v>0</v>
      </c>
      <c r="S43" s="66">
        <f>SUM(S42:S42)</f>
        <v>925433.07700000005</v>
      </c>
      <c r="T43" s="66">
        <v>900657.45750000014</v>
      </c>
      <c r="U43" s="81">
        <f t="shared" si="1"/>
        <v>24775.619499999913</v>
      </c>
      <c r="V43" s="66"/>
      <c r="W43" s="66">
        <f>SUM(W42:W42)</f>
        <v>52776.63</v>
      </c>
      <c r="X43" s="66">
        <v>52776.63</v>
      </c>
      <c r="Y43" s="38">
        <f t="shared" si="2"/>
        <v>0</v>
      </c>
      <c r="Z43" s="66"/>
      <c r="AA43" s="66"/>
      <c r="AB43" s="66"/>
    </row>
    <row r="44" spans="1:29" ht="20.100000000000001" customHeight="1">
      <c r="A44" s="127"/>
      <c r="B44" s="768"/>
      <c r="C44" s="769"/>
      <c r="D44" s="41"/>
      <c r="E44" s="127"/>
      <c r="F44" s="66"/>
      <c r="G44" s="66"/>
      <c r="H44" s="66"/>
      <c r="I44" s="66"/>
      <c r="J44" s="66"/>
      <c r="K44" s="66"/>
      <c r="L44" s="66"/>
      <c r="M44" s="66"/>
      <c r="N44" s="27"/>
      <c r="O44" s="27"/>
      <c r="P44" s="66"/>
      <c r="Q44" s="66"/>
      <c r="R44" s="66"/>
      <c r="S44" s="66"/>
      <c r="T44" s="66"/>
      <c r="U44" s="38">
        <f t="shared" si="1"/>
        <v>0</v>
      </c>
      <c r="V44" s="66"/>
      <c r="W44" s="66"/>
      <c r="X44" s="66"/>
      <c r="Y44" s="38">
        <f t="shared" si="2"/>
        <v>0</v>
      </c>
      <c r="Z44" s="38"/>
      <c r="AA44" s="38"/>
      <c r="AB44" s="38"/>
      <c r="AC44" s="34"/>
    </row>
    <row r="45" spans="1:29" ht="20.100000000000001" customHeight="1">
      <c r="A45" s="127"/>
      <c r="B45" s="770" t="s">
        <v>56</v>
      </c>
      <c r="C45" s="771"/>
      <c r="D45" s="126"/>
      <c r="E45" s="44"/>
      <c r="F45" s="66"/>
      <c r="G45" s="66"/>
      <c r="H45" s="66"/>
      <c r="I45" s="38"/>
      <c r="J45" s="38"/>
      <c r="K45" s="38"/>
      <c r="L45" s="38"/>
      <c r="M45" s="38"/>
      <c r="N45" s="27"/>
      <c r="O45" s="27"/>
      <c r="P45" s="38"/>
      <c r="Q45" s="38"/>
      <c r="R45" s="38"/>
      <c r="S45" s="38"/>
      <c r="T45" s="38"/>
      <c r="U45" s="38">
        <f t="shared" si="1"/>
        <v>0</v>
      </c>
      <c r="V45" s="38"/>
      <c r="W45" s="38"/>
      <c r="X45" s="38"/>
      <c r="Y45" s="38">
        <f t="shared" si="2"/>
        <v>0</v>
      </c>
      <c r="Z45" s="38"/>
      <c r="AA45" s="38"/>
      <c r="AB45" s="38"/>
    </row>
    <row r="46" spans="1:29" ht="20.100000000000001" customHeight="1">
      <c r="A46" s="127">
        <v>1</v>
      </c>
      <c r="B46" s="741" t="s">
        <v>255</v>
      </c>
      <c r="C46" s="742"/>
      <c r="D46" s="41" t="s">
        <v>256</v>
      </c>
      <c r="E46" s="127" t="s">
        <v>161</v>
      </c>
      <c r="F46" s="60">
        <f>81740.02</f>
        <v>81740.02</v>
      </c>
      <c r="G46" s="60"/>
      <c r="H46" s="60">
        <f>F46*300%</f>
        <v>245220.06</v>
      </c>
      <c r="I46" s="60">
        <f>F46*7.5%</f>
        <v>6130.5015000000003</v>
      </c>
      <c r="J46" s="60">
        <v>80244.38</v>
      </c>
      <c r="K46" s="60">
        <f>F46*50%</f>
        <v>40870.01</v>
      </c>
      <c r="L46" s="60">
        <f>F46*350%</f>
        <v>286090.07</v>
      </c>
      <c r="M46" s="60">
        <f t="shared" ref="M46:M55" si="33">F46*100%</f>
        <v>81740.02</v>
      </c>
      <c r="N46" s="27">
        <f>200000</f>
        <v>200000</v>
      </c>
      <c r="O46" s="27"/>
      <c r="P46" s="60">
        <f t="shared" ref="P46:P55" si="34">F46*10%</f>
        <v>8174.0020000000004</v>
      </c>
      <c r="Q46" s="60">
        <v>20000</v>
      </c>
      <c r="R46" s="60"/>
      <c r="S46" s="38">
        <f t="shared" ref="S46:S55" si="35">SUM(F46:R46)</f>
        <v>1050209.0635000002</v>
      </c>
      <c r="T46" s="38">
        <v>1050209.0635000002</v>
      </c>
      <c r="U46" s="38">
        <f t="shared" si="1"/>
        <v>0</v>
      </c>
      <c r="V46" s="38"/>
      <c r="W46" s="60">
        <f>52776.63</f>
        <v>52776.63</v>
      </c>
      <c r="X46" s="38">
        <v>52776.63</v>
      </c>
      <c r="Y46" s="38">
        <f t="shared" si="2"/>
        <v>0</v>
      </c>
      <c r="Z46" s="38"/>
      <c r="AA46" s="38"/>
      <c r="AB46" s="38"/>
    </row>
    <row r="47" spans="1:29" ht="20.100000000000001" customHeight="1">
      <c r="A47" s="127">
        <v>2</v>
      </c>
      <c r="B47" s="741" t="s">
        <v>158</v>
      </c>
      <c r="C47" s="742"/>
      <c r="D47" s="41" t="s">
        <v>199</v>
      </c>
      <c r="E47" s="127" t="s">
        <v>75</v>
      </c>
      <c r="F47" s="60">
        <f>33507.5</f>
        <v>33507.5</v>
      </c>
      <c r="G47" s="60"/>
      <c r="H47" s="60">
        <f>F47*300%</f>
        <v>100522.5</v>
      </c>
      <c r="I47" s="60">
        <f>F47*7.5%</f>
        <v>2513.0625</v>
      </c>
      <c r="J47" s="60">
        <v>40122.19</v>
      </c>
      <c r="K47" s="60">
        <f>F47*50%</f>
        <v>16753.75</v>
      </c>
      <c r="L47" s="60">
        <f>F47*350%</f>
        <v>117276.25</v>
      </c>
      <c r="M47" s="60">
        <f>F47*100%</f>
        <v>33507.5</v>
      </c>
      <c r="N47" s="27">
        <f>160000</f>
        <v>160000</v>
      </c>
      <c r="O47" s="27"/>
      <c r="P47" s="60">
        <f>F47*10%</f>
        <v>3350.75</v>
      </c>
      <c r="Q47" s="60">
        <v>20000</v>
      </c>
      <c r="R47" s="60">
        <v>0</v>
      </c>
      <c r="S47" s="38">
        <f>SUM(F47:R47)</f>
        <v>527553.50249999994</v>
      </c>
      <c r="T47" s="38">
        <v>527553.50249999994</v>
      </c>
      <c r="U47" s="38">
        <f t="shared" si="1"/>
        <v>0</v>
      </c>
      <c r="V47" s="38"/>
      <c r="W47" s="60">
        <v>15548.33</v>
      </c>
      <c r="X47" s="38">
        <v>15548.33</v>
      </c>
      <c r="Y47" s="38">
        <f t="shared" si="2"/>
        <v>0</v>
      </c>
      <c r="Z47" s="38"/>
      <c r="AA47" s="38"/>
      <c r="AB47" s="38"/>
    </row>
    <row r="48" spans="1:29" ht="20.100000000000001" customHeight="1">
      <c r="A48" s="127">
        <v>3</v>
      </c>
      <c r="B48" s="741" t="s">
        <v>165</v>
      </c>
      <c r="C48" s="742"/>
      <c r="D48" s="41" t="s">
        <v>258</v>
      </c>
      <c r="E48" s="127" t="s">
        <v>75</v>
      </c>
      <c r="F48" s="60">
        <f>33507.5</f>
        <v>33507.5</v>
      </c>
      <c r="G48" s="60"/>
      <c r="H48" s="60">
        <f>F48*300%</f>
        <v>100522.5</v>
      </c>
      <c r="I48" s="60">
        <f>F48*7.5%</f>
        <v>2513.0625</v>
      </c>
      <c r="J48" s="60">
        <v>40122.19</v>
      </c>
      <c r="K48" s="60">
        <f>F48*50%</f>
        <v>16753.75</v>
      </c>
      <c r="L48" s="60">
        <f>F48*350%</f>
        <v>117276.25</v>
      </c>
      <c r="M48" s="60">
        <f>F48*100%</f>
        <v>33507.5</v>
      </c>
      <c r="N48" s="27">
        <f>160000</f>
        <v>160000</v>
      </c>
      <c r="O48" s="27"/>
      <c r="P48" s="60">
        <f>F48*10%</f>
        <v>3350.75</v>
      </c>
      <c r="Q48" s="60">
        <v>20000</v>
      </c>
      <c r="R48" s="60"/>
      <c r="S48" s="38">
        <f>SUM(F48:R48)</f>
        <v>527553.50249999994</v>
      </c>
      <c r="T48" s="38">
        <v>527553.50249999994</v>
      </c>
      <c r="U48" s="38">
        <f t="shared" si="1"/>
        <v>0</v>
      </c>
      <c r="V48" s="38"/>
      <c r="W48" s="60">
        <v>15548.33</v>
      </c>
      <c r="X48" s="38">
        <v>15548.33</v>
      </c>
      <c r="Y48" s="38">
        <f t="shared" si="2"/>
        <v>0</v>
      </c>
      <c r="Z48" s="38"/>
      <c r="AA48" s="38"/>
      <c r="AB48" s="38"/>
    </row>
    <row r="49" spans="1:28" ht="20.100000000000001" customHeight="1">
      <c r="A49" s="127">
        <v>4</v>
      </c>
      <c r="B49" s="741" t="s">
        <v>159</v>
      </c>
      <c r="C49" s="742"/>
      <c r="D49" s="41" t="s">
        <v>258</v>
      </c>
      <c r="E49" s="127" t="s">
        <v>148</v>
      </c>
      <c r="F49" s="60">
        <f>32263.2</f>
        <v>32263.200000000001</v>
      </c>
      <c r="G49" s="60"/>
      <c r="H49" s="60">
        <f>F49*300%</f>
        <v>96789.6</v>
      </c>
      <c r="I49" s="60">
        <f>F49*7.5%</f>
        <v>2419.7399999999998</v>
      </c>
      <c r="J49" s="60">
        <v>40122.19</v>
      </c>
      <c r="K49" s="60">
        <f>F49*50%</f>
        <v>16131.6</v>
      </c>
      <c r="L49" s="60">
        <f>F49*350%</f>
        <v>112921.2</v>
      </c>
      <c r="M49" s="60">
        <f>F49*100%</f>
        <v>32263.200000000001</v>
      </c>
      <c r="N49" s="27">
        <f>160000</f>
        <v>160000</v>
      </c>
      <c r="O49" s="27"/>
      <c r="P49" s="60">
        <f>F49*10%</f>
        <v>3226.32</v>
      </c>
      <c r="Q49" s="60">
        <v>20000</v>
      </c>
      <c r="R49" s="60"/>
      <c r="S49" s="38">
        <f>SUM(F49:R49)</f>
        <v>516137.05000000005</v>
      </c>
      <c r="T49" s="38">
        <v>504720.04700000002</v>
      </c>
      <c r="U49" s="38">
        <f t="shared" si="1"/>
        <v>11417.003000000026</v>
      </c>
      <c r="V49" s="38"/>
      <c r="W49" s="60">
        <f>15548.33</f>
        <v>15548.33</v>
      </c>
      <c r="X49" s="38">
        <v>15548.33</v>
      </c>
      <c r="Y49" s="38">
        <f t="shared" si="2"/>
        <v>0</v>
      </c>
      <c r="Z49" s="38"/>
      <c r="AA49" s="38"/>
      <c r="AB49" s="38"/>
    </row>
    <row r="50" spans="1:28" ht="20.100000000000001" customHeight="1">
      <c r="A50" s="127">
        <v>5</v>
      </c>
      <c r="B50" s="741" t="s">
        <v>118</v>
      </c>
      <c r="C50" s="742"/>
      <c r="D50" s="41" t="s">
        <v>78</v>
      </c>
      <c r="E50" s="127" t="s">
        <v>174</v>
      </c>
      <c r="F50" s="60">
        <f>28489.81</f>
        <v>28489.81</v>
      </c>
      <c r="G50" s="60"/>
      <c r="H50" s="60">
        <f t="shared" ref="H50:H55" si="36">F50*300%</f>
        <v>85469.430000000008</v>
      </c>
      <c r="I50" s="60">
        <f t="shared" ref="I50:I55" si="37">F50*7.5%</f>
        <v>2136.7357499999998</v>
      </c>
      <c r="J50" s="60">
        <v>0</v>
      </c>
      <c r="K50" s="60">
        <f t="shared" ref="K50:K55" si="38">F50*50%</f>
        <v>14244.905000000001</v>
      </c>
      <c r="L50" s="60">
        <f t="shared" ref="L50:L55" si="39">F50*350%</f>
        <v>99714.335000000006</v>
      </c>
      <c r="M50" s="60">
        <f t="shared" si="33"/>
        <v>28489.81</v>
      </c>
      <c r="N50" s="27">
        <f t="shared" ref="N50:N51" si="40">140000</f>
        <v>140000</v>
      </c>
      <c r="O50" s="27"/>
      <c r="P50" s="60">
        <f t="shared" si="34"/>
        <v>2848.9810000000002</v>
      </c>
      <c r="Q50" s="60">
        <v>20000</v>
      </c>
      <c r="R50" s="60">
        <v>0</v>
      </c>
      <c r="S50" s="38">
        <f t="shared" si="35"/>
        <v>421394.00675000006</v>
      </c>
      <c r="T50" s="38">
        <v>421394.00675000006</v>
      </c>
      <c r="U50" s="38">
        <f t="shared" si="1"/>
        <v>0</v>
      </c>
      <c r="V50" s="38"/>
      <c r="W50" s="60">
        <v>7709.76</v>
      </c>
      <c r="X50" s="38">
        <v>7709.76</v>
      </c>
      <c r="Y50" s="38">
        <f t="shared" si="2"/>
        <v>0</v>
      </c>
      <c r="Z50" s="38"/>
      <c r="AA50" s="38"/>
      <c r="AB50" s="38"/>
    </row>
    <row r="51" spans="1:28" ht="20.100000000000001" customHeight="1">
      <c r="A51" s="127">
        <v>6</v>
      </c>
      <c r="B51" s="741" t="s">
        <v>205</v>
      </c>
      <c r="C51" s="742"/>
      <c r="D51" s="41" t="s">
        <v>78</v>
      </c>
      <c r="E51" s="127" t="s">
        <v>162</v>
      </c>
      <c r="F51" s="60">
        <f>26732.65</f>
        <v>26732.65</v>
      </c>
      <c r="G51" s="60"/>
      <c r="H51" s="60">
        <f t="shared" si="36"/>
        <v>80197.950000000012</v>
      </c>
      <c r="I51" s="60">
        <f t="shared" si="37"/>
        <v>2004.94875</v>
      </c>
      <c r="J51" s="60"/>
      <c r="K51" s="60">
        <f t="shared" si="38"/>
        <v>13366.325000000001</v>
      </c>
      <c r="L51" s="60">
        <f t="shared" si="39"/>
        <v>93564.275000000009</v>
      </c>
      <c r="M51" s="60">
        <f t="shared" si="33"/>
        <v>26732.65</v>
      </c>
      <c r="N51" s="27">
        <f t="shared" si="40"/>
        <v>140000</v>
      </c>
      <c r="O51" s="27"/>
      <c r="P51" s="60">
        <f t="shared" si="34"/>
        <v>2673.2650000000003</v>
      </c>
      <c r="Q51" s="60">
        <v>20000</v>
      </c>
      <c r="R51" s="60"/>
      <c r="S51" s="38">
        <f t="shared" si="35"/>
        <v>405272.06374999997</v>
      </c>
      <c r="T51" s="38">
        <v>397211.36749999999</v>
      </c>
      <c r="U51" s="38">
        <f t="shared" si="1"/>
        <v>8060.696249999979</v>
      </c>
      <c r="V51" s="38"/>
      <c r="W51" s="60">
        <v>7709.76</v>
      </c>
      <c r="X51" s="38">
        <v>7709.76</v>
      </c>
      <c r="Y51" s="38">
        <f t="shared" si="2"/>
        <v>0</v>
      </c>
      <c r="Z51" s="38"/>
      <c r="AA51" s="38"/>
      <c r="AB51" s="38"/>
    </row>
    <row r="52" spans="1:28" ht="20.100000000000001" customHeight="1">
      <c r="A52" s="127">
        <v>7</v>
      </c>
      <c r="B52" s="749" t="s">
        <v>173</v>
      </c>
      <c r="C52" s="750"/>
      <c r="D52" s="41" t="s">
        <v>297</v>
      </c>
      <c r="E52" s="25" t="s">
        <v>162</v>
      </c>
      <c r="F52" s="26">
        <f>26732.65</f>
        <v>26732.65</v>
      </c>
      <c r="G52" s="26"/>
      <c r="H52" s="26">
        <f>F52*300%</f>
        <v>80197.950000000012</v>
      </c>
      <c r="I52" s="26">
        <f>F52*7.5%</f>
        <v>2004.94875</v>
      </c>
      <c r="J52" s="26"/>
      <c r="K52" s="26">
        <f>F52*50%</f>
        <v>13366.325000000001</v>
      </c>
      <c r="L52" s="26">
        <f>F52*350%</f>
        <v>93564.275000000009</v>
      </c>
      <c r="M52" s="26">
        <f>F52*100%</f>
        <v>26732.65</v>
      </c>
      <c r="N52" s="27">
        <f>140000</f>
        <v>140000</v>
      </c>
      <c r="O52" s="27"/>
      <c r="P52" s="26">
        <f>F52*10%</f>
        <v>2673.2650000000003</v>
      </c>
      <c r="Q52" s="26">
        <v>20000</v>
      </c>
      <c r="R52" s="26"/>
      <c r="S52" s="38">
        <f>SUM(F52:R52)</f>
        <v>405272.06374999997</v>
      </c>
      <c r="T52" s="38">
        <v>397211.36749999999</v>
      </c>
      <c r="U52" s="38">
        <f t="shared" si="1"/>
        <v>8060.696249999979</v>
      </c>
      <c r="V52" s="24"/>
      <c r="W52" s="24">
        <v>7709.76</v>
      </c>
      <c r="X52" s="24">
        <v>7709.76</v>
      </c>
      <c r="Y52" s="38">
        <f t="shared" si="2"/>
        <v>0</v>
      </c>
      <c r="Z52" s="38"/>
      <c r="AA52" s="38"/>
      <c r="AB52" s="38"/>
    </row>
    <row r="53" spans="1:28" ht="20.100000000000001" customHeight="1">
      <c r="A53" s="127">
        <v>8</v>
      </c>
      <c r="B53" s="741" t="s">
        <v>116</v>
      </c>
      <c r="C53" s="742"/>
      <c r="D53" s="41" t="s">
        <v>257</v>
      </c>
      <c r="E53" s="127" t="s">
        <v>170</v>
      </c>
      <c r="F53" s="60">
        <f>25523.45</f>
        <v>25523.45</v>
      </c>
      <c r="G53" s="60"/>
      <c r="H53" s="60">
        <f t="shared" si="36"/>
        <v>76570.350000000006</v>
      </c>
      <c r="I53" s="60">
        <f t="shared" si="37"/>
        <v>1914.25875</v>
      </c>
      <c r="J53" s="60">
        <v>0</v>
      </c>
      <c r="K53" s="60">
        <f t="shared" si="38"/>
        <v>12761.725</v>
      </c>
      <c r="L53" s="60">
        <f t="shared" si="39"/>
        <v>89332.074999999997</v>
      </c>
      <c r="M53" s="60">
        <f t="shared" si="33"/>
        <v>25523.45</v>
      </c>
      <c r="N53" s="27">
        <f>120000</f>
        <v>120000</v>
      </c>
      <c r="O53" s="27"/>
      <c r="P53" s="60">
        <f t="shared" si="34"/>
        <v>2552.3450000000003</v>
      </c>
      <c r="Q53" s="60">
        <v>15000</v>
      </c>
      <c r="R53" s="60">
        <v>0</v>
      </c>
      <c r="S53" s="38">
        <f t="shared" si="35"/>
        <v>369177.65375</v>
      </c>
      <c r="T53" s="38">
        <v>362001.06049999996</v>
      </c>
      <c r="U53" s="38">
        <f t="shared" si="1"/>
        <v>7176.5932500000345</v>
      </c>
      <c r="V53" s="38"/>
      <c r="W53" s="60">
        <v>7709.76</v>
      </c>
      <c r="X53" s="38">
        <v>7709.76</v>
      </c>
      <c r="Y53" s="38">
        <f t="shared" si="2"/>
        <v>0</v>
      </c>
      <c r="Z53" s="38"/>
      <c r="AA53" s="38"/>
      <c r="AB53" s="38"/>
    </row>
    <row r="54" spans="1:28" ht="20.100000000000001" customHeight="1">
      <c r="A54" s="127">
        <v>9</v>
      </c>
      <c r="B54" s="766" t="s">
        <v>130</v>
      </c>
      <c r="C54" s="767"/>
      <c r="D54" s="129" t="s">
        <v>297</v>
      </c>
      <c r="E54" s="130" t="s">
        <v>222</v>
      </c>
      <c r="F54" s="131">
        <f>25854.1</f>
        <v>25854.1</v>
      </c>
      <c r="G54" s="131"/>
      <c r="H54" s="131">
        <f t="shared" si="36"/>
        <v>77562.299999999988</v>
      </c>
      <c r="I54" s="131">
        <f t="shared" si="37"/>
        <v>1939.0574999999999</v>
      </c>
      <c r="J54" s="131">
        <v>0</v>
      </c>
      <c r="K54" s="131">
        <f t="shared" si="38"/>
        <v>12927.05</v>
      </c>
      <c r="L54" s="131">
        <f t="shared" si="39"/>
        <v>90489.349999999991</v>
      </c>
      <c r="M54" s="131">
        <f t="shared" si="33"/>
        <v>25854.1</v>
      </c>
      <c r="N54" s="132">
        <v>140000</v>
      </c>
      <c r="O54" s="132"/>
      <c r="P54" s="131">
        <f t="shared" si="34"/>
        <v>2585.41</v>
      </c>
      <c r="Q54" s="131">
        <v>20000</v>
      </c>
      <c r="R54" s="131">
        <v>0</v>
      </c>
      <c r="S54" s="133">
        <f t="shared" si="35"/>
        <v>397211.36749999999</v>
      </c>
      <c r="T54" s="133">
        <v>397211.36749999999</v>
      </c>
      <c r="U54" s="38">
        <f t="shared" si="1"/>
        <v>0</v>
      </c>
      <c r="V54" s="133"/>
      <c r="W54" s="131">
        <v>7709.76</v>
      </c>
      <c r="X54" s="133">
        <v>7709.76</v>
      </c>
      <c r="Y54" s="38">
        <f t="shared" si="2"/>
        <v>0</v>
      </c>
      <c r="Z54" s="38"/>
      <c r="AA54" s="38"/>
      <c r="AB54" s="38"/>
    </row>
    <row r="55" spans="1:28" ht="20.100000000000001" customHeight="1">
      <c r="A55" s="127">
        <v>10</v>
      </c>
      <c r="B55" s="754" t="s">
        <v>184</v>
      </c>
      <c r="C55" s="755"/>
      <c r="D55" s="41" t="s">
        <v>80</v>
      </c>
      <c r="E55" s="29" t="s">
        <v>163</v>
      </c>
      <c r="F55" s="26">
        <f>24741.26</f>
        <v>24741.26</v>
      </c>
      <c r="G55" s="60"/>
      <c r="H55" s="26">
        <f t="shared" si="36"/>
        <v>74223.78</v>
      </c>
      <c r="I55" s="26">
        <f t="shared" si="37"/>
        <v>1855.5944999999997</v>
      </c>
      <c r="J55" s="26"/>
      <c r="K55" s="26">
        <f t="shared" si="38"/>
        <v>12370.63</v>
      </c>
      <c r="L55" s="26">
        <f t="shared" si="39"/>
        <v>86594.409999999989</v>
      </c>
      <c r="M55" s="26">
        <f t="shared" si="33"/>
        <v>24741.26</v>
      </c>
      <c r="N55" s="27">
        <f t="shared" ref="N55" si="41">120000</f>
        <v>120000</v>
      </c>
      <c r="O55" s="27"/>
      <c r="P55" s="26">
        <f t="shared" si="34"/>
        <v>2474.1260000000002</v>
      </c>
      <c r="Q55" s="26">
        <v>15000</v>
      </c>
      <c r="R55" s="26"/>
      <c r="S55" s="38">
        <f t="shared" si="35"/>
        <v>362001.06049999996</v>
      </c>
      <c r="T55" s="38">
        <v>354201.02600000001</v>
      </c>
      <c r="U55" s="38">
        <f t="shared" si="1"/>
        <v>7800.0344999999506</v>
      </c>
      <c r="V55" s="24"/>
      <c r="W55" s="26">
        <f>7709.76</f>
        <v>7709.76</v>
      </c>
      <c r="X55" s="24">
        <v>7709.76</v>
      </c>
      <c r="Y55" s="38">
        <f t="shared" si="2"/>
        <v>0</v>
      </c>
      <c r="Z55" s="38"/>
      <c r="AA55" s="38"/>
      <c r="AB55" s="38"/>
    </row>
    <row r="56" spans="1:28" ht="20.100000000000001" customHeight="1">
      <c r="A56" s="127"/>
      <c r="B56" s="760" t="s">
        <v>15</v>
      </c>
      <c r="C56" s="761"/>
      <c r="D56" s="30">
        <v>10</v>
      </c>
      <c r="E56" s="30"/>
      <c r="F56" s="78">
        <f t="shared" ref="F56:N56" si="42">SUM(F46:F55)</f>
        <v>339092.14</v>
      </c>
      <c r="G56" s="78">
        <f t="shared" si="42"/>
        <v>0</v>
      </c>
      <c r="H56" s="78">
        <f t="shared" si="42"/>
        <v>1017276.4199999999</v>
      </c>
      <c r="I56" s="78">
        <f t="shared" si="42"/>
        <v>25431.910499999998</v>
      </c>
      <c r="J56" s="78">
        <f t="shared" si="42"/>
        <v>200610.95</v>
      </c>
      <c r="K56" s="78">
        <f t="shared" si="42"/>
        <v>169546.07</v>
      </c>
      <c r="L56" s="78">
        <f t="shared" si="42"/>
        <v>1186822.49</v>
      </c>
      <c r="M56" s="78">
        <f t="shared" si="42"/>
        <v>339092.14</v>
      </c>
      <c r="N56" s="85">
        <f t="shared" si="42"/>
        <v>1480000</v>
      </c>
      <c r="O56" s="85"/>
      <c r="P56" s="78">
        <f>SUM(P46:P55)</f>
        <v>33909.214</v>
      </c>
      <c r="Q56" s="78">
        <f>SUM(Q46:Q55)</f>
        <v>190000</v>
      </c>
      <c r="R56" s="78">
        <f>SUM(R46:R55)</f>
        <v>0</v>
      </c>
      <c r="S56" s="78">
        <f>SUM(S46:S55)</f>
        <v>4981781.3344999989</v>
      </c>
      <c r="T56" s="78">
        <v>4939266.3112500003</v>
      </c>
      <c r="U56" s="81">
        <f t="shared" si="1"/>
        <v>42515.023249998689</v>
      </c>
      <c r="V56" s="78"/>
      <c r="W56" s="78">
        <f>SUM(W46:W55)</f>
        <v>145680.18</v>
      </c>
      <c r="X56" s="78">
        <v>145680.18</v>
      </c>
      <c r="Y56" s="38">
        <f t="shared" si="2"/>
        <v>0</v>
      </c>
      <c r="Z56" s="78"/>
      <c r="AA56" s="78"/>
      <c r="AB56" s="78"/>
    </row>
    <row r="57" spans="1:28" ht="20.100000000000001" customHeight="1">
      <c r="A57" s="127"/>
      <c r="B57" s="124"/>
      <c r="C57" s="124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27"/>
      <c r="O57" s="27"/>
      <c r="P57" s="31"/>
      <c r="Q57" s="31"/>
      <c r="R57" s="31"/>
      <c r="S57" s="31"/>
      <c r="T57" s="31"/>
      <c r="U57" s="38">
        <f t="shared" si="1"/>
        <v>0</v>
      </c>
      <c r="V57" s="31"/>
      <c r="W57" s="31"/>
      <c r="X57" s="31"/>
      <c r="Y57" s="38">
        <f t="shared" si="2"/>
        <v>0</v>
      </c>
      <c r="Z57" s="31"/>
      <c r="AA57" s="31"/>
      <c r="AB57" s="31"/>
    </row>
    <row r="58" spans="1:28" ht="20.100000000000001" customHeight="1">
      <c r="A58" s="127"/>
      <c r="B58" s="760" t="s">
        <v>195</v>
      </c>
      <c r="C58" s="761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27"/>
      <c r="O58" s="27"/>
      <c r="P58" s="31"/>
      <c r="Q58" s="31"/>
      <c r="R58" s="31"/>
      <c r="S58" s="31"/>
      <c r="T58" s="31"/>
      <c r="U58" s="38">
        <f t="shared" si="1"/>
        <v>0</v>
      </c>
      <c r="V58" s="31"/>
      <c r="W58" s="31"/>
      <c r="X58" s="31"/>
      <c r="Y58" s="38">
        <f t="shared" si="2"/>
        <v>0</v>
      </c>
      <c r="Z58" s="31"/>
      <c r="AA58" s="31"/>
      <c r="AB58" s="31"/>
    </row>
    <row r="59" spans="1:28" ht="20.100000000000001" customHeight="1">
      <c r="A59" s="127">
        <v>1</v>
      </c>
      <c r="B59" s="741" t="s">
        <v>11</v>
      </c>
      <c r="C59" s="742"/>
      <c r="D59" s="108" t="s">
        <v>200</v>
      </c>
      <c r="E59" s="64" t="s">
        <v>161</v>
      </c>
      <c r="F59" s="60">
        <f>81740.02</f>
        <v>81740.02</v>
      </c>
      <c r="G59" s="60"/>
      <c r="H59" s="60">
        <f>F59*300%</f>
        <v>245220.06</v>
      </c>
      <c r="I59" s="60">
        <f>F59*7.5%</f>
        <v>6130.5015000000003</v>
      </c>
      <c r="J59" s="60">
        <v>80244.38</v>
      </c>
      <c r="K59" s="60">
        <f>F59*50%</f>
        <v>40870.01</v>
      </c>
      <c r="L59" s="60">
        <f>F59*350%</f>
        <v>286090.07</v>
      </c>
      <c r="M59" s="60">
        <f>F59*100%</f>
        <v>81740.02</v>
      </c>
      <c r="N59" s="27">
        <f>200000</f>
        <v>200000</v>
      </c>
      <c r="O59" s="27"/>
      <c r="P59" s="60">
        <f>F59*10%</f>
        <v>8174.0020000000004</v>
      </c>
      <c r="Q59" s="60">
        <v>20000</v>
      </c>
      <c r="R59" s="60">
        <v>0</v>
      </c>
      <c r="S59" s="38">
        <f>SUM(F59:R59)</f>
        <v>1050209.0635000002</v>
      </c>
      <c r="T59" s="38">
        <v>1050209.0635000002</v>
      </c>
      <c r="U59" s="38">
        <f t="shared" si="1"/>
        <v>0</v>
      </c>
      <c r="V59" s="38"/>
      <c r="W59" s="60">
        <v>52776.63</v>
      </c>
      <c r="X59" s="38">
        <v>52776.63</v>
      </c>
      <c r="Y59" s="38">
        <f t="shared" si="2"/>
        <v>0</v>
      </c>
      <c r="Z59" s="38"/>
      <c r="AA59" s="38"/>
      <c r="AB59" s="38"/>
    </row>
    <row r="60" spans="1:28" ht="20.100000000000001" customHeight="1">
      <c r="A60" s="127">
        <v>2</v>
      </c>
      <c r="B60" s="111" t="s">
        <v>276</v>
      </c>
      <c r="C60" s="112"/>
      <c r="D60" s="108" t="s">
        <v>340</v>
      </c>
      <c r="E60" s="64" t="s">
        <v>412</v>
      </c>
      <c r="F60" s="38">
        <f>32263.2</f>
        <v>32263.200000000001</v>
      </c>
      <c r="G60" s="60"/>
      <c r="H60" s="60">
        <f t="shared" ref="H60" si="43">F60*300%</f>
        <v>96789.6</v>
      </c>
      <c r="I60" s="60">
        <f t="shared" ref="I60" si="44">F60*7.5%</f>
        <v>2419.7399999999998</v>
      </c>
      <c r="J60" s="60">
        <v>40122.19</v>
      </c>
      <c r="K60" s="60">
        <f t="shared" ref="K60" si="45">F60*50%</f>
        <v>16131.6</v>
      </c>
      <c r="L60" s="60">
        <f t="shared" ref="L60" si="46">F60*350%</f>
        <v>112921.2</v>
      </c>
      <c r="M60" s="60">
        <f t="shared" ref="M60" si="47">F60*100%</f>
        <v>32263.200000000001</v>
      </c>
      <c r="N60" s="27"/>
      <c r="O60" s="27">
        <f>80000</f>
        <v>80000</v>
      </c>
      <c r="P60" s="60">
        <f t="shared" ref="P60" si="48">F60*10%</f>
        <v>3226.32</v>
      </c>
      <c r="Q60" s="60">
        <v>20000</v>
      </c>
      <c r="R60" s="61">
        <v>0</v>
      </c>
      <c r="S60" s="38">
        <f t="shared" ref="S60" si="49">SUM(F60:R60)</f>
        <v>436137.05000000005</v>
      </c>
      <c r="T60" s="38">
        <v>424720.04700000002</v>
      </c>
      <c r="U60" s="38">
        <f t="shared" si="1"/>
        <v>11417.003000000026</v>
      </c>
      <c r="V60" s="38"/>
      <c r="W60" s="60">
        <f>15548.33</f>
        <v>15548.33</v>
      </c>
      <c r="X60" s="38">
        <v>15548.33</v>
      </c>
      <c r="Y60" s="38">
        <f t="shared" si="2"/>
        <v>0</v>
      </c>
      <c r="Z60" s="38"/>
      <c r="AA60" s="38"/>
      <c r="AB60" s="38"/>
    </row>
    <row r="61" spans="1:28" ht="20.100000000000001" customHeight="1">
      <c r="A61" s="127"/>
      <c r="B61" s="760" t="s">
        <v>15</v>
      </c>
      <c r="C61" s="761"/>
      <c r="D61" s="30">
        <v>2</v>
      </c>
      <c r="E61" s="30"/>
      <c r="F61" s="78">
        <f>SUM(F59:F60)</f>
        <v>114003.22</v>
      </c>
      <c r="G61" s="78"/>
      <c r="H61" s="78">
        <f t="shared" ref="H61:S61" si="50">SUM(H59:H60)</f>
        <v>342009.66000000003</v>
      </c>
      <c r="I61" s="78">
        <f t="shared" si="50"/>
        <v>8550.2415000000001</v>
      </c>
      <c r="J61" s="78">
        <f t="shared" si="50"/>
        <v>120366.57</v>
      </c>
      <c r="K61" s="78">
        <f t="shared" si="50"/>
        <v>57001.61</v>
      </c>
      <c r="L61" s="78">
        <f t="shared" si="50"/>
        <v>399011.27</v>
      </c>
      <c r="M61" s="78">
        <f t="shared" si="50"/>
        <v>114003.22</v>
      </c>
      <c r="N61" s="85">
        <f t="shared" si="50"/>
        <v>200000</v>
      </c>
      <c r="O61" s="85">
        <f t="shared" si="50"/>
        <v>80000</v>
      </c>
      <c r="P61" s="78">
        <f t="shared" si="50"/>
        <v>11400.322</v>
      </c>
      <c r="Q61" s="78">
        <f t="shared" si="50"/>
        <v>40000</v>
      </c>
      <c r="R61" s="78">
        <f t="shared" si="50"/>
        <v>0</v>
      </c>
      <c r="S61" s="78">
        <f t="shared" si="50"/>
        <v>1486346.1135000002</v>
      </c>
      <c r="T61" s="78">
        <v>1474929.1105000002</v>
      </c>
      <c r="U61" s="81">
        <f t="shared" si="1"/>
        <v>11417.003000000026</v>
      </c>
      <c r="V61" s="78"/>
      <c r="W61" s="78">
        <f>SUM(W59:W60)</f>
        <v>68324.959999999992</v>
      </c>
      <c r="X61" s="78">
        <v>68324.959999999992</v>
      </c>
      <c r="Y61" s="38">
        <f t="shared" si="2"/>
        <v>0</v>
      </c>
      <c r="Z61" s="78"/>
      <c r="AA61" s="78"/>
      <c r="AB61" s="78"/>
    </row>
    <row r="62" spans="1:28" ht="20.100000000000001" customHeight="1">
      <c r="A62" s="127"/>
      <c r="B62" s="760"/>
      <c r="C62" s="761"/>
      <c r="D62" s="30"/>
      <c r="E62" s="30"/>
      <c r="F62" s="31"/>
      <c r="G62" s="31"/>
      <c r="H62" s="31"/>
      <c r="I62" s="31"/>
      <c r="J62" s="31"/>
      <c r="K62" s="31"/>
      <c r="L62" s="31"/>
      <c r="M62" s="31"/>
      <c r="N62" s="27"/>
      <c r="O62" s="27"/>
      <c r="P62" s="31"/>
      <c r="Q62" s="31"/>
      <c r="R62" s="31"/>
      <c r="S62" s="31"/>
      <c r="T62" s="31"/>
      <c r="U62" s="38">
        <f t="shared" si="1"/>
        <v>0</v>
      </c>
      <c r="V62" s="31"/>
      <c r="W62" s="31"/>
      <c r="X62" s="31"/>
      <c r="Y62" s="38">
        <f t="shared" si="2"/>
        <v>0</v>
      </c>
      <c r="Z62" s="31"/>
      <c r="AA62" s="31"/>
      <c r="AB62" s="31"/>
    </row>
    <row r="63" spans="1:28" ht="20.100000000000001" customHeight="1">
      <c r="A63" s="127"/>
      <c r="B63" s="760" t="s">
        <v>353</v>
      </c>
      <c r="C63" s="761"/>
      <c r="D63" s="30"/>
      <c r="E63" s="30"/>
      <c r="F63" s="31"/>
      <c r="G63" s="31"/>
      <c r="H63" s="31"/>
      <c r="I63" s="31"/>
      <c r="J63" s="31"/>
      <c r="K63" s="31"/>
      <c r="L63" s="31"/>
      <c r="M63" s="31"/>
      <c r="N63" s="27"/>
      <c r="O63" s="27"/>
      <c r="P63" s="31"/>
      <c r="Q63" s="31"/>
      <c r="R63" s="31"/>
      <c r="S63" s="31"/>
      <c r="T63" s="31"/>
      <c r="U63" s="38">
        <f t="shared" si="1"/>
        <v>0</v>
      </c>
      <c r="V63" s="31"/>
      <c r="W63" s="31"/>
      <c r="X63" s="31"/>
      <c r="Y63" s="38">
        <f t="shared" si="2"/>
        <v>0</v>
      </c>
      <c r="Z63" s="31"/>
      <c r="AA63" s="31"/>
      <c r="AB63" s="31"/>
    </row>
    <row r="64" spans="1:28" ht="20.100000000000001" customHeight="1">
      <c r="A64" s="127">
        <v>1</v>
      </c>
      <c r="B64" s="754" t="s">
        <v>277</v>
      </c>
      <c r="C64" s="755"/>
      <c r="D64" s="128" t="s">
        <v>278</v>
      </c>
      <c r="E64" s="29" t="s">
        <v>161</v>
      </c>
      <c r="F64" s="26">
        <f>81740.02</f>
        <v>81740.02</v>
      </c>
      <c r="G64" s="26"/>
      <c r="H64" s="26">
        <f t="shared" ref="H64:H75" si="51">F64*300%</f>
        <v>245220.06</v>
      </c>
      <c r="I64" s="26">
        <f t="shared" ref="I64:I75" si="52">F64*7.5%</f>
        <v>6130.5015000000003</v>
      </c>
      <c r="J64" s="60">
        <v>80244.38</v>
      </c>
      <c r="K64" s="26">
        <f t="shared" ref="K64:K75" si="53">F64*50%</f>
        <v>40870.01</v>
      </c>
      <c r="L64" s="26">
        <f t="shared" ref="L64:L75" si="54">F64*350%</f>
        <v>286090.07</v>
      </c>
      <c r="M64" s="26">
        <f t="shared" ref="M64:M75" si="55">F64*100%</f>
        <v>81740.02</v>
      </c>
      <c r="N64" s="27">
        <f>200000</f>
        <v>200000</v>
      </c>
      <c r="O64" s="27"/>
      <c r="P64" s="26">
        <f t="shared" ref="P64:P75" si="56">F64*10%</f>
        <v>8174.0020000000004</v>
      </c>
      <c r="Q64" s="26">
        <v>20000</v>
      </c>
      <c r="R64" s="26">
        <v>0</v>
      </c>
      <c r="S64" s="26">
        <v>1050209.0635000002</v>
      </c>
      <c r="T64" s="26">
        <v>1025433.077</v>
      </c>
      <c r="U64" s="38">
        <f t="shared" si="1"/>
        <v>24775.986500000115</v>
      </c>
      <c r="V64" s="26"/>
      <c r="W64" s="26">
        <f>52776.63</f>
        <v>52776.63</v>
      </c>
      <c r="X64" s="26">
        <v>52776.63</v>
      </c>
      <c r="Y64" s="38">
        <f t="shared" si="2"/>
        <v>0</v>
      </c>
      <c r="Z64" s="26"/>
      <c r="AA64" s="26"/>
      <c r="AB64" s="26"/>
    </row>
    <row r="65" spans="1:28" ht="20.100000000000001" customHeight="1">
      <c r="A65" s="127">
        <v>2</v>
      </c>
      <c r="B65" s="109" t="s">
        <v>332</v>
      </c>
      <c r="C65" s="110"/>
      <c r="D65" s="128" t="s">
        <v>188</v>
      </c>
      <c r="E65" s="64" t="s">
        <v>272</v>
      </c>
      <c r="F65" s="38">
        <v>31018.84</v>
      </c>
      <c r="G65" s="60"/>
      <c r="H65" s="60">
        <f t="shared" si="51"/>
        <v>93056.52</v>
      </c>
      <c r="I65" s="60">
        <f t="shared" si="52"/>
        <v>2326.413</v>
      </c>
      <c r="J65" s="60">
        <v>40122.19</v>
      </c>
      <c r="K65" s="60">
        <f t="shared" si="53"/>
        <v>15509.42</v>
      </c>
      <c r="L65" s="60">
        <f t="shared" si="54"/>
        <v>108565.94</v>
      </c>
      <c r="M65" s="60">
        <f t="shared" si="55"/>
        <v>31018.84</v>
      </c>
      <c r="N65" s="27">
        <f>160000</f>
        <v>160000</v>
      </c>
      <c r="O65" s="27"/>
      <c r="P65" s="60">
        <f t="shared" si="56"/>
        <v>3101.884</v>
      </c>
      <c r="Q65" s="60">
        <v>20000</v>
      </c>
      <c r="R65" s="61">
        <v>0</v>
      </c>
      <c r="S65" s="38">
        <f t="shared" ref="S65:S75" si="57">SUM(F65:R65)</f>
        <v>504720.04700000002</v>
      </c>
      <c r="T65" s="38">
        <v>504720.04700000002</v>
      </c>
      <c r="U65" s="38">
        <f t="shared" si="1"/>
        <v>0</v>
      </c>
      <c r="V65" s="38"/>
      <c r="W65" s="60">
        <f>15548.33</f>
        <v>15548.33</v>
      </c>
      <c r="X65" s="38">
        <v>15548.33</v>
      </c>
      <c r="Y65" s="38">
        <f t="shared" si="2"/>
        <v>0</v>
      </c>
      <c r="Z65" s="26"/>
      <c r="AA65" s="38"/>
      <c r="AB65" s="38"/>
    </row>
    <row r="66" spans="1:28" ht="20.100000000000001" customHeight="1">
      <c r="A66" s="127">
        <v>3</v>
      </c>
      <c r="B66" s="754" t="s">
        <v>186</v>
      </c>
      <c r="C66" s="755"/>
      <c r="D66" s="21" t="s">
        <v>80</v>
      </c>
      <c r="E66" s="29" t="s">
        <v>175</v>
      </c>
      <c r="F66" s="26">
        <f>26339.3</f>
        <v>26339.3</v>
      </c>
      <c r="G66" s="26"/>
      <c r="H66" s="26">
        <f t="shared" si="51"/>
        <v>79017.899999999994</v>
      </c>
      <c r="I66" s="26">
        <f t="shared" si="52"/>
        <v>1975.4474999999998</v>
      </c>
      <c r="J66" s="26"/>
      <c r="K66" s="26">
        <f t="shared" si="53"/>
        <v>13169.65</v>
      </c>
      <c r="L66" s="26">
        <f t="shared" si="54"/>
        <v>92187.55</v>
      </c>
      <c r="M66" s="26">
        <f t="shared" si="55"/>
        <v>26339.3</v>
      </c>
      <c r="N66" s="27">
        <f t="shared" ref="N66:N68" si="58">120000</f>
        <v>120000</v>
      </c>
      <c r="O66" s="27"/>
      <c r="P66" s="26">
        <f t="shared" si="56"/>
        <v>2633.9300000000003</v>
      </c>
      <c r="Q66" s="26">
        <v>15000</v>
      </c>
      <c r="R66" s="26"/>
      <c r="S66" s="38">
        <f t="shared" si="57"/>
        <v>376663.07749999996</v>
      </c>
      <c r="T66" s="38">
        <v>369177.65375</v>
      </c>
      <c r="U66" s="38">
        <f t="shared" si="1"/>
        <v>7485.4237499999581</v>
      </c>
      <c r="V66" s="24"/>
      <c r="W66" s="26">
        <v>7709.76</v>
      </c>
      <c r="X66" s="24">
        <v>7709.76</v>
      </c>
      <c r="Y66" s="38">
        <f t="shared" si="2"/>
        <v>0</v>
      </c>
      <c r="Z66" s="26"/>
      <c r="AA66" s="38"/>
      <c r="AB66" s="38"/>
    </row>
    <row r="67" spans="1:28" ht="20.100000000000001" customHeight="1">
      <c r="A67" s="127">
        <v>4</v>
      </c>
      <c r="B67" s="754" t="s">
        <v>189</v>
      </c>
      <c r="C67" s="755"/>
      <c r="D67" s="41" t="s">
        <v>257</v>
      </c>
      <c r="E67" s="29" t="s">
        <v>163</v>
      </c>
      <c r="F67" s="26">
        <f>24741.26</f>
        <v>24741.26</v>
      </c>
      <c r="G67" s="26"/>
      <c r="H67" s="26">
        <f t="shared" si="51"/>
        <v>74223.78</v>
      </c>
      <c r="I67" s="26">
        <f t="shared" si="52"/>
        <v>1855.5944999999997</v>
      </c>
      <c r="J67" s="26"/>
      <c r="K67" s="26">
        <f t="shared" si="53"/>
        <v>12370.63</v>
      </c>
      <c r="L67" s="26">
        <f t="shared" si="54"/>
        <v>86594.409999999989</v>
      </c>
      <c r="M67" s="26">
        <f t="shared" si="55"/>
        <v>24741.26</v>
      </c>
      <c r="N67" s="27">
        <f t="shared" si="58"/>
        <v>120000</v>
      </c>
      <c r="O67" s="27"/>
      <c r="P67" s="26">
        <f t="shared" si="56"/>
        <v>2474.1260000000002</v>
      </c>
      <c r="Q67" s="26">
        <v>15000</v>
      </c>
      <c r="R67" s="26"/>
      <c r="S67" s="26">
        <f t="shared" si="57"/>
        <v>362001.06049999996</v>
      </c>
      <c r="T67" s="26">
        <v>354201.02600000001</v>
      </c>
      <c r="U67" s="38">
        <f t="shared" si="1"/>
        <v>7800.0344999999506</v>
      </c>
      <c r="V67" s="26"/>
      <c r="W67" s="26">
        <f>7709.76</f>
        <v>7709.76</v>
      </c>
      <c r="X67" s="26">
        <v>7709.76</v>
      </c>
      <c r="Y67" s="38">
        <f t="shared" si="2"/>
        <v>0</v>
      </c>
      <c r="Z67" s="26"/>
      <c r="AA67" s="26"/>
      <c r="AB67" s="26"/>
    </row>
    <row r="68" spans="1:28" ht="20.100000000000001" customHeight="1">
      <c r="A68" s="127">
        <v>5</v>
      </c>
      <c r="B68" s="109" t="s">
        <v>323</v>
      </c>
      <c r="C68" s="110"/>
      <c r="D68" s="128" t="s">
        <v>257</v>
      </c>
      <c r="E68" s="64" t="s">
        <v>149</v>
      </c>
      <c r="F68" s="60">
        <f>23891.12</f>
        <v>23891.119999999999</v>
      </c>
      <c r="G68" s="60"/>
      <c r="H68" s="60">
        <f t="shared" si="51"/>
        <v>71673.36</v>
      </c>
      <c r="I68" s="60">
        <f t="shared" si="52"/>
        <v>1791.8339999999998</v>
      </c>
      <c r="J68" s="60">
        <v>0</v>
      </c>
      <c r="K68" s="60">
        <f t="shared" si="53"/>
        <v>11945.56</v>
      </c>
      <c r="L68" s="38">
        <f t="shared" si="54"/>
        <v>83618.92</v>
      </c>
      <c r="M68" s="60">
        <f t="shared" si="55"/>
        <v>23891.119999999999</v>
      </c>
      <c r="N68" s="27">
        <f t="shared" si="58"/>
        <v>120000</v>
      </c>
      <c r="O68" s="27"/>
      <c r="P68" s="60">
        <f t="shared" si="56"/>
        <v>2389.1120000000001</v>
      </c>
      <c r="Q68" s="60">
        <v>15000</v>
      </c>
      <c r="R68" s="60">
        <v>0</v>
      </c>
      <c r="S68" s="38">
        <f t="shared" si="57"/>
        <v>354201.02600000001</v>
      </c>
      <c r="T68" s="38">
        <v>346713.03325000004</v>
      </c>
      <c r="U68" s="38">
        <f t="shared" si="1"/>
        <v>7487.9927499999758</v>
      </c>
      <c r="V68" s="38"/>
      <c r="W68" s="60">
        <v>7709.76</v>
      </c>
      <c r="X68" s="38">
        <v>7709.76</v>
      </c>
      <c r="Y68" s="38">
        <f t="shared" si="2"/>
        <v>0</v>
      </c>
      <c r="Z68" s="26"/>
      <c r="AA68" s="38"/>
      <c r="AB68" s="38"/>
    </row>
    <row r="69" spans="1:28" ht="20.100000000000001" customHeight="1">
      <c r="A69" s="127">
        <v>6</v>
      </c>
      <c r="B69" s="758" t="s">
        <v>229</v>
      </c>
      <c r="C69" s="759"/>
      <c r="D69" s="128" t="s">
        <v>297</v>
      </c>
      <c r="E69" s="64" t="s">
        <v>162</v>
      </c>
      <c r="F69" s="60">
        <f>26732.65</f>
        <v>26732.65</v>
      </c>
      <c r="G69" s="60"/>
      <c r="H69" s="60">
        <f>F69*300%</f>
        <v>80197.950000000012</v>
      </c>
      <c r="I69" s="60">
        <f>F69*7.5%</f>
        <v>2004.94875</v>
      </c>
      <c r="J69" s="60"/>
      <c r="K69" s="60">
        <f>F69*50%</f>
        <v>13366.325000000001</v>
      </c>
      <c r="L69" s="38">
        <f>F69*350%</f>
        <v>93564.275000000009</v>
      </c>
      <c r="M69" s="60">
        <f>F69*100%</f>
        <v>26732.65</v>
      </c>
      <c r="N69" s="27">
        <f>140000</f>
        <v>140000</v>
      </c>
      <c r="O69" s="27"/>
      <c r="P69" s="60">
        <f>F69*10%</f>
        <v>2673.2650000000003</v>
      </c>
      <c r="Q69" s="60">
        <v>20000</v>
      </c>
      <c r="R69" s="60"/>
      <c r="S69" s="38">
        <f>SUM(F69:R69)</f>
        <v>405272.06374999997</v>
      </c>
      <c r="T69" s="38">
        <v>397211.36749999999</v>
      </c>
      <c r="U69" s="38">
        <f t="shared" si="1"/>
        <v>8060.696249999979</v>
      </c>
      <c r="V69" s="38"/>
      <c r="W69" s="38">
        <f>7709.76</f>
        <v>7709.76</v>
      </c>
      <c r="X69" s="38">
        <v>7709.76</v>
      </c>
      <c r="Y69" s="38">
        <f t="shared" si="2"/>
        <v>0</v>
      </c>
      <c r="Z69" s="26"/>
      <c r="AA69" s="38"/>
      <c r="AB69" s="38"/>
    </row>
    <row r="70" spans="1:28" ht="20.100000000000001" customHeight="1">
      <c r="A70" s="127">
        <v>7</v>
      </c>
      <c r="B70" s="754" t="s">
        <v>117</v>
      </c>
      <c r="C70" s="755"/>
      <c r="D70" s="21" t="s">
        <v>84</v>
      </c>
      <c r="E70" s="29" t="s">
        <v>298</v>
      </c>
      <c r="F70" s="26">
        <f>19774.62</f>
        <v>19774.62</v>
      </c>
      <c r="G70" s="26"/>
      <c r="H70" s="26">
        <f t="shared" si="51"/>
        <v>59323.86</v>
      </c>
      <c r="I70" s="26">
        <f t="shared" si="52"/>
        <v>1483.0964999999999</v>
      </c>
      <c r="J70" s="26">
        <v>0</v>
      </c>
      <c r="K70" s="26">
        <f t="shared" si="53"/>
        <v>9887.31</v>
      </c>
      <c r="L70" s="26">
        <f t="shared" si="54"/>
        <v>69211.17</v>
      </c>
      <c r="M70" s="26">
        <f t="shared" si="55"/>
        <v>19774.62</v>
      </c>
      <c r="N70" s="27">
        <f>100000</f>
        <v>100000</v>
      </c>
      <c r="O70" s="27"/>
      <c r="P70" s="26">
        <f t="shared" si="56"/>
        <v>1977.462</v>
      </c>
      <c r="Q70" s="26">
        <v>10000</v>
      </c>
      <c r="R70" s="26">
        <v>0</v>
      </c>
      <c r="S70" s="38">
        <f t="shared" si="57"/>
        <v>291432.1385</v>
      </c>
      <c r="T70" s="38">
        <v>291432.1385</v>
      </c>
      <c r="U70" s="38">
        <f t="shared" si="1"/>
        <v>0</v>
      </c>
      <c r="V70" s="24"/>
      <c r="W70" s="26">
        <v>3369.51</v>
      </c>
      <c r="X70" s="24">
        <v>3369.51</v>
      </c>
      <c r="Y70" s="38">
        <f t="shared" si="2"/>
        <v>0</v>
      </c>
      <c r="Z70" s="26"/>
      <c r="AA70" s="38"/>
      <c r="AB70" s="38"/>
    </row>
    <row r="71" spans="1:28" ht="20.100000000000001" customHeight="1">
      <c r="A71" s="127">
        <v>8</v>
      </c>
      <c r="B71" s="748" t="s">
        <v>182</v>
      </c>
      <c r="C71" s="748"/>
      <c r="D71" s="128" t="s">
        <v>84</v>
      </c>
      <c r="E71" s="64" t="s">
        <v>415</v>
      </c>
      <c r="F71" s="60">
        <f>21520.88</f>
        <v>21520.880000000001</v>
      </c>
      <c r="G71" s="60"/>
      <c r="H71" s="60">
        <f t="shared" si="51"/>
        <v>64562.64</v>
      </c>
      <c r="I71" s="60">
        <f t="shared" si="52"/>
        <v>1614.066</v>
      </c>
      <c r="J71" s="60">
        <v>0</v>
      </c>
      <c r="K71" s="60">
        <f t="shared" si="53"/>
        <v>10760.44</v>
      </c>
      <c r="L71" s="38">
        <f t="shared" si="54"/>
        <v>75323.08</v>
      </c>
      <c r="M71" s="60">
        <f t="shared" si="55"/>
        <v>21520.880000000001</v>
      </c>
      <c r="N71" s="27">
        <f>110000</f>
        <v>110000</v>
      </c>
      <c r="O71" s="27"/>
      <c r="P71" s="60">
        <f t="shared" si="56"/>
        <v>2152.0880000000002</v>
      </c>
      <c r="Q71" s="60">
        <v>15000</v>
      </c>
      <c r="R71" s="60">
        <v>0</v>
      </c>
      <c r="S71" s="38">
        <f t="shared" si="57"/>
        <v>322454.07400000002</v>
      </c>
      <c r="T71" s="38">
        <v>315372.07500000001</v>
      </c>
      <c r="U71" s="38">
        <f t="shared" si="1"/>
        <v>7081.9990000000107</v>
      </c>
      <c r="V71" s="38"/>
      <c r="W71" s="60">
        <f>3369.51</f>
        <v>3369.51</v>
      </c>
      <c r="X71" s="38">
        <v>3369.51</v>
      </c>
      <c r="Y71" s="38">
        <f t="shared" si="2"/>
        <v>0</v>
      </c>
      <c r="Z71" s="26"/>
      <c r="AA71" s="38"/>
      <c r="AB71" s="38"/>
    </row>
    <row r="72" spans="1:28" ht="20.100000000000001" customHeight="1">
      <c r="A72" s="127">
        <v>9</v>
      </c>
      <c r="B72" s="741" t="s">
        <v>242</v>
      </c>
      <c r="C72" s="742"/>
      <c r="D72" s="41" t="s">
        <v>243</v>
      </c>
      <c r="E72" s="127" t="s">
        <v>27</v>
      </c>
      <c r="F72" s="60">
        <f>18779.3</f>
        <v>18779.3</v>
      </c>
      <c r="G72" s="60"/>
      <c r="H72" s="60">
        <f t="shared" si="51"/>
        <v>56337.899999999994</v>
      </c>
      <c r="I72" s="60">
        <f t="shared" si="52"/>
        <v>1408.4475</v>
      </c>
      <c r="J72" s="60"/>
      <c r="K72" s="60">
        <f t="shared" si="53"/>
        <v>9389.65</v>
      </c>
      <c r="L72" s="60">
        <f t="shared" si="54"/>
        <v>65727.55</v>
      </c>
      <c r="M72" s="60">
        <f t="shared" si="55"/>
        <v>18779.3</v>
      </c>
      <c r="N72" s="27">
        <f t="shared" ref="N72:N75" si="59">100000</f>
        <v>100000</v>
      </c>
      <c r="O72" s="27"/>
      <c r="P72" s="60">
        <f t="shared" si="56"/>
        <v>1877.93</v>
      </c>
      <c r="Q72" s="60">
        <v>10000</v>
      </c>
      <c r="R72" s="60"/>
      <c r="S72" s="38">
        <f t="shared" si="57"/>
        <v>282300.07749999996</v>
      </c>
      <c r="T72" s="38">
        <v>277734.04699999996</v>
      </c>
      <c r="U72" s="38">
        <f t="shared" si="1"/>
        <v>4566.0304999999935</v>
      </c>
      <c r="V72" s="38"/>
      <c r="W72" s="60">
        <v>3369.51</v>
      </c>
      <c r="X72" s="38">
        <v>3369.51</v>
      </c>
      <c r="Y72" s="38">
        <f t="shared" si="2"/>
        <v>0</v>
      </c>
      <c r="Z72" s="26"/>
      <c r="AA72" s="38"/>
      <c r="AB72" s="38"/>
    </row>
    <row r="73" spans="1:28" ht="20.100000000000001" customHeight="1">
      <c r="A73" s="127">
        <v>10</v>
      </c>
      <c r="B73" s="754" t="s">
        <v>322</v>
      </c>
      <c r="C73" s="755"/>
      <c r="D73" s="128" t="s">
        <v>84</v>
      </c>
      <c r="E73" s="127" t="s">
        <v>104</v>
      </c>
      <c r="F73" s="60">
        <f>17286.33</f>
        <v>17286.330000000002</v>
      </c>
      <c r="G73" s="60"/>
      <c r="H73" s="60">
        <f t="shared" si="51"/>
        <v>51858.990000000005</v>
      </c>
      <c r="I73" s="60">
        <f t="shared" si="52"/>
        <v>1296.4747500000001</v>
      </c>
      <c r="J73" s="60"/>
      <c r="K73" s="60">
        <f t="shared" si="53"/>
        <v>8643.1650000000009</v>
      </c>
      <c r="L73" s="60">
        <f t="shared" si="54"/>
        <v>60502.155000000006</v>
      </c>
      <c r="M73" s="60">
        <f t="shared" si="55"/>
        <v>17286.330000000002</v>
      </c>
      <c r="N73" s="27">
        <f t="shared" si="59"/>
        <v>100000</v>
      </c>
      <c r="O73" s="27"/>
      <c r="P73" s="60">
        <f t="shared" si="56"/>
        <v>1728.6330000000003</v>
      </c>
      <c r="Q73" s="60">
        <v>10000</v>
      </c>
      <c r="R73" s="60"/>
      <c r="S73" s="38">
        <f t="shared" si="57"/>
        <v>268602.07775000005</v>
      </c>
      <c r="T73" s="38">
        <v>268602.07775000005</v>
      </c>
      <c r="U73" s="38">
        <f t="shared" si="1"/>
        <v>0</v>
      </c>
      <c r="V73" s="38"/>
      <c r="W73" s="60">
        <v>3369.51</v>
      </c>
      <c r="X73" s="38">
        <v>3369.51</v>
      </c>
      <c r="Y73" s="38">
        <f t="shared" si="2"/>
        <v>0</v>
      </c>
      <c r="Z73" s="26"/>
      <c r="AA73" s="38"/>
      <c r="AB73" s="38"/>
    </row>
    <row r="74" spans="1:28" ht="20.100000000000001" customHeight="1">
      <c r="A74" s="127">
        <v>11</v>
      </c>
      <c r="B74" s="754" t="s">
        <v>320</v>
      </c>
      <c r="C74" s="755"/>
      <c r="D74" s="128" t="s">
        <v>115</v>
      </c>
      <c r="E74" s="127" t="s">
        <v>105</v>
      </c>
      <c r="F74" s="60">
        <f>12351.94</f>
        <v>12351.94</v>
      </c>
      <c r="G74" s="60"/>
      <c r="H74" s="60">
        <f t="shared" si="51"/>
        <v>37055.82</v>
      </c>
      <c r="I74" s="60">
        <f t="shared" si="52"/>
        <v>926.39549999999997</v>
      </c>
      <c r="J74" s="60"/>
      <c r="K74" s="60">
        <f t="shared" si="53"/>
        <v>6175.97</v>
      </c>
      <c r="L74" s="60">
        <f t="shared" si="54"/>
        <v>43231.79</v>
      </c>
      <c r="M74" s="60">
        <f t="shared" si="55"/>
        <v>12351.94</v>
      </c>
      <c r="N74" s="27">
        <f t="shared" si="59"/>
        <v>100000</v>
      </c>
      <c r="O74" s="27"/>
      <c r="P74" s="60">
        <f t="shared" si="56"/>
        <v>1235.1940000000002</v>
      </c>
      <c r="Q74" s="60">
        <v>10000</v>
      </c>
      <c r="R74" s="60"/>
      <c r="S74" s="38">
        <f t="shared" si="57"/>
        <v>223329.04949999999</v>
      </c>
      <c r="T74" s="38">
        <v>223329.04949999999</v>
      </c>
      <c r="U74" s="38">
        <f t="shared" ref="U74:U137" si="60">S74-T74</f>
        <v>0</v>
      </c>
      <c r="V74" s="38"/>
      <c r="W74" s="60">
        <v>1484.37</v>
      </c>
      <c r="X74" s="38">
        <v>1484.37</v>
      </c>
      <c r="Y74" s="38">
        <f t="shared" ref="Y74:Y137" si="61">X74-W74</f>
        <v>0</v>
      </c>
      <c r="Z74" s="26"/>
      <c r="AA74" s="38"/>
      <c r="AB74" s="38"/>
    </row>
    <row r="75" spans="1:28" ht="20.100000000000001" customHeight="1">
      <c r="A75" s="127">
        <v>12</v>
      </c>
      <c r="B75" s="758" t="s">
        <v>321</v>
      </c>
      <c r="C75" s="759"/>
      <c r="D75" s="128" t="s">
        <v>115</v>
      </c>
      <c r="E75" s="127" t="s">
        <v>105</v>
      </c>
      <c r="F75" s="60">
        <f>12351.94</f>
        <v>12351.94</v>
      </c>
      <c r="G75" s="60"/>
      <c r="H75" s="60">
        <f t="shared" si="51"/>
        <v>37055.82</v>
      </c>
      <c r="I75" s="60">
        <f t="shared" si="52"/>
        <v>926.39549999999997</v>
      </c>
      <c r="J75" s="60"/>
      <c r="K75" s="60">
        <f t="shared" si="53"/>
        <v>6175.97</v>
      </c>
      <c r="L75" s="60">
        <f t="shared" si="54"/>
        <v>43231.79</v>
      </c>
      <c r="M75" s="60">
        <f t="shared" si="55"/>
        <v>12351.94</v>
      </c>
      <c r="N75" s="27">
        <f t="shared" si="59"/>
        <v>100000</v>
      </c>
      <c r="O75" s="27"/>
      <c r="P75" s="60">
        <f t="shared" si="56"/>
        <v>1235.1940000000002</v>
      </c>
      <c r="Q75" s="60">
        <v>10000</v>
      </c>
      <c r="R75" s="60"/>
      <c r="S75" s="38">
        <f t="shared" si="57"/>
        <v>223329.04949999999</v>
      </c>
      <c r="T75" s="38">
        <v>223329.04949999999</v>
      </c>
      <c r="U75" s="38">
        <f t="shared" si="60"/>
        <v>0</v>
      </c>
      <c r="V75" s="38"/>
      <c r="W75" s="60">
        <v>1484.37</v>
      </c>
      <c r="X75" s="38">
        <v>1484.37</v>
      </c>
      <c r="Y75" s="38">
        <f t="shared" si="61"/>
        <v>0</v>
      </c>
      <c r="Z75" s="26"/>
      <c r="AA75" s="38"/>
      <c r="AB75" s="38"/>
    </row>
    <row r="76" spans="1:28" ht="20.100000000000001" customHeight="1">
      <c r="A76" s="127"/>
      <c r="B76" s="760" t="s">
        <v>15</v>
      </c>
      <c r="C76" s="761"/>
      <c r="D76" s="30">
        <v>12</v>
      </c>
      <c r="E76" s="30"/>
      <c r="F76" s="78">
        <f t="shared" ref="F76:N76" si="62">SUM(F64:F75)</f>
        <v>316528.2</v>
      </c>
      <c r="G76" s="78">
        <f t="shared" si="62"/>
        <v>0</v>
      </c>
      <c r="H76" s="78">
        <f t="shared" si="62"/>
        <v>949584.6</v>
      </c>
      <c r="I76" s="78">
        <f t="shared" si="62"/>
        <v>23739.614999999994</v>
      </c>
      <c r="J76" s="78">
        <f t="shared" si="62"/>
        <v>120366.57</v>
      </c>
      <c r="K76" s="78">
        <f t="shared" si="62"/>
        <v>158264.1</v>
      </c>
      <c r="L76" s="78">
        <f t="shared" si="62"/>
        <v>1107848.7000000002</v>
      </c>
      <c r="M76" s="78">
        <f t="shared" si="62"/>
        <v>316528.2</v>
      </c>
      <c r="N76" s="85">
        <f t="shared" si="62"/>
        <v>1470000</v>
      </c>
      <c r="O76" s="85"/>
      <c r="P76" s="78">
        <f>SUM(P64:P75)</f>
        <v>31652.82</v>
      </c>
      <c r="Q76" s="78">
        <f>SUM(Q64:Q75)</f>
        <v>170000</v>
      </c>
      <c r="R76" s="78">
        <f>SUM(R64:R75)</f>
        <v>0</v>
      </c>
      <c r="S76" s="78">
        <f>SUM(S64:S75)</f>
        <v>4664512.8049999997</v>
      </c>
      <c r="T76" s="78">
        <v>4597254.6417499995</v>
      </c>
      <c r="U76" s="81">
        <f t="shared" si="60"/>
        <v>67258.163250000216</v>
      </c>
      <c r="V76" s="78"/>
      <c r="W76" s="78">
        <f t="shared" ref="W76" si="63">SUM(W64:W75)</f>
        <v>115610.77999999994</v>
      </c>
      <c r="X76" s="78">
        <v>115610.77999999994</v>
      </c>
      <c r="Y76" s="38">
        <f t="shared" si="61"/>
        <v>0</v>
      </c>
      <c r="Z76" s="78"/>
      <c r="AA76" s="78"/>
      <c r="AB76" s="78"/>
    </row>
    <row r="77" spans="1:28" ht="20.100000000000001" customHeight="1">
      <c r="A77" s="127"/>
      <c r="B77" s="115"/>
      <c r="C77" s="116"/>
      <c r="D77" s="30"/>
      <c r="E77" s="30"/>
      <c r="F77" s="31"/>
      <c r="G77" s="31"/>
      <c r="H77" s="31"/>
      <c r="I77" s="31"/>
      <c r="J77" s="31"/>
      <c r="K77" s="31"/>
      <c r="L77" s="31"/>
      <c r="M77" s="31"/>
      <c r="N77" s="27"/>
      <c r="O77" s="27"/>
      <c r="P77" s="31"/>
      <c r="Q77" s="31"/>
      <c r="R77" s="31"/>
      <c r="S77" s="31"/>
      <c r="T77" s="31"/>
      <c r="U77" s="38">
        <f t="shared" si="60"/>
        <v>0</v>
      </c>
      <c r="V77" s="31"/>
      <c r="W77" s="31"/>
      <c r="X77" s="31"/>
      <c r="Y77" s="38">
        <f t="shared" si="61"/>
        <v>0</v>
      </c>
      <c r="Z77" s="31"/>
      <c r="AA77" s="31"/>
      <c r="AB77" s="31"/>
    </row>
    <row r="78" spans="1:28" ht="20.100000000000001" customHeight="1">
      <c r="A78" s="127"/>
      <c r="B78" s="760" t="s">
        <v>347</v>
      </c>
      <c r="C78" s="761"/>
      <c r="D78" s="30"/>
      <c r="E78" s="30"/>
      <c r="F78" s="31"/>
      <c r="G78" s="31"/>
      <c r="H78" s="31"/>
      <c r="I78" s="31"/>
      <c r="J78" s="31"/>
      <c r="K78" s="31"/>
      <c r="L78" s="31"/>
      <c r="M78" s="31"/>
      <c r="N78" s="27"/>
      <c r="O78" s="27"/>
      <c r="P78" s="31"/>
      <c r="Q78" s="31"/>
      <c r="R78" s="31"/>
      <c r="S78" s="31"/>
      <c r="T78" s="31"/>
      <c r="U78" s="38">
        <f t="shared" si="60"/>
        <v>0</v>
      </c>
      <c r="V78" s="31"/>
      <c r="W78" s="31"/>
      <c r="X78" s="31"/>
      <c r="Y78" s="38">
        <f t="shared" si="61"/>
        <v>0</v>
      </c>
      <c r="Z78" s="31"/>
      <c r="AA78" s="31"/>
      <c r="AB78" s="31"/>
    </row>
    <row r="79" spans="1:28" ht="20.100000000000001" customHeight="1">
      <c r="A79" s="127">
        <v>1</v>
      </c>
      <c r="B79" s="741" t="s">
        <v>19</v>
      </c>
      <c r="C79" s="742"/>
      <c r="D79" s="41" t="s">
        <v>201</v>
      </c>
      <c r="E79" s="127" t="s">
        <v>161</v>
      </c>
      <c r="F79" s="60">
        <f>81740.02</f>
        <v>81740.02</v>
      </c>
      <c r="G79" s="60"/>
      <c r="H79" s="60">
        <f t="shared" ref="H79:H85" si="64">F79*300%</f>
        <v>245220.06</v>
      </c>
      <c r="I79" s="60">
        <f t="shared" ref="I79:I85" si="65">F79*7.5%</f>
        <v>6130.5015000000003</v>
      </c>
      <c r="J79" s="60">
        <v>80244.38</v>
      </c>
      <c r="K79" s="60">
        <f>F79*50%</f>
        <v>40870.01</v>
      </c>
      <c r="L79" s="60">
        <f t="shared" ref="L79:L85" si="66">F79*350%</f>
        <v>286090.07</v>
      </c>
      <c r="M79" s="60">
        <f>F79*100%</f>
        <v>81740.02</v>
      </c>
      <c r="N79" s="27">
        <f>200000</f>
        <v>200000</v>
      </c>
      <c r="O79" s="27"/>
      <c r="P79" s="60">
        <f>F79*10%</f>
        <v>8174.0020000000004</v>
      </c>
      <c r="Q79" s="60">
        <v>20000</v>
      </c>
      <c r="R79" s="60">
        <v>0</v>
      </c>
      <c r="S79" s="38">
        <f>SUM(F79:R79)</f>
        <v>1050209.0635000002</v>
      </c>
      <c r="T79" s="38">
        <v>1050209.0635000002</v>
      </c>
      <c r="U79" s="38">
        <f t="shared" si="60"/>
        <v>0</v>
      </c>
      <c r="V79" s="38"/>
      <c r="W79" s="60">
        <v>52776.63</v>
      </c>
      <c r="X79" s="38">
        <v>52776.63</v>
      </c>
      <c r="Y79" s="38">
        <f t="shared" si="61"/>
        <v>0</v>
      </c>
      <c r="Z79" s="38"/>
      <c r="AA79" s="38"/>
      <c r="AB79" s="38"/>
    </row>
    <row r="80" spans="1:28" ht="20.100000000000001" customHeight="1">
      <c r="A80" s="127">
        <v>2</v>
      </c>
      <c r="B80" s="1" t="s">
        <v>325</v>
      </c>
      <c r="D80" s="1" t="s">
        <v>245</v>
      </c>
      <c r="E80" s="64" t="s">
        <v>272</v>
      </c>
      <c r="F80" s="38">
        <v>31018.84</v>
      </c>
      <c r="G80" s="60"/>
      <c r="H80" s="60">
        <f t="shared" si="64"/>
        <v>93056.52</v>
      </c>
      <c r="I80" s="60">
        <f t="shared" si="65"/>
        <v>2326.413</v>
      </c>
      <c r="J80" s="60">
        <v>40122.19</v>
      </c>
      <c r="K80" s="60">
        <f t="shared" ref="K80:K81" si="67">F80*50%</f>
        <v>15509.42</v>
      </c>
      <c r="L80" s="60">
        <f t="shared" si="66"/>
        <v>108565.94</v>
      </c>
      <c r="M80" s="60">
        <f t="shared" ref="M80:M81" si="68">F80*100%</f>
        <v>31018.84</v>
      </c>
      <c r="N80" s="27">
        <f>160000</f>
        <v>160000</v>
      </c>
      <c r="O80" s="27"/>
      <c r="P80" s="60">
        <f t="shared" ref="P80:P81" si="69">F80*10%</f>
        <v>3101.884</v>
      </c>
      <c r="Q80" s="60">
        <v>20000</v>
      </c>
      <c r="R80" s="61">
        <v>0</v>
      </c>
      <c r="S80" s="38">
        <f t="shared" ref="S80:S81" si="70">SUM(F80:R80)</f>
        <v>504720.04700000002</v>
      </c>
      <c r="T80" s="38">
        <v>504720.04700000002</v>
      </c>
      <c r="U80" s="38">
        <f t="shared" si="60"/>
        <v>0</v>
      </c>
      <c r="V80" s="38"/>
      <c r="W80" s="60">
        <f t="shared" ref="W80:W81" si="71">15548.33</f>
        <v>15548.33</v>
      </c>
      <c r="X80" s="38">
        <v>15548.33</v>
      </c>
      <c r="Y80" s="38">
        <f t="shared" si="61"/>
        <v>0</v>
      </c>
      <c r="Z80" s="38"/>
      <c r="AA80" s="38"/>
      <c r="AB80" s="38"/>
    </row>
    <row r="81" spans="1:28" ht="20.100000000000001" customHeight="1">
      <c r="A81" s="127">
        <v>3</v>
      </c>
      <c r="B81" s="1" t="s">
        <v>326</v>
      </c>
      <c r="D81" s="1" t="s">
        <v>327</v>
      </c>
      <c r="E81" s="64" t="s">
        <v>272</v>
      </c>
      <c r="F81" s="38">
        <v>31018.84</v>
      </c>
      <c r="G81" s="60"/>
      <c r="H81" s="60">
        <f t="shared" si="64"/>
        <v>93056.52</v>
      </c>
      <c r="I81" s="60">
        <f t="shared" si="65"/>
        <v>2326.413</v>
      </c>
      <c r="J81" s="60">
        <v>40122.19</v>
      </c>
      <c r="K81" s="60">
        <f t="shared" si="67"/>
        <v>15509.42</v>
      </c>
      <c r="L81" s="60">
        <f t="shared" si="66"/>
        <v>108565.94</v>
      </c>
      <c r="M81" s="60">
        <f t="shared" si="68"/>
        <v>31018.84</v>
      </c>
      <c r="N81" s="27">
        <f>160000</f>
        <v>160000</v>
      </c>
      <c r="O81" s="27"/>
      <c r="P81" s="60">
        <f t="shared" si="69"/>
        <v>3101.884</v>
      </c>
      <c r="Q81" s="60">
        <v>20000</v>
      </c>
      <c r="R81" s="61">
        <v>0</v>
      </c>
      <c r="S81" s="38">
        <f t="shared" si="70"/>
        <v>504720.04700000002</v>
      </c>
      <c r="T81" s="38">
        <v>504720.04700000002</v>
      </c>
      <c r="U81" s="38">
        <f t="shared" si="60"/>
        <v>0</v>
      </c>
      <c r="V81" s="38"/>
      <c r="W81" s="60">
        <f t="shared" si="71"/>
        <v>15548.33</v>
      </c>
      <c r="X81" s="38">
        <v>15548.33</v>
      </c>
      <c r="Y81" s="38">
        <f t="shared" si="61"/>
        <v>0</v>
      </c>
      <c r="Z81" s="38"/>
      <c r="AA81" s="38"/>
      <c r="AB81" s="38"/>
    </row>
    <row r="82" spans="1:28" ht="20.100000000000001" customHeight="1">
      <c r="A82" s="127">
        <v>4</v>
      </c>
      <c r="B82" s="741" t="s">
        <v>114</v>
      </c>
      <c r="C82" s="742"/>
      <c r="D82" s="41" t="s">
        <v>80</v>
      </c>
      <c r="E82" s="64" t="s">
        <v>163</v>
      </c>
      <c r="F82" s="60">
        <f>24741.26</f>
        <v>24741.26</v>
      </c>
      <c r="G82" s="60"/>
      <c r="H82" s="60">
        <f t="shared" si="64"/>
        <v>74223.78</v>
      </c>
      <c r="I82" s="60">
        <f t="shared" si="65"/>
        <v>1855.5944999999997</v>
      </c>
      <c r="J82" s="38">
        <v>0</v>
      </c>
      <c r="K82" s="60">
        <f>F82*50%</f>
        <v>12370.63</v>
      </c>
      <c r="L82" s="38">
        <f t="shared" si="66"/>
        <v>86594.409999999989</v>
      </c>
      <c r="M82" s="60">
        <f>F82*100%</f>
        <v>24741.26</v>
      </c>
      <c r="N82" s="27">
        <f>120000</f>
        <v>120000</v>
      </c>
      <c r="O82" s="27"/>
      <c r="P82" s="60">
        <f>F82*10%</f>
        <v>2474.1260000000002</v>
      </c>
      <c r="Q82" s="60">
        <v>15000</v>
      </c>
      <c r="R82" s="60">
        <v>0</v>
      </c>
      <c r="S82" s="38">
        <f>SUM(F82:R82)</f>
        <v>362001.06049999996</v>
      </c>
      <c r="T82" s="38">
        <v>354201.02600000001</v>
      </c>
      <c r="U82" s="38">
        <f t="shared" si="60"/>
        <v>7800.0344999999506</v>
      </c>
      <c r="V82" s="38"/>
      <c r="W82" s="60">
        <f>7709.76</f>
        <v>7709.76</v>
      </c>
      <c r="X82" s="38">
        <v>7709.76</v>
      </c>
      <c r="Y82" s="38">
        <f t="shared" si="61"/>
        <v>0</v>
      </c>
      <c r="Z82" s="38"/>
      <c r="AA82" s="38"/>
      <c r="AB82" s="38"/>
    </row>
    <row r="83" spans="1:28" ht="20.100000000000001" customHeight="1">
      <c r="A83" s="127">
        <v>5</v>
      </c>
      <c r="B83" s="741" t="s">
        <v>324</v>
      </c>
      <c r="C83" s="742"/>
      <c r="D83" s="41" t="s">
        <v>243</v>
      </c>
      <c r="E83" s="127" t="s">
        <v>104</v>
      </c>
      <c r="F83" s="60">
        <f t="shared" ref="F83" si="72">17286.33</f>
        <v>17286.330000000002</v>
      </c>
      <c r="G83" s="60"/>
      <c r="H83" s="60">
        <f t="shared" si="64"/>
        <v>51858.990000000005</v>
      </c>
      <c r="I83" s="60">
        <f t="shared" si="65"/>
        <v>1296.4747500000001</v>
      </c>
      <c r="J83" s="60"/>
      <c r="K83" s="60">
        <f t="shared" ref="K83:K85" si="73">F83*50%</f>
        <v>8643.1650000000009</v>
      </c>
      <c r="L83" s="60">
        <f t="shared" si="66"/>
        <v>60502.155000000006</v>
      </c>
      <c r="M83" s="60">
        <f t="shared" ref="M83:M85" si="74">F83*100%</f>
        <v>17286.330000000002</v>
      </c>
      <c r="N83" s="27">
        <f>100000</f>
        <v>100000</v>
      </c>
      <c r="O83" s="27"/>
      <c r="P83" s="60">
        <f t="shared" ref="P83:P85" si="75">F83*10%</f>
        <v>1728.6330000000003</v>
      </c>
      <c r="Q83" s="60">
        <v>10000</v>
      </c>
      <c r="R83" s="60"/>
      <c r="S83" s="38">
        <f t="shared" ref="S83:S85" si="76">SUM(F83:R83)</f>
        <v>268602.07775000005</v>
      </c>
      <c r="T83" s="38">
        <v>268602.07775000005</v>
      </c>
      <c r="U83" s="38">
        <f t="shared" si="60"/>
        <v>0</v>
      </c>
      <c r="V83" s="38"/>
      <c r="W83" s="60">
        <v>3369.51</v>
      </c>
      <c r="X83" s="38">
        <v>3369.51</v>
      </c>
      <c r="Y83" s="38">
        <f t="shared" si="61"/>
        <v>0</v>
      </c>
      <c r="Z83" s="38"/>
      <c r="AA83" s="38"/>
      <c r="AB83" s="38"/>
    </row>
    <row r="84" spans="1:28" ht="20.100000000000001" customHeight="1">
      <c r="A84" s="127">
        <v>6</v>
      </c>
      <c r="B84" s="111" t="s">
        <v>328</v>
      </c>
      <c r="C84" s="112"/>
      <c r="D84" s="41" t="s">
        <v>329</v>
      </c>
      <c r="E84" s="127" t="s">
        <v>51</v>
      </c>
      <c r="F84" s="60">
        <f>13112.16</f>
        <v>13112.16</v>
      </c>
      <c r="G84" s="60"/>
      <c r="H84" s="60">
        <f t="shared" si="64"/>
        <v>39336.479999999996</v>
      </c>
      <c r="I84" s="60">
        <f t="shared" si="65"/>
        <v>983.41199999999992</v>
      </c>
      <c r="J84" s="60"/>
      <c r="K84" s="60">
        <f t="shared" si="73"/>
        <v>6556.08</v>
      </c>
      <c r="L84" s="60">
        <f t="shared" si="66"/>
        <v>45892.56</v>
      </c>
      <c r="M84" s="60">
        <f t="shared" si="74"/>
        <v>13112.16</v>
      </c>
      <c r="N84" s="27">
        <f t="shared" ref="N84:N85" si="77">100000</f>
        <v>100000</v>
      </c>
      <c r="O84" s="27"/>
      <c r="P84" s="60">
        <f t="shared" si="75"/>
        <v>1311.2160000000001</v>
      </c>
      <c r="Q84" s="60">
        <v>10000</v>
      </c>
      <c r="R84" s="60"/>
      <c r="S84" s="38">
        <f t="shared" si="76"/>
        <v>230304.068</v>
      </c>
      <c r="T84" s="38">
        <v>226816.1</v>
      </c>
      <c r="U84" s="38">
        <f t="shared" si="60"/>
        <v>3487.9679999999935</v>
      </c>
      <c r="V84" s="38"/>
      <c r="W84" s="60">
        <v>1484.37</v>
      </c>
      <c r="X84" s="38">
        <v>1484.37</v>
      </c>
      <c r="Y84" s="38">
        <f t="shared" si="61"/>
        <v>0</v>
      </c>
      <c r="Z84" s="38"/>
      <c r="AA84" s="38"/>
      <c r="AB84" s="38"/>
    </row>
    <row r="85" spans="1:28" ht="20.100000000000001" customHeight="1">
      <c r="A85" s="127">
        <v>7</v>
      </c>
      <c r="B85" s="111" t="s">
        <v>330</v>
      </c>
      <c r="C85" s="112"/>
      <c r="D85" s="41" t="s">
        <v>331</v>
      </c>
      <c r="E85" s="127" t="s">
        <v>105</v>
      </c>
      <c r="F85" s="60">
        <f>12351.94</f>
        <v>12351.94</v>
      </c>
      <c r="G85" s="60"/>
      <c r="H85" s="60">
        <f t="shared" si="64"/>
        <v>37055.82</v>
      </c>
      <c r="I85" s="60">
        <f t="shared" si="65"/>
        <v>926.39549999999997</v>
      </c>
      <c r="J85" s="60"/>
      <c r="K85" s="60">
        <f t="shared" si="73"/>
        <v>6175.97</v>
      </c>
      <c r="L85" s="60">
        <f t="shared" si="66"/>
        <v>43231.79</v>
      </c>
      <c r="M85" s="60">
        <f t="shared" si="74"/>
        <v>12351.94</v>
      </c>
      <c r="N85" s="27">
        <f t="shared" si="77"/>
        <v>100000</v>
      </c>
      <c r="O85" s="27"/>
      <c r="P85" s="60">
        <f t="shared" si="75"/>
        <v>1235.1940000000002</v>
      </c>
      <c r="Q85" s="60">
        <v>10000</v>
      </c>
      <c r="R85" s="60"/>
      <c r="S85" s="38">
        <f t="shared" si="76"/>
        <v>223329.04949999999</v>
      </c>
      <c r="T85" s="38">
        <v>223329.04949999999</v>
      </c>
      <c r="U85" s="38">
        <f t="shared" si="60"/>
        <v>0</v>
      </c>
      <c r="V85" s="38"/>
      <c r="W85" s="60">
        <v>1484.37</v>
      </c>
      <c r="X85" s="38">
        <v>1484.37</v>
      </c>
      <c r="Y85" s="38">
        <f t="shared" si="61"/>
        <v>0</v>
      </c>
      <c r="Z85" s="38"/>
      <c r="AA85" s="38"/>
      <c r="AB85" s="38"/>
    </row>
    <row r="86" spans="1:28" ht="20.100000000000001" customHeight="1">
      <c r="A86" s="127"/>
      <c r="B86" s="760" t="s">
        <v>15</v>
      </c>
      <c r="C86" s="761"/>
      <c r="D86" s="30">
        <v>7</v>
      </c>
      <c r="E86" s="30"/>
      <c r="F86" s="78">
        <f>SUM(F79:F85)</f>
        <v>211269.39000000004</v>
      </c>
      <c r="G86" s="78"/>
      <c r="H86" s="78">
        <f t="shared" ref="H86:N86" si="78">SUM(H79:H85)</f>
        <v>633808.16999999993</v>
      </c>
      <c r="I86" s="78">
        <f t="shared" si="78"/>
        <v>15845.204250000001</v>
      </c>
      <c r="J86" s="78">
        <f t="shared" si="78"/>
        <v>160488.76</v>
      </c>
      <c r="K86" s="78">
        <f t="shared" si="78"/>
        <v>105634.69500000002</v>
      </c>
      <c r="L86" s="78">
        <f t="shared" si="78"/>
        <v>739442.86499999999</v>
      </c>
      <c r="M86" s="78">
        <f t="shared" si="78"/>
        <v>211269.39000000004</v>
      </c>
      <c r="N86" s="85">
        <f t="shared" si="78"/>
        <v>940000</v>
      </c>
      <c r="O86" s="85"/>
      <c r="P86" s="78">
        <f>SUM(P79:P85)</f>
        <v>21126.939000000002</v>
      </c>
      <c r="Q86" s="78">
        <f>SUM(Q79:Q85)</f>
        <v>105000</v>
      </c>
      <c r="R86" s="78">
        <f>SUM(R79:R85)</f>
        <v>0</v>
      </c>
      <c r="S86" s="78">
        <f>SUM(S79:S85)</f>
        <v>3143885.4132500007</v>
      </c>
      <c r="T86" s="78">
        <v>3132597.4107500007</v>
      </c>
      <c r="U86" s="81">
        <f t="shared" si="60"/>
        <v>11288.002499999944</v>
      </c>
      <c r="V86" s="78"/>
      <c r="W86" s="78">
        <f>SUM(W79:W85)</f>
        <v>97921.299999999974</v>
      </c>
      <c r="X86" s="78">
        <v>97921.299999999974</v>
      </c>
      <c r="Y86" s="38">
        <f t="shared" si="61"/>
        <v>0</v>
      </c>
      <c r="Z86" s="78"/>
      <c r="AA86" s="78"/>
      <c r="AB86" s="78"/>
    </row>
    <row r="87" spans="1:28" ht="20.100000000000001" customHeight="1">
      <c r="A87" s="127"/>
      <c r="B87" s="762"/>
      <c r="C87" s="763"/>
      <c r="D87" s="122"/>
      <c r="E87" s="122"/>
      <c r="F87" s="45"/>
      <c r="G87" s="45"/>
      <c r="H87" s="45"/>
      <c r="I87" s="45"/>
      <c r="J87" s="45"/>
      <c r="K87" s="45"/>
      <c r="L87" s="45"/>
      <c r="M87" s="45"/>
      <c r="N87" s="27"/>
      <c r="O87" s="27"/>
      <c r="P87" s="45"/>
      <c r="Q87" s="45"/>
      <c r="R87" s="45"/>
      <c r="S87" s="61"/>
      <c r="T87" s="61"/>
      <c r="U87" s="38">
        <f t="shared" si="60"/>
        <v>0</v>
      </c>
      <c r="V87" s="61"/>
      <c r="W87" s="45"/>
      <c r="X87" s="61"/>
      <c r="Y87" s="38">
        <f t="shared" si="61"/>
        <v>0</v>
      </c>
      <c r="Z87" s="38"/>
      <c r="AA87" s="38"/>
      <c r="AB87" s="38"/>
    </row>
    <row r="88" spans="1:28" ht="20.100000000000001" customHeight="1">
      <c r="A88" s="127"/>
      <c r="B88" s="764" t="s">
        <v>354</v>
      </c>
      <c r="C88" s="765"/>
      <c r="D88" s="67"/>
      <c r="E88" s="122"/>
      <c r="F88" s="45"/>
      <c r="G88" s="45"/>
      <c r="H88" s="45"/>
      <c r="I88" s="45"/>
      <c r="J88" s="45"/>
      <c r="K88" s="45"/>
      <c r="L88" s="45"/>
      <c r="M88" s="45"/>
      <c r="N88" s="27"/>
      <c r="O88" s="27"/>
      <c r="P88" s="45"/>
      <c r="Q88" s="45"/>
      <c r="R88" s="45"/>
      <c r="S88" s="61"/>
      <c r="T88" s="61"/>
      <c r="U88" s="38">
        <f t="shared" si="60"/>
        <v>0</v>
      </c>
      <c r="V88" s="61"/>
      <c r="W88" s="45"/>
      <c r="X88" s="61"/>
      <c r="Y88" s="38">
        <f t="shared" si="61"/>
        <v>0</v>
      </c>
      <c r="Z88" s="38"/>
      <c r="AA88" s="38"/>
      <c r="AB88" s="38"/>
    </row>
    <row r="89" spans="1:28" ht="20.100000000000001" customHeight="1">
      <c r="A89" s="127">
        <v>1</v>
      </c>
      <c r="B89" s="741" t="s">
        <v>244</v>
      </c>
      <c r="C89" s="742"/>
      <c r="D89" s="41" t="s">
        <v>312</v>
      </c>
      <c r="E89" s="127" t="s">
        <v>221</v>
      </c>
      <c r="F89" s="60">
        <f>41157.69</f>
        <v>41157.69</v>
      </c>
      <c r="G89" s="60"/>
      <c r="H89" s="60">
        <f t="shared" ref="H89:H98" si="79">F89*300%</f>
        <v>123473.07</v>
      </c>
      <c r="I89" s="60">
        <f t="shared" ref="I89:I98" si="80">F89*7.5%</f>
        <v>3086.8267500000002</v>
      </c>
      <c r="J89" s="60">
        <v>40122.19</v>
      </c>
      <c r="K89" s="60">
        <f t="shared" ref="K89:K98" si="81">F89*50%</f>
        <v>20578.845000000001</v>
      </c>
      <c r="L89" s="60">
        <f t="shared" ref="L89:L98" si="82">F89*350%</f>
        <v>144051.91500000001</v>
      </c>
      <c r="M89" s="60">
        <f t="shared" ref="M89:M98" si="83">F89*100%</f>
        <v>41157.69</v>
      </c>
      <c r="N89" s="27">
        <f>180000</f>
        <v>180000</v>
      </c>
      <c r="O89" s="27"/>
      <c r="P89" s="60">
        <f t="shared" ref="P89:P98" si="84">F89*10%</f>
        <v>4115.7690000000002</v>
      </c>
      <c r="Q89" s="60">
        <v>20000</v>
      </c>
      <c r="R89" s="60"/>
      <c r="S89" s="38">
        <f t="shared" ref="S89:S98" si="85">SUM(F89:R89)</f>
        <v>617743.99575</v>
      </c>
      <c r="T89" s="38">
        <v>604023.33374999999</v>
      </c>
      <c r="U89" s="38">
        <f t="shared" si="60"/>
        <v>13720.662000000011</v>
      </c>
      <c r="V89" s="38"/>
      <c r="W89" s="60">
        <f>21618.09</f>
        <v>21618.09</v>
      </c>
      <c r="X89" s="38">
        <v>21618.09</v>
      </c>
      <c r="Y89" s="38">
        <f t="shared" si="61"/>
        <v>0</v>
      </c>
      <c r="Z89" s="38"/>
      <c r="AA89" s="38"/>
      <c r="AB89" s="38"/>
    </row>
    <row r="90" spans="1:28" ht="20.100000000000001" customHeight="1">
      <c r="A90" s="127">
        <v>2</v>
      </c>
      <c r="B90" s="741" t="s">
        <v>169</v>
      </c>
      <c r="C90" s="742"/>
      <c r="D90" s="41" t="s">
        <v>258</v>
      </c>
      <c r="E90" s="127" t="s">
        <v>75</v>
      </c>
      <c r="F90" s="60">
        <f>33507.5</f>
        <v>33507.5</v>
      </c>
      <c r="G90" s="60"/>
      <c r="H90" s="60">
        <f t="shared" si="79"/>
        <v>100522.5</v>
      </c>
      <c r="I90" s="60">
        <f t="shared" si="80"/>
        <v>2513.0625</v>
      </c>
      <c r="J90" s="60">
        <f>40122.19</f>
        <v>40122.19</v>
      </c>
      <c r="K90" s="60">
        <f t="shared" si="81"/>
        <v>16753.75</v>
      </c>
      <c r="L90" s="60">
        <f t="shared" si="82"/>
        <v>117276.25</v>
      </c>
      <c r="M90" s="60">
        <f t="shared" si="83"/>
        <v>33507.5</v>
      </c>
      <c r="N90" s="27">
        <f>160000</f>
        <v>160000</v>
      </c>
      <c r="O90" s="27"/>
      <c r="P90" s="60">
        <f t="shared" si="84"/>
        <v>3350.75</v>
      </c>
      <c r="Q90" s="60">
        <v>20000</v>
      </c>
      <c r="R90" s="60"/>
      <c r="S90" s="38">
        <f t="shared" si="85"/>
        <v>527553.50249999994</v>
      </c>
      <c r="T90" s="38">
        <v>516137.05000000005</v>
      </c>
      <c r="U90" s="38">
        <f t="shared" si="60"/>
        <v>11416.452499999898</v>
      </c>
      <c r="V90" s="38"/>
      <c r="W90" s="60">
        <f>15548.33</f>
        <v>15548.33</v>
      </c>
      <c r="X90" s="38">
        <v>15548.33</v>
      </c>
      <c r="Y90" s="38">
        <f t="shared" si="61"/>
        <v>0</v>
      </c>
      <c r="Z90" s="38"/>
      <c r="AA90" s="38"/>
      <c r="AB90" s="38"/>
    </row>
    <row r="91" spans="1:28" ht="20.100000000000001" customHeight="1">
      <c r="A91" s="127">
        <v>3</v>
      </c>
      <c r="B91" s="741" t="s">
        <v>192</v>
      </c>
      <c r="C91" s="742"/>
      <c r="D91" s="41" t="s">
        <v>258</v>
      </c>
      <c r="E91" s="127" t="s">
        <v>75</v>
      </c>
      <c r="F91" s="60">
        <f>33507.5</f>
        <v>33507.5</v>
      </c>
      <c r="G91" s="60"/>
      <c r="H91" s="60">
        <f>F91*300%</f>
        <v>100522.5</v>
      </c>
      <c r="I91" s="60">
        <f>F91*7.5%</f>
        <v>2513.0625</v>
      </c>
      <c r="J91" s="60">
        <f>40122.19</f>
        <v>40122.19</v>
      </c>
      <c r="K91" s="60">
        <f>F91*50%</f>
        <v>16753.75</v>
      </c>
      <c r="L91" s="60">
        <f>F91*350%</f>
        <v>117276.25</v>
      </c>
      <c r="M91" s="60">
        <f>F91*100%</f>
        <v>33507.5</v>
      </c>
      <c r="N91" s="27">
        <f>160000</f>
        <v>160000</v>
      </c>
      <c r="O91" s="27"/>
      <c r="P91" s="60">
        <f>F91*10%</f>
        <v>3350.75</v>
      </c>
      <c r="Q91" s="60">
        <v>20000</v>
      </c>
      <c r="R91" s="60"/>
      <c r="S91" s="38">
        <f>SUM(F91:R91)</f>
        <v>527553.50249999994</v>
      </c>
      <c r="T91" s="38">
        <v>516137.05000000005</v>
      </c>
      <c r="U91" s="38">
        <f t="shared" si="60"/>
        <v>11416.452499999898</v>
      </c>
      <c r="V91" s="38"/>
      <c r="W91" s="60">
        <f>15548.33</f>
        <v>15548.33</v>
      </c>
      <c r="X91" s="38">
        <v>15548.33</v>
      </c>
      <c r="Y91" s="38">
        <f t="shared" si="61"/>
        <v>0</v>
      </c>
      <c r="Z91" s="38"/>
      <c r="AA91" s="38"/>
      <c r="AB91" s="38"/>
    </row>
    <row r="92" spans="1:28" ht="20.100000000000001" customHeight="1">
      <c r="A92" s="127">
        <v>4</v>
      </c>
      <c r="B92" s="741" t="s">
        <v>113</v>
      </c>
      <c r="C92" s="742"/>
      <c r="D92" s="41" t="s">
        <v>78</v>
      </c>
      <c r="E92" s="127" t="s">
        <v>162</v>
      </c>
      <c r="F92" s="60">
        <f>26732.65</f>
        <v>26732.65</v>
      </c>
      <c r="G92" s="60"/>
      <c r="H92" s="60">
        <f t="shared" si="79"/>
        <v>80197.950000000012</v>
      </c>
      <c r="I92" s="60">
        <f t="shared" si="80"/>
        <v>2004.94875</v>
      </c>
      <c r="J92" s="60">
        <v>0</v>
      </c>
      <c r="K92" s="60">
        <f t="shared" si="81"/>
        <v>13366.325000000001</v>
      </c>
      <c r="L92" s="60">
        <f t="shared" si="82"/>
        <v>93564.275000000009</v>
      </c>
      <c r="M92" s="60">
        <f t="shared" si="83"/>
        <v>26732.65</v>
      </c>
      <c r="N92" s="27">
        <v>140000</v>
      </c>
      <c r="O92" s="27"/>
      <c r="P92" s="60">
        <f t="shared" si="84"/>
        <v>2673.2650000000003</v>
      </c>
      <c r="Q92" s="60">
        <v>20000</v>
      </c>
      <c r="R92" s="60">
        <v>0</v>
      </c>
      <c r="S92" s="38">
        <f t="shared" si="85"/>
        <v>405272.06374999997</v>
      </c>
      <c r="T92" s="38">
        <v>397211.36749999999</v>
      </c>
      <c r="U92" s="38">
        <f t="shared" si="60"/>
        <v>8060.696249999979</v>
      </c>
      <c r="V92" s="38"/>
      <c r="W92" s="38">
        <f t="shared" si="17"/>
        <v>7709.76</v>
      </c>
      <c r="X92" s="38">
        <v>7709.76</v>
      </c>
      <c r="Y92" s="38">
        <f t="shared" si="61"/>
        <v>0</v>
      </c>
      <c r="Z92" s="38"/>
      <c r="AA92" s="38"/>
      <c r="AB92" s="38"/>
    </row>
    <row r="93" spans="1:28" ht="20.100000000000001" customHeight="1">
      <c r="A93" s="127">
        <v>5</v>
      </c>
      <c r="B93" s="758" t="s">
        <v>138</v>
      </c>
      <c r="C93" s="759"/>
      <c r="D93" s="41" t="s">
        <v>297</v>
      </c>
      <c r="E93" s="127" t="s">
        <v>181</v>
      </c>
      <c r="F93" s="60">
        <f>27611.23</f>
        <v>27611.23</v>
      </c>
      <c r="G93" s="60"/>
      <c r="H93" s="60">
        <f>F93*300%</f>
        <v>82833.69</v>
      </c>
      <c r="I93" s="60">
        <f>F93*7.5%</f>
        <v>2070.8422499999997</v>
      </c>
      <c r="J93" s="60"/>
      <c r="K93" s="60">
        <f>F93*50%</f>
        <v>13805.615</v>
      </c>
      <c r="L93" s="38">
        <f>F93*350%</f>
        <v>96639.304999999993</v>
      </c>
      <c r="M93" s="60">
        <f>F93*100%</f>
        <v>27611.23</v>
      </c>
      <c r="N93" s="27">
        <v>140000</v>
      </c>
      <c r="O93" s="27"/>
      <c r="P93" s="60">
        <f>F93*10%</f>
        <v>2761.123</v>
      </c>
      <c r="Q93" s="60">
        <v>20000</v>
      </c>
      <c r="R93" s="60">
        <v>0</v>
      </c>
      <c r="S93" s="26">
        <f>SUM(F93:R93)</f>
        <v>413333.03525000007</v>
      </c>
      <c r="T93" s="26">
        <v>405272.06374999997</v>
      </c>
      <c r="U93" s="38">
        <f t="shared" si="60"/>
        <v>8060.9715000001015</v>
      </c>
      <c r="V93" s="38"/>
      <c r="W93" s="38">
        <f>7709.76</f>
        <v>7709.76</v>
      </c>
      <c r="X93" s="38">
        <v>7709.76</v>
      </c>
      <c r="Y93" s="38">
        <f t="shared" si="61"/>
        <v>0</v>
      </c>
      <c r="Z93" s="38"/>
      <c r="AA93" s="26"/>
      <c r="AB93" s="26"/>
    </row>
    <row r="94" spans="1:28" ht="20.100000000000001" customHeight="1">
      <c r="A94" s="127">
        <v>6</v>
      </c>
      <c r="B94" s="754" t="s">
        <v>202</v>
      </c>
      <c r="C94" s="755"/>
      <c r="D94" s="41" t="s">
        <v>78</v>
      </c>
      <c r="E94" s="127" t="s">
        <v>162</v>
      </c>
      <c r="F94" s="26">
        <f>26732.65</f>
        <v>26732.65</v>
      </c>
      <c r="G94" s="60"/>
      <c r="H94" s="26">
        <f t="shared" si="79"/>
        <v>80197.950000000012</v>
      </c>
      <c r="I94" s="26">
        <f t="shared" si="80"/>
        <v>2004.94875</v>
      </c>
      <c r="J94" s="26"/>
      <c r="K94" s="26">
        <f t="shared" si="81"/>
        <v>13366.325000000001</v>
      </c>
      <c r="L94" s="26">
        <f t="shared" si="82"/>
        <v>93564.275000000009</v>
      </c>
      <c r="M94" s="26">
        <f t="shared" si="83"/>
        <v>26732.65</v>
      </c>
      <c r="N94" s="27">
        <v>140000</v>
      </c>
      <c r="O94" s="27"/>
      <c r="P94" s="26">
        <f t="shared" si="84"/>
        <v>2673.2650000000003</v>
      </c>
      <c r="Q94" s="26">
        <v>20000</v>
      </c>
      <c r="R94" s="26"/>
      <c r="S94" s="38">
        <f t="shared" si="85"/>
        <v>405272.06374999997</v>
      </c>
      <c r="T94" s="38">
        <v>397211.36749999999</v>
      </c>
      <c r="U94" s="38">
        <f t="shared" si="60"/>
        <v>8060.696249999979</v>
      </c>
      <c r="V94" s="24"/>
      <c r="W94" s="38">
        <f t="shared" si="17"/>
        <v>7709.76</v>
      </c>
      <c r="X94" s="24">
        <v>7709.76</v>
      </c>
      <c r="Y94" s="38">
        <f t="shared" si="61"/>
        <v>0</v>
      </c>
      <c r="Z94" s="38"/>
      <c r="AA94" s="38"/>
      <c r="AB94" s="38"/>
    </row>
    <row r="95" spans="1:28" ht="20.100000000000001" customHeight="1">
      <c r="A95" s="127">
        <v>7</v>
      </c>
      <c r="B95" s="741" t="s">
        <v>335</v>
      </c>
      <c r="C95" s="742"/>
      <c r="D95" s="108" t="s">
        <v>297</v>
      </c>
      <c r="E95" s="64" t="s">
        <v>222</v>
      </c>
      <c r="F95" s="60">
        <f>25854.1</f>
        <v>25854.1</v>
      </c>
      <c r="G95" s="60"/>
      <c r="H95" s="60">
        <f>F95*300%</f>
        <v>77562.299999999988</v>
      </c>
      <c r="I95" s="60">
        <f>F95*7.5%</f>
        <v>1939.0574999999999</v>
      </c>
      <c r="J95" s="60">
        <v>0</v>
      </c>
      <c r="K95" s="60">
        <f>F95*50%</f>
        <v>12927.05</v>
      </c>
      <c r="L95" s="38">
        <f>F95*350%</f>
        <v>90489.349999999991</v>
      </c>
      <c r="M95" s="60">
        <f>F95*100%</f>
        <v>25854.1</v>
      </c>
      <c r="N95" s="27">
        <v>140000</v>
      </c>
      <c r="O95" s="27"/>
      <c r="P95" s="60">
        <f>F95*10%</f>
        <v>2585.41</v>
      </c>
      <c r="Q95" s="60">
        <v>20000</v>
      </c>
      <c r="R95" s="60" t="s">
        <v>404</v>
      </c>
      <c r="S95" s="38">
        <f>SUM(F95:R95)</f>
        <v>397211.36749999999</v>
      </c>
      <c r="T95" s="38">
        <v>389153.05674999999</v>
      </c>
      <c r="U95" s="38">
        <f t="shared" si="60"/>
        <v>8058.3107500000042</v>
      </c>
      <c r="V95" s="38"/>
      <c r="W95" s="60">
        <f t="shared" si="18"/>
        <v>7709.76</v>
      </c>
      <c r="X95" s="38">
        <v>7709.76</v>
      </c>
      <c r="Y95" s="38">
        <f t="shared" si="61"/>
        <v>0</v>
      </c>
      <c r="Z95" s="38"/>
      <c r="AA95" s="38"/>
      <c r="AB95" s="38"/>
    </row>
    <row r="96" spans="1:28" ht="21.6" customHeight="1">
      <c r="A96" s="127">
        <v>8</v>
      </c>
      <c r="B96" s="748" t="s">
        <v>101</v>
      </c>
      <c r="C96" s="748"/>
      <c r="D96" s="41" t="s">
        <v>80</v>
      </c>
      <c r="E96" s="64" t="s">
        <v>163</v>
      </c>
      <c r="F96" s="60">
        <f>24741.26</f>
        <v>24741.26</v>
      </c>
      <c r="G96" s="60"/>
      <c r="H96" s="60">
        <f t="shared" si="79"/>
        <v>74223.78</v>
      </c>
      <c r="I96" s="60">
        <f t="shared" si="80"/>
        <v>1855.5944999999997</v>
      </c>
      <c r="J96" s="60">
        <v>0</v>
      </c>
      <c r="K96" s="60">
        <f t="shared" si="81"/>
        <v>12370.63</v>
      </c>
      <c r="L96" s="38">
        <f t="shared" si="82"/>
        <v>86594.409999999989</v>
      </c>
      <c r="M96" s="60">
        <f t="shared" si="83"/>
        <v>24741.26</v>
      </c>
      <c r="N96" s="27">
        <f>120000</f>
        <v>120000</v>
      </c>
      <c r="O96" s="27"/>
      <c r="P96" s="60">
        <f t="shared" si="84"/>
        <v>2474.1260000000002</v>
      </c>
      <c r="Q96" s="60">
        <v>15000</v>
      </c>
      <c r="R96" s="60">
        <v>0</v>
      </c>
      <c r="S96" s="38">
        <f t="shared" si="85"/>
        <v>362001.06049999996</v>
      </c>
      <c r="T96" s="38">
        <v>354201.02600000001</v>
      </c>
      <c r="U96" s="38">
        <f t="shared" si="60"/>
        <v>7800.0344999999506</v>
      </c>
      <c r="V96" s="38"/>
      <c r="W96" s="60">
        <f>7709.76</f>
        <v>7709.76</v>
      </c>
      <c r="X96" s="38">
        <v>7709.76</v>
      </c>
      <c r="Y96" s="38">
        <f t="shared" si="61"/>
        <v>0</v>
      </c>
      <c r="Z96" s="38"/>
      <c r="AA96" s="38"/>
      <c r="AB96" s="38"/>
    </row>
    <row r="97" spans="1:29" ht="21.6" customHeight="1">
      <c r="A97" s="127">
        <v>9</v>
      </c>
      <c r="B97" s="741" t="s">
        <v>336</v>
      </c>
      <c r="C97" s="742"/>
      <c r="D97" s="108" t="s">
        <v>257</v>
      </c>
      <c r="E97" s="64" t="s">
        <v>149</v>
      </c>
      <c r="F97" s="60">
        <f>23891.12</f>
        <v>23891.119999999999</v>
      </c>
      <c r="G97" s="60"/>
      <c r="H97" s="60">
        <f t="shared" si="79"/>
        <v>71673.36</v>
      </c>
      <c r="I97" s="60">
        <f t="shared" si="80"/>
        <v>1791.8339999999998</v>
      </c>
      <c r="J97" s="60">
        <v>0</v>
      </c>
      <c r="K97" s="60">
        <f t="shared" si="81"/>
        <v>11945.56</v>
      </c>
      <c r="L97" s="38">
        <f t="shared" si="82"/>
        <v>83618.92</v>
      </c>
      <c r="M97" s="60">
        <f t="shared" si="83"/>
        <v>23891.119999999999</v>
      </c>
      <c r="N97" s="27">
        <f t="shared" ref="N97:N98" si="86">120000</f>
        <v>120000</v>
      </c>
      <c r="O97" s="27"/>
      <c r="P97" s="60">
        <f t="shared" si="84"/>
        <v>2389.1120000000001</v>
      </c>
      <c r="Q97" s="60">
        <v>15000</v>
      </c>
      <c r="R97" s="60">
        <v>0</v>
      </c>
      <c r="S97" s="38">
        <f t="shared" si="85"/>
        <v>354201.02600000001</v>
      </c>
      <c r="T97" s="38">
        <v>346713.03325000004</v>
      </c>
      <c r="U97" s="38">
        <f t="shared" si="60"/>
        <v>7487.9927499999758</v>
      </c>
      <c r="V97" s="38"/>
      <c r="W97" s="60">
        <f t="shared" si="18"/>
        <v>7709.76</v>
      </c>
      <c r="X97" s="38">
        <v>7709.76</v>
      </c>
      <c r="Y97" s="38">
        <f t="shared" si="61"/>
        <v>0</v>
      </c>
      <c r="Z97" s="38"/>
      <c r="AA97" s="38"/>
      <c r="AB97" s="38"/>
    </row>
    <row r="98" spans="1:29" ht="21.6" customHeight="1">
      <c r="A98" s="127">
        <v>10</v>
      </c>
      <c r="B98" s="741" t="s">
        <v>337</v>
      </c>
      <c r="C98" s="742"/>
      <c r="D98" s="108" t="s">
        <v>257</v>
      </c>
      <c r="E98" s="64" t="s">
        <v>149</v>
      </c>
      <c r="F98" s="60">
        <f>23891.12</f>
        <v>23891.119999999999</v>
      </c>
      <c r="G98" s="60"/>
      <c r="H98" s="60">
        <f t="shared" si="79"/>
        <v>71673.36</v>
      </c>
      <c r="I98" s="60">
        <f t="shared" si="80"/>
        <v>1791.8339999999998</v>
      </c>
      <c r="J98" s="60">
        <v>0</v>
      </c>
      <c r="K98" s="60">
        <f t="shared" si="81"/>
        <v>11945.56</v>
      </c>
      <c r="L98" s="38">
        <f t="shared" si="82"/>
        <v>83618.92</v>
      </c>
      <c r="M98" s="60">
        <f t="shared" si="83"/>
        <v>23891.119999999999</v>
      </c>
      <c r="N98" s="27">
        <f t="shared" si="86"/>
        <v>120000</v>
      </c>
      <c r="O98" s="27"/>
      <c r="P98" s="60">
        <f t="shared" si="84"/>
        <v>2389.1120000000001</v>
      </c>
      <c r="Q98" s="60">
        <v>15000</v>
      </c>
      <c r="R98" s="60">
        <v>0</v>
      </c>
      <c r="S98" s="38">
        <f t="shared" si="85"/>
        <v>354201.02600000001</v>
      </c>
      <c r="T98" s="38">
        <v>346713.03325000004</v>
      </c>
      <c r="U98" s="38">
        <f t="shared" si="60"/>
        <v>7487.9927499999758</v>
      </c>
      <c r="V98" s="38"/>
      <c r="W98" s="60">
        <f t="shared" si="18"/>
        <v>7709.76</v>
      </c>
      <c r="X98" s="38">
        <v>7709.76</v>
      </c>
      <c r="Y98" s="38">
        <f t="shared" si="61"/>
        <v>0</v>
      </c>
      <c r="Z98" s="38"/>
      <c r="AA98" s="38"/>
      <c r="AB98" s="38"/>
    </row>
    <row r="99" spans="1:29" ht="20.100000000000001" customHeight="1">
      <c r="A99" s="127"/>
      <c r="B99" s="751" t="s">
        <v>15</v>
      </c>
      <c r="C99" s="751"/>
      <c r="D99" s="122">
        <v>10</v>
      </c>
      <c r="E99" s="122"/>
      <c r="F99" s="80">
        <f>SUM(F89:F98)</f>
        <v>287626.82</v>
      </c>
      <c r="G99" s="80"/>
      <c r="H99" s="80">
        <f t="shared" ref="H99:N99" si="87">SUM(H89:H98)</f>
        <v>862880.46</v>
      </c>
      <c r="I99" s="80">
        <f t="shared" si="87"/>
        <v>21572.011499999997</v>
      </c>
      <c r="J99" s="80">
        <f t="shared" si="87"/>
        <v>120366.57</v>
      </c>
      <c r="K99" s="80">
        <f t="shared" si="87"/>
        <v>143813.41</v>
      </c>
      <c r="L99" s="80">
        <f t="shared" si="87"/>
        <v>1006693.8700000002</v>
      </c>
      <c r="M99" s="80">
        <f t="shared" si="87"/>
        <v>287626.82</v>
      </c>
      <c r="N99" s="85">
        <f t="shared" si="87"/>
        <v>1420000</v>
      </c>
      <c r="O99" s="85"/>
      <c r="P99" s="80">
        <f>SUM(P89:P98)</f>
        <v>28762.682000000001</v>
      </c>
      <c r="Q99" s="80">
        <f>SUM(Q89:Q98)</f>
        <v>185000</v>
      </c>
      <c r="R99" s="80">
        <f>SUM(R89:R98)</f>
        <v>0</v>
      </c>
      <c r="S99" s="80">
        <f>SUM(S89:S98)</f>
        <v>4364342.6435000002</v>
      </c>
      <c r="T99" s="80">
        <v>4272772.3817500006</v>
      </c>
      <c r="U99" s="81">
        <f t="shared" si="60"/>
        <v>91570.261749999598</v>
      </c>
      <c r="V99" s="80"/>
      <c r="W99" s="80">
        <f>SUM(W89:W98)</f>
        <v>106683.06999999998</v>
      </c>
      <c r="X99" s="80">
        <v>106683.06999999998</v>
      </c>
      <c r="Y99" s="38">
        <f t="shared" si="61"/>
        <v>0</v>
      </c>
      <c r="Z99" s="80"/>
      <c r="AA99" s="80"/>
      <c r="AB99" s="80"/>
    </row>
    <row r="100" spans="1:29" ht="20.100000000000001" customHeight="1">
      <c r="A100" s="127"/>
      <c r="B100" s="113"/>
      <c r="C100" s="113"/>
      <c r="D100" s="122"/>
      <c r="E100" s="122"/>
      <c r="F100" s="45"/>
      <c r="G100" s="45"/>
      <c r="H100" s="45"/>
      <c r="I100" s="45"/>
      <c r="J100" s="45"/>
      <c r="K100" s="45"/>
      <c r="L100" s="45"/>
      <c r="M100" s="45"/>
      <c r="N100" s="27"/>
      <c r="O100" s="27"/>
      <c r="P100" s="45"/>
      <c r="Q100" s="45"/>
      <c r="R100" s="45"/>
      <c r="S100" s="45"/>
      <c r="T100" s="45"/>
      <c r="U100" s="38">
        <f t="shared" si="60"/>
        <v>0</v>
      </c>
      <c r="V100" s="45"/>
      <c r="W100" s="45"/>
      <c r="X100" s="45"/>
      <c r="Y100" s="38">
        <f t="shared" si="61"/>
        <v>0</v>
      </c>
      <c r="Z100" s="45"/>
      <c r="AA100" s="45"/>
      <c r="AB100" s="45"/>
    </row>
    <row r="101" spans="1:29" ht="20.100000000000001" customHeight="1">
      <c r="A101" s="127"/>
      <c r="B101" s="751" t="s">
        <v>283</v>
      </c>
      <c r="C101" s="751"/>
      <c r="D101" s="122"/>
      <c r="E101" s="122"/>
      <c r="F101" s="45"/>
      <c r="G101" s="45"/>
      <c r="H101" s="45"/>
      <c r="I101" s="45"/>
      <c r="J101" s="45"/>
      <c r="K101" s="45"/>
      <c r="L101" s="45"/>
      <c r="M101" s="45"/>
      <c r="N101" s="27"/>
      <c r="O101" s="27"/>
      <c r="P101" s="45"/>
      <c r="Q101" s="45"/>
      <c r="R101" s="45"/>
      <c r="S101" s="45"/>
      <c r="T101" s="45"/>
      <c r="U101" s="38">
        <f t="shared" si="60"/>
        <v>0</v>
      </c>
      <c r="V101" s="45"/>
      <c r="W101" s="45"/>
      <c r="X101" s="45"/>
      <c r="Y101" s="38">
        <f t="shared" si="61"/>
        <v>0</v>
      </c>
      <c r="Z101" s="45"/>
      <c r="AA101" s="45"/>
      <c r="AB101" s="45"/>
    </row>
    <row r="102" spans="1:29" ht="20.100000000000001" customHeight="1">
      <c r="A102" s="127">
        <v>1</v>
      </c>
      <c r="B102" s="111" t="s">
        <v>364</v>
      </c>
      <c r="C102" s="112"/>
      <c r="D102" s="127" t="s">
        <v>343</v>
      </c>
      <c r="E102" s="64" t="s">
        <v>221</v>
      </c>
      <c r="F102" s="60">
        <f>41157.69</f>
        <v>41157.69</v>
      </c>
      <c r="G102" s="60"/>
      <c r="H102" s="60">
        <f t="shared" ref="H102" si="88">F102*300%</f>
        <v>123473.07</v>
      </c>
      <c r="I102" s="60">
        <f t="shared" ref="I102" si="89">F102*7.5%</f>
        <v>3086.8267500000002</v>
      </c>
      <c r="J102" s="60">
        <v>40122.19</v>
      </c>
      <c r="K102" s="60">
        <f t="shared" ref="K102" si="90">F102*50%</f>
        <v>20578.845000000001</v>
      </c>
      <c r="L102" s="60">
        <f t="shared" ref="L102" si="91">F102*350%</f>
        <v>144051.91500000001</v>
      </c>
      <c r="M102" s="60">
        <f t="shared" ref="M102" si="92">F102*100%</f>
        <v>41157.69</v>
      </c>
      <c r="N102" s="27"/>
      <c r="O102" s="27">
        <f>90000</f>
        <v>90000</v>
      </c>
      <c r="P102" s="60">
        <f t="shared" ref="P102" si="93">F102*10%</f>
        <v>4115.7690000000002</v>
      </c>
      <c r="Q102" s="60">
        <v>20000</v>
      </c>
      <c r="R102" s="60"/>
      <c r="S102" s="38">
        <f>SUM(F102:R102)</f>
        <v>527743.99575</v>
      </c>
      <c r="T102" s="38">
        <v>514023.33374999999</v>
      </c>
      <c r="U102" s="38">
        <f t="shared" si="60"/>
        <v>13720.662000000011</v>
      </c>
      <c r="V102" s="38"/>
      <c r="W102" s="60">
        <f>21618.09</f>
        <v>21618.09</v>
      </c>
      <c r="X102" s="38">
        <v>21618.09</v>
      </c>
      <c r="Y102" s="38">
        <f t="shared" si="61"/>
        <v>0</v>
      </c>
      <c r="Z102" s="38"/>
      <c r="AA102" s="38"/>
      <c r="AB102" s="38"/>
    </row>
    <row r="103" spans="1:29" ht="20.100000000000001" customHeight="1">
      <c r="A103" s="127">
        <v>2</v>
      </c>
      <c r="B103" s="754" t="s">
        <v>185</v>
      </c>
      <c r="C103" s="755"/>
      <c r="D103" s="21" t="s">
        <v>373</v>
      </c>
      <c r="E103" s="29" t="s">
        <v>162</v>
      </c>
      <c r="F103" s="26">
        <f>26732.65</f>
        <v>26732.65</v>
      </c>
      <c r="G103" s="60"/>
      <c r="H103" s="26">
        <f>F103*300%</f>
        <v>80197.950000000012</v>
      </c>
      <c r="I103" s="26">
        <f>F103*7.5%</f>
        <v>2004.94875</v>
      </c>
      <c r="J103" s="26"/>
      <c r="K103" s="26">
        <f>F103*50%</f>
        <v>13366.325000000001</v>
      </c>
      <c r="L103" s="26">
        <f>F103*350%</f>
        <v>93564.275000000009</v>
      </c>
      <c r="M103" s="26">
        <f>F103*100%</f>
        <v>26732.65</v>
      </c>
      <c r="N103" s="27"/>
      <c r="O103" s="27">
        <f>70000</f>
        <v>70000</v>
      </c>
      <c r="P103" s="26">
        <f>F103*10%</f>
        <v>2673.2650000000003</v>
      </c>
      <c r="Q103" s="26">
        <v>20000</v>
      </c>
      <c r="R103" s="26"/>
      <c r="S103" s="38">
        <f>SUM(F103:R103)</f>
        <v>335272.06374999997</v>
      </c>
      <c r="T103" s="38">
        <v>327211.36749999999</v>
      </c>
      <c r="U103" s="38">
        <f t="shared" si="60"/>
        <v>8060.696249999979</v>
      </c>
      <c r="V103" s="24"/>
      <c r="W103" s="38">
        <f t="shared" si="17"/>
        <v>7709.76</v>
      </c>
      <c r="X103" s="24">
        <v>7709.76</v>
      </c>
      <c r="Y103" s="38">
        <f t="shared" si="61"/>
        <v>0</v>
      </c>
      <c r="Z103" s="38"/>
      <c r="AA103" s="38"/>
      <c r="AB103" s="38"/>
      <c r="AC103" s="35"/>
    </row>
    <row r="104" spans="1:29" ht="20.100000000000001" customHeight="1">
      <c r="A104" s="127">
        <v>3</v>
      </c>
      <c r="B104" s="109" t="s">
        <v>366</v>
      </c>
      <c r="C104" s="110"/>
      <c r="D104" s="21" t="s">
        <v>367</v>
      </c>
      <c r="E104" s="64" t="s">
        <v>149</v>
      </c>
      <c r="F104" s="60">
        <f>23891.12</f>
        <v>23891.119999999999</v>
      </c>
      <c r="G104" s="60"/>
      <c r="H104" s="60">
        <f t="shared" ref="H104" si="94">F104*300%</f>
        <v>71673.36</v>
      </c>
      <c r="I104" s="60">
        <f t="shared" ref="I104" si="95">F104*7.5%</f>
        <v>1791.8339999999998</v>
      </c>
      <c r="J104" s="38">
        <v>0</v>
      </c>
      <c r="K104" s="60">
        <f t="shared" ref="K104" si="96">F104*50%</f>
        <v>11945.56</v>
      </c>
      <c r="L104" s="38">
        <f t="shared" ref="L104" si="97">F104*350%</f>
        <v>83618.92</v>
      </c>
      <c r="M104" s="60">
        <f t="shared" ref="M104" si="98">F104*100%</f>
        <v>23891.119999999999</v>
      </c>
      <c r="N104" s="27"/>
      <c r="O104" s="27">
        <v>70000</v>
      </c>
      <c r="P104" s="60">
        <f t="shared" ref="P104" si="99">F104*10%</f>
        <v>2389.1120000000001</v>
      </c>
      <c r="Q104" s="60">
        <v>15000</v>
      </c>
      <c r="R104" s="60">
        <v>0</v>
      </c>
      <c r="S104" s="38">
        <f t="shared" ref="S104" si="100">SUM(F104:R104)</f>
        <v>304201.02600000001</v>
      </c>
      <c r="T104" s="38">
        <v>296713.03325000004</v>
      </c>
      <c r="U104" s="38">
        <f t="shared" si="60"/>
        <v>7487.9927499999758</v>
      </c>
      <c r="V104" s="38"/>
      <c r="W104" s="60">
        <f>7709.76</f>
        <v>7709.76</v>
      </c>
      <c r="X104" s="38">
        <v>7709.76</v>
      </c>
      <c r="Y104" s="38">
        <f t="shared" si="61"/>
        <v>0</v>
      </c>
      <c r="Z104" s="38"/>
      <c r="AA104" s="38"/>
      <c r="AB104" s="38"/>
      <c r="AC104" s="35"/>
    </row>
    <row r="105" spans="1:29" ht="20.100000000000001" customHeight="1">
      <c r="A105" s="127">
        <v>4</v>
      </c>
      <c r="B105" s="741" t="s">
        <v>237</v>
      </c>
      <c r="C105" s="742"/>
      <c r="D105" s="41" t="s">
        <v>310</v>
      </c>
      <c r="E105" s="64" t="s">
        <v>52</v>
      </c>
      <c r="F105" s="26">
        <f>19276.95</f>
        <v>19276.95</v>
      </c>
      <c r="G105" s="60"/>
      <c r="H105" s="60">
        <f>F105*300%</f>
        <v>57830.850000000006</v>
      </c>
      <c r="I105" s="60">
        <f>F105*7.5%</f>
        <v>1445.77125</v>
      </c>
      <c r="J105" s="60"/>
      <c r="K105" s="60">
        <f>F105*50%</f>
        <v>9638.4750000000004</v>
      </c>
      <c r="L105" s="38">
        <f>F105*350%</f>
        <v>67469.324999999997</v>
      </c>
      <c r="M105" s="26">
        <f>F105*100%</f>
        <v>19276.95</v>
      </c>
      <c r="N105" s="27"/>
      <c r="O105" s="27">
        <f>60000</f>
        <v>60000</v>
      </c>
      <c r="P105" s="60">
        <f>F105*10%</f>
        <v>1927.6950000000002</v>
      </c>
      <c r="Q105" s="60">
        <v>10000</v>
      </c>
      <c r="R105" s="60"/>
      <c r="S105" s="38">
        <f>SUM(F105:R105)</f>
        <v>246866.01625000004</v>
      </c>
      <c r="T105" s="38">
        <v>237734.04699999996</v>
      </c>
      <c r="U105" s="38">
        <f t="shared" si="60"/>
        <v>9131.969250000082</v>
      </c>
      <c r="V105" s="38"/>
      <c r="W105" s="60">
        <v>3369.51</v>
      </c>
      <c r="X105" s="38">
        <v>3369.51</v>
      </c>
      <c r="Y105" s="38">
        <f t="shared" si="61"/>
        <v>0</v>
      </c>
      <c r="Z105" s="38"/>
      <c r="AA105" s="38"/>
      <c r="AB105" s="38"/>
      <c r="AC105" s="35"/>
    </row>
    <row r="106" spans="1:29" ht="20.100000000000001" customHeight="1">
      <c r="A106" s="41"/>
      <c r="B106" s="751" t="s">
        <v>15</v>
      </c>
      <c r="C106" s="751"/>
      <c r="D106" s="122">
        <v>4</v>
      </c>
      <c r="E106" s="125"/>
      <c r="F106" s="78">
        <f>SUM(F102:F105)</f>
        <v>111058.40999999999</v>
      </c>
      <c r="G106" s="78"/>
      <c r="H106" s="78">
        <f t="shared" ref="H106:M106" si="101">SUM(H102:H105)</f>
        <v>333175.23</v>
      </c>
      <c r="I106" s="78">
        <f t="shared" si="101"/>
        <v>8329.3807500000003</v>
      </c>
      <c r="J106" s="78">
        <f t="shared" si="101"/>
        <v>40122.19</v>
      </c>
      <c r="K106" s="78">
        <f t="shared" si="101"/>
        <v>55529.204999999994</v>
      </c>
      <c r="L106" s="78">
        <f t="shared" si="101"/>
        <v>388704.435</v>
      </c>
      <c r="M106" s="78">
        <f t="shared" si="101"/>
        <v>111058.40999999999</v>
      </c>
      <c r="N106" s="85"/>
      <c r="O106" s="85">
        <f>SUM(O102:O105)</f>
        <v>290000</v>
      </c>
      <c r="P106" s="78">
        <f>SUM(P102:P105)</f>
        <v>11105.841</v>
      </c>
      <c r="Q106" s="78">
        <f>SUM(Q102:Q105)</f>
        <v>65000</v>
      </c>
      <c r="R106" s="78">
        <f>SUM(R102:R105)</f>
        <v>0</v>
      </c>
      <c r="S106" s="78">
        <f>SUM(S102:S105)</f>
        <v>1414083.1017500001</v>
      </c>
      <c r="T106" s="78">
        <v>1375681.7815</v>
      </c>
      <c r="U106" s="81">
        <f t="shared" si="60"/>
        <v>38401.320250000106</v>
      </c>
      <c r="V106" s="78"/>
      <c r="W106" s="78">
        <f t="shared" ref="W106" si="102">SUM(W102:W105)</f>
        <v>40407.120000000003</v>
      </c>
      <c r="X106" s="78">
        <v>40407.120000000003</v>
      </c>
      <c r="Y106" s="38">
        <f t="shared" si="61"/>
        <v>0</v>
      </c>
      <c r="Z106" s="78"/>
      <c r="AA106" s="78"/>
      <c r="AB106" s="78"/>
      <c r="AC106" s="35"/>
    </row>
    <row r="107" spans="1:29" ht="20.100000000000001" customHeight="1">
      <c r="A107" s="41"/>
      <c r="B107" s="113"/>
      <c r="C107" s="113"/>
      <c r="D107" s="122"/>
      <c r="E107" s="125"/>
      <c r="F107" s="31"/>
      <c r="G107" s="31"/>
      <c r="H107" s="31"/>
      <c r="I107" s="31"/>
      <c r="J107" s="31"/>
      <c r="K107" s="31"/>
      <c r="L107" s="31"/>
      <c r="M107" s="31"/>
      <c r="N107" s="27"/>
      <c r="O107" s="27"/>
      <c r="P107" s="31"/>
      <c r="Q107" s="31"/>
      <c r="R107" s="31"/>
      <c r="S107" s="31"/>
      <c r="T107" s="31"/>
      <c r="U107" s="38">
        <f t="shared" si="60"/>
        <v>0</v>
      </c>
      <c r="V107" s="31"/>
      <c r="W107" s="31"/>
      <c r="X107" s="31"/>
      <c r="Y107" s="38">
        <f t="shared" si="61"/>
        <v>0</v>
      </c>
      <c r="Z107" s="31"/>
      <c r="AA107" s="31"/>
      <c r="AB107" s="31"/>
    </row>
    <row r="108" spans="1:29" ht="20.100000000000001" customHeight="1">
      <c r="A108" s="41"/>
      <c r="B108" s="751" t="s">
        <v>282</v>
      </c>
      <c r="C108" s="75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27"/>
      <c r="O108" s="27"/>
      <c r="P108" s="41"/>
      <c r="Q108" s="41"/>
      <c r="R108" s="41"/>
      <c r="S108" s="41"/>
      <c r="T108" s="41"/>
      <c r="U108" s="38">
        <f t="shared" si="60"/>
        <v>0</v>
      </c>
      <c r="V108" s="41"/>
      <c r="W108" s="41"/>
      <c r="X108" s="41"/>
      <c r="Y108" s="38">
        <f t="shared" si="61"/>
        <v>0</v>
      </c>
      <c r="Z108" s="41"/>
      <c r="AA108" s="41"/>
      <c r="AB108" s="41"/>
    </row>
    <row r="109" spans="1:29" ht="20.100000000000001" customHeight="1">
      <c r="A109" s="41">
        <v>1</v>
      </c>
      <c r="B109" s="741" t="s">
        <v>216</v>
      </c>
      <c r="C109" s="742"/>
      <c r="D109" s="108" t="s">
        <v>217</v>
      </c>
      <c r="E109" s="64" t="s">
        <v>161</v>
      </c>
      <c r="F109" s="60">
        <f>81740.02</f>
        <v>81740.02</v>
      </c>
      <c r="G109" s="60"/>
      <c r="H109" s="60">
        <f>F109*300%</f>
        <v>245220.06</v>
      </c>
      <c r="I109" s="60">
        <f>F109*7.5%</f>
        <v>6130.5015000000003</v>
      </c>
      <c r="J109" s="60">
        <v>80244.38</v>
      </c>
      <c r="K109" s="60">
        <f>F109*50%</f>
        <v>40870.01</v>
      </c>
      <c r="L109" s="60">
        <f>F109*350%</f>
        <v>286090.07</v>
      </c>
      <c r="M109" s="60">
        <f>F109*100%</f>
        <v>81740.02</v>
      </c>
      <c r="N109" s="27">
        <f>200000</f>
        <v>200000</v>
      </c>
      <c r="O109" s="27"/>
      <c r="P109" s="60">
        <f>F109*10%</f>
        <v>8174.0020000000004</v>
      </c>
      <c r="Q109" s="60">
        <v>20000</v>
      </c>
      <c r="R109" s="60">
        <v>0</v>
      </c>
      <c r="S109" s="38">
        <f>SUM(F109:R109)</f>
        <v>1050209.0635000002</v>
      </c>
      <c r="T109" s="38">
        <v>1025433.077</v>
      </c>
      <c r="U109" s="38">
        <f t="shared" si="60"/>
        <v>24775.986500000115</v>
      </c>
      <c r="V109" s="38"/>
      <c r="W109" s="60">
        <f>52776.63</f>
        <v>52776.63</v>
      </c>
      <c r="X109" s="38">
        <v>52776.63</v>
      </c>
      <c r="Y109" s="38">
        <f t="shared" si="61"/>
        <v>0</v>
      </c>
      <c r="Z109" s="38"/>
      <c r="AA109" s="38"/>
      <c r="AB109" s="38"/>
    </row>
    <row r="110" spans="1:29" ht="20.100000000000001" customHeight="1">
      <c r="A110" s="41">
        <v>2</v>
      </c>
      <c r="B110" s="756" t="s">
        <v>110</v>
      </c>
      <c r="C110" s="757"/>
      <c r="D110" s="41" t="s">
        <v>259</v>
      </c>
      <c r="E110" s="127" t="s">
        <v>75</v>
      </c>
      <c r="F110" s="60">
        <f>33507.5</f>
        <v>33507.5</v>
      </c>
      <c r="G110" s="60"/>
      <c r="H110" s="60">
        <f>F110*300%</f>
        <v>100522.5</v>
      </c>
      <c r="I110" s="60">
        <f>F110*7.5%</f>
        <v>2513.0625</v>
      </c>
      <c r="J110" s="60">
        <v>40122.19</v>
      </c>
      <c r="K110" s="60">
        <f>F110*50%</f>
        <v>16753.75</v>
      </c>
      <c r="L110" s="60">
        <f>F110*350%</f>
        <v>117276.25</v>
      </c>
      <c r="M110" s="60">
        <f>F110*100%</f>
        <v>33507.5</v>
      </c>
      <c r="N110" s="27">
        <f>160000</f>
        <v>160000</v>
      </c>
      <c r="O110" s="27"/>
      <c r="P110" s="60">
        <f>F110*10%</f>
        <v>3350.75</v>
      </c>
      <c r="Q110" s="60">
        <v>20000</v>
      </c>
      <c r="R110" s="60">
        <v>0</v>
      </c>
      <c r="S110" s="38">
        <f>SUM(F110:R110)</f>
        <v>527553.50249999994</v>
      </c>
      <c r="T110" s="38">
        <v>527553.50249999994</v>
      </c>
      <c r="U110" s="38">
        <f t="shared" si="60"/>
        <v>0</v>
      </c>
      <c r="V110" s="38"/>
      <c r="W110" s="60">
        <v>15548.33</v>
      </c>
      <c r="X110" s="38">
        <v>15548.33</v>
      </c>
      <c r="Y110" s="38">
        <f t="shared" si="61"/>
        <v>0</v>
      </c>
      <c r="Z110" s="38"/>
      <c r="AA110" s="38"/>
      <c r="AB110" s="38"/>
    </row>
    <row r="111" spans="1:29" ht="20.100000000000001" customHeight="1">
      <c r="A111" s="41">
        <v>3</v>
      </c>
      <c r="B111" s="741" t="s">
        <v>109</v>
      </c>
      <c r="C111" s="742"/>
      <c r="D111" s="41" t="s">
        <v>311</v>
      </c>
      <c r="E111" s="127" t="s">
        <v>175</v>
      </c>
      <c r="F111" s="60">
        <f>26339.3</f>
        <v>26339.3</v>
      </c>
      <c r="G111" s="60"/>
      <c r="H111" s="60">
        <f>F111*300%</f>
        <v>79017.899999999994</v>
      </c>
      <c r="I111" s="60">
        <f>F111*7.5%</f>
        <v>1975.4474999999998</v>
      </c>
      <c r="J111" s="60">
        <v>0</v>
      </c>
      <c r="K111" s="60">
        <f>F111*50%</f>
        <v>13169.65</v>
      </c>
      <c r="L111" s="60">
        <f>F111*350%</f>
        <v>92187.55</v>
      </c>
      <c r="M111" s="60">
        <f>F111*100%</f>
        <v>26339.3</v>
      </c>
      <c r="N111" s="27">
        <f>120000</f>
        <v>120000</v>
      </c>
      <c r="O111" s="27"/>
      <c r="P111" s="60">
        <f>F111*10%</f>
        <v>2633.9300000000003</v>
      </c>
      <c r="Q111" s="60">
        <v>15000</v>
      </c>
      <c r="R111" s="60" t="e">
        <f>#REF!</f>
        <v>#REF!</v>
      </c>
      <c r="S111" s="38" t="e">
        <f>SUM(F111:R111)</f>
        <v>#REF!</v>
      </c>
      <c r="T111" s="38">
        <v>418096.01602499996</v>
      </c>
      <c r="U111" s="38" t="e">
        <f t="shared" si="60"/>
        <v>#REF!</v>
      </c>
      <c r="V111" s="38"/>
      <c r="W111" s="38">
        <f>7709.76</f>
        <v>7709.76</v>
      </c>
      <c r="X111" s="38">
        <v>7709.76</v>
      </c>
      <c r="Y111" s="38">
        <f t="shared" si="61"/>
        <v>0</v>
      </c>
      <c r="Z111" s="38"/>
      <c r="AA111" s="38"/>
      <c r="AB111" s="38"/>
    </row>
    <row r="112" spans="1:29" ht="20.100000000000001" customHeight="1">
      <c r="A112" s="41">
        <v>4</v>
      </c>
      <c r="B112" s="754" t="s">
        <v>135</v>
      </c>
      <c r="C112" s="755"/>
      <c r="D112" s="41" t="s">
        <v>311</v>
      </c>
      <c r="E112" s="29" t="s">
        <v>170</v>
      </c>
      <c r="F112" s="26">
        <f>25523.45</f>
        <v>25523.45</v>
      </c>
      <c r="G112" s="26"/>
      <c r="H112" s="26">
        <f>F112*300%</f>
        <v>76570.350000000006</v>
      </c>
      <c r="I112" s="26">
        <f>F112*7.5%</f>
        <v>1914.25875</v>
      </c>
      <c r="J112" s="26">
        <v>0</v>
      </c>
      <c r="K112" s="26">
        <f>F112*50%</f>
        <v>12761.725</v>
      </c>
      <c r="L112" s="26">
        <f>F112*350%</f>
        <v>89332.074999999997</v>
      </c>
      <c r="M112" s="26">
        <f>F112*100%</f>
        <v>25523.45</v>
      </c>
      <c r="N112" s="27">
        <f>120000</f>
        <v>120000</v>
      </c>
      <c r="O112" s="27"/>
      <c r="P112" s="26">
        <f>F112*10%</f>
        <v>2552.3450000000003</v>
      </c>
      <c r="Q112" s="26">
        <v>15000</v>
      </c>
      <c r="R112" s="26" t="e">
        <f>#REF!</f>
        <v>#REF!</v>
      </c>
      <c r="S112" s="38" t="e">
        <f>SUM(F112:R112)</f>
        <v>#REF!</v>
      </c>
      <c r="T112" s="38">
        <v>401821.17715499998</v>
      </c>
      <c r="U112" s="38" t="e">
        <f t="shared" si="60"/>
        <v>#REF!</v>
      </c>
      <c r="V112" s="24"/>
      <c r="W112" s="24">
        <f>7709.76</f>
        <v>7709.76</v>
      </c>
      <c r="X112" s="24">
        <v>7709.76</v>
      </c>
      <c r="Y112" s="38">
        <f t="shared" si="61"/>
        <v>0</v>
      </c>
      <c r="Z112" s="38"/>
      <c r="AA112" s="38"/>
      <c r="AB112" s="38"/>
    </row>
    <row r="113" spans="1:28" ht="20.100000000000001" customHeight="1">
      <c r="A113" s="41">
        <v>5</v>
      </c>
      <c r="B113" s="741" t="s">
        <v>240</v>
      </c>
      <c r="C113" s="742"/>
      <c r="D113" s="1" t="s">
        <v>338</v>
      </c>
      <c r="E113" s="64" t="s">
        <v>267</v>
      </c>
      <c r="F113" s="65">
        <f>13492.21</f>
        <v>13492.21</v>
      </c>
      <c r="G113" s="60"/>
      <c r="H113" s="60">
        <f>F113*300%</f>
        <v>40476.629999999997</v>
      </c>
      <c r="I113" s="60">
        <f>F113*7.5%</f>
        <v>1011.9157499999999</v>
      </c>
      <c r="J113" s="60"/>
      <c r="K113" s="60">
        <f>F113*50%</f>
        <v>6746.1049999999996</v>
      </c>
      <c r="L113" s="38">
        <f>F113*350%</f>
        <v>47222.735000000001</v>
      </c>
      <c r="M113" s="60">
        <f>F113*100%</f>
        <v>13492.21</v>
      </c>
      <c r="N113" s="27">
        <f>100000</f>
        <v>100000</v>
      </c>
      <c r="O113" s="27"/>
      <c r="P113" s="60">
        <f>F113*10%</f>
        <v>1349.221</v>
      </c>
      <c r="Q113" s="60">
        <v>10000</v>
      </c>
      <c r="R113" s="60" t="e">
        <f>#REF!</f>
        <v>#REF!</v>
      </c>
      <c r="S113" s="38" t="e">
        <f>SUM(F113:R113)</f>
        <v>#REF!</v>
      </c>
      <c r="T113" s="38">
        <v>255637.51548</v>
      </c>
      <c r="U113" s="38" t="e">
        <f t="shared" si="60"/>
        <v>#REF!</v>
      </c>
      <c r="V113" s="38"/>
      <c r="W113" s="60">
        <v>1484.37</v>
      </c>
      <c r="X113" s="38">
        <v>1484.37</v>
      </c>
      <c r="Y113" s="38">
        <f t="shared" si="61"/>
        <v>0</v>
      </c>
      <c r="Z113" s="38"/>
      <c r="AA113" s="38"/>
      <c r="AB113" s="38"/>
    </row>
    <row r="114" spans="1:28" ht="20.100000000000001" customHeight="1">
      <c r="A114" s="41">
        <v>6</v>
      </c>
      <c r="B114" s="109" t="s">
        <v>341</v>
      </c>
      <c r="C114" s="110"/>
      <c r="D114" s="1" t="s">
        <v>338</v>
      </c>
      <c r="E114" s="127" t="s">
        <v>51</v>
      </c>
      <c r="F114" s="60">
        <f>13112.16</f>
        <v>13112.16</v>
      </c>
      <c r="G114" s="60"/>
      <c r="H114" s="60">
        <f t="shared" ref="H114:H116" si="103">F114*300%</f>
        <v>39336.479999999996</v>
      </c>
      <c r="I114" s="60">
        <f t="shared" ref="I114:I116" si="104">F114*7.5%</f>
        <v>983.41199999999992</v>
      </c>
      <c r="J114" s="60"/>
      <c r="K114" s="60">
        <f t="shared" ref="K114:K116" si="105">F114*50%</f>
        <v>6556.08</v>
      </c>
      <c r="L114" s="60">
        <f t="shared" ref="L114:L116" si="106">F114*350%</f>
        <v>45892.56</v>
      </c>
      <c r="M114" s="60">
        <f t="shared" ref="M114:M116" si="107">F114*100%</f>
        <v>13112.16</v>
      </c>
      <c r="N114" s="27">
        <f>100000</f>
        <v>100000</v>
      </c>
      <c r="O114" s="27"/>
      <c r="P114" s="60">
        <f t="shared" ref="P114:P116" si="108">F114*10%</f>
        <v>1311.2160000000001</v>
      </c>
      <c r="Q114" s="60">
        <v>10000</v>
      </c>
      <c r="R114" s="60" t="e">
        <f>#REF!</f>
        <v>#REF!</v>
      </c>
      <c r="S114" s="38" t="e">
        <f t="shared" ref="S114:S116" si="109">SUM(F114:R114)</f>
        <v>#REF!</v>
      </c>
      <c r="T114" s="38">
        <v>251765.87100000001</v>
      </c>
      <c r="U114" s="38" t="e">
        <f t="shared" si="60"/>
        <v>#REF!</v>
      </c>
      <c r="V114" s="38"/>
      <c r="W114" s="60">
        <v>1484.37</v>
      </c>
      <c r="X114" s="38">
        <v>1484.37</v>
      </c>
      <c r="Y114" s="38">
        <f t="shared" si="61"/>
        <v>0</v>
      </c>
      <c r="Z114" s="38"/>
      <c r="AA114" s="38"/>
      <c r="AB114" s="38"/>
    </row>
    <row r="115" spans="1:28" ht="20.100000000000001" customHeight="1">
      <c r="A115" s="41">
        <v>7</v>
      </c>
      <c r="B115" s="111" t="s">
        <v>374</v>
      </c>
      <c r="C115" s="112"/>
      <c r="D115" s="1" t="s">
        <v>338</v>
      </c>
      <c r="E115" s="64" t="s">
        <v>105</v>
      </c>
      <c r="F115" s="65">
        <f>12351.94</f>
        <v>12351.94</v>
      </c>
      <c r="G115" s="60"/>
      <c r="H115" s="60">
        <f t="shared" si="103"/>
        <v>37055.82</v>
      </c>
      <c r="I115" s="60">
        <f t="shared" si="104"/>
        <v>926.39549999999997</v>
      </c>
      <c r="J115" s="60"/>
      <c r="K115" s="60">
        <f t="shared" si="105"/>
        <v>6175.97</v>
      </c>
      <c r="L115" s="38">
        <f t="shared" si="106"/>
        <v>43231.79</v>
      </c>
      <c r="M115" s="60">
        <f t="shared" si="107"/>
        <v>12351.94</v>
      </c>
      <c r="N115" s="27">
        <f t="shared" ref="N115:N116" si="110">100000</f>
        <v>100000</v>
      </c>
      <c r="O115" s="27"/>
      <c r="P115" s="60">
        <f t="shared" si="108"/>
        <v>1235.1940000000002</v>
      </c>
      <c r="Q115" s="60">
        <v>10000</v>
      </c>
      <c r="R115" s="60" t="e">
        <f>#REF!</f>
        <v>#REF!</v>
      </c>
      <c r="S115" s="38" t="e">
        <f t="shared" si="109"/>
        <v>#REF!</v>
      </c>
      <c r="T115" s="38">
        <v>247895.24494499998</v>
      </c>
      <c r="U115" s="38" t="e">
        <f t="shared" si="60"/>
        <v>#REF!</v>
      </c>
      <c r="V115" s="38"/>
      <c r="W115" s="60">
        <v>1484.37</v>
      </c>
      <c r="X115" s="38">
        <v>1484.37</v>
      </c>
      <c r="Y115" s="38">
        <f t="shared" si="61"/>
        <v>0</v>
      </c>
      <c r="Z115" s="38"/>
      <c r="AA115" s="38"/>
      <c r="AB115" s="38"/>
    </row>
    <row r="116" spans="1:28" ht="20.100000000000001" customHeight="1">
      <c r="A116" s="41">
        <v>8</v>
      </c>
      <c r="B116" s="111" t="s">
        <v>358</v>
      </c>
      <c r="C116" s="112"/>
      <c r="D116" s="1" t="s">
        <v>338</v>
      </c>
      <c r="E116" s="64" t="s">
        <v>105</v>
      </c>
      <c r="F116" s="65">
        <f>12351.94</f>
        <v>12351.94</v>
      </c>
      <c r="G116" s="60"/>
      <c r="H116" s="60">
        <f t="shared" si="103"/>
        <v>37055.82</v>
      </c>
      <c r="I116" s="60">
        <f t="shared" si="104"/>
        <v>926.39549999999997</v>
      </c>
      <c r="J116" s="60"/>
      <c r="K116" s="60">
        <f t="shared" si="105"/>
        <v>6175.97</v>
      </c>
      <c r="L116" s="38">
        <f t="shared" si="106"/>
        <v>43231.79</v>
      </c>
      <c r="M116" s="60">
        <f t="shared" si="107"/>
        <v>12351.94</v>
      </c>
      <c r="N116" s="27">
        <f t="shared" si="110"/>
        <v>100000</v>
      </c>
      <c r="O116" s="27"/>
      <c r="P116" s="60">
        <f t="shared" si="108"/>
        <v>1235.1940000000002</v>
      </c>
      <c r="Q116" s="60">
        <v>10000</v>
      </c>
      <c r="R116" s="60" t="e">
        <f>#REF!</f>
        <v>#REF!</v>
      </c>
      <c r="S116" s="38" t="e">
        <f t="shared" si="109"/>
        <v>#REF!</v>
      </c>
      <c r="T116" s="38">
        <v>247895.24494499998</v>
      </c>
      <c r="U116" s="38" t="e">
        <f t="shared" si="60"/>
        <v>#REF!</v>
      </c>
      <c r="V116" s="38"/>
      <c r="W116" s="60">
        <v>1484.37</v>
      </c>
      <c r="X116" s="38">
        <v>1484.37</v>
      </c>
      <c r="Y116" s="38">
        <f t="shared" si="61"/>
        <v>0</v>
      </c>
      <c r="Z116" s="38"/>
      <c r="AA116" s="38"/>
      <c r="AB116" s="38"/>
    </row>
    <row r="117" spans="1:28" ht="20.100000000000001" customHeight="1">
      <c r="A117" s="41"/>
      <c r="B117" s="751" t="s">
        <v>15</v>
      </c>
      <c r="C117" s="751"/>
      <c r="D117" s="127">
        <v>8</v>
      </c>
      <c r="E117" s="41"/>
      <c r="F117" s="79">
        <f>SUM(F109:F116)</f>
        <v>218418.52000000002</v>
      </c>
      <c r="G117" s="79"/>
      <c r="H117" s="79">
        <f t="shared" ref="H117:N117" si="111">SUM(H109:H116)</f>
        <v>655255.55999999982</v>
      </c>
      <c r="I117" s="79">
        <f t="shared" si="111"/>
        <v>16381.389000000003</v>
      </c>
      <c r="J117" s="79">
        <f t="shared" si="111"/>
        <v>120366.57</v>
      </c>
      <c r="K117" s="79">
        <f t="shared" si="111"/>
        <v>109209.26000000001</v>
      </c>
      <c r="L117" s="79">
        <f t="shared" si="111"/>
        <v>764464.82000000007</v>
      </c>
      <c r="M117" s="79">
        <f t="shared" si="111"/>
        <v>218418.52000000002</v>
      </c>
      <c r="N117" s="85">
        <f t="shared" si="111"/>
        <v>1000000</v>
      </c>
      <c r="O117" s="85"/>
      <c r="P117" s="79">
        <f>SUM(P109:P116)</f>
        <v>21841.852000000003</v>
      </c>
      <c r="Q117" s="79">
        <f>SUM(Q109:Q116)</f>
        <v>110000</v>
      </c>
      <c r="R117" s="79" t="e">
        <f>SUM(R109:R116)</f>
        <v>#REF!</v>
      </c>
      <c r="S117" s="79" t="e">
        <f>SUM(S109:S116)</f>
        <v>#REF!</v>
      </c>
      <c r="T117" s="79">
        <v>3376097.6490499997</v>
      </c>
      <c r="U117" s="81" t="e">
        <f t="shared" si="60"/>
        <v>#REF!</v>
      </c>
      <c r="V117" s="79"/>
      <c r="W117" s="79">
        <f t="shared" ref="W117" si="112">SUM(W109:W116)</f>
        <v>89681.959999999963</v>
      </c>
      <c r="X117" s="79">
        <v>89681.959999999963</v>
      </c>
      <c r="Y117" s="38">
        <f t="shared" si="61"/>
        <v>0</v>
      </c>
      <c r="Z117" s="79"/>
      <c r="AA117" s="79"/>
      <c r="AB117" s="79"/>
    </row>
    <row r="118" spans="1:28" ht="20.100000000000001" customHeight="1">
      <c r="A118" s="41"/>
      <c r="B118" s="113"/>
      <c r="C118" s="113"/>
      <c r="D118" s="127"/>
      <c r="E118" s="41"/>
      <c r="F118" s="77"/>
      <c r="G118" s="58"/>
      <c r="H118" s="77"/>
      <c r="I118" s="77"/>
      <c r="J118" s="77"/>
      <c r="K118" s="77"/>
      <c r="L118" s="77"/>
      <c r="M118" s="77"/>
      <c r="N118" s="27"/>
      <c r="O118" s="27"/>
      <c r="P118" s="77"/>
      <c r="Q118" s="77"/>
      <c r="R118" s="77"/>
      <c r="S118" s="77"/>
      <c r="T118" s="77"/>
      <c r="U118" s="38">
        <f t="shared" si="60"/>
        <v>0</v>
      </c>
      <c r="V118" s="77"/>
      <c r="W118" s="77"/>
      <c r="X118" s="77"/>
      <c r="Y118" s="38">
        <f t="shared" si="61"/>
        <v>0</v>
      </c>
      <c r="Z118" s="77"/>
      <c r="AA118" s="77"/>
      <c r="AB118" s="77"/>
    </row>
    <row r="119" spans="1:28" ht="20.100000000000001" customHeight="1">
      <c r="A119" s="41"/>
      <c r="B119" s="751" t="s">
        <v>280</v>
      </c>
      <c r="C119" s="751"/>
      <c r="D119" s="122"/>
      <c r="E119" s="122"/>
      <c r="F119" s="45"/>
      <c r="G119" s="45"/>
      <c r="H119" s="45"/>
      <c r="I119" s="45"/>
      <c r="J119" s="45"/>
      <c r="K119" s="45"/>
      <c r="L119" s="45"/>
      <c r="M119" s="45"/>
      <c r="N119" s="27"/>
      <c r="O119" s="27"/>
      <c r="P119" s="45"/>
      <c r="Q119" s="45"/>
      <c r="R119" s="45"/>
      <c r="S119" s="61"/>
      <c r="T119" s="61"/>
      <c r="U119" s="38">
        <f t="shared" si="60"/>
        <v>0</v>
      </c>
      <c r="V119" s="61"/>
      <c r="W119" s="45"/>
      <c r="X119" s="61"/>
      <c r="Y119" s="38">
        <f t="shared" si="61"/>
        <v>0</v>
      </c>
      <c r="Z119" s="38"/>
      <c r="AA119" s="38"/>
      <c r="AB119" s="38"/>
    </row>
    <row r="120" spans="1:28" ht="20.100000000000001" customHeight="1">
      <c r="A120" s="41">
        <v>1</v>
      </c>
      <c r="B120" s="748" t="s">
        <v>20</v>
      </c>
      <c r="C120" s="748"/>
      <c r="D120" s="108" t="s">
        <v>250</v>
      </c>
      <c r="E120" s="64" t="s">
        <v>161</v>
      </c>
      <c r="F120" s="60">
        <f>81740.02</f>
        <v>81740.02</v>
      </c>
      <c r="G120" s="60"/>
      <c r="H120" s="60">
        <f t="shared" ref="H120:H128" si="113">F120*300%</f>
        <v>245220.06</v>
      </c>
      <c r="I120" s="60">
        <f t="shared" ref="I120:I128" si="114">F120*7.5%</f>
        <v>6130.5015000000003</v>
      </c>
      <c r="J120" s="60">
        <f>80244.38</f>
        <v>80244.38</v>
      </c>
      <c r="K120" s="60">
        <f t="shared" ref="K120:K128" si="115">F120*50%</f>
        <v>40870.01</v>
      </c>
      <c r="L120" s="60">
        <f t="shared" ref="L120:L128" si="116">F120*350%</f>
        <v>286090.07</v>
      </c>
      <c r="M120" s="60">
        <f t="shared" ref="M120:M128" si="117">F120*100%</f>
        <v>81740.02</v>
      </c>
      <c r="N120" s="27"/>
      <c r="O120" s="27">
        <f>100000</f>
        <v>100000</v>
      </c>
      <c r="P120" s="60">
        <f t="shared" ref="P120:P128" si="118">F120*10%</f>
        <v>8174.0020000000004</v>
      </c>
      <c r="Q120" s="60">
        <v>20000</v>
      </c>
      <c r="R120" s="60">
        <v>100000</v>
      </c>
      <c r="S120" s="38">
        <f t="shared" ref="S120:S128" si="119">SUM(F120:R120)</f>
        <v>1050209.0635000002</v>
      </c>
      <c r="T120" s="38">
        <v>1050209.0635000002</v>
      </c>
      <c r="U120" s="38">
        <f t="shared" si="60"/>
        <v>0</v>
      </c>
      <c r="V120" s="38"/>
      <c r="W120" s="60">
        <f>52776.63</f>
        <v>52776.63</v>
      </c>
      <c r="X120" s="38">
        <v>52776.63</v>
      </c>
      <c r="Y120" s="38">
        <f t="shared" si="61"/>
        <v>0</v>
      </c>
      <c r="Z120" s="38"/>
      <c r="AA120" s="38"/>
      <c r="AB120" s="38"/>
    </row>
    <row r="121" spans="1:28" ht="20.100000000000001" customHeight="1">
      <c r="A121" s="41">
        <v>2</v>
      </c>
      <c r="B121" s="748" t="s">
        <v>100</v>
      </c>
      <c r="C121" s="748"/>
      <c r="D121" s="108" t="s">
        <v>268</v>
      </c>
      <c r="E121" s="64" t="s">
        <v>160</v>
      </c>
      <c r="F121" s="60">
        <f>42653.17</f>
        <v>42653.17</v>
      </c>
      <c r="G121" s="60"/>
      <c r="H121" s="60">
        <f t="shared" si="113"/>
        <v>127959.51</v>
      </c>
      <c r="I121" s="60">
        <f t="shared" si="114"/>
        <v>3198.9877499999998</v>
      </c>
      <c r="J121" s="60">
        <v>40122.19</v>
      </c>
      <c r="K121" s="60">
        <f t="shared" si="115"/>
        <v>21326.584999999999</v>
      </c>
      <c r="L121" s="60">
        <f t="shared" si="116"/>
        <v>149286.095</v>
      </c>
      <c r="M121" s="60">
        <f t="shared" si="117"/>
        <v>42653.17</v>
      </c>
      <c r="N121" s="27"/>
      <c r="O121" s="27">
        <f>90000</f>
        <v>90000</v>
      </c>
      <c r="P121" s="60">
        <f t="shared" si="118"/>
        <v>4265.317</v>
      </c>
      <c r="Q121" s="60">
        <v>20000</v>
      </c>
      <c r="R121" s="60">
        <f>100000</f>
        <v>100000</v>
      </c>
      <c r="S121" s="38">
        <f t="shared" si="119"/>
        <v>641465.02474999998</v>
      </c>
      <c r="T121" s="38">
        <v>641465.02474999998</v>
      </c>
      <c r="U121" s="38">
        <f t="shared" si="60"/>
        <v>0</v>
      </c>
      <c r="V121" s="38"/>
      <c r="W121" s="60">
        <f>21618.09</f>
        <v>21618.09</v>
      </c>
      <c r="X121" s="38">
        <v>21618.09</v>
      </c>
      <c r="Y121" s="38">
        <f t="shared" si="61"/>
        <v>0</v>
      </c>
      <c r="Z121" s="38"/>
      <c r="AA121" s="38"/>
      <c r="AB121" s="38"/>
    </row>
    <row r="122" spans="1:28" ht="20.100000000000001" customHeight="1">
      <c r="A122" s="41">
        <v>3</v>
      </c>
      <c r="B122" s="748" t="s">
        <v>153</v>
      </c>
      <c r="C122" s="748"/>
      <c r="D122" s="108" t="s">
        <v>376</v>
      </c>
      <c r="E122" s="64" t="s">
        <v>75</v>
      </c>
      <c r="F122" s="26">
        <f>33507.5</f>
        <v>33507.5</v>
      </c>
      <c r="G122" s="60"/>
      <c r="H122" s="60">
        <f t="shared" si="113"/>
        <v>100522.5</v>
      </c>
      <c r="I122" s="60">
        <f t="shared" si="114"/>
        <v>2513.0625</v>
      </c>
      <c r="J122" s="60">
        <v>40122.19</v>
      </c>
      <c r="K122" s="60">
        <f t="shared" si="115"/>
        <v>16753.75</v>
      </c>
      <c r="L122" s="38">
        <f t="shared" si="116"/>
        <v>117276.25</v>
      </c>
      <c r="M122" s="60">
        <f t="shared" si="117"/>
        <v>33507.5</v>
      </c>
      <c r="N122" s="27"/>
      <c r="O122" s="27">
        <f>80000</f>
        <v>80000</v>
      </c>
      <c r="P122" s="60">
        <f t="shared" si="118"/>
        <v>3350.75</v>
      </c>
      <c r="Q122" s="60">
        <v>20000</v>
      </c>
      <c r="R122" s="60">
        <v>0</v>
      </c>
      <c r="S122" s="38">
        <f t="shared" si="119"/>
        <v>447553.5025</v>
      </c>
      <c r="T122" s="38">
        <v>447553.5025</v>
      </c>
      <c r="U122" s="38">
        <f t="shared" si="60"/>
        <v>0</v>
      </c>
      <c r="V122" s="38"/>
      <c r="W122" s="60">
        <v>15548.33</v>
      </c>
      <c r="X122" s="38">
        <v>15548.33</v>
      </c>
      <c r="Y122" s="38">
        <f t="shared" si="61"/>
        <v>0</v>
      </c>
      <c r="Z122" s="38"/>
      <c r="AA122" s="38"/>
      <c r="AB122" s="38"/>
    </row>
    <row r="123" spans="1:28" ht="20.100000000000001" customHeight="1">
      <c r="A123" s="41">
        <v>4</v>
      </c>
      <c r="B123" s="753" t="s">
        <v>142</v>
      </c>
      <c r="C123" s="753"/>
      <c r="D123" s="108" t="s">
        <v>376</v>
      </c>
      <c r="E123" s="64" t="s">
        <v>75</v>
      </c>
      <c r="F123" s="60">
        <f>33507.5</f>
        <v>33507.5</v>
      </c>
      <c r="G123" s="60"/>
      <c r="H123" s="60">
        <f>F123*300%</f>
        <v>100522.5</v>
      </c>
      <c r="I123" s="60">
        <f>F123*7.5%</f>
        <v>2513.0625</v>
      </c>
      <c r="J123" s="60">
        <f>40122.19</f>
        <v>40122.19</v>
      </c>
      <c r="K123" s="60">
        <f>F123*50%</f>
        <v>16753.75</v>
      </c>
      <c r="L123" s="38">
        <f>F123*350%</f>
        <v>117276.25</v>
      </c>
      <c r="M123" s="60">
        <f>F123*100%</f>
        <v>33507.5</v>
      </c>
      <c r="N123" s="27"/>
      <c r="O123" s="27">
        <f t="shared" si="9"/>
        <v>80000</v>
      </c>
      <c r="P123" s="60">
        <f>F123*10%</f>
        <v>3350.75</v>
      </c>
      <c r="Q123" s="60">
        <v>20000</v>
      </c>
      <c r="R123" s="60">
        <f>100000</f>
        <v>100000</v>
      </c>
      <c r="S123" s="38">
        <f>SUM(F123:R123)</f>
        <v>547553.50249999994</v>
      </c>
      <c r="T123" s="38">
        <v>536137.05000000005</v>
      </c>
      <c r="U123" s="38">
        <f t="shared" si="60"/>
        <v>11416.452499999898</v>
      </c>
      <c r="V123" s="38"/>
      <c r="W123" s="38">
        <f>15548.33</f>
        <v>15548.33</v>
      </c>
      <c r="X123" s="38">
        <v>15548.33</v>
      </c>
      <c r="Y123" s="38">
        <f t="shared" si="61"/>
        <v>0</v>
      </c>
      <c r="Z123" s="38"/>
      <c r="AA123" s="38"/>
      <c r="AB123" s="38"/>
    </row>
    <row r="124" spans="1:28" ht="20.100000000000001" customHeight="1">
      <c r="A124" s="41">
        <v>5</v>
      </c>
      <c r="B124" s="1" t="s">
        <v>363</v>
      </c>
      <c r="D124" s="108" t="s">
        <v>376</v>
      </c>
      <c r="E124" s="64" t="s">
        <v>30</v>
      </c>
      <c r="F124" s="26">
        <f>31018.84</f>
        <v>31018.84</v>
      </c>
      <c r="G124" s="60"/>
      <c r="H124" s="60">
        <f t="shared" ref="H124" si="120">F124*300%</f>
        <v>93056.52</v>
      </c>
      <c r="I124" s="60">
        <f t="shared" ref="I124" si="121">F124*7.5%</f>
        <v>2326.413</v>
      </c>
      <c r="J124" s="60">
        <v>40122.19</v>
      </c>
      <c r="K124" s="60">
        <f t="shared" ref="K124" si="122">F124*50%</f>
        <v>15509.42</v>
      </c>
      <c r="L124" s="38">
        <f t="shared" ref="L124" si="123">F124*350%</f>
        <v>108565.94</v>
      </c>
      <c r="M124" s="60">
        <f t="shared" ref="M124" si="124">F124*100%</f>
        <v>31018.84</v>
      </c>
      <c r="N124" s="27"/>
      <c r="O124" s="27">
        <f>80000</f>
        <v>80000</v>
      </c>
      <c r="P124" s="60">
        <f t="shared" ref="P124" si="125">F124*10%</f>
        <v>3101.884</v>
      </c>
      <c r="Q124" s="60">
        <v>20000</v>
      </c>
      <c r="R124" s="60">
        <v>0</v>
      </c>
      <c r="S124" s="38">
        <f>SUM(F124:R124)</f>
        <v>424720.04700000002</v>
      </c>
      <c r="T124" s="38">
        <v>424720.04700000002</v>
      </c>
      <c r="U124" s="38">
        <f t="shared" si="60"/>
        <v>0</v>
      </c>
      <c r="V124" s="38"/>
      <c r="W124" s="60">
        <f>(15548.33)</f>
        <v>15548.33</v>
      </c>
      <c r="X124" s="38">
        <v>15548.33</v>
      </c>
      <c r="Y124" s="38">
        <f t="shared" si="61"/>
        <v>0</v>
      </c>
      <c r="Z124" s="38"/>
      <c r="AA124" s="38"/>
      <c r="AB124" s="38"/>
    </row>
    <row r="125" spans="1:28" ht="20.100000000000001" customHeight="1">
      <c r="A125" s="41">
        <v>6</v>
      </c>
      <c r="B125" s="752" t="s">
        <v>108</v>
      </c>
      <c r="C125" s="752"/>
      <c r="D125" s="108" t="s">
        <v>383</v>
      </c>
      <c r="E125" s="64" t="s">
        <v>170</v>
      </c>
      <c r="F125" s="60">
        <f>25523.45</f>
        <v>25523.45</v>
      </c>
      <c r="G125" s="60"/>
      <c r="H125" s="60">
        <f t="shared" si="113"/>
        <v>76570.350000000006</v>
      </c>
      <c r="I125" s="60">
        <f t="shared" si="114"/>
        <v>1914.25875</v>
      </c>
      <c r="J125" s="60">
        <v>0</v>
      </c>
      <c r="K125" s="60">
        <f t="shared" si="115"/>
        <v>12761.725</v>
      </c>
      <c r="L125" s="38">
        <f t="shared" si="116"/>
        <v>89332.074999999997</v>
      </c>
      <c r="M125" s="60">
        <f t="shared" si="117"/>
        <v>25523.45</v>
      </c>
      <c r="N125" s="27"/>
      <c r="O125" s="27">
        <f>70000</f>
        <v>70000</v>
      </c>
      <c r="P125" s="60">
        <f t="shared" si="118"/>
        <v>2552.3450000000003</v>
      </c>
      <c r="Q125" s="60">
        <v>15000</v>
      </c>
      <c r="R125" s="60">
        <v>0</v>
      </c>
      <c r="S125" s="38">
        <f t="shared" si="119"/>
        <v>319177.65375</v>
      </c>
      <c r="T125" s="38">
        <v>312001.06049999996</v>
      </c>
      <c r="U125" s="38">
        <f t="shared" si="60"/>
        <v>7176.5932500000345</v>
      </c>
      <c r="V125" s="38"/>
      <c r="W125" s="60">
        <f>7709.76</f>
        <v>7709.76</v>
      </c>
      <c r="X125" s="38">
        <v>7709.76</v>
      </c>
      <c r="Y125" s="38">
        <f t="shared" si="61"/>
        <v>0</v>
      </c>
      <c r="Z125" s="38"/>
      <c r="AA125" s="38"/>
      <c r="AB125" s="38"/>
    </row>
    <row r="126" spans="1:28" ht="20.100000000000001" customHeight="1">
      <c r="A126" s="41">
        <v>7</v>
      </c>
      <c r="B126" s="748" t="s">
        <v>178</v>
      </c>
      <c r="C126" s="748"/>
      <c r="D126" s="108" t="s">
        <v>382</v>
      </c>
      <c r="E126" s="64" t="s">
        <v>163</v>
      </c>
      <c r="F126" s="60">
        <f>24741.26</f>
        <v>24741.26</v>
      </c>
      <c r="G126" s="60"/>
      <c r="H126" s="60">
        <f t="shared" si="113"/>
        <v>74223.78</v>
      </c>
      <c r="I126" s="60">
        <f t="shared" si="114"/>
        <v>1855.5944999999997</v>
      </c>
      <c r="J126" s="60"/>
      <c r="K126" s="60">
        <f t="shared" si="115"/>
        <v>12370.63</v>
      </c>
      <c r="L126" s="38">
        <f t="shared" si="116"/>
        <v>86594.409999999989</v>
      </c>
      <c r="M126" s="60">
        <f t="shared" si="117"/>
        <v>24741.26</v>
      </c>
      <c r="N126" s="27"/>
      <c r="O126" s="27">
        <f t="shared" ref="O126:O128" si="126">70000</f>
        <v>70000</v>
      </c>
      <c r="P126" s="60">
        <f t="shared" si="118"/>
        <v>2474.1260000000002</v>
      </c>
      <c r="Q126" s="60">
        <v>15000</v>
      </c>
      <c r="R126" s="60">
        <f>30000</f>
        <v>30000</v>
      </c>
      <c r="S126" s="38">
        <f t="shared" si="119"/>
        <v>342001.06049999996</v>
      </c>
      <c r="T126" s="38">
        <v>334201.02600000001</v>
      </c>
      <c r="U126" s="38">
        <f t="shared" si="60"/>
        <v>7800.0344999999506</v>
      </c>
      <c r="V126" s="38"/>
      <c r="W126" s="60">
        <f>7709.76</f>
        <v>7709.76</v>
      </c>
      <c r="X126" s="38">
        <v>7709.76</v>
      </c>
      <c r="Y126" s="38">
        <f t="shared" si="61"/>
        <v>0</v>
      </c>
      <c r="Z126" s="38"/>
      <c r="AA126" s="38"/>
      <c r="AB126" s="38"/>
    </row>
    <row r="127" spans="1:28" ht="20.100000000000001" customHeight="1">
      <c r="A127" s="41">
        <v>8</v>
      </c>
      <c r="B127" s="748" t="s">
        <v>134</v>
      </c>
      <c r="C127" s="748"/>
      <c r="D127" s="108" t="s">
        <v>384</v>
      </c>
      <c r="E127" s="64" t="s">
        <v>163</v>
      </c>
      <c r="F127" s="60">
        <f>24741.26</f>
        <v>24741.26</v>
      </c>
      <c r="G127" s="60"/>
      <c r="H127" s="60">
        <f t="shared" si="113"/>
        <v>74223.78</v>
      </c>
      <c r="I127" s="60">
        <f t="shared" si="114"/>
        <v>1855.5944999999997</v>
      </c>
      <c r="J127" s="60"/>
      <c r="K127" s="60">
        <f t="shared" si="115"/>
        <v>12370.63</v>
      </c>
      <c r="L127" s="38">
        <f t="shared" si="116"/>
        <v>86594.409999999989</v>
      </c>
      <c r="M127" s="60">
        <f t="shared" si="117"/>
        <v>24741.26</v>
      </c>
      <c r="N127" s="27"/>
      <c r="O127" s="27">
        <f t="shared" si="126"/>
        <v>70000</v>
      </c>
      <c r="P127" s="60">
        <f t="shared" si="118"/>
        <v>2474.1260000000002</v>
      </c>
      <c r="Q127" s="60">
        <v>15000</v>
      </c>
      <c r="R127" s="60"/>
      <c r="S127" s="38">
        <f t="shared" si="119"/>
        <v>312001.06049999996</v>
      </c>
      <c r="T127" s="38">
        <v>304201.02600000001</v>
      </c>
      <c r="U127" s="38">
        <f t="shared" si="60"/>
        <v>7800.0344999999506</v>
      </c>
      <c r="V127" s="38"/>
      <c r="W127" s="60">
        <f>7709.76</f>
        <v>7709.76</v>
      </c>
      <c r="X127" s="38">
        <v>7709.76</v>
      </c>
      <c r="Y127" s="38">
        <f t="shared" si="61"/>
        <v>0</v>
      </c>
      <c r="Z127" s="38"/>
      <c r="AA127" s="38"/>
      <c r="AB127" s="38"/>
    </row>
    <row r="128" spans="1:28" ht="20.100000000000001" customHeight="1">
      <c r="A128" s="41">
        <v>9</v>
      </c>
      <c r="B128" s="111" t="s">
        <v>365</v>
      </c>
      <c r="C128" s="112"/>
      <c r="D128" s="108" t="s">
        <v>383</v>
      </c>
      <c r="E128" s="64" t="s">
        <v>413</v>
      </c>
      <c r="F128" s="60">
        <f>23891.12</f>
        <v>23891.119999999999</v>
      </c>
      <c r="G128" s="60"/>
      <c r="H128" s="60">
        <f t="shared" si="113"/>
        <v>71673.36</v>
      </c>
      <c r="I128" s="60">
        <f t="shared" si="114"/>
        <v>1791.8339999999998</v>
      </c>
      <c r="J128" s="60"/>
      <c r="K128" s="60">
        <f t="shared" si="115"/>
        <v>11945.56</v>
      </c>
      <c r="L128" s="38">
        <f t="shared" si="116"/>
        <v>83618.92</v>
      </c>
      <c r="M128" s="60">
        <f t="shared" si="117"/>
        <v>23891.119999999999</v>
      </c>
      <c r="N128" s="27"/>
      <c r="O128" s="27">
        <f t="shared" si="126"/>
        <v>70000</v>
      </c>
      <c r="P128" s="60">
        <f t="shared" si="118"/>
        <v>2389.1120000000001</v>
      </c>
      <c r="Q128" s="60">
        <v>15000</v>
      </c>
      <c r="R128" s="60"/>
      <c r="S128" s="38">
        <f t="shared" si="119"/>
        <v>304201.02600000001</v>
      </c>
      <c r="T128" s="38">
        <v>296713.03325000004</v>
      </c>
      <c r="U128" s="38">
        <f t="shared" si="60"/>
        <v>7487.9927499999758</v>
      </c>
      <c r="V128" s="38"/>
      <c r="W128" s="60">
        <f>7709.76</f>
        <v>7709.76</v>
      </c>
      <c r="X128" s="38">
        <v>7709.76</v>
      </c>
      <c r="Y128" s="38">
        <f t="shared" si="61"/>
        <v>0</v>
      </c>
      <c r="Z128" s="38"/>
      <c r="AA128" s="38"/>
      <c r="AB128" s="38"/>
    </row>
    <row r="129" spans="1:28" ht="20.100000000000001" customHeight="1">
      <c r="A129" s="41"/>
      <c r="B129" s="751" t="s">
        <v>15</v>
      </c>
      <c r="C129" s="751"/>
      <c r="D129" s="125" t="s">
        <v>377</v>
      </c>
      <c r="E129" s="64"/>
      <c r="F129" s="45">
        <f>SUM(F120:F128)</f>
        <v>321324.12</v>
      </c>
      <c r="G129" s="45"/>
      <c r="H129" s="45">
        <f t="shared" ref="H129:M129" si="127">SUM(H120:H128)</f>
        <v>963972.3600000001</v>
      </c>
      <c r="I129" s="45">
        <f t="shared" si="127"/>
        <v>24099.308999999997</v>
      </c>
      <c r="J129" s="45">
        <f t="shared" si="127"/>
        <v>240733.14</v>
      </c>
      <c r="K129" s="45">
        <f t="shared" si="127"/>
        <v>160662.06</v>
      </c>
      <c r="L129" s="61">
        <f t="shared" si="127"/>
        <v>1124634.42</v>
      </c>
      <c r="M129" s="45">
        <f t="shared" si="127"/>
        <v>321324.12</v>
      </c>
      <c r="N129" s="85"/>
      <c r="O129" s="85">
        <f>SUM(O120:O128)</f>
        <v>710000</v>
      </c>
      <c r="P129" s="45">
        <f>SUM(P120:P128)</f>
        <v>32132.412000000004</v>
      </c>
      <c r="Q129" s="45">
        <f>SUM(Q120:Q128)</f>
        <v>160000</v>
      </c>
      <c r="R129" s="45">
        <f>SUM(R120:R128)</f>
        <v>330000</v>
      </c>
      <c r="S129" s="61">
        <f>SUM(S120:S128)</f>
        <v>4388881.9410000006</v>
      </c>
      <c r="T129" s="61">
        <v>4347200.8335000006</v>
      </c>
      <c r="U129" s="81">
        <f t="shared" si="60"/>
        <v>41681.107499999925</v>
      </c>
      <c r="V129" s="61"/>
      <c r="W129" s="45">
        <f t="shared" ref="W129" si="128">SUM(W120:W128)</f>
        <v>151878.75000000003</v>
      </c>
      <c r="X129" s="61">
        <v>151878.75000000003</v>
      </c>
      <c r="Y129" s="38">
        <f t="shared" si="61"/>
        <v>0</v>
      </c>
      <c r="Z129" s="61"/>
      <c r="AA129" s="61"/>
      <c r="AB129" s="61"/>
    </row>
    <row r="130" spans="1:28" ht="20.100000000000001" customHeight="1">
      <c r="A130" s="41"/>
      <c r="B130" s="113"/>
      <c r="C130" s="113"/>
      <c r="D130" s="125"/>
      <c r="E130" s="64"/>
      <c r="F130" s="45"/>
      <c r="G130" s="45"/>
      <c r="H130" s="45"/>
      <c r="I130" s="45"/>
      <c r="J130" s="45"/>
      <c r="K130" s="45"/>
      <c r="L130" s="61"/>
      <c r="M130" s="45"/>
      <c r="N130" s="27"/>
      <c r="O130" s="27"/>
      <c r="P130" s="45"/>
      <c r="Q130" s="45"/>
      <c r="R130" s="45"/>
      <c r="S130" s="61"/>
      <c r="T130" s="61"/>
      <c r="U130" s="38">
        <f t="shared" si="60"/>
        <v>0</v>
      </c>
      <c r="V130" s="61"/>
      <c r="W130" s="45"/>
      <c r="X130" s="61"/>
      <c r="Y130" s="38">
        <f t="shared" si="61"/>
        <v>0</v>
      </c>
      <c r="Z130" s="61"/>
      <c r="AA130" s="61"/>
      <c r="AB130" s="61"/>
    </row>
    <row r="131" spans="1:28" ht="20.100000000000001" customHeight="1">
      <c r="A131" s="41"/>
      <c r="B131" s="751" t="s">
        <v>281</v>
      </c>
      <c r="C131" s="751"/>
      <c r="D131" s="108"/>
      <c r="E131" s="64"/>
      <c r="F131" s="60"/>
      <c r="G131" s="60"/>
      <c r="H131" s="60"/>
      <c r="I131" s="60"/>
      <c r="J131" s="60"/>
      <c r="K131" s="60"/>
      <c r="L131" s="38"/>
      <c r="M131" s="60"/>
      <c r="N131" s="27"/>
      <c r="O131" s="27"/>
      <c r="P131" s="60"/>
      <c r="Q131" s="60"/>
      <c r="R131" s="60"/>
      <c r="S131" s="38"/>
      <c r="T131" s="38"/>
      <c r="U131" s="38">
        <f t="shared" si="60"/>
        <v>0</v>
      </c>
      <c r="V131" s="38"/>
      <c r="W131" s="60"/>
      <c r="X131" s="38"/>
      <c r="Y131" s="38">
        <f t="shared" si="61"/>
        <v>0</v>
      </c>
      <c r="Z131" s="38"/>
      <c r="AA131" s="38"/>
      <c r="AB131" s="38"/>
    </row>
    <row r="132" spans="1:28" ht="20.100000000000001" customHeight="1">
      <c r="A132" s="41">
        <v>1</v>
      </c>
      <c r="B132" s="748" t="s">
        <v>98</v>
      </c>
      <c r="C132" s="748"/>
      <c r="D132" s="108" t="s">
        <v>392</v>
      </c>
      <c r="E132" s="64" t="s">
        <v>161</v>
      </c>
      <c r="F132" s="60">
        <v>81740.02</v>
      </c>
      <c r="G132" s="60"/>
      <c r="H132" s="60">
        <f>F132*300%</f>
        <v>245220.06</v>
      </c>
      <c r="I132" s="60">
        <f>F132*7.5%</f>
        <v>6130.5015000000003</v>
      </c>
      <c r="J132" s="60">
        <v>80244.38</v>
      </c>
      <c r="K132" s="60">
        <f>F132*50%</f>
        <v>40870.01</v>
      </c>
      <c r="L132" s="60">
        <f>F132*350%</f>
        <v>286090.07</v>
      </c>
      <c r="M132" s="60">
        <f>F132*100%</f>
        <v>81740.02</v>
      </c>
      <c r="N132" s="27"/>
      <c r="O132" s="27">
        <f>100000</f>
        <v>100000</v>
      </c>
      <c r="P132" s="60">
        <f>F132*10%</f>
        <v>8174.0020000000004</v>
      </c>
      <c r="Q132" s="60">
        <v>20000</v>
      </c>
      <c r="R132" s="60">
        <v>0</v>
      </c>
      <c r="S132" s="38">
        <f>SUM(F132:R132)</f>
        <v>950209.06350000005</v>
      </c>
      <c r="T132" s="38">
        <v>950209.06350000005</v>
      </c>
      <c r="U132" s="38">
        <f t="shared" si="60"/>
        <v>0</v>
      </c>
      <c r="V132" s="38"/>
      <c r="W132" s="60">
        <v>52776.63</v>
      </c>
      <c r="X132" s="38">
        <v>52776.63</v>
      </c>
      <c r="Y132" s="38">
        <f t="shared" si="61"/>
        <v>0</v>
      </c>
      <c r="Z132" s="38"/>
      <c r="AA132" s="38"/>
      <c r="AB132" s="38"/>
    </row>
    <row r="133" spans="1:28" ht="20.100000000000001" customHeight="1">
      <c r="A133" s="41">
        <v>2</v>
      </c>
      <c r="B133" s="748" t="s">
        <v>21</v>
      </c>
      <c r="C133" s="748"/>
      <c r="D133" s="108" t="s">
        <v>393</v>
      </c>
      <c r="E133" s="64" t="s">
        <v>161</v>
      </c>
      <c r="F133" s="60">
        <f>81740.02</f>
        <v>81740.02</v>
      </c>
      <c r="G133" s="60"/>
      <c r="H133" s="60">
        <f>F133*300%</f>
        <v>245220.06</v>
      </c>
      <c r="I133" s="60">
        <f>F133*7.5%</f>
        <v>6130.5015000000003</v>
      </c>
      <c r="J133" s="60">
        <f>80244.38</f>
        <v>80244.38</v>
      </c>
      <c r="K133" s="60">
        <f>F133*50%</f>
        <v>40870.01</v>
      </c>
      <c r="L133" s="60">
        <f>F133*350%</f>
        <v>286090.07</v>
      </c>
      <c r="M133" s="60">
        <f>F133*100%</f>
        <v>81740.02</v>
      </c>
      <c r="N133" s="27"/>
      <c r="O133" s="27">
        <f>100000</f>
        <v>100000</v>
      </c>
      <c r="P133" s="60">
        <f>F133*10%</f>
        <v>8174.0020000000004</v>
      </c>
      <c r="Q133" s="60">
        <v>20000</v>
      </c>
      <c r="R133" s="60">
        <v>0</v>
      </c>
      <c r="S133" s="38">
        <f>SUM(F133:R133)</f>
        <v>950209.06350000005</v>
      </c>
      <c r="T133" s="38">
        <v>950209.06350000005</v>
      </c>
      <c r="U133" s="38">
        <f t="shared" si="60"/>
        <v>0</v>
      </c>
      <c r="V133" s="38"/>
      <c r="W133" s="60">
        <f>52776.63</f>
        <v>52776.63</v>
      </c>
      <c r="X133" s="38">
        <v>52776.63</v>
      </c>
      <c r="Y133" s="38">
        <f t="shared" si="61"/>
        <v>0</v>
      </c>
      <c r="Z133" s="38"/>
      <c r="AA133" s="38"/>
      <c r="AB133" s="38"/>
    </row>
    <row r="134" spans="1:28" ht="20.100000000000001" customHeight="1">
      <c r="A134" s="41">
        <v>3</v>
      </c>
      <c r="B134" s="752" t="s">
        <v>107</v>
      </c>
      <c r="C134" s="752"/>
      <c r="D134" s="108" t="s">
        <v>394</v>
      </c>
      <c r="E134" s="64" t="s">
        <v>160</v>
      </c>
      <c r="F134" s="60">
        <f>42653.17</f>
        <v>42653.17</v>
      </c>
      <c r="G134" s="60"/>
      <c r="H134" s="60">
        <f t="shared" ref="H134:H186" si="129">F134*300%</f>
        <v>127959.51</v>
      </c>
      <c r="I134" s="60">
        <f t="shared" ref="I134:I186" si="130">F134*7.5%</f>
        <v>3198.9877499999998</v>
      </c>
      <c r="J134" s="60">
        <v>40122.19</v>
      </c>
      <c r="K134" s="60">
        <f t="shared" ref="K134:K186" si="131">F134*50%</f>
        <v>21326.584999999999</v>
      </c>
      <c r="L134" s="60">
        <f t="shared" ref="L134:L186" si="132">F134*350%</f>
        <v>149286.095</v>
      </c>
      <c r="M134" s="60">
        <f t="shared" ref="M134:M152" si="133">F134*100%</f>
        <v>42653.17</v>
      </c>
      <c r="N134" s="27"/>
      <c r="O134" s="27">
        <f>90000</f>
        <v>90000</v>
      </c>
      <c r="P134" s="60">
        <f t="shared" ref="P134:P152" si="134">F134*10%</f>
        <v>4265.317</v>
      </c>
      <c r="Q134" s="60">
        <v>20000</v>
      </c>
      <c r="R134" s="60">
        <v>0</v>
      </c>
      <c r="S134" s="38">
        <f t="shared" ref="S134:S154" si="135">SUM(F134:R134)</f>
        <v>541465.02474999998</v>
      </c>
      <c r="T134" s="38">
        <v>541465.02474999998</v>
      </c>
      <c r="U134" s="38">
        <f t="shared" si="60"/>
        <v>0</v>
      </c>
      <c r="V134" s="38"/>
      <c r="W134" s="60">
        <f>21618.09</f>
        <v>21618.09</v>
      </c>
      <c r="X134" s="38">
        <v>21618.09</v>
      </c>
      <c r="Y134" s="38">
        <f t="shared" si="61"/>
        <v>0</v>
      </c>
      <c r="Z134" s="38"/>
      <c r="AA134" s="38"/>
      <c r="AB134" s="38"/>
    </row>
    <row r="135" spans="1:28" ht="20.100000000000001" customHeight="1">
      <c r="A135" s="41">
        <v>4</v>
      </c>
      <c r="B135" s="749" t="s">
        <v>183</v>
      </c>
      <c r="C135" s="750"/>
      <c r="D135" s="21" t="s">
        <v>379</v>
      </c>
      <c r="E135" s="25" t="s">
        <v>75</v>
      </c>
      <c r="F135" s="60">
        <v>33507.5</v>
      </c>
      <c r="G135" s="26"/>
      <c r="H135" s="26">
        <f t="shared" si="129"/>
        <v>100522.5</v>
      </c>
      <c r="I135" s="26">
        <f t="shared" si="130"/>
        <v>2513.0625</v>
      </c>
      <c r="J135" s="26">
        <v>40122.19</v>
      </c>
      <c r="K135" s="26">
        <f t="shared" si="131"/>
        <v>16753.75</v>
      </c>
      <c r="L135" s="26">
        <f t="shared" si="132"/>
        <v>117276.25</v>
      </c>
      <c r="M135" s="26">
        <f t="shared" si="133"/>
        <v>33507.5</v>
      </c>
      <c r="N135" s="27"/>
      <c r="O135" s="27">
        <v>80000</v>
      </c>
      <c r="P135" s="26">
        <f t="shared" si="134"/>
        <v>3350.75</v>
      </c>
      <c r="Q135" s="26">
        <v>20000</v>
      </c>
      <c r="R135" s="26">
        <v>50000</v>
      </c>
      <c r="S135" s="38">
        <f t="shared" si="135"/>
        <v>497553.5025</v>
      </c>
      <c r="T135" s="38">
        <v>497553.5025</v>
      </c>
      <c r="U135" s="38">
        <f t="shared" si="60"/>
        <v>0</v>
      </c>
      <c r="V135" s="24"/>
      <c r="W135" s="24">
        <v>15548.33</v>
      </c>
      <c r="X135" s="24">
        <v>15548.33</v>
      </c>
      <c r="Y135" s="38">
        <f t="shared" si="61"/>
        <v>0</v>
      </c>
      <c r="Z135" s="38"/>
      <c r="AA135" s="38"/>
      <c r="AB135" s="38"/>
    </row>
    <row r="136" spans="1:28" ht="20.100000000000001" customHeight="1">
      <c r="A136" s="41">
        <v>5</v>
      </c>
      <c r="B136" s="749" t="s">
        <v>378</v>
      </c>
      <c r="C136" s="750"/>
      <c r="D136" s="21" t="s">
        <v>380</v>
      </c>
      <c r="E136" s="25" t="s">
        <v>75</v>
      </c>
      <c r="F136" s="60">
        <v>33507.5</v>
      </c>
      <c r="G136" s="26"/>
      <c r="H136" s="26">
        <f t="shared" si="129"/>
        <v>100522.5</v>
      </c>
      <c r="I136" s="26">
        <f t="shared" si="130"/>
        <v>2513.0625</v>
      </c>
      <c r="J136" s="26">
        <v>40122.19</v>
      </c>
      <c r="K136" s="26">
        <f t="shared" si="131"/>
        <v>16753.75</v>
      </c>
      <c r="L136" s="26">
        <f t="shared" si="132"/>
        <v>117276.25</v>
      </c>
      <c r="M136" s="26">
        <f t="shared" si="133"/>
        <v>33507.5</v>
      </c>
      <c r="N136" s="27"/>
      <c r="O136" s="27">
        <v>80000</v>
      </c>
      <c r="P136" s="26">
        <f t="shared" si="134"/>
        <v>3350.75</v>
      </c>
      <c r="Q136" s="26">
        <v>20000</v>
      </c>
      <c r="R136" s="26"/>
      <c r="S136" s="38">
        <f t="shared" si="135"/>
        <v>447553.5025</v>
      </c>
      <c r="T136" s="38">
        <v>447553.5025</v>
      </c>
      <c r="U136" s="38">
        <f t="shared" si="60"/>
        <v>0</v>
      </c>
      <c r="V136" s="24"/>
      <c r="W136" s="24">
        <v>15548.33</v>
      </c>
      <c r="X136" s="24">
        <v>15548.33</v>
      </c>
      <c r="Y136" s="38">
        <f t="shared" si="61"/>
        <v>0</v>
      </c>
      <c r="Z136" s="38"/>
      <c r="AA136" s="38"/>
      <c r="AB136" s="38"/>
    </row>
    <row r="137" spans="1:28" ht="20.100000000000001" customHeight="1">
      <c r="A137" s="41">
        <v>6</v>
      </c>
      <c r="B137" s="748" t="s">
        <v>106</v>
      </c>
      <c r="C137" s="748"/>
      <c r="D137" s="108" t="s">
        <v>381</v>
      </c>
      <c r="E137" s="64" t="s">
        <v>162</v>
      </c>
      <c r="F137" s="60">
        <f>26732.65</f>
        <v>26732.65</v>
      </c>
      <c r="G137" s="60"/>
      <c r="H137" s="60">
        <f t="shared" si="129"/>
        <v>80197.950000000012</v>
      </c>
      <c r="I137" s="60">
        <f t="shared" si="130"/>
        <v>2004.94875</v>
      </c>
      <c r="J137" s="60">
        <v>0</v>
      </c>
      <c r="K137" s="60">
        <f t="shared" si="131"/>
        <v>13366.325000000001</v>
      </c>
      <c r="L137" s="38">
        <f t="shared" si="132"/>
        <v>93564.275000000009</v>
      </c>
      <c r="M137" s="60">
        <f t="shared" si="133"/>
        <v>26732.65</v>
      </c>
      <c r="N137" s="27"/>
      <c r="O137" s="27">
        <v>70000</v>
      </c>
      <c r="P137" s="60">
        <f t="shared" si="134"/>
        <v>2673.2650000000003</v>
      </c>
      <c r="Q137" s="26">
        <v>20000</v>
      </c>
      <c r="R137" s="60"/>
      <c r="S137" s="38">
        <f t="shared" si="135"/>
        <v>335272.06374999997</v>
      </c>
      <c r="T137" s="38">
        <v>327211.36749999999</v>
      </c>
      <c r="U137" s="38">
        <f t="shared" si="60"/>
        <v>8060.696249999979</v>
      </c>
      <c r="V137" s="38"/>
      <c r="W137" s="60">
        <v>7709.76</v>
      </c>
      <c r="X137" s="38">
        <v>7709.76</v>
      </c>
      <c r="Y137" s="38">
        <f t="shared" si="61"/>
        <v>0</v>
      </c>
      <c r="Z137" s="38"/>
      <c r="AA137" s="38"/>
      <c r="AB137" s="38"/>
    </row>
    <row r="138" spans="1:28" ht="20.100000000000001" customHeight="1">
      <c r="A138" s="41">
        <v>7</v>
      </c>
      <c r="B138" s="748" t="s">
        <v>7</v>
      </c>
      <c r="C138" s="748"/>
      <c r="D138" s="41" t="s">
        <v>385</v>
      </c>
      <c r="E138" s="64" t="s">
        <v>162</v>
      </c>
      <c r="F138" s="60">
        <f t="shared" ref="F138:F139" si="136">26732.65</f>
        <v>26732.65</v>
      </c>
      <c r="G138" s="60"/>
      <c r="H138" s="60">
        <f t="shared" si="129"/>
        <v>80197.950000000012</v>
      </c>
      <c r="I138" s="60">
        <f t="shared" si="130"/>
        <v>2004.94875</v>
      </c>
      <c r="J138" s="60">
        <v>0</v>
      </c>
      <c r="K138" s="60">
        <f t="shared" si="131"/>
        <v>13366.325000000001</v>
      </c>
      <c r="L138" s="38">
        <f t="shared" si="132"/>
        <v>93564.275000000009</v>
      </c>
      <c r="M138" s="60">
        <f t="shared" si="133"/>
        <v>26732.65</v>
      </c>
      <c r="N138" s="27"/>
      <c r="O138" s="27">
        <v>70000</v>
      </c>
      <c r="P138" s="60">
        <f t="shared" si="134"/>
        <v>2673.2650000000003</v>
      </c>
      <c r="Q138" s="26">
        <v>20000</v>
      </c>
      <c r="R138" s="60">
        <v>0</v>
      </c>
      <c r="S138" s="38">
        <f t="shared" si="135"/>
        <v>335272.06374999997</v>
      </c>
      <c r="T138" s="38">
        <v>327211.36749999999</v>
      </c>
      <c r="U138" s="38">
        <f t="shared" ref="U138:U186" si="137">S138-T138</f>
        <v>8060.696249999979</v>
      </c>
      <c r="V138" s="38"/>
      <c r="W138" s="60">
        <v>7709.76</v>
      </c>
      <c r="X138" s="38">
        <v>7709.76</v>
      </c>
      <c r="Y138" s="38">
        <f t="shared" ref="Y138:Y186" si="138">X138-W138</f>
        <v>0</v>
      </c>
      <c r="Z138" s="38"/>
      <c r="AA138" s="38"/>
      <c r="AB138" s="38"/>
    </row>
    <row r="139" spans="1:28" ht="20.100000000000001" customHeight="1">
      <c r="A139" s="41">
        <v>8</v>
      </c>
      <c r="B139" s="748" t="s">
        <v>6</v>
      </c>
      <c r="C139" s="748"/>
      <c r="D139" s="41" t="s">
        <v>385</v>
      </c>
      <c r="E139" s="64" t="s">
        <v>162</v>
      </c>
      <c r="F139" s="60">
        <f t="shared" si="136"/>
        <v>26732.65</v>
      </c>
      <c r="G139" s="60"/>
      <c r="H139" s="60">
        <f>F139*300%</f>
        <v>80197.950000000012</v>
      </c>
      <c r="I139" s="60">
        <f>F139*7.5%</f>
        <v>2004.94875</v>
      </c>
      <c r="J139" s="60">
        <v>0</v>
      </c>
      <c r="K139" s="60">
        <f>F139*50%</f>
        <v>13366.325000000001</v>
      </c>
      <c r="L139" s="38">
        <f>F139*350%</f>
        <v>93564.275000000009</v>
      </c>
      <c r="M139" s="60">
        <f>F139*100%</f>
        <v>26732.65</v>
      </c>
      <c r="N139" s="27"/>
      <c r="O139" s="27">
        <v>70000</v>
      </c>
      <c r="P139" s="60">
        <f>F139*10%</f>
        <v>2673.2650000000003</v>
      </c>
      <c r="Q139" s="26">
        <v>20000</v>
      </c>
      <c r="R139" s="60">
        <v>0</v>
      </c>
      <c r="S139" s="38">
        <f>SUM(F139:R139)</f>
        <v>335272.06374999997</v>
      </c>
      <c r="T139" s="38">
        <v>327211.36749999999</v>
      </c>
      <c r="U139" s="38">
        <v>0</v>
      </c>
      <c r="V139" s="38"/>
      <c r="W139" s="60">
        <v>7709.76</v>
      </c>
      <c r="X139" s="38">
        <v>7709.76</v>
      </c>
      <c r="Y139" s="38">
        <f t="shared" si="138"/>
        <v>0</v>
      </c>
      <c r="Z139" s="38"/>
      <c r="AA139" s="38"/>
      <c r="AB139" s="38"/>
    </row>
    <row r="140" spans="1:28" ht="20.100000000000001" customHeight="1">
      <c r="A140" s="41">
        <v>9</v>
      </c>
      <c r="B140" s="748" t="s">
        <v>124</v>
      </c>
      <c r="C140" s="748"/>
      <c r="D140" s="41" t="s">
        <v>235</v>
      </c>
      <c r="E140" s="64" t="s">
        <v>163</v>
      </c>
      <c r="F140" s="60">
        <f>24741.26</f>
        <v>24741.26</v>
      </c>
      <c r="G140" s="60"/>
      <c r="H140" s="60">
        <f t="shared" si="129"/>
        <v>74223.78</v>
      </c>
      <c r="I140" s="60">
        <f t="shared" si="130"/>
        <v>1855.5944999999997</v>
      </c>
      <c r="J140" s="38">
        <v>0</v>
      </c>
      <c r="K140" s="60">
        <f t="shared" si="131"/>
        <v>12370.63</v>
      </c>
      <c r="L140" s="38">
        <f t="shared" si="132"/>
        <v>86594.409999999989</v>
      </c>
      <c r="M140" s="60">
        <f t="shared" si="133"/>
        <v>24741.26</v>
      </c>
      <c r="N140" s="27"/>
      <c r="O140" s="27">
        <v>70000</v>
      </c>
      <c r="P140" s="60">
        <f t="shared" si="134"/>
        <v>2474.1260000000002</v>
      </c>
      <c r="Q140" s="60">
        <v>15000</v>
      </c>
      <c r="R140" s="60">
        <v>0</v>
      </c>
      <c r="S140" s="38">
        <f t="shared" si="135"/>
        <v>312001.06049999996</v>
      </c>
      <c r="T140" s="38">
        <v>304201.02600000001</v>
      </c>
      <c r="U140" s="38">
        <f t="shared" si="137"/>
        <v>7800.0344999999506</v>
      </c>
      <c r="V140" s="38"/>
      <c r="W140" s="60">
        <f>7709.76</f>
        <v>7709.76</v>
      </c>
      <c r="X140" s="38">
        <v>7709.76</v>
      </c>
      <c r="Y140" s="38">
        <f t="shared" si="138"/>
        <v>0</v>
      </c>
      <c r="Z140" s="38"/>
      <c r="AA140" s="38"/>
      <c r="AB140" s="38"/>
    </row>
    <row r="141" spans="1:28" ht="20.100000000000001" customHeight="1">
      <c r="A141" s="41">
        <v>10</v>
      </c>
      <c r="B141" s="741" t="s">
        <v>102</v>
      </c>
      <c r="C141" s="742"/>
      <c r="D141" s="134" t="s">
        <v>395</v>
      </c>
      <c r="E141" s="64" t="s">
        <v>415</v>
      </c>
      <c r="F141" s="60">
        <f>21520.88</f>
        <v>21520.880000000001</v>
      </c>
      <c r="G141" s="60"/>
      <c r="H141" s="60">
        <f>F141*300%</f>
        <v>64562.64</v>
      </c>
      <c r="I141" s="60">
        <f>F141*7.5%</f>
        <v>1614.066</v>
      </c>
      <c r="J141" s="60">
        <v>0</v>
      </c>
      <c r="K141" s="60">
        <f>F141*50%</f>
        <v>10760.44</v>
      </c>
      <c r="L141" s="38">
        <f>F141*350%</f>
        <v>75323.08</v>
      </c>
      <c r="M141" s="60">
        <f>F141*100%</f>
        <v>21520.880000000001</v>
      </c>
      <c r="N141" s="27"/>
      <c r="O141" s="27">
        <f>60000</f>
        <v>60000</v>
      </c>
      <c r="P141" s="60">
        <f>F141*10%</f>
        <v>2152.0880000000002</v>
      </c>
      <c r="Q141" s="60">
        <v>15000</v>
      </c>
      <c r="R141" s="60">
        <v>0</v>
      </c>
      <c r="S141" s="38">
        <f>SUM(F141:R141)</f>
        <v>272454.07400000002</v>
      </c>
      <c r="T141" s="38">
        <v>265372.07499999995</v>
      </c>
      <c r="U141" s="38">
        <f t="shared" si="137"/>
        <v>7081.9990000000689</v>
      </c>
      <c r="V141" s="38"/>
      <c r="W141" s="60">
        <f>3369.51</f>
        <v>3369.51</v>
      </c>
      <c r="X141" s="38">
        <v>3369.51</v>
      </c>
      <c r="Y141" s="38">
        <f t="shared" si="138"/>
        <v>0</v>
      </c>
      <c r="Z141" s="38"/>
      <c r="AA141" s="38"/>
      <c r="AB141" s="38"/>
    </row>
    <row r="142" spans="1:28" ht="20.100000000000001" customHeight="1">
      <c r="A142" s="41">
        <v>11</v>
      </c>
      <c r="B142" s="748" t="s">
        <v>103</v>
      </c>
      <c r="C142" s="748"/>
      <c r="D142" s="134" t="s">
        <v>395</v>
      </c>
      <c r="E142" s="64" t="s">
        <v>415</v>
      </c>
      <c r="F142" s="60">
        <f t="shared" ref="F142:F143" si="139">21520.88</f>
        <v>21520.880000000001</v>
      </c>
      <c r="G142" s="60"/>
      <c r="H142" s="60">
        <f>F142*300%</f>
        <v>64562.64</v>
      </c>
      <c r="I142" s="60">
        <f>F142*7.5%</f>
        <v>1614.066</v>
      </c>
      <c r="J142" s="60">
        <v>0</v>
      </c>
      <c r="K142" s="60">
        <f>F142*50%</f>
        <v>10760.44</v>
      </c>
      <c r="L142" s="38">
        <f>F142*350%</f>
        <v>75323.08</v>
      </c>
      <c r="M142" s="26">
        <f t="shared" si="133"/>
        <v>21520.880000000001</v>
      </c>
      <c r="N142" s="27"/>
      <c r="O142" s="27">
        <f>60000</f>
        <v>60000</v>
      </c>
      <c r="P142" s="60">
        <f t="shared" si="134"/>
        <v>2152.0880000000002</v>
      </c>
      <c r="Q142" s="60">
        <v>15000</v>
      </c>
      <c r="R142" s="60">
        <v>0</v>
      </c>
      <c r="S142" s="38">
        <f t="shared" si="135"/>
        <v>272454.07400000002</v>
      </c>
      <c r="T142" s="38">
        <v>265372.07499999995</v>
      </c>
      <c r="U142" s="38">
        <f t="shared" si="137"/>
        <v>7081.9990000000689</v>
      </c>
      <c r="V142" s="38"/>
      <c r="W142" s="60">
        <v>3369.51</v>
      </c>
      <c r="X142" s="38">
        <v>3369.51</v>
      </c>
      <c r="Y142" s="38">
        <f t="shared" si="138"/>
        <v>0</v>
      </c>
      <c r="Z142" s="38"/>
      <c r="AA142" s="38"/>
      <c r="AB142" s="38"/>
    </row>
    <row r="143" spans="1:28" ht="20.100000000000001" customHeight="1">
      <c r="A143" s="41">
        <v>12</v>
      </c>
      <c r="B143" s="741" t="s">
        <v>151</v>
      </c>
      <c r="C143" s="742"/>
      <c r="D143" s="41" t="s">
        <v>235</v>
      </c>
      <c r="E143" s="64" t="s">
        <v>415</v>
      </c>
      <c r="F143" s="60">
        <f t="shared" si="139"/>
        <v>21520.880000000001</v>
      </c>
      <c r="G143" s="60"/>
      <c r="H143" s="60">
        <f>F143*300%</f>
        <v>64562.64</v>
      </c>
      <c r="I143" s="60">
        <f>F143*7.5%</f>
        <v>1614.066</v>
      </c>
      <c r="J143" s="38"/>
      <c r="K143" s="60">
        <f>F143*50%</f>
        <v>10760.44</v>
      </c>
      <c r="L143" s="38">
        <f>F143*350%</f>
        <v>75323.08</v>
      </c>
      <c r="M143" s="60">
        <f>F143*100%</f>
        <v>21520.880000000001</v>
      </c>
      <c r="N143" s="27"/>
      <c r="O143" s="27">
        <f>60000</f>
        <v>60000</v>
      </c>
      <c r="P143" s="60">
        <f>F143*10%</f>
        <v>2152.0880000000002</v>
      </c>
      <c r="Q143" s="60">
        <v>15000</v>
      </c>
      <c r="R143" s="60"/>
      <c r="S143" s="38">
        <f>SUM(F143:R143)</f>
        <v>272454.07400000002</v>
      </c>
      <c r="T143" s="38">
        <v>265372.07499999995</v>
      </c>
      <c r="U143" s="38">
        <f t="shared" si="137"/>
        <v>7081.9990000000689</v>
      </c>
      <c r="V143" s="38"/>
      <c r="W143" s="60">
        <v>3369.51</v>
      </c>
      <c r="X143" s="38">
        <v>3369.51</v>
      </c>
      <c r="Y143" s="38">
        <f t="shared" si="138"/>
        <v>0</v>
      </c>
      <c r="Z143" s="38"/>
      <c r="AA143" s="38"/>
      <c r="AB143" s="38"/>
    </row>
    <row r="144" spans="1:28" ht="20.100000000000001" customHeight="1">
      <c r="A144" s="41">
        <v>13</v>
      </c>
      <c r="B144" s="741" t="s">
        <v>238</v>
      </c>
      <c r="C144" s="742"/>
      <c r="D144" s="41" t="s">
        <v>239</v>
      </c>
      <c r="E144" s="64" t="s">
        <v>27</v>
      </c>
      <c r="F144" s="26">
        <f>18779.3</f>
        <v>18779.3</v>
      </c>
      <c r="G144" s="60"/>
      <c r="H144" s="60">
        <f>F144*300%</f>
        <v>56337.899999999994</v>
      </c>
      <c r="I144" s="60">
        <f>F144*7.5%</f>
        <v>1408.4475</v>
      </c>
      <c r="J144" s="60"/>
      <c r="K144" s="60">
        <f>F144*50%</f>
        <v>9389.65</v>
      </c>
      <c r="L144" s="38">
        <f>F144*350%</f>
        <v>65727.55</v>
      </c>
      <c r="M144" s="26">
        <f t="shared" si="133"/>
        <v>18779.3</v>
      </c>
      <c r="N144" s="27"/>
      <c r="O144" s="27">
        <f>60000</f>
        <v>60000</v>
      </c>
      <c r="P144" s="60">
        <f t="shared" si="134"/>
        <v>1877.93</v>
      </c>
      <c r="Q144" s="60">
        <v>10000</v>
      </c>
      <c r="R144" s="60"/>
      <c r="S144" s="38">
        <f t="shared" si="135"/>
        <v>242300.07749999996</v>
      </c>
      <c r="T144" s="38">
        <v>237734.04699999996</v>
      </c>
      <c r="U144" s="38">
        <f t="shared" si="137"/>
        <v>4566.0304999999935</v>
      </c>
      <c r="V144" s="38"/>
      <c r="W144" s="60">
        <v>3369.51</v>
      </c>
      <c r="X144" s="38">
        <v>3369.51</v>
      </c>
      <c r="Y144" s="38">
        <f t="shared" si="138"/>
        <v>0</v>
      </c>
      <c r="Z144" s="38"/>
      <c r="AA144" s="38"/>
      <c r="AB144" s="38"/>
    </row>
    <row r="145" spans="1:28" ht="20.100000000000001" customHeight="1">
      <c r="A145" s="41">
        <v>14</v>
      </c>
      <c r="B145" s="741" t="s">
        <v>53</v>
      </c>
      <c r="C145" s="742"/>
      <c r="D145" s="108" t="s">
        <v>300</v>
      </c>
      <c r="E145" s="64" t="s">
        <v>164</v>
      </c>
      <c r="F145" s="26">
        <f>18281.64</f>
        <v>18281.64</v>
      </c>
      <c r="G145" s="60"/>
      <c r="H145" s="60">
        <f t="shared" si="129"/>
        <v>54844.92</v>
      </c>
      <c r="I145" s="60">
        <f t="shared" si="130"/>
        <v>1371.1229999999998</v>
      </c>
      <c r="J145" s="60"/>
      <c r="K145" s="60">
        <f t="shared" si="131"/>
        <v>9140.82</v>
      </c>
      <c r="L145" s="38">
        <f t="shared" si="132"/>
        <v>63985.74</v>
      </c>
      <c r="M145" s="60">
        <f t="shared" si="133"/>
        <v>18281.64</v>
      </c>
      <c r="N145" s="27"/>
      <c r="O145" s="27">
        <f>60000</f>
        <v>60000</v>
      </c>
      <c r="P145" s="60">
        <f t="shared" si="134"/>
        <v>1828.164</v>
      </c>
      <c r="Q145" s="60">
        <v>10000</v>
      </c>
      <c r="R145" s="60"/>
      <c r="S145" s="38">
        <f t="shared" si="135"/>
        <v>237734.04699999996</v>
      </c>
      <c r="T145" s="38">
        <v>233168.19999999998</v>
      </c>
      <c r="U145" s="38">
        <f t="shared" si="137"/>
        <v>4565.8469999999797</v>
      </c>
      <c r="V145" s="38"/>
      <c r="W145" s="60">
        <f>3369.51</f>
        <v>3369.51</v>
      </c>
      <c r="X145" s="38">
        <v>3369.51</v>
      </c>
      <c r="Y145" s="38">
        <f t="shared" si="138"/>
        <v>0</v>
      </c>
      <c r="Z145" s="38"/>
      <c r="AA145" s="38"/>
      <c r="AB145" s="38"/>
    </row>
    <row r="146" spans="1:28" ht="20.100000000000001" customHeight="1">
      <c r="A146" s="41">
        <v>15</v>
      </c>
      <c r="B146" s="741" t="s">
        <v>179</v>
      </c>
      <c r="C146" s="742"/>
      <c r="D146" s="108" t="s">
        <v>131</v>
      </c>
      <c r="E146" s="64" t="s">
        <v>27</v>
      </c>
      <c r="F146" s="26">
        <f>18779.3</f>
        <v>18779.3</v>
      </c>
      <c r="G146" s="60"/>
      <c r="H146" s="60">
        <f>F146*300%</f>
        <v>56337.899999999994</v>
      </c>
      <c r="I146" s="60">
        <f>F146*7.5%</f>
        <v>1408.4475</v>
      </c>
      <c r="J146" s="38"/>
      <c r="K146" s="60">
        <f>F146*50%</f>
        <v>9389.65</v>
      </c>
      <c r="L146" s="38">
        <f>F146*350%</f>
        <v>65727.55</v>
      </c>
      <c r="M146" s="60">
        <f>F146*100%</f>
        <v>18779.3</v>
      </c>
      <c r="N146" s="27"/>
      <c r="O146" s="27">
        <f>60000</f>
        <v>60000</v>
      </c>
      <c r="P146" s="60">
        <f>F146*10%</f>
        <v>1877.93</v>
      </c>
      <c r="Q146" s="60">
        <v>10000</v>
      </c>
      <c r="R146" s="60"/>
      <c r="S146" s="38">
        <f>SUM(F146:R146)</f>
        <v>242300.07749999996</v>
      </c>
      <c r="T146" s="38">
        <v>237734.04699999996</v>
      </c>
      <c r="U146" s="38">
        <f t="shared" si="137"/>
        <v>4566.0304999999935</v>
      </c>
      <c r="V146" s="38"/>
      <c r="W146" s="60">
        <v>3369.51</v>
      </c>
      <c r="X146" s="38">
        <v>3369.51</v>
      </c>
      <c r="Y146" s="38">
        <f t="shared" si="138"/>
        <v>0</v>
      </c>
      <c r="Z146" s="38"/>
      <c r="AA146" s="38"/>
      <c r="AB146" s="38"/>
    </row>
    <row r="147" spans="1:28" ht="20.100000000000001" customHeight="1">
      <c r="A147" s="41">
        <v>16</v>
      </c>
      <c r="B147" s="741" t="s">
        <v>208</v>
      </c>
      <c r="C147" s="742"/>
      <c r="D147" s="41" t="s">
        <v>239</v>
      </c>
      <c r="E147" s="64" t="s">
        <v>207</v>
      </c>
      <c r="F147" s="65">
        <f>17784.1</f>
        <v>17784.099999999999</v>
      </c>
      <c r="G147" s="60"/>
      <c r="H147" s="60">
        <f t="shared" si="129"/>
        <v>53352.299999999996</v>
      </c>
      <c r="I147" s="60">
        <f t="shared" si="130"/>
        <v>1333.8074999999999</v>
      </c>
      <c r="J147" s="60"/>
      <c r="K147" s="60">
        <f t="shared" si="131"/>
        <v>8892.0499999999993</v>
      </c>
      <c r="L147" s="38">
        <f t="shared" si="132"/>
        <v>62244.349999999991</v>
      </c>
      <c r="M147" s="60">
        <f t="shared" si="133"/>
        <v>17784.099999999999</v>
      </c>
      <c r="N147" s="27"/>
      <c r="O147" s="27">
        <f>60000</f>
        <v>60000</v>
      </c>
      <c r="P147" s="60">
        <f t="shared" si="134"/>
        <v>1778.4099999999999</v>
      </c>
      <c r="Q147" s="60">
        <v>10000</v>
      </c>
      <c r="R147" s="60"/>
      <c r="S147" s="38">
        <f t="shared" si="135"/>
        <v>233169.11749999999</v>
      </c>
      <c r="T147" s="38">
        <v>228602.07775000003</v>
      </c>
      <c r="U147" s="38">
        <f t="shared" si="137"/>
        <v>4567.0397499999672</v>
      </c>
      <c r="V147" s="38"/>
      <c r="W147" s="60">
        <v>1484.37</v>
      </c>
      <c r="X147" s="38">
        <v>1484.37</v>
      </c>
      <c r="Y147" s="38">
        <f t="shared" si="138"/>
        <v>0</v>
      </c>
      <c r="Z147" s="38"/>
      <c r="AA147" s="38"/>
      <c r="AB147" s="38"/>
    </row>
    <row r="148" spans="1:28" ht="20.100000000000001" customHeight="1">
      <c r="A148" s="41">
        <v>17</v>
      </c>
      <c r="B148" s="741" t="s">
        <v>210</v>
      </c>
      <c r="C148" s="742"/>
      <c r="D148" s="41" t="s">
        <v>239</v>
      </c>
      <c r="E148" s="64" t="s">
        <v>207</v>
      </c>
      <c r="F148" s="65">
        <f t="shared" ref="F148:F149" si="140">17784.1</f>
        <v>17784.099999999999</v>
      </c>
      <c r="G148" s="60"/>
      <c r="H148" s="60">
        <f t="shared" si="129"/>
        <v>53352.299999999996</v>
      </c>
      <c r="I148" s="60">
        <f t="shared" si="130"/>
        <v>1333.8074999999999</v>
      </c>
      <c r="J148" s="60"/>
      <c r="K148" s="60">
        <f t="shared" si="131"/>
        <v>8892.0499999999993</v>
      </c>
      <c r="L148" s="38">
        <f t="shared" si="132"/>
        <v>62244.349999999991</v>
      </c>
      <c r="M148" s="60">
        <f t="shared" si="133"/>
        <v>17784.099999999999</v>
      </c>
      <c r="N148" s="27"/>
      <c r="O148" s="27">
        <f>60000</f>
        <v>60000</v>
      </c>
      <c r="P148" s="60">
        <f t="shared" si="134"/>
        <v>1778.4099999999999</v>
      </c>
      <c r="Q148" s="60">
        <v>10000</v>
      </c>
      <c r="R148" s="60"/>
      <c r="S148" s="38">
        <f t="shared" si="135"/>
        <v>233169.11749999999</v>
      </c>
      <c r="T148" s="38">
        <v>228602.07775000003</v>
      </c>
      <c r="U148" s="38">
        <f t="shared" si="137"/>
        <v>4567.0397499999672</v>
      </c>
      <c r="V148" s="38"/>
      <c r="W148" s="60">
        <v>1484.37</v>
      </c>
      <c r="X148" s="38">
        <v>1484.37</v>
      </c>
      <c r="Y148" s="38">
        <f t="shared" si="138"/>
        <v>0</v>
      </c>
      <c r="Z148" s="38"/>
      <c r="AA148" s="38"/>
      <c r="AB148" s="38"/>
    </row>
    <row r="149" spans="1:28" ht="20.100000000000001" customHeight="1">
      <c r="A149" s="41">
        <v>18</v>
      </c>
      <c r="B149" s="741" t="s">
        <v>212</v>
      </c>
      <c r="C149" s="742"/>
      <c r="D149" s="41" t="s">
        <v>239</v>
      </c>
      <c r="E149" s="64" t="s">
        <v>207</v>
      </c>
      <c r="F149" s="65">
        <f t="shared" si="140"/>
        <v>17784.099999999999</v>
      </c>
      <c r="G149" s="60"/>
      <c r="H149" s="60">
        <f t="shared" si="129"/>
        <v>53352.299999999996</v>
      </c>
      <c r="I149" s="60">
        <f t="shared" si="130"/>
        <v>1333.8074999999999</v>
      </c>
      <c r="J149" s="60"/>
      <c r="K149" s="60">
        <f t="shared" si="131"/>
        <v>8892.0499999999993</v>
      </c>
      <c r="L149" s="38">
        <f t="shared" si="132"/>
        <v>62244.349999999991</v>
      </c>
      <c r="M149" s="60">
        <f t="shared" si="133"/>
        <v>17784.099999999999</v>
      </c>
      <c r="N149" s="27"/>
      <c r="O149" s="27">
        <f>60000</f>
        <v>60000</v>
      </c>
      <c r="P149" s="60">
        <f t="shared" si="134"/>
        <v>1778.4099999999999</v>
      </c>
      <c r="Q149" s="60">
        <v>10000</v>
      </c>
      <c r="R149" s="60"/>
      <c r="S149" s="38">
        <f t="shared" si="135"/>
        <v>233169.11749999999</v>
      </c>
      <c r="T149" s="38">
        <v>228602.07775000003</v>
      </c>
      <c r="U149" s="38">
        <f t="shared" si="137"/>
        <v>4567.0397499999672</v>
      </c>
      <c r="V149" s="38"/>
      <c r="W149" s="60">
        <v>1484.37</v>
      </c>
      <c r="X149" s="38">
        <v>1484.37</v>
      </c>
      <c r="Y149" s="38">
        <f t="shared" si="138"/>
        <v>0</v>
      </c>
      <c r="Z149" s="38"/>
      <c r="AA149" s="38"/>
      <c r="AB149" s="38"/>
    </row>
    <row r="150" spans="1:28" ht="20.100000000000001" customHeight="1">
      <c r="A150" s="41">
        <v>19</v>
      </c>
      <c r="B150" s="741" t="s">
        <v>230</v>
      </c>
      <c r="C150" s="742"/>
      <c r="D150" s="108" t="s">
        <v>131</v>
      </c>
      <c r="E150" s="64" t="s">
        <v>267</v>
      </c>
      <c r="F150" s="65">
        <f>13492.21</f>
        <v>13492.21</v>
      </c>
      <c r="G150" s="60"/>
      <c r="H150" s="60">
        <f t="shared" si="129"/>
        <v>40476.629999999997</v>
      </c>
      <c r="I150" s="60">
        <f t="shared" si="130"/>
        <v>1011.9157499999999</v>
      </c>
      <c r="J150" s="60"/>
      <c r="K150" s="60">
        <f t="shared" si="131"/>
        <v>6746.1049999999996</v>
      </c>
      <c r="L150" s="38">
        <f t="shared" si="132"/>
        <v>47222.735000000001</v>
      </c>
      <c r="M150" s="60">
        <f t="shared" si="133"/>
        <v>13492.21</v>
      </c>
      <c r="N150" s="27"/>
      <c r="O150" s="27">
        <f>50000</f>
        <v>50000</v>
      </c>
      <c r="P150" s="60">
        <f t="shared" si="134"/>
        <v>1349.221</v>
      </c>
      <c r="Q150" s="60">
        <v>10000</v>
      </c>
      <c r="R150" s="60"/>
      <c r="S150" s="38">
        <f t="shared" si="135"/>
        <v>183791.02674999999</v>
      </c>
      <c r="T150" s="38">
        <v>180304.068</v>
      </c>
      <c r="U150" s="38">
        <f t="shared" si="137"/>
        <v>3486.9587499999907</v>
      </c>
      <c r="V150" s="38"/>
      <c r="W150" s="60">
        <v>1484.37</v>
      </c>
      <c r="X150" s="38">
        <v>1484.37</v>
      </c>
      <c r="Y150" s="38">
        <f t="shared" si="138"/>
        <v>0</v>
      </c>
      <c r="Z150" s="38"/>
      <c r="AA150" s="38"/>
      <c r="AB150" s="38"/>
    </row>
    <row r="151" spans="1:28" ht="20.100000000000001" customHeight="1">
      <c r="A151" s="41">
        <v>20</v>
      </c>
      <c r="B151" s="741" t="s">
        <v>57</v>
      </c>
      <c r="C151" s="742"/>
      <c r="D151" s="108" t="s">
        <v>236</v>
      </c>
      <c r="E151" s="64" t="s">
        <v>267</v>
      </c>
      <c r="F151" s="65">
        <f t="shared" ref="F151:F153" si="141">13492.21</f>
        <v>13492.21</v>
      </c>
      <c r="G151" s="60"/>
      <c r="H151" s="60">
        <f t="shared" si="129"/>
        <v>40476.629999999997</v>
      </c>
      <c r="I151" s="60">
        <f t="shared" si="130"/>
        <v>1011.9157499999999</v>
      </c>
      <c r="J151" s="60"/>
      <c r="K151" s="60">
        <f t="shared" si="131"/>
        <v>6746.1049999999996</v>
      </c>
      <c r="L151" s="38">
        <f t="shared" si="132"/>
        <v>47222.735000000001</v>
      </c>
      <c r="M151" s="60">
        <f t="shared" si="133"/>
        <v>13492.21</v>
      </c>
      <c r="N151" s="27"/>
      <c r="O151" s="27">
        <f>50000</f>
        <v>50000</v>
      </c>
      <c r="P151" s="60">
        <f t="shared" si="134"/>
        <v>1349.221</v>
      </c>
      <c r="Q151" s="60">
        <v>10000</v>
      </c>
      <c r="R151" s="60"/>
      <c r="S151" s="38">
        <f t="shared" si="135"/>
        <v>183791.02674999999</v>
      </c>
      <c r="T151" s="38">
        <v>180304.068</v>
      </c>
      <c r="U151" s="38">
        <f t="shared" si="137"/>
        <v>3486.9587499999907</v>
      </c>
      <c r="V151" s="38"/>
      <c r="W151" s="60">
        <v>1484.37</v>
      </c>
      <c r="X151" s="38">
        <v>1484.37</v>
      </c>
      <c r="Y151" s="38">
        <f t="shared" si="138"/>
        <v>0</v>
      </c>
      <c r="Z151" s="38"/>
      <c r="AA151" s="38"/>
      <c r="AB151" s="38"/>
    </row>
    <row r="152" spans="1:28" ht="20.100000000000001" customHeight="1">
      <c r="A152" s="41">
        <v>21</v>
      </c>
      <c r="B152" s="741" t="s">
        <v>251</v>
      </c>
      <c r="C152" s="742"/>
      <c r="D152" s="108" t="s">
        <v>131</v>
      </c>
      <c r="E152" s="64" t="s">
        <v>267</v>
      </c>
      <c r="F152" s="65">
        <f t="shared" si="141"/>
        <v>13492.21</v>
      </c>
      <c r="G152" s="60"/>
      <c r="H152" s="60">
        <f t="shared" si="129"/>
        <v>40476.629999999997</v>
      </c>
      <c r="I152" s="60">
        <f t="shared" si="130"/>
        <v>1011.9157499999999</v>
      </c>
      <c r="J152" s="60"/>
      <c r="K152" s="60">
        <f t="shared" si="131"/>
        <v>6746.1049999999996</v>
      </c>
      <c r="L152" s="38">
        <f t="shared" si="132"/>
        <v>47222.735000000001</v>
      </c>
      <c r="M152" s="60">
        <f t="shared" si="133"/>
        <v>13492.21</v>
      </c>
      <c r="N152" s="27"/>
      <c r="O152" s="27">
        <f>50000</f>
        <v>50000</v>
      </c>
      <c r="P152" s="60">
        <f t="shared" si="134"/>
        <v>1349.221</v>
      </c>
      <c r="Q152" s="60">
        <v>10000</v>
      </c>
      <c r="R152" s="60"/>
      <c r="S152" s="38">
        <f t="shared" si="135"/>
        <v>183791.02674999999</v>
      </c>
      <c r="T152" s="38">
        <v>180304.068</v>
      </c>
      <c r="U152" s="38">
        <f t="shared" si="137"/>
        <v>3486.9587499999907</v>
      </c>
      <c r="V152" s="38"/>
      <c r="W152" s="60">
        <v>1484.37</v>
      </c>
      <c r="X152" s="38">
        <v>1484.37</v>
      </c>
      <c r="Y152" s="38">
        <f t="shared" si="138"/>
        <v>0</v>
      </c>
      <c r="Z152" s="38"/>
      <c r="AA152" s="38"/>
      <c r="AB152" s="38"/>
    </row>
    <row r="153" spans="1:28" ht="20.100000000000001" customHeight="1">
      <c r="A153" s="41">
        <v>22</v>
      </c>
      <c r="B153" s="741" t="s">
        <v>241</v>
      </c>
      <c r="C153" s="742"/>
      <c r="D153" s="108" t="s">
        <v>348</v>
      </c>
      <c r="E153" s="64" t="s">
        <v>267</v>
      </c>
      <c r="F153" s="65">
        <f t="shared" si="141"/>
        <v>13492.21</v>
      </c>
      <c r="G153" s="60"/>
      <c r="H153" s="60">
        <f>F153*300%</f>
        <v>40476.629999999997</v>
      </c>
      <c r="I153" s="60">
        <f>F153*7.5%</f>
        <v>1011.9157499999999</v>
      </c>
      <c r="J153" s="60"/>
      <c r="K153" s="60">
        <f>F153*50%</f>
        <v>6746.1049999999996</v>
      </c>
      <c r="L153" s="38">
        <f>F153*350%</f>
        <v>47222.735000000001</v>
      </c>
      <c r="M153" s="60">
        <f>F153*100%</f>
        <v>13492.21</v>
      </c>
      <c r="N153" s="27"/>
      <c r="O153" s="27">
        <f>50000</f>
        <v>50000</v>
      </c>
      <c r="P153" s="60">
        <f>F153*10%</f>
        <v>1349.221</v>
      </c>
      <c r="Q153" s="60">
        <v>10000</v>
      </c>
      <c r="R153" s="60"/>
      <c r="S153" s="38">
        <f>SUM(F153:R153)</f>
        <v>183791.02674999999</v>
      </c>
      <c r="T153" s="38">
        <v>180304.068</v>
      </c>
      <c r="U153" s="38">
        <f t="shared" si="137"/>
        <v>3486.9587499999907</v>
      </c>
      <c r="V153" s="38"/>
      <c r="W153" s="60">
        <v>1484.37</v>
      </c>
      <c r="X153" s="38">
        <v>1484.37</v>
      </c>
      <c r="Y153" s="38">
        <f t="shared" si="138"/>
        <v>0</v>
      </c>
      <c r="Z153" s="38"/>
      <c r="AA153" s="38"/>
      <c r="AB153" s="38"/>
    </row>
    <row r="154" spans="1:28" ht="20.100000000000001" customHeight="1">
      <c r="A154" s="41">
        <v>23</v>
      </c>
      <c r="B154" s="111" t="s">
        <v>289</v>
      </c>
      <c r="C154" s="112"/>
      <c r="D154" s="108" t="s">
        <v>290</v>
      </c>
      <c r="E154" s="64" t="s">
        <v>295</v>
      </c>
      <c r="F154" s="65">
        <f>13112.16</f>
        <v>13112.16</v>
      </c>
      <c r="G154" s="60"/>
      <c r="H154" s="60">
        <f t="shared" si="129"/>
        <v>39336.479999999996</v>
      </c>
      <c r="I154" s="60">
        <f t="shared" si="130"/>
        <v>983.41199999999992</v>
      </c>
      <c r="J154" s="60"/>
      <c r="K154" s="60">
        <f t="shared" si="131"/>
        <v>6556.08</v>
      </c>
      <c r="L154" s="38">
        <f t="shared" si="132"/>
        <v>45892.56</v>
      </c>
      <c r="M154" s="60">
        <f>F154*100%</f>
        <v>13112.16</v>
      </c>
      <c r="N154" s="27"/>
      <c r="O154" s="27">
        <f>50000</f>
        <v>50000</v>
      </c>
      <c r="P154" s="60">
        <f>F154*10%</f>
        <v>1311.2160000000001</v>
      </c>
      <c r="Q154" s="60">
        <v>10000</v>
      </c>
      <c r="S154" s="60">
        <f t="shared" si="135"/>
        <v>180304.068</v>
      </c>
      <c r="T154" s="60">
        <v>223168.19999999998</v>
      </c>
      <c r="U154" s="38">
        <f t="shared" si="137"/>
        <v>-42864.131999999983</v>
      </c>
      <c r="V154" s="38"/>
      <c r="W154" s="60">
        <f>3369.51</f>
        <v>3369.51</v>
      </c>
      <c r="X154" s="38">
        <v>3369.51</v>
      </c>
      <c r="Y154" s="38">
        <f t="shared" si="138"/>
        <v>0</v>
      </c>
      <c r="Z154" s="38"/>
      <c r="AA154" s="38"/>
      <c r="AB154" s="38"/>
    </row>
    <row r="155" spans="1:28" ht="20.100000000000001" customHeight="1">
      <c r="A155" s="41">
        <v>24</v>
      </c>
      <c r="B155" s="111" t="s">
        <v>359</v>
      </c>
      <c r="C155" s="112"/>
      <c r="D155" s="108" t="s">
        <v>131</v>
      </c>
      <c r="E155" s="64" t="s">
        <v>105</v>
      </c>
      <c r="F155" s="26">
        <f>12351.94</f>
        <v>12351.94</v>
      </c>
      <c r="G155" s="26"/>
      <c r="H155" s="26">
        <f>F155*300%</f>
        <v>37055.82</v>
      </c>
      <c r="I155" s="26">
        <f>F155*7.5%</f>
        <v>926.39549999999997</v>
      </c>
      <c r="J155" s="26"/>
      <c r="K155" s="26">
        <f>F155*50%</f>
        <v>6175.97</v>
      </c>
      <c r="L155" s="26">
        <f>F155*350%</f>
        <v>43231.79</v>
      </c>
      <c r="M155" s="26">
        <f>F155*100%</f>
        <v>12351.94</v>
      </c>
      <c r="N155" s="27"/>
      <c r="O155" s="27">
        <f>50000</f>
        <v>50000</v>
      </c>
      <c r="P155" s="26">
        <f>F155*10%</f>
        <v>1235.1940000000002</v>
      </c>
      <c r="Q155" s="26">
        <v>10000</v>
      </c>
      <c r="R155" s="26"/>
      <c r="S155" s="38">
        <f t="shared" ref="S155:S157" si="142">R155+Q155+P155+O155+N155+M155+L155+K155+J155+I155+H155+G155+F155</f>
        <v>173329.04949999999</v>
      </c>
      <c r="T155" s="38">
        <v>173329.04949999999</v>
      </c>
      <c r="U155" s="38">
        <f t="shared" si="137"/>
        <v>0</v>
      </c>
      <c r="V155" s="38"/>
      <c r="W155" s="60">
        <v>1484.37</v>
      </c>
      <c r="X155" s="38">
        <v>1484.37</v>
      </c>
      <c r="Y155" s="38">
        <f t="shared" si="138"/>
        <v>0</v>
      </c>
      <c r="Z155" s="38"/>
      <c r="AA155" s="38"/>
      <c r="AB155" s="38"/>
    </row>
    <row r="156" spans="1:28" ht="20.100000000000001" customHeight="1">
      <c r="A156" s="41">
        <v>25</v>
      </c>
      <c r="B156" s="111" t="s">
        <v>406</v>
      </c>
      <c r="C156" s="112"/>
      <c r="D156" s="108" t="s">
        <v>290</v>
      </c>
      <c r="E156" s="64" t="s">
        <v>105</v>
      </c>
      <c r="F156" s="26">
        <f t="shared" ref="F156:F157" si="143">12351.94</f>
        <v>12351.94</v>
      </c>
      <c r="G156" s="26"/>
      <c r="H156" s="26">
        <f t="shared" ref="H156:H157" si="144">F156*300%</f>
        <v>37055.82</v>
      </c>
      <c r="I156" s="26">
        <f t="shared" ref="I156:I157" si="145">F156*7.5%</f>
        <v>926.39549999999997</v>
      </c>
      <c r="J156" s="26"/>
      <c r="K156" s="26">
        <f t="shared" ref="K156:K157" si="146">F156*50%</f>
        <v>6175.97</v>
      </c>
      <c r="L156" s="26">
        <f t="shared" ref="L156:L157" si="147">F156*350%</f>
        <v>43231.79</v>
      </c>
      <c r="M156" s="26">
        <f t="shared" ref="M156:M167" si="148">F156*100%</f>
        <v>12351.94</v>
      </c>
      <c r="N156" s="27"/>
      <c r="O156" s="27">
        <f>50000</f>
        <v>50000</v>
      </c>
      <c r="P156" s="26">
        <f t="shared" ref="P156:P186" si="149">F156*10%</f>
        <v>1235.1940000000002</v>
      </c>
      <c r="Q156" s="26">
        <v>10000</v>
      </c>
      <c r="R156" s="26"/>
      <c r="S156" s="38">
        <f t="shared" si="142"/>
        <v>173329.04949999999</v>
      </c>
      <c r="T156" s="38">
        <v>173329.04949999999</v>
      </c>
      <c r="U156" s="38">
        <f t="shared" si="137"/>
        <v>0</v>
      </c>
      <c r="V156" s="38"/>
      <c r="W156" s="60">
        <v>1484.37</v>
      </c>
      <c r="X156" s="38">
        <v>1484.37</v>
      </c>
      <c r="Y156" s="38">
        <f t="shared" si="138"/>
        <v>0</v>
      </c>
      <c r="Z156" s="38"/>
      <c r="AA156" s="38"/>
      <c r="AB156" s="38"/>
    </row>
    <row r="157" spans="1:28" ht="20.100000000000001" customHeight="1">
      <c r="A157" s="41">
        <v>26</v>
      </c>
      <c r="B157" s="111" t="s">
        <v>407</v>
      </c>
      <c r="C157" s="112"/>
      <c r="D157" s="108" t="s">
        <v>131</v>
      </c>
      <c r="E157" s="64" t="s">
        <v>105</v>
      </c>
      <c r="F157" s="26">
        <f t="shared" si="143"/>
        <v>12351.94</v>
      </c>
      <c r="G157" s="26"/>
      <c r="H157" s="26">
        <f t="shared" si="144"/>
        <v>37055.82</v>
      </c>
      <c r="I157" s="26">
        <f t="shared" si="145"/>
        <v>926.39549999999997</v>
      </c>
      <c r="J157" s="26"/>
      <c r="K157" s="26">
        <f t="shared" si="146"/>
        <v>6175.97</v>
      </c>
      <c r="L157" s="26">
        <f t="shared" si="147"/>
        <v>43231.79</v>
      </c>
      <c r="M157" s="26">
        <f t="shared" si="148"/>
        <v>12351.94</v>
      </c>
      <c r="N157" s="27"/>
      <c r="O157" s="27">
        <f>50000</f>
        <v>50000</v>
      </c>
      <c r="P157" s="26">
        <f t="shared" si="149"/>
        <v>1235.1940000000002</v>
      </c>
      <c r="Q157" s="26">
        <v>10000</v>
      </c>
      <c r="R157" s="26"/>
      <c r="S157" s="38">
        <f t="shared" si="142"/>
        <v>173329.04949999999</v>
      </c>
      <c r="T157" s="38">
        <v>173329.04949999999</v>
      </c>
      <c r="U157" s="38">
        <f t="shared" si="137"/>
        <v>0</v>
      </c>
      <c r="V157" s="38"/>
      <c r="W157" s="60">
        <v>1484.37</v>
      </c>
      <c r="X157" s="38">
        <v>1484.37</v>
      </c>
      <c r="Y157" s="38">
        <f t="shared" si="138"/>
        <v>0</v>
      </c>
      <c r="Z157" s="38"/>
      <c r="AA157" s="38"/>
      <c r="AB157" s="38"/>
    </row>
    <row r="158" spans="1:28" ht="20.100000000000001" customHeight="1">
      <c r="A158" s="41">
        <v>27</v>
      </c>
      <c r="B158" s="748" t="s">
        <v>22</v>
      </c>
      <c r="C158" s="748"/>
      <c r="D158" s="135" t="s">
        <v>302</v>
      </c>
      <c r="E158" s="64" t="s">
        <v>416</v>
      </c>
      <c r="F158" s="65">
        <f>9050.14</f>
        <v>9050.14</v>
      </c>
      <c r="G158" s="27"/>
      <c r="H158" s="60">
        <f t="shared" si="129"/>
        <v>27150.42</v>
      </c>
      <c r="I158" s="60">
        <f t="shared" si="130"/>
        <v>678.76049999999998</v>
      </c>
      <c r="J158" s="65">
        <v>0</v>
      </c>
      <c r="K158" s="60">
        <f t="shared" si="131"/>
        <v>4525.07</v>
      </c>
      <c r="L158" s="38">
        <f t="shared" si="132"/>
        <v>31675.489999999998</v>
      </c>
      <c r="M158" s="60">
        <f t="shared" si="148"/>
        <v>9050.14</v>
      </c>
      <c r="N158" s="27"/>
      <c r="O158" s="27">
        <f>30000</f>
        <v>30000</v>
      </c>
      <c r="P158" s="60">
        <f t="shared" si="149"/>
        <v>905.01400000000001</v>
      </c>
      <c r="Q158" s="65">
        <v>5000</v>
      </c>
      <c r="R158" s="60">
        <f>4000</f>
        <v>4000</v>
      </c>
      <c r="S158" s="38">
        <f t="shared" ref="S158:S182" si="150">SUM(F158:R158)</f>
        <v>122035.03449999999</v>
      </c>
      <c r="T158" s="38">
        <v>119104.99825</v>
      </c>
      <c r="U158" s="38">
        <f t="shared" si="137"/>
        <v>2930.0362499999901</v>
      </c>
      <c r="V158" s="38"/>
      <c r="W158" s="38">
        <v>236.04</v>
      </c>
      <c r="X158" s="38">
        <v>236.04</v>
      </c>
      <c r="Y158" s="38">
        <f t="shared" si="138"/>
        <v>0</v>
      </c>
      <c r="Z158" s="38"/>
      <c r="AA158" s="38"/>
      <c r="AB158" s="38"/>
    </row>
    <row r="159" spans="1:28" ht="20.100000000000001" customHeight="1">
      <c r="A159" s="41">
        <v>28</v>
      </c>
      <c r="B159" s="748" t="s">
        <v>14</v>
      </c>
      <c r="C159" s="748"/>
      <c r="D159" s="135" t="s">
        <v>302</v>
      </c>
      <c r="E159" s="64" t="s">
        <v>416</v>
      </c>
      <c r="F159" s="65">
        <f t="shared" ref="F159:F164" si="151">9050.14</f>
        <v>9050.14</v>
      </c>
      <c r="G159" s="27"/>
      <c r="H159" s="60">
        <f t="shared" si="129"/>
        <v>27150.42</v>
      </c>
      <c r="I159" s="60">
        <f t="shared" si="130"/>
        <v>678.76049999999998</v>
      </c>
      <c r="J159" s="65">
        <v>0</v>
      </c>
      <c r="K159" s="60">
        <f t="shared" si="131"/>
        <v>4525.07</v>
      </c>
      <c r="L159" s="38">
        <f t="shared" si="132"/>
        <v>31675.489999999998</v>
      </c>
      <c r="M159" s="60">
        <f t="shared" si="148"/>
        <v>9050.14</v>
      </c>
      <c r="N159" s="27"/>
      <c r="O159" s="27">
        <f>30000</f>
        <v>30000</v>
      </c>
      <c r="P159" s="60">
        <f t="shared" si="149"/>
        <v>905.01400000000001</v>
      </c>
      <c r="Q159" s="65">
        <v>5000</v>
      </c>
      <c r="R159" s="60">
        <f>7000</f>
        <v>7000</v>
      </c>
      <c r="S159" s="38">
        <f t="shared" si="150"/>
        <v>125035.03449999999</v>
      </c>
      <c r="T159" s="38">
        <v>122104.99825</v>
      </c>
      <c r="U159" s="38">
        <f t="shared" si="137"/>
        <v>2930.0362499999901</v>
      </c>
      <c r="V159" s="38"/>
      <c r="W159" s="38">
        <v>236.04</v>
      </c>
      <c r="X159" s="38">
        <v>236.04</v>
      </c>
      <c r="Y159" s="38">
        <f t="shared" si="138"/>
        <v>0</v>
      </c>
      <c r="Z159" s="38"/>
      <c r="AA159" s="38"/>
      <c r="AB159" s="38"/>
    </row>
    <row r="160" spans="1:28" ht="20.100000000000001" customHeight="1">
      <c r="A160" s="41">
        <v>29</v>
      </c>
      <c r="B160" s="748" t="s">
        <v>23</v>
      </c>
      <c r="C160" s="748"/>
      <c r="D160" s="135" t="s">
        <v>302</v>
      </c>
      <c r="E160" s="64" t="s">
        <v>416</v>
      </c>
      <c r="F160" s="65">
        <f t="shared" si="151"/>
        <v>9050.14</v>
      </c>
      <c r="G160" s="27"/>
      <c r="H160" s="60">
        <f t="shared" si="129"/>
        <v>27150.42</v>
      </c>
      <c r="I160" s="60">
        <f t="shared" si="130"/>
        <v>678.76049999999998</v>
      </c>
      <c r="J160" s="60">
        <v>0</v>
      </c>
      <c r="K160" s="60">
        <f t="shared" si="131"/>
        <v>4525.07</v>
      </c>
      <c r="L160" s="38">
        <f t="shared" si="132"/>
        <v>31675.489999999998</v>
      </c>
      <c r="M160" s="60">
        <f t="shared" si="148"/>
        <v>9050.14</v>
      </c>
      <c r="N160" s="27"/>
      <c r="O160" s="27">
        <f>30000</f>
        <v>30000</v>
      </c>
      <c r="P160" s="60">
        <f t="shared" si="149"/>
        <v>905.01400000000001</v>
      </c>
      <c r="Q160" s="60">
        <v>5000</v>
      </c>
      <c r="R160" s="60">
        <f>4000</f>
        <v>4000</v>
      </c>
      <c r="S160" s="38">
        <f t="shared" si="150"/>
        <v>122035.03449999999</v>
      </c>
      <c r="T160" s="38">
        <v>119104.99825</v>
      </c>
      <c r="U160" s="38">
        <f t="shared" si="137"/>
        <v>2930.0362499999901</v>
      </c>
      <c r="V160" s="38"/>
      <c r="W160" s="38">
        <v>236.04</v>
      </c>
      <c r="X160" s="38">
        <v>236.04</v>
      </c>
      <c r="Y160" s="38">
        <f t="shared" si="138"/>
        <v>0</v>
      </c>
      <c r="Z160" s="38"/>
      <c r="AA160" s="38"/>
      <c r="AB160" s="38"/>
    </row>
    <row r="161" spans="1:28" ht="20.100000000000001" customHeight="1">
      <c r="A161" s="41">
        <v>30</v>
      </c>
      <c r="B161" s="748" t="s">
        <v>24</v>
      </c>
      <c r="C161" s="748"/>
      <c r="D161" s="135" t="s">
        <v>302</v>
      </c>
      <c r="E161" s="64" t="s">
        <v>416</v>
      </c>
      <c r="F161" s="65">
        <f t="shared" si="151"/>
        <v>9050.14</v>
      </c>
      <c r="G161" s="27"/>
      <c r="H161" s="60">
        <f t="shared" si="129"/>
        <v>27150.42</v>
      </c>
      <c r="I161" s="60">
        <f t="shared" si="130"/>
        <v>678.76049999999998</v>
      </c>
      <c r="J161" s="60">
        <v>0</v>
      </c>
      <c r="K161" s="60">
        <f t="shared" si="131"/>
        <v>4525.07</v>
      </c>
      <c r="L161" s="38">
        <f t="shared" si="132"/>
        <v>31675.489999999998</v>
      </c>
      <c r="M161" s="60">
        <f t="shared" si="148"/>
        <v>9050.14</v>
      </c>
      <c r="N161" s="27"/>
      <c r="O161" s="27">
        <f>30000</f>
        <v>30000</v>
      </c>
      <c r="P161" s="60">
        <f t="shared" si="149"/>
        <v>905.01400000000001</v>
      </c>
      <c r="Q161" s="60">
        <v>5000</v>
      </c>
      <c r="R161" s="60">
        <f>4000</f>
        <v>4000</v>
      </c>
      <c r="S161" s="38">
        <f t="shared" si="150"/>
        <v>122035.03449999999</v>
      </c>
      <c r="T161" s="38">
        <v>119104.99825</v>
      </c>
      <c r="U161" s="38">
        <f t="shared" si="137"/>
        <v>2930.0362499999901</v>
      </c>
      <c r="V161" s="38"/>
      <c r="W161" s="38">
        <v>236.04</v>
      </c>
      <c r="X161" s="38">
        <v>236.04</v>
      </c>
      <c r="Y161" s="38">
        <f t="shared" si="138"/>
        <v>0</v>
      </c>
      <c r="Z161" s="38"/>
      <c r="AA161" s="38"/>
      <c r="AB161" s="38"/>
    </row>
    <row r="162" spans="1:28" ht="20.100000000000001" customHeight="1">
      <c r="A162" s="41">
        <v>31</v>
      </c>
      <c r="B162" s="748" t="s">
        <v>25</v>
      </c>
      <c r="C162" s="748"/>
      <c r="D162" s="135" t="s">
        <v>302</v>
      </c>
      <c r="E162" s="64" t="s">
        <v>416</v>
      </c>
      <c r="F162" s="65">
        <f t="shared" si="151"/>
        <v>9050.14</v>
      </c>
      <c r="G162" s="27"/>
      <c r="H162" s="60">
        <f t="shared" si="129"/>
        <v>27150.42</v>
      </c>
      <c r="I162" s="60">
        <f t="shared" si="130"/>
        <v>678.76049999999998</v>
      </c>
      <c r="J162" s="60">
        <v>0</v>
      </c>
      <c r="K162" s="60">
        <f t="shared" si="131"/>
        <v>4525.07</v>
      </c>
      <c r="L162" s="38">
        <f t="shared" si="132"/>
        <v>31675.489999999998</v>
      </c>
      <c r="M162" s="60">
        <f t="shared" si="148"/>
        <v>9050.14</v>
      </c>
      <c r="N162" s="27"/>
      <c r="O162" s="27">
        <f>30000</f>
        <v>30000</v>
      </c>
      <c r="P162" s="60">
        <f t="shared" si="149"/>
        <v>905.01400000000001</v>
      </c>
      <c r="Q162" s="60">
        <v>5000</v>
      </c>
      <c r="R162" s="60">
        <f>4000</f>
        <v>4000</v>
      </c>
      <c r="S162" s="38">
        <f t="shared" si="150"/>
        <v>122035.03449999999</v>
      </c>
      <c r="T162" s="38">
        <v>119104.99825</v>
      </c>
      <c r="U162" s="38">
        <f t="shared" si="137"/>
        <v>2930.0362499999901</v>
      </c>
      <c r="V162" s="38"/>
      <c r="W162" s="38">
        <v>236.04</v>
      </c>
      <c r="X162" s="38">
        <v>236.04</v>
      </c>
      <c r="Y162" s="38">
        <f t="shared" si="138"/>
        <v>0</v>
      </c>
      <c r="Z162" s="38"/>
      <c r="AA162" s="38"/>
      <c r="AB162" s="38"/>
    </row>
    <row r="163" spans="1:28" ht="20.100000000000001" customHeight="1">
      <c r="A163" s="41">
        <v>32</v>
      </c>
      <c r="B163" s="748" t="s">
        <v>39</v>
      </c>
      <c r="C163" s="748"/>
      <c r="D163" s="135" t="s">
        <v>302</v>
      </c>
      <c r="E163" s="64" t="s">
        <v>416</v>
      </c>
      <c r="F163" s="65">
        <f t="shared" si="151"/>
        <v>9050.14</v>
      </c>
      <c r="G163" s="27"/>
      <c r="H163" s="60">
        <f t="shared" si="129"/>
        <v>27150.42</v>
      </c>
      <c r="I163" s="60">
        <f t="shared" si="130"/>
        <v>678.76049999999998</v>
      </c>
      <c r="J163" s="60">
        <v>0</v>
      </c>
      <c r="K163" s="60">
        <f t="shared" si="131"/>
        <v>4525.07</v>
      </c>
      <c r="L163" s="38">
        <f t="shared" si="132"/>
        <v>31675.489999999998</v>
      </c>
      <c r="M163" s="60">
        <f t="shared" si="148"/>
        <v>9050.14</v>
      </c>
      <c r="N163" s="27"/>
      <c r="O163" s="27">
        <f>30000</f>
        <v>30000</v>
      </c>
      <c r="P163" s="60">
        <f t="shared" si="149"/>
        <v>905.01400000000001</v>
      </c>
      <c r="Q163" s="60">
        <v>5000</v>
      </c>
      <c r="R163" s="60">
        <f>4000</f>
        <v>4000</v>
      </c>
      <c r="S163" s="38">
        <f t="shared" si="150"/>
        <v>122035.03449999999</v>
      </c>
      <c r="T163" s="38">
        <v>119104.99825</v>
      </c>
      <c r="U163" s="38">
        <f t="shared" si="137"/>
        <v>2930.0362499999901</v>
      </c>
      <c r="V163" s="38"/>
      <c r="W163" s="38">
        <v>236.04</v>
      </c>
      <c r="X163" s="38">
        <v>236.04</v>
      </c>
      <c r="Y163" s="38">
        <f t="shared" si="138"/>
        <v>0</v>
      </c>
      <c r="Z163" s="38"/>
      <c r="AA163" s="38"/>
      <c r="AB163" s="38"/>
    </row>
    <row r="164" spans="1:28" ht="20.100000000000001" customHeight="1">
      <c r="A164" s="41">
        <v>33</v>
      </c>
      <c r="B164" s="748" t="s">
        <v>40</v>
      </c>
      <c r="C164" s="748"/>
      <c r="D164" s="135" t="s">
        <v>302</v>
      </c>
      <c r="E164" s="64" t="s">
        <v>416</v>
      </c>
      <c r="F164" s="65">
        <f t="shared" si="151"/>
        <v>9050.14</v>
      </c>
      <c r="G164" s="27"/>
      <c r="H164" s="60">
        <f t="shared" si="129"/>
        <v>27150.42</v>
      </c>
      <c r="I164" s="60">
        <f t="shared" si="130"/>
        <v>678.76049999999998</v>
      </c>
      <c r="J164" s="60">
        <v>0</v>
      </c>
      <c r="K164" s="60">
        <f t="shared" si="131"/>
        <v>4525.07</v>
      </c>
      <c r="L164" s="38">
        <f t="shared" si="132"/>
        <v>31675.489999999998</v>
      </c>
      <c r="M164" s="60">
        <f t="shared" si="148"/>
        <v>9050.14</v>
      </c>
      <c r="N164" s="27"/>
      <c r="O164" s="27">
        <f>30000</f>
        <v>30000</v>
      </c>
      <c r="P164" s="60">
        <f t="shared" si="149"/>
        <v>905.01400000000001</v>
      </c>
      <c r="Q164" s="60">
        <v>5000</v>
      </c>
      <c r="R164" s="60">
        <f>4000</f>
        <v>4000</v>
      </c>
      <c r="S164" s="38">
        <f t="shared" si="150"/>
        <v>122035.03449999999</v>
      </c>
      <c r="T164" s="38">
        <v>119104.99825</v>
      </c>
      <c r="U164" s="38">
        <f t="shared" si="137"/>
        <v>2930.0362499999901</v>
      </c>
      <c r="V164" s="38"/>
      <c r="W164" s="38">
        <v>236.04</v>
      </c>
      <c r="X164" s="38">
        <v>236.04</v>
      </c>
      <c r="Y164" s="38">
        <f t="shared" si="138"/>
        <v>0</v>
      </c>
      <c r="Z164" s="38"/>
      <c r="AA164" s="38"/>
      <c r="AB164" s="38"/>
    </row>
    <row r="165" spans="1:28" ht="20.100000000000001" customHeight="1">
      <c r="A165" s="41">
        <v>34</v>
      </c>
      <c r="B165" s="748" t="s">
        <v>127</v>
      </c>
      <c r="C165" s="748"/>
      <c r="D165" s="108" t="s">
        <v>167</v>
      </c>
      <c r="E165" s="64" t="s">
        <v>266</v>
      </c>
      <c r="F165" s="60">
        <f>5769.6</f>
        <v>5769.6</v>
      </c>
      <c r="G165" s="27"/>
      <c r="H165" s="60">
        <f t="shared" si="129"/>
        <v>17308.800000000003</v>
      </c>
      <c r="I165" s="60">
        <f t="shared" si="130"/>
        <v>432.72</v>
      </c>
      <c r="J165" s="60">
        <v>0</v>
      </c>
      <c r="K165" s="60">
        <f t="shared" si="131"/>
        <v>2884.8</v>
      </c>
      <c r="L165" s="38">
        <f t="shared" si="132"/>
        <v>20193.600000000002</v>
      </c>
      <c r="M165" s="60">
        <f t="shared" si="148"/>
        <v>5769.6</v>
      </c>
      <c r="N165" s="27"/>
      <c r="O165" s="27">
        <f>20000</f>
        <v>20000</v>
      </c>
      <c r="P165" s="60">
        <f t="shared" si="149"/>
        <v>576.96</v>
      </c>
      <c r="Q165" s="60">
        <v>5000</v>
      </c>
      <c r="R165" s="60">
        <f>7000</f>
        <v>7000</v>
      </c>
      <c r="S165" s="38">
        <f t="shared" si="150"/>
        <v>84936.08</v>
      </c>
      <c r="T165" s="38">
        <v>83370.091</v>
      </c>
      <c r="U165" s="38">
        <f t="shared" si="137"/>
        <v>1565.9890000000014</v>
      </c>
      <c r="V165" s="38"/>
      <c r="W165" s="38">
        <v>236.04</v>
      </c>
      <c r="X165" s="38">
        <v>236.04</v>
      </c>
      <c r="Y165" s="38">
        <f t="shared" si="138"/>
        <v>0</v>
      </c>
      <c r="Z165" s="38"/>
      <c r="AA165" s="38"/>
      <c r="AB165" s="38"/>
    </row>
    <row r="166" spans="1:28" ht="20.100000000000001" customHeight="1">
      <c r="A166" s="41">
        <v>35</v>
      </c>
      <c r="B166" s="748" t="s">
        <v>128</v>
      </c>
      <c r="C166" s="748"/>
      <c r="D166" s="108" t="s">
        <v>167</v>
      </c>
      <c r="E166" s="64" t="s">
        <v>266</v>
      </c>
      <c r="F166" s="60">
        <f t="shared" ref="F166:F171" si="152">5769.6</f>
        <v>5769.6</v>
      </c>
      <c r="G166" s="27"/>
      <c r="H166" s="60">
        <f t="shared" si="129"/>
        <v>17308.800000000003</v>
      </c>
      <c r="I166" s="60">
        <f t="shared" si="130"/>
        <v>432.72</v>
      </c>
      <c r="J166" s="60">
        <v>0</v>
      </c>
      <c r="K166" s="60">
        <f t="shared" si="131"/>
        <v>2884.8</v>
      </c>
      <c r="L166" s="38">
        <f t="shared" si="132"/>
        <v>20193.600000000002</v>
      </c>
      <c r="M166" s="60">
        <f t="shared" si="148"/>
        <v>5769.6</v>
      </c>
      <c r="N166" s="27"/>
      <c r="O166" s="27">
        <f>20000</f>
        <v>20000</v>
      </c>
      <c r="P166" s="60">
        <f t="shared" si="149"/>
        <v>576.96</v>
      </c>
      <c r="Q166" s="60">
        <v>5000</v>
      </c>
      <c r="R166" s="60">
        <f>4000</f>
        <v>4000</v>
      </c>
      <c r="S166" s="38">
        <f t="shared" si="150"/>
        <v>81936.08</v>
      </c>
      <c r="T166" s="38">
        <v>80370.091</v>
      </c>
      <c r="U166" s="38">
        <f t="shared" si="137"/>
        <v>1565.9890000000014</v>
      </c>
      <c r="V166" s="38"/>
      <c r="W166" s="38">
        <v>236.04</v>
      </c>
      <c r="X166" s="38">
        <v>236.04</v>
      </c>
      <c r="Y166" s="38">
        <f t="shared" si="138"/>
        <v>0</v>
      </c>
      <c r="Z166" s="38"/>
      <c r="AA166" s="38"/>
      <c r="AB166" s="38"/>
    </row>
    <row r="167" spans="1:28" ht="20.100000000000001" customHeight="1">
      <c r="A167" s="41">
        <v>36</v>
      </c>
      <c r="B167" s="748" t="s">
        <v>129</v>
      </c>
      <c r="C167" s="748"/>
      <c r="D167" s="108" t="s">
        <v>167</v>
      </c>
      <c r="E167" s="64" t="s">
        <v>266</v>
      </c>
      <c r="F167" s="60">
        <f t="shared" si="152"/>
        <v>5769.6</v>
      </c>
      <c r="G167" s="27"/>
      <c r="H167" s="60">
        <f t="shared" si="129"/>
        <v>17308.800000000003</v>
      </c>
      <c r="I167" s="60">
        <f t="shared" si="130"/>
        <v>432.72</v>
      </c>
      <c r="J167" s="60">
        <v>0</v>
      </c>
      <c r="K167" s="60">
        <f t="shared" si="131"/>
        <v>2884.8</v>
      </c>
      <c r="L167" s="38">
        <f t="shared" si="132"/>
        <v>20193.600000000002</v>
      </c>
      <c r="M167" s="60">
        <f t="shared" si="148"/>
        <v>5769.6</v>
      </c>
      <c r="N167" s="27"/>
      <c r="O167" s="27">
        <f>20000</f>
        <v>20000</v>
      </c>
      <c r="P167" s="60">
        <f t="shared" si="149"/>
        <v>576.96</v>
      </c>
      <c r="Q167" s="60">
        <v>5000</v>
      </c>
      <c r="R167" s="60">
        <f>4000</f>
        <v>4000</v>
      </c>
      <c r="S167" s="38">
        <f t="shared" si="150"/>
        <v>81936.08</v>
      </c>
      <c r="T167" s="38">
        <v>80370.091</v>
      </c>
      <c r="U167" s="38">
        <f t="shared" si="137"/>
        <v>1565.9890000000014</v>
      </c>
      <c r="V167" s="38"/>
      <c r="W167" s="38">
        <v>236.04</v>
      </c>
      <c r="X167" s="38">
        <v>236.04</v>
      </c>
      <c r="Y167" s="38">
        <f t="shared" si="138"/>
        <v>0</v>
      </c>
      <c r="Z167" s="38"/>
      <c r="AA167" s="38"/>
      <c r="AB167" s="38"/>
    </row>
    <row r="168" spans="1:28" ht="20.100000000000001" customHeight="1">
      <c r="A168" s="41">
        <v>37</v>
      </c>
      <c r="B168" s="42" t="s">
        <v>136</v>
      </c>
      <c r="C168" s="42"/>
      <c r="D168" s="108" t="s">
        <v>167</v>
      </c>
      <c r="E168" s="64" t="s">
        <v>266</v>
      </c>
      <c r="F168" s="60">
        <f t="shared" si="152"/>
        <v>5769.6</v>
      </c>
      <c r="G168" s="27"/>
      <c r="H168" s="60">
        <f t="shared" si="129"/>
        <v>17308.800000000003</v>
      </c>
      <c r="I168" s="60">
        <f t="shared" si="130"/>
        <v>432.72</v>
      </c>
      <c r="J168" s="60">
        <v>0</v>
      </c>
      <c r="K168" s="60">
        <f t="shared" si="131"/>
        <v>2884.8</v>
      </c>
      <c r="L168" s="38">
        <f t="shared" si="132"/>
        <v>20193.600000000002</v>
      </c>
      <c r="M168" s="60">
        <f>F167*100%</f>
        <v>5769.6</v>
      </c>
      <c r="N168" s="27"/>
      <c r="O168" s="27">
        <f>20000</f>
        <v>20000</v>
      </c>
      <c r="P168" s="60">
        <f t="shared" si="149"/>
        <v>576.96</v>
      </c>
      <c r="Q168" s="60">
        <v>5000</v>
      </c>
      <c r="R168" s="60">
        <f>7000</f>
        <v>7000</v>
      </c>
      <c r="S168" s="38">
        <f t="shared" si="150"/>
        <v>84936.08</v>
      </c>
      <c r="T168" s="38">
        <v>83370.091</v>
      </c>
      <c r="U168" s="38">
        <f t="shared" si="137"/>
        <v>1565.9890000000014</v>
      </c>
      <c r="V168" s="38"/>
      <c r="W168" s="38">
        <v>236.04</v>
      </c>
      <c r="X168" s="38">
        <v>236.04</v>
      </c>
      <c r="Y168" s="38">
        <f t="shared" si="138"/>
        <v>0</v>
      </c>
      <c r="Z168" s="38"/>
      <c r="AA168" s="38"/>
      <c r="AB168" s="38"/>
    </row>
    <row r="169" spans="1:28" ht="20.100000000000001" customHeight="1">
      <c r="A169" s="41">
        <v>38</v>
      </c>
      <c r="B169" s="741" t="s">
        <v>140</v>
      </c>
      <c r="C169" s="742"/>
      <c r="D169" s="108" t="s">
        <v>167</v>
      </c>
      <c r="E169" s="64" t="s">
        <v>266</v>
      </c>
      <c r="F169" s="60">
        <f t="shared" si="152"/>
        <v>5769.6</v>
      </c>
      <c r="G169" s="27"/>
      <c r="H169" s="60">
        <f t="shared" si="129"/>
        <v>17308.800000000003</v>
      </c>
      <c r="I169" s="60">
        <f t="shared" si="130"/>
        <v>432.72</v>
      </c>
      <c r="J169" s="60"/>
      <c r="K169" s="60">
        <f t="shared" si="131"/>
        <v>2884.8</v>
      </c>
      <c r="L169" s="38">
        <f t="shared" si="132"/>
        <v>20193.600000000002</v>
      </c>
      <c r="M169" s="60">
        <f t="shared" ref="M169:M186" si="153">F169*100%</f>
        <v>5769.6</v>
      </c>
      <c r="N169" s="27"/>
      <c r="O169" s="27">
        <f>20000</f>
        <v>20000</v>
      </c>
      <c r="P169" s="60">
        <f t="shared" si="149"/>
        <v>576.96</v>
      </c>
      <c r="Q169" s="60">
        <v>5000</v>
      </c>
      <c r="R169" s="60">
        <f>4000</f>
        <v>4000</v>
      </c>
      <c r="S169" s="38">
        <f t="shared" si="150"/>
        <v>81936.08</v>
      </c>
      <c r="T169" s="38">
        <v>80370.091</v>
      </c>
      <c r="U169" s="38">
        <f t="shared" si="137"/>
        <v>1565.9890000000014</v>
      </c>
      <c r="V169" s="38"/>
      <c r="W169" s="38">
        <v>236.04</v>
      </c>
      <c r="X169" s="38">
        <v>236.04</v>
      </c>
      <c r="Y169" s="38">
        <f t="shared" si="138"/>
        <v>0</v>
      </c>
      <c r="Z169" s="38"/>
      <c r="AA169" s="38"/>
      <c r="AB169" s="38"/>
    </row>
    <row r="170" spans="1:28" ht="20.100000000000001" customHeight="1">
      <c r="A170" s="41">
        <v>39</v>
      </c>
      <c r="B170" s="108" t="s">
        <v>152</v>
      </c>
      <c r="C170" s="33"/>
      <c r="D170" s="108" t="s">
        <v>167</v>
      </c>
      <c r="E170" s="64" t="s">
        <v>266</v>
      </c>
      <c r="F170" s="60">
        <f t="shared" si="152"/>
        <v>5769.6</v>
      </c>
      <c r="G170" s="27"/>
      <c r="H170" s="60">
        <f t="shared" si="129"/>
        <v>17308.800000000003</v>
      </c>
      <c r="I170" s="60">
        <f t="shared" si="130"/>
        <v>432.72</v>
      </c>
      <c r="J170" s="60"/>
      <c r="K170" s="60">
        <f t="shared" si="131"/>
        <v>2884.8</v>
      </c>
      <c r="L170" s="38">
        <f t="shared" si="132"/>
        <v>20193.600000000002</v>
      </c>
      <c r="M170" s="60">
        <f t="shared" si="153"/>
        <v>5769.6</v>
      </c>
      <c r="N170" s="27"/>
      <c r="O170" s="27">
        <f>20000</f>
        <v>20000</v>
      </c>
      <c r="P170" s="60">
        <f t="shared" si="149"/>
        <v>576.96</v>
      </c>
      <c r="Q170" s="60">
        <v>5000</v>
      </c>
      <c r="R170" s="60">
        <f>4000</f>
        <v>4000</v>
      </c>
      <c r="S170" s="38">
        <f t="shared" si="150"/>
        <v>81936.08</v>
      </c>
      <c r="T170" s="38">
        <v>80370.091</v>
      </c>
      <c r="U170" s="38">
        <f t="shared" si="137"/>
        <v>1565.9890000000014</v>
      </c>
      <c r="V170" s="38"/>
      <c r="W170" s="38">
        <v>236.04</v>
      </c>
      <c r="X170" s="38">
        <v>236.04</v>
      </c>
      <c r="Y170" s="38">
        <f t="shared" si="138"/>
        <v>0</v>
      </c>
      <c r="Z170" s="38"/>
      <c r="AA170" s="38"/>
      <c r="AB170" s="38"/>
    </row>
    <row r="171" spans="1:28" ht="20.100000000000001" customHeight="1">
      <c r="A171" s="41">
        <v>40</v>
      </c>
      <c r="B171" s="108" t="s">
        <v>132</v>
      </c>
      <c r="C171" s="33"/>
      <c r="D171" s="108" t="s">
        <v>167</v>
      </c>
      <c r="E171" s="64" t="s">
        <v>266</v>
      </c>
      <c r="F171" s="60">
        <f t="shared" si="152"/>
        <v>5769.6</v>
      </c>
      <c r="G171" s="27"/>
      <c r="H171" s="60">
        <f t="shared" si="129"/>
        <v>17308.800000000003</v>
      </c>
      <c r="I171" s="60">
        <f t="shared" si="130"/>
        <v>432.72</v>
      </c>
      <c r="J171" s="60"/>
      <c r="K171" s="60">
        <f t="shared" si="131"/>
        <v>2884.8</v>
      </c>
      <c r="L171" s="38">
        <f t="shared" si="132"/>
        <v>20193.600000000002</v>
      </c>
      <c r="M171" s="60">
        <f t="shared" si="153"/>
        <v>5769.6</v>
      </c>
      <c r="N171" s="27"/>
      <c r="O171" s="27">
        <f>20000</f>
        <v>20000</v>
      </c>
      <c r="P171" s="60">
        <f t="shared" si="149"/>
        <v>576.96</v>
      </c>
      <c r="Q171" s="60">
        <v>5000</v>
      </c>
      <c r="R171" s="60">
        <f>7000</f>
        <v>7000</v>
      </c>
      <c r="S171" s="38">
        <f t="shared" si="150"/>
        <v>84936.08</v>
      </c>
      <c r="T171" s="38">
        <v>83370.091</v>
      </c>
      <c r="U171" s="38">
        <f t="shared" si="137"/>
        <v>1565.9890000000014</v>
      </c>
      <c r="V171" s="38"/>
      <c r="W171" s="38">
        <v>236.04</v>
      </c>
      <c r="X171" s="38">
        <v>236.04</v>
      </c>
      <c r="Y171" s="38">
        <f t="shared" si="138"/>
        <v>0</v>
      </c>
      <c r="Z171" s="38"/>
      <c r="AA171" s="38"/>
      <c r="AB171" s="38"/>
    </row>
    <row r="172" spans="1:28" ht="20.100000000000001" customHeight="1">
      <c r="A172" s="41">
        <v>41</v>
      </c>
      <c r="B172" s="741" t="s">
        <v>231</v>
      </c>
      <c r="C172" s="742"/>
      <c r="D172" s="108" t="s">
        <v>167</v>
      </c>
      <c r="E172" s="64" t="s">
        <v>177</v>
      </c>
      <c r="F172" s="60">
        <f t="shared" ref="F172:F173" si="154">5257.44</f>
        <v>5257.44</v>
      </c>
      <c r="G172" s="27"/>
      <c r="H172" s="60">
        <f t="shared" si="129"/>
        <v>15772.32</v>
      </c>
      <c r="I172" s="60">
        <f t="shared" si="130"/>
        <v>394.30799999999994</v>
      </c>
      <c r="J172" s="60"/>
      <c r="K172" s="60">
        <f t="shared" si="131"/>
        <v>2628.72</v>
      </c>
      <c r="L172" s="38">
        <f t="shared" si="132"/>
        <v>18401.039999999997</v>
      </c>
      <c r="M172" s="60">
        <f t="shared" si="153"/>
        <v>5257.44</v>
      </c>
      <c r="N172" s="27"/>
      <c r="O172" s="27">
        <f>20000</f>
        <v>20000</v>
      </c>
      <c r="P172" s="60">
        <f t="shared" si="149"/>
        <v>525.74400000000003</v>
      </c>
      <c r="Q172" s="60">
        <v>5000</v>
      </c>
      <c r="R172" s="60">
        <f>7000</f>
        <v>7000</v>
      </c>
      <c r="S172" s="38">
        <f t="shared" si="150"/>
        <v>80237.012000000002</v>
      </c>
      <c r="T172" s="38">
        <v>78671.023000000016</v>
      </c>
      <c r="U172" s="38">
        <f t="shared" si="137"/>
        <v>1565.9889999999868</v>
      </c>
      <c r="V172" s="38"/>
      <c r="W172" s="38">
        <v>236.04</v>
      </c>
      <c r="X172" s="38">
        <v>236.04</v>
      </c>
      <c r="Y172" s="38">
        <f t="shared" si="138"/>
        <v>0</v>
      </c>
      <c r="Z172" s="38"/>
      <c r="AA172" s="38"/>
      <c r="AB172" s="38"/>
    </row>
    <row r="173" spans="1:28" ht="20.100000000000001" customHeight="1">
      <c r="A173" s="41">
        <v>42</v>
      </c>
      <c r="B173" s="741" t="s">
        <v>246</v>
      </c>
      <c r="C173" s="742"/>
      <c r="D173" s="108" t="s">
        <v>167</v>
      </c>
      <c r="E173" s="64" t="s">
        <v>177</v>
      </c>
      <c r="F173" s="60">
        <f t="shared" si="154"/>
        <v>5257.44</v>
      </c>
      <c r="G173" s="27"/>
      <c r="H173" s="60">
        <f t="shared" si="129"/>
        <v>15772.32</v>
      </c>
      <c r="I173" s="60">
        <f t="shared" si="130"/>
        <v>394.30799999999994</v>
      </c>
      <c r="J173" s="60"/>
      <c r="K173" s="60">
        <f t="shared" si="131"/>
        <v>2628.72</v>
      </c>
      <c r="L173" s="38">
        <f t="shared" si="132"/>
        <v>18401.039999999997</v>
      </c>
      <c r="M173" s="60">
        <f t="shared" si="153"/>
        <v>5257.44</v>
      </c>
      <c r="N173" s="27"/>
      <c r="O173" s="27">
        <f>20000</f>
        <v>20000</v>
      </c>
      <c r="P173" s="60">
        <f t="shared" si="149"/>
        <v>525.74400000000003</v>
      </c>
      <c r="Q173" s="60">
        <v>5000</v>
      </c>
      <c r="R173" s="60">
        <f>7000</f>
        <v>7000</v>
      </c>
      <c r="S173" s="38">
        <f t="shared" si="150"/>
        <v>80237.012000000002</v>
      </c>
      <c r="T173" s="38">
        <v>78671.023000000016</v>
      </c>
      <c r="U173" s="38">
        <f t="shared" si="137"/>
        <v>1565.9889999999868</v>
      </c>
      <c r="V173" s="38"/>
      <c r="W173" s="38">
        <v>236.04</v>
      </c>
      <c r="X173" s="38">
        <v>236.04</v>
      </c>
      <c r="Y173" s="38">
        <f t="shared" si="138"/>
        <v>0</v>
      </c>
      <c r="Z173" s="38"/>
      <c r="AA173" s="38"/>
      <c r="AB173" s="38"/>
    </row>
    <row r="174" spans="1:28" ht="20.100000000000001" customHeight="1">
      <c r="A174" s="41">
        <v>43</v>
      </c>
      <c r="B174" s="108" t="s">
        <v>166</v>
      </c>
      <c r="C174" s="33"/>
      <c r="D174" s="108" t="s">
        <v>167</v>
      </c>
      <c r="E174" s="64" t="s">
        <v>263</v>
      </c>
      <c r="F174" s="60">
        <f>5428.12</f>
        <v>5428.12</v>
      </c>
      <c r="G174" s="27"/>
      <c r="H174" s="60">
        <f t="shared" si="129"/>
        <v>16284.36</v>
      </c>
      <c r="I174" s="60">
        <f t="shared" si="130"/>
        <v>407.10899999999998</v>
      </c>
      <c r="J174" s="60"/>
      <c r="K174" s="60">
        <f t="shared" si="131"/>
        <v>2714.06</v>
      </c>
      <c r="L174" s="38">
        <f t="shared" si="132"/>
        <v>18998.419999999998</v>
      </c>
      <c r="M174" s="60">
        <f t="shared" si="153"/>
        <v>5428.12</v>
      </c>
      <c r="N174" s="27"/>
      <c r="O174" s="27">
        <f>20000</f>
        <v>20000</v>
      </c>
      <c r="P174" s="60">
        <f t="shared" si="149"/>
        <v>542.81200000000001</v>
      </c>
      <c r="Q174" s="60">
        <v>5000</v>
      </c>
      <c r="R174" s="60">
        <f>7000</f>
        <v>7000</v>
      </c>
      <c r="S174" s="38">
        <f t="shared" si="150"/>
        <v>81803.001000000018</v>
      </c>
      <c r="T174" s="38">
        <v>80237.012000000002</v>
      </c>
      <c r="U174" s="38">
        <f t="shared" si="137"/>
        <v>1565.9890000000159</v>
      </c>
      <c r="V174" s="38"/>
      <c r="W174" s="38">
        <f>236.04</f>
        <v>236.04</v>
      </c>
      <c r="X174" s="38">
        <v>236.04</v>
      </c>
      <c r="Y174" s="38">
        <f t="shared" si="138"/>
        <v>0</v>
      </c>
      <c r="Z174" s="38"/>
      <c r="AA174" s="38"/>
      <c r="AB174" s="38"/>
    </row>
    <row r="175" spans="1:28" ht="20.100000000000001" customHeight="1">
      <c r="A175" s="41">
        <v>44</v>
      </c>
      <c r="B175" s="741" t="s">
        <v>204</v>
      </c>
      <c r="C175" s="742"/>
      <c r="D175" s="108" t="s">
        <v>167</v>
      </c>
      <c r="E175" s="64" t="s">
        <v>301</v>
      </c>
      <c r="F175" s="60">
        <f>5086.76</f>
        <v>5086.76</v>
      </c>
      <c r="G175" s="27"/>
      <c r="H175" s="60">
        <f t="shared" si="129"/>
        <v>15260.28</v>
      </c>
      <c r="I175" s="60">
        <f t="shared" si="130"/>
        <v>381.50700000000001</v>
      </c>
      <c r="J175" s="60"/>
      <c r="K175" s="60">
        <f t="shared" si="131"/>
        <v>2543.38</v>
      </c>
      <c r="L175" s="38">
        <f t="shared" si="132"/>
        <v>17803.66</v>
      </c>
      <c r="M175" s="60">
        <f t="shared" si="153"/>
        <v>5086.76</v>
      </c>
      <c r="N175" s="27"/>
      <c r="O175" s="27">
        <f>20000</f>
        <v>20000</v>
      </c>
      <c r="P175" s="60">
        <f t="shared" si="149"/>
        <v>508.67600000000004</v>
      </c>
      <c r="Q175" s="60">
        <v>5000</v>
      </c>
      <c r="R175" s="60">
        <f>7000</f>
        <v>7000</v>
      </c>
      <c r="S175" s="38">
        <f t="shared" si="150"/>
        <v>78671.023000000016</v>
      </c>
      <c r="T175" s="38">
        <v>77104.024750000011</v>
      </c>
      <c r="U175" s="38">
        <f t="shared" si="137"/>
        <v>1566.9982500000042</v>
      </c>
      <c r="V175" s="38"/>
      <c r="W175" s="38">
        <v>236.04</v>
      </c>
      <c r="X175" s="38">
        <v>236.04</v>
      </c>
      <c r="Y175" s="38">
        <f t="shared" si="138"/>
        <v>0</v>
      </c>
      <c r="Z175" s="38"/>
      <c r="AA175" s="38"/>
      <c r="AB175" s="38"/>
    </row>
    <row r="176" spans="1:28" ht="20.100000000000001" customHeight="1">
      <c r="A176" s="41">
        <v>45</v>
      </c>
      <c r="B176" s="741" t="s">
        <v>209</v>
      </c>
      <c r="C176" s="742"/>
      <c r="D176" s="108" t="s">
        <v>13</v>
      </c>
      <c r="E176" s="64" t="s">
        <v>414</v>
      </c>
      <c r="F176" s="60">
        <f>4915.94</f>
        <v>4915.9399999999996</v>
      </c>
      <c r="G176" s="27"/>
      <c r="H176" s="60">
        <f t="shared" si="129"/>
        <v>14747.82</v>
      </c>
      <c r="I176" s="60">
        <f t="shared" si="130"/>
        <v>368.69549999999998</v>
      </c>
      <c r="J176" s="60"/>
      <c r="K176" s="60">
        <f t="shared" si="131"/>
        <v>2457.9699999999998</v>
      </c>
      <c r="L176" s="38">
        <f t="shared" si="132"/>
        <v>17205.789999999997</v>
      </c>
      <c r="M176" s="60">
        <f t="shared" si="153"/>
        <v>4915.9399999999996</v>
      </c>
      <c r="N176" s="27"/>
      <c r="O176" s="27">
        <f>20000</f>
        <v>20000</v>
      </c>
      <c r="P176" s="60">
        <f t="shared" si="149"/>
        <v>491.59399999999999</v>
      </c>
      <c r="Q176" s="60">
        <v>5000</v>
      </c>
      <c r="R176" s="60">
        <f>7000</f>
        <v>7000</v>
      </c>
      <c r="S176" s="38">
        <f t="shared" si="150"/>
        <v>77103.749500000005</v>
      </c>
      <c r="T176" s="38">
        <v>75538.03575000001</v>
      </c>
      <c r="U176" s="38">
        <f t="shared" si="137"/>
        <v>1565.7137499999953</v>
      </c>
      <c r="V176" s="38"/>
      <c r="W176" s="38">
        <v>236.04</v>
      </c>
      <c r="X176" s="38">
        <v>236.04</v>
      </c>
      <c r="Y176" s="38">
        <f t="shared" si="138"/>
        <v>0</v>
      </c>
      <c r="Z176" s="38"/>
      <c r="AA176" s="38"/>
      <c r="AB176" s="38"/>
    </row>
    <row r="177" spans="1:28" ht="20.100000000000001" customHeight="1">
      <c r="A177" s="41">
        <v>46</v>
      </c>
      <c r="B177" s="741" t="s">
        <v>218</v>
      </c>
      <c r="C177" s="742"/>
      <c r="D177" s="108" t="s">
        <v>13</v>
      </c>
      <c r="E177" s="64" t="s">
        <v>414</v>
      </c>
      <c r="F177" s="60">
        <f t="shared" ref="F177:F180" si="155">4915.94</f>
        <v>4915.9399999999996</v>
      </c>
      <c r="G177" s="27"/>
      <c r="H177" s="60">
        <f t="shared" si="129"/>
        <v>14747.82</v>
      </c>
      <c r="I177" s="60">
        <f t="shared" si="130"/>
        <v>368.69549999999998</v>
      </c>
      <c r="J177" s="60"/>
      <c r="K177" s="60">
        <f t="shared" si="131"/>
        <v>2457.9699999999998</v>
      </c>
      <c r="L177" s="38">
        <f t="shared" si="132"/>
        <v>17205.789999999997</v>
      </c>
      <c r="M177" s="60">
        <f t="shared" si="153"/>
        <v>4915.9399999999996</v>
      </c>
      <c r="N177" s="27"/>
      <c r="O177" s="27">
        <f>20000</f>
        <v>20000</v>
      </c>
      <c r="P177" s="60">
        <f t="shared" si="149"/>
        <v>491.59399999999999</v>
      </c>
      <c r="Q177" s="60">
        <v>5000</v>
      </c>
      <c r="R177" s="60">
        <f>4000</f>
        <v>4000</v>
      </c>
      <c r="S177" s="38">
        <f t="shared" si="150"/>
        <v>74103.749500000005</v>
      </c>
      <c r="T177" s="38">
        <v>72538.03575000001</v>
      </c>
      <c r="U177" s="38">
        <f t="shared" si="137"/>
        <v>1565.7137499999953</v>
      </c>
      <c r="V177" s="38"/>
      <c r="W177" s="38">
        <v>236.04</v>
      </c>
      <c r="X177" s="38">
        <v>236.04</v>
      </c>
      <c r="Y177" s="38">
        <f t="shared" si="138"/>
        <v>0</v>
      </c>
      <c r="Z177" s="38"/>
      <c r="AA177" s="38"/>
      <c r="AB177" s="38"/>
    </row>
    <row r="178" spans="1:28" ht="20.100000000000001" customHeight="1">
      <c r="A178" s="41">
        <v>47</v>
      </c>
      <c r="B178" s="741" t="s">
        <v>219</v>
      </c>
      <c r="C178" s="742"/>
      <c r="D178" s="108" t="s">
        <v>13</v>
      </c>
      <c r="E178" s="64" t="s">
        <v>414</v>
      </c>
      <c r="F178" s="60">
        <f t="shared" si="155"/>
        <v>4915.9399999999996</v>
      </c>
      <c r="G178" s="27"/>
      <c r="H178" s="60">
        <f t="shared" si="129"/>
        <v>14747.82</v>
      </c>
      <c r="I178" s="60">
        <f t="shared" si="130"/>
        <v>368.69549999999998</v>
      </c>
      <c r="J178" s="60"/>
      <c r="K178" s="60">
        <f t="shared" si="131"/>
        <v>2457.9699999999998</v>
      </c>
      <c r="L178" s="38">
        <f t="shared" si="132"/>
        <v>17205.789999999997</v>
      </c>
      <c r="M178" s="60">
        <f t="shared" si="153"/>
        <v>4915.9399999999996</v>
      </c>
      <c r="N178" s="27"/>
      <c r="O178" s="27">
        <f>20000</f>
        <v>20000</v>
      </c>
      <c r="P178" s="60">
        <f t="shared" si="149"/>
        <v>491.59399999999999</v>
      </c>
      <c r="Q178" s="60">
        <v>5000</v>
      </c>
      <c r="R178" s="60">
        <f>7000</f>
        <v>7000</v>
      </c>
      <c r="S178" s="38">
        <f t="shared" si="150"/>
        <v>77103.749500000005</v>
      </c>
      <c r="T178" s="38">
        <v>75538.03575000001</v>
      </c>
      <c r="U178" s="38">
        <f t="shared" si="137"/>
        <v>1565.7137499999953</v>
      </c>
      <c r="V178" s="38"/>
      <c r="W178" s="38">
        <v>236.04</v>
      </c>
      <c r="X178" s="38">
        <v>236.04</v>
      </c>
      <c r="Y178" s="38">
        <f t="shared" si="138"/>
        <v>0</v>
      </c>
      <c r="Z178" s="38"/>
      <c r="AA178" s="38"/>
      <c r="AB178" s="38"/>
    </row>
    <row r="179" spans="1:28" ht="20.100000000000001" customHeight="1">
      <c r="A179" s="41">
        <v>48</v>
      </c>
      <c r="B179" s="741" t="s">
        <v>211</v>
      </c>
      <c r="C179" s="742"/>
      <c r="D179" s="108" t="s">
        <v>13</v>
      </c>
      <c r="E179" s="64" t="s">
        <v>414</v>
      </c>
      <c r="F179" s="60">
        <f t="shared" si="155"/>
        <v>4915.9399999999996</v>
      </c>
      <c r="G179" s="27"/>
      <c r="H179" s="60">
        <f t="shared" si="129"/>
        <v>14747.82</v>
      </c>
      <c r="I179" s="60">
        <f t="shared" si="130"/>
        <v>368.69549999999998</v>
      </c>
      <c r="J179" s="60"/>
      <c r="K179" s="60">
        <f t="shared" si="131"/>
        <v>2457.9699999999998</v>
      </c>
      <c r="L179" s="38">
        <f t="shared" si="132"/>
        <v>17205.789999999997</v>
      </c>
      <c r="M179" s="60">
        <f t="shared" si="153"/>
        <v>4915.9399999999996</v>
      </c>
      <c r="N179" s="27"/>
      <c r="O179" s="27">
        <f>20000</f>
        <v>20000</v>
      </c>
      <c r="P179" s="60">
        <f t="shared" si="149"/>
        <v>491.59399999999999</v>
      </c>
      <c r="Q179" s="60">
        <v>5000</v>
      </c>
      <c r="R179" s="60">
        <f>4000</f>
        <v>4000</v>
      </c>
      <c r="S179" s="38">
        <f t="shared" si="150"/>
        <v>74103.749500000005</v>
      </c>
      <c r="T179" s="38">
        <v>72538.03575000001</v>
      </c>
      <c r="U179" s="38">
        <f t="shared" si="137"/>
        <v>1565.7137499999953</v>
      </c>
      <c r="V179" s="38"/>
      <c r="W179" s="38">
        <v>236.04</v>
      </c>
      <c r="X179" s="38">
        <v>236.04</v>
      </c>
      <c r="Y179" s="38">
        <f t="shared" si="138"/>
        <v>0</v>
      </c>
      <c r="Z179" s="38"/>
      <c r="AA179" s="38"/>
      <c r="AB179" s="38"/>
    </row>
    <row r="180" spans="1:28" ht="20.100000000000001" customHeight="1">
      <c r="A180" s="41">
        <v>49</v>
      </c>
      <c r="B180" s="741" t="s">
        <v>213</v>
      </c>
      <c r="C180" s="742"/>
      <c r="D180" s="108" t="s">
        <v>13</v>
      </c>
      <c r="E180" s="64" t="s">
        <v>414</v>
      </c>
      <c r="F180" s="60">
        <f t="shared" si="155"/>
        <v>4915.9399999999996</v>
      </c>
      <c r="G180" s="27"/>
      <c r="H180" s="60">
        <f t="shared" si="129"/>
        <v>14747.82</v>
      </c>
      <c r="I180" s="60">
        <f t="shared" si="130"/>
        <v>368.69549999999998</v>
      </c>
      <c r="J180" s="60"/>
      <c r="K180" s="60">
        <f t="shared" si="131"/>
        <v>2457.9699999999998</v>
      </c>
      <c r="L180" s="38">
        <f t="shared" si="132"/>
        <v>17205.789999999997</v>
      </c>
      <c r="M180" s="60">
        <f t="shared" si="153"/>
        <v>4915.9399999999996</v>
      </c>
      <c r="N180" s="27"/>
      <c r="O180" s="27">
        <f>20000</f>
        <v>20000</v>
      </c>
      <c r="P180" s="60">
        <f t="shared" si="149"/>
        <v>491.59399999999999</v>
      </c>
      <c r="Q180" s="60">
        <v>5000</v>
      </c>
      <c r="R180" s="60">
        <f>7000</f>
        <v>7000</v>
      </c>
      <c r="S180" s="38">
        <f t="shared" si="150"/>
        <v>77103.749500000005</v>
      </c>
      <c r="T180" s="38">
        <v>75538.03575000001</v>
      </c>
      <c r="U180" s="38">
        <f t="shared" si="137"/>
        <v>1565.7137499999953</v>
      </c>
      <c r="V180" s="38"/>
      <c r="W180" s="38">
        <v>236.04</v>
      </c>
      <c r="X180" s="38">
        <v>236.04</v>
      </c>
      <c r="Y180" s="38">
        <f t="shared" si="138"/>
        <v>0</v>
      </c>
      <c r="Z180" s="38"/>
      <c r="AA180" s="38"/>
      <c r="AB180" s="38"/>
    </row>
    <row r="181" spans="1:28" ht="20.100000000000001" customHeight="1">
      <c r="A181" s="41">
        <v>50</v>
      </c>
      <c r="B181" s="743" t="s">
        <v>232</v>
      </c>
      <c r="C181" s="744"/>
      <c r="D181" s="108" t="s">
        <v>13</v>
      </c>
      <c r="E181" s="64" t="s">
        <v>28</v>
      </c>
      <c r="F181" s="60">
        <f>4836.5</f>
        <v>4836.5</v>
      </c>
      <c r="G181" s="27"/>
      <c r="H181" s="60">
        <f t="shared" si="129"/>
        <v>14509.5</v>
      </c>
      <c r="I181" s="60">
        <f t="shared" si="130"/>
        <v>362.73750000000001</v>
      </c>
      <c r="J181" s="60"/>
      <c r="K181" s="60">
        <f t="shared" si="131"/>
        <v>2418.25</v>
      </c>
      <c r="L181" s="38">
        <f t="shared" si="132"/>
        <v>16927.75</v>
      </c>
      <c r="M181" s="60">
        <f t="shared" si="153"/>
        <v>4836.5</v>
      </c>
      <c r="N181" s="27"/>
      <c r="O181" s="27">
        <f>15000</f>
        <v>15000</v>
      </c>
      <c r="P181" s="60">
        <f t="shared" si="149"/>
        <v>483.65000000000003</v>
      </c>
      <c r="Q181" s="60">
        <v>5000</v>
      </c>
      <c r="R181" s="60">
        <f>7000</f>
        <v>7000</v>
      </c>
      <c r="S181" s="38">
        <f t="shared" si="150"/>
        <v>71374.887500000012</v>
      </c>
      <c r="T181" s="38">
        <v>67328.070250000004</v>
      </c>
      <c r="U181" s="38">
        <f t="shared" si="137"/>
        <v>4046.8172500000073</v>
      </c>
      <c r="V181" s="38"/>
      <c r="W181" s="38">
        <v>236.04</v>
      </c>
      <c r="X181" s="38">
        <v>236.04</v>
      </c>
      <c r="Y181" s="38">
        <f t="shared" si="138"/>
        <v>0</v>
      </c>
      <c r="Z181" s="38"/>
      <c r="AA181" s="38"/>
      <c r="AB181" s="38"/>
    </row>
    <row r="182" spans="1:28" ht="20.100000000000001" customHeight="1">
      <c r="A182" s="41">
        <v>51</v>
      </c>
      <c r="B182" s="745" t="s">
        <v>233</v>
      </c>
      <c r="C182" s="746"/>
      <c r="D182" s="108" t="s">
        <v>13</v>
      </c>
      <c r="E182" s="64" t="s">
        <v>28</v>
      </c>
      <c r="F182" s="60">
        <f t="shared" ref="F182:F183" si="156">4836.5</f>
        <v>4836.5</v>
      </c>
      <c r="G182" s="27"/>
      <c r="H182" s="60">
        <f t="shared" si="129"/>
        <v>14509.5</v>
      </c>
      <c r="I182" s="60">
        <f t="shared" si="130"/>
        <v>362.73750000000001</v>
      </c>
      <c r="J182" s="60"/>
      <c r="K182" s="60">
        <f t="shared" si="131"/>
        <v>2418.25</v>
      </c>
      <c r="L182" s="38">
        <f t="shared" si="132"/>
        <v>16927.75</v>
      </c>
      <c r="M182" s="60">
        <f t="shared" si="153"/>
        <v>4836.5</v>
      </c>
      <c r="N182" s="27"/>
      <c r="O182" s="27">
        <f>15000</f>
        <v>15000</v>
      </c>
      <c r="P182" s="60">
        <f t="shared" si="149"/>
        <v>483.65000000000003</v>
      </c>
      <c r="Q182" s="60">
        <v>5000</v>
      </c>
      <c r="R182" s="60">
        <f>7000</f>
        <v>7000</v>
      </c>
      <c r="S182" s="38">
        <f t="shared" si="150"/>
        <v>71374.887500000012</v>
      </c>
      <c r="T182" s="38">
        <v>67328.070250000004</v>
      </c>
      <c r="U182" s="38">
        <f t="shared" si="137"/>
        <v>4046.8172500000073</v>
      </c>
      <c r="V182" s="38"/>
      <c r="W182" s="38">
        <v>236.04</v>
      </c>
      <c r="X182" s="38">
        <v>236.04</v>
      </c>
      <c r="Y182" s="38">
        <f t="shared" si="138"/>
        <v>0</v>
      </c>
      <c r="Z182" s="38"/>
      <c r="AA182" s="38"/>
      <c r="AB182" s="38"/>
    </row>
    <row r="183" spans="1:28" ht="20.100000000000001" customHeight="1">
      <c r="A183" s="41">
        <v>52</v>
      </c>
      <c r="B183" s="120" t="s">
        <v>279</v>
      </c>
      <c r="C183" s="76"/>
      <c r="D183" s="108" t="s">
        <v>13</v>
      </c>
      <c r="E183" s="64" t="s">
        <v>28</v>
      </c>
      <c r="F183" s="60">
        <f t="shared" si="156"/>
        <v>4836.5</v>
      </c>
      <c r="G183" s="27"/>
      <c r="H183" s="60">
        <f t="shared" si="129"/>
        <v>14509.5</v>
      </c>
      <c r="I183" s="60">
        <f t="shared" si="130"/>
        <v>362.73750000000001</v>
      </c>
      <c r="J183" s="60"/>
      <c r="K183" s="60">
        <f t="shared" si="131"/>
        <v>2418.25</v>
      </c>
      <c r="L183" s="38">
        <f t="shared" si="132"/>
        <v>16927.75</v>
      </c>
      <c r="M183" s="60">
        <f t="shared" si="153"/>
        <v>4836.5</v>
      </c>
      <c r="N183" s="27"/>
      <c r="O183" s="27">
        <f>15000</f>
        <v>15000</v>
      </c>
      <c r="P183" s="60">
        <f t="shared" si="149"/>
        <v>483.65000000000003</v>
      </c>
      <c r="Q183" s="60">
        <v>5000</v>
      </c>
      <c r="R183" s="60">
        <f>4000</f>
        <v>4000</v>
      </c>
      <c r="S183" s="38">
        <f t="shared" ref="S183:S184" si="157">SUM(F183:R183)</f>
        <v>68374.887500000012</v>
      </c>
      <c r="T183" s="38">
        <v>64328.070250000004</v>
      </c>
      <c r="U183" s="38">
        <f t="shared" si="137"/>
        <v>4046.8172500000073</v>
      </c>
      <c r="V183" s="38"/>
      <c r="W183" s="38">
        <v>236.04</v>
      </c>
      <c r="X183" s="38">
        <v>236.04</v>
      </c>
      <c r="Y183" s="38">
        <f t="shared" si="138"/>
        <v>0</v>
      </c>
      <c r="Z183" s="38"/>
      <c r="AA183" s="38"/>
      <c r="AB183" s="38"/>
    </row>
    <row r="184" spans="1:28" ht="20.100000000000001" customHeight="1">
      <c r="A184" s="41">
        <v>53</v>
      </c>
      <c r="B184" s="120" t="s">
        <v>342</v>
      </c>
      <c r="C184" s="76"/>
      <c r="D184" s="108" t="s">
        <v>13</v>
      </c>
      <c r="E184" s="64" t="s">
        <v>262</v>
      </c>
      <c r="F184" s="60">
        <f>4915.94</f>
        <v>4915.9399999999996</v>
      </c>
      <c r="G184" s="27"/>
      <c r="H184" s="60">
        <f t="shared" si="129"/>
        <v>14747.82</v>
      </c>
      <c r="I184" s="60">
        <f t="shared" si="130"/>
        <v>368.69549999999998</v>
      </c>
      <c r="J184" s="60"/>
      <c r="K184" s="60">
        <f t="shared" si="131"/>
        <v>2457.9699999999998</v>
      </c>
      <c r="L184" s="38">
        <f t="shared" si="132"/>
        <v>17205.789999999997</v>
      </c>
      <c r="M184" s="60">
        <f t="shared" si="153"/>
        <v>4915.9399999999996</v>
      </c>
      <c r="N184" s="27"/>
      <c r="O184" s="27">
        <f>20000</f>
        <v>20000</v>
      </c>
      <c r="P184" s="60">
        <f t="shared" si="149"/>
        <v>491.59399999999999</v>
      </c>
      <c r="Q184" s="60">
        <v>5000</v>
      </c>
      <c r="R184" s="60">
        <f>4000</f>
        <v>4000</v>
      </c>
      <c r="S184" s="38">
        <f t="shared" si="157"/>
        <v>74103.749500000005</v>
      </c>
      <c r="T184" s="38">
        <v>72538.03575000001</v>
      </c>
      <c r="U184" s="38">
        <f t="shared" si="137"/>
        <v>1565.7137499999953</v>
      </c>
      <c r="V184" s="38"/>
      <c r="W184" s="38">
        <v>236.04</v>
      </c>
      <c r="X184" s="38">
        <v>236.04</v>
      </c>
      <c r="Y184" s="38">
        <f t="shared" si="138"/>
        <v>0</v>
      </c>
      <c r="Z184" s="38"/>
      <c r="AA184" s="38"/>
      <c r="AB184" s="38"/>
    </row>
    <row r="185" spans="1:28" ht="20.100000000000001" customHeight="1">
      <c r="A185" s="41">
        <v>54</v>
      </c>
      <c r="B185" s="120" t="s">
        <v>403</v>
      </c>
      <c r="C185" s="76"/>
      <c r="D185" s="108" t="s">
        <v>13</v>
      </c>
      <c r="E185" s="64" t="s">
        <v>150</v>
      </c>
      <c r="F185" s="89">
        <f>4248.5</f>
        <v>4248.5</v>
      </c>
      <c r="G185" s="27"/>
      <c r="H185" s="60">
        <f t="shared" si="129"/>
        <v>12745.5</v>
      </c>
      <c r="I185" s="60">
        <f t="shared" si="130"/>
        <v>318.63749999999999</v>
      </c>
      <c r="J185" s="60"/>
      <c r="K185" s="60">
        <f t="shared" si="131"/>
        <v>2124.25</v>
      </c>
      <c r="L185" s="38">
        <f t="shared" si="132"/>
        <v>14869.75</v>
      </c>
      <c r="M185" s="60">
        <f t="shared" si="153"/>
        <v>4248.5</v>
      </c>
      <c r="N185" s="27"/>
      <c r="O185" s="27">
        <f>15000</f>
        <v>15000</v>
      </c>
      <c r="P185" s="60">
        <f t="shared" si="149"/>
        <v>424.85</v>
      </c>
      <c r="Q185" s="60">
        <v>5000</v>
      </c>
      <c r="R185" s="60">
        <f>7000</f>
        <v>7000</v>
      </c>
      <c r="S185" s="38">
        <f>SUM(F185:R185)</f>
        <v>65979.987499999988</v>
      </c>
      <c r="T185" s="38">
        <v>64631.996500000001</v>
      </c>
      <c r="U185" s="38">
        <f t="shared" si="137"/>
        <v>1347.9909999999873</v>
      </c>
      <c r="V185" s="38"/>
      <c r="W185" s="38">
        <v>236.04</v>
      </c>
      <c r="X185" s="38">
        <v>236.04</v>
      </c>
      <c r="Y185" s="38">
        <f t="shared" si="138"/>
        <v>0</v>
      </c>
      <c r="Z185" s="38"/>
      <c r="AA185" s="38"/>
      <c r="AB185" s="38"/>
    </row>
    <row r="186" spans="1:28" ht="20.100000000000001" customHeight="1">
      <c r="A186" s="41">
        <v>55</v>
      </c>
      <c r="B186" s="120" t="s">
        <v>405</v>
      </c>
      <c r="C186" s="76"/>
      <c r="D186" s="108" t="s">
        <v>13</v>
      </c>
      <c r="E186" s="64" t="s">
        <v>262</v>
      </c>
      <c r="F186" s="60">
        <f>4915.94</f>
        <v>4915.9399999999996</v>
      </c>
      <c r="G186" s="27"/>
      <c r="H186" s="60">
        <f t="shared" si="129"/>
        <v>14747.82</v>
      </c>
      <c r="I186" s="60">
        <f t="shared" si="130"/>
        <v>368.69549999999998</v>
      </c>
      <c r="J186" s="60"/>
      <c r="K186" s="60">
        <f t="shared" si="131"/>
        <v>2457.9699999999998</v>
      </c>
      <c r="L186" s="38">
        <f t="shared" si="132"/>
        <v>17205.789999999997</v>
      </c>
      <c r="M186" s="60">
        <f t="shared" si="153"/>
        <v>4915.9399999999996</v>
      </c>
      <c r="N186" s="27"/>
      <c r="O186" s="27">
        <f>20000</f>
        <v>20000</v>
      </c>
      <c r="P186" s="60">
        <f t="shared" si="149"/>
        <v>491.59399999999999</v>
      </c>
      <c r="Q186" s="60">
        <v>5000</v>
      </c>
      <c r="R186" s="60">
        <f>7000</f>
        <v>7000</v>
      </c>
      <c r="S186" s="38">
        <f t="shared" ref="S186" si="158">SUM(F186:R186)</f>
        <v>77103.749500000005</v>
      </c>
      <c r="T186" s="38">
        <v>75538.03575000001</v>
      </c>
      <c r="U186" s="38">
        <f t="shared" si="137"/>
        <v>1565.7137499999953</v>
      </c>
      <c r="V186" s="38"/>
      <c r="W186" s="38">
        <v>236.04</v>
      </c>
      <c r="X186" s="38">
        <v>236.04</v>
      </c>
      <c r="Y186" s="38">
        <f t="shared" si="138"/>
        <v>0</v>
      </c>
      <c r="Z186" s="38"/>
      <c r="AA186" s="38"/>
      <c r="AB186" s="38"/>
    </row>
    <row r="187" spans="1:28" ht="20.100000000000001" customHeight="1">
      <c r="A187" s="41"/>
      <c r="B187" s="69" t="s">
        <v>15</v>
      </c>
      <c r="D187" s="49" t="s">
        <v>408</v>
      </c>
      <c r="E187" s="39"/>
      <c r="F187" s="80">
        <f t="shared" ref="F187:M187" si="159">SUM(F132:F186)</f>
        <v>833916.93999999925</v>
      </c>
      <c r="G187" s="80">
        <f t="shared" si="159"/>
        <v>0</v>
      </c>
      <c r="H187" s="80">
        <f t="shared" si="159"/>
        <v>2501750.8199999956</v>
      </c>
      <c r="I187" s="80">
        <f t="shared" si="159"/>
        <v>62543.770499999991</v>
      </c>
      <c r="J187" s="80">
        <f t="shared" si="159"/>
        <v>280855.33</v>
      </c>
      <c r="K187" s="80">
        <f t="shared" si="159"/>
        <v>416958.46999999962</v>
      </c>
      <c r="L187" s="80">
        <f t="shared" si="159"/>
        <v>2918709.2900000033</v>
      </c>
      <c r="M187" s="80">
        <f t="shared" si="159"/>
        <v>833916.93999999925</v>
      </c>
      <c r="N187" s="85"/>
      <c r="O187" s="85">
        <f>SUM(O132:O186)</f>
        <v>2300000</v>
      </c>
      <c r="P187" s="80">
        <f>SUM(P132:P186)</f>
        <v>83391.694000000018</v>
      </c>
      <c r="Q187" s="80">
        <f>SUM(Q132:Q186)</f>
        <v>505000</v>
      </c>
      <c r="R187" s="80">
        <f>SUM(R132:R186)</f>
        <v>211000</v>
      </c>
      <c r="S187" s="80">
        <f>SUM(S132:S186)</f>
        <v>10948043.254499998</v>
      </c>
      <c r="T187" s="80">
        <v>10834146.823000003</v>
      </c>
      <c r="U187" s="81">
        <f>SUM(U132:U186)</f>
        <v>105835.73524999988</v>
      </c>
      <c r="V187" s="80"/>
      <c r="W187" s="80">
        <f t="shared" ref="W187" si="160">SUM(W132:W186)</f>
        <v>234382.48000000027</v>
      </c>
      <c r="X187" s="80">
        <v>234382.48000000027</v>
      </c>
      <c r="Y187" s="80">
        <f t="shared" ref="Y187" si="161">SUM(Y132:Y186)</f>
        <v>0</v>
      </c>
      <c r="Z187" s="80"/>
      <c r="AA187" s="80"/>
      <c r="AB187" s="80"/>
    </row>
    <row r="188" spans="1:28" ht="20.100000000000001" customHeight="1">
      <c r="A188" s="33"/>
      <c r="B188" s="747" t="s">
        <v>8</v>
      </c>
      <c r="C188" s="747"/>
      <c r="D188" s="70">
        <f>D39+D43+D56+D61+D76+D86+D99+D106+D117+D129+D187</f>
        <v>148</v>
      </c>
      <c r="E188" s="117"/>
      <c r="F188" s="46">
        <f t="shared" ref="F188:U188" si="162">F39+F43+F56+F61+F76+F86+F99+F106+F117+F129+F187</f>
        <v>3775265.3499999996</v>
      </c>
      <c r="G188" s="46">
        <f t="shared" si="162"/>
        <v>0</v>
      </c>
      <c r="H188" s="46">
        <f t="shared" si="162"/>
        <v>11165307.299999993</v>
      </c>
      <c r="I188" s="46">
        <f t="shared" si="162"/>
        <v>319254.875</v>
      </c>
      <c r="J188" s="46">
        <f t="shared" si="162"/>
        <v>2311503.6900000004</v>
      </c>
      <c r="K188" s="46">
        <f t="shared" si="162"/>
        <v>1879608.2399999998</v>
      </c>
      <c r="L188" s="46">
        <f t="shared" si="162"/>
        <v>12651718.100000003</v>
      </c>
      <c r="M188" s="46">
        <f t="shared" si="162"/>
        <v>3735143.17</v>
      </c>
      <c r="N188" s="46">
        <f t="shared" si="162"/>
        <v>7680000</v>
      </c>
      <c r="O188" s="46">
        <f t="shared" si="162"/>
        <v>5010000</v>
      </c>
      <c r="P188" s="46">
        <f t="shared" si="162"/>
        <v>377526.54000000004</v>
      </c>
      <c r="Q188" s="46">
        <f t="shared" si="162"/>
        <v>2020000</v>
      </c>
      <c r="R188" s="46" t="e">
        <f t="shared" si="162"/>
        <v>#REF!</v>
      </c>
      <c r="S188" s="46" t="e">
        <f t="shared" si="162"/>
        <v>#REF!</v>
      </c>
      <c r="T188" s="46">
        <f t="shared" si="162"/>
        <v>51639317.288800001</v>
      </c>
      <c r="U188" s="46" t="e">
        <f t="shared" si="162"/>
        <v>#REF!</v>
      </c>
      <c r="V188" s="46"/>
      <c r="W188" s="46">
        <f>W39+W43+W56+W61+W76+W86+W99+W106+W117+W129+W187</f>
        <v>1514721.3</v>
      </c>
      <c r="X188" s="46">
        <v>1514721.3</v>
      </c>
      <c r="Y188" s="46">
        <f>Y39+Y43+Y56+Y61+Y76+Y86+Y99+Y106+Y117+Y129+Y187</f>
        <v>0</v>
      </c>
      <c r="Z188" s="46"/>
      <c r="AA188" s="46"/>
      <c r="AB188" s="46"/>
    </row>
    <row r="189" spans="1:28" ht="20.100000000000001" customHeight="1">
      <c r="A189" s="33"/>
      <c r="B189" s="739"/>
      <c r="C189" s="739"/>
      <c r="D189" s="119"/>
      <c r="E189" s="11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</row>
    <row r="190" spans="1:28" ht="20.100000000000001" customHeight="1">
      <c r="A190" s="33"/>
      <c r="B190" s="739"/>
      <c r="C190" s="739"/>
      <c r="D190" s="738" t="s">
        <v>9</v>
      </c>
      <c r="E190" s="738"/>
      <c r="F190" s="738"/>
      <c r="G190" s="738"/>
      <c r="H190" s="738"/>
      <c r="I190" s="738"/>
      <c r="J190" s="738"/>
      <c r="K190" s="740" t="s">
        <v>54</v>
      </c>
      <c r="L190" s="740"/>
      <c r="M190" s="740"/>
      <c r="N190" s="117"/>
      <c r="O190" s="117"/>
      <c r="P190" s="740" t="s">
        <v>55</v>
      </c>
      <c r="Q190" s="740"/>
      <c r="R190" s="740"/>
      <c r="S190" s="740"/>
      <c r="T190" s="117"/>
      <c r="U190" s="117"/>
      <c r="V190" s="117"/>
      <c r="W190" s="117"/>
      <c r="X190" s="117"/>
      <c r="Y190" s="68"/>
      <c r="Z190" s="68"/>
      <c r="AA190" s="68"/>
      <c r="AB190" s="68"/>
    </row>
    <row r="191" spans="1:28" ht="20.100000000000001" customHeight="1">
      <c r="A191" s="33"/>
      <c r="B191" s="739"/>
      <c r="C191" s="739"/>
      <c r="D191" s="738"/>
      <c r="E191" s="738"/>
      <c r="F191" s="738"/>
      <c r="G191" s="738"/>
      <c r="H191" s="738"/>
      <c r="I191" s="738"/>
      <c r="J191" s="738"/>
      <c r="K191" s="740"/>
      <c r="L191" s="740"/>
      <c r="M191" s="740"/>
      <c r="N191" s="117"/>
      <c r="O191" s="117"/>
      <c r="P191" s="740"/>
      <c r="Q191" s="740"/>
      <c r="R191" s="740"/>
      <c r="S191" s="740"/>
      <c r="T191" s="117"/>
      <c r="U191" s="117"/>
      <c r="V191" s="117"/>
      <c r="W191" s="117"/>
      <c r="X191" s="117"/>
      <c r="Y191" s="68"/>
      <c r="Z191" s="68"/>
      <c r="AA191" s="68"/>
      <c r="AB191" s="68"/>
    </row>
    <row r="192" spans="1:28" ht="20.100000000000001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2:28" ht="20.100000000000001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2:28" ht="20.100000000000001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</sheetData>
  <mergeCells count="151">
    <mergeCell ref="B3:E3"/>
    <mergeCell ref="B5:C5"/>
    <mergeCell ref="U5:Z5"/>
    <mergeCell ref="B6:C6"/>
    <mergeCell ref="B7:C7"/>
    <mergeCell ref="B8:C8"/>
    <mergeCell ref="B15:C15"/>
    <mergeCell ref="B16:C16"/>
    <mergeCell ref="B17:C17"/>
    <mergeCell ref="B18:C18"/>
    <mergeCell ref="B20:C20"/>
    <mergeCell ref="B21:C21"/>
    <mergeCell ref="B9:C9"/>
    <mergeCell ref="B10:C10"/>
    <mergeCell ref="B11:C11"/>
    <mergeCell ref="B12:C12"/>
    <mergeCell ref="B13:C13"/>
    <mergeCell ref="B14:C14"/>
    <mergeCell ref="B32:C32"/>
    <mergeCell ref="B33:C33"/>
    <mergeCell ref="B35:C35"/>
    <mergeCell ref="B37:C37"/>
    <mergeCell ref="B39:C39"/>
    <mergeCell ref="B41:C41"/>
    <mergeCell ref="B22:C22"/>
    <mergeCell ref="B23:C23"/>
    <mergeCell ref="B24:C24"/>
    <mergeCell ref="B25:C25"/>
    <mergeCell ref="B26:C26"/>
    <mergeCell ref="B27:C27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64:C64"/>
    <mergeCell ref="B66:C66"/>
    <mergeCell ref="B67:C67"/>
    <mergeCell ref="B69:C69"/>
    <mergeCell ref="B70:C70"/>
    <mergeCell ref="B71:C71"/>
    <mergeCell ref="B56:C56"/>
    <mergeCell ref="B58:C58"/>
    <mergeCell ref="B59:C59"/>
    <mergeCell ref="B61:C61"/>
    <mergeCell ref="B62:C62"/>
    <mergeCell ref="B63:C63"/>
    <mergeCell ref="B79:C79"/>
    <mergeCell ref="B82:C82"/>
    <mergeCell ref="B83:C83"/>
    <mergeCell ref="B86:C86"/>
    <mergeCell ref="B87:C87"/>
    <mergeCell ref="B88:C88"/>
    <mergeCell ref="B72:C72"/>
    <mergeCell ref="B73:C73"/>
    <mergeCell ref="B74:C74"/>
    <mergeCell ref="B75:C75"/>
    <mergeCell ref="B76:C76"/>
    <mergeCell ref="B78:C78"/>
    <mergeCell ref="B95:C95"/>
    <mergeCell ref="B96:C96"/>
    <mergeCell ref="B97:C97"/>
    <mergeCell ref="B98:C98"/>
    <mergeCell ref="B99:C99"/>
    <mergeCell ref="B101:C101"/>
    <mergeCell ref="B89:C89"/>
    <mergeCell ref="B90:C90"/>
    <mergeCell ref="B91:C91"/>
    <mergeCell ref="B92:C92"/>
    <mergeCell ref="B93:C93"/>
    <mergeCell ref="B94:C94"/>
    <mergeCell ref="B111:C111"/>
    <mergeCell ref="B112:C112"/>
    <mergeCell ref="B113:C113"/>
    <mergeCell ref="B117:C117"/>
    <mergeCell ref="B119:C119"/>
    <mergeCell ref="B120:C120"/>
    <mergeCell ref="B103:C103"/>
    <mergeCell ref="B105:C105"/>
    <mergeCell ref="B106:C106"/>
    <mergeCell ref="B108:C108"/>
    <mergeCell ref="B109:C109"/>
    <mergeCell ref="B110:C110"/>
    <mergeCell ref="B129:C129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5:C125"/>
    <mergeCell ref="B126:C126"/>
    <mergeCell ref="B127:C127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58:C158"/>
    <mergeCell ref="B159:C159"/>
    <mergeCell ref="B160:C160"/>
    <mergeCell ref="B161:C161"/>
    <mergeCell ref="B162:C162"/>
    <mergeCell ref="B163:C163"/>
    <mergeCell ref="B148:C148"/>
    <mergeCell ref="B149:C149"/>
    <mergeCell ref="B150:C150"/>
    <mergeCell ref="B151:C151"/>
    <mergeCell ref="B152:C152"/>
    <mergeCell ref="B153:C153"/>
    <mergeCell ref="B173:C173"/>
    <mergeCell ref="B175:C175"/>
    <mergeCell ref="B176:C176"/>
    <mergeCell ref="B177:C177"/>
    <mergeCell ref="B178:C178"/>
    <mergeCell ref="B179:C179"/>
    <mergeCell ref="B164:C164"/>
    <mergeCell ref="B165:C165"/>
    <mergeCell ref="B166:C166"/>
    <mergeCell ref="B167:C167"/>
    <mergeCell ref="B169:C169"/>
    <mergeCell ref="B172:C172"/>
    <mergeCell ref="B191:C191"/>
    <mergeCell ref="D190:D191"/>
    <mergeCell ref="E190:J191"/>
    <mergeCell ref="K190:K191"/>
    <mergeCell ref="L190:M191"/>
    <mergeCell ref="P190:P191"/>
    <mergeCell ref="Q190:S191"/>
    <mergeCell ref="B180:C180"/>
    <mergeCell ref="B181:C181"/>
    <mergeCell ref="B182:C182"/>
    <mergeCell ref="B188:C188"/>
    <mergeCell ref="B189:C189"/>
    <mergeCell ref="B190:C190"/>
  </mergeCells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J189" sqref="J189"/>
    </sheetView>
  </sheetViews>
  <sheetFormatPr defaultColWidth="9.140625" defaultRowHeight="20.100000000000001" customHeight="1"/>
  <cols>
    <col min="1" max="1" width="5.42578125" style="196" customWidth="1"/>
    <col min="2" max="2" width="43.85546875" style="196" customWidth="1"/>
    <col min="3" max="3" width="32.42578125" style="196" customWidth="1"/>
    <col min="4" max="4" width="9.140625" style="196" customWidth="1"/>
    <col min="5" max="5" width="13.85546875" style="196" customWidth="1"/>
    <col min="6" max="6" width="14.7109375" style="196" customWidth="1"/>
    <col min="7" max="7" width="14" style="196" customWidth="1"/>
    <col min="8" max="16384" width="9.140625" style="196"/>
  </cols>
  <sheetData>
    <row r="1" spans="1:7" ht="27" customHeight="1">
      <c r="A1" s="726" t="s">
        <v>234</v>
      </c>
      <c r="B1" s="726"/>
      <c r="C1" s="726"/>
      <c r="D1" s="726"/>
      <c r="E1" s="726"/>
    </row>
    <row r="2" spans="1:7" ht="33.75" customHeight="1">
      <c r="A2" s="197" t="s">
        <v>492</v>
      </c>
      <c r="B2" s="198"/>
      <c r="C2" s="198"/>
      <c r="D2" s="197"/>
      <c r="E2" s="201"/>
    </row>
    <row r="3" spans="1:7" ht="9.75" customHeight="1">
      <c r="A3" s="202"/>
      <c r="B3" s="202"/>
      <c r="C3" s="202"/>
      <c r="D3" s="202"/>
    </row>
    <row r="4" spans="1:7" ht="61.5" customHeight="1">
      <c r="A4" s="21"/>
      <c r="B4" s="203" t="s">
        <v>0</v>
      </c>
      <c r="C4" s="204" t="s">
        <v>12</v>
      </c>
      <c r="D4" s="257" t="s">
        <v>309</v>
      </c>
      <c r="E4" s="208" t="s">
        <v>120</v>
      </c>
      <c r="F4" s="208" t="s">
        <v>493</v>
      </c>
      <c r="G4" s="208" t="s">
        <v>494</v>
      </c>
    </row>
    <row r="5" spans="1:7" ht="20.100000000000001" customHeight="1">
      <c r="A5" s="209" t="s">
        <v>143</v>
      </c>
      <c r="B5" s="210" t="s">
        <v>433</v>
      </c>
      <c r="C5" s="258"/>
      <c r="D5" s="210"/>
      <c r="E5" s="211" t="s">
        <v>5</v>
      </c>
      <c r="F5" s="211" t="s">
        <v>5</v>
      </c>
      <c r="G5" s="211" t="s">
        <v>5</v>
      </c>
    </row>
    <row r="6" spans="1:7" ht="20.100000000000001" customHeight="1">
      <c r="A6" s="29">
        <v>1</v>
      </c>
      <c r="B6" s="188" t="s">
        <v>224</v>
      </c>
      <c r="C6" s="259" t="s">
        <v>119</v>
      </c>
      <c r="D6" s="269" t="s">
        <v>34</v>
      </c>
      <c r="E6" s="272">
        <v>2000000</v>
      </c>
      <c r="F6" s="24">
        <v>0</v>
      </c>
      <c r="G6" s="272">
        <v>2000000</v>
      </c>
    </row>
    <row r="7" spans="1:7" ht="20.100000000000001" customHeight="1">
      <c r="A7" s="29">
        <v>2</v>
      </c>
      <c r="B7" s="188" t="s">
        <v>137</v>
      </c>
      <c r="C7" s="260" t="s">
        <v>472</v>
      </c>
      <c r="D7" s="29" t="s">
        <v>160</v>
      </c>
      <c r="E7" s="272">
        <v>700000</v>
      </c>
      <c r="F7" s="24">
        <v>0</v>
      </c>
      <c r="G7" s="272">
        <v>700000</v>
      </c>
    </row>
    <row r="8" spans="1:7" ht="20.100000000000001" customHeight="1">
      <c r="A8" s="29">
        <v>3</v>
      </c>
      <c r="B8" s="190" t="s">
        <v>225</v>
      </c>
      <c r="C8" s="260" t="s">
        <v>226</v>
      </c>
      <c r="D8" s="29" t="s">
        <v>221</v>
      </c>
      <c r="E8" s="272">
        <f>700000/2</f>
        <v>350000</v>
      </c>
      <c r="F8" s="24">
        <v>0</v>
      </c>
      <c r="G8" s="272">
        <f t="shared" ref="G8:G9" si="0">700000/2</f>
        <v>350000</v>
      </c>
    </row>
    <row r="9" spans="1:7" ht="20.100000000000001" customHeight="1">
      <c r="A9" s="29">
        <v>4</v>
      </c>
      <c r="B9" s="188" t="s">
        <v>315</v>
      </c>
      <c r="C9" s="259" t="s">
        <v>316</v>
      </c>
      <c r="D9" s="29" t="s">
        <v>271</v>
      </c>
      <c r="E9" s="272">
        <f>700000/2</f>
        <v>350000</v>
      </c>
      <c r="F9" s="24">
        <v>0</v>
      </c>
      <c r="G9" s="272">
        <f t="shared" si="0"/>
        <v>350000</v>
      </c>
    </row>
    <row r="10" spans="1:7" ht="20.100000000000001" customHeight="1">
      <c r="A10" s="29">
        <v>5</v>
      </c>
      <c r="B10" s="190" t="s">
        <v>317</v>
      </c>
      <c r="C10" s="260" t="s">
        <v>418</v>
      </c>
      <c r="D10" s="214" t="s">
        <v>29</v>
      </c>
      <c r="E10" s="272">
        <v>700000</v>
      </c>
      <c r="F10" s="24">
        <v>0</v>
      </c>
      <c r="G10" s="272">
        <v>700000</v>
      </c>
    </row>
    <row r="11" spans="1:7" ht="20.100000000000001" customHeight="1">
      <c r="A11" s="29">
        <v>6</v>
      </c>
      <c r="B11" s="190" t="s">
        <v>112</v>
      </c>
      <c r="C11" s="260" t="s">
        <v>473</v>
      </c>
      <c r="D11" s="25" t="s">
        <v>29</v>
      </c>
      <c r="E11" s="272">
        <v>700000</v>
      </c>
      <c r="F11" s="24">
        <v>0</v>
      </c>
      <c r="G11" s="272">
        <v>700000</v>
      </c>
    </row>
    <row r="12" spans="1:7" ht="20.100000000000001" customHeight="1">
      <c r="A12" s="29">
        <v>7</v>
      </c>
      <c r="B12" s="188" t="s">
        <v>187</v>
      </c>
      <c r="C12" s="261" t="s">
        <v>474</v>
      </c>
      <c r="D12" s="25" t="s">
        <v>29</v>
      </c>
      <c r="E12" s="272">
        <v>700000</v>
      </c>
      <c r="F12" s="24">
        <v>0</v>
      </c>
      <c r="G12" s="272">
        <v>700000</v>
      </c>
    </row>
    <row r="13" spans="1:7" ht="20.100000000000001" customHeight="1">
      <c r="A13" s="29">
        <v>8</v>
      </c>
      <c r="B13" s="190" t="s">
        <v>203</v>
      </c>
      <c r="C13" s="260" t="s">
        <v>475</v>
      </c>
      <c r="D13" s="25" t="s">
        <v>29</v>
      </c>
      <c r="E13" s="272">
        <v>700000</v>
      </c>
      <c r="F13" s="24">
        <v>0</v>
      </c>
      <c r="G13" s="272">
        <v>700000</v>
      </c>
    </row>
    <row r="14" spans="1:7" ht="20.100000000000001" customHeight="1">
      <c r="A14" s="29">
        <v>9</v>
      </c>
      <c r="B14" s="188" t="s">
        <v>111</v>
      </c>
      <c r="C14" s="259" t="s">
        <v>468</v>
      </c>
      <c r="D14" s="214" t="s">
        <v>75</v>
      </c>
      <c r="E14" s="272">
        <v>700000</v>
      </c>
      <c r="F14" s="24">
        <v>0</v>
      </c>
      <c r="G14" s="272">
        <v>700000</v>
      </c>
    </row>
    <row r="15" spans="1:7" ht="20.100000000000001" customHeight="1">
      <c r="A15" s="29">
        <v>10</v>
      </c>
      <c r="B15" s="189" t="s">
        <v>333</v>
      </c>
      <c r="C15" s="259" t="s">
        <v>387</v>
      </c>
      <c r="D15" s="29" t="s">
        <v>272</v>
      </c>
      <c r="E15" s="272">
        <v>700000</v>
      </c>
      <c r="F15" s="24">
        <v>0</v>
      </c>
      <c r="G15" s="272">
        <v>700000</v>
      </c>
    </row>
    <row r="16" spans="1:7" ht="20.100000000000001" customHeight="1">
      <c r="A16" s="29">
        <v>11</v>
      </c>
      <c r="B16" s="192" t="s">
        <v>220</v>
      </c>
      <c r="C16" s="260" t="s">
        <v>388</v>
      </c>
      <c r="D16" s="25" t="s">
        <v>162</v>
      </c>
      <c r="E16" s="272">
        <v>500000</v>
      </c>
      <c r="F16" s="24">
        <v>0</v>
      </c>
      <c r="G16" s="272">
        <v>500000</v>
      </c>
    </row>
    <row r="17" spans="1:7" ht="19.5" customHeight="1">
      <c r="A17" s="29">
        <v>12</v>
      </c>
      <c r="B17" s="190" t="s">
        <v>144</v>
      </c>
      <c r="C17" s="260" t="s">
        <v>389</v>
      </c>
      <c r="D17" s="29" t="s">
        <v>162</v>
      </c>
      <c r="E17" s="272">
        <v>500000</v>
      </c>
      <c r="F17" s="24">
        <v>0</v>
      </c>
      <c r="G17" s="272">
        <v>500000</v>
      </c>
    </row>
    <row r="18" spans="1:7" ht="19.5" customHeight="1">
      <c r="A18" s="29">
        <v>13</v>
      </c>
      <c r="B18" s="190" t="s">
        <v>139</v>
      </c>
      <c r="C18" s="260" t="s">
        <v>386</v>
      </c>
      <c r="D18" s="29" t="s">
        <v>162</v>
      </c>
      <c r="E18" s="272">
        <v>500000</v>
      </c>
      <c r="F18" s="24">
        <v>0</v>
      </c>
      <c r="G18" s="272">
        <v>500000</v>
      </c>
    </row>
    <row r="19" spans="1:7" ht="20.100000000000001" customHeight="1">
      <c r="A19" s="29">
        <v>14</v>
      </c>
      <c r="B19" s="188" t="s">
        <v>18</v>
      </c>
      <c r="C19" s="260" t="s">
        <v>389</v>
      </c>
      <c r="D19" s="214" t="s">
        <v>162</v>
      </c>
      <c r="E19" s="272">
        <v>500000</v>
      </c>
      <c r="F19" s="24">
        <v>0</v>
      </c>
      <c r="G19" s="272">
        <v>500000</v>
      </c>
    </row>
    <row r="20" spans="1:7" ht="20.100000000000001" customHeight="1">
      <c r="A20" s="29">
        <v>15</v>
      </c>
      <c r="B20" s="188" t="s">
        <v>334</v>
      </c>
      <c r="C20" s="259" t="s">
        <v>351</v>
      </c>
      <c r="D20" s="214" t="s">
        <v>149</v>
      </c>
      <c r="E20" s="272">
        <v>500000</v>
      </c>
      <c r="F20" s="272">
        <v>500000</v>
      </c>
      <c r="G20" s="24">
        <v>0</v>
      </c>
    </row>
    <row r="21" spans="1:7" ht="20.100000000000001" customHeight="1">
      <c r="A21" s="29">
        <v>16</v>
      </c>
      <c r="B21" s="189" t="s">
        <v>291</v>
      </c>
      <c r="C21" s="260" t="s">
        <v>346</v>
      </c>
      <c r="D21" s="214" t="s">
        <v>273</v>
      </c>
      <c r="E21" s="272">
        <v>500000</v>
      </c>
      <c r="F21" s="272">
        <v>500000</v>
      </c>
      <c r="G21" s="24">
        <v>0</v>
      </c>
    </row>
    <row r="22" spans="1:7" ht="20.100000000000001" customHeight="1">
      <c r="A22" s="29">
        <v>17</v>
      </c>
      <c r="B22" s="188" t="s">
        <v>141</v>
      </c>
      <c r="C22" s="259" t="s">
        <v>391</v>
      </c>
      <c r="D22" s="214" t="s">
        <v>415</v>
      </c>
      <c r="E22" s="272">
        <v>400000</v>
      </c>
      <c r="F22" s="272">
        <v>400000</v>
      </c>
      <c r="G22" s="24">
        <v>0</v>
      </c>
    </row>
    <row r="23" spans="1:7" ht="18.75" customHeight="1">
      <c r="A23" s="29">
        <v>18</v>
      </c>
      <c r="B23" s="188" t="s">
        <v>253</v>
      </c>
      <c r="C23" s="259" t="s">
        <v>478</v>
      </c>
      <c r="D23" s="214" t="s">
        <v>369</v>
      </c>
      <c r="E23" s="272">
        <v>400000</v>
      </c>
      <c r="F23" s="272">
        <v>400000</v>
      </c>
      <c r="G23" s="24">
        <v>0</v>
      </c>
    </row>
    <row r="24" spans="1:7" ht="18.75" customHeight="1">
      <c r="A24" s="29">
        <v>19</v>
      </c>
      <c r="B24" s="188" t="s">
        <v>247</v>
      </c>
      <c r="C24" s="260" t="s">
        <v>477</v>
      </c>
      <c r="D24" s="214" t="s">
        <v>369</v>
      </c>
      <c r="E24" s="272">
        <v>400000</v>
      </c>
      <c r="F24" s="272">
        <v>400000</v>
      </c>
      <c r="G24" s="24">
        <v>0</v>
      </c>
    </row>
    <row r="25" spans="1:7" ht="18.75" customHeight="1">
      <c r="A25" s="29">
        <v>20</v>
      </c>
      <c r="B25" s="189" t="s">
        <v>293</v>
      </c>
      <c r="C25" s="260" t="s">
        <v>294</v>
      </c>
      <c r="D25" s="214" t="s">
        <v>164</v>
      </c>
      <c r="E25" s="272">
        <v>300000</v>
      </c>
      <c r="F25" s="272">
        <v>300000</v>
      </c>
      <c r="G25" s="24">
        <v>0</v>
      </c>
    </row>
    <row r="26" spans="1:7" ht="18.75" customHeight="1">
      <c r="A26" s="29">
        <v>21</v>
      </c>
      <c r="B26" s="189" t="s">
        <v>275</v>
      </c>
      <c r="C26" s="259" t="s">
        <v>314</v>
      </c>
      <c r="D26" s="214" t="s">
        <v>207</v>
      </c>
      <c r="E26" s="272">
        <v>300000</v>
      </c>
      <c r="F26" s="272">
        <v>300000</v>
      </c>
      <c r="G26" s="24">
        <v>0</v>
      </c>
    </row>
    <row r="27" spans="1:7" ht="18.75" customHeight="1">
      <c r="A27" s="29">
        <v>22</v>
      </c>
      <c r="B27" s="21" t="s">
        <v>434</v>
      </c>
      <c r="C27" s="260" t="s">
        <v>17</v>
      </c>
      <c r="D27" s="29" t="s">
        <v>428</v>
      </c>
      <c r="E27" s="272">
        <v>300000</v>
      </c>
      <c r="F27" s="272">
        <v>300000</v>
      </c>
      <c r="G27" s="24">
        <v>0</v>
      </c>
    </row>
    <row r="28" spans="1:7" ht="18.75" customHeight="1">
      <c r="A28" s="29">
        <v>23</v>
      </c>
      <c r="B28" s="189" t="s">
        <v>254</v>
      </c>
      <c r="C28" s="259" t="s">
        <v>17</v>
      </c>
      <c r="D28" s="214" t="s">
        <v>428</v>
      </c>
      <c r="E28" s="272">
        <v>300000</v>
      </c>
      <c r="F28" s="272">
        <v>300000</v>
      </c>
      <c r="G28" s="24">
        <v>0</v>
      </c>
    </row>
    <row r="29" spans="1:7" ht="18.75" customHeight="1">
      <c r="A29" s="29">
        <v>24</v>
      </c>
      <c r="B29" s="188" t="s">
        <v>248</v>
      </c>
      <c r="C29" s="259" t="s">
        <v>480</v>
      </c>
      <c r="D29" s="214" t="s">
        <v>428</v>
      </c>
      <c r="E29" s="272">
        <v>300000</v>
      </c>
      <c r="F29" s="272">
        <v>300000</v>
      </c>
      <c r="G29" s="24">
        <v>0</v>
      </c>
    </row>
    <row r="30" spans="1:7" ht="18.75" customHeight="1">
      <c r="A30" s="29">
        <v>25</v>
      </c>
      <c r="B30" s="189" t="s">
        <v>288</v>
      </c>
      <c r="C30" s="259" t="s">
        <v>249</v>
      </c>
      <c r="D30" s="214" t="s">
        <v>295</v>
      </c>
      <c r="E30" s="272">
        <v>300000</v>
      </c>
      <c r="F30" s="272">
        <v>300000</v>
      </c>
      <c r="G30" s="24">
        <v>0</v>
      </c>
    </row>
    <row r="31" spans="1:7" ht="18.75" customHeight="1">
      <c r="A31" s="29">
        <v>26</v>
      </c>
      <c r="B31" s="188" t="s">
        <v>345</v>
      </c>
      <c r="C31" s="261" t="s">
        <v>319</v>
      </c>
      <c r="D31" s="214" t="s">
        <v>51</v>
      </c>
      <c r="E31" s="272">
        <v>300000</v>
      </c>
      <c r="F31" s="272">
        <v>300000</v>
      </c>
      <c r="G31" s="24">
        <v>0</v>
      </c>
    </row>
    <row r="32" spans="1:7" ht="18.75" customHeight="1">
      <c r="A32" s="29">
        <v>27</v>
      </c>
      <c r="B32" s="189" t="s">
        <v>328</v>
      </c>
      <c r="C32" s="260" t="s">
        <v>329</v>
      </c>
      <c r="D32" s="29" t="s">
        <v>51</v>
      </c>
      <c r="E32" s="272">
        <v>300000</v>
      </c>
      <c r="F32" s="272">
        <v>300000</v>
      </c>
      <c r="G32" s="24">
        <v>0</v>
      </c>
    </row>
    <row r="33" spans="1:7" ht="18.75" customHeight="1">
      <c r="A33" s="29">
        <v>28</v>
      </c>
      <c r="B33" s="189" t="s">
        <v>360</v>
      </c>
      <c r="C33" s="261" t="s">
        <v>372</v>
      </c>
      <c r="D33" s="214" t="s">
        <v>428</v>
      </c>
      <c r="E33" s="272">
        <v>300000</v>
      </c>
      <c r="F33" s="272">
        <v>300000</v>
      </c>
      <c r="G33" s="24">
        <v>0</v>
      </c>
    </row>
    <row r="34" spans="1:7" ht="18.75" customHeight="1">
      <c r="A34" s="29">
        <v>29</v>
      </c>
      <c r="B34" s="189" t="s">
        <v>469</v>
      </c>
      <c r="C34" s="261" t="s">
        <v>372</v>
      </c>
      <c r="D34" s="214" t="s">
        <v>105</v>
      </c>
      <c r="E34" s="272">
        <v>300000</v>
      </c>
      <c r="F34" s="272">
        <v>300000</v>
      </c>
      <c r="G34" s="24">
        <v>0</v>
      </c>
    </row>
    <row r="35" spans="1:7" ht="18.75" customHeight="1">
      <c r="A35" s="29">
        <v>30</v>
      </c>
      <c r="B35" s="189" t="s">
        <v>330</v>
      </c>
      <c r="C35" s="260" t="s">
        <v>331</v>
      </c>
      <c r="D35" s="29" t="s">
        <v>105</v>
      </c>
      <c r="E35" s="272">
        <v>300000</v>
      </c>
      <c r="F35" s="272">
        <v>300000</v>
      </c>
      <c r="G35" s="24">
        <v>0</v>
      </c>
    </row>
    <row r="36" spans="1:7" ht="18.75" customHeight="1">
      <c r="A36" s="29">
        <v>31</v>
      </c>
      <c r="B36" s="189" t="s">
        <v>274</v>
      </c>
      <c r="C36" s="259" t="s">
        <v>314</v>
      </c>
      <c r="D36" s="214" t="s">
        <v>105</v>
      </c>
      <c r="E36" s="272">
        <v>300000</v>
      </c>
      <c r="F36" s="272">
        <v>300000</v>
      </c>
      <c r="G36" s="24">
        <v>0</v>
      </c>
    </row>
    <row r="37" spans="1:7" ht="18.75" customHeight="1">
      <c r="A37" s="29">
        <v>32</v>
      </c>
      <c r="B37" s="189" t="s">
        <v>453</v>
      </c>
      <c r="C37" s="259" t="s">
        <v>314</v>
      </c>
      <c r="D37" s="214" t="s">
        <v>105</v>
      </c>
      <c r="E37" s="272">
        <v>300000</v>
      </c>
      <c r="F37" s="272">
        <v>300000</v>
      </c>
      <c r="G37" s="24">
        <v>0</v>
      </c>
    </row>
    <row r="38" spans="1:7" ht="26.25" customHeight="1">
      <c r="A38" s="29"/>
      <c r="B38" s="191" t="s">
        <v>15</v>
      </c>
      <c r="C38" s="262">
        <v>29</v>
      </c>
      <c r="D38" s="214"/>
      <c r="E38" s="273">
        <f>SUM(E6:E37)</f>
        <v>15700000</v>
      </c>
      <c r="F38" s="273">
        <f>SUM(F6:F37)</f>
        <v>6100000</v>
      </c>
      <c r="G38" s="273">
        <f t="shared" ref="G38" si="1">SUM(G6:G37)</f>
        <v>9600000</v>
      </c>
    </row>
    <row r="39" spans="1:7" ht="18.75" customHeight="1">
      <c r="A39" s="29"/>
      <c r="B39" s="141"/>
      <c r="C39" s="260"/>
      <c r="D39" s="214"/>
      <c r="E39" s="273"/>
      <c r="F39" s="272"/>
      <c r="G39" s="273"/>
    </row>
    <row r="40" spans="1:7" ht="18.75" customHeight="1">
      <c r="A40" s="29"/>
      <c r="B40" s="191" t="s">
        <v>284</v>
      </c>
      <c r="C40" s="260"/>
      <c r="D40" s="214"/>
      <c r="E40" s="272"/>
      <c r="F40" s="272"/>
      <c r="G40" s="272"/>
    </row>
    <row r="41" spans="1:7" ht="18.75" customHeight="1">
      <c r="A41" s="29">
        <v>1</v>
      </c>
      <c r="B41" s="189" t="s">
        <v>361</v>
      </c>
      <c r="C41" s="260" t="s">
        <v>362</v>
      </c>
      <c r="D41" s="29" t="s">
        <v>206</v>
      </c>
      <c r="E41" s="272">
        <v>1000000</v>
      </c>
      <c r="F41" s="24">
        <v>0</v>
      </c>
      <c r="G41" s="272">
        <v>1000000</v>
      </c>
    </row>
    <row r="42" spans="1:7" ht="18.75" customHeight="1">
      <c r="A42" s="29">
        <v>2</v>
      </c>
      <c r="B42" s="189" t="s">
        <v>419</v>
      </c>
      <c r="C42" s="260" t="s">
        <v>427</v>
      </c>
      <c r="D42" s="29" t="s">
        <v>105</v>
      </c>
      <c r="E42" s="272">
        <v>300000</v>
      </c>
      <c r="F42" s="272">
        <v>300000</v>
      </c>
      <c r="G42" s="24">
        <v>0</v>
      </c>
    </row>
    <row r="43" spans="1:7" ht="19.5" customHeight="1">
      <c r="A43" s="29"/>
      <c r="B43" s="190"/>
      <c r="C43" s="262">
        <v>2</v>
      </c>
      <c r="D43" s="29"/>
      <c r="E43" s="273">
        <f>SUM(E41:E42)</f>
        <v>1300000</v>
      </c>
      <c r="F43" s="273">
        <f t="shared" ref="F43:G43" si="2">SUM(F41:F42)</f>
        <v>300000</v>
      </c>
      <c r="G43" s="273">
        <f t="shared" si="2"/>
        <v>1000000</v>
      </c>
    </row>
    <row r="44" spans="1:7" ht="20.100000000000001" customHeight="1">
      <c r="A44" s="29"/>
      <c r="B44" s="190"/>
      <c r="C44" s="260"/>
      <c r="D44" s="29"/>
      <c r="E44" s="272"/>
      <c r="F44" s="272"/>
      <c r="G44" s="272"/>
    </row>
    <row r="45" spans="1:7" ht="20.100000000000001" customHeight="1">
      <c r="A45" s="29"/>
      <c r="B45" s="218" t="s">
        <v>56</v>
      </c>
      <c r="C45" s="263"/>
      <c r="D45" s="207"/>
      <c r="E45" s="272"/>
      <c r="F45" s="272"/>
      <c r="G45" s="272"/>
    </row>
    <row r="46" spans="1:7" ht="20.100000000000001" customHeight="1">
      <c r="A46" s="29">
        <v>1</v>
      </c>
      <c r="B46" s="188" t="s">
        <v>255</v>
      </c>
      <c r="C46" s="260" t="s">
        <v>256</v>
      </c>
      <c r="D46" s="29" t="s">
        <v>161</v>
      </c>
      <c r="E46" s="272">
        <v>1000000</v>
      </c>
      <c r="F46" s="24">
        <v>0</v>
      </c>
      <c r="G46" s="272">
        <v>1000000</v>
      </c>
    </row>
    <row r="47" spans="1:7" ht="20.100000000000001" customHeight="1">
      <c r="A47" s="29">
        <v>2</v>
      </c>
      <c r="B47" s="188" t="s">
        <v>158</v>
      </c>
      <c r="C47" s="260" t="s">
        <v>199</v>
      </c>
      <c r="D47" s="29" t="s">
        <v>75</v>
      </c>
      <c r="E47" s="272">
        <v>700000</v>
      </c>
      <c r="F47" s="24">
        <v>0</v>
      </c>
      <c r="G47" s="272">
        <v>700000</v>
      </c>
    </row>
    <row r="48" spans="1:7" ht="20.100000000000001" customHeight="1">
      <c r="A48" s="29">
        <v>3</v>
      </c>
      <c r="B48" s="188" t="s">
        <v>165</v>
      </c>
      <c r="C48" s="260" t="s">
        <v>258</v>
      </c>
      <c r="D48" s="29" t="s">
        <v>75</v>
      </c>
      <c r="E48" s="272">
        <v>700000</v>
      </c>
      <c r="F48" s="24">
        <v>0</v>
      </c>
      <c r="G48" s="272">
        <v>700000</v>
      </c>
    </row>
    <row r="49" spans="1:7" ht="20.100000000000001" customHeight="1">
      <c r="A49" s="29">
        <v>4</v>
      </c>
      <c r="B49" s="188" t="s">
        <v>159</v>
      </c>
      <c r="C49" s="260" t="s">
        <v>258</v>
      </c>
      <c r="D49" s="29" t="s">
        <v>148</v>
      </c>
      <c r="E49" s="272">
        <v>700000</v>
      </c>
      <c r="F49" s="24">
        <v>0</v>
      </c>
      <c r="G49" s="272">
        <v>700000</v>
      </c>
    </row>
    <row r="50" spans="1:7" ht="20.100000000000001" customHeight="1">
      <c r="A50" s="29">
        <v>5</v>
      </c>
      <c r="B50" s="188" t="s">
        <v>118</v>
      </c>
      <c r="C50" s="260" t="s">
        <v>258</v>
      </c>
      <c r="D50" s="29" t="s">
        <v>30</v>
      </c>
      <c r="E50" s="272">
        <v>700000</v>
      </c>
      <c r="F50" s="24">
        <v>0</v>
      </c>
      <c r="G50" s="272">
        <v>700000</v>
      </c>
    </row>
    <row r="51" spans="1:7" ht="20.100000000000001" customHeight="1">
      <c r="A51" s="29">
        <v>6</v>
      </c>
      <c r="B51" s="188" t="s">
        <v>205</v>
      </c>
      <c r="C51" s="260" t="s">
        <v>78</v>
      </c>
      <c r="D51" s="29" t="s">
        <v>162</v>
      </c>
      <c r="E51" s="272">
        <v>500000</v>
      </c>
      <c r="F51" s="24">
        <v>0</v>
      </c>
      <c r="G51" s="272">
        <v>500000</v>
      </c>
    </row>
    <row r="52" spans="1:7" ht="20.100000000000001" customHeight="1">
      <c r="A52" s="29">
        <v>7</v>
      </c>
      <c r="B52" s="190" t="s">
        <v>173</v>
      </c>
      <c r="C52" s="260" t="s">
        <v>297</v>
      </c>
      <c r="D52" s="25" t="s">
        <v>162</v>
      </c>
      <c r="E52" s="272">
        <v>500000</v>
      </c>
      <c r="F52" s="24">
        <v>0</v>
      </c>
      <c r="G52" s="272">
        <v>500000</v>
      </c>
    </row>
    <row r="53" spans="1:7" ht="20.100000000000001" customHeight="1">
      <c r="A53" s="29">
        <v>8</v>
      </c>
      <c r="B53" s="188" t="s">
        <v>116</v>
      </c>
      <c r="C53" s="260" t="s">
        <v>297</v>
      </c>
      <c r="D53" s="29" t="s">
        <v>222</v>
      </c>
      <c r="E53" s="272">
        <v>500000</v>
      </c>
      <c r="F53" s="24">
        <v>0</v>
      </c>
      <c r="G53" s="272">
        <v>500000</v>
      </c>
    </row>
    <row r="54" spans="1:7" ht="20.100000000000001" customHeight="1">
      <c r="A54" s="29">
        <v>9</v>
      </c>
      <c r="B54" s="188" t="s">
        <v>184</v>
      </c>
      <c r="C54" s="260" t="s">
        <v>80</v>
      </c>
      <c r="D54" s="29" t="s">
        <v>163</v>
      </c>
      <c r="E54" s="272">
        <v>500000</v>
      </c>
      <c r="F54" s="272">
        <v>500000</v>
      </c>
      <c r="G54" s="24">
        <v>0</v>
      </c>
    </row>
    <row r="55" spans="1:7" ht="20.100000000000001" customHeight="1">
      <c r="A55" s="29">
        <v>10</v>
      </c>
      <c r="B55" s="188" t="s">
        <v>420</v>
      </c>
      <c r="C55" s="260" t="s">
        <v>84</v>
      </c>
      <c r="D55" s="29" t="s">
        <v>428</v>
      </c>
      <c r="E55" s="272">
        <v>300000</v>
      </c>
      <c r="F55" s="272">
        <v>300000</v>
      </c>
      <c r="G55" s="24">
        <v>0</v>
      </c>
    </row>
    <row r="56" spans="1:7" ht="20.100000000000001" customHeight="1">
      <c r="A56" s="29">
        <v>11</v>
      </c>
      <c r="B56" s="188" t="s">
        <v>435</v>
      </c>
      <c r="C56" s="260" t="s">
        <v>84</v>
      </c>
      <c r="D56" s="29" t="s">
        <v>428</v>
      </c>
      <c r="E56" s="272">
        <v>300000</v>
      </c>
      <c r="F56" s="272">
        <v>300000</v>
      </c>
      <c r="G56" s="24">
        <v>0</v>
      </c>
    </row>
    <row r="57" spans="1:7" ht="20.100000000000001" customHeight="1">
      <c r="A57" s="29">
        <v>12</v>
      </c>
      <c r="B57" s="188" t="s">
        <v>452</v>
      </c>
      <c r="C57" s="260" t="s">
        <v>84</v>
      </c>
      <c r="D57" s="29" t="s">
        <v>428</v>
      </c>
      <c r="E57" s="272">
        <v>300000</v>
      </c>
      <c r="F57" s="272">
        <v>300000</v>
      </c>
      <c r="G57" s="24">
        <v>0</v>
      </c>
    </row>
    <row r="58" spans="1:7" ht="25.5" customHeight="1">
      <c r="A58" s="29"/>
      <c r="B58" s="191" t="s">
        <v>15</v>
      </c>
      <c r="C58" s="262">
        <v>11</v>
      </c>
      <c r="D58" s="30"/>
      <c r="E58" s="274">
        <f>SUM(E46:E57)</f>
        <v>6700000</v>
      </c>
      <c r="F58" s="274">
        <f t="shared" ref="F58:G58" si="3">SUM(F46:F57)</f>
        <v>1400000</v>
      </c>
      <c r="G58" s="274">
        <f t="shared" si="3"/>
        <v>5300000</v>
      </c>
    </row>
    <row r="59" spans="1:7" ht="20.100000000000001" customHeight="1">
      <c r="A59" s="29"/>
      <c r="B59" s="141"/>
      <c r="C59" s="262"/>
      <c r="D59" s="30"/>
      <c r="E59" s="275"/>
      <c r="F59" s="275"/>
      <c r="G59" s="275"/>
    </row>
    <row r="60" spans="1:7" ht="20.100000000000001" customHeight="1">
      <c r="A60" s="29"/>
      <c r="B60" s="191" t="s">
        <v>195</v>
      </c>
      <c r="C60" s="262"/>
      <c r="D60" s="30"/>
      <c r="E60" s="275"/>
      <c r="F60" s="275"/>
      <c r="G60" s="275"/>
    </row>
    <row r="61" spans="1:7" ht="20.100000000000001" customHeight="1">
      <c r="A61" s="29">
        <v>1</v>
      </c>
      <c r="B61" s="188" t="s">
        <v>11</v>
      </c>
      <c r="C61" s="259" t="s">
        <v>200</v>
      </c>
      <c r="D61" s="214" t="s">
        <v>161</v>
      </c>
      <c r="E61" s="272">
        <f>1000000/2</f>
        <v>500000</v>
      </c>
      <c r="F61" s="24">
        <v>0</v>
      </c>
      <c r="G61" s="272">
        <f t="shared" ref="G61" si="4">1000000/2</f>
        <v>500000</v>
      </c>
    </row>
    <row r="62" spans="1:7" ht="20.100000000000001" customHeight="1">
      <c r="A62" s="29"/>
      <c r="B62" s="191" t="s">
        <v>15</v>
      </c>
      <c r="C62" s="262">
        <v>2</v>
      </c>
      <c r="D62" s="30"/>
      <c r="E62" s="274">
        <f>SUM(E61)</f>
        <v>500000</v>
      </c>
      <c r="F62" s="78">
        <f t="shared" ref="F62:G62" si="5">SUM(F61)</f>
        <v>0</v>
      </c>
      <c r="G62" s="274">
        <f t="shared" si="5"/>
        <v>500000</v>
      </c>
    </row>
    <row r="63" spans="1:7" ht="20.100000000000001" customHeight="1">
      <c r="A63" s="29"/>
      <c r="B63" s="191"/>
      <c r="C63" s="262"/>
      <c r="D63" s="30"/>
      <c r="E63" s="275"/>
      <c r="F63" s="275"/>
      <c r="G63" s="275"/>
    </row>
    <row r="64" spans="1:7" ht="20.100000000000001" customHeight="1">
      <c r="A64" s="29"/>
      <c r="B64" s="191" t="s">
        <v>461</v>
      </c>
      <c r="C64" s="262"/>
      <c r="D64" s="30"/>
      <c r="E64" s="275"/>
      <c r="F64" s="275"/>
      <c r="G64" s="275"/>
    </row>
    <row r="65" spans="1:7" ht="20.100000000000001" customHeight="1">
      <c r="A65" s="29">
        <v>1</v>
      </c>
      <c r="B65" s="188" t="s">
        <v>277</v>
      </c>
      <c r="C65" s="261" t="s">
        <v>278</v>
      </c>
      <c r="D65" s="29" t="s">
        <v>161</v>
      </c>
      <c r="E65" s="276">
        <f>1000000/2</f>
        <v>500000</v>
      </c>
      <c r="F65" s="26">
        <v>0</v>
      </c>
      <c r="G65" s="276">
        <f t="shared" ref="G65" si="6">1000000/2</f>
        <v>500000</v>
      </c>
    </row>
    <row r="66" spans="1:7" ht="20.100000000000001" customHeight="1">
      <c r="A66" s="29">
        <v>2</v>
      </c>
      <c r="B66" s="189" t="s">
        <v>332</v>
      </c>
      <c r="C66" s="261" t="s">
        <v>188</v>
      </c>
      <c r="D66" s="214" t="s">
        <v>272</v>
      </c>
      <c r="E66" s="272">
        <f>700000/2</f>
        <v>350000</v>
      </c>
      <c r="F66" s="26">
        <v>0</v>
      </c>
      <c r="G66" s="272">
        <f t="shared" ref="G66" si="7">700000/2</f>
        <v>350000</v>
      </c>
    </row>
    <row r="67" spans="1:7" ht="20.100000000000001" customHeight="1">
      <c r="A67" s="29">
        <v>3</v>
      </c>
      <c r="B67" s="188" t="s">
        <v>189</v>
      </c>
      <c r="C67" s="260" t="s">
        <v>257</v>
      </c>
      <c r="D67" s="29" t="s">
        <v>163</v>
      </c>
      <c r="E67" s="276">
        <v>500000</v>
      </c>
      <c r="F67" s="276">
        <v>500000</v>
      </c>
      <c r="G67" s="26">
        <v>0</v>
      </c>
    </row>
    <row r="68" spans="1:7" ht="20.100000000000001" customHeight="1">
      <c r="A68" s="29">
        <v>4</v>
      </c>
      <c r="B68" s="189" t="s">
        <v>448</v>
      </c>
      <c r="C68" s="261" t="s">
        <v>257</v>
      </c>
      <c r="D68" s="214" t="s">
        <v>149</v>
      </c>
      <c r="E68" s="276">
        <v>500000</v>
      </c>
      <c r="F68" s="276">
        <v>500000</v>
      </c>
      <c r="G68" s="26">
        <v>0</v>
      </c>
    </row>
    <row r="69" spans="1:7" ht="20.100000000000001" customHeight="1">
      <c r="A69" s="29">
        <v>5</v>
      </c>
      <c r="B69" s="190" t="s">
        <v>229</v>
      </c>
      <c r="C69" s="261" t="s">
        <v>297</v>
      </c>
      <c r="D69" s="214" t="s">
        <v>162</v>
      </c>
      <c r="E69" s="276">
        <v>500000</v>
      </c>
      <c r="F69" s="26">
        <v>0</v>
      </c>
      <c r="G69" s="276">
        <v>500000</v>
      </c>
    </row>
    <row r="70" spans="1:7" ht="20.100000000000001" customHeight="1">
      <c r="A70" s="29">
        <v>6</v>
      </c>
      <c r="B70" s="188" t="s">
        <v>117</v>
      </c>
      <c r="C70" s="260" t="s">
        <v>84</v>
      </c>
      <c r="D70" s="29" t="s">
        <v>298</v>
      </c>
      <c r="E70" s="272">
        <v>300000</v>
      </c>
      <c r="F70" s="276">
        <v>300000</v>
      </c>
      <c r="G70" s="26">
        <v>0</v>
      </c>
    </row>
    <row r="71" spans="1:7" ht="20.100000000000001" customHeight="1">
      <c r="A71" s="29">
        <v>7</v>
      </c>
      <c r="B71" s="188" t="s">
        <v>182</v>
      </c>
      <c r="C71" s="261" t="s">
        <v>422</v>
      </c>
      <c r="D71" s="214" t="s">
        <v>415</v>
      </c>
      <c r="E71" s="272">
        <v>400000</v>
      </c>
      <c r="F71" s="276">
        <v>400000</v>
      </c>
      <c r="G71" s="24">
        <v>0</v>
      </c>
    </row>
    <row r="72" spans="1:7" ht="20.100000000000001" customHeight="1">
      <c r="A72" s="29">
        <v>8</v>
      </c>
      <c r="B72" s="188" t="s">
        <v>424</v>
      </c>
      <c r="C72" s="261" t="s">
        <v>422</v>
      </c>
      <c r="D72" s="214" t="s">
        <v>369</v>
      </c>
      <c r="E72" s="272">
        <v>400000</v>
      </c>
      <c r="F72" s="276">
        <v>400000</v>
      </c>
      <c r="G72" s="24">
        <v>0</v>
      </c>
    </row>
    <row r="73" spans="1:7" ht="20.100000000000001" customHeight="1">
      <c r="A73" s="29">
        <v>9</v>
      </c>
      <c r="B73" s="188" t="s">
        <v>423</v>
      </c>
      <c r="C73" s="261" t="s">
        <v>422</v>
      </c>
      <c r="D73" s="214" t="s">
        <v>369</v>
      </c>
      <c r="E73" s="272">
        <v>400000</v>
      </c>
      <c r="F73" s="276">
        <v>400000</v>
      </c>
      <c r="G73" s="24">
        <v>0</v>
      </c>
    </row>
    <row r="74" spans="1:7" ht="20.100000000000001" customHeight="1">
      <c r="A74" s="29">
        <v>10</v>
      </c>
      <c r="B74" s="188" t="s">
        <v>242</v>
      </c>
      <c r="C74" s="260" t="s">
        <v>484</v>
      </c>
      <c r="D74" s="29" t="s">
        <v>369</v>
      </c>
      <c r="E74" s="272">
        <v>400000</v>
      </c>
      <c r="F74" s="276">
        <v>400000</v>
      </c>
      <c r="G74" s="24">
        <v>0</v>
      </c>
    </row>
    <row r="75" spans="1:7" ht="20.100000000000001" customHeight="1">
      <c r="A75" s="29">
        <v>11</v>
      </c>
      <c r="B75" s="188" t="s">
        <v>322</v>
      </c>
      <c r="C75" s="261" t="s">
        <v>84</v>
      </c>
      <c r="D75" s="29" t="s">
        <v>104</v>
      </c>
      <c r="E75" s="272">
        <v>300000</v>
      </c>
      <c r="F75" s="276">
        <v>300000</v>
      </c>
      <c r="G75" s="24">
        <v>0</v>
      </c>
    </row>
    <row r="76" spans="1:7" ht="20.100000000000001" customHeight="1">
      <c r="A76" s="29">
        <v>12</v>
      </c>
      <c r="B76" s="188" t="s">
        <v>320</v>
      </c>
      <c r="C76" s="261" t="s">
        <v>115</v>
      </c>
      <c r="D76" s="29" t="s">
        <v>428</v>
      </c>
      <c r="E76" s="272">
        <v>300000</v>
      </c>
      <c r="F76" s="276">
        <v>300000</v>
      </c>
      <c r="G76" s="24">
        <v>0</v>
      </c>
    </row>
    <row r="77" spans="1:7" ht="20.100000000000001" customHeight="1">
      <c r="A77" s="29">
        <v>13</v>
      </c>
      <c r="B77" s="190" t="s">
        <v>321</v>
      </c>
      <c r="C77" s="261" t="s">
        <v>115</v>
      </c>
      <c r="D77" s="29" t="s">
        <v>105</v>
      </c>
      <c r="E77" s="272">
        <v>300000</v>
      </c>
      <c r="F77" s="272">
        <v>300000</v>
      </c>
      <c r="G77" s="24">
        <v>0</v>
      </c>
    </row>
    <row r="78" spans="1:7" ht="20.100000000000001" customHeight="1">
      <c r="A78" s="29"/>
      <c r="B78" s="191" t="s">
        <v>15</v>
      </c>
      <c r="C78" s="262">
        <v>13</v>
      </c>
      <c r="D78" s="30"/>
      <c r="E78" s="274">
        <f>SUM(E65:E77)</f>
        <v>5150000</v>
      </c>
      <c r="F78" s="274">
        <f t="shared" ref="F78:G78" si="8">SUM(F65:F77)</f>
        <v>3800000</v>
      </c>
      <c r="G78" s="274">
        <f t="shared" si="8"/>
        <v>1350000</v>
      </c>
    </row>
    <row r="79" spans="1:7" ht="20.100000000000001" customHeight="1">
      <c r="A79" s="29"/>
      <c r="B79" s="141"/>
      <c r="C79" s="262"/>
      <c r="D79" s="30"/>
      <c r="E79" s="275"/>
      <c r="F79" s="275"/>
      <c r="G79" s="275"/>
    </row>
    <row r="80" spans="1:7" ht="20.100000000000001" customHeight="1">
      <c r="A80" s="29"/>
      <c r="B80" s="191" t="s">
        <v>462</v>
      </c>
      <c r="C80" s="262"/>
      <c r="D80" s="30"/>
      <c r="E80" s="275"/>
      <c r="F80" s="275"/>
      <c r="G80" s="275"/>
    </row>
    <row r="81" spans="1:7" ht="20.100000000000001" customHeight="1">
      <c r="A81" s="29">
        <v>1</v>
      </c>
      <c r="B81" s="188" t="s">
        <v>19</v>
      </c>
      <c r="C81" s="260" t="s">
        <v>201</v>
      </c>
      <c r="D81" s="29" t="s">
        <v>161</v>
      </c>
      <c r="E81" s="272">
        <v>1000000</v>
      </c>
      <c r="F81" s="24">
        <v>0</v>
      </c>
      <c r="G81" s="272">
        <v>1000000</v>
      </c>
    </row>
    <row r="82" spans="1:7" ht="20.100000000000001" customHeight="1">
      <c r="A82" s="29">
        <v>2</v>
      </c>
      <c r="B82" s="190" t="s">
        <v>325</v>
      </c>
      <c r="C82" s="260" t="s">
        <v>245</v>
      </c>
      <c r="D82" s="214" t="s">
        <v>272</v>
      </c>
      <c r="E82" s="272">
        <v>700000</v>
      </c>
      <c r="F82" s="24">
        <v>0</v>
      </c>
      <c r="G82" s="272">
        <v>700000</v>
      </c>
    </row>
    <row r="83" spans="1:7" ht="20.100000000000001" customHeight="1">
      <c r="A83" s="29">
        <v>3</v>
      </c>
      <c r="B83" s="190" t="s">
        <v>326</v>
      </c>
      <c r="C83" s="260" t="s">
        <v>327</v>
      </c>
      <c r="D83" s="214" t="s">
        <v>272</v>
      </c>
      <c r="E83" s="272">
        <f>700000/2</f>
        <v>350000</v>
      </c>
      <c r="F83" s="24">
        <v>0</v>
      </c>
      <c r="G83" s="272">
        <f t="shared" ref="G83" si="9">700000/2</f>
        <v>350000</v>
      </c>
    </row>
    <row r="84" spans="1:7" ht="20.100000000000001" customHeight="1">
      <c r="A84" s="29">
        <v>4</v>
      </c>
      <c r="B84" s="188" t="s">
        <v>26</v>
      </c>
      <c r="C84" s="260" t="s">
        <v>296</v>
      </c>
      <c r="D84" s="214" t="s">
        <v>163</v>
      </c>
      <c r="E84" s="272">
        <v>500000</v>
      </c>
      <c r="F84" s="272">
        <v>500000</v>
      </c>
      <c r="G84" s="24">
        <v>0</v>
      </c>
    </row>
    <row r="85" spans="1:7" ht="20.100000000000001" customHeight="1">
      <c r="A85" s="29">
        <v>5</v>
      </c>
      <c r="B85" s="188" t="s">
        <v>324</v>
      </c>
      <c r="C85" s="260" t="s">
        <v>243</v>
      </c>
      <c r="D85" s="29" t="s">
        <v>104</v>
      </c>
      <c r="E85" s="272">
        <v>300000</v>
      </c>
      <c r="F85" s="272">
        <v>300000</v>
      </c>
      <c r="G85" s="24">
        <v>0</v>
      </c>
    </row>
    <row r="86" spans="1:7" ht="20.100000000000001" customHeight="1">
      <c r="A86" s="29"/>
      <c r="B86" s="191" t="s">
        <v>15</v>
      </c>
      <c r="C86" s="262">
        <v>5</v>
      </c>
      <c r="D86" s="30"/>
      <c r="E86" s="274">
        <f>SUM(E81:E85)</f>
        <v>2850000</v>
      </c>
      <c r="F86" s="274">
        <f>SUM(F81:F85)</f>
        <v>800000</v>
      </c>
      <c r="G86" s="274">
        <f t="shared" ref="G86" si="10">SUM(G81:G85)</f>
        <v>2050000</v>
      </c>
    </row>
    <row r="87" spans="1:7" ht="20.100000000000001" customHeight="1">
      <c r="A87" s="29"/>
      <c r="B87" s="191"/>
      <c r="C87" s="262"/>
      <c r="D87" s="30"/>
      <c r="E87" s="272"/>
      <c r="F87" s="272"/>
      <c r="G87" s="272"/>
    </row>
    <row r="88" spans="1:7" ht="20.100000000000001" customHeight="1">
      <c r="A88" s="29"/>
      <c r="B88" s="191" t="s">
        <v>463</v>
      </c>
      <c r="C88" s="264"/>
      <c r="D88" s="30"/>
      <c r="E88" s="272"/>
      <c r="F88" s="272"/>
      <c r="G88" s="272"/>
    </row>
    <row r="89" spans="1:7" ht="20.100000000000001" customHeight="1">
      <c r="A89" s="29">
        <v>1</v>
      </c>
      <c r="B89" s="188" t="s">
        <v>244</v>
      </c>
      <c r="C89" s="260" t="s">
        <v>312</v>
      </c>
      <c r="D89" s="29" t="s">
        <v>221</v>
      </c>
      <c r="E89" s="272">
        <v>700000</v>
      </c>
      <c r="F89" s="24">
        <v>0</v>
      </c>
      <c r="G89" s="272">
        <v>700000</v>
      </c>
    </row>
    <row r="90" spans="1:7" ht="20.100000000000001" customHeight="1">
      <c r="A90" s="29">
        <v>2</v>
      </c>
      <c r="B90" s="188" t="s">
        <v>169</v>
      </c>
      <c r="C90" s="260" t="s">
        <v>258</v>
      </c>
      <c r="D90" s="29" t="s">
        <v>75</v>
      </c>
      <c r="E90" s="272">
        <v>700000</v>
      </c>
      <c r="F90" s="24">
        <v>0</v>
      </c>
      <c r="G90" s="272">
        <v>700000</v>
      </c>
    </row>
    <row r="91" spans="1:7" ht="20.100000000000001" customHeight="1">
      <c r="A91" s="29">
        <v>3</v>
      </c>
      <c r="B91" s="188" t="s">
        <v>192</v>
      </c>
      <c r="C91" s="260" t="s">
        <v>258</v>
      </c>
      <c r="D91" s="29" t="s">
        <v>75</v>
      </c>
      <c r="E91" s="272">
        <v>700000</v>
      </c>
      <c r="F91" s="24">
        <v>0</v>
      </c>
      <c r="G91" s="272">
        <v>700000</v>
      </c>
    </row>
    <row r="92" spans="1:7" ht="20.100000000000001" customHeight="1">
      <c r="A92" s="29">
        <v>4</v>
      </c>
      <c r="B92" s="190" t="s">
        <v>138</v>
      </c>
      <c r="C92" s="260" t="s">
        <v>297</v>
      </c>
      <c r="D92" s="29" t="s">
        <v>181</v>
      </c>
      <c r="E92" s="276">
        <v>500000</v>
      </c>
      <c r="F92" s="24">
        <v>0</v>
      </c>
      <c r="G92" s="276">
        <v>500000</v>
      </c>
    </row>
    <row r="93" spans="1:7" ht="20.100000000000001" customHeight="1">
      <c r="A93" s="29">
        <v>5</v>
      </c>
      <c r="B93" s="188" t="s">
        <v>202</v>
      </c>
      <c r="C93" s="260" t="s">
        <v>78</v>
      </c>
      <c r="D93" s="29" t="s">
        <v>162</v>
      </c>
      <c r="E93" s="276">
        <v>500000</v>
      </c>
      <c r="F93" s="24">
        <v>0</v>
      </c>
      <c r="G93" s="276">
        <v>500000</v>
      </c>
    </row>
    <row r="94" spans="1:7" ht="21.6" customHeight="1">
      <c r="A94" s="29">
        <v>6</v>
      </c>
      <c r="B94" s="188" t="s">
        <v>101</v>
      </c>
      <c r="C94" s="260" t="s">
        <v>80</v>
      </c>
      <c r="D94" s="214" t="s">
        <v>163</v>
      </c>
      <c r="E94" s="276">
        <v>500000</v>
      </c>
      <c r="F94" s="272">
        <v>500000</v>
      </c>
      <c r="G94" s="26">
        <v>0</v>
      </c>
    </row>
    <row r="95" spans="1:7" ht="21.6" customHeight="1">
      <c r="A95" s="29">
        <v>7</v>
      </c>
      <c r="B95" s="188" t="s">
        <v>336</v>
      </c>
      <c r="C95" s="259" t="s">
        <v>257</v>
      </c>
      <c r="D95" s="214" t="s">
        <v>149</v>
      </c>
      <c r="E95" s="276">
        <v>500000</v>
      </c>
      <c r="F95" s="272">
        <v>500000</v>
      </c>
      <c r="G95" s="26">
        <v>0</v>
      </c>
    </row>
    <row r="96" spans="1:7" ht="21.6" customHeight="1">
      <c r="A96" s="29">
        <v>8</v>
      </c>
      <c r="B96" s="188" t="s">
        <v>337</v>
      </c>
      <c r="C96" s="259" t="s">
        <v>257</v>
      </c>
      <c r="D96" s="214" t="s">
        <v>149</v>
      </c>
      <c r="E96" s="276">
        <f>500000/2</f>
        <v>250000</v>
      </c>
      <c r="F96" s="276">
        <f>500000/2</f>
        <v>250000</v>
      </c>
      <c r="G96" s="26">
        <v>0</v>
      </c>
    </row>
    <row r="97" spans="1:7" ht="21.6" customHeight="1">
      <c r="A97" s="29">
        <v>9</v>
      </c>
      <c r="B97" s="188" t="s">
        <v>421</v>
      </c>
      <c r="C97" s="261" t="s">
        <v>422</v>
      </c>
      <c r="D97" s="214" t="s">
        <v>369</v>
      </c>
      <c r="E97" s="272">
        <v>400000</v>
      </c>
      <c r="F97" s="272">
        <v>400000</v>
      </c>
      <c r="G97" s="26">
        <v>0</v>
      </c>
    </row>
    <row r="98" spans="1:7" ht="21.6" customHeight="1">
      <c r="A98" s="29">
        <v>10</v>
      </c>
      <c r="B98" s="188" t="s">
        <v>436</v>
      </c>
      <c r="C98" s="260" t="s">
        <v>470</v>
      </c>
      <c r="D98" s="29" t="s">
        <v>104</v>
      </c>
      <c r="E98" s="272">
        <v>300000</v>
      </c>
      <c r="F98" s="272">
        <v>300000</v>
      </c>
      <c r="G98" s="26">
        <v>0</v>
      </c>
    </row>
    <row r="99" spans="1:7" ht="21.6" customHeight="1">
      <c r="A99" s="29">
        <v>11</v>
      </c>
      <c r="B99" s="188" t="s">
        <v>406</v>
      </c>
      <c r="C99" s="261" t="s">
        <v>432</v>
      </c>
      <c r="D99" s="214" t="s">
        <v>105</v>
      </c>
      <c r="E99" s="272">
        <v>300000</v>
      </c>
      <c r="F99" s="272">
        <v>300000</v>
      </c>
      <c r="G99" s="26">
        <v>0</v>
      </c>
    </row>
    <row r="100" spans="1:7" ht="20.100000000000001" customHeight="1">
      <c r="A100" s="29"/>
      <c r="B100" s="191" t="s">
        <v>15</v>
      </c>
      <c r="C100" s="262">
        <v>10</v>
      </c>
      <c r="D100" s="30"/>
      <c r="E100" s="274">
        <f>SUM(E89:E99)</f>
        <v>5350000</v>
      </c>
      <c r="F100" s="274">
        <f t="shared" ref="F100:G100" si="11">SUM(F89:F99)</f>
        <v>2250000</v>
      </c>
      <c r="G100" s="274">
        <f t="shared" si="11"/>
        <v>3100000</v>
      </c>
    </row>
    <row r="101" spans="1:7" ht="20.100000000000001" customHeight="1">
      <c r="A101" s="29"/>
      <c r="B101" s="141"/>
      <c r="C101" s="262"/>
      <c r="D101" s="30"/>
      <c r="E101" s="275"/>
      <c r="F101" s="275"/>
      <c r="G101" s="275"/>
    </row>
    <row r="102" spans="1:7" ht="20.100000000000001" customHeight="1">
      <c r="A102" s="29"/>
      <c r="B102" s="191" t="s">
        <v>490</v>
      </c>
      <c r="C102" s="262"/>
      <c r="D102" s="30"/>
      <c r="E102" s="275"/>
      <c r="F102" s="275"/>
      <c r="G102" s="275"/>
    </row>
    <row r="103" spans="1:7" ht="20.100000000000001" customHeight="1">
      <c r="A103" s="29">
        <v>1</v>
      </c>
      <c r="B103" s="189" t="s">
        <v>364</v>
      </c>
      <c r="C103" s="265" t="s">
        <v>343</v>
      </c>
      <c r="D103" s="214" t="s">
        <v>221</v>
      </c>
      <c r="E103" s="272">
        <v>700000</v>
      </c>
      <c r="F103" s="24">
        <v>0</v>
      </c>
      <c r="G103" s="272">
        <v>700000</v>
      </c>
    </row>
    <row r="104" spans="1:7" ht="20.100000000000001" customHeight="1">
      <c r="A104" s="29">
        <v>2</v>
      </c>
      <c r="B104" s="188" t="s">
        <v>185</v>
      </c>
      <c r="C104" s="260" t="s">
        <v>373</v>
      </c>
      <c r="D104" s="29" t="s">
        <v>162</v>
      </c>
      <c r="E104" s="272">
        <v>500000</v>
      </c>
      <c r="F104" s="24">
        <v>0</v>
      </c>
      <c r="G104" s="272">
        <v>500000</v>
      </c>
    </row>
    <row r="105" spans="1:7" ht="20.100000000000001" customHeight="1">
      <c r="A105" s="29">
        <v>3</v>
      </c>
      <c r="B105" s="189" t="s">
        <v>366</v>
      </c>
      <c r="C105" s="260" t="s">
        <v>367</v>
      </c>
      <c r="D105" s="214" t="s">
        <v>149</v>
      </c>
      <c r="E105" s="272">
        <v>500000</v>
      </c>
      <c r="F105" s="272">
        <v>500000</v>
      </c>
      <c r="G105" s="24">
        <v>0</v>
      </c>
    </row>
    <row r="106" spans="1:7" ht="20.100000000000001" customHeight="1">
      <c r="A106" s="29">
        <v>4</v>
      </c>
      <c r="B106" s="188" t="s">
        <v>237</v>
      </c>
      <c r="C106" s="260" t="s">
        <v>483</v>
      </c>
      <c r="D106" s="214" t="s">
        <v>369</v>
      </c>
      <c r="E106" s="272">
        <v>400000</v>
      </c>
      <c r="F106" s="272">
        <v>400000</v>
      </c>
      <c r="G106" s="24">
        <v>0</v>
      </c>
    </row>
    <row r="107" spans="1:7" ht="20.100000000000001" customHeight="1">
      <c r="A107" s="21"/>
      <c r="B107" s="191" t="s">
        <v>15</v>
      </c>
      <c r="C107" s="262">
        <v>4</v>
      </c>
      <c r="D107" s="220"/>
      <c r="E107" s="274">
        <f>SUM(E103:E106)</f>
        <v>2100000</v>
      </c>
      <c r="F107" s="274">
        <f t="shared" ref="F107:G107" si="12">SUM(F103:F106)</f>
        <v>900000</v>
      </c>
      <c r="G107" s="274">
        <f t="shared" si="12"/>
        <v>1200000</v>
      </c>
    </row>
    <row r="108" spans="1:7" ht="20.100000000000001" customHeight="1">
      <c r="A108" s="21"/>
      <c r="B108" s="141"/>
      <c r="C108" s="262"/>
      <c r="D108" s="220"/>
      <c r="E108" s="275"/>
      <c r="F108" s="275"/>
      <c r="G108" s="275"/>
    </row>
    <row r="109" spans="1:7" ht="20.100000000000001" customHeight="1">
      <c r="A109" s="21"/>
      <c r="B109" s="191" t="s">
        <v>465</v>
      </c>
      <c r="C109" s="260"/>
      <c r="D109" s="21"/>
      <c r="E109" s="277"/>
      <c r="F109" s="277"/>
      <c r="G109" s="277"/>
    </row>
    <row r="110" spans="1:7" ht="20.100000000000001" customHeight="1">
      <c r="A110" s="21">
        <v>1</v>
      </c>
      <c r="B110" s="188" t="s">
        <v>216</v>
      </c>
      <c r="C110" s="259" t="s">
        <v>217</v>
      </c>
      <c r="D110" s="214" t="s">
        <v>161</v>
      </c>
      <c r="E110" s="272">
        <v>1000000</v>
      </c>
      <c r="F110" s="24">
        <v>0</v>
      </c>
      <c r="G110" s="272">
        <v>1000000</v>
      </c>
    </row>
    <row r="111" spans="1:7" ht="20.100000000000001" customHeight="1">
      <c r="A111" s="21">
        <v>2</v>
      </c>
      <c r="B111" s="188" t="s">
        <v>110</v>
      </c>
      <c r="C111" s="260" t="s">
        <v>259</v>
      </c>
      <c r="D111" s="25" t="s">
        <v>29</v>
      </c>
      <c r="E111" s="272">
        <v>700000</v>
      </c>
      <c r="F111" s="24">
        <v>0</v>
      </c>
      <c r="G111" s="272">
        <v>700000</v>
      </c>
    </row>
    <row r="112" spans="1:7" ht="20.100000000000001" customHeight="1">
      <c r="A112" s="21">
        <v>3</v>
      </c>
      <c r="B112" s="188" t="s">
        <v>109</v>
      </c>
      <c r="C112" s="260" t="s">
        <v>311</v>
      </c>
      <c r="D112" s="29" t="s">
        <v>175</v>
      </c>
      <c r="E112" s="272">
        <v>500000</v>
      </c>
      <c r="F112" s="272">
        <v>500000</v>
      </c>
      <c r="G112" s="24">
        <v>0</v>
      </c>
    </row>
    <row r="113" spans="1:7" ht="20.100000000000001" customHeight="1">
      <c r="A113" s="21">
        <v>4</v>
      </c>
      <c r="B113" s="188" t="s">
        <v>135</v>
      </c>
      <c r="C113" s="260" t="s">
        <v>311</v>
      </c>
      <c r="D113" s="29" t="s">
        <v>170</v>
      </c>
      <c r="E113" s="272">
        <v>500000</v>
      </c>
      <c r="F113" s="272">
        <v>500000</v>
      </c>
      <c r="G113" s="24">
        <v>0</v>
      </c>
    </row>
    <row r="114" spans="1:7" ht="20.100000000000001" customHeight="1">
      <c r="A114" s="21">
        <v>5</v>
      </c>
      <c r="B114" s="188" t="s">
        <v>240</v>
      </c>
      <c r="C114" s="260" t="s">
        <v>338</v>
      </c>
      <c r="D114" s="214" t="s">
        <v>267</v>
      </c>
      <c r="E114" s="272">
        <v>300000</v>
      </c>
      <c r="F114" s="272">
        <v>300000</v>
      </c>
      <c r="G114" s="24">
        <v>0</v>
      </c>
    </row>
    <row r="115" spans="1:7" ht="20.100000000000001" customHeight="1">
      <c r="A115" s="21">
        <v>6</v>
      </c>
      <c r="B115" s="189" t="s">
        <v>341</v>
      </c>
      <c r="C115" s="260" t="s">
        <v>338</v>
      </c>
      <c r="D115" s="29" t="s">
        <v>51</v>
      </c>
      <c r="E115" s="272">
        <v>300000</v>
      </c>
      <c r="F115" s="272">
        <v>300000</v>
      </c>
      <c r="G115" s="24">
        <v>0</v>
      </c>
    </row>
    <row r="116" spans="1:7" ht="20.100000000000001" customHeight="1">
      <c r="A116" s="21">
        <v>7</v>
      </c>
      <c r="B116" s="189" t="s">
        <v>374</v>
      </c>
      <c r="C116" s="260" t="s">
        <v>338</v>
      </c>
      <c r="D116" s="214" t="s">
        <v>105</v>
      </c>
      <c r="E116" s="272">
        <v>300000</v>
      </c>
      <c r="F116" s="272">
        <v>300000</v>
      </c>
      <c r="G116" s="24">
        <v>0</v>
      </c>
    </row>
    <row r="117" spans="1:7" ht="20.100000000000001" customHeight="1">
      <c r="A117" s="21"/>
      <c r="B117" s="191" t="s">
        <v>15</v>
      </c>
      <c r="C117" s="262">
        <v>7</v>
      </c>
      <c r="D117" s="21"/>
      <c r="E117" s="278">
        <f>SUM(E110:E116)</f>
        <v>3600000</v>
      </c>
      <c r="F117" s="278">
        <f t="shared" ref="F117:G117" si="13">SUM(F110:F116)</f>
        <v>1900000</v>
      </c>
      <c r="G117" s="278">
        <f t="shared" si="13"/>
        <v>1700000</v>
      </c>
    </row>
    <row r="118" spans="1:7" ht="20.100000000000001" customHeight="1">
      <c r="A118" s="21"/>
      <c r="B118" s="141"/>
      <c r="C118" s="265"/>
      <c r="D118" s="21"/>
      <c r="E118" s="279"/>
      <c r="F118" s="279"/>
      <c r="G118" s="279"/>
    </row>
    <row r="119" spans="1:7" ht="20.100000000000001" customHeight="1">
      <c r="A119" s="21"/>
      <c r="B119" s="191" t="s">
        <v>466</v>
      </c>
      <c r="C119" s="262"/>
      <c r="D119" s="30"/>
      <c r="E119" s="272"/>
      <c r="F119" s="272"/>
      <c r="G119" s="272"/>
    </row>
    <row r="120" spans="1:7" ht="20.100000000000001" customHeight="1">
      <c r="A120" s="21">
        <v>1</v>
      </c>
      <c r="B120" s="188" t="s">
        <v>20</v>
      </c>
      <c r="C120" s="259" t="s">
        <v>250</v>
      </c>
      <c r="D120" s="214" t="s">
        <v>161</v>
      </c>
      <c r="E120" s="272">
        <v>1000000</v>
      </c>
      <c r="F120" s="24">
        <v>0</v>
      </c>
      <c r="G120" s="272">
        <v>1000000</v>
      </c>
    </row>
    <row r="121" spans="1:7" ht="20.100000000000001" customHeight="1">
      <c r="A121" s="21">
        <v>2</v>
      </c>
      <c r="B121" s="188" t="s">
        <v>100</v>
      </c>
      <c r="C121" s="259" t="s">
        <v>268</v>
      </c>
      <c r="D121" s="214" t="s">
        <v>160</v>
      </c>
      <c r="E121" s="272">
        <v>700000</v>
      </c>
      <c r="F121" s="24">
        <v>0</v>
      </c>
      <c r="G121" s="272">
        <v>700000</v>
      </c>
    </row>
    <row r="122" spans="1:7" ht="20.100000000000001" customHeight="1">
      <c r="A122" s="21">
        <v>3</v>
      </c>
      <c r="B122" s="188" t="s">
        <v>153</v>
      </c>
      <c r="C122" s="259" t="s">
        <v>376</v>
      </c>
      <c r="D122" s="214" t="s">
        <v>75</v>
      </c>
      <c r="E122" s="272">
        <v>700000</v>
      </c>
      <c r="F122" s="24">
        <v>0</v>
      </c>
      <c r="G122" s="272">
        <v>700000</v>
      </c>
    </row>
    <row r="123" spans="1:7" ht="20.100000000000001" customHeight="1">
      <c r="A123" s="21">
        <v>4</v>
      </c>
      <c r="B123" s="190" t="s">
        <v>142</v>
      </c>
      <c r="C123" s="259" t="s">
        <v>376</v>
      </c>
      <c r="D123" s="214" t="s">
        <v>75</v>
      </c>
      <c r="E123" s="272">
        <v>700000</v>
      </c>
      <c r="F123" s="24">
        <v>0</v>
      </c>
      <c r="G123" s="272">
        <v>700000</v>
      </c>
    </row>
    <row r="124" spans="1:7" ht="20.100000000000001" customHeight="1">
      <c r="A124" s="21">
        <v>5</v>
      </c>
      <c r="B124" s="190" t="s">
        <v>363</v>
      </c>
      <c r="C124" s="259" t="s">
        <v>376</v>
      </c>
      <c r="D124" s="214" t="s">
        <v>30</v>
      </c>
      <c r="E124" s="272">
        <v>700000</v>
      </c>
      <c r="F124" s="24">
        <v>0</v>
      </c>
      <c r="G124" s="272">
        <v>700000</v>
      </c>
    </row>
    <row r="125" spans="1:7" ht="20.100000000000001" customHeight="1">
      <c r="A125" s="21">
        <v>6</v>
      </c>
      <c r="B125" s="188" t="s">
        <v>108</v>
      </c>
      <c r="C125" s="259" t="s">
        <v>476</v>
      </c>
      <c r="D125" s="214" t="s">
        <v>222</v>
      </c>
      <c r="E125" s="272">
        <v>500000</v>
      </c>
      <c r="F125" s="24">
        <v>0</v>
      </c>
      <c r="G125" s="272">
        <v>500000</v>
      </c>
    </row>
    <row r="126" spans="1:7" ht="20.100000000000001" customHeight="1">
      <c r="A126" s="21">
        <v>7</v>
      </c>
      <c r="B126" s="188" t="s">
        <v>178</v>
      </c>
      <c r="C126" s="259" t="s">
        <v>382</v>
      </c>
      <c r="D126" s="214" t="s">
        <v>163</v>
      </c>
      <c r="E126" s="272">
        <v>500000</v>
      </c>
      <c r="F126" s="272">
        <v>500000</v>
      </c>
      <c r="G126" s="24">
        <v>0</v>
      </c>
    </row>
    <row r="127" spans="1:7" ht="20.100000000000001" customHeight="1">
      <c r="A127" s="21">
        <v>8</v>
      </c>
      <c r="B127" s="188" t="s">
        <v>134</v>
      </c>
      <c r="C127" s="259" t="s">
        <v>384</v>
      </c>
      <c r="D127" s="214" t="s">
        <v>163</v>
      </c>
      <c r="E127" s="272">
        <v>500000</v>
      </c>
      <c r="F127" s="272">
        <v>500000</v>
      </c>
      <c r="G127" s="24">
        <v>0</v>
      </c>
    </row>
    <row r="128" spans="1:7" ht="20.100000000000001" customHeight="1">
      <c r="A128" s="21">
        <v>9</v>
      </c>
      <c r="B128" s="189" t="s">
        <v>365</v>
      </c>
      <c r="C128" s="259" t="s">
        <v>383</v>
      </c>
      <c r="D128" s="214" t="s">
        <v>413</v>
      </c>
      <c r="E128" s="272">
        <v>500000</v>
      </c>
      <c r="F128" s="272">
        <v>500000</v>
      </c>
      <c r="G128" s="24">
        <v>0</v>
      </c>
    </row>
    <row r="129" spans="1:7" ht="20.100000000000001" customHeight="1">
      <c r="A129" s="21">
        <v>10</v>
      </c>
      <c r="B129" s="188" t="s">
        <v>443</v>
      </c>
      <c r="C129" s="259" t="s">
        <v>447</v>
      </c>
      <c r="D129" s="29" t="s">
        <v>428</v>
      </c>
      <c r="E129" s="272">
        <v>300000</v>
      </c>
      <c r="F129" s="272">
        <v>300000</v>
      </c>
      <c r="G129" s="24">
        <v>0</v>
      </c>
    </row>
    <row r="130" spans="1:7" ht="20.100000000000001" customHeight="1">
      <c r="A130" s="21">
        <v>11</v>
      </c>
      <c r="B130" s="189" t="s">
        <v>439</v>
      </c>
      <c r="C130" s="259" t="s">
        <v>440</v>
      </c>
      <c r="D130" s="214" t="s">
        <v>105</v>
      </c>
      <c r="E130" s="272">
        <v>300000</v>
      </c>
      <c r="F130" s="272">
        <v>300000</v>
      </c>
      <c r="G130" s="24">
        <v>0</v>
      </c>
    </row>
    <row r="131" spans="1:7" ht="20.100000000000001" customHeight="1">
      <c r="A131" s="21"/>
      <c r="B131" s="191" t="s">
        <v>15</v>
      </c>
      <c r="C131" s="266" t="s">
        <v>292</v>
      </c>
      <c r="D131" s="214"/>
      <c r="E131" s="280">
        <f>SUM(E120:E130)</f>
        <v>6400000</v>
      </c>
      <c r="F131" s="280">
        <f t="shared" ref="F131:G131" si="14">SUM(F120:F130)</f>
        <v>2100000</v>
      </c>
      <c r="G131" s="280">
        <f t="shared" si="14"/>
        <v>4300000</v>
      </c>
    </row>
    <row r="132" spans="1:7" ht="20.100000000000001" customHeight="1">
      <c r="A132" s="21"/>
      <c r="B132" s="141"/>
      <c r="C132" s="266"/>
      <c r="D132" s="214"/>
      <c r="E132" s="281"/>
      <c r="F132" s="281"/>
      <c r="G132" s="281"/>
    </row>
    <row r="133" spans="1:7" ht="20.100000000000001" customHeight="1">
      <c r="A133" s="21"/>
      <c r="B133" s="191" t="s">
        <v>467</v>
      </c>
      <c r="C133" s="259"/>
      <c r="D133" s="214"/>
      <c r="E133" s="272"/>
      <c r="F133" s="272"/>
      <c r="G133" s="272"/>
    </row>
    <row r="134" spans="1:7" ht="20.100000000000001" customHeight="1">
      <c r="A134" s="224">
        <v>1</v>
      </c>
      <c r="B134" s="188" t="s">
        <v>21</v>
      </c>
      <c r="C134" s="259" t="s">
        <v>491</v>
      </c>
      <c r="D134" s="214" t="s">
        <v>161</v>
      </c>
      <c r="E134" s="272">
        <f>1000000/2</f>
        <v>500000</v>
      </c>
      <c r="F134" s="24">
        <v>0</v>
      </c>
      <c r="G134" s="272">
        <f t="shared" ref="G134" si="15">1000000/2</f>
        <v>500000</v>
      </c>
    </row>
    <row r="135" spans="1:7" ht="20.100000000000001" customHeight="1">
      <c r="A135" s="224">
        <v>2</v>
      </c>
      <c r="B135" s="188" t="s">
        <v>107</v>
      </c>
      <c r="C135" s="259" t="s">
        <v>394</v>
      </c>
      <c r="D135" s="214" t="s">
        <v>160</v>
      </c>
      <c r="E135" s="272">
        <f>700000/2</f>
        <v>350000</v>
      </c>
      <c r="F135" s="24">
        <v>0</v>
      </c>
      <c r="G135" s="272">
        <f t="shared" ref="G135" si="16">700000/2</f>
        <v>350000</v>
      </c>
    </row>
    <row r="136" spans="1:7" ht="20.100000000000001" customHeight="1">
      <c r="A136" s="224">
        <v>3</v>
      </c>
      <c r="B136" s="190" t="s">
        <v>183</v>
      </c>
      <c r="C136" s="260" t="s">
        <v>486</v>
      </c>
      <c r="D136" s="25" t="s">
        <v>29</v>
      </c>
      <c r="E136" s="272">
        <v>700000</v>
      </c>
      <c r="F136" s="24">
        <v>0</v>
      </c>
      <c r="G136" s="272">
        <v>700000</v>
      </c>
    </row>
    <row r="137" spans="1:7" ht="20.100000000000001" customHeight="1">
      <c r="A137" s="224">
        <v>4</v>
      </c>
      <c r="B137" s="188" t="s">
        <v>106</v>
      </c>
      <c r="C137" s="259" t="s">
        <v>381</v>
      </c>
      <c r="D137" s="214" t="s">
        <v>162</v>
      </c>
      <c r="E137" s="272">
        <v>500000</v>
      </c>
      <c r="F137" s="24">
        <v>0</v>
      </c>
      <c r="G137" s="272">
        <v>500000</v>
      </c>
    </row>
    <row r="138" spans="1:7" ht="20.100000000000001" customHeight="1">
      <c r="A138" s="224">
        <v>5</v>
      </c>
      <c r="B138" s="188" t="s">
        <v>7</v>
      </c>
      <c r="C138" s="260" t="s">
        <v>385</v>
      </c>
      <c r="D138" s="214" t="s">
        <v>162</v>
      </c>
      <c r="E138" s="272">
        <v>500000</v>
      </c>
      <c r="F138" s="24">
        <v>0</v>
      </c>
      <c r="G138" s="272">
        <v>500000</v>
      </c>
    </row>
    <row r="139" spans="1:7" ht="20.100000000000001" customHeight="1">
      <c r="A139" s="224">
        <v>6</v>
      </c>
      <c r="B139" s="188" t="s">
        <v>124</v>
      </c>
      <c r="C139" s="260" t="s">
        <v>235</v>
      </c>
      <c r="D139" s="214" t="s">
        <v>163</v>
      </c>
      <c r="E139" s="272">
        <v>500000</v>
      </c>
      <c r="F139" s="272">
        <v>500000</v>
      </c>
      <c r="G139" s="24">
        <v>0</v>
      </c>
    </row>
    <row r="140" spans="1:7" ht="20.100000000000001" customHeight="1">
      <c r="A140" s="224">
        <v>7</v>
      </c>
      <c r="B140" s="188" t="s">
        <v>102</v>
      </c>
      <c r="C140" s="259" t="s">
        <v>395</v>
      </c>
      <c r="D140" s="214" t="s">
        <v>415</v>
      </c>
      <c r="E140" s="272">
        <v>400000</v>
      </c>
      <c r="F140" s="272">
        <v>400000</v>
      </c>
      <c r="G140" s="24">
        <v>0</v>
      </c>
    </row>
    <row r="141" spans="1:7" ht="20.100000000000001" customHeight="1">
      <c r="A141" s="224">
        <v>8</v>
      </c>
      <c r="B141" s="188" t="s">
        <v>103</v>
      </c>
      <c r="C141" s="259" t="s">
        <v>395</v>
      </c>
      <c r="D141" s="214" t="s">
        <v>415</v>
      </c>
      <c r="E141" s="272">
        <v>400000</v>
      </c>
      <c r="F141" s="272">
        <v>400000</v>
      </c>
      <c r="G141" s="24">
        <v>0</v>
      </c>
    </row>
    <row r="142" spans="1:7" ht="20.100000000000001" customHeight="1">
      <c r="A142" s="224">
        <v>9</v>
      </c>
      <c r="B142" s="188" t="s">
        <v>151</v>
      </c>
      <c r="C142" s="260" t="s">
        <v>235</v>
      </c>
      <c r="D142" s="214" t="s">
        <v>415</v>
      </c>
      <c r="E142" s="272">
        <v>400000</v>
      </c>
      <c r="F142" s="272">
        <v>400000</v>
      </c>
      <c r="G142" s="24">
        <v>0</v>
      </c>
    </row>
    <row r="143" spans="1:7" ht="20.100000000000001" customHeight="1">
      <c r="A143" s="224">
        <v>10</v>
      </c>
      <c r="B143" s="188" t="s">
        <v>238</v>
      </c>
      <c r="C143" s="259" t="s">
        <v>479</v>
      </c>
      <c r="D143" s="214" t="s">
        <v>369</v>
      </c>
      <c r="E143" s="272">
        <v>400000</v>
      </c>
      <c r="F143" s="272">
        <v>400000</v>
      </c>
      <c r="G143" s="24">
        <v>0</v>
      </c>
    </row>
    <row r="144" spans="1:7" ht="20.100000000000001" customHeight="1">
      <c r="A144" s="224">
        <v>11</v>
      </c>
      <c r="B144" s="188" t="s">
        <v>53</v>
      </c>
      <c r="C144" s="259" t="s">
        <v>300</v>
      </c>
      <c r="D144" s="214" t="s">
        <v>164</v>
      </c>
      <c r="E144" s="272">
        <v>300000</v>
      </c>
      <c r="F144" s="272">
        <v>300000</v>
      </c>
      <c r="G144" s="24">
        <v>0</v>
      </c>
    </row>
    <row r="145" spans="1:7" ht="20.100000000000001" customHeight="1">
      <c r="A145" s="224">
        <v>12</v>
      </c>
      <c r="B145" s="188" t="s">
        <v>179</v>
      </c>
      <c r="C145" s="259" t="s">
        <v>479</v>
      </c>
      <c r="D145" s="214" t="s">
        <v>369</v>
      </c>
      <c r="E145" s="272">
        <v>400000</v>
      </c>
      <c r="F145" s="272">
        <v>400000</v>
      </c>
      <c r="G145" s="24">
        <v>0</v>
      </c>
    </row>
    <row r="146" spans="1:7" ht="20.100000000000001" customHeight="1">
      <c r="A146" s="224">
        <v>13</v>
      </c>
      <c r="B146" s="188" t="s">
        <v>488</v>
      </c>
      <c r="C146" s="260" t="s">
        <v>239</v>
      </c>
      <c r="D146" s="214" t="s">
        <v>207</v>
      </c>
      <c r="E146" s="272">
        <v>300000</v>
      </c>
      <c r="F146" s="272">
        <v>300000</v>
      </c>
      <c r="G146" s="24">
        <v>0</v>
      </c>
    </row>
    <row r="147" spans="1:7" ht="20.100000000000001" customHeight="1">
      <c r="A147" s="224">
        <v>14</v>
      </c>
      <c r="B147" s="188" t="s">
        <v>489</v>
      </c>
      <c r="C147" s="260" t="s">
        <v>239</v>
      </c>
      <c r="D147" s="214" t="s">
        <v>207</v>
      </c>
      <c r="E147" s="272">
        <v>300000</v>
      </c>
      <c r="F147" s="272">
        <v>300000</v>
      </c>
      <c r="G147" s="24">
        <v>0</v>
      </c>
    </row>
    <row r="148" spans="1:7" ht="20.100000000000001" customHeight="1">
      <c r="A148" s="224">
        <v>15</v>
      </c>
      <c r="B148" s="188" t="s">
        <v>212</v>
      </c>
      <c r="C148" s="260" t="s">
        <v>239</v>
      </c>
      <c r="D148" s="214" t="s">
        <v>207</v>
      </c>
      <c r="E148" s="272">
        <v>300000</v>
      </c>
      <c r="F148" s="272">
        <v>300000</v>
      </c>
      <c r="G148" s="24">
        <v>0</v>
      </c>
    </row>
    <row r="149" spans="1:7" ht="20.100000000000001" customHeight="1">
      <c r="A149" s="224">
        <v>16</v>
      </c>
      <c r="B149" s="188" t="s">
        <v>425</v>
      </c>
      <c r="C149" s="259" t="s">
        <v>430</v>
      </c>
      <c r="D149" s="214" t="s">
        <v>104</v>
      </c>
      <c r="E149" s="272">
        <v>300000</v>
      </c>
      <c r="F149" s="272">
        <v>300000</v>
      </c>
      <c r="G149" s="24">
        <v>0</v>
      </c>
    </row>
    <row r="150" spans="1:7" ht="20.100000000000001" customHeight="1">
      <c r="A150" s="224">
        <v>17</v>
      </c>
      <c r="B150" s="188" t="s">
        <v>437</v>
      </c>
      <c r="C150" s="259" t="s">
        <v>438</v>
      </c>
      <c r="D150" s="29" t="s">
        <v>428</v>
      </c>
      <c r="E150" s="272">
        <v>300000</v>
      </c>
      <c r="F150" s="272">
        <v>300000</v>
      </c>
      <c r="G150" s="24">
        <v>0</v>
      </c>
    </row>
    <row r="151" spans="1:7" ht="20.100000000000001" customHeight="1">
      <c r="A151" s="224">
        <v>18</v>
      </c>
      <c r="B151" s="188" t="s">
        <v>230</v>
      </c>
      <c r="C151" s="259" t="s">
        <v>485</v>
      </c>
      <c r="D151" s="214" t="s">
        <v>104</v>
      </c>
      <c r="E151" s="272">
        <v>300000</v>
      </c>
      <c r="F151" s="272">
        <v>300000</v>
      </c>
      <c r="G151" s="24">
        <v>0</v>
      </c>
    </row>
    <row r="152" spans="1:7" ht="20.100000000000001" customHeight="1">
      <c r="A152" s="224">
        <v>19</v>
      </c>
      <c r="B152" s="188" t="s">
        <v>57</v>
      </c>
      <c r="C152" s="259" t="s">
        <v>481</v>
      </c>
      <c r="D152" s="214" t="s">
        <v>428</v>
      </c>
      <c r="E152" s="272">
        <v>300000</v>
      </c>
      <c r="F152" s="272">
        <v>300000</v>
      </c>
      <c r="G152" s="24">
        <v>0</v>
      </c>
    </row>
    <row r="153" spans="1:7" ht="20.100000000000001" customHeight="1">
      <c r="A153" s="224">
        <v>20</v>
      </c>
      <c r="B153" s="188" t="s">
        <v>251</v>
      </c>
      <c r="C153" s="259" t="s">
        <v>482</v>
      </c>
      <c r="D153" s="214" t="s">
        <v>104</v>
      </c>
      <c r="E153" s="272">
        <v>300000</v>
      </c>
      <c r="F153" s="272">
        <v>300000</v>
      </c>
      <c r="G153" s="24">
        <v>0</v>
      </c>
    </row>
    <row r="154" spans="1:7" ht="20.100000000000001" customHeight="1">
      <c r="A154" s="224">
        <v>21</v>
      </c>
      <c r="B154" s="188" t="s">
        <v>241</v>
      </c>
      <c r="C154" s="259" t="s">
        <v>348</v>
      </c>
      <c r="D154" s="214" t="s">
        <v>428</v>
      </c>
      <c r="E154" s="272">
        <v>300000</v>
      </c>
      <c r="F154" s="272">
        <v>300000</v>
      </c>
      <c r="G154" s="24">
        <v>0</v>
      </c>
    </row>
    <row r="155" spans="1:7" ht="20.100000000000001" customHeight="1">
      <c r="A155" s="224">
        <v>22</v>
      </c>
      <c r="B155" s="189" t="s">
        <v>289</v>
      </c>
      <c r="C155" s="259" t="s">
        <v>290</v>
      </c>
      <c r="D155" s="214" t="s">
        <v>295</v>
      </c>
      <c r="E155" s="272">
        <v>300000</v>
      </c>
      <c r="F155" s="272">
        <v>300000</v>
      </c>
      <c r="G155" s="24">
        <v>0</v>
      </c>
    </row>
    <row r="156" spans="1:7" ht="20.100000000000001" customHeight="1">
      <c r="A156" s="224">
        <v>23</v>
      </c>
      <c r="B156" s="189" t="s">
        <v>359</v>
      </c>
      <c r="C156" s="259" t="s">
        <v>131</v>
      </c>
      <c r="D156" s="214" t="s">
        <v>105</v>
      </c>
      <c r="E156" s="272">
        <v>300000</v>
      </c>
      <c r="F156" s="272">
        <v>300000</v>
      </c>
      <c r="G156" s="24">
        <v>0</v>
      </c>
    </row>
    <row r="157" spans="1:7" ht="20.100000000000001" customHeight="1">
      <c r="A157" s="224">
        <v>24</v>
      </c>
      <c r="B157" s="189" t="s">
        <v>407</v>
      </c>
      <c r="C157" s="259" t="s">
        <v>131</v>
      </c>
      <c r="D157" s="214" t="s">
        <v>105</v>
      </c>
      <c r="E157" s="272">
        <v>300000</v>
      </c>
      <c r="F157" s="272">
        <v>300000</v>
      </c>
      <c r="G157" s="24">
        <v>0</v>
      </c>
    </row>
    <row r="158" spans="1:7" ht="20.100000000000001" customHeight="1">
      <c r="A158" s="224">
        <v>25</v>
      </c>
      <c r="B158" s="189" t="s">
        <v>426</v>
      </c>
      <c r="C158" s="259" t="s">
        <v>290</v>
      </c>
      <c r="D158" s="214" t="s">
        <v>105</v>
      </c>
      <c r="E158" s="272">
        <v>300000</v>
      </c>
      <c r="F158" s="272">
        <v>300000</v>
      </c>
      <c r="G158" s="24">
        <v>0</v>
      </c>
    </row>
    <row r="159" spans="1:7" ht="20.100000000000001" customHeight="1">
      <c r="A159" s="224">
        <v>26</v>
      </c>
      <c r="B159" s="189" t="s">
        <v>441</v>
      </c>
      <c r="C159" s="259" t="s">
        <v>442</v>
      </c>
      <c r="D159" s="214" t="s">
        <v>105</v>
      </c>
      <c r="E159" s="272">
        <v>300000</v>
      </c>
      <c r="F159" s="272">
        <v>300000</v>
      </c>
      <c r="G159" s="24">
        <v>0</v>
      </c>
    </row>
    <row r="160" spans="1:7" ht="20.100000000000001" customHeight="1">
      <c r="A160" s="224">
        <v>27</v>
      </c>
      <c r="B160" s="189" t="s">
        <v>445</v>
      </c>
      <c r="C160" s="259" t="s">
        <v>446</v>
      </c>
      <c r="D160" s="214" t="s">
        <v>105</v>
      </c>
      <c r="E160" s="272">
        <v>300000</v>
      </c>
      <c r="F160" s="272">
        <v>300000</v>
      </c>
      <c r="G160" s="24">
        <v>0</v>
      </c>
    </row>
    <row r="161" spans="1:7" ht="20.100000000000001" customHeight="1">
      <c r="A161" s="224">
        <v>28</v>
      </c>
      <c r="B161" s="188" t="s">
        <v>22</v>
      </c>
      <c r="C161" s="259" t="s">
        <v>302</v>
      </c>
      <c r="D161" s="214" t="s">
        <v>416</v>
      </c>
      <c r="E161" s="272">
        <v>100000</v>
      </c>
      <c r="F161" s="272">
        <v>100000</v>
      </c>
      <c r="G161" s="24">
        <v>0</v>
      </c>
    </row>
    <row r="162" spans="1:7" ht="20.100000000000001" customHeight="1">
      <c r="A162" s="224">
        <v>29</v>
      </c>
      <c r="B162" s="188" t="s">
        <v>14</v>
      </c>
      <c r="C162" s="259" t="s">
        <v>302</v>
      </c>
      <c r="D162" s="214" t="s">
        <v>416</v>
      </c>
      <c r="E162" s="272">
        <v>100000</v>
      </c>
      <c r="F162" s="272">
        <v>100000</v>
      </c>
      <c r="G162" s="24">
        <v>0</v>
      </c>
    </row>
    <row r="163" spans="1:7" ht="20.100000000000001" customHeight="1">
      <c r="A163" s="224">
        <v>30</v>
      </c>
      <c r="B163" s="188" t="s">
        <v>23</v>
      </c>
      <c r="C163" s="259" t="s">
        <v>302</v>
      </c>
      <c r="D163" s="214" t="s">
        <v>416</v>
      </c>
      <c r="E163" s="272">
        <v>100000</v>
      </c>
      <c r="F163" s="272">
        <v>100000</v>
      </c>
      <c r="G163" s="24">
        <v>0</v>
      </c>
    </row>
    <row r="164" spans="1:7" ht="20.100000000000001" customHeight="1">
      <c r="A164" s="224">
        <v>31</v>
      </c>
      <c r="B164" s="188" t="s">
        <v>24</v>
      </c>
      <c r="C164" s="259" t="s">
        <v>302</v>
      </c>
      <c r="D164" s="214" t="s">
        <v>416</v>
      </c>
      <c r="E164" s="272">
        <v>100000</v>
      </c>
      <c r="F164" s="272">
        <v>100000</v>
      </c>
      <c r="G164" s="24">
        <v>0</v>
      </c>
    </row>
    <row r="165" spans="1:7" ht="20.100000000000001" customHeight="1">
      <c r="A165" s="224">
        <v>32</v>
      </c>
      <c r="B165" s="188" t="s">
        <v>25</v>
      </c>
      <c r="C165" s="259" t="s">
        <v>302</v>
      </c>
      <c r="D165" s="214" t="s">
        <v>416</v>
      </c>
      <c r="E165" s="272">
        <v>100000</v>
      </c>
      <c r="F165" s="272">
        <v>100000</v>
      </c>
      <c r="G165" s="24">
        <v>0</v>
      </c>
    </row>
    <row r="166" spans="1:7" ht="20.100000000000001" customHeight="1">
      <c r="A166" s="224">
        <v>33</v>
      </c>
      <c r="B166" s="188" t="s">
        <v>39</v>
      </c>
      <c r="C166" s="259" t="s">
        <v>302</v>
      </c>
      <c r="D166" s="214" t="s">
        <v>416</v>
      </c>
      <c r="E166" s="272">
        <v>100000</v>
      </c>
      <c r="F166" s="272">
        <v>100000</v>
      </c>
      <c r="G166" s="24">
        <v>0</v>
      </c>
    </row>
    <row r="167" spans="1:7" ht="20.100000000000001" customHeight="1">
      <c r="A167" s="224">
        <v>34</v>
      </c>
      <c r="B167" s="188" t="s">
        <v>40</v>
      </c>
      <c r="C167" s="259" t="s">
        <v>302</v>
      </c>
      <c r="D167" s="214" t="s">
        <v>416</v>
      </c>
      <c r="E167" s="272">
        <v>100000</v>
      </c>
      <c r="F167" s="272">
        <v>100000</v>
      </c>
      <c r="G167" s="24">
        <v>0</v>
      </c>
    </row>
    <row r="168" spans="1:7" ht="20.100000000000001" customHeight="1">
      <c r="A168" s="224">
        <v>35</v>
      </c>
      <c r="B168" s="188" t="s">
        <v>127</v>
      </c>
      <c r="C168" s="259" t="s">
        <v>302</v>
      </c>
      <c r="D168" s="214" t="s">
        <v>306</v>
      </c>
      <c r="E168" s="272">
        <v>100000</v>
      </c>
      <c r="F168" s="272">
        <v>100000</v>
      </c>
      <c r="G168" s="24">
        <v>0</v>
      </c>
    </row>
    <row r="169" spans="1:7" ht="20.100000000000001" customHeight="1">
      <c r="A169" s="224">
        <v>36</v>
      </c>
      <c r="B169" s="188" t="s">
        <v>128</v>
      </c>
      <c r="C169" s="259" t="s">
        <v>302</v>
      </c>
      <c r="D169" s="214" t="s">
        <v>306</v>
      </c>
      <c r="E169" s="272">
        <v>100000</v>
      </c>
      <c r="F169" s="272">
        <v>100000</v>
      </c>
      <c r="G169" s="24">
        <v>0</v>
      </c>
    </row>
    <row r="170" spans="1:7" ht="20.100000000000001" customHeight="1">
      <c r="A170" s="224">
        <v>37</v>
      </c>
      <c r="B170" s="188" t="s">
        <v>129</v>
      </c>
      <c r="C170" s="259" t="s">
        <v>302</v>
      </c>
      <c r="D170" s="214" t="s">
        <v>306</v>
      </c>
      <c r="E170" s="272">
        <v>100000</v>
      </c>
      <c r="F170" s="272">
        <v>100000</v>
      </c>
      <c r="G170" s="24">
        <v>0</v>
      </c>
    </row>
    <row r="171" spans="1:7" ht="20.100000000000001" customHeight="1">
      <c r="A171" s="224">
        <v>38</v>
      </c>
      <c r="B171" s="190" t="s">
        <v>136</v>
      </c>
      <c r="C171" s="259" t="s">
        <v>302</v>
      </c>
      <c r="D171" s="214" t="s">
        <v>306</v>
      </c>
      <c r="E171" s="272">
        <v>100000</v>
      </c>
      <c r="F171" s="272">
        <v>100000</v>
      </c>
      <c r="G171" s="24">
        <v>0</v>
      </c>
    </row>
    <row r="172" spans="1:7" ht="20.100000000000001" customHeight="1">
      <c r="A172" s="224">
        <v>39</v>
      </c>
      <c r="B172" s="188" t="s">
        <v>140</v>
      </c>
      <c r="C172" s="259" t="s">
        <v>302</v>
      </c>
      <c r="D172" s="214" t="s">
        <v>306</v>
      </c>
      <c r="E172" s="272">
        <v>100000</v>
      </c>
      <c r="F172" s="272">
        <v>100000</v>
      </c>
      <c r="G172" s="24">
        <v>0</v>
      </c>
    </row>
    <row r="173" spans="1:7" ht="20.100000000000001" customHeight="1">
      <c r="A173" s="224">
        <v>40</v>
      </c>
      <c r="B173" s="189" t="s">
        <v>152</v>
      </c>
      <c r="C173" s="259" t="s">
        <v>302</v>
      </c>
      <c r="D173" s="214" t="s">
        <v>306</v>
      </c>
      <c r="E173" s="272">
        <v>100000</v>
      </c>
      <c r="F173" s="272">
        <v>100000</v>
      </c>
      <c r="G173" s="24">
        <v>0</v>
      </c>
    </row>
    <row r="174" spans="1:7" ht="20.100000000000001" customHeight="1">
      <c r="A174" s="224">
        <v>41</v>
      </c>
      <c r="B174" s="189" t="s">
        <v>132</v>
      </c>
      <c r="C174" s="259" t="s">
        <v>302</v>
      </c>
      <c r="D174" s="214" t="s">
        <v>306</v>
      </c>
      <c r="E174" s="272">
        <v>100000</v>
      </c>
      <c r="F174" s="272">
        <v>100000</v>
      </c>
      <c r="G174" s="24">
        <v>0</v>
      </c>
    </row>
    <row r="175" spans="1:7" ht="20.100000000000001" customHeight="1">
      <c r="A175" s="224">
        <v>42</v>
      </c>
      <c r="B175" s="188" t="s">
        <v>231</v>
      </c>
      <c r="C175" s="259" t="s">
        <v>167</v>
      </c>
      <c r="D175" s="214" t="s">
        <v>177</v>
      </c>
      <c r="E175" s="272">
        <v>100000</v>
      </c>
      <c r="F175" s="272">
        <v>100000</v>
      </c>
      <c r="G175" s="24">
        <v>0</v>
      </c>
    </row>
    <row r="176" spans="1:7" ht="20.100000000000001" customHeight="1">
      <c r="A176" s="224">
        <v>43</v>
      </c>
      <c r="B176" s="188" t="s">
        <v>246</v>
      </c>
      <c r="C176" s="259" t="s">
        <v>167</v>
      </c>
      <c r="D176" s="214" t="s">
        <v>177</v>
      </c>
      <c r="E176" s="272">
        <v>100000</v>
      </c>
      <c r="F176" s="272">
        <v>100000</v>
      </c>
      <c r="G176" s="24">
        <v>0</v>
      </c>
    </row>
    <row r="177" spans="1:7" ht="20.100000000000001" customHeight="1">
      <c r="A177" s="224">
        <v>44</v>
      </c>
      <c r="B177" s="189" t="s">
        <v>166</v>
      </c>
      <c r="C177" s="259" t="s">
        <v>167</v>
      </c>
      <c r="D177" s="214" t="s">
        <v>263</v>
      </c>
      <c r="E177" s="272">
        <v>100000</v>
      </c>
      <c r="F177" s="272">
        <v>100000</v>
      </c>
      <c r="G177" s="24">
        <v>0</v>
      </c>
    </row>
    <row r="178" spans="1:7" ht="20.100000000000001" customHeight="1">
      <c r="A178" s="224">
        <v>45</v>
      </c>
      <c r="B178" s="188" t="s">
        <v>204</v>
      </c>
      <c r="C178" s="259" t="s">
        <v>167</v>
      </c>
      <c r="D178" s="214" t="s">
        <v>301</v>
      </c>
      <c r="E178" s="272">
        <v>100000</v>
      </c>
      <c r="F178" s="272">
        <v>100000</v>
      </c>
      <c r="G178" s="24">
        <v>0</v>
      </c>
    </row>
    <row r="179" spans="1:7" ht="20.100000000000001" customHeight="1">
      <c r="A179" s="224">
        <v>46</v>
      </c>
      <c r="B179" s="188" t="s">
        <v>209</v>
      </c>
      <c r="C179" s="259" t="s">
        <v>13</v>
      </c>
      <c r="D179" s="214" t="s">
        <v>414</v>
      </c>
      <c r="E179" s="272">
        <v>100000</v>
      </c>
      <c r="F179" s="272">
        <v>100000</v>
      </c>
      <c r="G179" s="24">
        <v>0</v>
      </c>
    </row>
    <row r="180" spans="1:7" ht="20.100000000000001" customHeight="1">
      <c r="A180" s="224">
        <v>47</v>
      </c>
      <c r="B180" s="188" t="s">
        <v>218</v>
      </c>
      <c r="C180" s="259" t="s">
        <v>13</v>
      </c>
      <c r="D180" s="214" t="s">
        <v>414</v>
      </c>
      <c r="E180" s="272">
        <v>100000</v>
      </c>
      <c r="F180" s="272">
        <v>100000</v>
      </c>
      <c r="G180" s="24">
        <v>0</v>
      </c>
    </row>
    <row r="181" spans="1:7" ht="20.100000000000001" customHeight="1">
      <c r="A181" s="224">
        <v>48</v>
      </c>
      <c r="B181" s="188" t="s">
        <v>219</v>
      </c>
      <c r="C181" s="259" t="s">
        <v>13</v>
      </c>
      <c r="D181" s="214" t="s">
        <v>414</v>
      </c>
      <c r="E181" s="272">
        <v>100000</v>
      </c>
      <c r="F181" s="272">
        <v>100000</v>
      </c>
      <c r="G181" s="24">
        <v>0</v>
      </c>
    </row>
    <row r="182" spans="1:7" ht="20.100000000000001" customHeight="1">
      <c r="A182" s="224">
        <v>49</v>
      </c>
      <c r="B182" s="188" t="s">
        <v>211</v>
      </c>
      <c r="C182" s="259" t="s">
        <v>13</v>
      </c>
      <c r="D182" s="214" t="s">
        <v>414</v>
      </c>
      <c r="E182" s="272">
        <v>100000</v>
      </c>
      <c r="F182" s="272">
        <v>100000</v>
      </c>
      <c r="G182" s="24">
        <v>0</v>
      </c>
    </row>
    <row r="183" spans="1:7" ht="20.100000000000001" customHeight="1">
      <c r="A183" s="224">
        <v>50</v>
      </c>
      <c r="B183" s="188" t="s">
        <v>213</v>
      </c>
      <c r="C183" s="259" t="s">
        <v>13</v>
      </c>
      <c r="D183" s="214" t="s">
        <v>414</v>
      </c>
      <c r="E183" s="272">
        <v>100000</v>
      </c>
      <c r="F183" s="272">
        <v>100000</v>
      </c>
      <c r="G183" s="24">
        <v>0</v>
      </c>
    </row>
    <row r="184" spans="1:7" ht="20.100000000000001" customHeight="1">
      <c r="A184" s="224">
        <v>51</v>
      </c>
      <c r="B184" s="189" t="s">
        <v>342</v>
      </c>
      <c r="C184" s="259" t="s">
        <v>13</v>
      </c>
      <c r="D184" s="214" t="s">
        <v>262</v>
      </c>
      <c r="E184" s="272">
        <v>100000</v>
      </c>
      <c r="F184" s="272">
        <v>100000</v>
      </c>
      <c r="G184" s="24">
        <v>0</v>
      </c>
    </row>
    <row r="185" spans="1:7" ht="20.100000000000001" customHeight="1">
      <c r="A185" s="224">
        <v>52</v>
      </c>
      <c r="B185" s="189" t="s">
        <v>405</v>
      </c>
      <c r="C185" s="259" t="s">
        <v>13</v>
      </c>
      <c r="D185" s="214" t="s">
        <v>262</v>
      </c>
      <c r="E185" s="272">
        <v>100000</v>
      </c>
      <c r="F185" s="272">
        <v>100000</v>
      </c>
      <c r="G185" s="24">
        <v>0</v>
      </c>
    </row>
    <row r="186" spans="1:7" ht="20.100000000000001" customHeight="1">
      <c r="A186" s="224">
        <v>53</v>
      </c>
      <c r="B186" s="188" t="s">
        <v>232</v>
      </c>
      <c r="C186" s="259" t="s">
        <v>167</v>
      </c>
      <c r="D186" s="214" t="s">
        <v>262</v>
      </c>
      <c r="E186" s="272">
        <v>100000</v>
      </c>
      <c r="F186" s="272">
        <v>100000</v>
      </c>
      <c r="G186" s="24">
        <v>0</v>
      </c>
    </row>
    <row r="187" spans="1:7" ht="20.100000000000001" customHeight="1">
      <c r="A187" s="224">
        <v>54</v>
      </c>
      <c r="B187" s="188" t="s">
        <v>233</v>
      </c>
      <c r="C187" s="259" t="s">
        <v>167</v>
      </c>
      <c r="D187" s="214" t="s">
        <v>262</v>
      </c>
      <c r="E187" s="272">
        <v>100000</v>
      </c>
      <c r="F187" s="272">
        <v>100000</v>
      </c>
      <c r="G187" s="24">
        <v>0</v>
      </c>
    </row>
    <row r="188" spans="1:7" ht="20.100000000000001" customHeight="1">
      <c r="A188" s="224">
        <v>55</v>
      </c>
      <c r="B188" s="189" t="s">
        <v>279</v>
      </c>
      <c r="C188" s="259" t="s">
        <v>13</v>
      </c>
      <c r="D188" s="214" t="s">
        <v>28</v>
      </c>
      <c r="E188" s="272">
        <v>100000</v>
      </c>
      <c r="F188" s="272">
        <v>100000</v>
      </c>
      <c r="G188" s="24">
        <v>0</v>
      </c>
    </row>
    <row r="189" spans="1:7" ht="20.100000000000001" customHeight="1">
      <c r="A189" s="224">
        <v>56</v>
      </c>
      <c r="B189" s="189" t="s">
        <v>403</v>
      </c>
      <c r="C189" s="259" t="s">
        <v>13</v>
      </c>
      <c r="D189" s="214" t="s">
        <v>150</v>
      </c>
      <c r="E189" s="272">
        <v>100000</v>
      </c>
      <c r="F189" s="272">
        <v>100000</v>
      </c>
      <c r="G189" s="24">
        <v>0</v>
      </c>
    </row>
    <row r="190" spans="1:7" ht="20.100000000000001" customHeight="1">
      <c r="A190" s="224"/>
      <c r="B190" s="210" t="s">
        <v>15</v>
      </c>
      <c r="C190" s="267" t="s">
        <v>431</v>
      </c>
      <c r="D190" s="23"/>
      <c r="E190" s="274">
        <f>SUM(E134:E189)</f>
        <v>12750000</v>
      </c>
      <c r="F190" s="274">
        <f t="shared" ref="F190:G190" si="17">SUM(F134:F189)</f>
        <v>10200000</v>
      </c>
      <c r="G190" s="274">
        <f t="shared" si="17"/>
        <v>2550000</v>
      </c>
    </row>
    <row r="191" spans="1:7" ht="20.100000000000001" customHeight="1">
      <c r="A191" s="21"/>
      <c r="B191" s="227" t="s">
        <v>8</v>
      </c>
      <c r="C191" s="268">
        <f>C38+C43+C58+C62+C78+C86+C100+C107+C117+C131+C190+2</f>
        <v>152</v>
      </c>
      <c r="D191" s="229"/>
      <c r="E191" s="282">
        <f>E190+E131+E117+E107+E100+E86+E78+E62+E58+E43+E38</f>
        <v>62400000</v>
      </c>
      <c r="F191" s="282">
        <f>F190+F131+F117+F107+F100+F86+F78+F62+F58+F43+F38</f>
        <v>29750000</v>
      </c>
      <c r="G191" s="282">
        <f t="shared" ref="G191" si="18">G190+G131+G117+G107+G100+G86+G78+G62+G58+G43+G38</f>
        <v>32650000</v>
      </c>
    </row>
    <row r="192" spans="1:7" ht="20.100000000000001" customHeight="1">
      <c r="A192" s="202"/>
      <c r="B192" s="231"/>
      <c r="C192" s="231"/>
      <c r="D192" s="232"/>
      <c r="E192" s="283"/>
      <c r="F192" s="284"/>
      <c r="G192" s="284"/>
    </row>
    <row r="193" spans="1:5" ht="28.5" customHeight="1">
      <c r="A193" s="202"/>
      <c r="B193" s="231"/>
      <c r="C193" s="231"/>
      <c r="D193" s="232"/>
      <c r="E193" s="285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view="pageBreakPreview"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K15" sqref="K15"/>
    </sheetView>
  </sheetViews>
  <sheetFormatPr defaultColWidth="9.140625" defaultRowHeight="20.100000000000001" customHeight="1"/>
  <cols>
    <col min="1" max="1" width="5.42578125" style="196" customWidth="1"/>
    <col min="2" max="2" width="43.85546875" style="196" customWidth="1"/>
    <col min="3" max="3" width="32.42578125" style="196" customWidth="1"/>
    <col min="4" max="4" width="9.140625" style="196" customWidth="1"/>
    <col min="5" max="5" width="13.85546875" style="196" customWidth="1"/>
    <col min="6" max="6" width="14.7109375" style="196" customWidth="1"/>
    <col min="7" max="7" width="14" style="196" customWidth="1"/>
    <col min="8" max="16384" width="9.140625" style="196"/>
  </cols>
  <sheetData>
    <row r="1" spans="1:7" ht="27" customHeight="1">
      <c r="A1" s="726" t="s">
        <v>234</v>
      </c>
      <c r="B1" s="726"/>
      <c r="C1" s="726"/>
      <c r="D1" s="726"/>
      <c r="E1" s="726"/>
    </row>
    <row r="2" spans="1:7" ht="33.75" customHeight="1">
      <c r="A2" s="197" t="s">
        <v>492</v>
      </c>
      <c r="B2" s="198"/>
      <c r="C2" s="198"/>
      <c r="D2" s="197"/>
      <c r="E2" s="201"/>
    </row>
    <row r="3" spans="1:7" ht="9.75" customHeight="1">
      <c r="A3" s="202"/>
      <c r="B3" s="202"/>
      <c r="C3" s="202"/>
      <c r="D3" s="202"/>
    </row>
    <row r="4" spans="1:7" ht="61.5" customHeight="1">
      <c r="A4" s="21"/>
      <c r="B4" s="203" t="s">
        <v>0</v>
      </c>
      <c r="C4" s="204" t="s">
        <v>12</v>
      </c>
      <c r="D4" s="257" t="s">
        <v>309</v>
      </c>
      <c r="E4" s="208" t="s">
        <v>120</v>
      </c>
      <c r="F4" s="208" t="s">
        <v>493</v>
      </c>
      <c r="G4" s="208" t="s">
        <v>494</v>
      </c>
    </row>
    <row r="5" spans="1:7" ht="20.100000000000001" customHeight="1">
      <c r="A5" s="209" t="s">
        <v>143</v>
      </c>
      <c r="B5" s="210" t="s">
        <v>433</v>
      </c>
      <c r="C5" s="258"/>
      <c r="D5" s="210"/>
      <c r="E5" s="211" t="s">
        <v>5</v>
      </c>
      <c r="F5" s="211" t="s">
        <v>5</v>
      </c>
      <c r="G5" s="211" t="s">
        <v>5</v>
      </c>
    </row>
    <row r="6" spans="1:7" ht="20.100000000000001" customHeight="1">
      <c r="A6" s="29">
        <v>1</v>
      </c>
      <c r="B6" s="188" t="s">
        <v>224</v>
      </c>
      <c r="C6" s="259" t="s">
        <v>119</v>
      </c>
      <c r="D6" s="286" t="s">
        <v>34</v>
      </c>
      <c r="E6" s="272">
        <v>2000000</v>
      </c>
      <c r="F6" s="24">
        <v>0</v>
      </c>
      <c r="G6" s="272">
        <v>2000000</v>
      </c>
    </row>
    <row r="7" spans="1:7" ht="20.100000000000001" customHeight="1">
      <c r="A7" s="29">
        <v>2</v>
      </c>
      <c r="B7" s="188" t="s">
        <v>137</v>
      </c>
      <c r="C7" s="260" t="s">
        <v>472</v>
      </c>
      <c r="D7" s="29" t="s">
        <v>160</v>
      </c>
      <c r="E7" s="272">
        <v>700000</v>
      </c>
      <c r="F7" s="24">
        <v>0</v>
      </c>
      <c r="G7" s="272">
        <v>700000</v>
      </c>
    </row>
    <row r="8" spans="1:7" ht="20.100000000000001" customHeight="1">
      <c r="A8" s="29">
        <v>3</v>
      </c>
      <c r="B8" s="190" t="s">
        <v>225</v>
      </c>
      <c r="C8" s="260" t="s">
        <v>226</v>
      </c>
      <c r="D8" s="29" t="s">
        <v>221</v>
      </c>
      <c r="E8" s="272">
        <f>700000/2</f>
        <v>350000</v>
      </c>
      <c r="F8" s="24">
        <v>0</v>
      </c>
      <c r="G8" s="272">
        <f t="shared" ref="G8:G9" si="0">700000/2</f>
        <v>350000</v>
      </c>
    </row>
    <row r="9" spans="1:7" ht="20.100000000000001" customHeight="1">
      <c r="A9" s="29">
        <v>4</v>
      </c>
      <c r="B9" s="188" t="s">
        <v>315</v>
      </c>
      <c r="C9" s="259" t="s">
        <v>316</v>
      </c>
      <c r="D9" s="29" t="s">
        <v>271</v>
      </c>
      <c r="E9" s="272">
        <f>700000/2</f>
        <v>350000</v>
      </c>
      <c r="F9" s="24">
        <v>0</v>
      </c>
      <c r="G9" s="272">
        <f t="shared" si="0"/>
        <v>350000</v>
      </c>
    </row>
    <row r="10" spans="1:7" ht="20.100000000000001" customHeight="1">
      <c r="A10" s="29">
        <v>5</v>
      </c>
      <c r="B10" s="190" t="s">
        <v>317</v>
      </c>
      <c r="C10" s="260" t="s">
        <v>418</v>
      </c>
      <c r="D10" s="214" t="s">
        <v>29</v>
      </c>
      <c r="E10" s="272">
        <v>700000</v>
      </c>
      <c r="F10" s="24">
        <v>0</v>
      </c>
      <c r="G10" s="272">
        <v>700000</v>
      </c>
    </row>
    <row r="11" spans="1:7" ht="20.100000000000001" customHeight="1">
      <c r="A11" s="29">
        <v>6</v>
      </c>
      <c r="B11" s="190" t="s">
        <v>112</v>
      </c>
      <c r="C11" s="260" t="s">
        <v>473</v>
      </c>
      <c r="D11" s="25" t="s">
        <v>29</v>
      </c>
      <c r="E11" s="272">
        <v>700000</v>
      </c>
      <c r="F11" s="24">
        <v>0</v>
      </c>
      <c r="G11" s="272">
        <v>700000</v>
      </c>
    </row>
    <row r="12" spans="1:7" ht="20.100000000000001" customHeight="1">
      <c r="A12" s="29">
        <v>7</v>
      </c>
      <c r="B12" s="188" t="s">
        <v>187</v>
      </c>
      <c r="C12" s="261" t="s">
        <v>474</v>
      </c>
      <c r="D12" s="25" t="s">
        <v>29</v>
      </c>
      <c r="E12" s="272">
        <v>700000</v>
      </c>
      <c r="F12" s="24">
        <v>0</v>
      </c>
      <c r="G12" s="272">
        <v>700000</v>
      </c>
    </row>
    <row r="13" spans="1:7" ht="20.100000000000001" customHeight="1">
      <c r="A13" s="29">
        <v>8</v>
      </c>
      <c r="B13" s="190" t="s">
        <v>203</v>
      </c>
      <c r="C13" s="260" t="s">
        <v>475</v>
      </c>
      <c r="D13" s="25" t="s">
        <v>29</v>
      </c>
      <c r="E13" s="272">
        <v>700000</v>
      </c>
      <c r="F13" s="24">
        <v>0</v>
      </c>
      <c r="G13" s="272">
        <v>700000</v>
      </c>
    </row>
    <row r="14" spans="1:7" ht="20.100000000000001" customHeight="1">
      <c r="A14" s="29">
        <v>9</v>
      </c>
      <c r="B14" s="188" t="s">
        <v>111</v>
      </c>
      <c r="C14" s="259" t="s">
        <v>468</v>
      </c>
      <c r="D14" s="214" t="s">
        <v>75</v>
      </c>
      <c r="E14" s="272">
        <v>700000</v>
      </c>
      <c r="F14" s="24">
        <v>0</v>
      </c>
      <c r="G14" s="272">
        <v>700000</v>
      </c>
    </row>
    <row r="15" spans="1:7" ht="20.100000000000001" customHeight="1">
      <c r="A15" s="29">
        <v>10</v>
      </c>
      <c r="B15" s="189" t="s">
        <v>333</v>
      </c>
      <c r="C15" s="259" t="s">
        <v>387</v>
      </c>
      <c r="D15" s="29" t="s">
        <v>272</v>
      </c>
      <c r="E15" s="272">
        <v>700000</v>
      </c>
      <c r="F15" s="24">
        <v>0</v>
      </c>
      <c r="G15" s="272">
        <v>700000</v>
      </c>
    </row>
    <row r="16" spans="1:7" ht="20.100000000000001" customHeight="1">
      <c r="A16" s="29">
        <v>11</v>
      </c>
      <c r="B16" s="192" t="s">
        <v>220</v>
      </c>
      <c r="C16" s="260" t="s">
        <v>388</v>
      </c>
      <c r="D16" s="25" t="s">
        <v>162</v>
      </c>
      <c r="E16" s="272">
        <v>500000</v>
      </c>
      <c r="F16" s="24">
        <v>0</v>
      </c>
      <c r="G16" s="272">
        <v>500000</v>
      </c>
    </row>
    <row r="17" spans="1:7" ht="19.5" customHeight="1">
      <c r="A17" s="29">
        <v>12</v>
      </c>
      <c r="B17" s="190" t="s">
        <v>144</v>
      </c>
      <c r="C17" s="260" t="s">
        <v>389</v>
      </c>
      <c r="D17" s="29" t="s">
        <v>162</v>
      </c>
      <c r="E17" s="272">
        <v>500000</v>
      </c>
      <c r="F17" s="24">
        <v>0</v>
      </c>
      <c r="G17" s="272">
        <v>500000</v>
      </c>
    </row>
    <row r="18" spans="1:7" ht="19.5" customHeight="1">
      <c r="A18" s="29">
        <v>13</v>
      </c>
      <c r="B18" s="190" t="s">
        <v>139</v>
      </c>
      <c r="C18" s="260" t="s">
        <v>386</v>
      </c>
      <c r="D18" s="29" t="s">
        <v>162</v>
      </c>
      <c r="E18" s="272">
        <v>500000</v>
      </c>
      <c r="F18" s="24">
        <v>0</v>
      </c>
      <c r="G18" s="272">
        <v>500000</v>
      </c>
    </row>
    <row r="19" spans="1:7" ht="20.100000000000001" customHeight="1">
      <c r="A19" s="29">
        <v>14</v>
      </c>
      <c r="B19" s="188" t="s">
        <v>18</v>
      </c>
      <c r="C19" s="260" t="s">
        <v>389</v>
      </c>
      <c r="D19" s="214" t="s">
        <v>162</v>
      </c>
      <c r="E19" s="272">
        <v>500000</v>
      </c>
      <c r="F19" s="24">
        <v>0</v>
      </c>
      <c r="G19" s="272">
        <v>500000</v>
      </c>
    </row>
    <row r="20" spans="1:7" ht="20.100000000000001" customHeight="1">
      <c r="A20" s="29">
        <v>15</v>
      </c>
      <c r="B20" s="188" t="s">
        <v>334</v>
      </c>
      <c r="C20" s="259" t="s">
        <v>351</v>
      </c>
      <c r="D20" s="214" t="s">
        <v>149</v>
      </c>
      <c r="E20" s="272">
        <v>500000</v>
      </c>
      <c r="F20" s="272">
        <v>500000</v>
      </c>
      <c r="G20" s="24">
        <v>0</v>
      </c>
    </row>
    <row r="21" spans="1:7" ht="20.100000000000001" customHeight="1">
      <c r="A21" s="29">
        <v>16</v>
      </c>
      <c r="B21" s="189" t="s">
        <v>291</v>
      </c>
      <c r="C21" s="260" t="s">
        <v>346</v>
      </c>
      <c r="D21" s="214" t="s">
        <v>273</v>
      </c>
      <c r="E21" s="272">
        <v>500000</v>
      </c>
      <c r="F21" s="272">
        <v>500000</v>
      </c>
      <c r="G21" s="24">
        <v>0</v>
      </c>
    </row>
    <row r="22" spans="1:7" ht="20.100000000000001" customHeight="1">
      <c r="A22" s="29">
        <v>17</v>
      </c>
      <c r="B22" s="188" t="s">
        <v>141</v>
      </c>
      <c r="C22" s="259" t="s">
        <v>391</v>
      </c>
      <c r="D22" s="214" t="s">
        <v>415</v>
      </c>
      <c r="E22" s="272">
        <v>400000</v>
      </c>
      <c r="F22" s="272">
        <v>400000</v>
      </c>
      <c r="G22" s="24">
        <v>0</v>
      </c>
    </row>
    <row r="23" spans="1:7" ht="18.75" customHeight="1">
      <c r="A23" s="29">
        <v>18</v>
      </c>
      <c r="B23" s="188" t="s">
        <v>253</v>
      </c>
      <c r="C23" s="259" t="s">
        <v>478</v>
      </c>
      <c r="D23" s="214" t="s">
        <v>369</v>
      </c>
      <c r="E23" s="272">
        <v>400000</v>
      </c>
      <c r="F23" s="272">
        <v>400000</v>
      </c>
      <c r="G23" s="24">
        <v>0</v>
      </c>
    </row>
    <row r="24" spans="1:7" ht="18.75" customHeight="1">
      <c r="A24" s="29">
        <v>19</v>
      </c>
      <c r="B24" s="188" t="s">
        <v>247</v>
      </c>
      <c r="C24" s="260" t="s">
        <v>477</v>
      </c>
      <c r="D24" s="214" t="s">
        <v>369</v>
      </c>
      <c r="E24" s="272">
        <v>400000</v>
      </c>
      <c r="F24" s="272">
        <v>400000</v>
      </c>
      <c r="G24" s="24">
        <v>0</v>
      </c>
    </row>
    <row r="25" spans="1:7" ht="18.75" customHeight="1">
      <c r="A25" s="29">
        <v>20</v>
      </c>
      <c r="B25" s="189" t="s">
        <v>293</v>
      </c>
      <c r="C25" s="260" t="s">
        <v>294</v>
      </c>
      <c r="D25" s="214" t="s">
        <v>164</v>
      </c>
      <c r="E25" s="272">
        <v>300000</v>
      </c>
      <c r="F25" s="272">
        <v>300000</v>
      </c>
      <c r="G25" s="24">
        <v>0</v>
      </c>
    </row>
    <row r="26" spans="1:7" ht="18.75" customHeight="1">
      <c r="A26" s="29">
        <v>21</v>
      </c>
      <c r="B26" s="189" t="s">
        <v>275</v>
      </c>
      <c r="C26" s="259" t="s">
        <v>314</v>
      </c>
      <c r="D26" s="214" t="s">
        <v>207</v>
      </c>
      <c r="E26" s="272">
        <v>300000</v>
      </c>
      <c r="F26" s="272">
        <v>300000</v>
      </c>
      <c r="G26" s="24">
        <v>0</v>
      </c>
    </row>
    <row r="27" spans="1:7" ht="18.75" customHeight="1">
      <c r="A27" s="29">
        <v>22</v>
      </c>
      <c r="B27" s="21" t="s">
        <v>434</v>
      </c>
      <c r="C27" s="260" t="s">
        <v>17</v>
      </c>
      <c r="D27" s="29" t="s">
        <v>428</v>
      </c>
      <c r="E27" s="272">
        <v>300000</v>
      </c>
      <c r="F27" s="272">
        <v>300000</v>
      </c>
      <c r="G27" s="24">
        <v>0</v>
      </c>
    </row>
    <row r="28" spans="1:7" ht="18.75" customHeight="1">
      <c r="A28" s="29">
        <v>23</v>
      </c>
      <c r="B28" s="189" t="s">
        <v>254</v>
      </c>
      <c r="C28" s="259" t="s">
        <v>17</v>
      </c>
      <c r="D28" s="214" t="s">
        <v>428</v>
      </c>
      <c r="E28" s="272">
        <v>300000</v>
      </c>
      <c r="F28" s="272">
        <v>300000</v>
      </c>
      <c r="G28" s="24">
        <v>0</v>
      </c>
    </row>
    <row r="29" spans="1:7" ht="18.75" customHeight="1">
      <c r="A29" s="29">
        <v>24</v>
      </c>
      <c r="B29" s="188" t="s">
        <v>248</v>
      </c>
      <c r="C29" s="259" t="s">
        <v>480</v>
      </c>
      <c r="D29" s="214" t="s">
        <v>428</v>
      </c>
      <c r="E29" s="272">
        <v>300000</v>
      </c>
      <c r="F29" s="272">
        <v>300000</v>
      </c>
      <c r="G29" s="24">
        <v>0</v>
      </c>
    </row>
    <row r="30" spans="1:7" ht="18.75" customHeight="1">
      <c r="A30" s="29">
        <v>25</v>
      </c>
      <c r="B30" s="189" t="s">
        <v>288</v>
      </c>
      <c r="C30" s="259" t="s">
        <v>249</v>
      </c>
      <c r="D30" s="214" t="s">
        <v>295</v>
      </c>
      <c r="E30" s="272">
        <v>300000</v>
      </c>
      <c r="F30" s="272">
        <v>300000</v>
      </c>
      <c r="G30" s="24">
        <v>0</v>
      </c>
    </row>
    <row r="31" spans="1:7" ht="18.75" customHeight="1">
      <c r="A31" s="29">
        <v>26</v>
      </c>
      <c r="B31" s="188" t="s">
        <v>345</v>
      </c>
      <c r="C31" s="261" t="s">
        <v>319</v>
      </c>
      <c r="D31" s="214" t="s">
        <v>51</v>
      </c>
      <c r="E31" s="272">
        <v>300000</v>
      </c>
      <c r="F31" s="272">
        <v>300000</v>
      </c>
      <c r="G31" s="24">
        <v>0</v>
      </c>
    </row>
    <row r="32" spans="1:7" ht="18.75" customHeight="1">
      <c r="A32" s="29">
        <v>27</v>
      </c>
      <c r="B32" s="189" t="s">
        <v>328</v>
      </c>
      <c r="C32" s="260" t="s">
        <v>329</v>
      </c>
      <c r="D32" s="29" t="s">
        <v>51</v>
      </c>
      <c r="E32" s="272">
        <v>300000</v>
      </c>
      <c r="F32" s="272">
        <v>300000</v>
      </c>
      <c r="G32" s="24">
        <v>0</v>
      </c>
    </row>
    <row r="33" spans="1:7" ht="18.75" customHeight="1">
      <c r="A33" s="29">
        <v>28</v>
      </c>
      <c r="B33" s="189" t="s">
        <v>360</v>
      </c>
      <c r="C33" s="261" t="s">
        <v>372</v>
      </c>
      <c r="D33" s="214" t="s">
        <v>428</v>
      </c>
      <c r="E33" s="272">
        <v>300000</v>
      </c>
      <c r="F33" s="272">
        <v>300000</v>
      </c>
      <c r="G33" s="24">
        <v>0</v>
      </c>
    </row>
    <row r="34" spans="1:7" ht="18.75" customHeight="1">
      <c r="A34" s="29">
        <v>29</v>
      </c>
      <c r="B34" s="189" t="s">
        <v>469</v>
      </c>
      <c r="C34" s="261" t="s">
        <v>372</v>
      </c>
      <c r="D34" s="214" t="s">
        <v>105</v>
      </c>
      <c r="E34" s="272">
        <v>300000</v>
      </c>
      <c r="F34" s="272">
        <v>300000</v>
      </c>
      <c r="G34" s="24">
        <v>0</v>
      </c>
    </row>
    <row r="35" spans="1:7" ht="18.75" customHeight="1">
      <c r="A35" s="29">
        <v>30</v>
      </c>
      <c r="B35" s="189" t="s">
        <v>330</v>
      </c>
      <c r="C35" s="260" t="s">
        <v>331</v>
      </c>
      <c r="D35" s="29" t="s">
        <v>105</v>
      </c>
      <c r="E35" s="272">
        <v>300000</v>
      </c>
      <c r="F35" s="272">
        <v>300000</v>
      </c>
      <c r="G35" s="24">
        <v>0</v>
      </c>
    </row>
    <row r="36" spans="1:7" ht="18.75" customHeight="1">
      <c r="A36" s="29">
        <v>31</v>
      </c>
      <c r="B36" s="189" t="s">
        <v>274</v>
      </c>
      <c r="C36" s="259" t="s">
        <v>314</v>
      </c>
      <c r="D36" s="214" t="s">
        <v>105</v>
      </c>
      <c r="E36" s="272">
        <v>300000</v>
      </c>
      <c r="F36" s="272">
        <v>300000</v>
      </c>
      <c r="G36" s="24">
        <v>0</v>
      </c>
    </row>
    <row r="37" spans="1:7" ht="18.75" customHeight="1">
      <c r="A37" s="29">
        <v>32</v>
      </c>
      <c r="B37" s="189" t="s">
        <v>453</v>
      </c>
      <c r="C37" s="259" t="s">
        <v>314</v>
      </c>
      <c r="D37" s="214" t="s">
        <v>105</v>
      </c>
      <c r="E37" s="272">
        <v>300000</v>
      </c>
      <c r="F37" s="272">
        <v>300000</v>
      </c>
      <c r="G37" s="24">
        <v>0</v>
      </c>
    </row>
    <row r="38" spans="1:7" ht="26.25" customHeight="1">
      <c r="A38" s="29"/>
      <c r="B38" s="191" t="s">
        <v>15</v>
      </c>
      <c r="C38" s="262">
        <v>29</v>
      </c>
      <c r="D38" s="214"/>
      <c r="E38" s="273">
        <f>SUM(E6:E37)</f>
        <v>15700000</v>
      </c>
      <c r="F38" s="273">
        <f>SUM(F6:F37)</f>
        <v>6100000</v>
      </c>
      <c r="G38" s="273">
        <f t="shared" ref="G38" si="1">SUM(G6:G37)</f>
        <v>9600000</v>
      </c>
    </row>
    <row r="39" spans="1:7" ht="18.75" customHeight="1">
      <c r="A39" s="29"/>
      <c r="B39" s="141"/>
      <c r="C39" s="260"/>
      <c r="D39" s="214"/>
      <c r="E39" s="273"/>
      <c r="F39" s="272"/>
      <c r="G39" s="273"/>
    </row>
    <row r="40" spans="1:7" ht="18.75" customHeight="1">
      <c r="A40" s="29"/>
      <c r="B40" s="191" t="s">
        <v>284</v>
      </c>
      <c r="C40" s="260"/>
      <c r="D40" s="214"/>
      <c r="E40" s="272"/>
      <c r="F40" s="272"/>
      <c r="G40" s="272"/>
    </row>
    <row r="41" spans="1:7" ht="18.75" customHeight="1">
      <c r="A41" s="29">
        <v>1</v>
      </c>
      <c r="B41" s="189" t="s">
        <v>361</v>
      </c>
      <c r="C41" s="260" t="s">
        <v>362</v>
      </c>
      <c r="D41" s="29" t="s">
        <v>206</v>
      </c>
      <c r="E41" s="272">
        <v>1000000</v>
      </c>
      <c r="F41" s="24">
        <v>0</v>
      </c>
      <c r="G41" s="272">
        <v>1000000</v>
      </c>
    </row>
    <row r="42" spans="1:7" ht="18.75" customHeight="1">
      <c r="A42" s="29">
        <v>2</v>
      </c>
      <c r="B42" s="189" t="s">
        <v>419</v>
      </c>
      <c r="C42" s="260" t="s">
        <v>427</v>
      </c>
      <c r="D42" s="29" t="s">
        <v>105</v>
      </c>
      <c r="E42" s="272">
        <v>300000</v>
      </c>
      <c r="F42" s="272">
        <v>300000</v>
      </c>
      <c r="G42" s="24">
        <v>0</v>
      </c>
    </row>
    <row r="43" spans="1:7" ht="19.5" customHeight="1">
      <c r="A43" s="29"/>
      <c r="B43" s="190"/>
      <c r="C43" s="262">
        <v>2</v>
      </c>
      <c r="D43" s="29"/>
      <c r="E43" s="273">
        <f>SUM(E41:E42)</f>
        <v>1300000</v>
      </c>
      <c r="F43" s="273">
        <f t="shared" ref="F43:G43" si="2">SUM(F41:F42)</f>
        <v>300000</v>
      </c>
      <c r="G43" s="273">
        <f t="shared" si="2"/>
        <v>1000000</v>
      </c>
    </row>
    <row r="44" spans="1:7" ht="20.100000000000001" customHeight="1">
      <c r="A44" s="29"/>
      <c r="B44" s="190"/>
      <c r="C44" s="260"/>
      <c r="D44" s="29"/>
      <c r="E44" s="272"/>
      <c r="F44" s="272"/>
      <c r="G44" s="272"/>
    </row>
    <row r="45" spans="1:7" ht="20.100000000000001" customHeight="1">
      <c r="A45" s="29"/>
      <c r="B45" s="218" t="s">
        <v>56</v>
      </c>
      <c r="C45" s="263"/>
      <c r="D45" s="207"/>
      <c r="E45" s="272"/>
      <c r="F45" s="272"/>
      <c r="G45" s="272"/>
    </row>
    <row r="46" spans="1:7" ht="20.100000000000001" customHeight="1">
      <c r="A46" s="29">
        <v>1</v>
      </c>
      <c r="B46" s="188" t="s">
        <v>255</v>
      </c>
      <c r="C46" s="260" t="s">
        <v>256</v>
      </c>
      <c r="D46" s="29" t="s">
        <v>161</v>
      </c>
      <c r="E46" s="272">
        <v>1000000</v>
      </c>
      <c r="F46" s="24">
        <v>0</v>
      </c>
      <c r="G46" s="272">
        <v>1000000</v>
      </c>
    </row>
    <row r="47" spans="1:7" ht="20.100000000000001" customHeight="1">
      <c r="A47" s="29">
        <v>2</v>
      </c>
      <c r="B47" s="188" t="s">
        <v>158</v>
      </c>
      <c r="C47" s="260" t="s">
        <v>199</v>
      </c>
      <c r="D47" s="29" t="s">
        <v>75</v>
      </c>
      <c r="E47" s="272">
        <v>700000</v>
      </c>
      <c r="F47" s="24">
        <v>0</v>
      </c>
      <c r="G47" s="272">
        <v>700000</v>
      </c>
    </row>
    <row r="48" spans="1:7" ht="20.100000000000001" customHeight="1">
      <c r="A48" s="29">
        <v>3</v>
      </c>
      <c r="B48" s="188" t="s">
        <v>165</v>
      </c>
      <c r="C48" s="260" t="s">
        <v>258</v>
      </c>
      <c r="D48" s="29" t="s">
        <v>75</v>
      </c>
      <c r="E48" s="272">
        <v>700000</v>
      </c>
      <c r="F48" s="24">
        <v>0</v>
      </c>
      <c r="G48" s="272">
        <v>700000</v>
      </c>
    </row>
    <row r="49" spans="1:7" ht="20.100000000000001" customHeight="1">
      <c r="A49" s="29">
        <v>4</v>
      </c>
      <c r="B49" s="188" t="s">
        <v>159</v>
      </c>
      <c r="C49" s="260" t="s">
        <v>258</v>
      </c>
      <c r="D49" s="29" t="s">
        <v>148</v>
      </c>
      <c r="E49" s="272">
        <v>700000</v>
      </c>
      <c r="F49" s="24">
        <v>0</v>
      </c>
      <c r="G49" s="272">
        <v>700000</v>
      </c>
    </row>
    <row r="50" spans="1:7" ht="20.100000000000001" customHeight="1">
      <c r="A50" s="29">
        <v>5</v>
      </c>
      <c r="B50" s="188" t="s">
        <v>118</v>
      </c>
      <c r="C50" s="260" t="s">
        <v>258</v>
      </c>
      <c r="D50" s="29" t="s">
        <v>30</v>
      </c>
      <c r="E50" s="272">
        <v>700000</v>
      </c>
      <c r="F50" s="24">
        <v>0</v>
      </c>
      <c r="G50" s="272">
        <v>700000</v>
      </c>
    </row>
    <row r="51" spans="1:7" ht="20.100000000000001" customHeight="1">
      <c r="A51" s="29">
        <v>6</v>
      </c>
      <c r="B51" s="188" t="s">
        <v>205</v>
      </c>
      <c r="C51" s="260" t="s">
        <v>78</v>
      </c>
      <c r="D51" s="29" t="s">
        <v>162</v>
      </c>
      <c r="E51" s="272">
        <v>500000</v>
      </c>
      <c r="F51" s="24">
        <v>0</v>
      </c>
      <c r="G51" s="272">
        <v>500000</v>
      </c>
    </row>
    <row r="52" spans="1:7" ht="20.100000000000001" customHeight="1">
      <c r="A52" s="29">
        <v>7</v>
      </c>
      <c r="B52" s="190" t="s">
        <v>173</v>
      </c>
      <c r="C52" s="260" t="s">
        <v>297</v>
      </c>
      <c r="D52" s="25" t="s">
        <v>162</v>
      </c>
      <c r="E52" s="272">
        <v>500000</v>
      </c>
      <c r="F52" s="24">
        <v>0</v>
      </c>
      <c r="G52" s="272">
        <v>500000</v>
      </c>
    </row>
    <row r="53" spans="1:7" ht="20.100000000000001" customHeight="1">
      <c r="A53" s="29">
        <v>8</v>
      </c>
      <c r="B53" s="188" t="s">
        <v>116</v>
      </c>
      <c r="C53" s="260" t="s">
        <v>297</v>
      </c>
      <c r="D53" s="29" t="s">
        <v>222</v>
      </c>
      <c r="E53" s="272">
        <v>500000</v>
      </c>
      <c r="F53" s="24">
        <v>0</v>
      </c>
      <c r="G53" s="272">
        <v>500000</v>
      </c>
    </row>
    <row r="54" spans="1:7" ht="20.100000000000001" customHeight="1">
      <c r="A54" s="29">
        <v>9</v>
      </c>
      <c r="B54" s="188" t="s">
        <v>184</v>
      </c>
      <c r="C54" s="260" t="s">
        <v>80</v>
      </c>
      <c r="D54" s="29" t="s">
        <v>163</v>
      </c>
      <c r="E54" s="272">
        <v>500000</v>
      </c>
      <c r="F54" s="272">
        <v>500000</v>
      </c>
      <c r="G54" s="24">
        <v>0</v>
      </c>
    </row>
    <row r="55" spans="1:7" ht="20.100000000000001" customHeight="1">
      <c r="A55" s="29">
        <v>10</v>
      </c>
      <c r="B55" s="188" t="s">
        <v>420</v>
      </c>
      <c r="C55" s="260" t="s">
        <v>84</v>
      </c>
      <c r="D55" s="29" t="s">
        <v>428</v>
      </c>
      <c r="E55" s="272">
        <v>300000</v>
      </c>
      <c r="F55" s="272">
        <v>300000</v>
      </c>
      <c r="G55" s="24">
        <v>0</v>
      </c>
    </row>
    <row r="56" spans="1:7" ht="20.100000000000001" customHeight="1">
      <c r="A56" s="29">
        <v>11</v>
      </c>
      <c r="B56" s="188" t="s">
        <v>435</v>
      </c>
      <c r="C56" s="260" t="s">
        <v>84</v>
      </c>
      <c r="D56" s="29" t="s">
        <v>428</v>
      </c>
      <c r="E56" s="272">
        <v>300000</v>
      </c>
      <c r="F56" s="272">
        <v>300000</v>
      </c>
      <c r="G56" s="24">
        <v>0</v>
      </c>
    </row>
    <row r="57" spans="1:7" ht="20.100000000000001" customHeight="1">
      <c r="A57" s="29">
        <v>12</v>
      </c>
      <c r="B57" s="188" t="s">
        <v>452</v>
      </c>
      <c r="C57" s="260" t="s">
        <v>84</v>
      </c>
      <c r="D57" s="29" t="s">
        <v>428</v>
      </c>
      <c r="E57" s="272">
        <v>300000</v>
      </c>
      <c r="F57" s="272">
        <v>300000</v>
      </c>
      <c r="G57" s="24">
        <v>0</v>
      </c>
    </row>
    <row r="58" spans="1:7" ht="25.5" customHeight="1">
      <c r="A58" s="29"/>
      <c r="B58" s="191" t="s">
        <v>15</v>
      </c>
      <c r="C58" s="262">
        <v>11</v>
      </c>
      <c r="D58" s="30"/>
      <c r="E58" s="274">
        <f>SUM(E46:E57)</f>
        <v>6700000</v>
      </c>
      <c r="F58" s="274">
        <f t="shared" ref="F58:G58" si="3">SUM(F46:F57)</f>
        <v>1400000</v>
      </c>
      <c r="G58" s="274">
        <f t="shared" si="3"/>
        <v>5300000</v>
      </c>
    </row>
    <row r="59" spans="1:7" ht="20.100000000000001" customHeight="1">
      <c r="A59" s="29"/>
      <c r="B59" s="141"/>
      <c r="C59" s="262"/>
      <c r="D59" s="30"/>
      <c r="E59" s="275"/>
      <c r="F59" s="275"/>
      <c r="G59" s="275"/>
    </row>
    <row r="60" spans="1:7" ht="20.100000000000001" customHeight="1">
      <c r="A60" s="29"/>
      <c r="B60" s="191" t="s">
        <v>195</v>
      </c>
      <c r="C60" s="262"/>
      <c r="D60" s="30"/>
      <c r="E60" s="275"/>
      <c r="F60" s="275"/>
      <c r="G60" s="275"/>
    </row>
    <row r="61" spans="1:7" ht="20.100000000000001" customHeight="1">
      <c r="A61" s="29">
        <v>1</v>
      </c>
      <c r="B61" s="188" t="s">
        <v>11</v>
      </c>
      <c r="C61" s="259" t="s">
        <v>200</v>
      </c>
      <c r="D61" s="214" t="s">
        <v>161</v>
      </c>
      <c r="E61" s="272">
        <f>1000000/2</f>
        <v>500000</v>
      </c>
      <c r="F61" s="24">
        <v>0</v>
      </c>
      <c r="G61" s="272">
        <f t="shared" ref="G61" si="4">1000000/2</f>
        <v>500000</v>
      </c>
    </row>
    <row r="62" spans="1:7" ht="20.100000000000001" customHeight="1">
      <c r="A62" s="29"/>
      <c r="B62" s="191" t="s">
        <v>15</v>
      </c>
      <c r="C62" s="262">
        <v>2</v>
      </c>
      <c r="D62" s="30"/>
      <c r="E62" s="274">
        <f>SUM(E61)</f>
        <v>500000</v>
      </c>
      <c r="F62" s="78">
        <f t="shared" ref="F62:G62" si="5">SUM(F61)</f>
        <v>0</v>
      </c>
      <c r="G62" s="274">
        <f t="shared" si="5"/>
        <v>500000</v>
      </c>
    </row>
    <row r="63" spans="1:7" ht="20.100000000000001" customHeight="1">
      <c r="A63" s="29"/>
      <c r="B63" s="191"/>
      <c r="C63" s="262"/>
      <c r="D63" s="30"/>
      <c r="E63" s="275"/>
      <c r="F63" s="275"/>
      <c r="G63" s="275"/>
    </row>
    <row r="64" spans="1:7" ht="20.100000000000001" customHeight="1">
      <c r="A64" s="29"/>
      <c r="B64" s="191" t="s">
        <v>461</v>
      </c>
      <c r="C64" s="262"/>
      <c r="D64" s="30"/>
      <c r="E64" s="275"/>
      <c r="F64" s="275"/>
      <c r="G64" s="275"/>
    </row>
    <row r="65" spans="1:7" ht="20.100000000000001" customHeight="1">
      <c r="A65" s="29">
        <v>1</v>
      </c>
      <c r="B65" s="188" t="s">
        <v>277</v>
      </c>
      <c r="C65" s="261" t="s">
        <v>278</v>
      </c>
      <c r="D65" s="29" t="s">
        <v>161</v>
      </c>
      <c r="E65" s="276">
        <f>1000000/2</f>
        <v>500000</v>
      </c>
      <c r="F65" s="26">
        <v>0</v>
      </c>
      <c r="G65" s="276">
        <f t="shared" ref="G65" si="6">1000000/2</f>
        <v>500000</v>
      </c>
    </row>
    <row r="66" spans="1:7" ht="20.100000000000001" customHeight="1">
      <c r="A66" s="29">
        <v>2</v>
      </c>
      <c r="B66" s="189" t="s">
        <v>332</v>
      </c>
      <c r="C66" s="261" t="s">
        <v>188</v>
      </c>
      <c r="D66" s="214" t="s">
        <v>272</v>
      </c>
      <c r="E66" s="272">
        <f>700000/2</f>
        <v>350000</v>
      </c>
      <c r="F66" s="26">
        <v>0</v>
      </c>
      <c r="G66" s="272">
        <f t="shared" ref="G66" si="7">700000/2</f>
        <v>350000</v>
      </c>
    </row>
    <row r="67" spans="1:7" ht="20.100000000000001" customHeight="1">
      <c r="A67" s="29">
        <v>3</v>
      </c>
      <c r="B67" s="188" t="s">
        <v>189</v>
      </c>
      <c r="C67" s="260" t="s">
        <v>257</v>
      </c>
      <c r="D67" s="29" t="s">
        <v>163</v>
      </c>
      <c r="E67" s="276">
        <v>500000</v>
      </c>
      <c r="F67" s="276">
        <v>500000</v>
      </c>
      <c r="G67" s="26">
        <v>0</v>
      </c>
    </row>
    <row r="68" spans="1:7" ht="20.100000000000001" customHeight="1">
      <c r="A68" s="29">
        <v>4</v>
      </c>
      <c r="B68" s="189" t="s">
        <v>448</v>
      </c>
      <c r="C68" s="261" t="s">
        <v>257</v>
      </c>
      <c r="D68" s="214" t="s">
        <v>149</v>
      </c>
      <c r="E68" s="276">
        <v>500000</v>
      </c>
      <c r="F68" s="276">
        <v>500000</v>
      </c>
      <c r="G68" s="26">
        <v>0</v>
      </c>
    </row>
    <row r="69" spans="1:7" ht="20.100000000000001" customHeight="1">
      <c r="A69" s="29">
        <v>5</v>
      </c>
      <c r="B69" s="190" t="s">
        <v>229</v>
      </c>
      <c r="C69" s="261" t="s">
        <v>297</v>
      </c>
      <c r="D69" s="214" t="s">
        <v>162</v>
      </c>
      <c r="E69" s="276">
        <v>500000</v>
      </c>
      <c r="F69" s="26">
        <v>0</v>
      </c>
      <c r="G69" s="276">
        <v>500000</v>
      </c>
    </row>
    <row r="70" spans="1:7" ht="20.100000000000001" customHeight="1">
      <c r="A70" s="29">
        <v>6</v>
      </c>
      <c r="B70" s="188" t="s">
        <v>117</v>
      </c>
      <c r="C70" s="260" t="s">
        <v>84</v>
      </c>
      <c r="D70" s="29" t="s">
        <v>298</v>
      </c>
      <c r="E70" s="272">
        <v>300000</v>
      </c>
      <c r="F70" s="276">
        <v>300000</v>
      </c>
      <c r="G70" s="26">
        <v>0</v>
      </c>
    </row>
    <row r="71" spans="1:7" ht="20.100000000000001" customHeight="1">
      <c r="A71" s="29">
        <v>7</v>
      </c>
      <c r="B71" s="188" t="s">
        <v>182</v>
      </c>
      <c r="C71" s="261" t="s">
        <v>422</v>
      </c>
      <c r="D71" s="214" t="s">
        <v>415</v>
      </c>
      <c r="E71" s="272">
        <v>400000</v>
      </c>
      <c r="F71" s="276">
        <v>400000</v>
      </c>
      <c r="G71" s="24">
        <v>0</v>
      </c>
    </row>
    <row r="72" spans="1:7" ht="20.100000000000001" customHeight="1">
      <c r="A72" s="29">
        <v>8</v>
      </c>
      <c r="B72" s="188" t="s">
        <v>424</v>
      </c>
      <c r="C72" s="261" t="s">
        <v>422</v>
      </c>
      <c r="D72" s="214" t="s">
        <v>369</v>
      </c>
      <c r="E72" s="272">
        <v>400000</v>
      </c>
      <c r="F72" s="276">
        <v>400000</v>
      </c>
      <c r="G72" s="24">
        <v>0</v>
      </c>
    </row>
    <row r="73" spans="1:7" ht="20.100000000000001" customHeight="1">
      <c r="A73" s="29">
        <v>9</v>
      </c>
      <c r="B73" s="188" t="s">
        <v>423</v>
      </c>
      <c r="C73" s="261" t="s">
        <v>422</v>
      </c>
      <c r="D73" s="214" t="s">
        <v>369</v>
      </c>
      <c r="E73" s="272">
        <v>400000</v>
      </c>
      <c r="F73" s="276">
        <v>400000</v>
      </c>
      <c r="G73" s="24">
        <v>0</v>
      </c>
    </row>
    <row r="74" spans="1:7" ht="20.100000000000001" customHeight="1">
      <c r="A74" s="29">
        <v>10</v>
      </c>
      <c r="B74" s="188" t="s">
        <v>242</v>
      </c>
      <c r="C74" s="260" t="s">
        <v>484</v>
      </c>
      <c r="D74" s="29" t="s">
        <v>369</v>
      </c>
      <c r="E74" s="272">
        <v>400000</v>
      </c>
      <c r="F74" s="276">
        <v>400000</v>
      </c>
      <c r="G74" s="24">
        <v>0</v>
      </c>
    </row>
    <row r="75" spans="1:7" ht="20.100000000000001" customHeight="1">
      <c r="A75" s="29">
        <v>11</v>
      </c>
      <c r="B75" s="188" t="s">
        <v>322</v>
      </c>
      <c r="C75" s="261" t="s">
        <v>84</v>
      </c>
      <c r="D75" s="29" t="s">
        <v>104</v>
      </c>
      <c r="E75" s="272">
        <v>300000</v>
      </c>
      <c r="F75" s="276">
        <v>300000</v>
      </c>
      <c r="G75" s="24">
        <v>0</v>
      </c>
    </row>
    <row r="76" spans="1:7" ht="20.100000000000001" customHeight="1">
      <c r="A76" s="29">
        <v>12</v>
      </c>
      <c r="B76" s="188" t="s">
        <v>320</v>
      </c>
      <c r="C76" s="261" t="s">
        <v>115</v>
      </c>
      <c r="D76" s="29" t="s">
        <v>428</v>
      </c>
      <c r="E76" s="272">
        <v>300000</v>
      </c>
      <c r="F76" s="276">
        <v>300000</v>
      </c>
      <c r="G76" s="24">
        <v>0</v>
      </c>
    </row>
    <row r="77" spans="1:7" ht="20.100000000000001" customHeight="1">
      <c r="A77" s="29">
        <v>13</v>
      </c>
      <c r="B77" s="190" t="s">
        <v>321</v>
      </c>
      <c r="C77" s="261" t="s">
        <v>115</v>
      </c>
      <c r="D77" s="29" t="s">
        <v>105</v>
      </c>
      <c r="E77" s="272">
        <v>300000</v>
      </c>
      <c r="F77" s="272">
        <v>300000</v>
      </c>
      <c r="G77" s="24">
        <v>0</v>
      </c>
    </row>
    <row r="78" spans="1:7" ht="20.100000000000001" customHeight="1">
      <c r="A78" s="29"/>
      <c r="B78" s="191" t="s">
        <v>15</v>
      </c>
      <c r="C78" s="262">
        <v>13</v>
      </c>
      <c r="D78" s="30"/>
      <c r="E78" s="274">
        <f>SUM(E65:E77)</f>
        <v>5150000</v>
      </c>
      <c r="F78" s="274">
        <f t="shared" ref="F78:G78" si="8">SUM(F65:F77)</f>
        <v>3800000</v>
      </c>
      <c r="G78" s="274">
        <f t="shared" si="8"/>
        <v>1350000</v>
      </c>
    </row>
    <row r="79" spans="1:7" ht="20.100000000000001" customHeight="1">
      <c r="A79" s="29"/>
      <c r="B79" s="141"/>
      <c r="C79" s="262"/>
      <c r="D79" s="30"/>
      <c r="E79" s="275"/>
      <c r="F79" s="275"/>
      <c r="G79" s="275"/>
    </row>
    <row r="80" spans="1:7" ht="20.100000000000001" customHeight="1">
      <c r="A80" s="29"/>
      <c r="B80" s="191" t="s">
        <v>462</v>
      </c>
      <c r="C80" s="262"/>
      <c r="D80" s="30"/>
      <c r="E80" s="275"/>
      <c r="F80" s="275"/>
      <c r="G80" s="275"/>
    </row>
    <row r="81" spans="1:7" ht="20.100000000000001" customHeight="1">
      <c r="A81" s="29">
        <v>1</v>
      </c>
      <c r="B81" s="188" t="s">
        <v>19</v>
      </c>
      <c r="C81" s="260" t="s">
        <v>201</v>
      </c>
      <c r="D81" s="29" t="s">
        <v>161</v>
      </c>
      <c r="E81" s="272">
        <v>1000000</v>
      </c>
      <c r="F81" s="24">
        <v>0</v>
      </c>
      <c r="G81" s="272">
        <v>1000000</v>
      </c>
    </row>
    <row r="82" spans="1:7" ht="20.100000000000001" customHeight="1">
      <c r="A82" s="29">
        <v>2</v>
      </c>
      <c r="B82" s="190" t="s">
        <v>325</v>
      </c>
      <c r="C82" s="260" t="s">
        <v>245</v>
      </c>
      <c r="D82" s="214" t="s">
        <v>272</v>
      </c>
      <c r="E82" s="272">
        <v>700000</v>
      </c>
      <c r="F82" s="24">
        <v>0</v>
      </c>
      <c r="G82" s="272">
        <v>700000</v>
      </c>
    </row>
    <row r="83" spans="1:7" ht="20.100000000000001" customHeight="1">
      <c r="A83" s="29">
        <v>3</v>
      </c>
      <c r="B83" s="190" t="s">
        <v>326</v>
      </c>
      <c r="C83" s="260" t="s">
        <v>327</v>
      </c>
      <c r="D83" s="214" t="s">
        <v>272</v>
      </c>
      <c r="E83" s="272">
        <f>700000/2</f>
        <v>350000</v>
      </c>
      <c r="F83" s="24">
        <v>0</v>
      </c>
      <c r="G83" s="272">
        <f t="shared" ref="G83" si="9">700000/2</f>
        <v>350000</v>
      </c>
    </row>
    <row r="84" spans="1:7" ht="20.100000000000001" customHeight="1">
      <c r="A84" s="29">
        <v>4</v>
      </c>
      <c r="B84" s="188" t="s">
        <v>26</v>
      </c>
      <c r="C84" s="260" t="s">
        <v>296</v>
      </c>
      <c r="D84" s="214" t="s">
        <v>163</v>
      </c>
      <c r="E84" s="272">
        <v>500000</v>
      </c>
      <c r="F84" s="272">
        <v>500000</v>
      </c>
      <c r="G84" s="24">
        <v>0</v>
      </c>
    </row>
    <row r="85" spans="1:7" ht="20.100000000000001" customHeight="1">
      <c r="A85" s="29">
        <v>5</v>
      </c>
      <c r="B85" s="188" t="s">
        <v>324</v>
      </c>
      <c r="C85" s="260" t="s">
        <v>243</v>
      </c>
      <c r="D85" s="29" t="s">
        <v>104</v>
      </c>
      <c r="E85" s="272">
        <v>300000</v>
      </c>
      <c r="F85" s="272">
        <v>300000</v>
      </c>
      <c r="G85" s="24">
        <v>0</v>
      </c>
    </row>
    <row r="86" spans="1:7" ht="20.100000000000001" customHeight="1">
      <c r="A86" s="29"/>
      <c r="B86" s="191" t="s">
        <v>15</v>
      </c>
      <c r="C86" s="262">
        <v>5</v>
      </c>
      <c r="D86" s="30"/>
      <c r="E86" s="274">
        <f>SUM(E81:E85)</f>
        <v>2850000</v>
      </c>
      <c r="F86" s="274">
        <f>SUM(F81:F85)</f>
        <v>800000</v>
      </c>
      <c r="G86" s="274">
        <f t="shared" ref="G86" si="10">SUM(G81:G85)</f>
        <v>2050000</v>
      </c>
    </row>
    <row r="87" spans="1:7" ht="20.100000000000001" customHeight="1">
      <c r="A87" s="29"/>
      <c r="B87" s="191"/>
      <c r="C87" s="262"/>
      <c r="D87" s="30"/>
      <c r="E87" s="272"/>
      <c r="F87" s="272"/>
      <c r="G87" s="272"/>
    </row>
    <row r="88" spans="1:7" ht="20.100000000000001" customHeight="1">
      <c r="A88" s="29"/>
      <c r="B88" s="191" t="s">
        <v>463</v>
      </c>
      <c r="C88" s="264"/>
      <c r="D88" s="30"/>
      <c r="E88" s="272"/>
      <c r="F88" s="272"/>
      <c r="G88" s="272"/>
    </row>
    <row r="89" spans="1:7" ht="20.100000000000001" customHeight="1">
      <c r="A89" s="29">
        <v>1</v>
      </c>
      <c r="B89" s="188" t="s">
        <v>244</v>
      </c>
      <c r="C89" s="260" t="s">
        <v>312</v>
      </c>
      <c r="D89" s="29" t="s">
        <v>221</v>
      </c>
      <c r="E89" s="272">
        <v>700000</v>
      </c>
      <c r="F89" s="24">
        <v>0</v>
      </c>
      <c r="G89" s="272">
        <v>700000</v>
      </c>
    </row>
    <row r="90" spans="1:7" ht="20.100000000000001" customHeight="1">
      <c r="A90" s="29">
        <v>2</v>
      </c>
      <c r="B90" s="188" t="s">
        <v>169</v>
      </c>
      <c r="C90" s="260" t="s">
        <v>258</v>
      </c>
      <c r="D90" s="29" t="s">
        <v>75</v>
      </c>
      <c r="E90" s="272">
        <v>700000</v>
      </c>
      <c r="F90" s="24">
        <v>0</v>
      </c>
      <c r="G90" s="272">
        <v>700000</v>
      </c>
    </row>
    <row r="91" spans="1:7" ht="20.100000000000001" customHeight="1">
      <c r="A91" s="29">
        <v>3</v>
      </c>
      <c r="B91" s="188" t="s">
        <v>192</v>
      </c>
      <c r="C91" s="260" t="s">
        <v>258</v>
      </c>
      <c r="D91" s="29" t="s">
        <v>75</v>
      </c>
      <c r="E91" s="272">
        <v>700000</v>
      </c>
      <c r="F91" s="24">
        <v>0</v>
      </c>
      <c r="G91" s="272">
        <v>700000</v>
      </c>
    </row>
    <row r="92" spans="1:7" ht="20.100000000000001" customHeight="1">
      <c r="A92" s="29">
        <v>4</v>
      </c>
      <c r="B92" s="190" t="s">
        <v>138</v>
      </c>
      <c r="C92" s="260" t="s">
        <v>297</v>
      </c>
      <c r="D92" s="29" t="s">
        <v>181</v>
      </c>
      <c r="E92" s="276">
        <v>500000</v>
      </c>
      <c r="F92" s="24">
        <v>0</v>
      </c>
      <c r="G92" s="276">
        <v>500000</v>
      </c>
    </row>
    <row r="93" spans="1:7" ht="20.100000000000001" customHeight="1">
      <c r="A93" s="29">
        <v>5</v>
      </c>
      <c r="B93" s="188" t="s">
        <v>202</v>
      </c>
      <c r="C93" s="260" t="s">
        <v>78</v>
      </c>
      <c r="D93" s="29" t="s">
        <v>162</v>
      </c>
      <c r="E93" s="276">
        <v>500000</v>
      </c>
      <c r="F93" s="24">
        <v>0</v>
      </c>
      <c r="G93" s="276">
        <v>500000</v>
      </c>
    </row>
    <row r="94" spans="1:7" ht="21.6" customHeight="1">
      <c r="A94" s="29">
        <v>6</v>
      </c>
      <c r="B94" s="188" t="s">
        <v>101</v>
      </c>
      <c r="C94" s="260" t="s">
        <v>80</v>
      </c>
      <c r="D94" s="214" t="s">
        <v>163</v>
      </c>
      <c r="E94" s="276">
        <v>500000</v>
      </c>
      <c r="F94" s="272">
        <v>500000</v>
      </c>
      <c r="G94" s="26">
        <v>0</v>
      </c>
    </row>
    <row r="95" spans="1:7" ht="21.6" customHeight="1">
      <c r="A95" s="29">
        <v>7</v>
      </c>
      <c r="B95" s="188" t="s">
        <v>336</v>
      </c>
      <c r="C95" s="259" t="s">
        <v>257</v>
      </c>
      <c r="D95" s="214" t="s">
        <v>149</v>
      </c>
      <c r="E95" s="276">
        <v>500000</v>
      </c>
      <c r="F95" s="272">
        <v>500000</v>
      </c>
      <c r="G95" s="26">
        <v>0</v>
      </c>
    </row>
    <row r="96" spans="1:7" ht="21.6" customHeight="1">
      <c r="A96" s="29">
        <v>8</v>
      </c>
      <c r="B96" s="188" t="s">
        <v>337</v>
      </c>
      <c r="C96" s="259" t="s">
        <v>257</v>
      </c>
      <c r="D96" s="214" t="s">
        <v>149</v>
      </c>
      <c r="E96" s="276">
        <f>500000/2</f>
        <v>250000</v>
      </c>
      <c r="F96" s="276">
        <f>500000/2</f>
        <v>250000</v>
      </c>
      <c r="G96" s="26">
        <v>0</v>
      </c>
    </row>
    <row r="97" spans="1:7" ht="21.6" customHeight="1">
      <c r="A97" s="29">
        <v>9</v>
      </c>
      <c r="B97" s="188" t="s">
        <v>421</v>
      </c>
      <c r="C97" s="261" t="s">
        <v>422</v>
      </c>
      <c r="D97" s="214" t="s">
        <v>369</v>
      </c>
      <c r="E97" s="272">
        <v>400000</v>
      </c>
      <c r="F97" s="272">
        <v>400000</v>
      </c>
      <c r="G97" s="26">
        <v>0</v>
      </c>
    </row>
    <row r="98" spans="1:7" ht="21.6" customHeight="1">
      <c r="A98" s="29">
        <v>10</v>
      </c>
      <c r="B98" s="188" t="s">
        <v>436</v>
      </c>
      <c r="C98" s="260" t="s">
        <v>470</v>
      </c>
      <c r="D98" s="29" t="s">
        <v>104</v>
      </c>
      <c r="E98" s="272">
        <v>300000</v>
      </c>
      <c r="F98" s="272">
        <v>300000</v>
      </c>
      <c r="G98" s="26">
        <v>0</v>
      </c>
    </row>
    <row r="99" spans="1:7" ht="21.6" customHeight="1">
      <c r="A99" s="29">
        <v>11</v>
      </c>
      <c r="B99" s="188" t="s">
        <v>406</v>
      </c>
      <c r="C99" s="261" t="s">
        <v>432</v>
      </c>
      <c r="D99" s="214" t="s">
        <v>105</v>
      </c>
      <c r="E99" s="272">
        <v>300000</v>
      </c>
      <c r="F99" s="272">
        <v>300000</v>
      </c>
      <c r="G99" s="26">
        <v>0</v>
      </c>
    </row>
    <row r="100" spans="1:7" ht="20.100000000000001" customHeight="1">
      <c r="A100" s="29"/>
      <c r="B100" s="191" t="s">
        <v>15</v>
      </c>
      <c r="C100" s="262">
        <v>10</v>
      </c>
      <c r="D100" s="30"/>
      <c r="E100" s="274">
        <f>SUM(E89:E99)</f>
        <v>5350000</v>
      </c>
      <c r="F100" s="274">
        <f t="shared" ref="F100:G100" si="11">SUM(F89:F99)</f>
        <v>2250000</v>
      </c>
      <c r="G100" s="274">
        <f t="shared" si="11"/>
        <v>3100000</v>
      </c>
    </row>
    <row r="101" spans="1:7" ht="20.100000000000001" customHeight="1">
      <c r="A101" s="29"/>
      <c r="B101" s="141"/>
      <c r="C101" s="262"/>
      <c r="D101" s="30"/>
      <c r="E101" s="275"/>
      <c r="F101" s="275"/>
      <c r="G101" s="275"/>
    </row>
    <row r="102" spans="1:7" ht="20.100000000000001" customHeight="1">
      <c r="A102" s="29"/>
      <c r="B102" s="191" t="s">
        <v>490</v>
      </c>
      <c r="C102" s="262"/>
      <c r="D102" s="30"/>
      <c r="E102" s="275"/>
      <c r="F102" s="275"/>
      <c r="G102" s="275"/>
    </row>
    <row r="103" spans="1:7" ht="20.100000000000001" customHeight="1">
      <c r="A103" s="29">
        <v>1</v>
      </c>
      <c r="B103" s="189" t="s">
        <v>364</v>
      </c>
      <c r="C103" s="265" t="s">
        <v>343</v>
      </c>
      <c r="D103" s="214" t="s">
        <v>221</v>
      </c>
      <c r="E103" s="272">
        <v>700000</v>
      </c>
      <c r="F103" s="24">
        <v>0</v>
      </c>
      <c r="G103" s="272">
        <v>700000</v>
      </c>
    </row>
    <row r="104" spans="1:7" ht="20.100000000000001" customHeight="1">
      <c r="A104" s="29">
        <v>2</v>
      </c>
      <c r="B104" s="188" t="s">
        <v>185</v>
      </c>
      <c r="C104" s="260" t="s">
        <v>373</v>
      </c>
      <c r="D104" s="29" t="s">
        <v>162</v>
      </c>
      <c r="E104" s="272">
        <v>500000</v>
      </c>
      <c r="F104" s="24">
        <v>0</v>
      </c>
      <c r="G104" s="272">
        <v>500000</v>
      </c>
    </row>
    <row r="105" spans="1:7" ht="20.100000000000001" customHeight="1">
      <c r="A105" s="29">
        <v>3</v>
      </c>
      <c r="B105" s="189" t="s">
        <v>366</v>
      </c>
      <c r="C105" s="260" t="s">
        <v>367</v>
      </c>
      <c r="D105" s="214" t="s">
        <v>149</v>
      </c>
      <c r="E105" s="272">
        <v>500000</v>
      </c>
      <c r="F105" s="272">
        <v>500000</v>
      </c>
      <c r="G105" s="24">
        <v>0</v>
      </c>
    </row>
    <row r="106" spans="1:7" ht="20.100000000000001" customHeight="1">
      <c r="A106" s="29">
        <v>4</v>
      </c>
      <c r="B106" s="188" t="s">
        <v>237</v>
      </c>
      <c r="C106" s="260" t="s">
        <v>483</v>
      </c>
      <c r="D106" s="214" t="s">
        <v>369</v>
      </c>
      <c r="E106" s="272">
        <v>400000</v>
      </c>
      <c r="F106" s="272">
        <v>400000</v>
      </c>
      <c r="G106" s="24">
        <v>0</v>
      </c>
    </row>
    <row r="107" spans="1:7" ht="20.100000000000001" customHeight="1">
      <c r="A107" s="21"/>
      <c r="B107" s="191" t="s">
        <v>15</v>
      </c>
      <c r="C107" s="262">
        <v>4</v>
      </c>
      <c r="D107" s="220"/>
      <c r="E107" s="274">
        <f>SUM(E103:E106)</f>
        <v>2100000</v>
      </c>
      <c r="F107" s="274">
        <f t="shared" ref="F107:G107" si="12">SUM(F103:F106)</f>
        <v>900000</v>
      </c>
      <c r="G107" s="274">
        <f t="shared" si="12"/>
        <v>1200000</v>
      </c>
    </row>
    <row r="108" spans="1:7" ht="20.100000000000001" customHeight="1">
      <c r="A108" s="21"/>
      <c r="B108" s="141"/>
      <c r="C108" s="262"/>
      <c r="D108" s="220"/>
      <c r="E108" s="275"/>
      <c r="F108" s="275"/>
      <c r="G108" s="275"/>
    </row>
    <row r="109" spans="1:7" ht="20.100000000000001" customHeight="1">
      <c r="A109" s="21"/>
      <c r="B109" s="191" t="s">
        <v>465</v>
      </c>
      <c r="C109" s="260"/>
      <c r="D109" s="21"/>
      <c r="E109" s="277"/>
      <c r="F109" s="277"/>
      <c r="G109" s="277"/>
    </row>
    <row r="110" spans="1:7" ht="20.100000000000001" customHeight="1">
      <c r="A110" s="21">
        <v>1</v>
      </c>
      <c r="B110" s="188" t="s">
        <v>216</v>
      </c>
      <c r="C110" s="259" t="s">
        <v>217</v>
      </c>
      <c r="D110" s="214" t="s">
        <v>161</v>
      </c>
      <c r="E110" s="272">
        <v>1000000</v>
      </c>
      <c r="F110" s="24">
        <v>0</v>
      </c>
      <c r="G110" s="272">
        <v>1000000</v>
      </c>
    </row>
    <row r="111" spans="1:7" ht="20.100000000000001" customHeight="1">
      <c r="A111" s="21">
        <v>2</v>
      </c>
      <c r="B111" s="188" t="s">
        <v>110</v>
      </c>
      <c r="C111" s="260" t="s">
        <v>259</v>
      </c>
      <c r="D111" s="25" t="s">
        <v>29</v>
      </c>
      <c r="E111" s="272">
        <v>700000</v>
      </c>
      <c r="F111" s="24">
        <v>0</v>
      </c>
      <c r="G111" s="272">
        <v>700000</v>
      </c>
    </row>
    <row r="112" spans="1:7" ht="20.100000000000001" customHeight="1">
      <c r="A112" s="21">
        <v>3</v>
      </c>
      <c r="B112" s="188" t="s">
        <v>109</v>
      </c>
      <c r="C112" s="260" t="s">
        <v>311</v>
      </c>
      <c r="D112" s="29" t="s">
        <v>175</v>
      </c>
      <c r="E112" s="272">
        <v>500000</v>
      </c>
      <c r="F112" s="272">
        <v>500000</v>
      </c>
      <c r="G112" s="24">
        <v>0</v>
      </c>
    </row>
    <row r="113" spans="1:7" ht="20.100000000000001" customHeight="1">
      <c r="A113" s="21">
        <v>4</v>
      </c>
      <c r="B113" s="188" t="s">
        <v>135</v>
      </c>
      <c r="C113" s="260" t="s">
        <v>311</v>
      </c>
      <c r="D113" s="29" t="s">
        <v>170</v>
      </c>
      <c r="E113" s="272">
        <v>500000</v>
      </c>
      <c r="F113" s="272">
        <v>500000</v>
      </c>
      <c r="G113" s="24">
        <v>0</v>
      </c>
    </row>
    <row r="114" spans="1:7" ht="20.100000000000001" customHeight="1">
      <c r="A114" s="21">
        <v>5</v>
      </c>
      <c r="B114" s="188" t="s">
        <v>240</v>
      </c>
      <c r="C114" s="260" t="s">
        <v>338</v>
      </c>
      <c r="D114" s="214" t="s">
        <v>267</v>
      </c>
      <c r="E114" s="272">
        <v>300000</v>
      </c>
      <c r="F114" s="272">
        <v>300000</v>
      </c>
      <c r="G114" s="24">
        <v>0</v>
      </c>
    </row>
    <row r="115" spans="1:7" ht="20.100000000000001" customHeight="1">
      <c r="A115" s="21">
        <v>6</v>
      </c>
      <c r="B115" s="189" t="s">
        <v>341</v>
      </c>
      <c r="C115" s="260" t="s">
        <v>338</v>
      </c>
      <c r="D115" s="29" t="s">
        <v>51</v>
      </c>
      <c r="E115" s="272">
        <v>300000</v>
      </c>
      <c r="F115" s="272">
        <v>300000</v>
      </c>
      <c r="G115" s="24">
        <v>0</v>
      </c>
    </row>
    <row r="116" spans="1:7" ht="20.100000000000001" customHeight="1">
      <c r="A116" s="21">
        <v>7</v>
      </c>
      <c r="B116" s="189" t="s">
        <v>374</v>
      </c>
      <c r="C116" s="260" t="s">
        <v>338</v>
      </c>
      <c r="D116" s="214" t="s">
        <v>105</v>
      </c>
      <c r="E116" s="272">
        <v>300000</v>
      </c>
      <c r="F116" s="272">
        <v>300000</v>
      </c>
      <c r="G116" s="24">
        <v>0</v>
      </c>
    </row>
    <row r="117" spans="1:7" ht="20.100000000000001" customHeight="1">
      <c r="A117" s="21"/>
      <c r="B117" s="191" t="s">
        <v>15</v>
      </c>
      <c r="C117" s="262">
        <v>7</v>
      </c>
      <c r="D117" s="21"/>
      <c r="E117" s="278">
        <f>SUM(E110:E116)</f>
        <v>3600000</v>
      </c>
      <c r="F117" s="278">
        <f t="shared" ref="F117:G117" si="13">SUM(F110:F116)</f>
        <v>1900000</v>
      </c>
      <c r="G117" s="278">
        <f t="shared" si="13"/>
        <v>1700000</v>
      </c>
    </row>
    <row r="118" spans="1:7" ht="20.100000000000001" customHeight="1">
      <c r="A118" s="21"/>
      <c r="B118" s="141"/>
      <c r="C118" s="265"/>
      <c r="D118" s="21"/>
      <c r="E118" s="279"/>
      <c r="F118" s="279"/>
      <c r="G118" s="279"/>
    </row>
    <row r="119" spans="1:7" ht="20.100000000000001" customHeight="1">
      <c r="A119" s="21"/>
      <c r="B119" s="191" t="s">
        <v>466</v>
      </c>
      <c r="C119" s="262"/>
      <c r="D119" s="30"/>
      <c r="E119" s="272"/>
      <c r="F119" s="272"/>
      <c r="G119" s="272"/>
    </row>
    <row r="120" spans="1:7" ht="20.100000000000001" customHeight="1">
      <c r="A120" s="21">
        <v>1</v>
      </c>
      <c r="B120" s="188" t="s">
        <v>20</v>
      </c>
      <c r="C120" s="259" t="s">
        <v>250</v>
      </c>
      <c r="D120" s="214" t="s">
        <v>161</v>
      </c>
      <c r="E120" s="272">
        <v>1000000</v>
      </c>
      <c r="F120" s="24">
        <v>0</v>
      </c>
      <c r="G120" s="272">
        <v>1000000</v>
      </c>
    </row>
    <row r="121" spans="1:7" ht="20.100000000000001" customHeight="1">
      <c r="A121" s="21">
        <v>2</v>
      </c>
      <c r="B121" s="188" t="s">
        <v>100</v>
      </c>
      <c r="C121" s="259" t="s">
        <v>268</v>
      </c>
      <c r="D121" s="214" t="s">
        <v>160</v>
      </c>
      <c r="E121" s="272">
        <v>700000</v>
      </c>
      <c r="F121" s="24">
        <v>0</v>
      </c>
      <c r="G121" s="272">
        <v>700000</v>
      </c>
    </row>
    <row r="122" spans="1:7" ht="20.100000000000001" customHeight="1">
      <c r="A122" s="21">
        <v>3</v>
      </c>
      <c r="B122" s="188" t="s">
        <v>153</v>
      </c>
      <c r="C122" s="259" t="s">
        <v>376</v>
      </c>
      <c r="D122" s="214" t="s">
        <v>75</v>
      </c>
      <c r="E122" s="272">
        <v>700000</v>
      </c>
      <c r="F122" s="24">
        <v>0</v>
      </c>
      <c r="G122" s="272">
        <v>700000</v>
      </c>
    </row>
    <row r="123" spans="1:7" ht="20.100000000000001" customHeight="1">
      <c r="A123" s="21">
        <v>4</v>
      </c>
      <c r="B123" s="190" t="s">
        <v>142</v>
      </c>
      <c r="C123" s="259" t="s">
        <v>376</v>
      </c>
      <c r="D123" s="214" t="s">
        <v>75</v>
      </c>
      <c r="E123" s="272">
        <v>700000</v>
      </c>
      <c r="F123" s="24">
        <v>0</v>
      </c>
      <c r="G123" s="272">
        <v>700000</v>
      </c>
    </row>
    <row r="124" spans="1:7" ht="20.100000000000001" customHeight="1">
      <c r="A124" s="21">
        <v>5</v>
      </c>
      <c r="B124" s="190" t="s">
        <v>363</v>
      </c>
      <c r="C124" s="259" t="s">
        <v>376</v>
      </c>
      <c r="D124" s="214" t="s">
        <v>30</v>
      </c>
      <c r="E124" s="272">
        <v>700000</v>
      </c>
      <c r="F124" s="24">
        <v>0</v>
      </c>
      <c r="G124" s="272">
        <v>700000</v>
      </c>
    </row>
    <row r="125" spans="1:7" ht="20.100000000000001" customHeight="1">
      <c r="A125" s="21">
        <v>6</v>
      </c>
      <c r="B125" s="188" t="s">
        <v>108</v>
      </c>
      <c r="C125" s="259" t="s">
        <v>476</v>
      </c>
      <c r="D125" s="214" t="s">
        <v>222</v>
      </c>
      <c r="E125" s="272">
        <v>500000</v>
      </c>
      <c r="F125" s="24">
        <v>0</v>
      </c>
      <c r="G125" s="272">
        <v>500000</v>
      </c>
    </row>
    <row r="126" spans="1:7" ht="20.100000000000001" customHeight="1">
      <c r="A126" s="21">
        <v>7</v>
      </c>
      <c r="B126" s="188" t="s">
        <v>178</v>
      </c>
      <c r="C126" s="259" t="s">
        <v>382</v>
      </c>
      <c r="D126" s="214" t="s">
        <v>163</v>
      </c>
      <c r="E126" s="272">
        <v>500000</v>
      </c>
      <c r="F126" s="272">
        <v>500000</v>
      </c>
      <c r="G126" s="24">
        <v>0</v>
      </c>
    </row>
    <row r="127" spans="1:7" ht="20.100000000000001" customHeight="1">
      <c r="A127" s="21">
        <v>8</v>
      </c>
      <c r="B127" s="188" t="s">
        <v>134</v>
      </c>
      <c r="C127" s="259" t="s">
        <v>384</v>
      </c>
      <c r="D127" s="214" t="s">
        <v>163</v>
      </c>
      <c r="E127" s="272">
        <v>500000</v>
      </c>
      <c r="F127" s="272">
        <v>500000</v>
      </c>
      <c r="G127" s="24">
        <v>0</v>
      </c>
    </row>
    <row r="128" spans="1:7" ht="20.100000000000001" customHeight="1">
      <c r="A128" s="21">
        <v>9</v>
      </c>
      <c r="B128" s="189" t="s">
        <v>365</v>
      </c>
      <c r="C128" s="259" t="s">
        <v>383</v>
      </c>
      <c r="D128" s="214" t="s">
        <v>413</v>
      </c>
      <c r="E128" s="272">
        <v>500000</v>
      </c>
      <c r="F128" s="272">
        <v>500000</v>
      </c>
      <c r="G128" s="24">
        <v>0</v>
      </c>
    </row>
    <row r="129" spans="1:7" ht="20.100000000000001" customHeight="1">
      <c r="A129" s="21">
        <v>10</v>
      </c>
      <c r="B129" s="188" t="s">
        <v>443</v>
      </c>
      <c r="C129" s="259" t="s">
        <v>447</v>
      </c>
      <c r="D129" s="29" t="s">
        <v>428</v>
      </c>
      <c r="E129" s="272">
        <v>300000</v>
      </c>
      <c r="F129" s="272">
        <v>300000</v>
      </c>
      <c r="G129" s="24">
        <v>0</v>
      </c>
    </row>
    <row r="130" spans="1:7" ht="20.100000000000001" customHeight="1">
      <c r="A130" s="21">
        <v>11</v>
      </c>
      <c r="B130" s="189" t="s">
        <v>439</v>
      </c>
      <c r="C130" s="259" t="s">
        <v>440</v>
      </c>
      <c r="D130" s="214" t="s">
        <v>105</v>
      </c>
      <c r="E130" s="272">
        <v>300000</v>
      </c>
      <c r="F130" s="272">
        <v>300000</v>
      </c>
      <c r="G130" s="24">
        <v>0</v>
      </c>
    </row>
    <row r="131" spans="1:7" ht="20.100000000000001" customHeight="1">
      <c r="A131" s="21"/>
      <c r="B131" s="191" t="s">
        <v>15</v>
      </c>
      <c r="C131" s="266" t="s">
        <v>292</v>
      </c>
      <c r="D131" s="214"/>
      <c r="E131" s="280">
        <f>SUM(E120:E130)</f>
        <v>6400000</v>
      </c>
      <c r="F131" s="280">
        <f t="shared" ref="F131:G131" si="14">SUM(F120:F130)</f>
        <v>2100000</v>
      </c>
      <c r="G131" s="280">
        <f t="shared" si="14"/>
        <v>4300000</v>
      </c>
    </row>
    <row r="132" spans="1:7" ht="20.100000000000001" customHeight="1">
      <c r="A132" s="21"/>
      <c r="B132" s="141"/>
      <c r="C132" s="266"/>
      <c r="D132" s="214"/>
      <c r="E132" s="281"/>
      <c r="F132" s="281"/>
      <c r="G132" s="281"/>
    </row>
    <row r="133" spans="1:7" ht="20.100000000000001" customHeight="1">
      <c r="A133" s="21"/>
      <c r="B133" s="191" t="s">
        <v>467</v>
      </c>
      <c r="C133" s="259"/>
      <c r="D133" s="214"/>
      <c r="E133" s="272"/>
      <c r="F133" s="272"/>
      <c r="G133" s="272"/>
    </row>
    <row r="134" spans="1:7" ht="20.100000000000001" customHeight="1">
      <c r="A134" s="224">
        <v>1</v>
      </c>
      <c r="B134" s="188" t="s">
        <v>21</v>
      </c>
      <c r="C134" s="259" t="s">
        <v>491</v>
      </c>
      <c r="D134" s="214" t="s">
        <v>161</v>
      </c>
      <c r="E134" s="272">
        <f>1000000/2</f>
        <v>500000</v>
      </c>
      <c r="F134" s="24">
        <v>0</v>
      </c>
      <c r="G134" s="272">
        <f t="shared" ref="G134" si="15">1000000/2</f>
        <v>500000</v>
      </c>
    </row>
    <row r="135" spans="1:7" ht="20.100000000000001" customHeight="1">
      <c r="A135" s="224">
        <v>2</v>
      </c>
      <c r="B135" s="188" t="s">
        <v>107</v>
      </c>
      <c r="C135" s="259" t="s">
        <v>394</v>
      </c>
      <c r="D135" s="214" t="s">
        <v>160</v>
      </c>
      <c r="E135" s="272">
        <f>700000/2</f>
        <v>350000</v>
      </c>
      <c r="F135" s="24">
        <v>0</v>
      </c>
      <c r="G135" s="272">
        <f t="shared" ref="G135" si="16">700000/2</f>
        <v>350000</v>
      </c>
    </row>
    <row r="136" spans="1:7" ht="20.100000000000001" customHeight="1">
      <c r="A136" s="224">
        <v>3</v>
      </c>
      <c r="B136" s="190" t="s">
        <v>183</v>
      </c>
      <c r="C136" s="260" t="s">
        <v>486</v>
      </c>
      <c r="D136" s="25" t="s">
        <v>29</v>
      </c>
      <c r="E136" s="272">
        <v>700000</v>
      </c>
      <c r="F136" s="24">
        <v>0</v>
      </c>
      <c r="G136" s="272">
        <v>700000</v>
      </c>
    </row>
    <row r="137" spans="1:7" ht="20.100000000000001" customHeight="1">
      <c r="A137" s="224">
        <v>4</v>
      </c>
      <c r="B137" s="188" t="s">
        <v>106</v>
      </c>
      <c r="C137" s="259" t="s">
        <v>381</v>
      </c>
      <c r="D137" s="214" t="s">
        <v>162</v>
      </c>
      <c r="E137" s="272">
        <v>500000</v>
      </c>
      <c r="F137" s="24">
        <v>0</v>
      </c>
      <c r="G137" s="272">
        <v>500000</v>
      </c>
    </row>
    <row r="138" spans="1:7" ht="20.100000000000001" customHeight="1">
      <c r="A138" s="224">
        <v>5</v>
      </c>
      <c r="B138" s="188" t="s">
        <v>7</v>
      </c>
      <c r="C138" s="260" t="s">
        <v>385</v>
      </c>
      <c r="D138" s="214" t="s">
        <v>162</v>
      </c>
      <c r="E138" s="272">
        <v>500000</v>
      </c>
      <c r="F138" s="24">
        <v>0</v>
      </c>
      <c r="G138" s="272">
        <v>500000</v>
      </c>
    </row>
    <row r="139" spans="1:7" ht="20.100000000000001" customHeight="1">
      <c r="A139" s="224">
        <v>6</v>
      </c>
      <c r="B139" s="188" t="s">
        <v>124</v>
      </c>
      <c r="C139" s="260" t="s">
        <v>235</v>
      </c>
      <c r="D139" s="214" t="s">
        <v>163</v>
      </c>
      <c r="E139" s="272">
        <v>500000</v>
      </c>
      <c r="F139" s="272">
        <v>500000</v>
      </c>
      <c r="G139" s="24">
        <v>0</v>
      </c>
    </row>
    <row r="140" spans="1:7" ht="20.100000000000001" customHeight="1">
      <c r="A140" s="224">
        <v>7</v>
      </c>
      <c r="B140" s="188" t="s">
        <v>102</v>
      </c>
      <c r="C140" s="259" t="s">
        <v>395</v>
      </c>
      <c r="D140" s="214" t="s">
        <v>415</v>
      </c>
      <c r="E140" s="272">
        <v>400000</v>
      </c>
      <c r="F140" s="272">
        <v>400000</v>
      </c>
      <c r="G140" s="24">
        <v>0</v>
      </c>
    </row>
    <row r="141" spans="1:7" ht="20.100000000000001" customHeight="1">
      <c r="A141" s="224">
        <v>8</v>
      </c>
      <c r="B141" s="188" t="s">
        <v>103</v>
      </c>
      <c r="C141" s="259" t="s">
        <v>395</v>
      </c>
      <c r="D141" s="214" t="s">
        <v>415</v>
      </c>
      <c r="E141" s="272">
        <v>400000</v>
      </c>
      <c r="F141" s="272">
        <v>400000</v>
      </c>
      <c r="G141" s="24">
        <v>0</v>
      </c>
    </row>
    <row r="142" spans="1:7" ht="20.100000000000001" customHeight="1">
      <c r="A142" s="224">
        <v>9</v>
      </c>
      <c r="B142" s="188" t="s">
        <v>151</v>
      </c>
      <c r="C142" s="260" t="s">
        <v>235</v>
      </c>
      <c r="D142" s="214" t="s">
        <v>415</v>
      </c>
      <c r="E142" s="272">
        <v>400000</v>
      </c>
      <c r="F142" s="272">
        <v>400000</v>
      </c>
      <c r="G142" s="24">
        <v>0</v>
      </c>
    </row>
    <row r="143" spans="1:7" ht="20.100000000000001" customHeight="1">
      <c r="A143" s="224">
        <v>10</v>
      </c>
      <c r="B143" s="188" t="s">
        <v>238</v>
      </c>
      <c r="C143" s="259" t="s">
        <v>479</v>
      </c>
      <c r="D143" s="214" t="s">
        <v>369</v>
      </c>
      <c r="E143" s="272">
        <v>400000</v>
      </c>
      <c r="F143" s="272">
        <v>400000</v>
      </c>
      <c r="G143" s="24">
        <v>0</v>
      </c>
    </row>
    <row r="144" spans="1:7" ht="20.100000000000001" customHeight="1">
      <c r="A144" s="224">
        <v>11</v>
      </c>
      <c r="B144" s="188" t="s">
        <v>53</v>
      </c>
      <c r="C144" s="259" t="s">
        <v>300</v>
      </c>
      <c r="D144" s="214" t="s">
        <v>164</v>
      </c>
      <c r="E144" s="272">
        <v>300000</v>
      </c>
      <c r="F144" s="272">
        <v>300000</v>
      </c>
      <c r="G144" s="24">
        <v>0</v>
      </c>
    </row>
    <row r="145" spans="1:7" ht="20.100000000000001" customHeight="1">
      <c r="A145" s="224">
        <v>12</v>
      </c>
      <c r="B145" s="188" t="s">
        <v>179</v>
      </c>
      <c r="C145" s="259" t="s">
        <v>479</v>
      </c>
      <c r="D145" s="214" t="s">
        <v>369</v>
      </c>
      <c r="E145" s="272">
        <v>400000</v>
      </c>
      <c r="F145" s="272">
        <v>400000</v>
      </c>
      <c r="G145" s="24">
        <v>0</v>
      </c>
    </row>
    <row r="146" spans="1:7" ht="20.100000000000001" customHeight="1">
      <c r="A146" s="224">
        <v>13</v>
      </c>
      <c r="B146" s="188" t="s">
        <v>488</v>
      </c>
      <c r="C146" s="260" t="s">
        <v>239</v>
      </c>
      <c r="D146" s="214" t="s">
        <v>207</v>
      </c>
      <c r="E146" s="272">
        <v>300000</v>
      </c>
      <c r="F146" s="272">
        <v>300000</v>
      </c>
      <c r="G146" s="24">
        <v>0</v>
      </c>
    </row>
    <row r="147" spans="1:7" ht="20.100000000000001" customHeight="1">
      <c r="A147" s="224">
        <v>14</v>
      </c>
      <c r="B147" s="188" t="s">
        <v>489</v>
      </c>
      <c r="C147" s="260" t="s">
        <v>239</v>
      </c>
      <c r="D147" s="214" t="s">
        <v>207</v>
      </c>
      <c r="E147" s="272">
        <v>300000</v>
      </c>
      <c r="F147" s="272">
        <v>300000</v>
      </c>
      <c r="G147" s="24">
        <v>0</v>
      </c>
    </row>
    <row r="148" spans="1:7" ht="20.100000000000001" customHeight="1">
      <c r="A148" s="224">
        <v>15</v>
      </c>
      <c r="B148" s="188" t="s">
        <v>212</v>
      </c>
      <c r="C148" s="260" t="s">
        <v>239</v>
      </c>
      <c r="D148" s="214" t="s">
        <v>207</v>
      </c>
      <c r="E148" s="272">
        <v>300000</v>
      </c>
      <c r="F148" s="272">
        <v>300000</v>
      </c>
      <c r="G148" s="24">
        <v>0</v>
      </c>
    </row>
    <row r="149" spans="1:7" ht="20.100000000000001" customHeight="1">
      <c r="A149" s="224">
        <v>16</v>
      </c>
      <c r="B149" s="188" t="s">
        <v>425</v>
      </c>
      <c r="C149" s="259" t="s">
        <v>430</v>
      </c>
      <c r="D149" s="214" t="s">
        <v>104</v>
      </c>
      <c r="E149" s="272">
        <v>300000</v>
      </c>
      <c r="F149" s="272">
        <v>300000</v>
      </c>
      <c r="G149" s="24">
        <v>0</v>
      </c>
    </row>
    <row r="150" spans="1:7" ht="20.100000000000001" customHeight="1">
      <c r="A150" s="224">
        <v>17</v>
      </c>
      <c r="B150" s="188" t="s">
        <v>437</v>
      </c>
      <c r="C150" s="259" t="s">
        <v>438</v>
      </c>
      <c r="D150" s="29" t="s">
        <v>428</v>
      </c>
      <c r="E150" s="272">
        <v>300000</v>
      </c>
      <c r="F150" s="272">
        <v>300000</v>
      </c>
      <c r="G150" s="24">
        <v>0</v>
      </c>
    </row>
    <row r="151" spans="1:7" ht="20.100000000000001" customHeight="1">
      <c r="A151" s="224">
        <v>18</v>
      </c>
      <c r="B151" s="188" t="s">
        <v>230</v>
      </c>
      <c r="C151" s="259" t="s">
        <v>485</v>
      </c>
      <c r="D151" s="214" t="s">
        <v>104</v>
      </c>
      <c r="E151" s="272">
        <v>300000</v>
      </c>
      <c r="F151" s="272">
        <v>300000</v>
      </c>
      <c r="G151" s="24">
        <v>0</v>
      </c>
    </row>
    <row r="152" spans="1:7" ht="20.100000000000001" customHeight="1">
      <c r="A152" s="224">
        <v>19</v>
      </c>
      <c r="B152" s="188" t="s">
        <v>57</v>
      </c>
      <c r="C152" s="259" t="s">
        <v>481</v>
      </c>
      <c r="D152" s="214" t="s">
        <v>428</v>
      </c>
      <c r="E152" s="272">
        <v>300000</v>
      </c>
      <c r="F152" s="272">
        <v>300000</v>
      </c>
      <c r="G152" s="24">
        <v>0</v>
      </c>
    </row>
    <row r="153" spans="1:7" ht="20.100000000000001" customHeight="1">
      <c r="A153" s="224">
        <v>20</v>
      </c>
      <c r="B153" s="188" t="s">
        <v>251</v>
      </c>
      <c r="C153" s="259" t="s">
        <v>482</v>
      </c>
      <c r="D153" s="214" t="s">
        <v>104</v>
      </c>
      <c r="E153" s="272">
        <v>300000</v>
      </c>
      <c r="F153" s="272">
        <v>300000</v>
      </c>
      <c r="G153" s="24">
        <v>0</v>
      </c>
    </row>
    <row r="154" spans="1:7" ht="20.100000000000001" customHeight="1">
      <c r="A154" s="224">
        <v>21</v>
      </c>
      <c r="B154" s="188" t="s">
        <v>241</v>
      </c>
      <c r="C154" s="259" t="s">
        <v>348</v>
      </c>
      <c r="D154" s="214" t="s">
        <v>428</v>
      </c>
      <c r="E154" s="272">
        <v>300000</v>
      </c>
      <c r="F154" s="272">
        <v>300000</v>
      </c>
      <c r="G154" s="24">
        <v>0</v>
      </c>
    </row>
    <row r="155" spans="1:7" ht="20.100000000000001" customHeight="1">
      <c r="A155" s="224">
        <v>22</v>
      </c>
      <c r="B155" s="189" t="s">
        <v>289</v>
      </c>
      <c r="C155" s="259" t="s">
        <v>290</v>
      </c>
      <c r="D155" s="214" t="s">
        <v>295</v>
      </c>
      <c r="E155" s="272">
        <v>300000</v>
      </c>
      <c r="F155" s="272">
        <v>300000</v>
      </c>
      <c r="G155" s="24">
        <v>0</v>
      </c>
    </row>
    <row r="156" spans="1:7" ht="20.100000000000001" customHeight="1">
      <c r="A156" s="224">
        <v>23</v>
      </c>
      <c r="B156" s="189" t="s">
        <v>359</v>
      </c>
      <c r="C156" s="259" t="s">
        <v>131</v>
      </c>
      <c r="D156" s="214" t="s">
        <v>105</v>
      </c>
      <c r="E156" s="272">
        <v>300000</v>
      </c>
      <c r="F156" s="272">
        <v>300000</v>
      </c>
      <c r="G156" s="24">
        <v>0</v>
      </c>
    </row>
    <row r="157" spans="1:7" ht="20.100000000000001" customHeight="1">
      <c r="A157" s="224">
        <v>24</v>
      </c>
      <c r="B157" s="189" t="s">
        <v>407</v>
      </c>
      <c r="C157" s="259" t="s">
        <v>131</v>
      </c>
      <c r="D157" s="214" t="s">
        <v>105</v>
      </c>
      <c r="E157" s="272">
        <v>300000</v>
      </c>
      <c r="F157" s="272">
        <v>300000</v>
      </c>
      <c r="G157" s="24">
        <v>0</v>
      </c>
    </row>
    <row r="158" spans="1:7" ht="20.100000000000001" customHeight="1">
      <c r="A158" s="224">
        <v>25</v>
      </c>
      <c r="B158" s="189" t="s">
        <v>426</v>
      </c>
      <c r="C158" s="259" t="s">
        <v>290</v>
      </c>
      <c r="D158" s="214" t="s">
        <v>105</v>
      </c>
      <c r="E158" s="272">
        <v>300000</v>
      </c>
      <c r="F158" s="272">
        <v>300000</v>
      </c>
      <c r="G158" s="24">
        <v>0</v>
      </c>
    </row>
    <row r="159" spans="1:7" ht="20.100000000000001" customHeight="1">
      <c r="A159" s="224">
        <v>26</v>
      </c>
      <c r="B159" s="189" t="s">
        <v>441</v>
      </c>
      <c r="C159" s="259" t="s">
        <v>442</v>
      </c>
      <c r="D159" s="214" t="s">
        <v>105</v>
      </c>
      <c r="E159" s="272">
        <v>300000</v>
      </c>
      <c r="F159" s="272">
        <v>300000</v>
      </c>
      <c r="G159" s="24">
        <v>0</v>
      </c>
    </row>
    <row r="160" spans="1:7" ht="20.100000000000001" customHeight="1">
      <c r="A160" s="224">
        <v>27</v>
      </c>
      <c r="B160" s="189" t="s">
        <v>445</v>
      </c>
      <c r="C160" s="259" t="s">
        <v>446</v>
      </c>
      <c r="D160" s="214" t="s">
        <v>105</v>
      </c>
      <c r="E160" s="272">
        <v>300000</v>
      </c>
      <c r="F160" s="272">
        <v>300000</v>
      </c>
      <c r="G160" s="24">
        <v>0</v>
      </c>
    </row>
    <row r="161" spans="1:7" ht="20.100000000000001" customHeight="1">
      <c r="A161" s="224">
        <v>28</v>
      </c>
      <c r="B161" s="188" t="s">
        <v>22</v>
      </c>
      <c r="C161" s="259" t="s">
        <v>302</v>
      </c>
      <c r="D161" s="214" t="s">
        <v>416</v>
      </c>
      <c r="E161" s="272">
        <v>100000</v>
      </c>
      <c r="F161" s="272">
        <v>100000</v>
      </c>
      <c r="G161" s="24">
        <v>0</v>
      </c>
    </row>
    <row r="162" spans="1:7" ht="20.100000000000001" customHeight="1">
      <c r="A162" s="224">
        <v>29</v>
      </c>
      <c r="B162" s="188" t="s">
        <v>14</v>
      </c>
      <c r="C162" s="259" t="s">
        <v>302</v>
      </c>
      <c r="D162" s="214" t="s">
        <v>416</v>
      </c>
      <c r="E162" s="272">
        <v>100000</v>
      </c>
      <c r="F162" s="272">
        <v>100000</v>
      </c>
      <c r="G162" s="24">
        <v>0</v>
      </c>
    </row>
    <row r="163" spans="1:7" ht="20.100000000000001" customHeight="1">
      <c r="A163" s="224">
        <v>30</v>
      </c>
      <c r="B163" s="188" t="s">
        <v>23</v>
      </c>
      <c r="C163" s="259" t="s">
        <v>302</v>
      </c>
      <c r="D163" s="214" t="s">
        <v>416</v>
      </c>
      <c r="E163" s="272">
        <v>100000</v>
      </c>
      <c r="F163" s="272">
        <v>100000</v>
      </c>
      <c r="G163" s="24">
        <v>0</v>
      </c>
    </row>
    <row r="164" spans="1:7" ht="20.100000000000001" customHeight="1">
      <c r="A164" s="224">
        <v>31</v>
      </c>
      <c r="B164" s="188" t="s">
        <v>24</v>
      </c>
      <c r="C164" s="259" t="s">
        <v>302</v>
      </c>
      <c r="D164" s="214" t="s">
        <v>416</v>
      </c>
      <c r="E164" s="272">
        <v>100000</v>
      </c>
      <c r="F164" s="272">
        <v>100000</v>
      </c>
      <c r="G164" s="24">
        <v>0</v>
      </c>
    </row>
    <row r="165" spans="1:7" ht="20.100000000000001" customHeight="1">
      <c r="A165" s="224">
        <v>32</v>
      </c>
      <c r="B165" s="188" t="s">
        <v>25</v>
      </c>
      <c r="C165" s="259" t="s">
        <v>302</v>
      </c>
      <c r="D165" s="214" t="s">
        <v>416</v>
      </c>
      <c r="E165" s="272">
        <v>100000</v>
      </c>
      <c r="F165" s="272">
        <v>100000</v>
      </c>
      <c r="G165" s="24">
        <v>0</v>
      </c>
    </row>
    <row r="166" spans="1:7" ht="20.100000000000001" customHeight="1">
      <c r="A166" s="224">
        <v>33</v>
      </c>
      <c r="B166" s="188" t="s">
        <v>39</v>
      </c>
      <c r="C166" s="259" t="s">
        <v>302</v>
      </c>
      <c r="D166" s="214" t="s">
        <v>416</v>
      </c>
      <c r="E166" s="272">
        <v>100000</v>
      </c>
      <c r="F166" s="272">
        <v>100000</v>
      </c>
      <c r="G166" s="24">
        <v>0</v>
      </c>
    </row>
    <row r="167" spans="1:7" ht="20.100000000000001" customHeight="1">
      <c r="A167" s="224">
        <v>34</v>
      </c>
      <c r="B167" s="188" t="s">
        <v>40</v>
      </c>
      <c r="C167" s="259" t="s">
        <v>302</v>
      </c>
      <c r="D167" s="214" t="s">
        <v>416</v>
      </c>
      <c r="E167" s="272">
        <v>100000</v>
      </c>
      <c r="F167" s="272">
        <v>100000</v>
      </c>
      <c r="G167" s="24">
        <v>0</v>
      </c>
    </row>
    <row r="168" spans="1:7" ht="20.100000000000001" customHeight="1">
      <c r="A168" s="224">
        <v>35</v>
      </c>
      <c r="B168" s="188" t="s">
        <v>127</v>
      </c>
      <c r="C168" s="259" t="s">
        <v>302</v>
      </c>
      <c r="D168" s="214" t="s">
        <v>306</v>
      </c>
      <c r="E168" s="272">
        <v>100000</v>
      </c>
      <c r="F168" s="272">
        <v>100000</v>
      </c>
      <c r="G168" s="24">
        <v>0</v>
      </c>
    </row>
    <row r="169" spans="1:7" ht="20.100000000000001" customHeight="1">
      <c r="A169" s="224">
        <v>36</v>
      </c>
      <c r="B169" s="188" t="s">
        <v>128</v>
      </c>
      <c r="C169" s="259" t="s">
        <v>302</v>
      </c>
      <c r="D169" s="214" t="s">
        <v>306</v>
      </c>
      <c r="E169" s="272">
        <v>100000</v>
      </c>
      <c r="F169" s="272">
        <v>100000</v>
      </c>
      <c r="G169" s="24">
        <v>0</v>
      </c>
    </row>
    <row r="170" spans="1:7" ht="20.100000000000001" customHeight="1">
      <c r="A170" s="224">
        <v>37</v>
      </c>
      <c r="B170" s="188" t="s">
        <v>129</v>
      </c>
      <c r="C170" s="259" t="s">
        <v>302</v>
      </c>
      <c r="D170" s="214" t="s">
        <v>306</v>
      </c>
      <c r="E170" s="272">
        <v>100000</v>
      </c>
      <c r="F170" s="272">
        <v>100000</v>
      </c>
      <c r="G170" s="24">
        <v>0</v>
      </c>
    </row>
    <row r="171" spans="1:7" ht="20.100000000000001" customHeight="1">
      <c r="A171" s="224">
        <v>38</v>
      </c>
      <c r="B171" s="190" t="s">
        <v>136</v>
      </c>
      <c r="C171" s="259" t="s">
        <v>302</v>
      </c>
      <c r="D171" s="214" t="s">
        <v>306</v>
      </c>
      <c r="E171" s="272">
        <v>100000</v>
      </c>
      <c r="F171" s="272">
        <v>100000</v>
      </c>
      <c r="G171" s="24">
        <v>0</v>
      </c>
    </row>
    <row r="172" spans="1:7" ht="20.100000000000001" customHeight="1">
      <c r="A172" s="224">
        <v>39</v>
      </c>
      <c r="B172" s="188" t="s">
        <v>140</v>
      </c>
      <c r="C172" s="259" t="s">
        <v>302</v>
      </c>
      <c r="D172" s="214" t="s">
        <v>306</v>
      </c>
      <c r="E172" s="272">
        <v>100000</v>
      </c>
      <c r="F172" s="272">
        <v>100000</v>
      </c>
      <c r="G172" s="24">
        <v>0</v>
      </c>
    </row>
    <row r="173" spans="1:7" ht="20.100000000000001" customHeight="1">
      <c r="A173" s="224">
        <v>40</v>
      </c>
      <c r="B173" s="189" t="s">
        <v>152</v>
      </c>
      <c r="C173" s="259" t="s">
        <v>302</v>
      </c>
      <c r="D173" s="214" t="s">
        <v>306</v>
      </c>
      <c r="E173" s="272">
        <v>100000</v>
      </c>
      <c r="F173" s="272">
        <v>100000</v>
      </c>
      <c r="G173" s="24">
        <v>0</v>
      </c>
    </row>
    <row r="174" spans="1:7" ht="20.100000000000001" customHeight="1">
      <c r="A174" s="224">
        <v>41</v>
      </c>
      <c r="B174" s="189" t="s">
        <v>132</v>
      </c>
      <c r="C174" s="259" t="s">
        <v>302</v>
      </c>
      <c r="D174" s="214" t="s">
        <v>306</v>
      </c>
      <c r="E174" s="272">
        <v>100000</v>
      </c>
      <c r="F174" s="272">
        <v>100000</v>
      </c>
      <c r="G174" s="24">
        <v>0</v>
      </c>
    </row>
    <row r="175" spans="1:7" ht="20.100000000000001" customHeight="1">
      <c r="A175" s="224">
        <v>42</v>
      </c>
      <c r="B175" s="188" t="s">
        <v>231</v>
      </c>
      <c r="C175" s="259" t="s">
        <v>167</v>
      </c>
      <c r="D175" s="214" t="s">
        <v>177</v>
      </c>
      <c r="E175" s="272">
        <v>100000</v>
      </c>
      <c r="F175" s="272">
        <v>100000</v>
      </c>
      <c r="G175" s="24">
        <v>0</v>
      </c>
    </row>
    <row r="176" spans="1:7" ht="20.100000000000001" customHeight="1">
      <c r="A176" s="224">
        <v>43</v>
      </c>
      <c r="B176" s="188" t="s">
        <v>246</v>
      </c>
      <c r="C176" s="259" t="s">
        <v>167</v>
      </c>
      <c r="D176" s="214" t="s">
        <v>177</v>
      </c>
      <c r="E176" s="272">
        <v>100000</v>
      </c>
      <c r="F176" s="272">
        <v>100000</v>
      </c>
      <c r="G176" s="24">
        <v>0</v>
      </c>
    </row>
    <row r="177" spans="1:7" ht="20.100000000000001" customHeight="1">
      <c r="A177" s="224">
        <v>44</v>
      </c>
      <c r="B177" s="189" t="s">
        <v>166</v>
      </c>
      <c r="C177" s="259" t="s">
        <v>167</v>
      </c>
      <c r="D177" s="214" t="s">
        <v>263</v>
      </c>
      <c r="E177" s="272">
        <v>100000</v>
      </c>
      <c r="F177" s="272">
        <v>100000</v>
      </c>
      <c r="G177" s="24">
        <v>0</v>
      </c>
    </row>
    <row r="178" spans="1:7" ht="20.100000000000001" customHeight="1">
      <c r="A178" s="224">
        <v>45</v>
      </c>
      <c r="B178" s="188" t="s">
        <v>204</v>
      </c>
      <c r="C178" s="259" t="s">
        <v>167</v>
      </c>
      <c r="D178" s="214" t="s">
        <v>301</v>
      </c>
      <c r="E178" s="272">
        <v>100000</v>
      </c>
      <c r="F178" s="272">
        <v>100000</v>
      </c>
      <c r="G178" s="24">
        <v>0</v>
      </c>
    </row>
    <row r="179" spans="1:7" ht="20.100000000000001" customHeight="1">
      <c r="A179" s="224">
        <v>46</v>
      </c>
      <c r="B179" s="188" t="s">
        <v>209</v>
      </c>
      <c r="C179" s="259" t="s">
        <v>13</v>
      </c>
      <c r="D179" s="214" t="s">
        <v>414</v>
      </c>
      <c r="E179" s="272">
        <v>100000</v>
      </c>
      <c r="F179" s="272">
        <v>100000</v>
      </c>
      <c r="G179" s="24">
        <v>0</v>
      </c>
    </row>
    <row r="180" spans="1:7" ht="20.100000000000001" customHeight="1">
      <c r="A180" s="224">
        <v>47</v>
      </c>
      <c r="B180" s="188" t="s">
        <v>218</v>
      </c>
      <c r="C180" s="259" t="s">
        <v>13</v>
      </c>
      <c r="D180" s="214" t="s">
        <v>414</v>
      </c>
      <c r="E180" s="272">
        <v>100000</v>
      </c>
      <c r="F180" s="272">
        <v>100000</v>
      </c>
      <c r="G180" s="24">
        <v>0</v>
      </c>
    </row>
    <row r="181" spans="1:7" ht="20.100000000000001" customHeight="1">
      <c r="A181" s="224">
        <v>48</v>
      </c>
      <c r="B181" s="188" t="s">
        <v>219</v>
      </c>
      <c r="C181" s="259" t="s">
        <v>13</v>
      </c>
      <c r="D181" s="214" t="s">
        <v>414</v>
      </c>
      <c r="E181" s="272">
        <v>100000</v>
      </c>
      <c r="F181" s="272">
        <v>100000</v>
      </c>
      <c r="G181" s="24">
        <v>0</v>
      </c>
    </row>
    <row r="182" spans="1:7" ht="20.100000000000001" customHeight="1">
      <c r="A182" s="224">
        <v>49</v>
      </c>
      <c r="B182" s="188" t="s">
        <v>211</v>
      </c>
      <c r="C182" s="259" t="s">
        <v>13</v>
      </c>
      <c r="D182" s="214" t="s">
        <v>414</v>
      </c>
      <c r="E182" s="272">
        <v>100000</v>
      </c>
      <c r="F182" s="272">
        <v>100000</v>
      </c>
      <c r="G182" s="24">
        <v>0</v>
      </c>
    </row>
    <row r="183" spans="1:7" ht="20.100000000000001" customHeight="1">
      <c r="A183" s="224">
        <v>50</v>
      </c>
      <c r="B183" s="188" t="s">
        <v>213</v>
      </c>
      <c r="C183" s="259" t="s">
        <v>13</v>
      </c>
      <c r="D183" s="214" t="s">
        <v>414</v>
      </c>
      <c r="E183" s="272">
        <v>100000</v>
      </c>
      <c r="F183" s="272">
        <v>100000</v>
      </c>
      <c r="G183" s="24">
        <v>0</v>
      </c>
    </row>
    <row r="184" spans="1:7" ht="20.100000000000001" customHeight="1">
      <c r="A184" s="224">
        <v>51</v>
      </c>
      <c r="B184" s="189" t="s">
        <v>342</v>
      </c>
      <c r="C184" s="259" t="s">
        <v>13</v>
      </c>
      <c r="D184" s="214" t="s">
        <v>262</v>
      </c>
      <c r="E184" s="272">
        <v>100000</v>
      </c>
      <c r="F184" s="272">
        <v>100000</v>
      </c>
      <c r="G184" s="24">
        <v>0</v>
      </c>
    </row>
    <row r="185" spans="1:7" ht="20.100000000000001" customHeight="1">
      <c r="A185" s="224">
        <v>52</v>
      </c>
      <c r="B185" s="189" t="s">
        <v>405</v>
      </c>
      <c r="C185" s="259" t="s">
        <v>13</v>
      </c>
      <c r="D185" s="214" t="s">
        <v>262</v>
      </c>
      <c r="E185" s="272">
        <v>100000</v>
      </c>
      <c r="F185" s="272">
        <v>100000</v>
      </c>
      <c r="G185" s="24">
        <v>0</v>
      </c>
    </row>
    <row r="186" spans="1:7" ht="20.100000000000001" customHeight="1">
      <c r="A186" s="224">
        <v>53</v>
      </c>
      <c r="B186" s="188" t="s">
        <v>232</v>
      </c>
      <c r="C186" s="259" t="s">
        <v>167</v>
      </c>
      <c r="D186" s="214" t="s">
        <v>262</v>
      </c>
      <c r="E186" s="272">
        <v>100000</v>
      </c>
      <c r="F186" s="272">
        <v>100000</v>
      </c>
      <c r="G186" s="24">
        <v>0</v>
      </c>
    </row>
    <row r="187" spans="1:7" ht="20.100000000000001" customHeight="1">
      <c r="A187" s="224">
        <v>54</v>
      </c>
      <c r="B187" s="188" t="s">
        <v>233</v>
      </c>
      <c r="C187" s="259" t="s">
        <v>167</v>
      </c>
      <c r="D187" s="214" t="s">
        <v>262</v>
      </c>
      <c r="E187" s="272">
        <v>100000</v>
      </c>
      <c r="F187" s="272">
        <v>100000</v>
      </c>
      <c r="G187" s="24">
        <v>0</v>
      </c>
    </row>
    <row r="188" spans="1:7" ht="20.100000000000001" customHeight="1">
      <c r="A188" s="224">
        <v>55</v>
      </c>
      <c r="B188" s="189" t="s">
        <v>279</v>
      </c>
      <c r="C188" s="259" t="s">
        <v>13</v>
      </c>
      <c r="D188" s="214" t="s">
        <v>28</v>
      </c>
      <c r="E188" s="272">
        <v>100000</v>
      </c>
      <c r="F188" s="272">
        <v>100000</v>
      </c>
      <c r="G188" s="24">
        <v>0</v>
      </c>
    </row>
    <row r="189" spans="1:7" ht="20.100000000000001" customHeight="1">
      <c r="A189" s="224">
        <v>56</v>
      </c>
      <c r="B189" s="189" t="s">
        <v>403</v>
      </c>
      <c r="C189" s="259" t="s">
        <v>13</v>
      </c>
      <c r="D189" s="214" t="s">
        <v>150</v>
      </c>
      <c r="E189" s="272">
        <v>100000</v>
      </c>
      <c r="F189" s="272">
        <v>100000</v>
      </c>
      <c r="G189" s="24">
        <v>0</v>
      </c>
    </row>
    <row r="190" spans="1:7" ht="20.100000000000001" customHeight="1">
      <c r="A190" s="224"/>
      <c r="B190" s="210" t="s">
        <v>15</v>
      </c>
      <c r="C190" s="267" t="s">
        <v>431</v>
      </c>
      <c r="D190" s="23"/>
      <c r="E190" s="274">
        <f>SUM(E134:E189)</f>
        <v>12750000</v>
      </c>
      <c r="F190" s="274">
        <f t="shared" ref="F190:G190" si="17">SUM(F134:F189)</f>
        <v>10200000</v>
      </c>
      <c r="G190" s="274">
        <f t="shared" si="17"/>
        <v>2550000</v>
      </c>
    </row>
    <row r="191" spans="1:7" ht="20.100000000000001" customHeight="1">
      <c r="A191" s="21"/>
      <c r="B191" s="227" t="s">
        <v>8</v>
      </c>
      <c r="C191" s="268">
        <f>C38+C43+C58+C62+C78+C86+C100+C107+C117+C131+C190+2</f>
        <v>152</v>
      </c>
      <c r="D191" s="229"/>
      <c r="E191" s="282">
        <f>E190+E131+E117+E107+E100+E86+E78+E62+E58+E43+E38</f>
        <v>62400000</v>
      </c>
      <c r="F191" s="282">
        <f>F190+F131+F117+F107+F100+F86+F78+F62+F58+F43+F38</f>
        <v>29750000</v>
      </c>
      <c r="G191" s="282">
        <f t="shared" ref="G191" si="18">G190+G131+G117+G107+G100+G86+G78+G62+G58+G43+G38</f>
        <v>32650000</v>
      </c>
    </row>
    <row r="192" spans="1:7" ht="20.100000000000001" customHeight="1">
      <c r="A192" s="202"/>
      <c r="B192" s="231"/>
      <c r="C192" s="231"/>
      <c r="D192" s="232"/>
      <c r="E192" s="283"/>
      <c r="F192" s="284"/>
      <c r="G192" s="284"/>
    </row>
    <row r="193" spans="1:5" ht="28.5" customHeight="1">
      <c r="A193" s="202"/>
      <c r="B193" s="231"/>
      <c r="C193" s="231"/>
      <c r="D193" s="232"/>
      <c r="E193" s="285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6" sqref="G6"/>
    </sheetView>
  </sheetViews>
  <sheetFormatPr defaultRowHeight="12.75"/>
  <cols>
    <col min="3" max="3" width="11.85546875" customWidth="1"/>
    <col min="4" max="5" width="28.140625" customWidth="1"/>
  </cols>
  <sheetData>
    <row r="1" spans="1:6" ht="18.75">
      <c r="A1" s="780" t="s">
        <v>126</v>
      </c>
      <c r="B1" s="780"/>
      <c r="C1" s="780"/>
      <c r="D1" s="780"/>
      <c r="E1" s="780"/>
      <c r="F1" s="780"/>
    </row>
    <row r="2" spans="1:6" ht="18.75">
      <c r="A2" s="781" t="s">
        <v>62</v>
      </c>
      <c r="B2" s="781"/>
      <c r="C2" s="781"/>
      <c r="D2" s="781"/>
      <c r="E2" s="781"/>
      <c r="F2" s="781"/>
    </row>
    <row r="3" spans="1:6" ht="18.75">
      <c r="A3" s="775"/>
      <c r="B3" s="775"/>
      <c r="C3" s="775"/>
      <c r="D3" s="3" t="s">
        <v>72</v>
      </c>
      <c r="E3" s="3" t="s">
        <v>73</v>
      </c>
      <c r="F3" s="12"/>
    </row>
    <row r="4" spans="1:6" ht="18.75">
      <c r="A4" s="775" t="s">
        <v>64</v>
      </c>
      <c r="B4" s="775"/>
      <c r="C4" s="775"/>
      <c r="D4" s="13">
        <f>E4*12</f>
        <v>948475.67999999993</v>
      </c>
      <c r="E4" s="13">
        <f>SUMMARY!F3</f>
        <v>79039.64</v>
      </c>
      <c r="F4" s="1"/>
    </row>
    <row r="5" spans="1:6" ht="18.75">
      <c r="A5" s="775" t="s">
        <v>65</v>
      </c>
      <c r="B5" s="775"/>
      <c r="C5" s="775"/>
      <c r="D5" s="13">
        <f t="shared" ref="D5:D14" si="0">E5*12</f>
        <v>2845427.04</v>
      </c>
      <c r="E5" s="13">
        <f>SUMMARY!H3</f>
        <v>237118.91999999998</v>
      </c>
      <c r="F5" s="1"/>
    </row>
    <row r="6" spans="1:6" ht="18.75">
      <c r="A6" s="775" t="s">
        <v>66</v>
      </c>
      <c r="B6" s="775"/>
      <c r="C6" s="775"/>
      <c r="D6" s="13">
        <f t="shared" si="0"/>
        <v>71135.676000000007</v>
      </c>
      <c r="E6" s="13">
        <f>SUMMARY!I3</f>
        <v>5927.973</v>
      </c>
      <c r="F6" s="1"/>
    </row>
    <row r="7" spans="1:6" ht="18.75">
      <c r="A7" s="775" t="s">
        <v>63</v>
      </c>
      <c r="B7" s="775"/>
      <c r="C7" s="775"/>
      <c r="D7" s="13">
        <f t="shared" si="0"/>
        <v>962932.56</v>
      </c>
      <c r="E7" s="13">
        <f>SUMMARY!J3</f>
        <v>80244.38</v>
      </c>
      <c r="F7" s="1"/>
    </row>
    <row r="8" spans="1:6" ht="18.75">
      <c r="A8" s="775" t="s">
        <v>67</v>
      </c>
      <c r="B8" s="775"/>
      <c r="C8" s="775"/>
      <c r="D8" s="13">
        <f t="shared" si="0"/>
        <v>474237.83999999997</v>
      </c>
      <c r="E8" s="13">
        <f>SUMMARY!K3</f>
        <v>39519.82</v>
      </c>
      <c r="F8" s="1"/>
    </row>
    <row r="9" spans="1:6" ht="18.75">
      <c r="A9" s="775" t="s">
        <v>68</v>
      </c>
      <c r="B9" s="775"/>
      <c r="C9" s="775"/>
      <c r="D9" s="13">
        <f t="shared" si="0"/>
        <v>3319664.88</v>
      </c>
      <c r="E9" s="13">
        <f>SUMMARY!L3</f>
        <v>276638.74</v>
      </c>
      <c r="F9" s="1"/>
    </row>
    <row r="10" spans="1:6" ht="18.75">
      <c r="A10" s="777" t="s">
        <v>91</v>
      </c>
      <c r="B10" s="778"/>
      <c r="C10" s="779"/>
      <c r="D10" s="13">
        <f>E10*12</f>
        <v>0</v>
      </c>
      <c r="E10" s="13"/>
      <c r="F10" s="1"/>
    </row>
    <row r="11" spans="1:6" ht="18.75">
      <c r="A11" s="775" t="s">
        <v>69</v>
      </c>
      <c r="B11" s="775"/>
      <c r="C11" s="775"/>
      <c r="D11" s="13">
        <f t="shared" si="0"/>
        <v>948475.67999999993</v>
      </c>
      <c r="E11" s="13">
        <f>SUMMARY!N3</f>
        <v>79039.64</v>
      </c>
      <c r="F11" s="1"/>
    </row>
    <row r="12" spans="1:6" ht="18.75">
      <c r="A12" s="775" t="s">
        <v>70</v>
      </c>
      <c r="B12" s="775"/>
      <c r="C12" s="775"/>
      <c r="D12" s="13">
        <f t="shared" si="0"/>
        <v>94847.567999999999</v>
      </c>
      <c r="E12" s="13">
        <f>SUMMARY!O3</f>
        <v>7903.9639999999999</v>
      </c>
      <c r="F12" s="1"/>
    </row>
    <row r="13" spans="1:6" ht="18.75">
      <c r="A13" s="775" t="s">
        <v>71</v>
      </c>
      <c r="B13" s="775"/>
      <c r="C13" s="775"/>
      <c r="D13" s="13">
        <f t="shared" si="0"/>
        <v>240000</v>
      </c>
      <c r="E13" s="13">
        <f>SUMMARY!P3</f>
        <v>20000</v>
      </c>
      <c r="F13" s="1"/>
    </row>
    <row r="14" spans="1:6" ht="18.75">
      <c r="A14" s="776" t="s">
        <v>74</v>
      </c>
      <c r="B14" s="776"/>
      <c r="C14" s="776"/>
      <c r="D14" s="14">
        <f t="shared" si="0"/>
        <v>9905196.9240000006</v>
      </c>
      <c r="E14" s="14">
        <f>SUM(E4:E13)</f>
        <v>825433.07700000005</v>
      </c>
      <c r="F14" s="1"/>
    </row>
  </sheetData>
  <mergeCells count="14">
    <mergeCell ref="A3:C3"/>
    <mergeCell ref="A8:C8"/>
    <mergeCell ref="A9:C9"/>
    <mergeCell ref="A11:C11"/>
    <mergeCell ref="A1:F1"/>
    <mergeCell ref="A2:F2"/>
    <mergeCell ref="A4:C4"/>
    <mergeCell ref="A5:C5"/>
    <mergeCell ref="A6:C6"/>
    <mergeCell ref="A12:C12"/>
    <mergeCell ref="A13:C13"/>
    <mergeCell ref="A14:C14"/>
    <mergeCell ref="A10:C10"/>
    <mergeCell ref="A7:C7"/>
  </mergeCells>
  <pageMargins left="1.02" right="0.7" top="1.1399999999999999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782" t="s">
        <v>194</v>
      </c>
      <c r="B1" s="782"/>
      <c r="C1" s="782"/>
      <c r="D1" s="782"/>
      <c r="E1" s="782"/>
      <c r="F1" s="782"/>
    </row>
    <row r="2" spans="1:6" ht="18.75">
      <c r="A2" s="781" t="s">
        <v>76</v>
      </c>
      <c r="B2" s="781"/>
      <c r="C2" s="781"/>
      <c r="D2" s="781"/>
      <c r="E2" s="781"/>
      <c r="F2" s="781"/>
    </row>
    <row r="3" spans="1:6" ht="18.75">
      <c r="A3" s="775"/>
      <c r="B3" s="775"/>
      <c r="C3" s="775"/>
      <c r="D3" s="3" t="s">
        <v>72</v>
      </c>
      <c r="E3" s="3" t="s">
        <v>73</v>
      </c>
      <c r="F3" s="12"/>
    </row>
    <row r="4" spans="1:6" ht="18.75">
      <c r="A4" s="775" t="s">
        <v>64</v>
      </c>
      <c r="B4" s="775"/>
      <c r="C4" s="775"/>
      <c r="D4" s="13" t="e">
        <f>E4*12</f>
        <v>#REF!</v>
      </c>
      <c r="E4" s="13" t="e">
        <f>'FEBRUARY 2024'!#REF!</f>
        <v>#REF!</v>
      </c>
      <c r="F4" s="1"/>
    </row>
    <row r="5" spans="1:6" ht="18.75">
      <c r="A5" s="775" t="s">
        <v>65</v>
      </c>
      <c r="B5" s="775"/>
      <c r="C5" s="775"/>
      <c r="D5" s="13" t="e">
        <f t="shared" ref="D5:D13" si="0">E5*12</f>
        <v>#REF!</v>
      </c>
      <c r="E5" s="13" t="e">
        <f>'FEBRUARY 2024'!#REF!</f>
        <v>#REF!</v>
      </c>
      <c r="F5" s="1"/>
    </row>
    <row r="6" spans="1:6" ht="18.75">
      <c r="A6" s="775" t="s">
        <v>66</v>
      </c>
      <c r="B6" s="775"/>
      <c r="C6" s="775"/>
      <c r="D6" s="13" t="e">
        <f t="shared" si="0"/>
        <v>#REF!</v>
      </c>
      <c r="E6" s="13" t="e">
        <f>'FEBRUARY 2024'!#REF!</f>
        <v>#REF!</v>
      </c>
      <c r="F6" s="1"/>
    </row>
    <row r="7" spans="1:6" ht="18.75">
      <c r="A7" s="775" t="s">
        <v>63</v>
      </c>
      <c r="B7" s="775"/>
      <c r="C7" s="775"/>
      <c r="D7" s="13" t="e">
        <f t="shared" si="0"/>
        <v>#REF!</v>
      </c>
      <c r="E7" s="13" t="e">
        <f>'FEBRUARY 2024'!#REF!</f>
        <v>#REF!</v>
      </c>
      <c r="F7" s="1"/>
    </row>
    <row r="8" spans="1:6" ht="18.75">
      <c r="A8" s="775" t="s">
        <v>67</v>
      </c>
      <c r="B8" s="775"/>
      <c r="C8" s="775"/>
      <c r="D8" s="13" t="e">
        <f t="shared" si="0"/>
        <v>#REF!</v>
      </c>
      <c r="E8" s="13" t="e">
        <f>'FEBRUARY 2024'!#REF!</f>
        <v>#REF!</v>
      </c>
      <c r="F8" s="1"/>
    </row>
    <row r="9" spans="1:6" ht="18.75">
      <c r="A9" s="775" t="s">
        <v>68</v>
      </c>
      <c r="B9" s="775"/>
      <c r="C9" s="775"/>
      <c r="D9" s="13" t="e">
        <f t="shared" si="0"/>
        <v>#REF!</v>
      </c>
      <c r="E9" s="13" t="e">
        <f>'FEBRUARY 2024'!#REF!</f>
        <v>#REF!</v>
      </c>
      <c r="F9" s="1"/>
    </row>
    <row r="10" spans="1:6" ht="18.75">
      <c r="A10" s="775" t="s">
        <v>69</v>
      </c>
      <c r="B10" s="775"/>
      <c r="C10" s="775"/>
      <c r="D10" s="13" t="e">
        <f t="shared" si="0"/>
        <v>#REF!</v>
      </c>
      <c r="E10" s="13" t="e">
        <f>'FEBRUARY 2024'!#REF!</f>
        <v>#REF!</v>
      </c>
      <c r="F10" s="1"/>
    </row>
    <row r="11" spans="1:6" ht="18.75">
      <c r="A11" s="777" t="s">
        <v>198</v>
      </c>
      <c r="B11" s="778"/>
      <c r="C11" s="779"/>
      <c r="D11" s="13">
        <f t="shared" si="0"/>
        <v>1200000</v>
      </c>
      <c r="E11" s="13">
        <v>100000</v>
      </c>
      <c r="F11" s="1"/>
    </row>
    <row r="12" spans="1:6" ht="18.75">
      <c r="A12" s="775" t="s">
        <v>70</v>
      </c>
      <c r="B12" s="775"/>
      <c r="C12" s="775"/>
      <c r="D12" s="13" t="e">
        <f t="shared" si="0"/>
        <v>#REF!</v>
      </c>
      <c r="E12" s="13" t="e">
        <f>'FEBRUARY 2024'!#REF!</f>
        <v>#REF!</v>
      </c>
      <c r="F12" s="1"/>
    </row>
    <row r="13" spans="1:6" ht="18.75">
      <c r="A13" s="775" t="s">
        <v>71</v>
      </c>
      <c r="B13" s="775"/>
      <c r="C13" s="775"/>
      <c r="D13" s="13" t="e">
        <f t="shared" si="0"/>
        <v>#REF!</v>
      </c>
      <c r="E13" s="13" t="e">
        <f>'FEBRUARY 2024'!#REF!</f>
        <v>#REF!</v>
      </c>
      <c r="F13" s="1"/>
    </row>
    <row r="14" spans="1:6" ht="18.75">
      <c r="A14" s="776" t="s">
        <v>74</v>
      </c>
      <c r="B14" s="776"/>
      <c r="C14" s="776"/>
      <c r="D14" s="14" t="e">
        <f>SUM(D4:D13)</f>
        <v>#REF!</v>
      </c>
      <c r="E14" s="14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9" sqref="G9"/>
    </sheetView>
  </sheetViews>
  <sheetFormatPr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782" t="s">
        <v>193</v>
      </c>
      <c r="B1" s="782"/>
      <c r="C1" s="782"/>
      <c r="D1" s="782"/>
      <c r="E1" s="782"/>
      <c r="F1" s="782"/>
    </row>
    <row r="2" spans="1:6" ht="18.75">
      <c r="A2" s="781" t="s">
        <v>156</v>
      </c>
      <c r="B2" s="781"/>
      <c r="C2" s="781"/>
      <c r="D2" s="781"/>
      <c r="E2" s="781"/>
      <c r="F2" s="781"/>
    </row>
    <row r="3" spans="1:6" ht="18.75">
      <c r="A3" s="775"/>
      <c r="B3" s="775"/>
      <c r="C3" s="775"/>
      <c r="D3" s="3" t="s">
        <v>72</v>
      </c>
      <c r="E3" s="3" t="s">
        <v>73</v>
      </c>
      <c r="F3" s="12"/>
    </row>
    <row r="4" spans="1:6" ht="18.75">
      <c r="A4" s="775" t="s">
        <v>64</v>
      </c>
      <c r="B4" s="775"/>
      <c r="C4" s="775"/>
      <c r="D4" s="13">
        <f>E4*12</f>
        <v>9148478</v>
      </c>
      <c r="E4" s="13">
        <f>'FEBRUARY 2024'!E98</f>
        <v>762373.16666666663</v>
      </c>
      <c r="F4" s="1"/>
    </row>
    <row r="5" spans="1:6" ht="18.75">
      <c r="A5" s="775" t="s">
        <v>65</v>
      </c>
      <c r="B5" s="775"/>
      <c r="C5" s="775"/>
      <c r="D5" s="13" t="e">
        <f t="shared" ref="D5:D14" si="0">E5*12</f>
        <v>#REF!</v>
      </c>
      <c r="E5" s="13" t="e">
        <f>'FEBRUARY 2024'!#REF!</f>
        <v>#REF!</v>
      </c>
      <c r="F5" s="1"/>
    </row>
    <row r="6" spans="1:6" ht="18.75">
      <c r="A6" s="775" t="s">
        <v>66</v>
      </c>
      <c r="B6" s="775"/>
      <c r="C6" s="775"/>
      <c r="D6" s="13" t="e">
        <f t="shared" si="0"/>
        <v>#REF!</v>
      </c>
      <c r="E6" s="13" t="e">
        <f>'FEBRUARY 2024'!#REF!</f>
        <v>#REF!</v>
      </c>
      <c r="F6" s="1"/>
    </row>
    <row r="7" spans="1:6" ht="18.75">
      <c r="A7" s="775" t="s">
        <v>63</v>
      </c>
      <c r="B7" s="775"/>
      <c r="C7" s="775"/>
      <c r="D7" s="13" t="e">
        <f t="shared" si="0"/>
        <v>#REF!</v>
      </c>
      <c r="E7" s="13" t="e">
        <f>'FEBRUARY 2024'!#REF!</f>
        <v>#REF!</v>
      </c>
      <c r="F7" s="1"/>
    </row>
    <row r="8" spans="1:6" ht="18.75">
      <c r="A8" s="775" t="s">
        <v>67</v>
      </c>
      <c r="B8" s="775"/>
      <c r="C8" s="775"/>
      <c r="D8" s="13" t="e">
        <f t="shared" si="0"/>
        <v>#REF!</v>
      </c>
      <c r="E8" s="13" t="e">
        <f>'FEBRUARY 2024'!#REF!</f>
        <v>#REF!</v>
      </c>
      <c r="F8" s="1"/>
    </row>
    <row r="9" spans="1:6" ht="18.75">
      <c r="A9" s="775" t="s">
        <v>68</v>
      </c>
      <c r="B9" s="775"/>
      <c r="C9" s="775"/>
      <c r="D9" s="13" t="e">
        <f t="shared" si="0"/>
        <v>#REF!</v>
      </c>
      <c r="E9" s="13" t="e">
        <f>'FEBRUARY 2024'!#REF!</f>
        <v>#REF!</v>
      </c>
      <c r="F9" s="1"/>
    </row>
    <row r="10" spans="1:6" ht="18.75">
      <c r="A10" s="775" t="s">
        <v>69</v>
      </c>
      <c r="B10" s="775"/>
      <c r="C10" s="775"/>
      <c r="D10" s="13" t="e">
        <f t="shared" si="0"/>
        <v>#REF!</v>
      </c>
      <c r="E10" s="13" t="e">
        <f>'FEBRUARY 2024'!#REF!</f>
        <v>#REF!</v>
      </c>
      <c r="F10" s="1"/>
    </row>
    <row r="11" spans="1:6" ht="18.75">
      <c r="A11" s="777" t="s">
        <v>91</v>
      </c>
      <c r="B11" s="778"/>
      <c r="C11" s="779"/>
      <c r="D11" s="13">
        <f t="shared" si="0"/>
        <v>0</v>
      </c>
      <c r="E11" s="13">
        <v>0</v>
      </c>
      <c r="F11" s="1"/>
    </row>
    <row r="12" spans="1:6" ht="18.75">
      <c r="A12" s="775" t="s">
        <v>70</v>
      </c>
      <c r="B12" s="775"/>
      <c r="C12" s="775"/>
      <c r="D12" s="13" t="e">
        <f t="shared" si="0"/>
        <v>#REF!</v>
      </c>
      <c r="E12" s="13" t="e">
        <f>'FEBRUARY 2024'!#REF!</f>
        <v>#REF!</v>
      </c>
      <c r="F12" s="1"/>
    </row>
    <row r="13" spans="1:6" ht="18.75">
      <c r="A13" s="775" t="s">
        <v>71</v>
      </c>
      <c r="B13" s="775"/>
      <c r="C13" s="775"/>
      <c r="D13" s="13">
        <f t="shared" si="0"/>
        <v>240000</v>
      </c>
      <c r="E13" s="13">
        <v>20000</v>
      </c>
      <c r="F13" s="1"/>
    </row>
    <row r="14" spans="1:6" ht="18.75">
      <c r="A14" s="776" t="s">
        <v>74</v>
      </c>
      <c r="B14" s="776"/>
      <c r="C14" s="776"/>
      <c r="D14" s="14" t="e">
        <f t="shared" si="0"/>
        <v>#REF!</v>
      </c>
      <c r="E14" s="14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21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A2" sqref="A2:F2"/>
    </sheetView>
  </sheetViews>
  <sheetFormatPr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782" t="s">
        <v>191</v>
      </c>
      <c r="B1" s="782"/>
      <c r="C1" s="782"/>
      <c r="D1" s="782"/>
      <c r="E1" s="782"/>
      <c r="F1" s="782"/>
    </row>
    <row r="2" spans="1:6" ht="18.75">
      <c r="A2" s="781" t="s">
        <v>190</v>
      </c>
      <c r="B2" s="781"/>
      <c r="C2" s="781"/>
      <c r="D2" s="781"/>
      <c r="E2" s="781"/>
      <c r="F2" s="781"/>
    </row>
    <row r="3" spans="1:6" ht="18.75">
      <c r="A3" s="775"/>
      <c r="B3" s="775"/>
      <c r="C3" s="775"/>
      <c r="D3" s="3" t="s">
        <v>72</v>
      </c>
      <c r="E3" s="3" t="s">
        <v>73</v>
      </c>
      <c r="F3" s="12"/>
    </row>
    <row r="4" spans="1:6" ht="18.75">
      <c r="A4" s="775" t="s">
        <v>64</v>
      </c>
      <c r="B4" s="775"/>
      <c r="C4" s="775"/>
      <c r="D4" s="13" t="e">
        <f>E4*12</f>
        <v>#REF!</v>
      </c>
      <c r="E4" s="13" t="e">
        <f>'FEBRUARY 2024'!#REF!</f>
        <v>#REF!</v>
      </c>
      <c r="F4" s="1"/>
    </row>
    <row r="5" spans="1:6" ht="18.75">
      <c r="A5" s="775" t="s">
        <v>65</v>
      </c>
      <c r="B5" s="775"/>
      <c r="C5" s="775"/>
      <c r="D5" s="13" t="e">
        <f t="shared" ref="D5:D14" si="0">E5*12</f>
        <v>#REF!</v>
      </c>
      <c r="E5" s="13" t="e">
        <f>'FEBRUARY 2024'!#REF!</f>
        <v>#REF!</v>
      </c>
      <c r="F5" s="1"/>
    </row>
    <row r="6" spans="1:6" ht="18.75">
      <c r="A6" s="775" t="s">
        <v>66</v>
      </c>
      <c r="B6" s="775"/>
      <c r="C6" s="775"/>
      <c r="D6" s="13" t="e">
        <f t="shared" si="0"/>
        <v>#REF!</v>
      </c>
      <c r="E6" s="13" t="e">
        <f>'FEBRUARY 2024'!#REF!</f>
        <v>#REF!</v>
      </c>
      <c r="F6" s="1"/>
    </row>
    <row r="7" spans="1:6" ht="18.75">
      <c r="A7" s="775" t="s">
        <v>63</v>
      </c>
      <c r="B7" s="775"/>
      <c r="C7" s="775"/>
      <c r="D7" s="13">
        <f t="shared" si="0"/>
        <v>0</v>
      </c>
      <c r="E7" s="13">
        <f>SUMMARY!J6</f>
        <v>0</v>
      </c>
      <c r="F7" s="1"/>
    </row>
    <row r="8" spans="1:6" ht="18.75">
      <c r="A8" s="775" t="s">
        <v>67</v>
      </c>
      <c r="B8" s="775"/>
      <c r="C8" s="775"/>
      <c r="D8" s="13" t="e">
        <f t="shared" si="0"/>
        <v>#REF!</v>
      </c>
      <c r="E8" s="13" t="e">
        <f>'FEBRUARY 2024'!#REF!</f>
        <v>#REF!</v>
      </c>
      <c r="F8" s="1"/>
    </row>
    <row r="9" spans="1:6" ht="18.75">
      <c r="A9" s="775" t="s">
        <v>68</v>
      </c>
      <c r="B9" s="775"/>
      <c r="C9" s="775"/>
      <c r="D9" s="13" t="e">
        <f t="shared" si="0"/>
        <v>#REF!</v>
      </c>
      <c r="E9" s="13" t="e">
        <f>'FEBRUARY 2024'!#REF!</f>
        <v>#REF!</v>
      </c>
      <c r="F9" s="1"/>
    </row>
    <row r="10" spans="1:6" ht="18.75">
      <c r="A10" s="775" t="s">
        <v>69</v>
      </c>
      <c r="B10" s="775"/>
      <c r="C10" s="775"/>
      <c r="D10" s="13" t="e">
        <f t="shared" si="0"/>
        <v>#REF!</v>
      </c>
      <c r="E10" s="13" t="e">
        <f>'FEBRUARY 2024'!#REF!</f>
        <v>#REF!</v>
      </c>
      <c r="F10" s="1"/>
    </row>
    <row r="11" spans="1:6" ht="18.75">
      <c r="A11" s="777" t="s">
        <v>91</v>
      </c>
      <c r="B11" s="778"/>
      <c r="C11" s="779"/>
      <c r="D11" s="13">
        <f t="shared" si="0"/>
        <v>0</v>
      </c>
      <c r="E11" s="13">
        <v>0</v>
      </c>
      <c r="F11" s="1"/>
    </row>
    <row r="12" spans="1:6" ht="18.75">
      <c r="A12" s="775" t="s">
        <v>70</v>
      </c>
      <c r="B12" s="775"/>
      <c r="C12" s="775"/>
      <c r="D12" s="13" t="e">
        <f t="shared" si="0"/>
        <v>#REF!</v>
      </c>
      <c r="E12" s="13" t="e">
        <f>'FEBRUARY 2024'!#REF!</f>
        <v>#REF!</v>
      </c>
      <c r="F12" s="1"/>
    </row>
    <row r="13" spans="1:6" ht="18.75">
      <c r="A13" s="775" t="s">
        <v>71</v>
      </c>
      <c r="B13" s="775"/>
      <c r="C13" s="775"/>
      <c r="D13" s="13" t="e">
        <f t="shared" si="0"/>
        <v>#REF!</v>
      </c>
      <c r="E13" s="13" t="e">
        <f>'FEBRUARY 2024'!#REF!</f>
        <v>#REF!</v>
      </c>
      <c r="F13" s="1"/>
    </row>
    <row r="14" spans="1:6" ht="18.75">
      <c r="A14" s="776" t="s">
        <v>74</v>
      </c>
      <c r="B14" s="776"/>
      <c r="C14" s="776"/>
      <c r="D14" s="14" t="e">
        <f t="shared" si="0"/>
        <v>#REF!</v>
      </c>
      <c r="E14" s="14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5" right="0.7" top="0.75" bottom="0.75" header="0.17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B37" sqref="B37"/>
    </sheetView>
  </sheetViews>
  <sheetFormatPr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782"/>
      <c r="B1" s="782"/>
      <c r="C1" s="782"/>
      <c r="D1" s="782"/>
      <c r="E1" s="782"/>
      <c r="F1" s="782"/>
    </row>
    <row r="2" spans="1:6" ht="18.75">
      <c r="A2" s="781"/>
      <c r="B2" s="781"/>
      <c r="C2" s="781"/>
      <c r="D2" s="781"/>
      <c r="E2" s="781"/>
      <c r="F2" s="781"/>
    </row>
    <row r="3" spans="1:6" ht="18.75">
      <c r="A3" s="775"/>
      <c r="B3" s="775"/>
      <c r="C3" s="775"/>
      <c r="D3" s="3" t="s">
        <v>72</v>
      </c>
      <c r="E3" s="3" t="s">
        <v>73</v>
      </c>
      <c r="F3" s="12"/>
    </row>
    <row r="4" spans="1:6" ht="18.75">
      <c r="A4" s="775" t="s">
        <v>64</v>
      </c>
      <c r="B4" s="775"/>
      <c r="C4" s="775"/>
      <c r="D4" s="13">
        <f>E4*12</f>
        <v>255527.52</v>
      </c>
      <c r="E4" s="13">
        <f>SUMMARY!F7</f>
        <v>21293.96</v>
      </c>
      <c r="F4" s="1"/>
    </row>
    <row r="5" spans="1:6" ht="18.75">
      <c r="A5" s="775" t="s">
        <v>65</v>
      </c>
      <c r="B5" s="775"/>
      <c r="C5" s="775"/>
      <c r="D5" s="13">
        <f t="shared" ref="D5:D13" si="0">E5*12</f>
        <v>766582.55999999994</v>
      </c>
      <c r="E5" s="13">
        <f>SUMMARY!H7</f>
        <v>63881.88</v>
      </c>
      <c r="F5" s="1"/>
    </row>
    <row r="6" spans="1:6" ht="18.75">
      <c r="A6" s="775" t="s">
        <v>66</v>
      </c>
      <c r="B6" s="775"/>
      <c r="C6" s="775"/>
      <c r="D6" s="13">
        <f t="shared" si="0"/>
        <v>19164.563999999998</v>
      </c>
      <c r="E6" s="13">
        <f>SUMMARY!I7</f>
        <v>1597.0469999999998</v>
      </c>
      <c r="F6" s="1"/>
    </row>
    <row r="7" spans="1:6" ht="18.75">
      <c r="A7" s="775" t="s">
        <v>63</v>
      </c>
      <c r="B7" s="775"/>
      <c r="C7" s="775"/>
      <c r="D7" s="13">
        <f t="shared" si="0"/>
        <v>0</v>
      </c>
      <c r="E7" s="13">
        <f>SUMMARY!J6</f>
        <v>0</v>
      </c>
      <c r="F7" s="1"/>
    </row>
    <row r="8" spans="1:6" ht="18.75">
      <c r="A8" s="775" t="s">
        <v>67</v>
      </c>
      <c r="B8" s="775"/>
      <c r="C8" s="775"/>
      <c r="D8" s="13">
        <f t="shared" si="0"/>
        <v>127763.76</v>
      </c>
      <c r="E8" s="13">
        <f>SUMMARY!K7</f>
        <v>10646.98</v>
      </c>
      <c r="F8" s="1"/>
    </row>
    <row r="9" spans="1:6" ht="18.75">
      <c r="A9" s="775" t="s">
        <v>68</v>
      </c>
      <c r="B9" s="775"/>
      <c r="C9" s="775"/>
      <c r="D9" s="13">
        <f t="shared" si="0"/>
        <v>894346.32000000007</v>
      </c>
      <c r="E9" s="13">
        <f>SUMMARY!L7</f>
        <v>74528.86</v>
      </c>
      <c r="F9" s="1"/>
    </row>
    <row r="10" spans="1:6" ht="18.75">
      <c r="A10" s="775" t="s">
        <v>69</v>
      </c>
      <c r="B10" s="775"/>
      <c r="C10" s="775"/>
      <c r="D10" s="13">
        <f t="shared" si="0"/>
        <v>255527.52</v>
      </c>
      <c r="E10" s="13">
        <f>SUMMARY!N7</f>
        <v>21293.96</v>
      </c>
      <c r="F10" s="1"/>
    </row>
    <row r="11" spans="1:6" ht="18.75">
      <c r="A11" s="775" t="s">
        <v>70</v>
      </c>
      <c r="B11" s="775"/>
      <c r="C11" s="775"/>
      <c r="D11" s="13">
        <f t="shared" si="0"/>
        <v>25552.752</v>
      </c>
      <c r="E11" s="13">
        <f>SUMMARY!O7</f>
        <v>2129.3960000000002</v>
      </c>
      <c r="F11" s="1"/>
    </row>
    <row r="12" spans="1:6" ht="18.75">
      <c r="A12" s="775" t="s">
        <v>71</v>
      </c>
      <c r="B12" s="775"/>
      <c r="C12" s="775"/>
      <c r="D12" s="13">
        <f t="shared" si="0"/>
        <v>120000</v>
      </c>
      <c r="E12" s="13">
        <f>SUMMARY!P7</f>
        <v>10000</v>
      </c>
      <c r="F12" s="1"/>
    </row>
    <row r="13" spans="1:6" ht="18.75">
      <c r="A13" s="776" t="s">
        <v>74</v>
      </c>
      <c r="B13" s="776"/>
      <c r="C13" s="776"/>
      <c r="D13" s="14">
        <f t="shared" si="0"/>
        <v>2464464.9960000003</v>
      </c>
      <c r="E13" s="14">
        <f>SUM(E4:E12)</f>
        <v>205372.08300000001</v>
      </c>
      <c r="F13" s="1"/>
    </row>
  </sheetData>
  <mergeCells count="13">
    <mergeCell ref="A1:F1"/>
    <mergeCell ref="A2:F2"/>
    <mergeCell ref="A3:C3"/>
    <mergeCell ref="A4:C4"/>
    <mergeCell ref="A5:C5"/>
    <mergeCell ref="A6:C6"/>
    <mergeCell ref="A13:C13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34" sqref="D34"/>
    </sheetView>
  </sheetViews>
  <sheetFormatPr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782" t="s">
        <v>82</v>
      </c>
      <c r="B1" s="782"/>
      <c r="C1" s="782"/>
      <c r="D1" s="782"/>
      <c r="E1" s="782"/>
      <c r="F1" s="782"/>
    </row>
    <row r="2" spans="1:6" ht="18.75">
      <c r="A2" s="781" t="s">
        <v>83</v>
      </c>
      <c r="B2" s="781"/>
      <c r="C2" s="781"/>
      <c r="D2" s="781"/>
      <c r="E2" s="781"/>
      <c r="F2" s="781"/>
    </row>
    <row r="3" spans="1:6" ht="18.75">
      <c r="A3" s="775"/>
      <c r="B3" s="775"/>
      <c r="C3" s="775"/>
      <c r="D3" s="3" t="s">
        <v>72</v>
      </c>
      <c r="E3" s="3" t="s">
        <v>73</v>
      </c>
      <c r="F3" s="12"/>
    </row>
    <row r="4" spans="1:6" ht="18.75">
      <c r="A4" s="775" t="s">
        <v>64</v>
      </c>
      <c r="B4" s="775"/>
      <c r="C4" s="775"/>
      <c r="D4" s="13">
        <f>E4*12</f>
        <v>207435.96000000002</v>
      </c>
      <c r="E4" s="13">
        <f>SUMMARY!F8</f>
        <v>17286.330000000002</v>
      </c>
      <c r="F4" s="1"/>
    </row>
    <row r="5" spans="1:6" ht="18.75">
      <c r="A5" s="775" t="s">
        <v>65</v>
      </c>
      <c r="B5" s="775"/>
      <c r="C5" s="775"/>
      <c r="D5" s="13">
        <f t="shared" ref="D5:D14" si="0">E5*12</f>
        <v>622307.88000000012</v>
      </c>
      <c r="E5" s="13">
        <f>SUMMARY!H8</f>
        <v>51858.990000000005</v>
      </c>
      <c r="F5" s="1"/>
    </row>
    <row r="6" spans="1:6" ht="18.75">
      <c r="A6" s="775" t="s">
        <v>66</v>
      </c>
      <c r="B6" s="775"/>
      <c r="C6" s="775"/>
      <c r="D6" s="13">
        <f t="shared" si="0"/>
        <v>15557.697</v>
      </c>
      <c r="E6" s="13">
        <f>SUMMARY!I8</f>
        <v>1296.4747500000001</v>
      </c>
      <c r="F6" s="1"/>
    </row>
    <row r="7" spans="1:6" ht="18.75">
      <c r="A7" s="775" t="s">
        <v>63</v>
      </c>
      <c r="B7" s="775"/>
      <c r="C7" s="775"/>
      <c r="D7" s="13">
        <f t="shared" si="0"/>
        <v>0</v>
      </c>
      <c r="E7" s="13">
        <f>SUMMARY!J6</f>
        <v>0</v>
      </c>
      <c r="F7" s="1"/>
    </row>
    <row r="8" spans="1:6" ht="18.75">
      <c r="A8" s="775" t="s">
        <v>67</v>
      </c>
      <c r="B8" s="775"/>
      <c r="C8" s="775"/>
      <c r="D8" s="13">
        <f t="shared" si="0"/>
        <v>103717.98000000001</v>
      </c>
      <c r="E8" s="13">
        <f>SUMMARY!K8</f>
        <v>8643.1650000000009</v>
      </c>
      <c r="F8" s="1"/>
    </row>
    <row r="9" spans="1:6" ht="18.75">
      <c r="A9" s="775" t="s">
        <v>68</v>
      </c>
      <c r="B9" s="775"/>
      <c r="C9" s="775"/>
      <c r="D9" s="13">
        <f t="shared" si="0"/>
        <v>726025.8600000001</v>
      </c>
      <c r="E9" s="13">
        <f>SUMMARY!L8</f>
        <v>60502.155000000006</v>
      </c>
      <c r="F9" s="1"/>
    </row>
    <row r="10" spans="1:6" ht="18.75">
      <c r="A10" s="775" t="s">
        <v>69</v>
      </c>
      <c r="B10" s="775"/>
      <c r="C10" s="775"/>
      <c r="D10" s="13">
        <f t="shared" si="0"/>
        <v>207435.96000000002</v>
      </c>
      <c r="E10" s="13">
        <f>SUMMARY!N8</f>
        <v>17286.330000000002</v>
      </c>
      <c r="F10" s="1"/>
    </row>
    <row r="11" spans="1:6" ht="18.75">
      <c r="A11" s="777" t="s">
        <v>91</v>
      </c>
      <c r="B11" s="778"/>
      <c r="C11" s="779"/>
      <c r="D11" s="13">
        <f t="shared" si="0"/>
        <v>480000</v>
      </c>
      <c r="E11" s="13">
        <v>40000</v>
      </c>
      <c r="F11" s="1"/>
    </row>
    <row r="12" spans="1:6" ht="18.75">
      <c r="A12" s="775" t="s">
        <v>70</v>
      </c>
      <c r="B12" s="775"/>
      <c r="C12" s="775"/>
      <c r="D12" s="13">
        <f t="shared" si="0"/>
        <v>20743.596000000005</v>
      </c>
      <c r="E12" s="13">
        <f>SUMMARY!O8</f>
        <v>1728.6330000000003</v>
      </c>
      <c r="F12" s="1"/>
    </row>
    <row r="13" spans="1:6" ht="18.75">
      <c r="A13" s="775" t="s">
        <v>71</v>
      </c>
      <c r="B13" s="775"/>
      <c r="C13" s="775"/>
      <c r="D13" s="13">
        <f t="shared" si="0"/>
        <v>120000</v>
      </c>
      <c r="E13" s="13">
        <f>SUMMARY!P7</f>
        <v>10000</v>
      </c>
      <c r="F13" s="1"/>
    </row>
    <row r="14" spans="1:6" ht="18.75">
      <c r="A14" s="776" t="s">
        <v>74</v>
      </c>
      <c r="B14" s="776"/>
      <c r="C14" s="776"/>
      <c r="D14" s="14">
        <f t="shared" si="0"/>
        <v>2503224.9330000002</v>
      </c>
      <c r="E14" s="14">
        <f>SUM(E4:E13)</f>
        <v>208602.07775000003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2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18" sqref="D18"/>
    </sheetView>
  </sheetViews>
  <sheetFormatPr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782" t="s">
        <v>86</v>
      </c>
      <c r="B1" s="782"/>
      <c r="C1" s="782"/>
      <c r="D1" s="782"/>
      <c r="E1" s="782"/>
      <c r="F1" s="782"/>
    </row>
    <row r="2" spans="1:6" ht="18.75">
      <c r="A2" s="781" t="s">
        <v>89</v>
      </c>
      <c r="B2" s="781"/>
      <c r="C2" s="781"/>
      <c r="D2" s="781"/>
      <c r="E2" s="781"/>
      <c r="F2" s="781"/>
    </row>
    <row r="3" spans="1:6" ht="18.75">
      <c r="A3" s="775"/>
      <c r="B3" s="775"/>
      <c r="C3" s="775"/>
      <c r="D3" s="3" t="s">
        <v>72</v>
      </c>
      <c r="E3" s="3" t="s">
        <v>73</v>
      </c>
      <c r="F3" s="12"/>
    </row>
    <row r="4" spans="1:6" ht="18.75">
      <c r="A4" s="775" t="s">
        <v>64</v>
      </c>
      <c r="B4" s="775"/>
      <c r="C4" s="775"/>
      <c r="D4" s="13">
        <f>E4*12</f>
        <v>176833.68</v>
      </c>
      <c r="E4" s="13">
        <f>SUMMARY!F9</f>
        <v>14736.14</v>
      </c>
      <c r="F4" s="1"/>
    </row>
    <row r="5" spans="1:6" ht="18.75">
      <c r="A5" s="775" t="s">
        <v>65</v>
      </c>
      <c r="B5" s="775"/>
      <c r="C5" s="775"/>
      <c r="D5" s="13">
        <f t="shared" ref="D5:D14" si="0">E5*12</f>
        <v>530501.04</v>
      </c>
      <c r="E5" s="13">
        <f>SUMMARY!H9</f>
        <v>44208.42</v>
      </c>
      <c r="F5" s="1"/>
    </row>
    <row r="6" spans="1:6" ht="18.75">
      <c r="A6" s="775" t="s">
        <v>66</v>
      </c>
      <c r="B6" s="775"/>
      <c r="C6" s="775"/>
      <c r="D6" s="13">
        <f t="shared" si="0"/>
        <v>13262.525999999998</v>
      </c>
      <c r="E6" s="13">
        <f>SUMMARY!I9</f>
        <v>1105.2104999999999</v>
      </c>
      <c r="F6" s="1"/>
    </row>
    <row r="7" spans="1:6" ht="18.75">
      <c r="A7" s="775" t="s">
        <v>63</v>
      </c>
      <c r="B7" s="775"/>
      <c r="C7" s="775"/>
      <c r="D7" s="13">
        <f t="shared" si="0"/>
        <v>0</v>
      </c>
      <c r="E7" s="13">
        <f>SUMMARY!J6</f>
        <v>0</v>
      </c>
      <c r="F7" s="1"/>
    </row>
    <row r="8" spans="1:6" ht="18.75">
      <c r="A8" s="775" t="s">
        <v>67</v>
      </c>
      <c r="B8" s="775"/>
      <c r="C8" s="775"/>
      <c r="D8" s="13">
        <f t="shared" si="0"/>
        <v>88416.84</v>
      </c>
      <c r="E8" s="13">
        <f>SUMMARY!K9</f>
        <v>7368.07</v>
      </c>
      <c r="F8" s="1"/>
    </row>
    <row r="9" spans="1:6" ht="18.75">
      <c r="A9" s="775" t="s">
        <v>68</v>
      </c>
      <c r="B9" s="775"/>
      <c r="C9" s="775"/>
      <c r="D9" s="13">
        <f t="shared" si="0"/>
        <v>618917.88</v>
      </c>
      <c r="E9" s="13">
        <f>SUMMARY!L9</f>
        <v>51576.49</v>
      </c>
      <c r="F9" s="1"/>
    </row>
    <row r="10" spans="1:6" ht="18.75">
      <c r="A10" s="775" t="s">
        <v>69</v>
      </c>
      <c r="B10" s="775"/>
      <c r="C10" s="775"/>
      <c r="D10" s="13">
        <f t="shared" si="0"/>
        <v>176833.68</v>
      </c>
      <c r="E10" s="13">
        <f>SUMMARY!N9</f>
        <v>14736.14</v>
      </c>
      <c r="F10" s="1"/>
    </row>
    <row r="11" spans="1:6" ht="18.75">
      <c r="A11" s="777" t="s">
        <v>96</v>
      </c>
      <c r="B11" s="778"/>
      <c r="C11" s="779"/>
      <c r="D11" s="13">
        <f t="shared" si="0"/>
        <v>480000</v>
      </c>
      <c r="E11" s="13">
        <v>40000</v>
      </c>
      <c r="F11" s="1"/>
    </row>
    <row r="12" spans="1:6" ht="18.75">
      <c r="A12" s="775" t="s">
        <v>70</v>
      </c>
      <c r="B12" s="775"/>
      <c r="C12" s="775"/>
      <c r="D12" s="13">
        <f t="shared" si="0"/>
        <v>17683.368000000002</v>
      </c>
      <c r="E12" s="13">
        <f>SUMMARY!O9</f>
        <v>1473.614</v>
      </c>
      <c r="F12" s="1"/>
    </row>
    <row r="13" spans="1:6" ht="18.75">
      <c r="A13" s="775" t="s">
        <v>71</v>
      </c>
      <c r="B13" s="775"/>
      <c r="C13" s="775"/>
      <c r="D13" s="13">
        <f t="shared" si="0"/>
        <v>120000</v>
      </c>
      <c r="E13" s="13">
        <f>SUMMARY!P7</f>
        <v>10000</v>
      </c>
      <c r="F13" s="1"/>
    </row>
    <row r="14" spans="1:6" ht="18.75">
      <c r="A14" s="776" t="s">
        <v>74</v>
      </c>
      <c r="B14" s="776"/>
      <c r="C14" s="776"/>
      <c r="D14" s="14">
        <f t="shared" si="0"/>
        <v>2222449.014</v>
      </c>
      <c r="E14" s="14">
        <f>SUM(E4:E13)</f>
        <v>185204.0845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1399999999999999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O5" sqref="O5"/>
    </sheetView>
  </sheetViews>
  <sheetFormatPr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782" t="s">
        <v>133</v>
      </c>
      <c r="B1" s="782"/>
      <c r="C1" s="782"/>
      <c r="D1" s="782"/>
      <c r="E1" s="782"/>
      <c r="F1" s="782"/>
    </row>
    <row r="2" spans="1:6" ht="18.75">
      <c r="A2" s="781"/>
      <c r="B2" s="781"/>
      <c r="C2" s="781"/>
      <c r="D2" s="781"/>
      <c r="E2" s="781"/>
      <c r="F2" s="781"/>
    </row>
    <row r="3" spans="1:6" ht="18.75">
      <c r="A3" s="775"/>
      <c r="B3" s="775"/>
      <c r="C3" s="775"/>
      <c r="D3" s="3" t="s">
        <v>72</v>
      </c>
      <c r="E3" s="3" t="s">
        <v>73</v>
      </c>
      <c r="F3" s="12"/>
    </row>
    <row r="4" spans="1:6" ht="18.75">
      <c r="A4" s="775" t="s">
        <v>64</v>
      </c>
      <c r="B4" s="775"/>
      <c r="C4" s="775"/>
      <c r="D4" s="13">
        <f>E4*12</f>
        <v>5479467</v>
      </c>
      <c r="E4" s="13">
        <f>'FEBRUARY 2024'!E78</f>
        <v>456622.25</v>
      </c>
      <c r="F4" s="1"/>
    </row>
    <row r="5" spans="1:6" ht="18.75">
      <c r="A5" s="775" t="s">
        <v>65</v>
      </c>
      <c r="B5" s="775"/>
      <c r="C5" s="775"/>
      <c r="D5" s="13" t="e">
        <f t="shared" ref="D5:D12" si="0">E5*12</f>
        <v>#REF!</v>
      </c>
      <c r="E5" s="13" t="e">
        <f>'FEBRUARY 2024'!#REF!</f>
        <v>#REF!</v>
      </c>
      <c r="F5" s="1"/>
    </row>
    <row r="6" spans="1:6" ht="18.75">
      <c r="A6" s="775" t="s">
        <v>66</v>
      </c>
      <c r="B6" s="775"/>
      <c r="C6" s="775"/>
      <c r="D6" s="13" t="e">
        <f t="shared" si="0"/>
        <v>#REF!</v>
      </c>
      <c r="E6" s="13" t="e">
        <f>'FEBRUARY 2024'!#REF!</f>
        <v>#REF!</v>
      </c>
      <c r="F6" s="1"/>
    </row>
    <row r="7" spans="1:6" ht="18.75">
      <c r="A7" s="775" t="s">
        <v>67</v>
      </c>
      <c r="B7" s="775"/>
      <c r="C7" s="775"/>
      <c r="D7" s="13" t="e">
        <f t="shared" si="0"/>
        <v>#REF!</v>
      </c>
      <c r="E7" s="13" t="e">
        <f>'FEBRUARY 2024'!#REF!</f>
        <v>#REF!</v>
      </c>
      <c r="F7" s="1"/>
    </row>
    <row r="8" spans="1:6" ht="18.75">
      <c r="A8" s="775" t="s">
        <v>68</v>
      </c>
      <c r="B8" s="775"/>
      <c r="C8" s="775"/>
      <c r="D8" s="13" t="e">
        <f t="shared" si="0"/>
        <v>#REF!</v>
      </c>
      <c r="E8" s="13" t="e">
        <f>'FEBRUARY 2024'!#REF!</f>
        <v>#REF!</v>
      </c>
      <c r="F8" s="1"/>
    </row>
    <row r="9" spans="1:6" ht="18.75">
      <c r="A9" s="775" t="s">
        <v>69</v>
      </c>
      <c r="B9" s="775"/>
      <c r="C9" s="775"/>
      <c r="D9" s="13" t="e">
        <f t="shared" si="0"/>
        <v>#REF!</v>
      </c>
      <c r="E9" s="13" t="e">
        <f>'FEBRUARY 2024'!#REF!</f>
        <v>#REF!</v>
      </c>
      <c r="F9" s="1"/>
    </row>
    <row r="10" spans="1:6" ht="18.75">
      <c r="A10" s="775" t="s">
        <v>70</v>
      </c>
      <c r="B10" s="775"/>
      <c r="C10" s="775"/>
      <c r="D10" s="13" t="e">
        <f t="shared" si="0"/>
        <v>#REF!</v>
      </c>
      <c r="E10" s="13" t="e">
        <f>'FEBRUARY 2024'!#REF!</f>
        <v>#REF!</v>
      </c>
      <c r="F10" s="1"/>
    </row>
    <row r="11" spans="1:6" ht="18.75">
      <c r="A11" s="775" t="s">
        <v>71</v>
      </c>
      <c r="B11" s="775"/>
      <c r="C11" s="775"/>
      <c r="D11" s="13" t="e">
        <f t="shared" si="0"/>
        <v>#REF!</v>
      </c>
      <c r="E11" s="13" t="e">
        <f>'FEBRUARY 2024'!#REF!</f>
        <v>#REF!</v>
      </c>
      <c r="F11" s="1"/>
    </row>
    <row r="12" spans="1:6" ht="18.75">
      <c r="A12" s="776" t="s">
        <v>74</v>
      </c>
      <c r="B12" s="776"/>
      <c r="C12" s="776"/>
      <c r="D12" s="14" t="e">
        <f t="shared" si="0"/>
        <v>#REF!</v>
      </c>
      <c r="E12" s="14" t="e">
        <f>SUM(E4:E11)</f>
        <v>#REF!</v>
      </c>
      <c r="F12" s="1"/>
    </row>
  </sheetData>
  <mergeCells count="12">
    <mergeCell ref="A1:F1"/>
    <mergeCell ref="A2:F2"/>
    <mergeCell ref="A3:C3"/>
    <mergeCell ref="A4:C4"/>
    <mergeCell ref="A5:C5"/>
    <mergeCell ref="A6:C6"/>
    <mergeCell ref="A12:C12"/>
    <mergeCell ref="A7:C7"/>
    <mergeCell ref="A8:C8"/>
    <mergeCell ref="A9:C9"/>
    <mergeCell ref="A10:C10"/>
    <mergeCell ref="A11:C11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workbookViewId="0">
      <selection activeCell="F3" sqref="F3"/>
    </sheetView>
  </sheetViews>
  <sheetFormatPr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2" t="s">
        <v>1</v>
      </c>
      <c r="G1" s="2" t="s">
        <v>59</v>
      </c>
      <c r="H1" s="2"/>
      <c r="I1" s="2"/>
      <c r="J1" s="2"/>
      <c r="K1" s="2"/>
      <c r="L1" s="2"/>
      <c r="M1" s="2" t="s">
        <v>31</v>
      </c>
      <c r="N1" s="2" t="s">
        <v>45</v>
      </c>
      <c r="O1" s="2" t="s">
        <v>92</v>
      </c>
      <c r="P1" s="2" t="s">
        <v>41</v>
      </c>
      <c r="Q1" s="2" t="s">
        <v>47</v>
      </c>
      <c r="R1" s="2" t="s">
        <v>48</v>
      </c>
      <c r="S1" s="2" t="s">
        <v>4</v>
      </c>
      <c r="T1" s="8"/>
      <c r="U1" s="6" t="s">
        <v>61</v>
      </c>
      <c r="V1" s="5" t="s">
        <v>60</v>
      </c>
    </row>
    <row r="2" spans="1:22" ht="18.75">
      <c r="F2" s="2" t="s">
        <v>36</v>
      </c>
      <c r="G2" s="2" t="s">
        <v>58</v>
      </c>
      <c r="H2" s="2" t="s">
        <v>2</v>
      </c>
      <c r="I2" s="2" t="s">
        <v>3</v>
      </c>
      <c r="J2" s="2" t="s">
        <v>32</v>
      </c>
      <c r="K2" s="2" t="s">
        <v>42</v>
      </c>
      <c r="L2" s="2" t="s">
        <v>43</v>
      </c>
      <c r="M2" s="2" t="s">
        <v>44</v>
      </c>
      <c r="N2" s="2" t="s">
        <v>46</v>
      </c>
      <c r="O2" s="2" t="s">
        <v>93</v>
      </c>
      <c r="P2" s="2" t="s">
        <v>33</v>
      </c>
      <c r="Q2" s="2" t="s">
        <v>33</v>
      </c>
      <c r="R2" s="2" t="s">
        <v>49</v>
      </c>
      <c r="S2" s="2" t="s">
        <v>36</v>
      </c>
      <c r="T2" s="2" t="s">
        <v>38</v>
      </c>
      <c r="U2" s="6"/>
      <c r="V2" s="5"/>
    </row>
    <row r="3" spans="1:22" ht="18.75">
      <c r="A3" s="783" t="s">
        <v>77</v>
      </c>
      <c r="B3" s="784"/>
      <c r="C3" s="785"/>
      <c r="D3" s="15"/>
      <c r="E3" s="15" t="s">
        <v>146</v>
      </c>
      <c r="F3" s="16">
        <v>79039.64</v>
      </c>
      <c r="G3" s="16"/>
      <c r="H3" s="16">
        <f t="shared" ref="H3:H10" si="0">F3*300%</f>
        <v>237118.91999999998</v>
      </c>
      <c r="I3" s="16">
        <f t="shared" ref="I3:I10" si="1">F3*7.5%</f>
        <v>5927.973</v>
      </c>
      <c r="J3" s="16">
        <v>80244.38</v>
      </c>
      <c r="K3" s="16">
        <f t="shared" ref="K3:K10" si="2">F3*50%</f>
        <v>39519.82</v>
      </c>
      <c r="L3" s="16">
        <f t="shared" ref="L3:L10" si="3">F3*350%</f>
        <v>276638.74</v>
      </c>
      <c r="M3" s="16">
        <v>0</v>
      </c>
      <c r="N3" s="16">
        <f t="shared" ref="N3:N10" si="4">F3*100%</f>
        <v>79039.64</v>
      </c>
      <c r="O3" s="16">
        <f t="shared" ref="O3:O10" si="5">F3*10%</f>
        <v>7903.9639999999999</v>
      </c>
      <c r="P3" s="16">
        <v>20000</v>
      </c>
      <c r="Q3" s="16">
        <v>0</v>
      </c>
      <c r="R3" s="16">
        <f t="shared" ref="R3:R10" si="6">SUM(F3:Q3)</f>
        <v>825433.07700000005</v>
      </c>
      <c r="S3" s="16"/>
      <c r="T3" s="9"/>
      <c r="U3" s="11"/>
    </row>
    <row r="4" spans="1:22" ht="18.75">
      <c r="A4" s="783" t="s">
        <v>145</v>
      </c>
      <c r="B4" s="784"/>
      <c r="C4" s="785"/>
      <c r="D4" s="15"/>
      <c r="E4" s="15" t="s">
        <v>147</v>
      </c>
      <c r="F4" s="16">
        <v>36784.71</v>
      </c>
      <c r="G4" s="16"/>
      <c r="H4" s="16">
        <f t="shared" si="0"/>
        <v>110354.13</v>
      </c>
      <c r="I4" s="16">
        <f t="shared" si="1"/>
        <v>2758.8532499999997</v>
      </c>
      <c r="J4" s="16">
        <v>80244.38</v>
      </c>
      <c r="K4" s="16">
        <f t="shared" si="2"/>
        <v>18392.355</v>
      </c>
      <c r="L4" s="16">
        <f t="shared" si="3"/>
        <v>128746.485</v>
      </c>
      <c r="M4" s="16"/>
      <c r="N4" s="16">
        <f t="shared" si="4"/>
        <v>36784.71</v>
      </c>
      <c r="O4" s="16">
        <f t="shared" si="5"/>
        <v>3678.471</v>
      </c>
      <c r="P4" s="16">
        <v>20000</v>
      </c>
      <c r="Q4" s="16">
        <v>0</v>
      </c>
      <c r="R4" s="16">
        <f t="shared" si="6"/>
        <v>437744.09425000002</v>
      </c>
      <c r="S4" s="16"/>
      <c r="T4" s="9"/>
      <c r="U4" s="11"/>
    </row>
    <row r="5" spans="1:22" ht="18.75">
      <c r="A5" s="786" t="s">
        <v>78</v>
      </c>
      <c r="B5" s="787"/>
      <c r="C5" s="788"/>
      <c r="D5" s="17"/>
      <c r="E5" s="20" t="s">
        <v>95</v>
      </c>
      <c r="F5" s="18">
        <v>24975.81</v>
      </c>
      <c r="G5" s="16">
        <v>0</v>
      </c>
      <c r="H5" s="18">
        <f>F5*300%</f>
        <v>74927.430000000008</v>
      </c>
      <c r="I5" s="18">
        <f>F5*7.5%</f>
        <v>1873.1857500000001</v>
      </c>
      <c r="J5" s="18">
        <v>0</v>
      </c>
      <c r="K5" s="18">
        <f>F5*50%</f>
        <v>12487.905000000001</v>
      </c>
      <c r="L5" s="18">
        <f>F5*350%</f>
        <v>87415.335000000006</v>
      </c>
      <c r="M5" s="18">
        <v>0</v>
      </c>
      <c r="N5" s="18">
        <f>F5*100%</f>
        <v>24975.81</v>
      </c>
      <c r="O5" s="18">
        <v>100000</v>
      </c>
      <c r="P5" s="18">
        <f>F5*10%</f>
        <v>2497.5810000000001</v>
      </c>
      <c r="Q5" s="18">
        <v>20000</v>
      </c>
      <c r="R5" s="18">
        <v>0</v>
      </c>
      <c r="S5" s="16">
        <f>SUM(F5:R5)</f>
        <v>349153.05674999999</v>
      </c>
      <c r="T5" s="16">
        <v>0</v>
      </c>
      <c r="U5" s="19">
        <f>S5-T5</f>
        <v>349153.05674999999</v>
      </c>
      <c r="V5" s="16">
        <v>344720.6</v>
      </c>
    </row>
    <row r="6" spans="1:22" ht="18.75">
      <c r="A6" s="783" t="s">
        <v>80</v>
      </c>
      <c r="B6" s="784"/>
      <c r="C6" s="785"/>
      <c r="D6" s="15"/>
      <c r="E6" s="15" t="s">
        <v>79</v>
      </c>
      <c r="F6" s="16">
        <v>23891.119999999999</v>
      </c>
      <c r="G6" s="16"/>
      <c r="H6" s="16">
        <f t="shared" si="0"/>
        <v>71673.36</v>
      </c>
      <c r="I6" s="16">
        <f t="shared" si="1"/>
        <v>1791.8339999999998</v>
      </c>
      <c r="J6" s="16">
        <v>0</v>
      </c>
      <c r="K6" s="16">
        <f t="shared" si="2"/>
        <v>11945.56</v>
      </c>
      <c r="L6" s="16">
        <f t="shared" si="3"/>
        <v>83618.92</v>
      </c>
      <c r="M6" s="16">
        <v>0</v>
      </c>
      <c r="N6" s="16">
        <f t="shared" si="4"/>
        <v>23891.119999999999</v>
      </c>
      <c r="O6" s="16">
        <f t="shared" si="5"/>
        <v>2389.1120000000001</v>
      </c>
      <c r="P6" s="16">
        <v>15000</v>
      </c>
      <c r="Q6" s="16">
        <v>0</v>
      </c>
      <c r="R6" s="16">
        <f t="shared" si="6"/>
        <v>234201.02599999998</v>
      </c>
      <c r="S6" s="16"/>
      <c r="T6" s="9"/>
      <c r="U6" s="11"/>
    </row>
    <row r="7" spans="1:22" ht="18.75">
      <c r="A7" s="783" t="s">
        <v>94</v>
      </c>
      <c r="B7" s="784"/>
      <c r="C7" s="785"/>
      <c r="D7" s="15"/>
      <c r="E7" s="15" t="s">
        <v>81</v>
      </c>
      <c r="F7" s="16">
        <v>21293.96</v>
      </c>
      <c r="G7" s="16"/>
      <c r="H7" s="16">
        <f t="shared" si="0"/>
        <v>63881.88</v>
      </c>
      <c r="I7" s="16">
        <f t="shared" si="1"/>
        <v>1597.0469999999998</v>
      </c>
      <c r="J7" s="16">
        <v>0</v>
      </c>
      <c r="K7" s="16">
        <f t="shared" si="2"/>
        <v>10646.98</v>
      </c>
      <c r="L7" s="16">
        <f t="shared" si="3"/>
        <v>74528.86</v>
      </c>
      <c r="M7" s="16">
        <v>0</v>
      </c>
      <c r="N7" s="16">
        <f t="shared" si="4"/>
        <v>21293.96</v>
      </c>
      <c r="O7" s="16">
        <f t="shared" si="5"/>
        <v>2129.3960000000002</v>
      </c>
      <c r="P7" s="16">
        <v>10000</v>
      </c>
      <c r="Q7" s="16">
        <v>0</v>
      </c>
      <c r="R7" s="16">
        <f t="shared" si="6"/>
        <v>205372.08300000001</v>
      </c>
      <c r="S7" s="16"/>
      <c r="T7" s="9"/>
      <c r="U7" s="11"/>
    </row>
    <row r="8" spans="1:22" ht="18.75">
      <c r="A8" s="783" t="s">
        <v>84</v>
      </c>
      <c r="B8" s="784"/>
      <c r="C8" s="785"/>
      <c r="D8" s="15"/>
      <c r="E8" s="15" t="s">
        <v>85</v>
      </c>
      <c r="F8" s="16">
        <v>17286.330000000002</v>
      </c>
      <c r="G8" s="16"/>
      <c r="H8" s="16">
        <f t="shared" si="0"/>
        <v>51858.990000000005</v>
      </c>
      <c r="I8" s="16">
        <f t="shared" si="1"/>
        <v>1296.4747500000001</v>
      </c>
      <c r="J8" s="16">
        <v>0</v>
      </c>
      <c r="K8" s="16">
        <f t="shared" si="2"/>
        <v>8643.1650000000009</v>
      </c>
      <c r="L8" s="16">
        <f t="shared" si="3"/>
        <v>60502.155000000006</v>
      </c>
      <c r="M8" s="16">
        <v>0</v>
      </c>
      <c r="N8" s="16">
        <f t="shared" si="4"/>
        <v>17286.330000000002</v>
      </c>
      <c r="O8" s="16">
        <f t="shared" si="5"/>
        <v>1728.6330000000003</v>
      </c>
      <c r="P8" s="16">
        <v>10000</v>
      </c>
      <c r="Q8" s="16">
        <v>0</v>
      </c>
      <c r="R8" s="16">
        <f t="shared" si="6"/>
        <v>168602.07775000003</v>
      </c>
      <c r="S8" s="16"/>
      <c r="T8" s="9"/>
      <c r="U8" s="11"/>
    </row>
    <row r="9" spans="1:22" ht="18.75">
      <c r="A9" s="783" t="s">
        <v>87</v>
      </c>
      <c r="B9" s="784"/>
      <c r="C9" s="785"/>
      <c r="D9" s="15"/>
      <c r="E9" s="15" t="s">
        <v>88</v>
      </c>
      <c r="F9" s="16">
        <v>14736.14</v>
      </c>
      <c r="G9" s="16"/>
      <c r="H9" s="16">
        <f t="shared" si="0"/>
        <v>44208.42</v>
      </c>
      <c r="I9" s="16">
        <f t="shared" si="1"/>
        <v>1105.2104999999999</v>
      </c>
      <c r="J9" s="16">
        <v>0</v>
      </c>
      <c r="K9" s="16">
        <f t="shared" si="2"/>
        <v>7368.07</v>
      </c>
      <c r="L9" s="16">
        <f t="shared" si="3"/>
        <v>51576.49</v>
      </c>
      <c r="M9" s="16">
        <v>0</v>
      </c>
      <c r="N9" s="16">
        <f t="shared" si="4"/>
        <v>14736.14</v>
      </c>
      <c r="O9" s="16">
        <f t="shared" si="5"/>
        <v>1473.614</v>
      </c>
      <c r="P9" s="16">
        <v>10000</v>
      </c>
      <c r="Q9" s="16">
        <v>0</v>
      </c>
      <c r="R9" s="16">
        <f t="shared" si="6"/>
        <v>145204.0845</v>
      </c>
      <c r="S9" s="16"/>
      <c r="T9" s="9"/>
      <c r="U9" s="11"/>
    </row>
    <row r="10" spans="1:22" ht="18.75">
      <c r="A10" s="783"/>
      <c r="B10" s="784"/>
      <c r="C10" s="785"/>
      <c r="D10" s="15"/>
      <c r="E10" s="15" t="s">
        <v>90</v>
      </c>
      <c r="F10" s="16">
        <v>12351.94</v>
      </c>
      <c r="G10" s="16"/>
      <c r="H10" s="16">
        <f t="shared" si="0"/>
        <v>37055.82</v>
      </c>
      <c r="I10" s="16">
        <f t="shared" si="1"/>
        <v>926.39549999999997</v>
      </c>
      <c r="J10" s="16">
        <v>0</v>
      </c>
      <c r="K10" s="16">
        <f t="shared" si="2"/>
        <v>6175.97</v>
      </c>
      <c r="L10" s="16">
        <f t="shared" si="3"/>
        <v>43231.79</v>
      </c>
      <c r="M10" s="16">
        <v>0</v>
      </c>
      <c r="N10" s="16">
        <f t="shared" si="4"/>
        <v>12351.94</v>
      </c>
      <c r="O10" s="16">
        <f t="shared" si="5"/>
        <v>1235.1940000000002</v>
      </c>
      <c r="P10" s="16">
        <v>10000</v>
      </c>
      <c r="Q10" s="16">
        <v>0</v>
      </c>
      <c r="R10" s="16">
        <f t="shared" si="6"/>
        <v>123329.04950000001</v>
      </c>
      <c r="S10" s="16"/>
      <c r="T10" s="9"/>
      <c r="U10" s="11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782" t="s">
        <v>157</v>
      </c>
      <c r="B1" s="782"/>
      <c r="C1" s="782"/>
      <c r="D1" s="782"/>
      <c r="E1" s="782"/>
      <c r="F1" s="782"/>
    </row>
    <row r="2" spans="1:6" ht="18.75">
      <c r="A2" s="781" t="s">
        <v>97</v>
      </c>
      <c r="B2" s="781"/>
      <c r="C2" s="781"/>
      <c r="D2" s="781"/>
      <c r="E2" s="781"/>
      <c r="F2" s="781"/>
    </row>
    <row r="3" spans="1:6" ht="18.75">
      <c r="A3" s="775"/>
      <c r="B3" s="775"/>
      <c r="C3" s="775"/>
      <c r="D3" s="3" t="s">
        <v>72</v>
      </c>
      <c r="E3" s="3" t="s">
        <v>73</v>
      </c>
      <c r="F3" s="12"/>
    </row>
    <row r="4" spans="1:6" ht="18.75">
      <c r="A4" s="775" t="s">
        <v>64</v>
      </c>
      <c r="B4" s="775"/>
      <c r="C4" s="775"/>
      <c r="D4" s="13">
        <f>E4*12</f>
        <v>299709.72000000003</v>
      </c>
      <c r="E4" s="13">
        <f>SUMMARY!F5</f>
        <v>24975.81</v>
      </c>
      <c r="F4" s="1"/>
    </row>
    <row r="5" spans="1:6" ht="18.75">
      <c r="A5" s="775" t="s">
        <v>65</v>
      </c>
      <c r="B5" s="775"/>
      <c r="C5" s="775"/>
      <c r="D5" s="13">
        <f t="shared" ref="D5:D14" si="0">E5*12</f>
        <v>899129.16000000015</v>
      </c>
      <c r="E5" s="13">
        <f>SUMMARY!H5</f>
        <v>74927.430000000008</v>
      </c>
      <c r="F5" s="1"/>
    </row>
    <row r="6" spans="1:6" ht="18.75">
      <c r="A6" s="775" t="s">
        <v>66</v>
      </c>
      <c r="B6" s="775"/>
      <c r="C6" s="775"/>
      <c r="D6" s="13">
        <f t="shared" si="0"/>
        <v>22478.228999999999</v>
      </c>
      <c r="E6" s="13">
        <f>SUMMARY!I5</f>
        <v>1873.1857500000001</v>
      </c>
      <c r="F6" s="1"/>
    </row>
    <row r="7" spans="1:6" ht="18.75">
      <c r="A7" s="775" t="s">
        <v>63</v>
      </c>
      <c r="B7" s="775"/>
      <c r="C7" s="775"/>
      <c r="D7" s="13">
        <f t="shared" si="0"/>
        <v>0</v>
      </c>
      <c r="E7" s="13">
        <f>SUMMARY!J6</f>
        <v>0</v>
      </c>
      <c r="F7" s="1"/>
    </row>
    <row r="8" spans="1:6" ht="18.75">
      <c r="A8" s="775" t="s">
        <v>67</v>
      </c>
      <c r="B8" s="775"/>
      <c r="C8" s="775"/>
      <c r="D8" s="13">
        <f t="shared" si="0"/>
        <v>149854.86000000002</v>
      </c>
      <c r="E8" s="13">
        <f>SUMMARY!K5</f>
        <v>12487.905000000001</v>
      </c>
      <c r="F8" s="1"/>
    </row>
    <row r="9" spans="1:6" ht="18.75">
      <c r="A9" s="775" t="s">
        <v>68</v>
      </c>
      <c r="B9" s="775"/>
      <c r="C9" s="775"/>
      <c r="D9" s="13">
        <f t="shared" si="0"/>
        <v>1048984.02</v>
      </c>
      <c r="E9" s="13">
        <f>SUMMARY!L5</f>
        <v>87415.335000000006</v>
      </c>
      <c r="F9" s="1"/>
    </row>
    <row r="10" spans="1:6" ht="18.75">
      <c r="A10" s="775" t="s">
        <v>69</v>
      </c>
      <c r="B10" s="775"/>
      <c r="C10" s="775"/>
      <c r="D10" s="13">
        <f t="shared" si="0"/>
        <v>299709.72000000003</v>
      </c>
      <c r="E10" s="13">
        <f>SUMMARY!N5</f>
        <v>24975.81</v>
      </c>
      <c r="F10" s="1"/>
    </row>
    <row r="11" spans="1:6" ht="18.75">
      <c r="A11" s="777" t="s">
        <v>91</v>
      </c>
      <c r="B11" s="778"/>
      <c r="C11" s="779"/>
      <c r="D11" s="13">
        <f t="shared" si="0"/>
        <v>0</v>
      </c>
      <c r="E11" s="13">
        <v>0</v>
      </c>
      <c r="F11" s="1"/>
    </row>
    <row r="12" spans="1:6" ht="18.75">
      <c r="A12" s="775" t="s">
        <v>70</v>
      </c>
      <c r="B12" s="775"/>
      <c r="C12" s="775"/>
      <c r="D12" s="13">
        <f t="shared" si="0"/>
        <v>29970.972000000002</v>
      </c>
      <c r="E12" s="13">
        <f>SUMMARY!P5</f>
        <v>2497.5810000000001</v>
      </c>
      <c r="F12" s="1"/>
    </row>
    <row r="13" spans="1:6" ht="18.75">
      <c r="A13" s="775" t="s">
        <v>71</v>
      </c>
      <c r="B13" s="775"/>
      <c r="C13" s="775"/>
      <c r="D13" s="13">
        <f t="shared" si="0"/>
        <v>240000</v>
      </c>
      <c r="E13" s="13">
        <f>SUMMARY!Q5</f>
        <v>20000</v>
      </c>
      <c r="F13" s="1"/>
    </row>
    <row r="14" spans="1:6" ht="18.75">
      <c r="A14" s="776" t="s">
        <v>74</v>
      </c>
      <c r="B14" s="776"/>
      <c r="C14" s="776"/>
      <c r="D14" s="14">
        <f t="shared" si="0"/>
        <v>2989836.6810000003</v>
      </c>
      <c r="E14" s="14">
        <f>SUM(E4:E13)</f>
        <v>249153.05675000002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11:C11"/>
    <mergeCell ref="A7:C7"/>
    <mergeCell ref="A8:C8"/>
    <mergeCell ref="A9:C9"/>
    <mergeCell ref="A10:C10"/>
    <mergeCell ref="A12:C12"/>
    <mergeCell ref="A13:C13"/>
  </mergeCells>
  <pageMargins left="1.06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H14" sqref="H14"/>
    </sheetView>
  </sheetViews>
  <sheetFormatPr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789" t="s">
        <v>155</v>
      </c>
      <c r="B1" s="789"/>
      <c r="C1" s="789"/>
    </row>
    <row r="2" spans="1:3" ht="18.75">
      <c r="A2" s="789" t="s">
        <v>156</v>
      </c>
      <c r="B2" s="789"/>
      <c r="C2" s="789"/>
    </row>
    <row r="3" spans="1:3" ht="18.75">
      <c r="A3" s="22"/>
      <c r="B3" s="22" t="s">
        <v>72</v>
      </c>
      <c r="C3" s="22" t="s">
        <v>73</v>
      </c>
    </row>
    <row r="4" spans="1:3" ht="18.75">
      <c r="A4" s="33" t="s">
        <v>64</v>
      </c>
      <c r="B4" s="27">
        <f>C4*12</f>
        <v>475947</v>
      </c>
      <c r="C4" s="27">
        <v>39662.25</v>
      </c>
    </row>
    <row r="5" spans="1:3" ht="18.75">
      <c r="A5" s="33" t="s">
        <v>65</v>
      </c>
      <c r="B5" s="27">
        <f t="shared" ref="B5:B13" si="0">C5*12</f>
        <v>1427841</v>
      </c>
      <c r="C5" s="27">
        <v>118986.75</v>
      </c>
    </row>
    <row r="6" spans="1:3" ht="18.75">
      <c r="A6" s="33" t="s">
        <v>66</v>
      </c>
      <c r="B6" s="27">
        <f t="shared" si="0"/>
        <v>35696.04</v>
      </c>
      <c r="C6" s="27">
        <v>2974.67</v>
      </c>
    </row>
    <row r="7" spans="1:3" ht="18.75">
      <c r="A7" s="33" t="s">
        <v>63</v>
      </c>
      <c r="B7" s="27" t="e">
        <f t="shared" si="0"/>
        <v>#REF!</v>
      </c>
      <c r="C7" s="27" t="e">
        <f>'FEBRUARY 2024'!#REF!</f>
        <v>#REF!</v>
      </c>
    </row>
    <row r="8" spans="1:3" ht="18.75">
      <c r="A8" s="33" t="s">
        <v>67</v>
      </c>
      <c r="B8" s="27">
        <f t="shared" si="0"/>
        <v>237973.56</v>
      </c>
      <c r="C8" s="27">
        <v>19831.13</v>
      </c>
    </row>
    <row r="9" spans="1:3" ht="18.75">
      <c r="A9" s="33" t="s">
        <v>68</v>
      </c>
      <c r="B9" s="27">
        <f t="shared" si="0"/>
        <v>1665814.56</v>
      </c>
      <c r="C9" s="27">
        <v>138817.88</v>
      </c>
    </row>
    <row r="10" spans="1:3" ht="18.75">
      <c r="A10" s="33" t="s">
        <v>69</v>
      </c>
      <c r="B10" s="27">
        <f t="shared" si="0"/>
        <v>475947</v>
      </c>
      <c r="C10" s="27">
        <v>39662.25</v>
      </c>
    </row>
    <row r="11" spans="1:3" ht="18.75">
      <c r="A11" s="33" t="s">
        <v>91</v>
      </c>
      <c r="B11" s="27">
        <f t="shared" si="0"/>
        <v>0</v>
      </c>
      <c r="C11" s="27">
        <v>0</v>
      </c>
    </row>
    <row r="12" spans="1:3" ht="18.75">
      <c r="A12" s="33" t="s">
        <v>70</v>
      </c>
      <c r="B12" s="27">
        <f t="shared" si="0"/>
        <v>47594.76</v>
      </c>
      <c r="C12" s="27">
        <v>3966.23</v>
      </c>
    </row>
    <row r="13" spans="1:3" ht="18.75">
      <c r="A13" s="33" t="s">
        <v>71</v>
      </c>
      <c r="B13" s="27" t="e">
        <f t="shared" si="0"/>
        <v>#REF!</v>
      </c>
      <c r="C13" s="27" t="e">
        <f>'FEBRUARY 2024'!#REF!</f>
        <v>#REF!</v>
      </c>
    </row>
    <row r="14" spans="1:3" ht="18.75">
      <c r="A14" s="22" t="s">
        <v>74</v>
      </c>
      <c r="B14" s="28" t="e">
        <f>SUM(B4:B13)</f>
        <v>#REF!</v>
      </c>
      <c r="C14" s="28" t="e">
        <f>SUM(C4:C13)</f>
        <v>#REF!</v>
      </c>
    </row>
    <row r="15" spans="1:3" ht="18.75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60"/>
  <sheetViews>
    <sheetView topLeftCell="A38" workbookViewId="0">
      <selection activeCell="L51" sqref="L51"/>
    </sheetView>
  </sheetViews>
  <sheetFormatPr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86"/>
      <c r="B2" s="86" t="s">
        <v>308</v>
      </c>
      <c r="C2" s="86"/>
      <c r="D2" s="86"/>
    </row>
    <row r="3" spans="1:4" ht="15">
      <c r="A3" s="86" t="s">
        <v>143</v>
      </c>
      <c r="B3" s="86" t="s">
        <v>309</v>
      </c>
      <c r="C3" s="86" t="s">
        <v>307</v>
      </c>
      <c r="D3" s="87" t="s">
        <v>5</v>
      </c>
    </row>
    <row r="4" spans="1:4" ht="15">
      <c r="A4" s="88">
        <v>1</v>
      </c>
      <c r="B4" s="88">
        <v>17</v>
      </c>
      <c r="C4" s="88">
        <v>9</v>
      </c>
      <c r="D4" s="89">
        <v>81740.02</v>
      </c>
    </row>
    <row r="5" spans="1:4" ht="15">
      <c r="A5" s="88">
        <v>2</v>
      </c>
      <c r="B5" s="88">
        <v>17</v>
      </c>
      <c r="C5" s="88">
        <v>8</v>
      </c>
      <c r="D5" s="89">
        <f>79039.64</f>
        <v>79039.64</v>
      </c>
    </row>
    <row r="6" spans="1:4" ht="15">
      <c r="A6" s="88">
        <v>3</v>
      </c>
      <c r="B6" s="88">
        <v>17</v>
      </c>
      <c r="C6" s="88">
        <v>7</v>
      </c>
      <c r="D6" s="89">
        <f>76339.3</f>
        <v>76339.3</v>
      </c>
    </row>
    <row r="7" spans="1:4" ht="15">
      <c r="A7" s="88">
        <v>4</v>
      </c>
      <c r="B7" s="88">
        <v>16</v>
      </c>
      <c r="C7" s="88">
        <v>9</v>
      </c>
      <c r="D7" s="89">
        <f>42653.17</f>
        <v>42653.17</v>
      </c>
    </row>
    <row r="8" spans="1:4" ht="15">
      <c r="A8" s="88">
        <v>5</v>
      </c>
      <c r="B8" s="88">
        <f>16</f>
        <v>16</v>
      </c>
      <c r="C8" s="88">
        <v>8</v>
      </c>
      <c r="D8" s="89">
        <v>41157.69</v>
      </c>
    </row>
    <row r="9" spans="1:4" ht="15">
      <c r="A9" s="88">
        <v>6</v>
      </c>
      <c r="B9" s="88">
        <v>16</v>
      </c>
      <c r="C9" s="88">
        <v>7</v>
      </c>
      <c r="D9" s="89">
        <v>39662.25</v>
      </c>
    </row>
    <row r="10" spans="1:4" ht="15">
      <c r="A10" s="88">
        <v>7</v>
      </c>
      <c r="B10" s="88">
        <v>15</v>
      </c>
      <c r="C10" s="88">
        <v>9</v>
      </c>
      <c r="D10" s="89">
        <v>33507.5</v>
      </c>
    </row>
    <row r="11" spans="1:4" ht="15">
      <c r="A11" s="88">
        <v>8</v>
      </c>
      <c r="B11" s="88">
        <v>15</v>
      </c>
      <c r="C11" s="88">
        <v>8</v>
      </c>
      <c r="D11" s="89">
        <v>32263.200000000001</v>
      </c>
    </row>
    <row r="12" spans="1:4" ht="15">
      <c r="A12" s="88">
        <v>9</v>
      </c>
      <c r="B12" s="88">
        <v>15</v>
      </c>
      <c r="C12" s="88">
        <v>7</v>
      </c>
      <c r="D12" s="89">
        <v>31018.84</v>
      </c>
    </row>
    <row r="13" spans="1:4" ht="15">
      <c r="A13" s="88">
        <v>10</v>
      </c>
      <c r="B13" s="88">
        <v>14</v>
      </c>
      <c r="C13" s="88">
        <v>11</v>
      </c>
      <c r="D13" s="89">
        <v>28489.81</v>
      </c>
    </row>
    <row r="14" spans="1:4" ht="15">
      <c r="A14" s="88">
        <v>11</v>
      </c>
      <c r="B14" s="88">
        <v>14</v>
      </c>
      <c r="C14" s="88">
        <v>10</v>
      </c>
      <c r="D14" s="89">
        <v>27611.23</v>
      </c>
    </row>
    <row r="15" spans="1:4" ht="15">
      <c r="A15" s="88">
        <v>12</v>
      </c>
      <c r="B15" s="88">
        <v>14</v>
      </c>
      <c r="C15" s="88">
        <v>9</v>
      </c>
      <c r="D15" s="89">
        <v>26732.65</v>
      </c>
    </row>
    <row r="16" spans="1:4" ht="15">
      <c r="A16" s="88">
        <v>13</v>
      </c>
      <c r="B16" s="88">
        <v>14</v>
      </c>
      <c r="C16" s="88">
        <v>8</v>
      </c>
      <c r="D16" s="89">
        <v>25854.1</v>
      </c>
    </row>
    <row r="17" spans="1:4" ht="15">
      <c r="A17" s="88">
        <v>14</v>
      </c>
      <c r="B17" s="88">
        <v>14</v>
      </c>
      <c r="C17" s="88">
        <v>7</v>
      </c>
      <c r="D17" s="89">
        <v>24975.81</v>
      </c>
    </row>
    <row r="18" spans="1:4" ht="15">
      <c r="A18" s="88">
        <v>15</v>
      </c>
      <c r="B18" s="88">
        <v>13</v>
      </c>
      <c r="C18" s="88">
        <v>11</v>
      </c>
      <c r="D18" s="89">
        <v>26339.3</v>
      </c>
    </row>
    <row r="19" spans="1:4" ht="15">
      <c r="A19" s="88">
        <v>16</v>
      </c>
      <c r="B19" s="88">
        <v>13</v>
      </c>
      <c r="C19" s="88">
        <v>10</v>
      </c>
      <c r="D19" s="89">
        <v>25523.45</v>
      </c>
    </row>
    <row r="20" spans="1:4" ht="15">
      <c r="A20" s="88">
        <v>17</v>
      </c>
      <c r="B20" s="88">
        <v>13</v>
      </c>
      <c r="C20" s="88">
        <v>9</v>
      </c>
      <c r="D20" s="89">
        <v>24741.26</v>
      </c>
    </row>
    <row r="21" spans="1:4" ht="15">
      <c r="A21" s="88">
        <v>18</v>
      </c>
      <c r="B21" s="88">
        <v>13</v>
      </c>
      <c r="C21" s="88">
        <v>8</v>
      </c>
      <c r="D21" s="89">
        <v>23891.119999999999</v>
      </c>
    </row>
    <row r="22" spans="1:4" ht="15">
      <c r="A22" s="88">
        <v>19</v>
      </c>
      <c r="B22" s="88">
        <v>13</v>
      </c>
      <c r="C22" s="88">
        <v>7</v>
      </c>
      <c r="D22" s="89">
        <v>23074.99</v>
      </c>
    </row>
    <row r="23" spans="1:4" ht="15">
      <c r="A23" s="88">
        <v>20</v>
      </c>
      <c r="B23" s="88">
        <v>12</v>
      </c>
      <c r="C23" s="88">
        <v>12</v>
      </c>
      <c r="D23" s="89"/>
    </row>
    <row r="24" spans="1:4" ht="15">
      <c r="A24" s="88">
        <v>21</v>
      </c>
      <c r="B24" s="88">
        <v>12</v>
      </c>
      <c r="C24" s="88">
        <v>11</v>
      </c>
      <c r="D24" s="89"/>
    </row>
    <row r="25" spans="1:4" ht="15">
      <c r="A25" s="88">
        <v>22</v>
      </c>
      <c r="B25" s="88">
        <v>12</v>
      </c>
      <c r="C25" s="88">
        <v>10</v>
      </c>
      <c r="D25" s="89"/>
    </row>
    <row r="26" spans="1:4" ht="15">
      <c r="A26" s="88">
        <v>23</v>
      </c>
      <c r="B26" s="88">
        <v>12</v>
      </c>
      <c r="C26" s="88">
        <v>9</v>
      </c>
      <c r="D26" s="89"/>
    </row>
    <row r="27" spans="1:4" ht="15">
      <c r="A27" s="88">
        <v>24</v>
      </c>
      <c r="B27" s="88">
        <v>12</v>
      </c>
      <c r="C27" s="88">
        <v>8</v>
      </c>
      <c r="D27" s="89">
        <f>21520.88</f>
        <v>21520.880000000001</v>
      </c>
    </row>
    <row r="28" spans="1:4" ht="15">
      <c r="A28" s="88">
        <v>25</v>
      </c>
      <c r="B28" s="88">
        <v>12</v>
      </c>
      <c r="C28" s="88">
        <v>7</v>
      </c>
      <c r="D28" s="89">
        <f>20749</f>
        <v>20749</v>
      </c>
    </row>
    <row r="29" spans="1:4" ht="15">
      <c r="A29" s="88">
        <v>26</v>
      </c>
      <c r="B29" s="88">
        <v>10</v>
      </c>
      <c r="C29" s="88">
        <v>13</v>
      </c>
      <c r="D29" s="89"/>
    </row>
    <row r="30" spans="1:4" ht="15">
      <c r="A30" s="88">
        <v>27</v>
      </c>
      <c r="B30" s="88">
        <v>10</v>
      </c>
      <c r="C30" s="88">
        <v>12</v>
      </c>
      <c r="D30" s="89">
        <v>19774.62</v>
      </c>
    </row>
    <row r="31" spans="1:4" ht="15">
      <c r="A31" s="88">
        <v>28</v>
      </c>
      <c r="B31" s="88">
        <v>10</v>
      </c>
      <c r="C31" s="88">
        <v>11</v>
      </c>
      <c r="D31" s="89">
        <v>19276.95</v>
      </c>
    </row>
    <row r="32" spans="1:4" ht="15">
      <c r="A32" s="88">
        <v>29</v>
      </c>
      <c r="B32" s="88">
        <v>10</v>
      </c>
      <c r="C32" s="88">
        <v>10</v>
      </c>
      <c r="D32" s="89">
        <v>18779.3</v>
      </c>
    </row>
    <row r="33" spans="1:4" ht="15">
      <c r="A33" s="88">
        <v>30</v>
      </c>
      <c r="B33" s="88">
        <v>10</v>
      </c>
      <c r="C33" s="88">
        <v>9</v>
      </c>
      <c r="D33" s="89">
        <v>18281.64</v>
      </c>
    </row>
    <row r="34" spans="1:4" ht="15">
      <c r="A34" s="88">
        <v>31</v>
      </c>
      <c r="B34" s="88">
        <v>10</v>
      </c>
      <c r="C34" s="88">
        <v>8</v>
      </c>
      <c r="D34" s="89">
        <v>17784.099999999999</v>
      </c>
    </row>
    <row r="35" spans="1:4" ht="15">
      <c r="A35" s="88">
        <v>32</v>
      </c>
      <c r="B35" s="88">
        <v>10</v>
      </c>
      <c r="C35" s="88">
        <v>7</v>
      </c>
      <c r="D35" s="89">
        <v>17286.330000000002</v>
      </c>
    </row>
    <row r="36" spans="1:4" ht="15">
      <c r="A36" s="88">
        <v>33</v>
      </c>
      <c r="B36" s="88">
        <v>9</v>
      </c>
      <c r="C36" s="88">
        <v>10</v>
      </c>
      <c r="D36" s="89">
        <v>16093.74</v>
      </c>
    </row>
    <row r="37" spans="1:4" ht="15">
      <c r="A37" s="88">
        <v>34</v>
      </c>
      <c r="B37" s="88">
        <v>9</v>
      </c>
      <c r="C37" s="88">
        <v>9</v>
      </c>
      <c r="D37" s="156">
        <f>15641.2</f>
        <v>15641.2</v>
      </c>
    </row>
    <row r="38" spans="1:4" ht="15">
      <c r="A38" s="88">
        <v>35</v>
      </c>
      <c r="B38" s="88">
        <v>9</v>
      </c>
      <c r="C38" s="88">
        <v>8</v>
      </c>
      <c r="D38" s="156">
        <f>15188.68</f>
        <v>15188.68</v>
      </c>
    </row>
    <row r="39" spans="1:4" ht="15">
      <c r="A39" s="88">
        <v>36</v>
      </c>
      <c r="B39" s="88">
        <v>9</v>
      </c>
      <c r="C39">
        <v>7</v>
      </c>
      <c r="D39" s="156">
        <f>14736.14</f>
        <v>14736.14</v>
      </c>
    </row>
    <row r="40" spans="1:4" ht="15">
      <c r="A40" s="88">
        <v>37</v>
      </c>
      <c r="B40" s="88">
        <v>8</v>
      </c>
      <c r="C40" s="88">
        <v>10</v>
      </c>
      <c r="D40" s="89">
        <v>13492.21</v>
      </c>
    </row>
    <row r="41" spans="1:4" ht="15">
      <c r="A41" s="88">
        <v>38</v>
      </c>
      <c r="B41" s="88">
        <v>8</v>
      </c>
      <c r="C41" s="88">
        <v>9</v>
      </c>
      <c r="D41" s="89">
        <v>13112.16</v>
      </c>
    </row>
    <row r="42" spans="1:4" ht="15">
      <c r="A42" s="88">
        <v>39</v>
      </c>
      <c r="B42" s="88">
        <v>8</v>
      </c>
      <c r="C42" s="88">
        <v>8</v>
      </c>
      <c r="D42" s="89">
        <v>12732</v>
      </c>
    </row>
    <row r="43" spans="1:4" ht="15">
      <c r="A43" s="88">
        <v>40</v>
      </c>
      <c r="B43" s="88">
        <v>8</v>
      </c>
      <c r="C43" s="88">
        <v>7</v>
      </c>
      <c r="D43" s="89">
        <v>12351.94</v>
      </c>
    </row>
    <row r="44" spans="1:4" ht="15">
      <c r="A44" s="88">
        <v>41</v>
      </c>
      <c r="B44" s="88">
        <v>7</v>
      </c>
      <c r="C44" s="88">
        <v>10</v>
      </c>
    </row>
    <row r="45" spans="1:4" ht="15">
      <c r="A45" s="88">
        <v>42</v>
      </c>
      <c r="B45" s="88">
        <v>7</v>
      </c>
      <c r="C45" s="88">
        <v>9</v>
      </c>
    </row>
    <row r="46" spans="1:4" ht="15">
      <c r="A46" s="88">
        <v>43</v>
      </c>
      <c r="B46" s="88">
        <v>7</v>
      </c>
      <c r="C46" s="88">
        <v>8</v>
      </c>
      <c r="D46" s="89"/>
    </row>
    <row r="47" spans="1:4" ht="15">
      <c r="A47" s="88">
        <v>44</v>
      </c>
      <c r="B47" s="88">
        <v>7</v>
      </c>
      <c r="C47" s="88">
        <v>6</v>
      </c>
      <c r="D47" s="89"/>
    </row>
    <row r="48" spans="1:4" ht="15">
      <c r="A48" s="88">
        <v>45</v>
      </c>
      <c r="B48" s="88">
        <v>7</v>
      </c>
      <c r="C48" s="88">
        <v>5</v>
      </c>
      <c r="D48" s="89"/>
    </row>
    <row r="49" spans="1:4" ht="15">
      <c r="A49" s="88">
        <v>46</v>
      </c>
      <c r="B49" s="88">
        <v>7</v>
      </c>
      <c r="C49" s="88">
        <v>4</v>
      </c>
      <c r="D49" s="89">
        <f>9050.14</f>
        <v>9050.14</v>
      </c>
    </row>
    <row r="50" spans="1:4" ht="15">
      <c r="A50" s="88">
        <v>47</v>
      </c>
      <c r="B50" s="88">
        <v>7</v>
      </c>
      <c r="C50" s="88">
        <v>3</v>
      </c>
      <c r="D50" s="89">
        <f>8730.79</f>
        <v>8730.7900000000009</v>
      </c>
    </row>
    <row r="51" spans="1:4" ht="15">
      <c r="A51" s="88">
        <v>48</v>
      </c>
      <c r="B51" s="88">
        <v>5</v>
      </c>
      <c r="C51" s="88">
        <v>13</v>
      </c>
      <c r="D51" s="89">
        <v>5769.6</v>
      </c>
    </row>
    <row r="52" spans="1:4" ht="15">
      <c r="A52" s="88">
        <v>49</v>
      </c>
      <c r="B52" s="88">
        <v>5</v>
      </c>
      <c r="C52" s="88">
        <v>12</v>
      </c>
      <c r="D52" s="89">
        <v>5598.92</v>
      </c>
    </row>
    <row r="53" spans="1:4" ht="15">
      <c r="A53" s="88">
        <v>50</v>
      </c>
      <c r="B53" s="88">
        <v>5</v>
      </c>
      <c r="C53" s="88">
        <v>11</v>
      </c>
      <c r="D53" s="89">
        <v>5428.12</v>
      </c>
    </row>
    <row r="54" spans="1:4" ht="15">
      <c r="A54" s="88">
        <v>51</v>
      </c>
      <c r="B54" s="88">
        <v>5</v>
      </c>
      <c r="C54" s="88">
        <v>10</v>
      </c>
      <c r="D54" s="89">
        <v>5257.44</v>
      </c>
    </row>
    <row r="55" spans="1:4" ht="15">
      <c r="A55" s="88">
        <v>52</v>
      </c>
      <c r="B55" s="88">
        <v>5</v>
      </c>
      <c r="C55" s="88">
        <v>9</v>
      </c>
      <c r="D55" s="89">
        <v>5086.76</v>
      </c>
    </row>
    <row r="56" spans="1:4" ht="15">
      <c r="A56" s="88">
        <v>53</v>
      </c>
      <c r="B56" s="88">
        <v>5</v>
      </c>
      <c r="C56" s="88">
        <v>8</v>
      </c>
      <c r="D56" s="89">
        <v>4915.9399999999996</v>
      </c>
    </row>
    <row r="57" spans="1:4" ht="15">
      <c r="A57" s="88"/>
      <c r="B57" s="88">
        <v>5</v>
      </c>
      <c r="C57" s="88">
        <v>7</v>
      </c>
      <c r="D57" s="89">
        <v>4745.29</v>
      </c>
    </row>
    <row r="58" spans="1:4" ht="15">
      <c r="B58" s="88">
        <v>4</v>
      </c>
      <c r="C58" s="88">
        <v>11</v>
      </c>
      <c r="D58" s="89">
        <v>4836.3</v>
      </c>
    </row>
    <row r="59" spans="1:4" ht="15">
      <c r="B59" s="88">
        <v>4</v>
      </c>
      <c r="C59" s="88">
        <v>8</v>
      </c>
      <c r="D59" s="89">
        <v>4248.51</v>
      </c>
    </row>
    <row r="60" spans="1:4" ht="15">
      <c r="B60" s="88">
        <v>4</v>
      </c>
      <c r="C60" s="88">
        <v>7</v>
      </c>
      <c r="D60" s="89">
        <v>4101.58</v>
      </c>
    </row>
  </sheetData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2"/>
  <sheetViews>
    <sheetView view="pageBreakPreview" zoomScaleNormal="69" zoomScaleSheetLayoutView="100" workbookViewId="0">
      <pane xSplit="3" ySplit="7" topLeftCell="D153" activePane="bottomRight" state="frozen"/>
      <selection pane="topRight" activeCell="E1" sqref="E1"/>
      <selection pane="bottomLeft" activeCell="A10" sqref="A10"/>
      <selection pane="bottomRight" activeCell="C6" sqref="C6"/>
    </sheetView>
  </sheetViews>
  <sheetFormatPr defaultColWidth="9.140625" defaultRowHeight="20.100000000000001" customHeight="1"/>
  <cols>
    <col min="1" max="1" width="4.5703125" style="196" customWidth="1"/>
    <col min="2" max="2" width="42.42578125" style="196" customWidth="1"/>
    <col min="3" max="3" width="40.42578125" style="196" customWidth="1"/>
    <col min="4" max="4" width="11.5703125" style="196" customWidth="1"/>
    <col min="5" max="5" width="21.7109375" style="196" customWidth="1"/>
    <col min="6" max="16384" width="9.140625" style="196"/>
  </cols>
  <sheetData>
    <row r="1" spans="1:5" ht="27" customHeight="1">
      <c r="A1" s="790" t="s">
        <v>234</v>
      </c>
      <c r="B1" s="790"/>
      <c r="C1" s="790"/>
      <c r="D1" s="790"/>
    </row>
    <row r="2" spans="1:5" ht="33.75" customHeight="1">
      <c r="A2" s="734" t="s">
        <v>549</v>
      </c>
      <c r="B2" s="734"/>
      <c r="C2" s="734"/>
      <c r="D2" s="734"/>
    </row>
    <row r="3" spans="1:5" ht="9.75" customHeight="1">
      <c r="A3" s="202"/>
      <c r="B3" s="202"/>
      <c r="C3" s="202"/>
      <c r="D3" s="202"/>
    </row>
    <row r="4" spans="1:5" ht="33" customHeight="1">
      <c r="A4" s="21"/>
      <c r="B4" s="203" t="s">
        <v>0</v>
      </c>
      <c r="C4" s="204" t="s">
        <v>12</v>
      </c>
      <c r="D4" s="205" t="s">
        <v>309</v>
      </c>
    </row>
    <row r="5" spans="1:5" ht="17.25" customHeight="1">
      <c r="C5" s="210"/>
      <c r="D5" s="210"/>
    </row>
    <row r="6" spans="1:5" ht="20.100000000000001" customHeight="1">
      <c r="A6" s="209" t="s">
        <v>143</v>
      </c>
      <c r="B6" s="210" t="s">
        <v>433</v>
      </c>
      <c r="C6" s="210"/>
      <c r="D6" s="210"/>
    </row>
    <row r="7" spans="1:5" ht="20.100000000000001" customHeight="1">
      <c r="A7" s="29">
        <v>1</v>
      </c>
      <c r="B7" s="188" t="s">
        <v>224</v>
      </c>
      <c r="C7" s="287" t="s">
        <v>119</v>
      </c>
      <c r="D7" s="287" t="s">
        <v>34</v>
      </c>
      <c r="E7" s="213"/>
    </row>
    <row r="8" spans="1:5" ht="20.100000000000001" customHeight="1">
      <c r="A8" s="29">
        <v>2</v>
      </c>
      <c r="B8" s="188" t="s">
        <v>137</v>
      </c>
      <c r="C8" s="21" t="s">
        <v>540</v>
      </c>
      <c r="D8" s="29" t="s">
        <v>160</v>
      </c>
      <c r="E8" s="213"/>
    </row>
    <row r="9" spans="1:5" ht="20.100000000000001" customHeight="1">
      <c r="A9" s="29">
        <v>3</v>
      </c>
      <c r="B9" s="188" t="s">
        <v>315</v>
      </c>
      <c r="C9" s="287" t="s">
        <v>316</v>
      </c>
      <c r="D9" s="29" t="s">
        <v>496</v>
      </c>
      <c r="E9" s="213"/>
    </row>
    <row r="10" spans="1:5" ht="20.100000000000001" customHeight="1">
      <c r="A10" s="29">
        <v>4</v>
      </c>
      <c r="B10" s="190" t="s">
        <v>317</v>
      </c>
      <c r="C10" s="21" t="s">
        <v>418</v>
      </c>
      <c r="D10" s="214" t="s">
        <v>221</v>
      </c>
      <c r="E10" s="213"/>
    </row>
    <row r="11" spans="1:5" ht="20.100000000000001" customHeight="1">
      <c r="A11" s="29">
        <v>5</v>
      </c>
      <c r="B11" s="190" t="s">
        <v>112</v>
      </c>
      <c r="C11" s="21" t="s">
        <v>473</v>
      </c>
      <c r="D11" s="25" t="s">
        <v>221</v>
      </c>
      <c r="E11" s="213"/>
    </row>
    <row r="12" spans="1:5" ht="20.100000000000001" customHeight="1">
      <c r="A12" s="29">
        <v>6</v>
      </c>
      <c r="B12" s="188" t="s">
        <v>187</v>
      </c>
      <c r="C12" s="155" t="s">
        <v>474</v>
      </c>
      <c r="D12" s="25" t="s">
        <v>221</v>
      </c>
      <c r="E12" s="213"/>
    </row>
    <row r="13" spans="1:5" ht="20.100000000000001" customHeight="1">
      <c r="A13" s="29">
        <v>7</v>
      </c>
      <c r="B13" s="190" t="s">
        <v>203</v>
      </c>
      <c r="C13" s="21" t="s">
        <v>475</v>
      </c>
      <c r="D13" s="25" t="s">
        <v>221</v>
      </c>
      <c r="E13" s="213"/>
    </row>
    <row r="14" spans="1:5" ht="20.100000000000001" customHeight="1">
      <c r="A14" s="29">
        <v>8</v>
      </c>
      <c r="B14" s="188" t="s">
        <v>111</v>
      </c>
      <c r="C14" s="287" t="s">
        <v>468</v>
      </c>
      <c r="D14" s="214" t="s">
        <v>75</v>
      </c>
      <c r="E14" s="213"/>
    </row>
    <row r="15" spans="1:5" ht="20.100000000000001" customHeight="1">
      <c r="A15" s="29">
        <v>9</v>
      </c>
      <c r="B15" s="189" t="s">
        <v>333</v>
      </c>
      <c r="C15" s="287" t="s">
        <v>387</v>
      </c>
      <c r="D15" s="29" t="s">
        <v>412</v>
      </c>
      <c r="E15" s="213"/>
    </row>
    <row r="16" spans="1:5" ht="20.100000000000001" customHeight="1">
      <c r="A16" s="29">
        <v>10</v>
      </c>
      <c r="B16" s="192" t="s">
        <v>220</v>
      </c>
      <c r="C16" s="21" t="s">
        <v>388</v>
      </c>
      <c r="D16" s="25" t="s">
        <v>181</v>
      </c>
      <c r="E16" s="213"/>
    </row>
    <row r="17" spans="1:5" ht="19.5" customHeight="1">
      <c r="A17" s="29">
        <v>11</v>
      </c>
      <c r="B17" s="190" t="s">
        <v>144</v>
      </c>
      <c r="C17" s="21" t="s">
        <v>389</v>
      </c>
      <c r="D17" s="29" t="s">
        <v>181</v>
      </c>
      <c r="E17" s="213"/>
    </row>
    <row r="18" spans="1:5" ht="19.5" customHeight="1">
      <c r="A18" s="29">
        <v>12</v>
      </c>
      <c r="B18" s="190" t="s">
        <v>139</v>
      </c>
      <c r="C18" s="21" t="s">
        <v>386</v>
      </c>
      <c r="D18" s="29" t="s">
        <v>181</v>
      </c>
      <c r="E18" s="213"/>
    </row>
    <row r="19" spans="1:5" ht="20.100000000000001" customHeight="1">
      <c r="A19" s="29">
        <v>13</v>
      </c>
      <c r="B19" s="188" t="s">
        <v>18</v>
      </c>
      <c r="C19" s="21" t="s">
        <v>389</v>
      </c>
      <c r="D19" s="214" t="s">
        <v>181</v>
      </c>
      <c r="E19" s="213"/>
    </row>
    <row r="20" spans="1:5" ht="20.100000000000001" customHeight="1">
      <c r="A20" s="29">
        <v>14</v>
      </c>
      <c r="B20" s="188" t="s">
        <v>334</v>
      </c>
      <c r="C20" s="287" t="s">
        <v>351</v>
      </c>
      <c r="D20" s="214" t="s">
        <v>163</v>
      </c>
      <c r="E20" s="213"/>
    </row>
    <row r="21" spans="1:5" ht="20.100000000000001" customHeight="1">
      <c r="A21" s="29">
        <v>15</v>
      </c>
      <c r="B21" s="189" t="s">
        <v>291</v>
      </c>
      <c r="C21" s="21" t="s">
        <v>346</v>
      </c>
      <c r="D21" s="214" t="s">
        <v>413</v>
      </c>
      <c r="E21" s="213"/>
    </row>
    <row r="22" spans="1:5" ht="20.100000000000001" customHeight="1">
      <c r="A22" s="29">
        <v>16</v>
      </c>
      <c r="B22" s="188" t="s">
        <v>141</v>
      </c>
      <c r="C22" s="287" t="s">
        <v>391</v>
      </c>
      <c r="D22" s="214" t="s">
        <v>497</v>
      </c>
      <c r="E22" s="213"/>
    </row>
    <row r="23" spans="1:5" ht="18.75" customHeight="1">
      <c r="A23" s="29">
        <v>17</v>
      </c>
      <c r="B23" s="188" t="s">
        <v>253</v>
      </c>
      <c r="C23" s="287" t="s">
        <v>478</v>
      </c>
      <c r="D23" s="214" t="s">
        <v>415</v>
      </c>
      <c r="E23" s="213"/>
    </row>
    <row r="24" spans="1:5" ht="18.75" customHeight="1">
      <c r="A24" s="29">
        <v>18</v>
      </c>
      <c r="B24" s="189" t="s">
        <v>275</v>
      </c>
      <c r="C24" s="287" t="s">
        <v>314</v>
      </c>
      <c r="D24" s="214" t="s">
        <v>164</v>
      </c>
      <c r="E24" s="213"/>
    </row>
    <row r="25" spans="1:5" ht="18.75" customHeight="1">
      <c r="A25" s="29">
        <v>19</v>
      </c>
      <c r="B25" s="21" t="s">
        <v>434</v>
      </c>
      <c r="C25" s="21" t="s">
        <v>17</v>
      </c>
      <c r="D25" s="29" t="s">
        <v>498</v>
      </c>
      <c r="E25" s="213"/>
    </row>
    <row r="26" spans="1:5" ht="18.75" customHeight="1">
      <c r="A26" s="29">
        <v>20</v>
      </c>
      <c r="B26" s="189" t="s">
        <v>254</v>
      </c>
      <c r="C26" s="287" t="s">
        <v>17</v>
      </c>
      <c r="D26" s="214" t="s">
        <v>498</v>
      </c>
      <c r="E26" s="213"/>
    </row>
    <row r="27" spans="1:5" ht="18.75" customHeight="1">
      <c r="A27" s="29">
        <v>21</v>
      </c>
      <c r="B27" s="188" t="s">
        <v>248</v>
      </c>
      <c r="C27" s="287" t="s">
        <v>480</v>
      </c>
      <c r="D27" s="214" t="s">
        <v>498</v>
      </c>
      <c r="E27" s="213"/>
    </row>
    <row r="28" spans="1:5" ht="18.75" customHeight="1">
      <c r="A28" s="29">
        <v>22</v>
      </c>
      <c r="B28" s="189" t="s">
        <v>288</v>
      </c>
      <c r="C28" s="287" t="s">
        <v>249</v>
      </c>
      <c r="D28" s="214" t="s">
        <v>267</v>
      </c>
      <c r="E28" s="213"/>
    </row>
    <row r="29" spans="1:5" ht="18.75" customHeight="1">
      <c r="A29" s="29">
        <v>23</v>
      </c>
      <c r="B29" s="189" t="s">
        <v>328</v>
      </c>
      <c r="C29" s="21" t="s">
        <v>329</v>
      </c>
      <c r="D29" s="29" t="s">
        <v>267</v>
      </c>
      <c r="E29" s="213"/>
    </row>
    <row r="30" spans="1:5" ht="18.75" customHeight="1">
      <c r="A30" s="29">
        <v>24</v>
      </c>
      <c r="B30" s="189" t="s">
        <v>360</v>
      </c>
      <c r="C30" s="155" t="s">
        <v>372</v>
      </c>
      <c r="D30" s="214" t="s">
        <v>498</v>
      </c>
      <c r="E30" s="213"/>
    </row>
    <row r="31" spans="1:5" ht="18.75" customHeight="1">
      <c r="A31" s="29">
        <v>25</v>
      </c>
      <c r="B31" s="189" t="s">
        <v>330</v>
      </c>
      <c r="C31" s="21" t="s">
        <v>533</v>
      </c>
      <c r="D31" s="29" t="s">
        <v>176</v>
      </c>
      <c r="E31" s="213"/>
    </row>
    <row r="32" spans="1:5" ht="18.75" customHeight="1">
      <c r="A32" s="29">
        <v>26</v>
      </c>
      <c r="B32" s="189" t="s">
        <v>274</v>
      </c>
      <c r="C32" s="287" t="s">
        <v>314</v>
      </c>
      <c r="D32" s="214" t="s">
        <v>176</v>
      </c>
      <c r="E32" s="213"/>
    </row>
    <row r="33" spans="1:5" ht="18.75" customHeight="1">
      <c r="A33" s="29">
        <v>27</v>
      </c>
      <c r="B33" s="189" t="s">
        <v>453</v>
      </c>
      <c r="C33" s="287" t="s">
        <v>314</v>
      </c>
      <c r="D33" s="214" t="s">
        <v>176</v>
      </c>
      <c r="E33" s="213"/>
    </row>
    <row r="34" spans="1:5" ht="18.75" customHeight="1">
      <c r="A34" s="29">
        <v>28</v>
      </c>
      <c r="B34" s="189" t="s">
        <v>535</v>
      </c>
      <c r="C34" s="287" t="s">
        <v>536</v>
      </c>
      <c r="D34" s="214" t="s">
        <v>105</v>
      </c>
      <c r="E34" s="213"/>
    </row>
    <row r="35" spans="1:5" ht="20.25" customHeight="1">
      <c r="A35" s="29"/>
      <c r="B35" s="191" t="s">
        <v>15</v>
      </c>
      <c r="C35" s="30">
        <v>28</v>
      </c>
      <c r="D35" s="214"/>
      <c r="E35" s="213"/>
    </row>
    <row r="36" spans="1:5" ht="18.75" customHeight="1">
      <c r="A36" s="29"/>
      <c r="B36" s="141"/>
      <c r="C36" s="21"/>
      <c r="D36" s="214"/>
      <c r="E36" s="213"/>
    </row>
    <row r="37" spans="1:5" ht="18.75" customHeight="1">
      <c r="A37" s="29"/>
      <c r="B37" s="191" t="s">
        <v>284</v>
      </c>
      <c r="C37" s="21"/>
      <c r="D37" s="214"/>
      <c r="E37" s="213"/>
    </row>
    <row r="38" spans="1:5" ht="18.75" customHeight="1">
      <c r="A38" s="29">
        <v>1</v>
      </c>
      <c r="B38" s="189" t="s">
        <v>361</v>
      </c>
      <c r="C38" s="21" t="s">
        <v>362</v>
      </c>
      <c r="D38" s="29" t="s">
        <v>161</v>
      </c>
      <c r="E38" s="213"/>
    </row>
    <row r="39" spans="1:5" ht="18.75" customHeight="1">
      <c r="A39" s="29">
        <v>2</v>
      </c>
      <c r="B39" s="189" t="s">
        <v>419</v>
      </c>
      <c r="C39" s="21" t="s">
        <v>427</v>
      </c>
      <c r="D39" s="29" t="s">
        <v>105</v>
      </c>
      <c r="E39" s="213"/>
    </row>
    <row r="40" spans="1:5" ht="19.5" customHeight="1">
      <c r="A40" s="29"/>
      <c r="B40" s="190"/>
      <c r="C40" s="30">
        <v>2</v>
      </c>
      <c r="D40" s="29"/>
      <c r="E40" s="213"/>
    </row>
    <row r="41" spans="1:5" ht="20.100000000000001" customHeight="1">
      <c r="A41" s="29"/>
      <c r="B41" s="190"/>
      <c r="C41" s="21"/>
      <c r="D41" s="29"/>
      <c r="E41" s="213"/>
    </row>
    <row r="42" spans="1:5" ht="20.100000000000001" customHeight="1">
      <c r="A42" s="29"/>
      <c r="B42" s="218" t="s">
        <v>56</v>
      </c>
      <c r="C42" s="203"/>
      <c r="D42" s="207"/>
      <c r="E42" s="213"/>
    </row>
    <row r="43" spans="1:5" ht="20.100000000000001" customHeight="1">
      <c r="A43" s="29">
        <v>1</v>
      </c>
      <c r="B43" s="188" t="s">
        <v>255</v>
      </c>
      <c r="C43" s="21" t="s">
        <v>256</v>
      </c>
      <c r="D43" s="29" t="s">
        <v>161</v>
      </c>
      <c r="E43" s="213"/>
    </row>
    <row r="44" spans="1:5" ht="20.100000000000001" customHeight="1">
      <c r="A44" s="29">
        <v>2</v>
      </c>
      <c r="B44" s="188" t="s">
        <v>158</v>
      </c>
      <c r="C44" s="21" t="s">
        <v>199</v>
      </c>
      <c r="D44" s="29" t="s">
        <v>75</v>
      </c>
      <c r="E44" s="213"/>
    </row>
    <row r="45" spans="1:5" ht="20.100000000000001" customHeight="1">
      <c r="A45" s="29">
        <v>3</v>
      </c>
      <c r="B45" s="188" t="s">
        <v>165</v>
      </c>
      <c r="C45" s="21" t="s">
        <v>258</v>
      </c>
      <c r="D45" s="29" t="s">
        <v>75</v>
      </c>
      <c r="E45" s="213"/>
    </row>
    <row r="46" spans="1:5" ht="20.100000000000001" customHeight="1">
      <c r="A46" s="29">
        <v>4</v>
      </c>
      <c r="B46" s="188" t="s">
        <v>159</v>
      </c>
      <c r="C46" s="21" t="s">
        <v>258</v>
      </c>
      <c r="D46" s="29" t="s">
        <v>75</v>
      </c>
      <c r="E46" s="213"/>
    </row>
    <row r="47" spans="1:5" ht="20.100000000000001" customHeight="1">
      <c r="A47" s="29">
        <v>5</v>
      </c>
      <c r="B47" s="188" t="s">
        <v>118</v>
      </c>
      <c r="C47" s="21" t="s">
        <v>258</v>
      </c>
      <c r="D47" s="29" t="s">
        <v>148</v>
      </c>
      <c r="E47" s="213"/>
    </row>
    <row r="48" spans="1:5" ht="20.100000000000001" customHeight="1">
      <c r="A48" s="29">
        <v>6</v>
      </c>
      <c r="B48" s="188" t="s">
        <v>205</v>
      </c>
      <c r="C48" s="21" t="s">
        <v>78</v>
      </c>
      <c r="D48" s="29" t="s">
        <v>181</v>
      </c>
      <c r="E48" s="213"/>
    </row>
    <row r="49" spans="1:5" ht="20.100000000000001" customHeight="1">
      <c r="A49" s="29">
        <v>7</v>
      </c>
      <c r="B49" s="190" t="s">
        <v>173</v>
      </c>
      <c r="C49" s="21" t="s">
        <v>297</v>
      </c>
      <c r="D49" s="25" t="s">
        <v>181</v>
      </c>
      <c r="E49" s="213"/>
    </row>
    <row r="50" spans="1:5" ht="20.100000000000001" customHeight="1">
      <c r="A50" s="29">
        <v>8</v>
      </c>
      <c r="B50" s="188" t="s">
        <v>116</v>
      </c>
      <c r="C50" s="21" t="s">
        <v>297</v>
      </c>
      <c r="D50" s="29" t="s">
        <v>162</v>
      </c>
      <c r="E50" s="213"/>
    </row>
    <row r="51" spans="1:5" ht="20.100000000000001" customHeight="1">
      <c r="A51" s="29">
        <v>9</v>
      </c>
      <c r="B51" s="188" t="s">
        <v>184</v>
      </c>
      <c r="C51" s="21" t="s">
        <v>80</v>
      </c>
      <c r="D51" s="29" t="s">
        <v>170</v>
      </c>
      <c r="E51" s="213"/>
    </row>
    <row r="52" spans="1:5" ht="20.100000000000001" customHeight="1">
      <c r="A52" s="29">
        <v>10</v>
      </c>
      <c r="B52" s="188" t="s">
        <v>420</v>
      </c>
      <c r="C52" s="21" t="s">
        <v>84</v>
      </c>
      <c r="D52" s="29" t="s">
        <v>428</v>
      </c>
      <c r="E52" s="213"/>
    </row>
    <row r="53" spans="1:5" ht="20.100000000000001" customHeight="1">
      <c r="A53" s="29">
        <v>11</v>
      </c>
      <c r="B53" s="188" t="s">
        <v>435</v>
      </c>
      <c r="C53" s="21" t="s">
        <v>84</v>
      </c>
      <c r="D53" s="29" t="s">
        <v>428</v>
      </c>
      <c r="E53" s="213"/>
    </row>
    <row r="54" spans="1:5" ht="20.100000000000001" customHeight="1">
      <c r="A54" s="29">
        <v>12</v>
      </c>
      <c r="B54" s="188" t="s">
        <v>452</v>
      </c>
      <c r="C54" s="21" t="s">
        <v>84</v>
      </c>
      <c r="D54" s="29" t="s">
        <v>428</v>
      </c>
      <c r="E54" s="213"/>
    </row>
    <row r="55" spans="1:5" ht="25.5" customHeight="1">
      <c r="A55" s="29"/>
      <c r="B55" s="191" t="s">
        <v>15</v>
      </c>
      <c r="C55" s="30">
        <v>12</v>
      </c>
      <c r="D55" s="30"/>
      <c r="E55" s="213"/>
    </row>
    <row r="56" spans="1:5" ht="20.100000000000001" customHeight="1">
      <c r="A56" s="29"/>
      <c r="B56" s="141"/>
      <c r="C56" s="30"/>
      <c r="D56" s="30"/>
      <c r="E56" s="213"/>
    </row>
    <row r="57" spans="1:5" ht="20.100000000000001" customHeight="1">
      <c r="A57" s="29"/>
      <c r="B57" s="191" t="s">
        <v>195</v>
      </c>
      <c r="C57" s="30"/>
      <c r="D57" s="30"/>
      <c r="E57" s="213"/>
    </row>
    <row r="58" spans="1:5" ht="20.100000000000001" customHeight="1">
      <c r="A58" s="29">
        <v>1</v>
      </c>
      <c r="B58" s="188" t="s">
        <v>11</v>
      </c>
      <c r="C58" s="287" t="s">
        <v>200</v>
      </c>
      <c r="D58" s="214" t="s">
        <v>161</v>
      </c>
      <c r="E58" s="213"/>
    </row>
    <row r="59" spans="1:5" ht="20.100000000000001" customHeight="1">
      <c r="A59" s="29">
        <v>2</v>
      </c>
      <c r="B59" s="188" t="s">
        <v>276</v>
      </c>
      <c r="C59" s="287" t="s">
        <v>340</v>
      </c>
      <c r="D59" s="214" t="s">
        <v>412</v>
      </c>
      <c r="E59" s="213"/>
    </row>
    <row r="60" spans="1:5" ht="20.100000000000001" customHeight="1">
      <c r="A60" s="29"/>
      <c r="B60" s="191" t="s">
        <v>15</v>
      </c>
      <c r="C60" s="30">
        <v>2</v>
      </c>
      <c r="D60" s="30"/>
      <c r="E60" s="213"/>
    </row>
    <row r="61" spans="1:5" ht="20.100000000000001" customHeight="1">
      <c r="A61" s="29"/>
      <c r="B61" s="191"/>
      <c r="C61" s="30"/>
      <c r="D61" s="30"/>
      <c r="E61" s="213"/>
    </row>
    <row r="62" spans="1:5" ht="20.100000000000001" customHeight="1">
      <c r="A62" s="29"/>
      <c r="B62" s="191" t="s">
        <v>461</v>
      </c>
      <c r="C62" s="30"/>
      <c r="D62" s="30"/>
      <c r="E62" s="213"/>
    </row>
    <row r="63" spans="1:5" ht="20.100000000000001" customHeight="1">
      <c r="A63" s="29">
        <v>1</v>
      </c>
      <c r="B63" s="188" t="s">
        <v>277</v>
      </c>
      <c r="C63" s="155" t="s">
        <v>278</v>
      </c>
      <c r="D63" s="29" t="s">
        <v>161</v>
      </c>
      <c r="E63" s="213"/>
    </row>
    <row r="64" spans="1:5" ht="20.100000000000001" customHeight="1">
      <c r="A64" s="29">
        <v>2</v>
      </c>
      <c r="B64" s="189" t="s">
        <v>332</v>
      </c>
      <c r="C64" s="155" t="s">
        <v>188</v>
      </c>
      <c r="D64" s="214" t="s">
        <v>272</v>
      </c>
      <c r="E64" s="213"/>
    </row>
    <row r="65" spans="1:5" ht="20.100000000000001" customHeight="1">
      <c r="A65" s="29">
        <v>3</v>
      </c>
      <c r="B65" s="188" t="s">
        <v>189</v>
      </c>
      <c r="C65" s="21" t="s">
        <v>257</v>
      </c>
      <c r="D65" s="29" t="s">
        <v>170</v>
      </c>
      <c r="E65" s="213"/>
    </row>
    <row r="66" spans="1:5" ht="20.100000000000001" customHeight="1">
      <c r="A66" s="29">
        <v>4</v>
      </c>
      <c r="B66" s="189" t="s">
        <v>448</v>
      </c>
      <c r="C66" s="155" t="s">
        <v>257</v>
      </c>
      <c r="D66" s="214" t="s">
        <v>163</v>
      </c>
      <c r="E66" s="213"/>
    </row>
    <row r="67" spans="1:5" ht="20.100000000000001" customHeight="1">
      <c r="A67" s="29">
        <v>5</v>
      </c>
      <c r="B67" s="190" t="s">
        <v>229</v>
      </c>
      <c r="C67" s="155" t="s">
        <v>297</v>
      </c>
      <c r="D67" s="214" t="s">
        <v>181</v>
      </c>
      <c r="E67" s="213"/>
    </row>
    <row r="68" spans="1:5" ht="20.100000000000001" customHeight="1">
      <c r="A68" s="29">
        <v>6</v>
      </c>
      <c r="B68" s="190" t="s">
        <v>534</v>
      </c>
      <c r="C68" s="155" t="s">
        <v>297</v>
      </c>
      <c r="D68" s="214" t="s">
        <v>162</v>
      </c>
      <c r="E68" s="213"/>
    </row>
    <row r="69" spans="1:5" ht="20.100000000000001" customHeight="1">
      <c r="A69" s="29">
        <v>7</v>
      </c>
      <c r="B69" s="188" t="s">
        <v>117</v>
      </c>
      <c r="C69" s="21" t="s">
        <v>84</v>
      </c>
      <c r="D69" s="29" t="s">
        <v>369</v>
      </c>
      <c r="E69" s="213"/>
    </row>
    <row r="70" spans="1:5" ht="20.100000000000001" customHeight="1">
      <c r="A70" s="29">
        <v>8</v>
      </c>
      <c r="B70" s="188" t="s">
        <v>424</v>
      </c>
      <c r="C70" s="155" t="s">
        <v>422</v>
      </c>
      <c r="D70" s="214" t="s">
        <v>369</v>
      </c>
      <c r="E70" s="213"/>
    </row>
    <row r="71" spans="1:5" ht="20.100000000000001" customHeight="1">
      <c r="A71" s="29">
        <v>9</v>
      </c>
      <c r="B71" s="188" t="s">
        <v>423</v>
      </c>
      <c r="C71" s="155" t="s">
        <v>422</v>
      </c>
      <c r="D71" s="214" t="s">
        <v>369</v>
      </c>
      <c r="E71" s="213"/>
    </row>
    <row r="72" spans="1:5" ht="20.100000000000001" customHeight="1">
      <c r="A72" s="29">
        <v>10</v>
      </c>
      <c r="B72" s="188" t="s">
        <v>242</v>
      </c>
      <c r="C72" s="21" t="s">
        <v>484</v>
      </c>
      <c r="D72" s="29" t="s">
        <v>415</v>
      </c>
      <c r="E72" s="213"/>
    </row>
    <row r="73" spans="1:5" ht="20.100000000000001" customHeight="1">
      <c r="A73" s="29">
        <v>11</v>
      </c>
      <c r="B73" s="188" t="s">
        <v>322</v>
      </c>
      <c r="C73" s="155" t="s">
        <v>84</v>
      </c>
      <c r="D73" s="29" t="s">
        <v>207</v>
      </c>
      <c r="E73" s="213"/>
    </row>
    <row r="74" spans="1:5" ht="20.100000000000001" customHeight="1">
      <c r="A74" s="29">
        <v>12</v>
      </c>
      <c r="B74" s="188" t="s">
        <v>320</v>
      </c>
      <c r="C74" s="155" t="s">
        <v>115</v>
      </c>
      <c r="D74" s="29" t="s">
        <v>498</v>
      </c>
      <c r="E74" s="213"/>
    </row>
    <row r="75" spans="1:5" ht="20.100000000000001" customHeight="1">
      <c r="A75" s="29">
        <v>13</v>
      </c>
      <c r="B75" s="190" t="s">
        <v>321</v>
      </c>
      <c r="C75" s="155" t="s">
        <v>115</v>
      </c>
      <c r="D75" s="29" t="s">
        <v>176</v>
      </c>
      <c r="E75" s="213"/>
    </row>
    <row r="76" spans="1:5" ht="20.100000000000001" customHeight="1">
      <c r="A76" s="29"/>
      <c r="B76" s="191" t="s">
        <v>15</v>
      </c>
      <c r="C76" s="30">
        <v>13</v>
      </c>
      <c r="D76" s="30"/>
      <c r="E76" s="213"/>
    </row>
    <row r="77" spans="1:5" ht="20.100000000000001" customHeight="1">
      <c r="A77" s="29"/>
      <c r="B77" s="141"/>
      <c r="C77" s="30"/>
      <c r="D77" s="30"/>
      <c r="E77" s="213"/>
    </row>
    <row r="78" spans="1:5" ht="20.100000000000001" customHeight="1">
      <c r="A78" s="29"/>
      <c r="B78" s="191" t="s">
        <v>462</v>
      </c>
      <c r="C78" s="30"/>
      <c r="D78" s="30"/>
      <c r="E78" s="213"/>
    </row>
    <row r="79" spans="1:5" ht="20.100000000000001" customHeight="1">
      <c r="A79" s="29">
        <v>1</v>
      </c>
      <c r="B79" s="188" t="s">
        <v>19</v>
      </c>
      <c r="C79" s="21" t="s">
        <v>201</v>
      </c>
      <c r="D79" s="29" t="s">
        <v>161</v>
      </c>
      <c r="E79" s="213"/>
    </row>
    <row r="80" spans="1:5" ht="20.100000000000001" customHeight="1">
      <c r="A80" s="29">
        <v>2</v>
      </c>
      <c r="B80" s="190" t="s">
        <v>325</v>
      </c>
      <c r="C80" s="21" t="s">
        <v>245</v>
      </c>
      <c r="D80" s="214" t="s">
        <v>272</v>
      </c>
      <c r="E80" s="213"/>
    </row>
    <row r="81" spans="1:5" ht="20.100000000000001" customHeight="1">
      <c r="A81" s="29">
        <v>3</v>
      </c>
      <c r="B81" s="190" t="s">
        <v>326</v>
      </c>
      <c r="C81" s="21" t="s">
        <v>327</v>
      </c>
      <c r="D81" s="214" t="s">
        <v>272</v>
      </c>
      <c r="E81" s="213"/>
    </row>
    <row r="82" spans="1:5" ht="20.100000000000001" customHeight="1">
      <c r="A82" s="29">
        <v>4</v>
      </c>
      <c r="B82" s="188" t="s">
        <v>26</v>
      </c>
      <c r="C82" s="21" t="s">
        <v>296</v>
      </c>
      <c r="D82" s="214" t="s">
        <v>170</v>
      </c>
      <c r="E82" s="213"/>
    </row>
    <row r="83" spans="1:5" ht="20.100000000000001" customHeight="1">
      <c r="A83" s="29">
        <v>5</v>
      </c>
      <c r="B83" s="188" t="s">
        <v>324</v>
      </c>
      <c r="C83" s="21" t="s">
        <v>243</v>
      </c>
      <c r="D83" s="29" t="s">
        <v>207</v>
      </c>
      <c r="E83" s="213"/>
    </row>
    <row r="84" spans="1:5" ht="20.100000000000001" customHeight="1">
      <c r="A84" s="29"/>
      <c r="B84" s="191" t="s">
        <v>15</v>
      </c>
      <c r="C84" s="30">
        <v>5</v>
      </c>
      <c r="D84" s="30"/>
      <c r="E84" s="213"/>
    </row>
    <row r="85" spans="1:5" ht="20.100000000000001" customHeight="1">
      <c r="A85" s="29"/>
      <c r="B85" s="191"/>
      <c r="C85" s="30"/>
      <c r="D85" s="30"/>
      <c r="E85" s="213"/>
    </row>
    <row r="86" spans="1:5" ht="20.100000000000001" customHeight="1">
      <c r="A86" s="29"/>
      <c r="B86" s="191" t="s">
        <v>463</v>
      </c>
      <c r="C86" s="219"/>
      <c r="D86" s="30"/>
      <c r="E86" s="213"/>
    </row>
    <row r="87" spans="1:5" ht="20.100000000000001" customHeight="1">
      <c r="A87" s="29">
        <v>1</v>
      </c>
      <c r="B87" s="188" t="s">
        <v>169</v>
      </c>
      <c r="C87" s="21" t="s">
        <v>258</v>
      </c>
      <c r="D87" s="29" t="s">
        <v>75</v>
      </c>
      <c r="E87" s="213"/>
    </row>
    <row r="88" spans="1:5" ht="20.100000000000001" customHeight="1">
      <c r="A88" s="29">
        <v>2</v>
      </c>
      <c r="B88" s="188" t="s">
        <v>192</v>
      </c>
      <c r="C88" s="21" t="s">
        <v>258</v>
      </c>
      <c r="D88" s="29" t="s">
        <v>75</v>
      </c>
      <c r="E88" s="213"/>
    </row>
    <row r="89" spans="1:5" ht="20.100000000000001" customHeight="1">
      <c r="A89" s="29">
        <v>3</v>
      </c>
      <c r="B89" s="190" t="s">
        <v>138</v>
      </c>
      <c r="C89" s="21" t="s">
        <v>297</v>
      </c>
      <c r="D89" s="29" t="s">
        <v>174</v>
      </c>
      <c r="E89" s="213"/>
    </row>
    <row r="90" spans="1:5" ht="20.100000000000001" customHeight="1">
      <c r="A90" s="29">
        <v>4</v>
      </c>
      <c r="B90" s="188" t="s">
        <v>202</v>
      </c>
      <c r="C90" s="21" t="s">
        <v>78</v>
      </c>
      <c r="D90" s="29" t="s">
        <v>181</v>
      </c>
      <c r="E90" s="213"/>
    </row>
    <row r="91" spans="1:5" ht="21.6" customHeight="1">
      <c r="A91" s="29">
        <v>5</v>
      </c>
      <c r="B91" s="188" t="s">
        <v>101</v>
      </c>
      <c r="C91" s="21" t="s">
        <v>80</v>
      </c>
      <c r="D91" s="214" t="s">
        <v>170</v>
      </c>
      <c r="E91" s="213"/>
    </row>
    <row r="92" spans="1:5" ht="21.6" customHeight="1">
      <c r="A92" s="29">
        <v>6</v>
      </c>
      <c r="B92" s="188" t="s">
        <v>336</v>
      </c>
      <c r="C92" s="287" t="s">
        <v>257</v>
      </c>
      <c r="D92" s="214" t="s">
        <v>163</v>
      </c>
      <c r="E92" s="213"/>
    </row>
    <row r="93" spans="1:5" ht="21.6" customHeight="1">
      <c r="A93" s="29">
        <v>7</v>
      </c>
      <c r="B93" s="188" t="s">
        <v>337</v>
      </c>
      <c r="C93" s="287" t="s">
        <v>257</v>
      </c>
      <c r="D93" s="214" t="s">
        <v>163</v>
      </c>
      <c r="E93" s="213"/>
    </row>
    <row r="94" spans="1:5" ht="21.6" customHeight="1">
      <c r="A94" s="29">
        <v>8</v>
      </c>
      <c r="B94" s="188" t="s">
        <v>421</v>
      </c>
      <c r="C94" s="155" t="s">
        <v>422</v>
      </c>
      <c r="D94" s="214" t="s">
        <v>369</v>
      </c>
      <c r="E94" s="213"/>
    </row>
    <row r="95" spans="1:5" ht="21.6" customHeight="1">
      <c r="A95" s="29">
        <v>9</v>
      </c>
      <c r="B95" s="188" t="s">
        <v>436</v>
      </c>
      <c r="C95" s="21" t="s">
        <v>470</v>
      </c>
      <c r="D95" s="29" t="s">
        <v>104</v>
      </c>
      <c r="E95" s="213"/>
    </row>
    <row r="96" spans="1:5" ht="21.6" customHeight="1">
      <c r="A96" s="29">
        <v>10</v>
      </c>
      <c r="B96" s="188" t="s">
        <v>406</v>
      </c>
      <c r="C96" s="155" t="s">
        <v>432</v>
      </c>
      <c r="D96" s="214" t="s">
        <v>176</v>
      </c>
      <c r="E96" s="213"/>
    </row>
    <row r="97" spans="1:5" ht="20.100000000000001" customHeight="1">
      <c r="A97" s="29"/>
      <c r="B97" s="191" t="s">
        <v>15</v>
      </c>
      <c r="C97" s="30">
        <v>10</v>
      </c>
      <c r="D97" s="30"/>
      <c r="E97" s="213"/>
    </row>
    <row r="98" spans="1:5" ht="20.100000000000001" customHeight="1">
      <c r="A98" s="29"/>
      <c r="B98" s="141"/>
      <c r="C98" s="30"/>
      <c r="D98" s="30"/>
      <c r="E98" s="213"/>
    </row>
    <row r="99" spans="1:5" ht="20.100000000000001" customHeight="1">
      <c r="A99" s="29"/>
      <c r="B99" s="191" t="s">
        <v>464</v>
      </c>
      <c r="C99" s="30"/>
      <c r="D99" s="30"/>
      <c r="E99" s="213"/>
    </row>
    <row r="100" spans="1:5" ht="20.100000000000001" customHeight="1">
      <c r="A100" s="29">
        <v>1</v>
      </c>
      <c r="B100" s="189" t="s">
        <v>364</v>
      </c>
      <c r="C100" s="29" t="s">
        <v>343</v>
      </c>
      <c r="D100" s="214" t="s">
        <v>221</v>
      </c>
      <c r="E100" s="213"/>
    </row>
    <row r="101" spans="1:5" ht="20.100000000000001" customHeight="1">
      <c r="A101" s="29">
        <v>2</v>
      </c>
      <c r="B101" s="188" t="s">
        <v>185</v>
      </c>
      <c r="C101" s="21" t="s">
        <v>373</v>
      </c>
      <c r="D101" s="29" t="s">
        <v>181</v>
      </c>
      <c r="E101" s="213"/>
    </row>
    <row r="102" spans="1:5" ht="20.100000000000001" customHeight="1">
      <c r="A102" s="29">
        <v>3</v>
      </c>
      <c r="B102" s="188" t="s">
        <v>237</v>
      </c>
      <c r="C102" s="21" t="s">
        <v>483</v>
      </c>
      <c r="D102" s="214" t="s">
        <v>415</v>
      </c>
      <c r="E102" s="213"/>
    </row>
    <row r="103" spans="1:5" ht="20.100000000000001" customHeight="1">
      <c r="A103" s="29">
        <v>4</v>
      </c>
      <c r="B103" s="188" t="s">
        <v>345</v>
      </c>
      <c r="C103" s="21" t="s">
        <v>541</v>
      </c>
      <c r="D103" s="214" t="s">
        <v>267</v>
      </c>
      <c r="E103" s="213"/>
    </row>
    <row r="104" spans="1:5" ht="20.100000000000001" customHeight="1">
      <c r="A104" s="21"/>
      <c r="B104" s="191" t="s">
        <v>15</v>
      </c>
      <c r="C104" s="30">
        <v>4</v>
      </c>
      <c r="D104" s="220"/>
      <c r="E104" s="213"/>
    </row>
    <row r="105" spans="1:5" ht="20.100000000000001" customHeight="1">
      <c r="A105" s="21"/>
      <c r="B105" s="141"/>
      <c r="C105" s="30"/>
      <c r="D105" s="220"/>
      <c r="E105" s="213"/>
    </row>
    <row r="106" spans="1:5" ht="20.100000000000001" customHeight="1">
      <c r="A106" s="21"/>
      <c r="B106" s="191" t="s">
        <v>465</v>
      </c>
      <c r="C106" s="21"/>
      <c r="D106" s="21"/>
      <c r="E106" s="213"/>
    </row>
    <row r="107" spans="1:5" ht="20.100000000000001" customHeight="1">
      <c r="A107" s="21">
        <v>1</v>
      </c>
      <c r="B107" s="188" t="s">
        <v>216</v>
      </c>
      <c r="C107" s="287" t="s">
        <v>217</v>
      </c>
      <c r="D107" s="214" t="s">
        <v>161</v>
      </c>
      <c r="E107" s="213"/>
    </row>
    <row r="108" spans="1:5" ht="20.100000000000001" customHeight="1">
      <c r="A108" s="21">
        <v>2</v>
      </c>
      <c r="B108" s="188" t="s">
        <v>110</v>
      </c>
      <c r="C108" s="21" t="s">
        <v>259</v>
      </c>
      <c r="D108" s="25" t="s">
        <v>221</v>
      </c>
      <c r="E108" s="213"/>
    </row>
    <row r="109" spans="1:5" ht="20.100000000000001" customHeight="1">
      <c r="A109" s="21">
        <v>3</v>
      </c>
      <c r="B109" s="188" t="s">
        <v>109</v>
      </c>
      <c r="C109" s="21" t="s">
        <v>311</v>
      </c>
      <c r="D109" s="29" t="s">
        <v>175</v>
      </c>
      <c r="E109" s="213"/>
    </row>
    <row r="110" spans="1:5" ht="20.100000000000001" customHeight="1">
      <c r="A110" s="21">
        <v>4</v>
      </c>
      <c r="B110" s="188" t="s">
        <v>135</v>
      </c>
      <c r="C110" s="21" t="s">
        <v>311</v>
      </c>
      <c r="D110" s="29" t="s">
        <v>175</v>
      </c>
      <c r="E110" s="213"/>
    </row>
    <row r="111" spans="1:5" ht="20.100000000000001" customHeight="1">
      <c r="A111" s="21">
        <v>5</v>
      </c>
      <c r="B111" s="188" t="s">
        <v>240</v>
      </c>
      <c r="C111" s="21" t="s">
        <v>338</v>
      </c>
      <c r="D111" s="214" t="s">
        <v>499</v>
      </c>
      <c r="E111" s="213"/>
    </row>
    <row r="112" spans="1:5" ht="20.100000000000001" customHeight="1">
      <c r="A112" s="21">
        <v>6</v>
      </c>
      <c r="B112" s="189" t="s">
        <v>341</v>
      </c>
      <c r="C112" s="21" t="s">
        <v>338</v>
      </c>
      <c r="D112" s="29" t="s">
        <v>267</v>
      </c>
      <c r="E112" s="213"/>
    </row>
    <row r="113" spans="1:5" ht="20.100000000000001" customHeight="1">
      <c r="A113" s="21">
        <v>7</v>
      </c>
      <c r="B113" s="189" t="s">
        <v>374</v>
      </c>
      <c r="C113" s="21" t="s">
        <v>338</v>
      </c>
      <c r="D113" s="214" t="s">
        <v>176</v>
      </c>
      <c r="E113" s="213"/>
    </row>
    <row r="114" spans="1:5" ht="25.5" customHeight="1">
      <c r="A114" s="21"/>
      <c r="B114" s="191" t="s">
        <v>15</v>
      </c>
      <c r="C114" s="30">
        <v>7</v>
      </c>
      <c r="D114" s="21"/>
      <c r="E114" s="213"/>
    </row>
    <row r="115" spans="1:5" ht="20.100000000000001" customHeight="1">
      <c r="A115" s="21"/>
      <c r="B115" s="191"/>
      <c r="C115" s="30"/>
      <c r="D115" s="21"/>
      <c r="E115" s="213"/>
    </row>
    <row r="116" spans="1:5" ht="20.100000000000001" customHeight="1">
      <c r="A116" s="29"/>
      <c r="B116" s="191" t="s">
        <v>542</v>
      </c>
      <c r="C116" s="30"/>
      <c r="D116" s="30"/>
      <c r="E116" s="213"/>
    </row>
    <row r="117" spans="1:5" ht="20.100000000000001" customHeight="1">
      <c r="A117" s="29">
        <v>1</v>
      </c>
      <c r="B117" s="188" t="s">
        <v>182</v>
      </c>
      <c r="C117" s="155" t="s">
        <v>422</v>
      </c>
      <c r="D117" s="214" t="s">
        <v>497</v>
      </c>
      <c r="E117" s="213"/>
    </row>
    <row r="118" spans="1:5" ht="18.75" customHeight="1">
      <c r="A118" s="29">
        <v>2</v>
      </c>
      <c r="B118" s="188" t="s">
        <v>247</v>
      </c>
      <c r="C118" s="21" t="s">
        <v>477</v>
      </c>
      <c r="D118" s="214" t="s">
        <v>415</v>
      </c>
      <c r="E118" s="213"/>
    </row>
    <row r="119" spans="1:5" ht="24.75" customHeight="1">
      <c r="A119" s="21"/>
      <c r="B119" s="191" t="s">
        <v>15</v>
      </c>
      <c r="C119" s="30">
        <v>2</v>
      </c>
      <c r="D119" s="220"/>
      <c r="E119" s="213"/>
    </row>
    <row r="120" spans="1:5" ht="20.100000000000001" customHeight="1">
      <c r="A120" s="21"/>
      <c r="B120" s="191"/>
      <c r="C120" s="30"/>
      <c r="D120" s="21"/>
      <c r="E120" s="213"/>
    </row>
    <row r="121" spans="1:5" ht="20.100000000000001" customHeight="1">
      <c r="A121" s="21"/>
      <c r="B121" s="191" t="s">
        <v>466</v>
      </c>
      <c r="C121" s="30"/>
      <c r="D121" s="30"/>
      <c r="E121" s="213"/>
    </row>
    <row r="122" spans="1:5" ht="20.100000000000001" customHeight="1">
      <c r="A122" s="21">
        <v>1</v>
      </c>
      <c r="B122" s="188" t="s">
        <v>20</v>
      </c>
      <c r="C122" s="287" t="s">
        <v>250</v>
      </c>
      <c r="D122" s="214" t="s">
        <v>161</v>
      </c>
      <c r="E122" s="213"/>
    </row>
    <row r="123" spans="1:5" ht="20.100000000000001" customHeight="1">
      <c r="A123" s="21">
        <v>2</v>
      </c>
      <c r="B123" s="188" t="s">
        <v>100</v>
      </c>
      <c r="C123" s="287" t="s">
        <v>268</v>
      </c>
      <c r="D123" s="214" t="s">
        <v>160</v>
      </c>
      <c r="E123" s="213"/>
    </row>
    <row r="124" spans="1:5" ht="20.100000000000001" customHeight="1">
      <c r="A124" s="21">
        <v>3</v>
      </c>
      <c r="B124" s="188" t="s">
        <v>153</v>
      </c>
      <c r="C124" s="287" t="s">
        <v>376</v>
      </c>
      <c r="D124" s="214" t="s">
        <v>75</v>
      </c>
      <c r="E124" s="213"/>
    </row>
    <row r="125" spans="1:5" ht="20.100000000000001" customHeight="1">
      <c r="A125" s="21">
        <v>4</v>
      </c>
      <c r="B125" s="190" t="s">
        <v>142</v>
      </c>
      <c r="C125" s="287" t="s">
        <v>376</v>
      </c>
      <c r="D125" s="214" t="s">
        <v>75</v>
      </c>
      <c r="E125" s="213"/>
    </row>
    <row r="126" spans="1:5" ht="20.100000000000001" customHeight="1">
      <c r="A126" s="21">
        <v>5</v>
      </c>
      <c r="B126" s="190" t="s">
        <v>363</v>
      </c>
      <c r="C126" s="287" t="s">
        <v>376</v>
      </c>
      <c r="D126" s="214" t="s">
        <v>30</v>
      </c>
      <c r="E126" s="213"/>
    </row>
    <row r="127" spans="1:5" ht="20.100000000000001" customHeight="1">
      <c r="A127" s="21">
        <v>6</v>
      </c>
      <c r="B127" s="188" t="s">
        <v>108</v>
      </c>
      <c r="C127" s="287" t="s">
        <v>476</v>
      </c>
      <c r="D127" s="214" t="s">
        <v>162</v>
      </c>
      <c r="E127" s="213"/>
    </row>
    <row r="128" spans="1:5" ht="20.100000000000001" customHeight="1">
      <c r="A128" s="21">
        <v>7</v>
      </c>
      <c r="B128" s="188" t="s">
        <v>178</v>
      </c>
      <c r="C128" s="287" t="s">
        <v>382</v>
      </c>
      <c r="D128" s="214" t="s">
        <v>170</v>
      </c>
      <c r="E128" s="213"/>
    </row>
    <row r="129" spans="1:5" ht="20.100000000000001" customHeight="1">
      <c r="A129" s="21">
        <v>8</v>
      </c>
      <c r="B129" s="188" t="s">
        <v>134</v>
      </c>
      <c r="C129" s="287" t="s">
        <v>384</v>
      </c>
      <c r="D129" s="214" t="s">
        <v>170</v>
      </c>
      <c r="E129" s="213"/>
    </row>
    <row r="130" spans="1:5" ht="20.100000000000001" customHeight="1">
      <c r="A130" s="21">
        <v>9</v>
      </c>
      <c r="B130" s="188" t="s">
        <v>443</v>
      </c>
      <c r="C130" s="287" t="s">
        <v>447</v>
      </c>
      <c r="D130" s="29" t="s">
        <v>498</v>
      </c>
      <c r="E130" s="213"/>
    </row>
    <row r="131" spans="1:5" ht="20.100000000000001" customHeight="1">
      <c r="A131" s="21">
        <v>10</v>
      </c>
      <c r="B131" s="189" t="s">
        <v>439</v>
      </c>
      <c r="C131" s="287" t="s">
        <v>440</v>
      </c>
      <c r="D131" s="214" t="s">
        <v>105</v>
      </c>
      <c r="E131" s="213"/>
    </row>
    <row r="132" spans="1:5" ht="20.100000000000001" customHeight="1">
      <c r="A132" s="21"/>
      <c r="B132" s="191" t="s">
        <v>15</v>
      </c>
      <c r="C132" s="220" t="s">
        <v>543</v>
      </c>
      <c r="D132" s="214"/>
      <c r="E132" s="213"/>
    </row>
    <row r="133" spans="1:5" ht="20.100000000000001" customHeight="1">
      <c r="A133" s="21"/>
      <c r="B133" s="141"/>
      <c r="C133" s="220"/>
      <c r="D133" s="214"/>
      <c r="E133" s="213"/>
    </row>
    <row r="134" spans="1:5" ht="20.100000000000001" customHeight="1">
      <c r="A134" s="21"/>
      <c r="B134" s="191" t="s">
        <v>467</v>
      </c>
      <c r="C134" s="287"/>
      <c r="D134" s="214"/>
      <c r="E134" s="213"/>
    </row>
    <row r="135" spans="1:5" ht="20.100000000000001" customHeight="1">
      <c r="A135" s="224">
        <v>1</v>
      </c>
      <c r="B135" s="188" t="s">
        <v>21</v>
      </c>
      <c r="C135" s="287" t="s">
        <v>393</v>
      </c>
      <c r="D135" s="214" t="s">
        <v>161</v>
      </c>
      <c r="E135" s="213"/>
    </row>
    <row r="136" spans="1:5" ht="20.100000000000001" customHeight="1">
      <c r="A136" s="224">
        <v>2</v>
      </c>
      <c r="B136" s="188" t="s">
        <v>107</v>
      </c>
      <c r="C136" s="287" t="s">
        <v>394</v>
      </c>
      <c r="D136" s="214" t="s">
        <v>160</v>
      </c>
      <c r="E136" s="213"/>
    </row>
    <row r="137" spans="1:5" ht="20.100000000000001" customHeight="1">
      <c r="A137" s="224">
        <v>3</v>
      </c>
      <c r="B137" s="190" t="s">
        <v>183</v>
      </c>
      <c r="C137" s="21" t="s">
        <v>486</v>
      </c>
      <c r="D137" s="25" t="s">
        <v>221</v>
      </c>
      <c r="E137" s="213"/>
    </row>
    <row r="138" spans="1:5" ht="20.100000000000001" customHeight="1">
      <c r="A138" s="224">
        <v>4</v>
      </c>
      <c r="B138" s="188" t="s">
        <v>106</v>
      </c>
      <c r="C138" s="287" t="s">
        <v>381</v>
      </c>
      <c r="D138" s="214" t="s">
        <v>181</v>
      </c>
      <c r="E138" s="213"/>
    </row>
    <row r="139" spans="1:5" ht="20.100000000000001" customHeight="1">
      <c r="A139" s="224">
        <v>5</v>
      </c>
      <c r="B139" s="188" t="s">
        <v>7</v>
      </c>
      <c r="C139" s="21" t="s">
        <v>385</v>
      </c>
      <c r="D139" s="214" t="s">
        <v>181</v>
      </c>
      <c r="E139" s="213"/>
    </row>
    <row r="140" spans="1:5" ht="20.100000000000001" customHeight="1">
      <c r="A140" s="224">
        <v>6</v>
      </c>
      <c r="B140" s="188" t="s">
        <v>124</v>
      </c>
      <c r="C140" s="21" t="s">
        <v>235</v>
      </c>
      <c r="D140" s="214" t="s">
        <v>170</v>
      </c>
      <c r="E140" s="213"/>
    </row>
    <row r="141" spans="1:5" ht="20.100000000000001" customHeight="1">
      <c r="A141" s="224">
        <v>7</v>
      </c>
      <c r="B141" s="188" t="s">
        <v>102</v>
      </c>
      <c r="C141" s="287" t="s">
        <v>395</v>
      </c>
      <c r="D141" s="214" t="s">
        <v>497</v>
      </c>
      <c r="E141" s="213"/>
    </row>
    <row r="142" spans="1:5" ht="20.100000000000001" customHeight="1">
      <c r="A142" s="224">
        <v>8</v>
      </c>
      <c r="B142" s="188" t="s">
        <v>103</v>
      </c>
      <c r="C142" s="287" t="s">
        <v>395</v>
      </c>
      <c r="D142" s="214" t="s">
        <v>497</v>
      </c>
      <c r="E142" s="213"/>
    </row>
    <row r="143" spans="1:5" ht="20.100000000000001" customHeight="1">
      <c r="A143" s="224">
        <v>9</v>
      </c>
      <c r="B143" s="188" t="s">
        <v>151</v>
      </c>
      <c r="C143" s="21" t="s">
        <v>235</v>
      </c>
      <c r="D143" s="214" t="s">
        <v>497</v>
      </c>
      <c r="E143" s="213"/>
    </row>
    <row r="144" spans="1:5" ht="20.100000000000001" customHeight="1">
      <c r="A144" s="224">
        <v>10</v>
      </c>
      <c r="B144" s="188" t="s">
        <v>238</v>
      </c>
      <c r="C144" s="287" t="s">
        <v>546</v>
      </c>
      <c r="D144" s="214" t="s">
        <v>415</v>
      </c>
      <c r="E144" s="213"/>
    </row>
    <row r="145" spans="1:5" ht="20.100000000000001" customHeight="1">
      <c r="A145" s="224">
        <v>11</v>
      </c>
      <c r="B145" s="188" t="s">
        <v>53</v>
      </c>
      <c r="C145" s="287" t="s">
        <v>300</v>
      </c>
      <c r="D145" s="214" t="s">
        <v>27</v>
      </c>
      <c r="E145" s="213"/>
    </row>
    <row r="146" spans="1:5" ht="20.100000000000001" customHeight="1">
      <c r="A146" s="224">
        <v>12</v>
      </c>
      <c r="B146" s="188" t="s">
        <v>179</v>
      </c>
      <c r="C146" s="287" t="s">
        <v>479</v>
      </c>
      <c r="D146" s="214" t="s">
        <v>497</v>
      </c>
      <c r="E146" s="213"/>
    </row>
    <row r="147" spans="1:5" ht="20.100000000000001" customHeight="1">
      <c r="A147" s="224">
        <v>13</v>
      </c>
      <c r="B147" s="189" t="s">
        <v>293</v>
      </c>
      <c r="C147" s="21" t="s">
        <v>438</v>
      </c>
      <c r="D147" s="214" t="s">
        <v>27</v>
      </c>
      <c r="E147" s="213"/>
    </row>
    <row r="148" spans="1:5" ht="20.100000000000001" customHeight="1">
      <c r="A148" s="224">
        <v>14</v>
      </c>
      <c r="B148" s="188" t="s">
        <v>488</v>
      </c>
      <c r="C148" s="21" t="s">
        <v>239</v>
      </c>
      <c r="D148" s="214" t="s">
        <v>207</v>
      </c>
      <c r="E148" s="213"/>
    </row>
    <row r="149" spans="1:5" ht="20.100000000000001" customHeight="1">
      <c r="A149" s="224">
        <v>15</v>
      </c>
      <c r="B149" s="188" t="s">
        <v>489</v>
      </c>
      <c r="C149" s="21" t="s">
        <v>239</v>
      </c>
      <c r="D149" s="214" t="s">
        <v>164</v>
      </c>
      <c r="E149" s="213"/>
    </row>
    <row r="150" spans="1:5" ht="20.100000000000001" customHeight="1">
      <c r="A150" s="224">
        <v>16</v>
      </c>
      <c r="B150" s="188" t="s">
        <v>212</v>
      </c>
      <c r="C150" s="21" t="s">
        <v>239</v>
      </c>
      <c r="D150" s="214" t="s">
        <v>164</v>
      </c>
      <c r="E150" s="213"/>
    </row>
    <row r="151" spans="1:5" ht="20.100000000000001" customHeight="1">
      <c r="A151" s="224">
        <v>17</v>
      </c>
      <c r="B151" s="188" t="s">
        <v>425</v>
      </c>
      <c r="C151" s="287" t="s">
        <v>430</v>
      </c>
      <c r="D151" s="214" t="s">
        <v>104</v>
      </c>
      <c r="E151" s="213"/>
    </row>
    <row r="152" spans="1:5" ht="20.100000000000001" customHeight="1">
      <c r="A152" s="224">
        <v>18</v>
      </c>
      <c r="B152" s="188" t="s">
        <v>437</v>
      </c>
      <c r="C152" s="287" t="s">
        <v>438</v>
      </c>
      <c r="D152" s="29" t="s">
        <v>428</v>
      </c>
      <c r="E152" s="213"/>
    </row>
    <row r="153" spans="1:5" ht="20.100000000000001" customHeight="1">
      <c r="A153" s="224">
        <v>19</v>
      </c>
      <c r="B153" s="188" t="s">
        <v>230</v>
      </c>
      <c r="C153" s="287" t="s">
        <v>485</v>
      </c>
      <c r="D153" s="214" t="s">
        <v>207</v>
      </c>
      <c r="E153" s="213"/>
    </row>
    <row r="154" spans="1:5" ht="20.100000000000001" customHeight="1">
      <c r="A154" s="224">
        <v>20</v>
      </c>
      <c r="B154" s="188" t="s">
        <v>57</v>
      </c>
      <c r="C154" s="287" t="s">
        <v>481</v>
      </c>
      <c r="D154" s="214" t="s">
        <v>498</v>
      </c>
      <c r="E154" s="213"/>
    </row>
    <row r="155" spans="1:5" ht="20.100000000000001" customHeight="1">
      <c r="A155" s="224">
        <v>21</v>
      </c>
      <c r="B155" s="188" t="s">
        <v>251</v>
      </c>
      <c r="C155" s="287" t="s">
        <v>482</v>
      </c>
      <c r="D155" s="214" t="s">
        <v>207</v>
      </c>
      <c r="E155" s="213"/>
    </row>
    <row r="156" spans="1:5" ht="20.100000000000001" customHeight="1">
      <c r="A156" s="224">
        <v>22</v>
      </c>
      <c r="B156" s="188" t="s">
        <v>241</v>
      </c>
      <c r="C156" s="287" t="s">
        <v>348</v>
      </c>
      <c r="D156" s="214" t="s">
        <v>498</v>
      </c>
      <c r="E156" s="213"/>
    </row>
    <row r="157" spans="1:5" ht="20.100000000000001" customHeight="1">
      <c r="A157" s="224">
        <v>23</v>
      </c>
      <c r="B157" s="189" t="s">
        <v>289</v>
      </c>
      <c r="C157" s="287" t="s">
        <v>290</v>
      </c>
      <c r="D157" s="214" t="s">
        <v>267</v>
      </c>
      <c r="E157" s="213"/>
    </row>
    <row r="158" spans="1:5" ht="20.100000000000001" customHeight="1">
      <c r="A158" s="224">
        <v>24</v>
      </c>
      <c r="B158" s="189" t="s">
        <v>407</v>
      </c>
      <c r="C158" s="287" t="s">
        <v>131</v>
      </c>
      <c r="D158" s="214" t="s">
        <v>105</v>
      </c>
      <c r="E158" s="213"/>
    </row>
    <row r="159" spans="1:5" ht="20.100000000000001" customHeight="1">
      <c r="A159" s="224">
        <v>25</v>
      </c>
      <c r="B159" s="189" t="s">
        <v>426</v>
      </c>
      <c r="C159" s="287" t="s">
        <v>290</v>
      </c>
      <c r="D159" s="214" t="s">
        <v>105</v>
      </c>
      <c r="E159" s="213"/>
    </row>
    <row r="160" spans="1:5" ht="20.100000000000001" customHeight="1">
      <c r="A160" s="224">
        <v>26</v>
      </c>
      <c r="B160" s="189" t="s">
        <v>441</v>
      </c>
      <c r="C160" s="287" t="s">
        <v>442</v>
      </c>
      <c r="D160" s="214" t="s">
        <v>176</v>
      </c>
      <c r="E160" s="213"/>
    </row>
    <row r="161" spans="1:5" ht="20.100000000000001" customHeight="1">
      <c r="A161" s="224">
        <v>27</v>
      </c>
      <c r="B161" s="189" t="s">
        <v>445</v>
      </c>
      <c r="C161" s="287" t="s">
        <v>446</v>
      </c>
      <c r="D161" s="214" t="s">
        <v>176</v>
      </c>
      <c r="E161" s="213"/>
    </row>
    <row r="162" spans="1:5" ht="20.100000000000001" customHeight="1">
      <c r="A162" s="224">
        <v>28</v>
      </c>
      <c r="B162" s="188" t="s">
        <v>22</v>
      </c>
      <c r="C162" s="287" t="s">
        <v>302</v>
      </c>
      <c r="D162" s="214" t="s">
        <v>501</v>
      </c>
      <c r="E162" s="213"/>
    </row>
    <row r="163" spans="1:5" ht="20.100000000000001" customHeight="1">
      <c r="A163" s="224">
        <v>29</v>
      </c>
      <c r="B163" s="188" t="s">
        <v>14</v>
      </c>
      <c r="C163" s="287" t="s">
        <v>302</v>
      </c>
      <c r="D163" s="214" t="s">
        <v>501</v>
      </c>
      <c r="E163" s="213"/>
    </row>
    <row r="164" spans="1:5" ht="20.100000000000001" customHeight="1">
      <c r="A164" s="224">
        <v>30</v>
      </c>
      <c r="B164" s="188" t="s">
        <v>23</v>
      </c>
      <c r="C164" s="287" t="s">
        <v>302</v>
      </c>
      <c r="D164" s="214" t="s">
        <v>501</v>
      </c>
      <c r="E164" s="213"/>
    </row>
    <row r="165" spans="1:5" ht="20.100000000000001" customHeight="1">
      <c r="A165" s="224">
        <v>31</v>
      </c>
      <c r="B165" s="188" t="s">
        <v>39</v>
      </c>
      <c r="C165" s="287" t="s">
        <v>302</v>
      </c>
      <c r="D165" s="214" t="s">
        <v>501</v>
      </c>
      <c r="E165" s="213"/>
    </row>
    <row r="166" spans="1:5" ht="20.100000000000001" customHeight="1">
      <c r="A166" s="224">
        <v>32</v>
      </c>
      <c r="B166" s="188" t="s">
        <v>40</v>
      </c>
      <c r="C166" s="287" t="s">
        <v>302</v>
      </c>
      <c r="D166" s="214" t="s">
        <v>501</v>
      </c>
      <c r="E166" s="213"/>
    </row>
    <row r="167" spans="1:5" ht="20.100000000000001" customHeight="1">
      <c r="A167" s="224">
        <v>33</v>
      </c>
      <c r="B167" s="188" t="s">
        <v>127</v>
      </c>
      <c r="C167" s="287" t="s">
        <v>302</v>
      </c>
      <c r="D167" s="214" t="s">
        <v>416</v>
      </c>
      <c r="E167" s="213"/>
    </row>
    <row r="168" spans="1:5" ht="20.100000000000001" customHeight="1">
      <c r="A168" s="224">
        <v>34</v>
      </c>
      <c r="B168" s="188" t="s">
        <v>128</v>
      </c>
      <c r="C168" s="287" t="s">
        <v>302</v>
      </c>
      <c r="D168" s="214" t="s">
        <v>416</v>
      </c>
      <c r="E168" s="213"/>
    </row>
    <row r="169" spans="1:5" ht="20.100000000000001" customHeight="1">
      <c r="A169" s="224">
        <v>35</v>
      </c>
      <c r="B169" s="188" t="s">
        <v>129</v>
      </c>
      <c r="C169" s="287" t="s">
        <v>302</v>
      </c>
      <c r="D169" s="214" t="s">
        <v>416</v>
      </c>
      <c r="E169" s="213"/>
    </row>
    <row r="170" spans="1:5" ht="20.100000000000001" customHeight="1">
      <c r="A170" s="224">
        <v>36</v>
      </c>
      <c r="B170" s="190" t="s">
        <v>136</v>
      </c>
      <c r="C170" s="287" t="s">
        <v>302</v>
      </c>
      <c r="D170" s="214" t="s">
        <v>416</v>
      </c>
      <c r="E170" s="213"/>
    </row>
    <row r="171" spans="1:5" ht="20.100000000000001" customHeight="1">
      <c r="A171" s="224">
        <v>37</v>
      </c>
      <c r="B171" s="188" t="s">
        <v>140</v>
      </c>
      <c r="C171" s="287" t="s">
        <v>302</v>
      </c>
      <c r="D171" s="214" t="s">
        <v>416</v>
      </c>
      <c r="E171" s="213"/>
    </row>
    <row r="172" spans="1:5" ht="20.100000000000001" customHeight="1">
      <c r="A172" s="224">
        <v>38</v>
      </c>
      <c r="B172" s="189" t="s">
        <v>152</v>
      </c>
      <c r="C172" s="287" t="s">
        <v>302</v>
      </c>
      <c r="D172" s="214" t="s">
        <v>416</v>
      </c>
      <c r="E172" s="213"/>
    </row>
    <row r="173" spans="1:5" ht="20.100000000000001" customHeight="1">
      <c r="A173" s="224">
        <v>39</v>
      </c>
      <c r="B173" s="189" t="s">
        <v>132</v>
      </c>
      <c r="C173" s="287" t="s">
        <v>302</v>
      </c>
      <c r="D173" s="214" t="s">
        <v>416</v>
      </c>
      <c r="E173" s="213"/>
    </row>
    <row r="174" spans="1:5" ht="20.100000000000001" customHeight="1">
      <c r="A174" s="224">
        <v>40</v>
      </c>
      <c r="B174" s="188" t="s">
        <v>231</v>
      </c>
      <c r="C174" s="287" t="s">
        <v>167</v>
      </c>
      <c r="D174" s="214" t="s">
        <v>263</v>
      </c>
      <c r="E174" s="213"/>
    </row>
    <row r="175" spans="1:5" ht="20.100000000000001" customHeight="1">
      <c r="A175" s="224">
        <v>41</v>
      </c>
      <c r="B175" s="188" t="s">
        <v>246</v>
      </c>
      <c r="C175" s="287" t="s">
        <v>167</v>
      </c>
      <c r="D175" s="214" t="s">
        <v>263</v>
      </c>
      <c r="E175" s="213"/>
    </row>
    <row r="176" spans="1:5" ht="20.100000000000001" customHeight="1">
      <c r="A176" s="224">
        <v>42</v>
      </c>
      <c r="B176" s="189" t="s">
        <v>166</v>
      </c>
      <c r="C176" s="287" t="s">
        <v>167</v>
      </c>
      <c r="D176" s="214" t="s">
        <v>223</v>
      </c>
      <c r="E176" s="213"/>
    </row>
    <row r="177" spans="1:5" ht="20.100000000000001" customHeight="1">
      <c r="A177" s="224">
        <v>43</v>
      </c>
      <c r="B177" s="188" t="s">
        <v>204</v>
      </c>
      <c r="C177" s="287" t="s">
        <v>167</v>
      </c>
      <c r="D177" s="214" t="s">
        <v>177</v>
      </c>
      <c r="E177" s="213"/>
    </row>
    <row r="178" spans="1:5" ht="20.100000000000001" customHeight="1">
      <c r="A178" s="224">
        <v>44</v>
      </c>
      <c r="B178" s="188" t="s">
        <v>209</v>
      </c>
      <c r="C178" s="287" t="s">
        <v>13</v>
      </c>
      <c r="D178" s="214" t="s">
        <v>502</v>
      </c>
      <c r="E178" s="213"/>
    </row>
    <row r="179" spans="1:5" ht="20.100000000000001" customHeight="1">
      <c r="A179" s="224">
        <v>45</v>
      </c>
      <c r="B179" s="188" t="s">
        <v>218</v>
      </c>
      <c r="C179" s="287" t="s">
        <v>13</v>
      </c>
      <c r="D179" s="214" t="s">
        <v>502</v>
      </c>
      <c r="E179" s="213"/>
    </row>
    <row r="180" spans="1:5" ht="20.100000000000001" customHeight="1">
      <c r="A180" s="224">
        <v>46</v>
      </c>
      <c r="B180" s="188" t="s">
        <v>219</v>
      </c>
      <c r="C180" s="287" t="s">
        <v>13</v>
      </c>
      <c r="D180" s="214" t="s">
        <v>502</v>
      </c>
      <c r="E180" s="213"/>
    </row>
    <row r="181" spans="1:5" ht="20.100000000000001" customHeight="1">
      <c r="A181" s="224">
        <v>47</v>
      </c>
      <c r="B181" s="188" t="s">
        <v>211</v>
      </c>
      <c r="C181" s="287" t="s">
        <v>13</v>
      </c>
      <c r="D181" s="214" t="s">
        <v>502</v>
      </c>
      <c r="E181" s="213"/>
    </row>
    <row r="182" spans="1:5" ht="20.100000000000001" customHeight="1">
      <c r="A182" s="224">
        <v>48</v>
      </c>
      <c r="B182" s="188" t="s">
        <v>213</v>
      </c>
      <c r="C182" s="287" t="s">
        <v>13</v>
      </c>
      <c r="D182" s="214" t="s">
        <v>502</v>
      </c>
      <c r="E182" s="213"/>
    </row>
    <row r="183" spans="1:5" ht="20.100000000000001" customHeight="1">
      <c r="A183" s="224">
        <v>49</v>
      </c>
      <c r="B183" s="189" t="s">
        <v>342</v>
      </c>
      <c r="C183" s="287" t="s">
        <v>13</v>
      </c>
      <c r="D183" s="214" t="s">
        <v>502</v>
      </c>
      <c r="E183" s="213"/>
    </row>
    <row r="184" spans="1:5" ht="20.100000000000001" customHeight="1">
      <c r="A184" s="224">
        <v>50</v>
      </c>
      <c r="B184" s="189" t="s">
        <v>405</v>
      </c>
      <c r="C184" s="287" t="s">
        <v>13</v>
      </c>
      <c r="D184" s="214" t="s">
        <v>502</v>
      </c>
      <c r="E184" s="213"/>
    </row>
    <row r="185" spans="1:5" ht="20.100000000000001" customHeight="1">
      <c r="A185" s="224">
        <v>51</v>
      </c>
      <c r="B185" s="188" t="s">
        <v>232</v>
      </c>
      <c r="C185" s="287" t="s">
        <v>167</v>
      </c>
      <c r="D185" s="214" t="s">
        <v>502</v>
      </c>
      <c r="E185" s="213"/>
    </row>
    <row r="186" spans="1:5" ht="20.100000000000001" customHeight="1">
      <c r="A186" s="224">
        <v>52</v>
      </c>
      <c r="B186" s="188" t="s">
        <v>233</v>
      </c>
      <c r="C186" s="287" t="s">
        <v>167</v>
      </c>
      <c r="D186" s="214" t="s">
        <v>502</v>
      </c>
      <c r="E186" s="213"/>
    </row>
    <row r="187" spans="1:5" ht="20.100000000000001" customHeight="1">
      <c r="A187" s="224">
        <v>53</v>
      </c>
      <c r="B187" s="189" t="s">
        <v>279</v>
      </c>
      <c r="C187" s="287" t="s">
        <v>13</v>
      </c>
      <c r="D187" s="214" t="s">
        <v>503</v>
      </c>
      <c r="E187" s="213"/>
    </row>
    <row r="188" spans="1:5" ht="20.100000000000001" customHeight="1">
      <c r="A188" s="224">
        <v>54</v>
      </c>
      <c r="B188" s="189" t="s">
        <v>403</v>
      </c>
      <c r="C188" s="287" t="s">
        <v>13</v>
      </c>
      <c r="D188" s="214" t="s">
        <v>264</v>
      </c>
      <c r="E188" s="213"/>
    </row>
    <row r="189" spans="1:5" ht="20.100000000000001" customHeight="1">
      <c r="A189" s="224"/>
      <c r="B189" s="210" t="s">
        <v>15</v>
      </c>
      <c r="C189" s="226" t="s">
        <v>544</v>
      </c>
      <c r="D189" s="23"/>
      <c r="E189" s="213"/>
    </row>
    <row r="190" spans="1:5" ht="32.25" customHeight="1">
      <c r="A190" s="21"/>
      <c r="B190" s="227" t="s">
        <v>8</v>
      </c>
      <c r="C190" s="228">
        <f>C35+C40+C55+C60+C76+C84+C97+C104+C114+C132+C189</f>
        <v>147</v>
      </c>
      <c r="D190" s="229"/>
      <c r="E190" s="213"/>
    </row>
    <row r="191" spans="1:5" ht="20.100000000000001" customHeight="1">
      <c r="A191" s="202"/>
      <c r="B191" s="231"/>
      <c r="C191" s="202"/>
      <c r="D191" s="232"/>
      <c r="E191" s="235"/>
    </row>
    <row r="192" spans="1:5" ht="65.25" customHeight="1">
      <c r="A192" s="202"/>
      <c r="B192" s="231"/>
      <c r="C192" s="232"/>
      <c r="D192" s="232"/>
    </row>
  </sheetData>
  <mergeCells count="2">
    <mergeCell ref="A1:D1"/>
    <mergeCell ref="A2:D2"/>
  </mergeCells>
  <pageMargins left="0.23622047244094491" right="0.23622047244094491" top="0.98425196850393704" bottom="0.98425196850393704" header="0.51181102362204722" footer="0.51181102362204722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48</vt:i4>
      </vt:variant>
      <vt:variant>
        <vt:lpstr>Named Ranges</vt:lpstr>
      </vt:variant>
      <vt:variant>
        <vt:i4>39</vt:i4>
      </vt:variant>
    </vt:vector>
  </HeadingPairs>
  <TitlesOfParts>
    <vt:vector size="87" baseType="lpstr">
      <vt:lpstr>FEBRUARY 2024</vt:lpstr>
      <vt:lpstr>MEMO</vt:lpstr>
      <vt:lpstr>January Arrears</vt:lpstr>
      <vt:lpstr>Tax Reg Sch. </vt:lpstr>
      <vt:lpstr> Excess Ded Paid</vt:lpstr>
      <vt:lpstr>Changes in Gross &amp; PAYE </vt:lpstr>
      <vt:lpstr>Feb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'Annual Increement'!Print_Area</vt:lpstr>
      <vt:lpstr>'CHRISTMAS WELFARE'!Print_Area</vt:lpstr>
      <vt:lpstr>'Enhanced Welfare 2023 (2)'!Print_Area</vt:lpstr>
      <vt:lpstr>'Enhanced Welfare 2023 (3)'!Print_Area</vt:lpstr>
      <vt:lpstr>'ENHANCED WELFARE 2024'!Print_Area</vt:lpstr>
      <vt:lpstr>'FEBRUARY 2024'!Print_Area</vt:lpstr>
      <vt:lpstr>'HALF 2023 (2)'!Print_Area</vt:lpstr>
      <vt:lpstr>'January 2023 NHF)'!Print_Area</vt:lpstr>
      <vt:lpstr>'January 2023 PAYE'!Print_Area</vt:lpstr>
      <vt:lpstr>'JUNE 2023 (2)'!Print_Area</vt:lpstr>
      <vt:lpstr>MEMO!Print_Area</vt:lpstr>
      <vt:lpstr>'NEW ENROLMENT IN NOVEMBER (2)'!Print_Area</vt:lpstr>
      <vt:lpstr>PROMOTIONS!Print_Area</vt:lpstr>
      <vt:lpstr>'PROMOTIONS '!Print_Area</vt:lpstr>
      <vt:lpstr>'Regularisation IN NOVEMBER (3)'!Print_Area</vt:lpstr>
      <vt:lpstr>'Sallah Welfare April 2023'!Print_Area</vt:lpstr>
      <vt:lpstr>'Sallah Welfare June 2023'!Print_Area</vt:lpstr>
      <vt:lpstr>'Sallah Welfare June 2023 Latest'!Print_Area</vt:lpstr>
      <vt:lpstr>'Tax adj August, 2022'!Print_Area</vt:lpstr>
      <vt:lpstr>'Wage Grant'!Print_Area</vt:lpstr>
      <vt:lpstr>'Wage Grant (2)'!Print_Area</vt:lpstr>
      <vt:lpstr>'CHRISTMAS WELFARE'!Print_Titles</vt:lpstr>
      <vt:lpstr>'Enhanced Welfare 2023 (2)'!Print_Titles</vt:lpstr>
      <vt:lpstr>'Enhanced Welfare 2023 (3)'!Print_Titles</vt:lpstr>
      <vt:lpstr>'ENHANCED WELFARE 2024'!Print_Titles</vt:lpstr>
      <vt:lpstr>'FEBRUARY 2024'!Print_Titles</vt:lpstr>
      <vt:lpstr>'HALF 2023 (2)'!Print_Titles</vt:lpstr>
      <vt:lpstr>'January 2023 NHF)'!Print_Titles</vt:lpstr>
      <vt:lpstr>'January 2023 PAYE'!Print_Titles</vt:lpstr>
      <vt:lpstr>'JUNE 2023 (2)'!Print_Titles</vt:lpstr>
      <vt:lpstr>'NEW ENROLMENT IN NOVEMBER (2)'!Print_Titles</vt:lpstr>
      <vt:lpstr>PROMOTIONS!Print_Titles</vt:lpstr>
      <vt:lpstr>'PROMOTIONS '!Print_Titles</vt:lpstr>
      <vt:lpstr>'Regularisation IN NOVEMBER (3)'!Print_Titles</vt:lpstr>
      <vt:lpstr>'Sallah Welfare April 2023'!Print_Titles</vt:lpstr>
      <vt:lpstr>'Sallah Welfare June 2023'!Print_Titles</vt:lpstr>
      <vt:lpstr>'Sallah Welfare June 2023 Latest'!Print_Titles</vt:lpstr>
      <vt:lpstr>'Wage Grant'!Print_Titles</vt:lpstr>
      <vt:lpstr>'Wage Grant (2)'!Print_Titles</vt:lpstr>
    </vt:vector>
  </TitlesOfParts>
  <Company>Private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RAHILA</cp:lastModifiedBy>
  <cp:lastPrinted>2024-03-04T15:48:52Z</cp:lastPrinted>
  <dcterms:created xsi:type="dcterms:W3CDTF">2008-06-27T10:36:45Z</dcterms:created>
  <dcterms:modified xsi:type="dcterms:W3CDTF">2024-03-04T15:53:04Z</dcterms:modified>
</cp:coreProperties>
</file>